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5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6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7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06"/>
  <workbookPr defaultThemeVersion="124226"/>
  <xr:revisionPtr revIDLastSave="1289" documentId="11_A20F31BA6455A81AD1CAEF91D4A0BD9FB9BECC1C" xr6:coauthVersionLast="47" xr6:coauthVersionMax="47" xr10:uidLastSave="{B5B41174-DE9A-4D1A-8DD2-39C8A76E0187}"/>
  <bookViews>
    <workbookView xWindow="-105" yWindow="-105" windowWidth="25440" windowHeight="12240" firstSheet="10" activeTab="10" xr2:uid="{00000000-000D-0000-FFFF-FFFF00000000}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  <sheet name="Sheet2" sheetId="27" r:id="rId19"/>
  </sheets>
  <externalReferences>
    <externalReference r:id="rId20"/>
    <externalReference r:id="rId21"/>
    <externalReference r:id="rId22"/>
    <externalReference r:id="rId23"/>
    <externalReference r:id="rId24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xlnp="http://schemas.microsoft.com/office/spreadsheetml/2019/extlinksprops" uri="{FCE6A71B-6B00-49CD-AB44-F6B1AE7CDE65}">
      <xxlnp:externalLinksPr autoRefresh="1"/>
    </ext>
  </extLst>
</workbook>
</file>

<file path=xl/calcChain.xml><?xml version="1.0" encoding="utf-8"?>
<calcChain xmlns="http://schemas.openxmlformats.org/spreadsheetml/2006/main">
  <c r="J11" i="15" l="1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J30" i="15"/>
  <c r="J10" i="15"/>
  <c r="J9" i="15"/>
  <c r="I31" i="23"/>
  <c r="J26" i="23"/>
  <c r="J27" i="23"/>
  <c r="J28" i="23"/>
  <c r="J29" i="23"/>
  <c r="J30" i="23"/>
  <c r="J31" i="23"/>
  <c r="J32" i="23"/>
  <c r="J33" i="23"/>
  <c r="J34" i="23"/>
  <c r="J35" i="23"/>
  <c r="J22" i="23"/>
  <c r="T15" i="12"/>
  <c r="T14" i="12"/>
  <c r="N15" i="12"/>
  <c r="N16" i="12"/>
  <c r="P14" i="18"/>
  <c r="C24" i="23"/>
  <c r="C22" i="23"/>
  <c r="AC28" i="13"/>
  <c r="O22" i="3"/>
  <c r="G19" i="23"/>
  <c r="C25" i="23"/>
  <c r="C26" i="23"/>
  <c r="C27" i="23"/>
  <c r="C28" i="23"/>
  <c r="C29" i="23"/>
  <c r="F20" i="23"/>
  <c r="U21" i="13"/>
  <c r="U22" i="13"/>
  <c r="U23" i="13"/>
  <c r="U24" i="13"/>
  <c r="U21" i="3"/>
  <c r="U22" i="3"/>
  <c r="H15" i="3"/>
  <c r="H16" i="3"/>
  <c r="H17" i="3"/>
  <c r="H14" i="3"/>
  <c r="U19" i="3"/>
  <c r="U20" i="3"/>
  <c r="U17" i="3"/>
  <c r="U18" i="3"/>
  <c r="J20" i="18"/>
  <c r="K13" i="18"/>
  <c r="J13" i="18"/>
  <c r="AA14" i="3"/>
  <c r="V15" i="12"/>
  <c r="V16" i="12"/>
  <c r="V14" i="12"/>
  <c r="X12" i="3"/>
  <c r="X13" i="3"/>
  <c r="X14" i="3"/>
  <c r="V13" i="3"/>
  <c r="V14" i="3"/>
  <c r="AG11" i="3"/>
  <c r="B11" i="23"/>
  <c r="C12" i="23"/>
  <c r="X9" i="3"/>
  <c r="T10" i="1"/>
  <c r="T11" i="1"/>
  <c r="T12" i="1"/>
  <c r="T13" i="1"/>
  <c r="T14" i="1"/>
  <c r="T15" i="1"/>
  <c r="T16" i="1"/>
  <c r="T17" i="1"/>
  <c r="AA17" i="3"/>
  <c r="AA18" i="3"/>
  <c r="S21" i="3"/>
  <c r="S22" i="3"/>
  <c r="X21" i="3"/>
  <c r="X22" i="3"/>
  <c r="X23" i="3"/>
  <c r="AA20" i="3"/>
  <c r="AA19" i="3"/>
  <c r="AB18" i="3"/>
  <c r="B34" i="23"/>
  <c r="C35" i="23"/>
  <c r="H35" i="23"/>
  <c r="I35" i="23"/>
  <c r="A34" i="23"/>
  <c r="A35" i="23"/>
  <c r="A20" i="23"/>
  <c r="A21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D2" i="1"/>
  <c r="T25" i="1" l="1"/>
  <c r="S25" i="1"/>
  <c r="U25" i="1" s="1"/>
  <c r="E20" i="3" l="1"/>
  <c r="E21" i="3"/>
  <c r="S26" i="1"/>
  <c r="S27" i="1"/>
  <c r="D21" i="23" s="1"/>
  <c r="S28" i="1"/>
  <c r="D22" i="23" s="1"/>
  <c r="S29" i="1"/>
  <c r="D23" i="23" s="1"/>
  <c r="S30" i="1"/>
  <c r="D24" i="23" s="1"/>
  <c r="S31" i="1"/>
  <c r="D25" i="23" s="1"/>
  <c r="S32" i="1"/>
  <c r="D26" i="23" s="1"/>
  <c r="S33" i="1"/>
  <c r="D27" i="23" s="1"/>
  <c r="S34" i="1"/>
  <c r="S35" i="1"/>
  <c r="S36" i="1"/>
  <c r="S37" i="1"/>
  <c r="S38" i="1"/>
  <c r="S39" i="1"/>
  <c r="S40" i="1"/>
  <c r="S41" i="1"/>
  <c r="S42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AJ24" i="1"/>
  <c r="AJ25" i="1"/>
  <c r="AJ26" i="1"/>
  <c r="AJ27" i="1"/>
  <c r="AJ28" i="1"/>
  <c r="AJ29" i="1"/>
  <c r="C23" i="23" s="1"/>
  <c r="AJ30" i="1"/>
  <c r="AJ31" i="1"/>
  <c r="AJ32" i="1"/>
  <c r="AJ33" i="1"/>
  <c r="AJ34" i="1"/>
  <c r="AJ35" i="1"/>
  <c r="AJ36" i="1"/>
  <c r="AJ37" i="1"/>
  <c r="AJ38" i="1"/>
  <c r="S43" i="1"/>
  <c r="S44" i="1"/>
  <c r="AE16" i="3"/>
  <c r="AE14" i="3"/>
  <c r="AE15" i="3"/>
  <c r="AG17" i="3"/>
  <c r="AG14" i="3"/>
  <c r="AG15" i="3"/>
  <c r="AG16" i="3"/>
  <c r="AG18" i="3"/>
  <c r="AG19" i="3"/>
  <c r="B8" i="23"/>
  <c r="B9" i="23"/>
  <c r="B10" i="23"/>
  <c r="B12" i="23"/>
  <c r="B13" i="23"/>
  <c r="AJ17" i="1"/>
  <c r="J55" i="3"/>
  <c r="J56" i="3"/>
  <c r="J57" i="3"/>
  <c r="J58" i="3"/>
  <c r="J59" i="3"/>
  <c r="J60" i="3"/>
  <c r="J61" i="3"/>
  <c r="J62" i="3"/>
  <c r="G13" i="15"/>
  <c r="G23" i="15"/>
  <c r="G10" i="15"/>
  <c r="U41" i="1" l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K10" i="3"/>
  <c r="K11" i="3"/>
  <c r="K12" i="3"/>
  <c r="K13" i="3"/>
  <c r="E75" i="20"/>
  <c r="G75" i="20" s="1"/>
  <c r="B75" i="20"/>
  <c r="D75" i="20" s="1"/>
  <c r="E74" i="20"/>
  <c r="G74" i="20" s="1"/>
  <c r="B74" i="20"/>
  <c r="D74" i="20" s="1"/>
  <c r="E73" i="20"/>
  <c r="G73" i="20" s="1"/>
  <c r="B73" i="20"/>
  <c r="D73" i="20" s="1"/>
  <c r="E72" i="20"/>
  <c r="G72" i="20" s="1"/>
  <c r="B72" i="20"/>
  <c r="D72" i="20" s="1"/>
  <c r="E71" i="20"/>
  <c r="G71" i="20" s="1"/>
  <c r="B71" i="20"/>
  <c r="D71" i="20" s="1"/>
  <c r="E70" i="20"/>
  <c r="G70" i="20" s="1"/>
  <c r="B70" i="20"/>
  <c r="D70" i="20" s="1"/>
  <c r="E69" i="20"/>
  <c r="G69" i="20" s="1"/>
  <c r="B69" i="20"/>
  <c r="D69" i="20" s="1"/>
  <c r="E68" i="20"/>
  <c r="G68" i="20" s="1"/>
  <c r="B68" i="20"/>
  <c r="D68" i="20" s="1"/>
  <c r="E67" i="20"/>
  <c r="G67" i="20" s="1"/>
  <c r="B67" i="20"/>
  <c r="D67" i="20" s="1"/>
  <c r="E66" i="20"/>
  <c r="G66" i="20" s="1"/>
  <c r="B66" i="20"/>
  <c r="D66" i="20" s="1"/>
  <c r="E65" i="20"/>
  <c r="G65" i="20" s="1"/>
  <c r="B65" i="20"/>
  <c r="D65" i="20" s="1"/>
  <c r="E64" i="20"/>
  <c r="G64" i="20" s="1"/>
  <c r="B64" i="20"/>
  <c r="D64" i="20" s="1"/>
  <c r="E63" i="20"/>
  <c r="G63" i="20" s="1"/>
  <c r="B63" i="20"/>
  <c r="D63" i="20" s="1"/>
  <c r="E62" i="20"/>
  <c r="G62" i="20" s="1"/>
  <c r="B62" i="20"/>
  <c r="D62" i="20" s="1"/>
  <c r="E61" i="20"/>
  <c r="G61" i="20" s="1"/>
  <c r="B61" i="20"/>
  <c r="D61" i="20" s="1"/>
  <c r="E60" i="20"/>
  <c r="G60" i="20" s="1"/>
  <c r="B60" i="20"/>
  <c r="D60" i="20" s="1"/>
  <c r="E59" i="20"/>
  <c r="G59" i="20" s="1"/>
  <c r="B59" i="20"/>
  <c r="D59" i="20" s="1"/>
  <c r="E58" i="20"/>
  <c r="G58" i="20" s="1"/>
  <c r="B58" i="20"/>
  <c r="D58" i="20" s="1"/>
  <c r="E57" i="20"/>
  <c r="G57" i="20" s="1"/>
  <c r="B57" i="20"/>
  <c r="D57" i="20" s="1"/>
  <c r="E56" i="20"/>
  <c r="G56" i="20" s="1"/>
  <c r="B56" i="20"/>
  <c r="D56" i="20" s="1"/>
  <c r="E55" i="20"/>
  <c r="G55" i="20" s="1"/>
  <c r="B55" i="20"/>
  <c r="D55" i="20" s="1"/>
  <c r="E54" i="20"/>
  <c r="G54" i="20" s="1"/>
  <c r="B54" i="20"/>
  <c r="D54" i="20" s="1"/>
  <c r="E53" i="20"/>
  <c r="G53" i="20" s="1"/>
  <c r="B53" i="20"/>
  <c r="D53" i="20" s="1"/>
  <c r="E52" i="20"/>
  <c r="G52" i="20" s="1"/>
  <c r="B52" i="20"/>
  <c r="D52" i="20" s="1"/>
  <c r="E51" i="20"/>
  <c r="G51" i="20" s="1"/>
  <c r="B51" i="20"/>
  <c r="D51" i="20" s="1"/>
  <c r="E50" i="20"/>
  <c r="G50" i="20" s="1"/>
  <c r="B50" i="20"/>
  <c r="D50" i="20" s="1"/>
  <c r="E49" i="20"/>
  <c r="G49" i="20" s="1"/>
  <c r="B49" i="20"/>
  <c r="D49" i="20" s="1"/>
  <c r="E48" i="20"/>
  <c r="G48" i="20" s="1"/>
  <c r="B48" i="20"/>
  <c r="D48" i="20" s="1"/>
  <c r="E47" i="20"/>
  <c r="G47" i="20" s="1"/>
  <c r="B47" i="20"/>
  <c r="D47" i="20" s="1"/>
  <c r="E46" i="20"/>
  <c r="G46" i="20" s="1"/>
  <c r="B46" i="20"/>
  <c r="D46" i="20" s="1"/>
  <c r="E45" i="20"/>
  <c r="G45" i="20" s="1"/>
  <c r="B45" i="20"/>
  <c r="D45" i="20" s="1"/>
  <c r="E44" i="20"/>
  <c r="G44" i="20" s="1"/>
  <c r="B44" i="20"/>
  <c r="D44" i="20" s="1"/>
  <c r="E43" i="20"/>
  <c r="G43" i="20" s="1"/>
  <c r="B43" i="20"/>
  <c r="D43" i="20" s="1"/>
  <c r="E42" i="20"/>
  <c r="G42" i="20" s="1"/>
  <c r="B42" i="20"/>
  <c r="D42" i="20" s="1"/>
  <c r="E41" i="20"/>
  <c r="G41" i="20" s="1"/>
  <c r="B41" i="20"/>
  <c r="D41" i="20" s="1"/>
  <c r="E40" i="20"/>
  <c r="G40" i="20" s="1"/>
  <c r="B40" i="20"/>
  <c r="D40" i="20" s="1"/>
  <c r="E39" i="20"/>
  <c r="G39" i="20" s="1"/>
  <c r="B39" i="20"/>
  <c r="D39" i="20" s="1"/>
  <c r="E38" i="20"/>
  <c r="G38" i="20" s="1"/>
  <c r="B38" i="20"/>
  <c r="D38" i="20" s="1"/>
  <c r="E37" i="20"/>
  <c r="G37" i="20" s="1"/>
  <c r="B37" i="20"/>
  <c r="D37" i="20" s="1"/>
  <c r="E36" i="20"/>
  <c r="G36" i="20" s="1"/>
  <c r="B36" i="20"/>
  <c r="D36" i="20" s="1"/>
  <c r="E35" i="20"/>
  <c r="G35" i="20" s="1"/>
  <c r="B35" i="20"/>
  <c r="D35" i="20" s="1"/>
  <c r="E34" i="20"/>
  <c r="G34" i="20" s="1"/>
  <c r="B34" i="20"/>
  <c r="D34" i="20" s="1"/>
  <c r="E33" i="20"/>
  <c r="G33" i="20" s="1"/>
  <c r="B33" i="20"/>
  <c r="D33" i="20" s="1"/>
  <c r="E32" i="20"/>
  <c r="G32" i="20" s="1"/>
  <c r="B32" i="20"/>
  <c r="D32" i="20" s="1"/>
  <c r="E31" i="20"/>
  <c r="G31" i="20" s="1"/>
  <c r="B31" i="20"/>
  <c r="D31" i="20" s="1"/>
  <c r="E30" i="20"/>
  <c r="G30" i="20" s="1"/>
  <c r="B30" i="20"/>
  <c r="D30" i="20" s="1"/>
  <c r="E29" i="20"/>
  <c r="G29" i="20" s="1"/>
  <c r="B29" i="20"/>
  <c r="D29" i="20" s="1"/>
  <c r="E28" i="20"/>
  <c r="G28" i="20" s="1"/>
  <c r="B28" i="20"/>
  <c r="D28" i="20" s="1"/>
  <c r="E27" i="20"/>
  <c r="G27" i="20" s="1"/>
  <c r="B27" i="20"/>
  <c r="D27" i="20" s="1"/>
  <c r="E26" i="20"/>
  <c r="G26" i="20" s="1"/>
  <c r="B26" i="20"/>
  <c r="D26" i="20" s="1"/>
  <c r="E25" i="20"/>
  <c r="G25" i="20" s="1"/>
  <c r="B25" i="20"/>
  <c r="D25" i="20" s="1"/>
  <c r="E24" i="20"/>
  <c r="G24" i="20" s="1"/>
  <c r="B24" i="20"/>
  <c r="D24" i="20" s="1"/>
  <c r="E23" i="20"/>
  <c r="G23" i="20" s="1"/>
  <c r="B23" i="20"/>
  <c r="D23" i="20" s="1"/>
  <c r="E22" i="20"/>
  <c r="G22" i="20" s="1"/>
  <c r="B22" i="20"/>
  <c r="D22" i="20" s="1"/>
  <c r="E21" i="20"/>
  <c r="G21" i="20" s="1"/>
  <c r="B21" i="20"/>
  <c r="D21" i="20" s="1"/>
  <c r="E20" i="20"/>
  <c r="G20" i="20" s="1"/>
  <c r="B20" i="20"/>
  <c r="D20" i="20" s="1"/>
  <c r="E19" i="20"/>
  <c r="G19" i="20" s="1"/>
  <c r="B19" i="20"/>
  <c r="D19" i="20" s="1"/>
  <c r="E18" i="20"/>
  <c r="G18" i="20" s="1"/>
  <c r="B18" i="20"/>
  <c r="D18" i="20" s="1"/>
  <c r="E17" i="20"/>
  <c r="G17" i="20" s="1"/>
  <c r="B17" i="20"/>
  <c r="D17" i="20" s="1"/>
  <c r="E16" i="20"/>
  <c r="G16" i="20" s="1"/>
  <c r="B16" i="20"/>
  <c r="D16" i="20" s="1"/>
  <c r="E15" i="20"/>
  <c r="G15" i="20" s="1"/>
  <c r="B15" i="20"/>
  <c r="D15" i="20" s="1"/>
  <c r="E14" i="20"/>
  <c r="G14" i="20" s="1"/>
  <c r="B14" i="20"/>
  <c r="D14" i="20" s="1"/>
  <c r="E13" i="20"/>
  <c r="G13" i="20" s="1"/>
  <c r="B13" i="20"/>
  <c r="D13" i="20" s="1"/>
  <c r="E12" i="20"/>
  <c r="G12" i="20" s="1"/>
  <c r="B12" i="20"/>
  <c r="D12" i="20" s="1"/>
  <c r="E11" i="20"/>
  <c r="G11" i="20" s="1"/>
  <c r="B11" i="20"/>
  <c r="D11" i="20" s="1"/>
  <c r="E10" i="20"/>
  <c r="G10" i="20" s="1"/>
  <c r="B10" i="20"/>
  <c r="D10" i="20" s="1"/>
  <c r="E9" i="20"/>
  <c r="G9" i="20" s="1"/>
  <c r="B9" i="20"/>
  <c r="D9" i="20" s="1"/>
  <c r="E8" i="20"/>
  <c r="G8" i="20" s="1"/>
  <c r="B8" i="20"/>
  <c r="D8" i="20" s="1"/>
  <c r="E7" i="20"/>
  <c r="G7" i="20" s="1"/>
  <c r="B7" i="20"/>
  <c r="D7" i="20" s="1"/>
  <c r="E6" i="20"/>
  <c r="G6" i="20" s="1"/>
  <c r="B6" i="20"/>
  <c r="D6" i="20" s="1"/>
  <c r="E5" i="20"/>
  <c r="G5" i="20" s="1"/>
  <c r="B5" i="20"/>
  <c r="D5" i="20" s="1"/>
  <c r="P15" i="18" l="1"/>
  <c r="P16" i="18"/>
  <c r="P17" i="18"/>
  <c r="O18" i="18"/>
  <c r="P18" i="18"/>
  <c r="O19" i="18"/>
  <c r="Q20" i="18" s="1"/>
  <c r="P19" i="18"/>
  <c r="O20" i="18"/>
  <c r="Q21" i="18" s="1"/>
  <c r="P20" i="18"/>
  <c r="O21" i="18"/>
  <c r="Q22" i="18" s="1"/>
  <c r="P21" i="18"/>
  <c r="O22" i="18"/>
  <c r="P22" i="18"/>
  <c r="O23" i="18"/>
  <c r="Q24" i="18" s="1"/>
  <c r="P23" i="18"/>
  <c r="O24" i="18"/>
  <c r="P24" i="18"/>
  <c r="O25" i="18"/>
  <c r="Q26" i="18" s="1"/>
  <c r="P25" i="18"/>
  <c r="O26" i="18"/>
  <c r="Q27" i="18" s="1"/>
  <c r="P26" i="18"/>
  <c r="O27" i="18"/>
  <c r="P27" i="18"/>
  <c r="O28" i="18"/>
  <c r="P28" i="18"/>
  <c r="O29" i="18"/>
  <c r="Q30" i="18" s="1"/>
  <c r="P29" i="18"/>
  <c r="O30" i="18"/>
  <c r="P30" i="18"/>
  <c r="O31" i="18"/>
  <c r="Q32" i="18" s="1"/>
  <c r="P31" i="18"/>
  <c r="O32" i="18"/>
  <c r="P32" i="18"/>
  <c r="O33" i="18"/>
  <c r="Q34" i="18" s="1"/>
  <c r="P33" i="18"/>
  <c r="P4" i="18"/>
  <c r="P5" i="18"/>
  <c r="P6" i="18"/>
  <c r="P7" i="18"/>
  <c r="P8" i="18"/>
  <c r="P9" i="18"/>
  <c r="P10" i="18"/>
  <c r="P11" i="18"/>
  <c r="P12" i="18"/>
  <c r="P13" i="18"/>
  <c r="O34" i="18"/>
  <c r="Q35" i="18" s="1"/>
  <c r="Q5" i="18"/>
  <c r="Q6" i="18"/>
  <c r="Q7" i="18"/>
  <c r="Q8" i="18"/>
  <c r="Q9" i="18"/>
  <c r="Q10" i="18"/>
  <c r="Q11" i="18"/>
  <c r="Q12" i="18"/>
  <c r="Q13" i="18"/>
  <c r="Q15" i="18"/>
  <c r="Q16" i="18"/>
  <c r="Q17" i="18"/>
  <c r="Q18" i="18"/>
  <c r="Q19" i="18"/>
  <c r="Q23" i="18"/>
  <c r="Q25" i="18"/>
  <c r="Q28" i="18"/>
  <c r="Q29" i="18"/>
  <c r="Q31" i="18"/>
  <c r="Q33" i="18"/>
  <c r="P3" i="18"/>
  <c r="G74" i="22" l="1"/>
  <c r="I74" i="22" s="1"/>
  <c r="B74" i="22"/>
  <c r="D74" i="22" s="1"/>
  <c r="F74" i="22" s="1"/>
  <c r="G73" i="22"/>
  <c r="I73" i="22" s="1"/>
  <c r="B73" i="22"/>
  <c r="D73" i="22" s="1"/>
  <c r="F73" i="22" s="1"/>
  <c r="G72" i="22"/>
  <c r="I72" i="22" s="1"/>
  <c r="B72" i="22"/>
  <c r="D72" i="22" s="1"/>
  <c r="F72" i="22" s="1"/>
  <c r="G71" i="22"/>
  <c r="I71" i="22" s="1"/>
  <c r="B71" i="22"/>
  <c r="D71" i="22" s="1"/>
  <c r="F71" i="22" s="1"/>
  <c r="G70" i="22"/>
  <c r="I70" i="22" s="1"/>
  <c r="K70" i="22" s="1"/>
  <c r="B70" i="22"/>
  <c r="D70" i="22" s="1"/>
  <c r="F70" i="22" s="1"/>
  <c r="G69" i="22"/>
  <c r="I69" i="22" s="1"/>
  <c r="B69" i="22"/>
  <c r="D69" i="22" s="1"/>
  <c r="F69" i="22" s="1"/>
  <c r="G68" i="22"/>
  <c r="I68" i="22" s="1"/>
  <c r="B68" i="22"/>
  <c r="D68" i="22" s="1"/>
  <c r="F68" i="22" s="1"/>
  <c r="G67" i="22"/>
  <c r="I67" i="22" s="1"/>
  <c r="B67" i="22"/>
  <c r="D67" i="22" s="1"/>
  <c r="F67" i="22" s="1"/>
  <c r="G66" i="22"/>
  <c r="I66" i="22" s="1"/>
  <c r="K66" i="22" s="1"/>
  <c r="B66" i="22"/>
  <c r="D66" i="22" s="1"/>
  <c r="F66" i="22" s="1"/>
  <c r="G65" i="22"/>
  <c r="I65" i="22" s="1"/>
  <c r="B65" i="22"/>
  <c r="D65" i="22" s="1"/>
  <c r="F65" i="22" s="1"/>
  <c r="G64" i="22"/>
  <c r="I64" i="22" s="1"/>
  <c r="B64" i="22"/>
  <c r="D64" i="22" s="1"/>
  <c r="F64" i="22" s="1"/>
  <c r="G63" i="22"/>
  <c r="I63" i="22" s="1"/>
  <c r="B63" i="22"/>
  <c r="D63" i="22" s="1"/>
  <c r="F63" i="22" s="1"/>
  <c r="G62" i="22"/>
  <c r="I62" i="22" s="1"/>
  <c r="K62" i="22" s="1"/>
  <c r="B62" i="22"/>
  <c r="D62" i="22" s="1"/>
  <c r="F62" i="22" s="1"/>
  <c r="G61" i="22"/>
  <c r="I61" i="22" s="1"/>
  <c r="B61" i="22"/>
  <c r="D61" i="22" s="1"/>
  <c r="F61" i="22" s="1"/>
  <c r="G60" i="22"/>
  <c r="I60" i="22" s="1"/>
  <c r="B60" i="22"/>
  <c r="D60" i="22" s="1"/>
  <c r="F60" i="22" s="1"/>
  <c r="G59" i="22"/>
  <c r="I59" i="22" s="1"/>
  <c r="B59" i="22"/>
  <c r="D59" i="22" s="1"/>
  <c r="F59" i="22" s="1"/>
  <c r="G58" i="22"/>
  <c r="I58" i="22" s="1"/>
  <c r="K58" i="22" s="1"/>
  <c r="B58" i="22"/>
  <c r="D58" i="22" s="1"/>
  <c r="F58" i="22" s="1"/>
  <c r="G57" i="22"/>
  <c r="I57" i="22" s="1"/>
  <c r="B57" i="22"/>
  <c r="D57" i="22" s="1"/>
  <c r="F57" i="22" s="1"/>
  <c r="G56" i="22"/>
  <c r="I56" i="22" s="1"/>
  <c r="B56" i="22"/>
  <c r="D56" i="22" s="1"/>
  <c r="F56" i="22" s="1"/>
  <c r="G55" i="22"/>
  <c r="I55" i="22" s="1"/>
  <c r="B55" i="22"/>
  <c r="D55" i="22" s="1"/>
  <c r="F55" i="22" s="1"/>
  <c r="G54" i="22"/>
  <c r="I54" i="22" s="1"/>
  <c r="K54" i="22" s="1"/>
  <c r="B54" i="22"/>
  <c r="D54" i="22" s="1"/>
  <c r="F54" i="22" s="1"/>
  <c r="G53" i="22"/>
  <c r="I53" i="22" s="1"/>
  <c r="B53" i="22"/>
  <c r="D53" i="22" s="1"/>
  <c r="F53" i="22" s="1"/>
  <c r="G52" i="22"/>
  <c r="I52" i="22" s="1"/>
  <c r="B52" i="22"/>
  <c r="D52" i="22" s="1"/>
  <c r="F52" i="22" s="1"/>
  <c r="G51" i="22"/>
  <c r="I51" i="22" s="1"/>
  <c r="B51" i="22"/>
  <c r="D51" i="22" s="1"/>
  <c r="F51" i="22" s="1"/>
  <c r="G50" i="22"/>
  <c r="I50" i="22" s="1"/>
  <c r="K50" i="22" s="1"/>
  <c r="B50" i="22"/>
  <c r="D50" i="22" s="1"/>
  <c r="F50" i="22" s="1"/>
  <c r="G49" i="22"/>
  <c r="I49" i="22" s="1"/>
  <c r="B49" i="22"/>
  <c r="D49" i="22" s="1"/>
  <c r="F49" i="22" s="1"/>
  <c r="G48" i="22"/>
  <c r="I48" i="22" s="1"/>
  <c r="B48" i="22"/>
  <c r="D48" i="22" s="1"/>
  <c r="F48" i="22" s="1"/>
  <c r="G47" i="22"/>
  <c r="I47" i="22" s="1"/>
  <c r="B47" i="22"/>
  <c r="D47" i="22" s="1"/>
  <c r="F47" i="22" s="1"/>
  <c r="G46" i="22"/>
  <c r="I46" i="22" s="1"/>
  <c r="K46" i="22" s="1"/>
  <c r="B46" i="22"/>
  <c r="D46" i="22" s="1"/>
  <c r="F46" i="22" s="1"/>
  <c r="G45" i="22"/>
  <c r="I45" i="22" s="1"/>
  <c r="B45" i="22"/>
  <c r="D45" i="22" s="1"/>
  <c r="F45" i="22" s="1"/>
  <c r="G44" i="22"/>
  <c r="I44" i="22" s="1"/>
  <c r="B44" i="22"/>
  <c r="D44" i="22" s="1"/>
  <c r="F44" i="22" s="1"/>
  <c r="G43" i="22"/>
  <c r="I43" i="22" s="1"/>
  <c r="B43" i="22"/>
  <c r="D43" i="22" s="1"/>
  <c r="F43" i="22" s="1"/>
  <c r="G42" i="22"/>
  <c r="I42" i="22" s="1"/>
  <c r="K42" i="22" s="1"/>
  <c r="B42" i="22"/>
  <c r="D42" i="22" s="1"/>
  <c r="F42" i="22" s="1"/>
  <c r="G41" i="22"/>
  <c r="I41" i="22" s="1"/>
  <c r="B41" i="22"/>
  <c r="D41" i="22" s="1"/>
  <c r="F41" i="22" s="1"/>
  <c r="G40" i="22"/>
  <c r="I40" i="22" s="1"/>
  <c r="B40" i="22"/>
  <c r="D40" i="22" s="1"/>
  <c r="F40" i="22" s="1"/>
  <c r="G39" i="22"/>
  <c r="I39" i="22" s="1"/>
  <c r="K39" i="22" s="1"/>
  <c r="B39" i="22"/>
  <c r="D39" i="22" s="1"/>
  <c r="F39" i="22" s="1"/>
  <c r="G38" i="22"/>
  <c r="I38" i="22" s="1"/>
  <c r="K38" i="22" s="1"/>
  <c r="B38" i="22"/>
  <c r="D38" i="22" s="1"/>
  <c r="F38" i="22" s="1"/>
  <c r="G37" i="22"/>
  <c r="I37" i="22" s="1"/>
  <c r="B37" i="22"/>
  <c r="D37" i="22" s="1"/>
  <c r="F37" i="22" s="1"/>
  <c r="G36" i="22"/>
  <c r="I36" i="22" s="1"/>
  <c r="B36" i="22"/>
  <c r="D36" i="22" s="1"/>
  <c r="F36" i="22" s="1"/>
  <c r="G35" i="22"/>
  <c r="I35" i="22" s="1"/>
  <c r="B35" i="22"/>
  <c r="D35" i="22" s="1"/>
  <c r="F35" i="22" s="1"/>
  <c r="G34" i="22"/>
  <c r="I34" i="22" s="1"/>
  <c r="K34" i="22" s="1"/>
  <c r="B34" i="22"/>
  <c r="D34" i="22" s="1"/>
  <c r="F34" i="22" s="1"/>
  <c r="G33" i="22"/>
  <c r="I33" i="22" s="1"/>
  <c r="B33" i="22"/>
  <c r="D33" i="22" s="1"/>
  <c r="F33" i="22" s="1"/>
  <c r="G32" i="22"/>
  <c r="I32" i="22" s="1"/>
  <c r="B32" i="22"/>
  <c r="D32" i="22" s="1"/>
  <c r="F32" i="22" s="1"/>
  <c r="G31" i="22"/>
  <c r="I31" i="22" s="1"/>
  <c r="B31" i="22"/>
  <c r="D31" i="22" s="1"/>
  <c r="F31" i="22" s="1"/>
  <c r="G30" i="22"/>
  <c r="I30" i="22" s="1"/>
  <c r="K30" i="22" s="1"/>
  <c r="B30" i="22"/>
  <c r="D30" i="22" s="1"/>
  <c r="F30" i="22" s="1"/>
  <c r="G29" i="22"/>
  <c r="I29" i="22" s="1"/>
  <c r="B29" i="22"/>
  <c r="D29" i="22" s="1"/>
  <c r="F29" i="22" s="1"/>
  <c r="G28" i="22"/>
  <c r="I28" i="22" s="1"/>
  <c r="B28" i="22"/>
  <c r="D28" i="22" s="1"/>
  <c r="F28" i="22" s="1"/>
  <c r="G27" i="22"/>
  <c r="I27" i="22" s="1"/>
  <c r="B27" i="22"/>
  <c r="D27" i="22" s="1"/>
  <c r="F27" i="22" s="1"/>
  <c r="G26" i="22"/>
  <c r="I26" i="22" s="1"/>
  <c r="K26" i="22" s="1"/>
  <c r="B26" i="22"/>
  <c r="D26" i="22" s="1"/>
  <c r="F26" i="22" s="1"/>
  <c r="G25" i="22"/>
  <c r="I25" i="22" s="1"/>
  <c r="B25" i="22"/>
  <c r="D25" i="22" s="1"/>
  <c r="F25" i="22" s="1"/>
  <c r="G24" i="22"/>
  <c r="I24" i="22" s="1"/>
  <c r="B24" i="22"/>
  <c r="D24" i="22" s="1"/>
  <c r="F24" i="22" s="1"/>
  <c r="G23" i="22"/>
  <c r="I23" i="22" s="1"/>
  <c r="B23" i="22"/>
  <c r="D23" i="22" s="1"/>
  <c r="F23" i="22" s="1"/>
  <c r="G22" i="22"/>
  <c r="I22" i="22" s="1"/>
  <c r="K22" i="22" s="1"/>
  <c r="B22" i="22"/>
  <c r="D22" i="22" s="1"/>
  <c r="F22" i="22" s="1"/>
  <c r="G21" i="22"/>
  <c r="I21" i="22" s="1"/>
  <c r="B21" i="22"/>
  <c r="D21" i="22" s="1"/>
  <c r="F21" i="22" s="1"/>
  <c r="G20" i="22"/>
  <c r="I20" i="22" s="1"/>
  <c r="B20" i="22"/>
  <c r="D20" i="22" s="1"/>
  <c r="F20" i="22" s="1"/>
  <c r="G19" i="22"/>
  <c r="I19" i="22" s="1"/>
  <c r="B19" i="22"/>
  <c r="D19" i="22" s="1"/>
  <c r="F19" i="22" s="1"/>
  <c r="G18" i="22"/>
  <c r="I18" i="22" s="1"/>
  <c r="K18" i="22" s="1"/>
  <c r="B18" i="22"/>
  <c r="D18" i="22" s="1"/>
  <c r="F18" i="22" s="1"/>
  <c r="G17" i="22"/>
  <c r="I17" i="22" s="1"/>
  <c r="B17" i="22"/>
  <c r="D17" i="22" s="1"/>
  <c r="F17" i="22" s="1"/>
  <c r="G16" i="22"/>
  <c r="I16" i="22" s="1"/>
  <c r="B16" i="22"/>
  <c r="D16" i="22" s="1"/>
  <c r="F16" i="22" s="1"/>
  <c r="G15" i="22"/>
  <c r="I15" i="22" s="1"/>
  <c r="B15" i="22"/>
  <c r="D15" i="22" s="1"/>
  <c r="F15" i="22" s="1"/>
  <c r="G14" i="22"/>
  <c r="I14" i="22" s="1"/>
  <c r="K14" i="22" s="1"/>
  <c r="B14" i="22"/>
  <c r="D14" i="22" s="1"/>
  <c r="F14" i="22" s="1"/>
  <c r="G13" i="22"/>
  <c r="I13" i="22" s="1"/>
  <c r="B13" i="22"/>
  <c r="D13" i="22" s="1"/>
  <c r="F13" i="22" s="1"/>
  <c r="G12" i="22"/>
  <c r="I12" i="22" s="1"/>
  <c r="B12" i="22"/>
  <c r="D12" i="22" s="1"/>
  <c r="F12" i="22" s="1"/>
  <c r="G11" i="22"/>
  <c r="I11" i="22" s="1"/>
  <c r="B11" i="22"/>
  <c r="D11" i="22" s="1"/>
  <c r="F11" i="22" s="1"/>
  <c r="G10" i="22"/>
  <c r="I10" i="22" s="1"/>
  <c r="K10" i="22" s="1"/>
  <c r="B10" i="22"/>
  <c r="D10" i="22" s="1"/>
  <c r="F10" i="22" s="1"/>
  <c r="G9" i="22"/>
  <c r="I9" i="22" s="1"/>
  <c r="B9" i="22"/>
  <c r="D9" i="22" s="1"/>
  <c r="F9" i="22" s="1"/>
  <c r="G8" i="22"/>
  <c r="I8" i="22" s="1"/>
  <c r="B8" i="22"/>
  <c r="D8" i="22" s="1"/>
  <c r="F8" i="22" s="1"/>
  <c r="G7" i="22"/>
  <c r="I7" i="22" s="1"/>
  <c r="B7" i="22"/>
  <c r="D7" i="22" s="1"/>
  <c r="F7" i="22" s="1"/>
  <c r="G6" i="22"/>
  <c r="I6" i="22" s="1"/>
  <c r="K6" i="22" s="1"/>
  <c r="B6" i="22"/>
  <c r="D6" i="22" s="1"/>
  <c r="F6" i="22" s="1"/>
  <c r="G5" i="22"/>
  <c r="I5" i="22" s="1"/>
  <c r="B5" i="22"/>
  <c r="D5" i="22" s="1"/>
  <c r="F5" i="22" s="1"/>
  <c r="G4" i="22"/>
  <c r="I4" i="22" s="1"/>
  <c r="B4" i="22"/>
  <c r="D4" i="22" s="1"/>
  <c r="F4" i="22" s="1"/>
  <c r="L7" i="22" l="1"/>
  <c r="K7" i="22"/>
  <c r="L8" i="22"/>
  <c r="K8" i="22"/>
  <c r="L11" i="22"/>
  <c r="K11" i="22"/>
  <c r="L12" i="22"/>
  <c r="K12" i="22"/>
  <c r="L15" i="22"/>
  <c r="K15" i="22"/>
  <c r="L19" i="22"/>
  <c r="K19" i="22"/>
  <c r="L23" i="22"/>
  <c r="K23" i="22"/>
  <c r="L27" i="22"/>
  <c r="K27" i="22"/>
  <c r="L31" i="22"/>
  <c r="K31" i="22"/>
  <c r="L35" i="22"/>
  <c r="K35" i="22"/>
  <c r="L43" i="22"/>
  <c r="K43" i="22"/>
  <c r="L47" i="22"/>
  <c r="K47" i="22"/>
  <c r="L51" i="22"/>
  <c r="K51" i="22"/>
  <c r="L55" i="22"/>
  <c r="K55" i="22"/>
  <c r="L59" i="22"/>
  <c r="K59" i="22"/>
  <c r="L63" i="22"/>
  <c r="K63" i="22"/>
  <c r="L67" i="22"/>
  <c r="K67" i="22"/>
  <c r="L71" i="22"/>
  <c r="K71" i="22"/>
  <c r="L39" i="22"/>
  <c r="K4" i="22"/>
  <c r="L4" i="22"/>
  <c r="L13" i="22"/>
  <c r="K13" i="22"/>
  <c r="K16" i="22"/>
  <c r="L16" i="22"/>
  <c r="L21" i="22"/>
  <c r="K21" i="22"/>
  <c r="L24" i="22"/>
  <c r="K24" i="22"/>
  <c r="L29" i="22"/>
  <c r="K29" i="22"/>
  <c r="K32" i="22"/>
  <c r="L32" i="22"/>
  <c r="K37" i="22"/>
  <c r="L37" i="22"/>
  <c r="L40" i="22"/>
  <c r="K40" i="22"/>
  <c r="K45" i="22"/>
  <c r="L45" i="22"/>
  <c r="L48" i="22"/>
  <c r="K48" i="22"/>
  <c r="L53" i="22"/>
  <c r="K53" i="22"/>
  <c r="L56" i="22"/>
  <c r="K56" i="22"/>
  <c r="L61" i="22"/>
  <c r="K61" i="22"/>
  <c r="L64" i="22"/>
  <c r="K64" i="22"/>
  <c r="K69" i="22"/>
  <c r="L69" i="22"/>
  <c r="L72" i="22"/>
  <c r="K72" i="22"/>
  <c r="K74" i="22"/>
  <c r="L74" i="22"/>
  <c r="L5" i="22"/>
  <c r="K5" i="22"/>
  <c r="K17" i="22"/>
  <c r="L17" i="22"/>
  <c r="L20" i="22"/>
  <c r="K20" i="22"/>
  <c r="K25" i="22"/>
  <c r="L25" i="22"/>
  <c r="K28" i="22"/>
  <c r="L28" i="22"/>
  <c r="L33" i="22"/>
  <c r="K33" i="22"/>
  <c r="L36" i="22"/>
  <c r="K36" i="22"/>
  <c r="K41" i="22"/>
  <c r="L41" i="22"/>
  <c r="L44" i="22"/>
  <c r="K44" i="22"/>
  <c r="K49" i="22"/>
  <c r="L49" i="22"/>
  <c r="L52" i="22"/>
  <c r="K52" i="22"/>
  <c r="K57" i="22"/>
  <c r="L57" i="22"/>
  <c r="L60" i="22"/>
  <c r="K60" i="22"/>
  <c r="K65" i="22"/>
  <c r="L65" i="22"/>
  <c r="L68" i="22"/>
  <c r="K68" i="22"/>
  <c r="L73" i="22"/>
  <c r="K73" i="22"/>
  <c r="L9" i="22"/>
  <c r="K9" i="22"/>
  <c r="L6" i="22"/>
  <c r="L10" i="22"/>
  <c r="L14" i="22"/>
  <c r="L18" i="22"/>
  <c r="L22" i="22"/>
  <c r="L26" i="22"/>
  <c r="L30" i="22"/>
  <c r="L34" i="22"/>
  <c r="L38" i="22"/>
  <c r="L42" i="22"/>
  <c r="L46" i="22"/>
  <c r="L50" i="22"/>
  <c r="L54" i="22"/>
  <c r="L58" i="22"/>
  <c r="L62" i="22"/>
  <c r="L66" i="22"/>
  <c r="L70" i="22"/>
  <c r="A11" i="15" l="1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10" i="15"/>
  <c r="F42" i="15"/>
  <c r="X36" i="3"/>
  <c r="D8" i="18"/>
  <c r="F8" i="18" s="1"/>
  <c r="G14" i="15"/>
  <c r="G15" i="15"/>
  <c r="G16" i="15"/>
  <c r="G17" i="15"/>
  <c r="G18" i="15"/>
  <c r="G19" i="15"/>
  <c r="G20" i="15"/>
  <c r="G21" i="15"/>
  <c r="G22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11" i="15"/>
  <c r="G12" i="15"/>
  <c r="H42" i="15"/>
  <c r="E42" i="15"/>
  <c r="H41" i="15"/>
  <c r="I41" i="15" s="1"/>
  <c r="H40" i="15"/>
  <c r="I40" i="15" s="1"/>
  <c r="H39" i="15"/>
  <c r="I39" i="15" s="1"/>
  <c r="H38" i="15"/>
  <c r="I38" i="15" s="1"/>
  <c r="J38" i="15" s="1"/>
  <c r="H37" i="15"/>
  <c r="I37" i="15" s="1"/>
  <c r="J37" i="15" s="1"/>
  <c r="H36" i="15"/>
  <c r="I36" i="15" s="1"/>
  <c r="H35" i="15"/>
  <c r="I35" i="15" s="1"/>
  <c r="H34" i="15"/>
  <c r="I34" i="15" s="1"/>
  <c r="J34" i="15" s="1"/>
  <c r="H33" i="15"/>
  <c r="I33" i="15" s="1"/>
  <c r="H32" i="15"/>
  <c r="I32" i="15" s="1"/>
  <c r="H31" i="15"/>
  <c r="I31" i="15" s="1"/>
  <c r="H30" i="15"/>
  <c r="I30" i="15" s="1"/>
  <c r="H29" i="15"/>
  <c r="I29" i="15" s="1"/>
  <c r="H28" i="15"/>
  <c r="I28" i="15" s="1"/>
  <c r="H27" i="15"/>
  <c r="I27" i="15" s="1"/>
  <c r="H26" i="15"/>
  <c r="I26" i="15" s="1"/>
  <c r="H25" i="15"/>
  <c r="I25" i="15" s="1"/>
  <c r="H24" i="15"/>
  <c r="I24" i="15" s="1"/>
  <c r="H23" i="15"/>
  <c r="I23" i="15" s="1"/>
  <c r="H22" i="15"/>
  <c r="I22" i="15" s="1"/>
  <c r="H21" i="15"/>
  <c r="I21" i="15" s="1"/>
  <c r="H20" i="15"/>
  <c r="I20" i="15" s="1"/>
  <c r="H19" i="15"/>
  <c r="I19" i="15" s="1"/>
  <c r="H18" i="15"/>
  <c r="I18" i="15" s="1"/>
  <c r="H17" i="15"/>
  <c r="I17" i="15" s="1"/>
  <c r="H16" i="15"/>
  <c r="I16" i="15" s="1"/>
  <c r="H15" i="15"/>
  <c r="I15" i="15" s="1"/>
  <c r="H14" i="15"/>
  <c r="I14" i="15" s="1"/>
  <c r="H13" i="15"/>
  <c r="I13" i="15" s="1"/>
  <c r="H12" i="15"/>
  <c r="I12" i="15" s="1"/>
  <c r="H11" i="15"/>
  <c r="I11" i="15" s="1"/>
  <c r="H10" i="15"/>
  <c r="I10" i="15" s="1"/>
  <c r="J35" i="15" l="1"/>
  <c r="J33" i="15"/>
  <c r="J32" i="15"/>
  <c r="J31" i="15"/>
  <c r="J36" i="15"/>
  <c r="J40" i="15"/>
  <c r="J39" i="15"/>
  <c r="G42" i="15"/>
  <c r="B14" i="23" l="1"/>
  <c r="B15" i="23"/>
  <c r="B16" i="23"/>
  <c r="B25" i="23"/>
  <c r="B26" i="23"/>
  <c r="B27" i="23"/>
  <c r="B28" i="23"/>
  <c r="B29" i="23"/>
  <c r="B30" i="23"/>
  <c r="B31" i="23"/>
  <c r="B32" i="23"/>
  <c r="B33" i="23"/>
  <c r="F34" i="24"/>
  <c r="D56" i="3"/>
  <c r="F3" i="24" l="1"/>
  <c r="F4" i="24"/>
  <c r="F5" i="24"/>
  <c r="F6" i="24"/>
  <c r="F7" i="24"/>
  <c r="F8" i="24"/>
  <c r="F9" i="24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F17" i="24"/>
  <c r="F18" i="24"/>
  <c r="F19" i="24"/>
  <c r="F20" i="24"/>
  <c r="F21" i="24"/>
  <c r="F22" i="24"/>
  <c r="F23" i="24"/>
  <c r="F24" i="24"/>
  <c r="F25" i="24"/>
  <c r="F26" i="24"/>
  <c r="F27" i="24"/>
  <c r="F28" i="24"/>
  <c r="F29" i="24"/>
  <c r="F30" i="24"/>
  <c r="F31" i="24"/>
  <c r="F32" i="24"/>
  <c r="F33" i="24"/>
  <c r="T43" i="1"/>
  <c r="D35" i="23" s="1"/>
  <c r="T44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AJ44" i="1"/>
  <c r="AJ43" i="1"/>
  <c r="B43" i="1"/>
  <c r="AJ42" i="1"/>
  <c r="E34" i="24"/>
  <c r="AJ41" i="1"/>
  <c r="AJ40" i="1"/>
  <c r="AJ39" i="1"/>
  <c r="E30" i="24"/>
  <c r="E29" i="24"/>
  <c r="E26" i="24"/>
  <c r="E25" i="24"/>
  <c r="E22" i="24"/>
  <c r="E21" i="24"/>
  <c r="E18" i="24"/>
  <c r="S24" i="1"/>
  <c r="U24" i="1" s="1"/>
  <c r="AJ23" i="1"/>
  <c r="S23" i="1"/>
  <c r="AJ22" i="1"/>
  <c r="S22" i="1"/>
  <c r="U22" i="1" s="1"/>
  <c r="AJ21" i="1"/>
  <c r="S21" i="1"/>
  <c r="AJ20" i="1"/>
  <c r="S20" i="1"/>
  <c r="U20" i="1" s="1"/>
  <c r="AJ19" i="1"/>
  <c r="S19" i="1"/>
  <c r="U19" i="1" s="1"/>
  <c r="AJ18" i="1"/>
  <c r="S18" i="1"/>
  <c r="U18" i="1" s="1"/>
  <c r="S17" i="1"/>
  <c r="U17" i="1" s="1"/>
  <c r="AJ16" i="1"/>
  <c r="C10" i="23" s="1"/>
  <c r="S16" i="1"/>
  <c r="AJ15" i="1"/>
  <c r="C9" i="23" s="1"/>
  <c r="S15" i="1"/>
  <c r="AJ14" i="1"/>
  <c r="C8" i="23" s="1"/>
  <c r="S14" i="1"/>
  <c r="AJ13" i="1"/>
  <c r="S13" i="1"/>
  <c r="U13" i="1" s="1"/>
  <c r="AJ12" i="1"/>
  <c r="S12" i="1"/>
  <c r="U12" i="1" s="1"/>
  <c r="AJ11" i="1"/>
  <c r="S11" i="1"/>
  <c r="U11" i="1" s="1"/>
  <c r="AJ10" i="1"/>
  <c r="S10" i="1"/>
  <c r="U10" i="1" s="1"/>
  <c r="T9" i="1"/>
  <c r="S9" i="1"/>
  <c r="U9" i="1" s="1"/>
  <c r="U16" i="1" l="1"/>
  <c r="D10" i="23"/>
  <c r="U15" i="1"/>
  <c r="D9" i="23"/>
  <c r="U14" i="1"/>
  <c r="D8" i="23"/>
  <c r="E15" i="24"/>
  <c r="U23" i="1"/>
  <c r="U21" i="1"/>
  <c r="AR9" i="1"/>
  <c r="E5" i="24"/>
  <c r="S45" i="1"/>
  <c r="T47" i="1" s="1"/>
  <c r="T48" i="1" s="1"/>
  <c r="C30" i="23"/>
  <c r="I30" i="24"/>
  <c r="E33" i="24"/>
  <c r="D33" i="23"/>
  <c r="C33" i="23"/>
  <c r="I33" i="24"/>
  <c r="C32" i="23"/>
  <c r="I32" i="24"/>
  <c r="C31" i="23"/>
  <c r="I31" i="24"/>
  <c r="I29" i="24"/>
  <c r="I28" i="24"/>
  <c r="I27" i="24"/>
  <c r="C5" i="23"/>
  <c r="I3" i="24"/>
  <c r="C7" i="23"/>
  <c r="I5" i="24"/>
  <c r="I7" i="24"/>
  <c r="C11" i="23"/>
  <c r="I9" i="24"/>
  <c r="C13" i="23"/>
  <c r="I11" i="24"/>
  <c r="C15" i="23"/>
  <c r="I13" i="24"/>
  <c r="C17" i="23"/>
  <c r="I15" i="24"/>
  <c r="C21" i="23"/>
  <c r="I19" i="24"/>
  <c r="I21" i="24"/>
  <c r="I23" i="24"/>
  <c r="I25" i="24"/>
  <c r="C6" i="23"/>
  <c r="I4" i="24"/>
  <c r="I6" i="24"/>
  <c r="I8" i="24"/>
  <c r="I10" i="24"/>
  <c r="C14" i="23"/>
  <c r="I12" i="24"/>
  <c r="C16" i="23"/>
  <c r="I14" i="24"/>
  <c r="C20" i="23"/>
  <c r="I18" i="24"/>
  <c r="I20" i="24"/>
  <c r="I22" i="24"/>
  <c r="I24" i="24"/>
  <c r="I26" i="24"/>
  <c r="D6" i="23"/>
  <c r="E4" i="24"/>
  <c r="D12" i="23"/>
  <c r="E10" i="24"/>
  <c r="D16" i="23"/>
  <c r="E14" i="24"/>
  <c r="E8" i="24"/>
  <c r="D5" i="23"/>
  <c r="E3" i="24"/>
  <c r="D11" i="23"/>
  <c r="E9" i="24"/>
  <c r="D13" i="23"/>
  <c r="E11" i="24"/>
  <c r="D15" i="23"/>
  <c r="E13" i="24"/>
  <c r="E6" i="24"/>
  <c r="D14" i="23"/>
  <c r="E12" i="24"/>
  <c r="E7" i="24"/>
  <c r="E19" i="24"/>
  <c r="E23" i="24"/>
  <c r="E27" i="24"/>
  <c r="D31" i="23"/>
  <c r="E31" i="24"/>
  <c r="E20" i="24"/>
  <c r="E24" i="24"/>
  <c r="D28" i="23"/>
  <c r="E28" i="24"/>
  <c r="D32" i="23"/>
  <c r="E32" i="24"/>
  <c r="C19" i="23"/>
  <c r="I17" i="24"/>
  <c r="D19" i="23"/>
  <c r="E17" i="24"/>
  <c r="C18" i="23"/>
  <c r="I16" i="24"/>
  <c r="D18" i="23"/>
  <c r="E16" i="24"/>
  <c r="AR33" i="1"/>
  <c r="AS33" i="1" s="1"/>
  <c r="AR37" i="1"/>
  <c r="AS37" i="1" s="1"/>
  <c r="AR44" i="1"/>
  <c r="AS44" i="1" s="1"/>
  <c r="AR43" i="1"/>
  <c r="AS43" i="1" s="1"/>
  <c r="AR29" i="1"/>
  <c r="AS29" i="1" s="1"/>
  <c r="AR41" i="1"/>
  <c r="AS41" i="1" s="1"/>
  <c r="AR10" i="1"/>
  <c r="AR30" i="1"/>
  <c r="AS30" i="1" s="1"/>
  <c r="AR34" i="1"/>
  <c r="AS34" i="1" s="1"/>
  <c r="AR38" i="1"/>
  <c r="AS38" i="1" s="1"/>
  <c r="D30" i="23"/>
  <c r="D29" i="23"/>
  <c r="AR13" i="1"/>
  <c r="AS13" i="1" s="1"/>
  <c r="AR26" i="1"/>
  <c r="D7" i="23"/>
  <c r="D20" i="23"/>
  <c r="AR25" i="1"/>
  <c r="F18" i="11"/>
  <c r="F17" i="11"/>
  <c r="D17" i="23"/>
  <c r="F13" i="11"/>
  <c r="AJ45" i="1"/>
  <c r="AR12" i="1"/>
  <c r="F5" i="11"/>
  <c r="F9" i="11"/>
  <c r="AR27" i="1"/>
  <c r="AR31" i="1"/>
  <c r="AR35" i="1"/>
  <c r="AR28" i="1"/>
  <c r="AR32" i="1"/>
  <c r="AR36" i="1"/>
  <c r="AR40" i="1"/>
  <c r="AR39" i="1"/>
  <c r="F10" i="11"/>
  <c r="F14" i="11"/>
  <c r="F11" i="11"/>
  <c r="F15" i="11"/>
  <c r="T45" i="1"/>
  <c r="F8" i="11"/>
  <c r="F12" i="11"/>
  <c r="F16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AR42" i="1"/>
  <c r="F6" i="11"/>
  <c r="F7" i="11"/>
  <c r="F19" i="11"/>
  <c r="F20" i="11"/>
  <c r="F21" i="11"/>
  <c r="S47" i="1"/>
  <c r="AR11" i="1"/>
  <c r="AR14" i="1"/>
  <c r="AR15" i="1"/>
  <c r="AR16" i="1"/>
  <c r="AR17" i="1"/>
  <c r="AR18" i="1"/>
  <c r="AR19" i="1"/>
  <c r="AR20" i="1"/>
  <c r="AR21" i="1"/>
  <c r="AR22" i="1"/>
  <c r="AR23" i="1"/>
  <c r="AR24" i="1"/>
  <c r="AC33" i="12" l="1"/>
  <c r="AC28" i="12"/>
  <c r="AC24" i="12"/>
  <c r="AC25" i="12"/>
  <c r="AC36" i="12"/>
  <c r="AC32" i="12"/>
  <c r="AC8" i="12"/>
  <c r="AC29" i="12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 i="1"/>
  <c r="AR47" i="1" s="1"/>
  <c r="AR48" i="1" s="1"/>
  <c r="AS11" i="1"/>
  <c r="B37" i="12"/>
  <c r="AF37" i="13"/>
  <c r="AG37" i="13"/>
  <c r="AH37" i="13"/>
  <c r="Y37" i="13"/>
  <c r="Z37" i="13" s="1"/>
  <c r="AA37" i="13" s="1"/>
  <c r="U37" i="13"/>
  <c r="V37" i="13" s="1"/>
  <c r="Q37" i="13"/>
  <c r="R37" i="13" s="1"/>
  <c r="A37" i="12"/>
  <c r="AH5" i="3"/>
  <c r="AH6" i="3"/>
  <c r="AE5" i="3"/>
  <c r="AB5" i="3"/>
  <c r="Y5" i="3"/>
  <c r="V5" i="3"/>
  <c r="V6" i="3"/>
  <c r="O5" i="3"/>
  <c r="O6" i="3"/>
  <c r="L5" i="3"/>
  <c r="L6" i="3"/>
  <c r="K5" i="3"/>
  <c r="K6" i="3"/>
  <c r="I5" i="3"/>
  <c r="I6" i="3"/>
  <c r="F5" i="3"/>
  <c r="F6" i="3"/>
  <c r="E5" i="3"/>
  <c r="E6" i="3"/>
  <c r="D34" i="23"/>
  <c r="C34" i="23"/>
  <c r="AG10" i="3"/>
  <c r="AG12" i="3"/>
  <c r="AG13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6" i="3"/>
  <c r="D46" i="3"/>
  <c r="F46" i="3"/>
  <c r="H46" i="3"/>
  <c r="J46" i="3"/>
  <c r="B13" i="14"/>
  <c r="B14" i="14"/>
  <c r="B15" i="14"/>
  <c r="B16" i="14"/>
  <c r="AS45" i="1" l="1"/>
  <c r="AC19" i="13"/>
  <c r="H18" i="23" s="1"/>
  <c r="AC20" i="13"/>
  <c r="H19" i="23" s="1"/>
  <c r="AC21" i="13"/>
  <c r="H20" i="23" s="1"/>
  <c r="AC22" i="13"/>
  <c r="H21" i="23" s="1"/>
  <c r="L15" i="3"/>
  <c r="L16" i="3"/>
  <c r="L17" i="3"/>
  <c r="L18" i="3"/>
  <c r="L19" i="3"/>
  <c r="L20" i="3"/>
  <c r="L21" i="3"/>
  <c r="L22" i="3"/>
  <c r="AJ7" i="3" l="1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6" i="3"/>
  <c r="AH37" i="3"/>
  <c r="AH36" i="3"/>
  <c r="AH35" i="3"/>
  <c r="AH34" i="3"/>
  <c r="AH33" i="3"/>
  <c r="AH32" i="3"/>
  <c r="AH31" i="3"/>
  <c r="AH30" i="3"/>
  <c r="AH29" i="3"/>
  <c r="AH28" i="3"/>
  <c r="AH27" i="3"/>
  <c r="AH26" i="3"/>
  <c r="AH25" i="3"/>
  <c r="AH24" i="3"/>
  <c r="AH23" i="3"/>
  <c r="AH22" i="3"/>
  <c r="AH21" i="3"/>
  <c r="AH20" i="3"/>
  <c r="AH19" i="3"/>
  <c r="AH18" i="3"/>
  <c r="AH17" i="3"/>
  <c r="AH16" i="3"/>
  <c r="AH15" i="3"/>
  <c r="AH14" i="3"/>
  <c r="AH13" i="3"/>
  <c r="AH12" i="3"/>
  <c r="AH11" i="3"/>
  <c r="AH10" i="3"/>
  <c r="AH9" i="3"/>
  <c r="AH8" i="3"/>
  <c r="AH7" i="3"/>
  <c r="J5" i="18" l="1"/>
  <c r="J6" i="18"/>
  <c r="J7" i="18"/>
  <c r="J8" i="18"/>
  <c r="J9" i="18"/>
  <c r="J10" i="18"/>
  <c r="J11" i="18"/>
  <c r="J12" i="18"/>
  <c r="J14" i="18"/>
  <c r="J15" i="18"/>
  <c r="J16" i="18"/>
  <c r="J17" i="18"/>
  <c r="J18" i="18"/>
  <c r="J19" i="18"/>
  <c r="J21" i="18"/>
  <c r="J22" i="18"/>
  <c r="J23" i="18"/>
  <c r="J24" i="18"/>
  <c r="J25" i="18"/>
  <c r="J26" i="18"/>
  <c r="J27" i="18"/>
  <c r="J28" i="18"/>
  <c r="J29" i="18"/>
  <c r="J30" i="18"/>
  <c r="J31" i="18"/>
  <c r="J32" i="18"/>
  <c r="J33" i="18"/>
  <c r="J34" i="18"/>
  <c r="K8" i="3"/>
  <c r="K9" i="3"/>
  <c r="K7" i="3"/>
  <c r="N7" i="3"/>
  <c r="J4" i="18"/>
  <c r="J3" i="18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5" i="10"/>
  <c r="L7" i="10"/>
  <c r="L8" i="10"/>
  <c r="L9" i="10"/>
  <c r="L25" i="10"/>
  <c r="L26" i="10"/>
  <c r="L27" i="10"/>
  <c r="L28" i="10"/>
  <c r="L29" i="10"/>
  <c r="L30" i="10"/>
  <c r="L31" i="10"/>
  <c r="L32" i="10"/>
  <c r="L33" i="10"/>
  <c r="L34" i="10"/>
  <c r="L35" i="10"/>
  <c r="L5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" i="18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" i="24"/>
  <c r="A6" i="23"/>
  <c r="A7" i="23"/>
  <c r="A8" i="23"/>
  <c r="A9" i="23"/>
  <c r="A10" i="23"/>
  <c r="A11" i="23"/>
  <c r="A12" i="23"/>
  <c r="A13" i="23"/>
  <c r="A14" i="23"/>
  <c r="A15" i="23"/>
  <c r="A16" i="23"/>
  <c r="A17" i="23"/>
  <c r="A18" i="23"/>
  <c r="A19" i="23"/>
  <c r="A5" i="23"/>
  <c r="A2" i="23" s="1"/>
  <c r="K24" i="18"/>
  <c r="K25" i="18"/>
  <c r="K26" i="18"/>
  <c r="K27" i="18"/>
  <c r="K28" i="18"/>
  <c r="K29" i="18"/>
  <c r="K30" i="18"/>
  <c r="K31" i="18"/>
  <c r="A6" i="10"/>
  <c r="A7" i="10"/>
  <c r="A5" i="10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2" i="9"/>
  <c r="N8" i="3"/>
  <c r="N9" i="3"/>
  <c r="N6" i="3" l="1"/>
  <c r="F31" i="3"/>
  <c r="G6" i="10"/>
  <c r="G7" i="10"/>
  <c r="G8" i="10"/>
  <c r="G9" i="10"/>
  <c r="G10" i="10"/>
  <c r="G11" i="10"/>
  <c r="G12" i="10"/>
  <c r="G13" i="10"/>
  <c r="G14" i="10"/>
  <c r="F30" i="10"/>
  <c r="F29" i="10"/>
  <c r="F30" i="3"/>
  <c r="F29" i="3"/>
  <c r="G35" i="10" l="1"/>
  <c r="G33" i="10"/>
  <c r="G29" i="10"/>
  <c r="G25" i="10"/>
  <c r="G21" i="10"/>
  <c r="G17" i="10"/>
  <c r="G34" i="10"/>
  <c r="G30" i="10"/>
  <c r="G26" i="10"/>
  <c r="G22" i="10"/>
  <c r="G18" i="10"/>
  <c r="G31" i="10"/>
  <c r="G27" i="10"/>
  <c r="G23" i="10"/>
  <c r="G19" i="10"/>
  <c r="G32" i="10"/>
  <c r="G28" i="10"/>
  <c r="G24" i="10"/>
  <c r="G20" i="10"/>
  <c r="G16" i="10"/>
  <c r="G15" i="10"/>
  <c r="F28" i="3"/>
  <c r="F27" i="3"/>
  <c r="H26" i="3"/>
  <c r="AE20" i="3"/>
  <c r="AE19" i="3"/>
  <c r="AE18" i="3"/>
  <c r="AE17" i="3"/>
  <c r="AB8" i="3"/>
  <c r="AB9" i="3"/>
  <c r="AB10" i="3"/>
  <c r="AB11" i="3"/>
  <c r="AB12" i="3"/>
  <c r="AB13" i="3"/>
  <c r="AB14" i="3"/>
  <c r="AB15" i="3"/>
  <c r="AB16" i="3"/>
  <c r="AB17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J38" i="3"/>
  <c r="AE12" i="3"/>
  <c r="H27" i="3" l="1"/>
  <c r="AE13" i="3"/>
  <c r="AC4" i="18"/>
  <c r="Q4" i="18"/>
  <c r="AB6" i="3"/>
  <c r="AB7" i="3" l="1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2" i="8"/>
  <c r="AG17" i="13"/>
  <c r="AG18" i="13"/>
  <c r="AG19" i="13"/>
  <c r="AG20" i="13"/>
  <c r="AG21" i="13"/>
  <c r="AG22" i="13"/>
  <c r="AG23" i="1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O16" i="3"/>
  <c r="O17" i="3"/>
  <c r="O18" i="3"/>
  <c r="O19" i="3"/>
  <c r="O20" i="3"/>
  <c r="O21" i="3"/>
  <c r="O23" i="3"/>
  <c r="O24" i="3"/>
  <c r="O25" i="3"/>
  <c r="H6" i="3"/>
  <c r="H7" i="3"/>
  <c r="H8" i="3"/>
  <c r="H9" i="3"/>
  <c r="H10" i="3"/>
  <c r="H11" i="3"/>
  <c r="H12" i="3"/>
  <c r="H13" i="3"/>
  <c r="H18" i="3"/>
  <c r="H19" i="3"/>
  <c r="H20" i="3"/>
  <c r="H21" i="3"/>
  <c r="H22" i="3"/>
  <c r="H23" i="3"/>
  <c r="H24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AC23" i="13"/>
  <c r="H22" i="23" s="1"/>
  <c r="K20" i="12"/>
  <c r="M20" i="12" s="1"/>
  <c r="K21" i="12"/>
  <c r="M21" i="12" s="1"/>
  <c r="K22" i="12"/>
  <c r="M22" i="12" s="1"/>
  <c r="K23" i="12"/>
  <c r="M23" i="12" s="1"/>
  <c r="K24" i="12"/>
  <c r="M24" i="12" s="1"/>
  <c r="K25" i="12"/>
  <c r="M25" i="12" s="1"/>
  <c r="K26" i="12"/>
  <c r="M26" i="12" s="1"/>
  <c r="K27" i="12"/>
  <c r="M27" i="12" s="1"/>
  <c r="K16" i="12"/>
  <c r="M16" i="12" s="1"/>
  <c r="K17" i="12"/>
  <c r="M17" i="12" s="1"/>
  <c r="K18" i="12"/>
  <c r="M18" i="12" s="1"/>
  <c r="K19" i="12"/>
  <c r="M19" i="12" s="1"/>
  <c r="K15" i="12"/>
  <c r="M15" i="12" s="1"/>
  <c r="AB5" i="18"/>
  <c r="AC6" i="18" s="1"/>
  <c r="AB6" i="18"/>
  <c r="AC7" i="18" s="1"/>
  <c r="AB7" i="18"/>
  <c r="AC8" i="18" s="1"/>
  <c r="AB8" i="18"/>
  <c r="AC9" i="18" s="1"/>
  <c r="AB9" i="18"/>
  <c r="AC10" i="18" s="1"/>
  <c r="AB10" i="18"/>
  <c r="AC11" i="18" s="1"/>
  <c r="AB11" i="18"/>
  <c r="AC12" i="18" s="1"/>
  <c r="AB12" i="18"/>
  <c r="AC13" i="18" s="1"/>
  <c r="AB13" i="18"/>
  <c r="AB14" i="18"/>
  <c r="AC15" i="18" s="1"/>
  <c r="AB15" i="18"/>
  <c r="AC16" i="18" s="1"/>
  <c r="AB16" i="18"/>
  <c r="AC17" i="18" s="1"/>
  <c r="AB17" i="18"/>
  <c r="AC18" i="18" s="1"/>
  <c r="AB18" i="18"/>
  <c r="AC19" i="18" s="1"/>
  <c r="AB19" i="18"/>
  <c r="AC20" i="18" s="1"/>
  <c r="AB20" i="18"/>
  <c r="AC21" i="18" s="1"/>
  <c r="AB21" i="18"/>
  <c r="AC22" i="18" s="1"/>
  <c r="AB22" i="18"/>
  <c r="AC23" i="18" s="1"/>
  <c r="AB23" i="18"/>
  <c r="AC24" i="18" s="1"/>
  <c r="AB24" i="18"/>
  <c r="AC25" i="18" s="1"/>
  <c r="AB25" i="18"/>
  <c r="AC26" i="18" s="1"/>
  <c r="AB26" i="18"/>
  <c r="AC27" i="18" s="1"/>
  <c r="AB27" i="18"/>
  <c r="AC28" i="18" s="1"/>
  <c r="AB28" i="18"/>
  <c r="AC29" i="18" s="1"/>
  <c r="AB29" i="18"/>
  <c r="AC30" i="18" s="1"/>
  <c r="AB30" i="18"/>
  <c r="AC31" i="18" s="1"/>
  <c r="AB31" i="18"/>
  <c r="AC32" i="18" s="1"/>
  <c r="AB32" i="18"/>
  <c r="AC33" i="18" s="1"/>
  <c r="AB33" i="18"/>
  <c r="AC34" i="18" s="1"/>
  <c r="K5" i="18"/>
  <c r="K6" i="18"/>
  <c r="K7" i="18"/>
  <c r="K8" i="18"/>
  <c r="K9" i="18"/>
  <c r="K10" i="18"/>
  <c r="K11" i="18"/>
  <c r="K12" i="18"/>
  <c r="L12" i="18" s="1"/>
  <c r="K14" i="18"/>
  <c r="K15" i="18"/>
  <c r="K16" i="18"/>
  <c r="L16" i="18" s="1"/>
  <c r="K17" i="18"/>
  <c r="K18" i="18"/>
  <c r="K19" i="18"/>
  <c r="K20" i="18"/>
  <c r="K21" i="18"/>
  <c r="K22" i="18"/>
  <c r="K23" i="18"/>
  <c r="K32" i="18"/>
  <c r="K33" i="18"/>
  <c r="K34" i="18"/>
  <c r="K35" i="18"/>
  <c r="K18" i="14" l="1"/>
  <c r="K19" i="14"/>
  <c r="K20" i="14"/>
  <c r="D58" i="3"/>
  <c r="N17" i="12"/>
  <c r="P17" i="12" s="1"/>
  <c r="E16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U6" i="3"/>
  <c r="U7" i="3"/>
  <c r="U8" i="3"/>
  <c r="U9" i="3"/>
  <c r="U10" i="3"/>
  <c r="U11" i="3"/>
  <c r="U12" i="3"/>
  <c r="U13" i="3"/>
  <c r="U14" i="3"/>
  <c r="U15" i="3"/>
  <c r="U16" i="3"/>
  <c r="U23" i="3"/>
  <c r="U24" i="3"/>
  <c r="K4" i="18"/>
  <c r="K3" i="18"/>
  <c r="AB4" i="18"/>
  <c r="AC5" i="18" s="1"/>
  <c r="AB34" i="18"/>
  <c r="AC35" i="18" s="1"/>
  <c r="AB35" i="18"/>
  <c r="P34" i="18"/>
  <c r="P35" i="18"/>
  <c r="D47" i="3"/>
  <c r="D48" i="3"/>
  <c r="D49" i="3"/>
  <c r="D50" i="3"/>
  <c r="D51" i="3"/>
  <c r="D52" i="3"/>
  <c r="D53" i="3"/>
  <c r="D54" i="3"/>
  <c r="D55" i="3"/>
  <c r="D57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K15" i="10" l="1"/>
  <c r="F15" i="23"/>
  <c r="S14" i="18"/>
  <c r="S12" i="18"/>
  <c r="S9" i="18"/>
  <c r="S10" i="18"/>
  <c r="S8" i="18"/>
  <c r="S7" i="18"/>
  <c r="A6" i="14" l="1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S18" i="18"/>
  <c r="S19" i="18"/>
  <c r="S20" i="18"/>
  <c r="S21" i="18"/>
  <c r="S17" i="18"/>
  <c r="S22" i="18"/>
  <c r="S23" i="18"/>
  <c r="S24" i="18"/>
  <c r="S25" i="18"/>
  <c r="S26" i="18"/>
  <c r="S27" i="18"/>
  <c r="S28" i="18"/>
  <c r="S29" i="18"/>
  <c r="S30" i="18"/>
  <c r="S31" i="18"/>
  <c r="S32" i="18"/>
  <c r="S33" i="18"/>
  <c r="S16" i="18"/>
  <c r="S13" i="18"/>
  <c r="S11" i="18"/>
  <c r="S15" i="18" l="1"/>
  <c r="S34" i="18"/>
  <c r="K9" i="12"/>
  <c r="M9" i="12" s="1"/>
  <c r="K10" i="13" l="1"/>
  <c r="E10" i="14"/>
  <c r="K11" i="13"/>
  <c r="E11" i="14"/>
  <c r="K8" i="13"/>
  <c r="E8" i="14"/>
  <c r="K9" i="13"/>
  <c r="E9" i="14"/>
  <c r="S6" i="18"/>
  <c r="L6" i="10"/>
  <c r="S5" i="18"/>
  <c r="G5" i="10"/>
  <c r="B34" i="24"/>
  <c r="C34" i="24"/>
  <c r="A37" i="13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2" i="7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46" i="3"/>
  <c r="S4" i="18" l="1"/>
  <c r="S35" i="18"/>
  <c r="F9" i="10"/>
  <c r="F11" i="10"/>
  <c r="F12" i="10"/>
  <c r="F14" i="10"/>
  <c r="F15" i="10"/>
  <c r="F16" i="10"/>
  <c r="F18" i="10"/>
  <c r="F19" i="10"/>
  <c r="F20" i="10"/>
  <c r="F22" i="10"/>
  <c r="F33" i="10"/>
  <c r="F34" i="10"/>
  <c r="F35" i="10"/>
  <c r="I34" i="24"/>
  <c r="E15" i="14" l="1"/>
  <c r="F32" i="10"/>
  <c r="F27" i="10"/>
  <c r="F25" i="10"/>
  <c r="F23" i="10"/>
  <c r="F21" i="10"/>
  <c r="F31" i="10"/>
  <c r="F28" i="10"/>
  <c r="F26" i="10"/>
  <c r="F24" i="10"/>
  <c r="E16" i="14"/>
  <c r="E14" i="14"/>
  <c r="K7" i="13"/>
  <c r="E7" i="14"/>
  <c r="K13" i="13"/>
  <c r="E13" i="14"/>
  <c r="F11" i="14"/>
  <c r="F8" i="14"/>
  <c r="K6" i="13"/>
  <c r="E6" i="14"/>
  <c r="E12" i="14"/>
  <c r="K12" i="13"/>
  <c r="F17" i="10"/>
  <c r="F13" i="10"/>
  <c r="F10" i="10"/>
  <c r="F8" i="10"/>
  <c r="F7" i="10"/>
  <c r="F6" i="10"/>
  <c r="F5" i="10"/>
  <c r="F16" i="14" l="1"/>
  <c r="F15" i="14"/>
  <c r="F10" i="14"/>
  <c r="F13" i="14"/>
  <c r="F14" i="14"/>
  <c r="F7" i="14"/>
  <c r="F9" i="14"/>
  <c r="F6" i="14"/>
  <c r="F12" i="14"/>
  <c r="E14" i="3"/>
  <c r="K13" i="10" s="1"/>
  <c r="E15" i="3"/>
  <c r="K14" i="10" s="1"/>
  <c r="J50" i="3" l="1"/>
  <c r="J51" i="3"/>
  <c r="J52" i="3"/>
  <c r="J53" i="3"/>
  <c r="J54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D73" i="3"/>
  <c r="D74" i="3"/>
  <c r="D75" i="3"/>
  <c r="D76" i="3"/>
  <c r="D77" i="3"/>
  <c r="H47" i="3"/>
  <c r="H48" i="3"/>
  <c r="H49" i="3"/>
  <c r="F47" i="3"/>
  <c r="F48" i="3"/>
  <c r="F49" i="3"/>
  <c r="L24" i="10" l="1"/>
  <c r="L23" i="10" l="1"/>
  <c r="L22" i="10"/>
  <c r="L21" i="10"/>
  <c r="L20" i="10"/>
  <c r="L17" i="10"/>
  <c r="L16" i="10"/>
  <c r="L14" i="10"/>
  <c r="L15" i="10"/>
  <c r="L13" i="10"/>
  <c r="L12" i="10"/>
  <c r="L11" i="10"/>
  <c r="L10" i="10"/>
  <c r="L18" i="10"/>
  <c r="L19" i="10"/>
  <c r="E7" i="3"/>
  <c r="E8" i="3"/>
  <c r="E9" i="3"/>
  <c r="Q7" i="3"/>
  <c r="Q8" i="3"/>
  <c r="Q9" i="3"/>
  <c r="Q10" i="3"/>
  <c r="Q11" i="3"/>
  <c r="Q12" i="3"/>
  <c r="Q13" i="3"/>
  <c r="Q14" i="3"/>
  <c r="O7" i="3"/>
  <c r="O8" i="3"/>
  <c r="O9" i="3"/>
  <c r="O10" i="3"/>
  <c r="O11" i="3"/>
  <c r="O12" i="3"/>
  <c r="O13" i="3"/>
  <c r="O14" i="3"/>
  <c r="O15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L7" i="3"/>
  <c r="L8" i="3"/>
  <c r="L9" i="3"/>
  <c r="L10" i="3"/>
  <c r="L11" i="3"/>
  <c r="L12" i="3"/>
  <c r="L13" i="3"/>
  <c r="L14" i="3"/>
  <c r="L23" i="3"/>
  <c r="L24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3" i="3"/>
  <c r="I24" i="3"/>
  <c r="H25" i="3"/>
  <c r="F8" i="23" l="1"/>
  <c r="K8" i="10"/>
  <c r="F7" i="23"/>
  <c r="K7" i="10"/>
  <c r="F6" i="23"/>
  <c r="K6" i="10"/>
  <c r="F5" i="23"/>
  <c r="K5" i="10"/>
  <c r="V4" i="18"/>
  <c r="D4" i="18"/>
  <c r="W7" i="12"/>
  <c r="Y7" i="12" s="1"/>
  <c r="W8" i="12"/>
  <c r="Y8" i="12" s="1"/>
  <c r="W9" i="12"/>
  <c r="Y9" i="12" s="1"/>
  <c r="W10" i="12"/>
  <c r="Y10" i="12" s="1"/>
  <c r="W11" i="12"/>
  <c r="Y11" i="12" s="1"/>
  <c r="W12" i="12"/>
  <c r="Y12" i="12" s="1"/>
  <c r="W13" i="12"/>
  <c r="Y13" i="12" s="1"/>
  <c r="W14" i="12"/>
  <c r="Y14" i="12" s="1"/>
  <c r="W15" i="12"/>
  <c r="Y15" i="12" s="1"/>
  <c r="W16" i="12"/>
  <c r="Y16" i="12" s="1"/>
  <c r="W17" i="12"/>
  <c r="Y17" i="12" s="1"/>
  <c r="W18" i="12"/>
  <c r="Y18" i="12" s="1"/>
  <c r="W19" i="12"/>
  <c r="Y19" i="12" s="1"/>
  <c r="W20" i="12"/>
  <c r="Y20" i="12" s="1"/>
  <c r="W21" i="12"/>
  <c r="Y21" i="12" s="1"/>
  <c r="W22" i="12"/>
  <c r="Y22" i="12" s="1"/>
  <c r="W23" i="12"/>
  <c r="Y23" i="12" s="1"/>
  <c r="W24" i="12"/>
  <c r="Y24" i="12" s="1"/>
  <c r="W25" i="12"/>
  <c r="Y25" i="12" s="1"/>
  <c r="W26" i="12"/>
  <c r="Y26" i="12" s="1"/>
  <c r="W27" i="12"/>
  <c r="Y27" i="12" s="1"/>
  <c r="W28" i="12"/>
  <c r="Y28" i="12" s="1"/>
  <c r="W29" i="12"/>
  <c r="Y29" i="12" s="1"/>
  <c r="W30" i="12"/>
  <c r="Y30" i="12" s="1"/>
  <c r="W31" i="12"/>
  <c r="Y31" i="12" s="1"/>
  <c r="W32" i="12"/>
  <c r="Y32" i="12" s="1"/>
  <c r="W33" i="12"/>
  <c r="Y33" i="12" s="1"/>
  <c r="W34" i="12"/>
  <c r="Y34" i="12" s="1"/>
  <c r="W35" i="12"/>
  <c r="Y35" i="12" s="1"/>
  <c r="W36" i="12"/>
  <c r="Y36" i="12" s="1"/>
  <c r="W37" i="12"/>
  <c r="Y37" i="12" s="1"/>
  <c r="T7" i="12"/>
  <c r="V7" i="12" s="1"/>
  <c r="T8" i="12"/>
  <c r="V8" i="12" s="1"/>
  <c r="T9" i="12"/>
  <c r="V9" i="12" s="1"/>
  <c r="T10" i="12"/>
  <c r="V10" i="12" s="1"/>
  <c r="T11" i="12"/>
  <c r="V11" i="12" s="1"/>
  <c r="T12" i="12"/>
  <c r="V12" i="12" s="1"/>
  <c r="T13" i="12"/>
  <c r="V13" i="12" s="1"/>
  <c r="T16" i="12"/>
  <c r="T17" i="12"/>
  <c r="V17" i="12" s="1"/>
  <c r="T18" i="12"/>
  <c r="V18" i="12" s="1"/>
  <c r="T19" i="12"/>
  <c r="V19" i="12" s="1"/>
  <c r="T20" i="12"/>
  <c r="V20" i="12" s="1"/>
  <c r="T21" i="12"/>
  <c r="V21" i="12" s="1"/>
  <c r="T22" i="12"/>
  <c r="V22" i="12" s="1"/>
  <c r="T23" i="12"/>
  <c r="V23" i="12" s="1"/>
  <c r="T24" i="12"/>
  <c r="V24" i="12" s="1"/>
  <c r="T25" i="12"/>
  <c r="V25" i="12" s="1"/>
  <c r="T26" i="12"/>
  <c r="V26" i="12" s="1"/>
  <c r="T27" i="12"/>
  <c r="V27" i="12" s="1"/>
  <c r="T28" i="12"/>
  <c r="V28" i="12" s="1"/>
  <c r="T29" i="12"/>
  <c r="V29" i="12" s="1"/>
  <c r="T30" i="12"/>
  <c r="V30" i="12" s="1"/>
  <c r="T31" i="12"/>
  <c r="V31" i="12" s="1"/>
  <c r="T32" i="12"/>
  <c r="V32" i="12" s="1"/>
  <c r="T33" i="12"/>
  <c r="V33" i="12" s="1"/>
  <c r="T34" i="12"/>
  <c r="V34" i="12" s="1"/>
  <c r="T35" i="12"/>
  <c r="V35" i="12" s="1"/>
  <c r="T36" i="12"/>
  <c r="V36" i="12" s="1"/>
  <c r="T37" i="12"/>
  <c r="V37" i="12" s="1"/>
  <c r="Q7" i="12"/>
  <c r="S7" i="12" s="1"/>
  <c r="Q8" i="12"/>
  <c r="S8" i="12" s="1"/>
  <c r="Q9" i="12"/>
  <c r="S9" i="12" s="1"/>
  <c r="Q10" i="12"/>
  <c r="S10" i="12" s="1"/>
  <c r="Q11" i="12"/>
  <c r="S11" i="12" s="1"/>
  <c r="Q12" i="12"/>
  <c r="S12" i="12" s="1"/>
  <c r="Q13" i="12"/>
  <c r="S13" i="12" s="1"/>
  <c r="Q14" i="12"/>
  <c r="S14" i="12" s="1"/>
  <c r="Q15" i="12"/>
  <c r="S15" i="12" s="1"/>
  <c r="Q16" i="12"/>
  <c r="S16" i="12" s="1"/>
  <c r="Q17" i="12"/>
  <c r="S17" i="12" s="1"/>
  <c r="Q18" i="12"/>
  <c r="S18" i="12" s="1"/>
  <c r="Q19" i="12"/>
  <c r="S19" i="12" s="1"/>
  <c r="Q20" i="12"/>
  <c r="S20" i="12" s="1"/>
  <c r="Q21" i="12"/>
  <c r="S21" i="12" s="1"/>
  <c r="Q22" i="12"/>
  <c r="S22" i="12" s="1"/>
  <c r="Q23" i="12"/>
  <c r="S23" i="12" s="1"/>
  <c r="Q24" i="12"/>
  <c r="S24" i="12" s="1"/>
  <c r="Q25" i="12"/>
  <c r="S25" i="12" s="1"/>
  <c r="Q26" i="12"/>
  <c r="S26" i="12" s="1"/>
  <c r="Q27" i="12"/>
  <c r="S27" i="12" s="1"/>
  <c r="Q28" i="12"/>
  <c r="S28" i="12" s="1"/>
  <c r="Q29" i="12"/>
  <c r="S29" i="12" s="1"/>
  <c r="Q30" i="12"/>
  <c r="S30" i="12" s="1"/>
  <c r="Q31" i="12"/>
  <c r="S31" i="12" s="1"/>
  <c r="Q32" i="12"/>
  <c r="S32" i="12" s="1"/>
  <c r="Q33" i="12"/>
  <c r="S33" i="12" s="1"/>
  <c r="Q34" i="12"/>
  <c r="S34" i="12" s="1"/>
  <c r="Q35" i="12"/>
  <c r="S35" i="12" s="1"/>
  <c r="Q36" i="12"/>
  <c r="S36" i="12" s="1"/>
  <c r="Q37" i="12"/>
  <c r="S37" i="12" s="1"/>
  <c r="N7" i="12"/>
  <c r="P7" i="12" s="1"/>
  <c r="N8" i="12"/>
  <c r="P8" i="12" s="1"/>
  <c r="N9" i="12"/>
  <c r="P9" i="12" s="1"/>
  <c r="N10" i="12"/>
  <c r="P10" i="12" s="1"/>
  <c r="N11" i="12"/>
  <c r="P11" i="12" s="1"/>
  <c r="N12" i="12"/>
  <c r="P12" i="12" s="1"/>
  <c r="N13" i="12"/>
  <c r="P13" i="12" s="1"/>
  <c r="N14" i="12"/>
  <c r="P14" i="12" s="1"/>
  <c r="P15" i="12"/>
  <c r="P16" i="12"/>
  <c r="N18" i="12"/>
  <c r="P18" i="12" s="1"/>
  <c r="N19" i="12"/>
  <c r="P19" i="12" s="1"/>
  <c r="N20" i="12"/>
  <c r="P20" i="12" s="1"/>
  <c r="N21" i="12"/>
  <c r="P21" i="12" s="1"/>
  <c r="N22" i="12"/>
  <c r="P22" i="12" s="1"/>
  <c r="N23" i="12"/>
  <c r="P23" i="12" s="1"/>
  <c r="N24" i="12"/>
  <c r="P24" i="12" s="1"/>
  <c r="N25" i="12"/>
  <c r="P25" i="12" s="1"/>
  <c r="N26" i="12"/>
  <c r="P26" i="12" s="1"/>
  <c r="N27" i="12"/>
  <c r="P27" i="12" s="1"/>
  <c r="N28" i="12"/>
  <c r="P28" i="12" s="1"/>
  <c r="N29" i="12"/>
  <c r="P29" i="12" s="1"/>
  <c r="N30" i="12"/>
  <c r="P30" i="12" s="1"/>
  <c r="N31" i="12"/>
  <c r="P31" i="12" s="1"/>
  <c r="N32" i="12"/>
  <c r="P32" i="12" s="1"/>
  <c r="N33" i="12"/>
  <c r="P33" i="12" s="1"/>
  <c r="N34" i="12"/>
  <c r="P34" i="12" s="1"/>
  <c r="N35" i="12"/>
  <c r="P35" i="12" s="1"/>
  <c r="N36" i="12"/>
  <c r="P36" i="12" s="1"/>
  <c r="N37" i="12"/>
  <c r="P37" i="12" s="1"/>
  <c r="K7" i="12"/>
  <c r="M7" i="12" s="1"/>
  <c r="K8" i="12"/>
  <c r="M8" i="12" s="1"/>
  <c r="K10" i="12"/>
  <c r="M10" i="12" s="1"/>
  <c r="K11" i="12"/>
  <c r="M11" i="12" s="1"/>
  <c r="K12" i="12"/>
  <c r="M12" i="12" s="1"/>
  <c r="K13" i="12"/>
  <c r="M13" i="12" s="1"/>
  <c r="K14" i="12"/>
  <c r="M14" i="12" s="1"/>
  <c r="K28" i="12"/>
  <c r="M28" i="12" s="1"/>
  <c r="K29" i="12"/>
  <c r="M29" i="12" s="1"/>
  <c r="K30" i="12"/>
  <c r="M30" i="12" s="1"/>
  <c r="K31" i="12"/>
  <c r="M31" i="12" s="1"/>
  <c r="K32" i="12"/>
  <c r="M32" i="12" s="1"/>
  <c r="K33" i="12"/>
  <c r="M33" i="12" s="1"/>
  <c r="K34" i="12"/>
  <c r="M34" i="12" s="1"/>
  <c r="K35" i="12"/>
  <c r="M35" i="12" s="1"/>
  <c r="K36" i="12"/>
  <c r="M36" i="12" s="1"/>
  <c r="K37" i="12"/>
  <c r="M37" i="12" s="1"/>
  <c r="W6" i="12"/>
  <c r="Y6" i="12" s="1"/>
  <c r="T6" i="12"/>
  <c r="V6" i="12" s="1"/>
  <c r="Q6" i="12"/>
  <c r="S6" i="12" s="1"/>
  <c r="N6" i="12"/>
  <c r="P6" i="12" s="1"/>
  <c r="K6" i="12"/>
  <c r="M6" i="12" s="1"/>
  <c r="Z26" i="12" l="1"/>
  <c r="Z18" i="12"/>
  <c r="Z17" i="12"/>
  <c r="Z13" i="12"/>
  <c r="Z9" i="12"/>
  <c r="Z7" i="12"/>
  <c r="Z14" i="12"/>
  <c r="Z10" i="12"/>
  <c r="Z20" i="12"/>
  <c r="Z11" i="12"/>
  <c r="Z25" i="12"/>
  <c r="Z16" i="12"/>
  <c r="Z19" i="12"/>
  <c r="Z15" i="12"/>
  <c r="Z12" i="12"/>
  <c r="Z8" i="12"/>
  <c r="Z24" i="12"/>
  <c r="Z23" i="12"/>
  <c r="Z21" i="12"/>
  <c r="Z22" i="12"/>
  <c r="Z30" i="12"/>
  <c r="Z37" i="12"/>
  <c r="Z35" i="12"/>
  <c r="Z27" i="12"/>
  <c r="Z36" i="12"/>
  <c r="Z29" i="12"/>
  <c r="Z34" i="12"/>
  <c r="Z33" i="12"/>
  <c r="Z28" i="12"/>
  <c r="Z32" i="12"/>
  <c r="Z31" i="12"/>
  <c r="Q6" i="3"/>
  <c r="Q5" i="3"/>
  <c r="Z6" i="12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3" i="3"/>
  <c r="S24" i="3"/>
  <c r="Q6" i="13"/>
  <c r="R6" i="13" s="1"/>
  <c r="U6" i="13"/>
  <c r="Y6" i="13"/>
  <c r="Z6" i="13" s="1"/>
  <c r="AA6" i="13" s="1"/>
  <c r="AC6" i="13"/>
  <c r="Q7" i="13"/>
  <c r="R7" i="13" s="1"/>
  <c r="U7" i="13"/>
  <c r="V7" i="13" s="1"/>
  <c r="Y7" i="13"/>
  <c r="Z7" i="13" s="1"/>
  <c r="AA7" i="13" s="1"/>
  <c r="AC7" i="13"/>
  <c r="H6" i="23" s="1"/>
  <c r="Q8" i="13"/>
  <c r="R8" i="13" s="1"/>
  <c r="U8" i="13"/>
  <c r="V8" i="13" s="1"/>
  <c r="Y8" i="13"/>
  <c r="Z8" i="13" s="1"/>
  <c r="AA8" i="13" s="1"/>
  <c r="AC8" i="13"/>
  <c r="H7" i="23" s="1"/>
  <c r="Q9" i="13"/>
  <c r="R9" i="13" s="1"/>
  <c r="U9" i="13"/>
  <c r="V9" i="13" s="1"/>
  <c r="Y9" i="13"/>
  <c r="Z9" i="13" s="1"/>
  <c r="AA9" i="13" s="1"/>
  <c r="AC9" i="13"/>
  <c r="H8" i="23" s="1"/>
  <c r="Q10" i="13"/>
  <c r="R10" i="13" s="1"/>
  <c r="U10" i="13"/>
  <c r="V10" i="13" s="1"/>
  <c r="Y10" i="13"/>
  <c r="Z10" i="13" s="1"/>
  <c r="AA10" i="13" s="1"/>
  <c r="AC10" i="13"/>
  <c r="H9" i="23" s="1"/>
  <c r="Q11" i="13"/>
  <c r="R11" i="13" s="1"/>
  <c r="U11" i="13"/>
  <c r="V11" i="13" s="1"/>
  <c r="Y11" i="13"/>
  <c r="Z11" i="13" s="1"/>
  <c r="AA11" i="13" s="1"/>
  <c r="AC11" i="13"/>
  <c r="H10" i="23" s="1"/>
  <c r="Q12" i="13"/>
  <c r="R12" i="13" s="1"/>
  <c r="U12" i="13"/>
  <c r="V12" i="13" s="1"/>
  <c r="Y12" i="13"/>
  <c r="Z12" i="13" s="1"/>
  <c r="AA12" i="13" s="1"/>
  <c r="AC12" i="13"/>
  <c r="H11" i="23" s="1"/>
  <c r="Q13" i="13"/>
  <c r="R13" i="13" s="1"/>
  <c r="U13" i="13"/>
  <c r="V13" i="13" s="1"/>
  <c r="Y13" i="13"/>
  <c r="Z13" i="13" s="1"/>
  <c r="AA13" i="13" s="1"/>
  <c r="AC13" i="13"/>
  <c r="H12" i="23" s="1"/>
  <c r="Q14" i="13"/>
  <c r="R14" i="13" s="1"/>
  <c r="U14" i="13"/>
  <c r="V14" i="13" s="1"/>
  <c r="Y14" i="13"/>
  <c r="Z14" i="13" s="1"/>
  <c r="AA14" i="13" s="1"/>
  <c r="AC14" i="13"/>
  <c r="H13" i="23" s="1"/>
  <c r="Q15" i="13"/>
  <c r="R15" i="13" s="1"/>
  <c r="U15" i="13"/>
  <c r="V15" i="13" s="1"/>
  <c r="Y15" i="13"/>
  <c r="Z15" i="13" s="1"/>
  <c r="AA15" i="13" s="1"/>
  <c r="AC15" i="13"/>
  <c r="H14" i="23" s="1"/>
  <c r="Q16" i="13"/>
  <c r="R16" i="13" s="1"/>
  <c r="U16" i="13"/>
  <c r="V16" i="13" s="1"/>
  <c r="Y16" i="13"/>
  <c r="Z16" i="13" s="1"/>
  <c r="AA16" i="13" s="1"/>
  <c r="AC16" i="13"/>
  <c r="H15" i="23" s="1"/>
  <c r="Q17" i="13"/>
  <c r="R17" i="13" s="1"/>
  <c r="U17" i="13"/>
  <c r="V17" i="13" s="1"/>
  <c r="Y17" i="13"/>
  <c r="Z17" i="13" s="1"/>
  <c r="AA17" i="13" s="1"/>
  <c r="AC17" i="13"/>
  <c r="H16" i="23" s="1"/>
  <c r="R18" i="13"/>
  <c r="U18" i="13"/>
  <c r="V18" i="13" s="1"/>
  <c r="Y18" i="13"/>
  <c r="Z18" i="13" s="1"/>
  <c r="AA18" i="13" s="1"/>
  <c r="AC18" i="13"/>
  <c r="H17" i="23" s="1"/>
  <c r="R19" i="13"/>
  <c r="U19" i="13"/>
  <c r="V19" i="13" s="1"/>
  <c r="Y19" i="13"/>
  <c r="Z19" i="13" s="1"/>
  <c r="AA19" i="13" s="1"/>
  <c r="Q20" i="13"/>
  <c r="R20" i="13" s="1"/>
  <c r="U20" i="13"/>
  <c r="V20" i="13" s="1"/>
  <c r="Y20" i="13"/>
  <c r="Z20" i="13" s="1"/>
  <c r="AA20" i="13" s="1"/>
  <c r="Q21" i="13"/>
  <c r="R21" i="13" s="1"/>
  <c r="V21" i="13"/>
  <c r="Y21" i="13"/>
  <c r="Z21" i="13" s="1"/>
  <c r="AA21" i="13" s="1"/>
  <c r="Q22" i="13"/>
  <c r="R22" i="13" s="1"/>
  <c r="V22" i="13"/>
  <c r="Y22" i="13"/>
  <c r="Z22" i="13" s="1"/>
  <c r="AA22" i="13" s="1"/>
  <c r="Q23" i="13"/>
  <c r="R23" i="13" s="1"/>
  <c r="V23" i="13"/>
  <c r="Y23" i="13"/>
  <c r="Z23" i="13" s="1"/>
  <c r="AA23" i="13" s="1"/>
  <c r="Q24" i="13"/>
  <c r="R24" i="13" s="1"/>
  <c r="V24" i="13"/>
  <c r="Y24" i="13"/>
  <c r="Z24" i="13" s="1"/>
  <c r="AA24" i="13" s="1"/>
  <c r="AC24" i="13"/>
  <c r="H23" i="23" s="1"/>
  <c r="Q25" i="13"/>
  <c r="R25" i="13" s="1"/>
  <c r="U25" i="13"/>
  <c r="V25" i="13" s="1"/>
  <c r="Y25" i="13"/>
  <c r="Z25" i="13" s="1"/>
  <c r="AA25" i="13" s="1"/>
  <c r="AC25" i="13"/>
  <c r="H24" i="23" s="1"/>
  <c r="Q26" i="13"/>
  <c r="R26" i="13" s="1"/>
  <c r="U26" i="13"/>
  <c r="V26" i="13" s="1"/>
  <c r="Y26" i="13"/>
  <c r="Z26" i="13" s="1"/>
  <c r="AA26" i="13" s="1"/>
  <c r="AC26" i="13"/>
  <c r="Q27" i="13"/>
  <c r="R27" i="13" s="1"/>
  <c r="U27" i="13"/>
  <c r="V27" i="13" s="1"/>
  <c r="Y27" i="13"/>
  <c r="Z27" i="13" s="1"/>
  <c r="AA27" i="13" s="1"/>
  <c r="AC27" i="13"/>
  <c r="Q28" i="13"/>
  <c r="R28" i="13" s="1"/>
  <c r="U28" i="13"/>
  <c r="V28" i="13" s="1"/>
  <c r="Y28" i="13"/>
  <c r="Z28" i="13" s="1"/>
  <c r="AA28" i="13" s="1"/>
  <c r="H25" i="23"/>
  <c r="U25" i="3"/>
  <c r="X19" i="3"/>
  <c r="X20" i="3"/>
  <c r="X24" i="3"/>
  <c r="AA21" i="3"/>
  <c r="AA22" i="3"/>
  <c r="AA23" i="3"/>
  <c r="AA24" i="3"/>
  <c r="AA25" i="3"/>
  <c r="AM18" i="3"/>
  <c r="AM19" i="3"/>
  <c r="AM20" i="3"/>
  <c r="AM21" i="3"/>
  <c r="AM22" i="3"/>
  <c r="AM23" i="3"/>
  <c r="AM24" i="3"/>
  <c r="AM25" i="3"/>
  <c r="AM26" i="3"/>
  <c r="C7" i="11"/>
  <c r="C11" i="11"/>
  <c r="C15" i="11"/>
  <c r="C19" i="11"/>
  <c r="C23" i="11"/>
  <c r="C6" i="11"/>
  <c r="C8" i="11"/>
  <c r="C9" i="11"/>
  <c r="C10" i="11"/>
  <c r="C12" i="11"/>
  <c r="C13" i="11"/>
  <c r="C14" i="11"/>
  <c r="C16" i="11"/>
  <c r="C17" i="11"/>
  <c r="C18" i="11"/>
  <c r="C20" i="11"/>
  <c r="C21" i="11"/>
  <c r="C22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AN23" i="3" l="1"/>
  <c r="G22" i="23" s="1"/>
  <c r="AN22" i="3"/>
  <c r="G21" i="23" s="1"/>
  <c r="AN21" i="3"/>
  <c r="G20" i="23" s="1"/>
  <c r="AN24" i="3"/>
  <c r="G23" i="23" s="1"/>
  <c r="AM37" i="3"/>
  <c r="AM36" i="3"/>
  <c r="AM35" i="3"/>
  <c r="AM34" i="3"/>
  <c r="AM33" i="3"/>
  <c r="AM32" i="3"/>
  <c r="AM31" i="3"/>
  <c r="AM30" i="3"/>
  <c r="AM29" i="3"/>
  <c r="AM28" i="3"/>
  <c r="AM27" i="3"/>
  <c r="AM17" i="3"/>
  <c r="AM16" i="3"/>
  <c r="AM15" i="3"/>
  <c r="AM14" i="3"/>
  <c r="AM13" i="3"/>
  <c r="AM12" i="3"/>
  <c r="AM11" i="3"/>
  <c r="AM10" i="3"/>
  <c r="AM9" i="3"/>
  <c r="AM8" i="3"/>
  <c r="AM7" i="3"/>
  <c r="AM6" i="3"/>
  <c r="AG9" i="3"/>
  <c r="AG8" i="3"/>
  <c r="AG7" i="3"/>
  <c r="AG6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16" i="3"/>
  <c r="AA15" i="3"/>
  <c r="AA13" i="3"/>
  <c r="AA12" i="3"/>
  <c r="AA11" i="3"/>
  <c r="AA10" i="3"/>
  <c r="AA9" i="3"/>
  <c r="AA8" i="3"/>
  <c r="AA7" i="3"/>
  <c r="AA6" i="3"/>
  <c r="X37" i="3"/>
  <c r="X35" i="3"/>
  <c r="X34" i="3"/>
  <c r="X33" i="3"/>
  <c r="X32" i="3"/>
  <c r="X31" i="3"/>
  <c r="X30" i="3"/>
  <c r="X29" i="3"/>
  <c r="X28" i="3"/>
  <c r="X27" i="3"/>
  <c r="X26" i="3"/>
  <c r="X25" i="3"/>
  <c r="X18" i="3"/>
  <c r="X17" i="3"/>
  <c r="X16" i="3"/>
  <c r="X15" i="3"/>
  <c r="X11" i="3"/>
  <c r="X10" i="3"/>
  <c r="X8" i="3"/>
  <c r="X7" i="3"/>
  <c r="X6" i="3"/>
  <c r="U26" i="3"/>
  <c r="U27" i="3"/>
  <c r="U28" i="3"/>
  <c r="U29" i="3"/>
  <c r="U30" i="3"/>
  <c r="U31" i="3"/>
  <c r="U32" i="3"/>
  <c r="U33" i="3"/>
  <c r="U34" i="3"/>
  <c r="U35" i="3"/>
  <c r="U36" i="3"/>
  <c r="U37" i="3"/>
  <c r="Q37" i="3"/>
  <c r="Q36" i="3"/>
  <c r="Q35" i="3"/>
  <c r="Q34" i="3"/>
  <c r="Q33" i="3"/>
  <c r="Q32" i="3"/>
  <c r="Q31" i="3"/>
  <c r="Q30" i="3"/>
  <c r="Q29" i="3"/>
  <c r="Q2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K37" i="3"/>
  <c r="K36" i="3"/>
  <c r="K35" i="3"/>
  <c r="K34" i="3"/>
  <c r="K33" i="3"/>
  <c r="K32" i="3"/>
  <c r="K31" i="3"/>
  <c r="K30" i="3"/>
  <c r="K29" i="3"/>
  <c r="K28" i="3"/>
  <c r="H28" i="3"/>
  <c r="H29" i="3"/>
  <c r="H30" i="3"/>
  <c r="H31" i="3"/>
  <c r="H32" i="3"/>
  <c r="H33" i="3"/>
  <c r="H34" i="3"/>
  <c r="H35" i="3"/>
  <c r="H36" i="3"/>
  <c r="H37" i="3"/>
  <c r="E18" i="3"/>
  <c r="F17" i="23" s="1"/>
  <c r="E19" i="3"/>
  <c r="F18" i="23" s="1"/>
  <c r="F19" i="23"/>
  <c r="E22" i="3"/>
  <c r="F21" i="23" s="1"/>
  <c r="E23" i="3"/>
  <c r="F22" i="23" s="1"/>
  <c r="E24" i="3"/>
  <c r="F23" i="23" s="1"/>
  <c r="E25" i="3"/>
  <c r="F24" i="23" s="1"/>
  <c r="E26" i="3"/>
  <c r="F25" i="23" s="1"/>
  <c r="E27" i="3"/>
  <c r="E28" i="3"/>
  <c r="E29" i="3"/>
  <c r="E30" i="3"/>
  <c r="E31" i="3"/>
  <c r="E32" i="3"/>
  <c r="E33" i="3"/>
  <c r="E34" i="3"/>
  <c r="E35" i="3"/>
  <c r="E36" i="3"/>
  <c r="E37" i="3"/>
  <c r="E10" i="3"/>
  <c r="E11" i="3"/>
  <c r="E12" i="3"/>
  <c r="E13" i="3"/>
  <c r="F13" i="23"/>
  <c r="F14" i="23"/>
  <c r="E17" i="3"/>
  <c r="F16" i="23" s="1"/>
  <c r="AN16" i="3" l="1"/>
  <c r="F34" i="23"/>
  <c r="K36" i="10"/>
  <c r="F33" i="23"/>
  <c r="K35" i="10"/>
  <c r="F32" i="23"/>
  <c r="K34" i="10"/>
  <c r="F31" i="23"/>
  <c r="K33" i="10"/>
  <c r="F30" i="23"/>
  <c r="K32" i="10"/>
  <c r="F29" i="23"/>
  <c r="K31" i="10"/>
  <c r="F28" i="23"/>
  <c r="K30" i="10"/>
  <c r="F27" i="23"/>
  <c r="K29" i="10"/>
  <c r="F26" i="23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F12" i="23"/>
  <c r="K12" i="10"/>
  <c r="F11" i="23"/>
  <c r="K11" i="10"/>
  <c r="F10" i="23"/>
  <c r="K10" i="10"/>
  <c r="F9" i="23"/>
  <c r="K9" i="10"/>
  <c r="AN29" i="3"/>
  <c r="AN31" i="3"/>
  <c r="G28" i="23" s="1"/>
  <c r="AN30" i="3"/>
  <c r="G27" i="23" s="1"/>
  <c r="G34" i="24"/>
  <c r="B5" i="11" l="1"/>
  <c r="AH7" i="13"/>
  <c r="AH8" i="13"/>
  <c r="AH9" i="13"/>
  <c r="AH10" i="13"/>
  <c r="AH11" i="13"/>
  <c r="AH12" i="13"/>
  <c r="AH13" i="13"/>
  <c r="AH14" i="13"/>
  <c r="AH15" i="13"/>
  <c r="AH16" i="13"/>
  <c r="AH17" i="13"/>
  <c r="AH18" i="13"/>
  <c r="AH19" i="13"/>
  <c r="AH20" i="13"/>
  <c r="AH21" i="13"/>
  <c r="AH22" i="13"/>
  <c r="AH23" i="13"/>
  <c r="AH24" i="13"/>
  <c r="AH25" i="13"/>
  <c r="AH26" i="13"/>
  <c r="AH27" i="13"/>
  <c r="AH28" i="13"/>
  <c r="AH29" i="13"/>
  <c r="AH30" i="13"/>
  <c r="AH31" i="13"/>
  <c r="AH32" i="13"/>
  <c r="AH33" i="13"/>
  <c r="AH34" i="13"/>
  <c r="AH35" i="13"/>
  <c r="AH36" i="13"/>
  <c r="AH6" i="13"/>
  <c r="AG7" i="13"/>
  <c r="AG8" i="13"/>
  <c r="AG9" i="13"/>
  <c r="AG10" i="13"/>
  <c r="AG11" i="13"/>
  <c r="AG12" i="13"/>
  <c r="AG13" i="13"/>
  <c r="AG14" i="13"/>
  <c r="AG15" i="13"/>
  <c r="AG16" i="13"/>
  <c r="AG24" i="13"/>
  <c r="AG25" i="13"/>
  <c r="AG26" i="13"/>
  <c r="AG27" i="13"/>
  <c r="AG28" i="13"/>
  <c r="AG29" i="13"/>
  <c r="AG30" i="13"/>
  <c r="AG31" i="13"/>
  <c r="AG32" i="13"/>
  <c r="AG33" i="13"/>
  <c r="AG34" i="13"/>
  <c r="AG35" i="13"/>
  <c r="AG36" i="13"/>
  <c r="AG6" i="13"/>
  <c r="AF7" i="13"/>
  <c r="AF8" i="13"/>
  <c r="AF9" i="13"/>
  <c r="AF10" i="13"/>
  <c r="AF11" i="13"/>
  <c r="AF12" i="13"/>
  <c r="AF13" i="13"/>
  <c r="AF14" i="13"/>
  <c r="AF15" i="13"/>
  <c r="AF16" i="13"/>
  <c r="AF17" i="13"/>
  <c r="AF18" i="13"/>
  <c r="AF19" i="13"/>
  <c r="AF20" i="13"/>
  <c r="AF21" i="13"/>
  <c r="AF22" i="13"/>
  <c r="AF23" i="13"/>
  <c r="AF24" i="13"/>
  <c r="AF25" i="13"/>
  <c r="AF26" i="13"/>
  <c r="AF27" i="13"/>
  <c r="AF28" i="13"/>
  <c r="AF29" i="13"/>
  <c r="AF30" i="13"/>
  <c r="AF31" i="13"/>
  <c r="AF32" i="13"/>
  <c r="AF33" i="13"/>
  <c r="AF34" i="13"/>
  <c r="AF35" i="13"/>
  <c r="AF36" i="13"/>
  <c r="AF6" i="13"/>
  <c r="J9" i="13"/>
  <c r="L9" i="13" s="1"/>
  <c r="J10" i="13"/>
  <c r="L10" i="13" s="1"/>
  <c r="J11" i="13"/>
  <c r="L11" i="13" s="1"/>
  <c r="J12" i="13"/>
  <c r="L12" i="13" s="1"/>
  <c r="J13" i="13"/>
  <c r="L13" i="13" s="1"/>
  <c r="J14" i="13"/>
  <c r="J15" i="13"/>
  <c r="J16" i="13"/>
  <c r="J17" i="13"/>
  <c r="J18" i="13"/>
  <c r="J19" i="13"/>
  <c r="J20" i="13"/>
  <c r="J21" i="13"/>
  <c r="J22" i="13"/>
  <c r="J23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6" i="13"/>
  <c r="A1" i="13" s="1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4" i="18"/>
  <c r="B5" i="18"/>
  <c r="H5" i="18" s="1"/>
  <c r="M5" i="18" s="1"/>
  <c r="B6" i="18"/>
  <c r="H6" i="18" s="1"/>
  <c r="M6" i="18" s="1"/>
  <c r="B7" i="18"/>
  <c r="H7" i="18" s="1"/>
  <c r="M7" i="18" s="1"/>
  <c r="B8" i="18"/>
  <c r="H8" i="18" s="1"/>
  <c r="M8" i="18" s="1"/>
  <c r="B9" i="18"/>
  <c r="H9" i="18" s="1"/>
  <c r="M9" i="18" s="1"/>
  <c r="B10" i="18"/>
  <c r="H10" i="18" s="1"/>
  <c r="M10" i="18" s="1"/>
  <c r="B11" i="18"/>
  <c r="H11" i="18" s="1"/>
  <c r="M11" i="18" s="1"/>
  <c r="B12" i="18"/>
  <c r="B13" i="18"/>
  <c r="H13" i="18" s="1"/>
  <c r="M13" i="18" s="1"/>
  <c r="B14" i="18"/>
  <c r="H14" i="18" s="1"/>
  <c r="M14" i="18" s="1"/>
  <c r="B15" i="18"/>
  <c r="H15" i="18" s="1"/>
  <c r="M15" i="18" s="1"/>
  <c r="B16" i="18"/>
  <c r="H16" i="18" s="1"/>
  <c r="M16" i="18" s="1"/>
  <c r="B17" i="18"/>
  <c r="H17" i="18" s="1"/>
  <c r="M17" i="18" s="1"/>
  <c r="B18" i="18"/>
  <c r="H18" i="18" s="1"/>
  <c r="M18" i="18" s="1"/>
  <c r="B19" i="18"/>
  <c r="H19" i="18" s="1"/>
  <c r="M19" i="18" s="1"/>
  <c r="B20" i="18"/>
  <c r="H20" i="18" s="1"/>
  <c r="M20" i="18" s="1"/>
  <c r="B21" i="18"/>
  <c r="H21" i="18" s="1"/>
  <c r="M21" i="18" s="1"/>
  <c r="B22" i="18"/>
  <c r="H22" i="18" s="1"/>
  <c r="M22" i="18" s="1"/>
  <c r="B23" i="18"/>
  <c r="H23" i="18" s="1"/>
  <c r="M23" i="18" s="1"/>
  <c r="B24" i="18"/>
  <c r="H24" i="18" s="1"/>
  <c r="M24" i="18" s="1"/>
  <c r="T24" i="18" s="1"/>
  <c r="B25" i="18"/>
  <c r="H25" i="18" s="1"/>
  <c r="M25" i="18" s="1"/>
  <c r="B26" i="18"/>
  <c r="H26" i="18" s="1"/>
  <c r="M26" i="18" s="1"/>
  <c r="B27" i="18"/>
  <c r="H27" i="18" s="1"/>
  <c r="M27" i="18" s="1"/>
  <c r="B28" i="18"/>
  <c r="H28" i="18" s="1"/>
  <c r="M28" i="18" s="1"/>
  <c r="B29" i="18"/>
  <c r="H29" i="18" s="1"/>
  <c r="M29" i="18" s="1"/>
  <c r="B30" i="18"/>
  <c r="H30" i="18" s="1"/>
  <c r="M30" i="18" s="1"/>
  <c r="B31" i="18"/>
  <c r="H31" i="18" s="1"/>
  <c r="M31" i="18" s="1"/>
  <c r="B32" i="18"/>
  <c r="H32" i="18" s="1"/>
  <c r="M32" i="18" s="1"/>
  <c r="B33" i="18"/>
  <c r="H33" i="18" s="1"/>
  <c r="M33" i="18" s="1"/>
  <c r="B4" i="18"/>
  <c r="H4" i="18" s="1"/>
  <c r="M4" i="18" s="1"/>
  <c r="T4" i="18" s="1"/>
  <c r="Y4" i="18" s="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C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5" i="11"/>
  <c r="A1" i="11" s="1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6" i="12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6" i="3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6" i="14"/>
  <c r="K7" i="14"/>
  <c r="K8" i="14"/>
  <c r="K9" i="14"/>
  <c r="K10" i="14"/>
  <c r="K11" i="14"/>
  <c r="K12" i="14"/>
  <c r="K13" i="14"/>
  <c r="K14" i="14"/>
  <c r="K15" i="14"/>
  <c r="K16" i="14"/>
  <c r="K17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6" i="14"/>
  <c r="B7" i="14"/>
  <c r="B8" i="14"/>
  <c r="B9" i="14"/>
  <c r="B10" i="14"/>
  <c r="B11" i="14"/>
  <c r="B12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R37" i="14" s="1"/>
  <c r="B6" i="14"/>
  <c r="O39" i="10"/>
  <c r="P39" i="10" s="1"/>
  <c r="M38" i="10"/>
  <c r="M39" i="10" s="1"/>
  <c r="B38" i="10"/>
  <c r="B39" i="10" s="1"/>
  <c r="C39" i="10" s="1"/>
  <c r="Q36" i="10"/>
  <c r="V36" i="10" s="1"/>
  <c r="O35" i="10"/>
  <c r="N35" i="10"/>
  <c r="M35" i="10"/>
  <c r="J35" i="10"/>
  <c r="P35" i="10" s="1"/>
  <c r="H35" i="10"/>
  <c r="D35" i="10"/>
  <c r="O34" i="10"/>
  <c r="N34" i="10"/>
  <c r="M34" i="10"/>
  <c r="J34" i="10"/>
  <c r="P34" i="10" s="1"/>
  <c r="H34" i="10"/>
  <c r="D34" i="10"/>
  <c r="O33" i="10"/>
  <c r="N33" i="10"/>
  <c r="M33" i="10"/>
  <c r="J33" i="10"/>
  <c r="P33" i="10" s="1"/>
  <c r="H33" i="10"/>
  <c r="D33" i="10"/>
  <c r="O32" i="10"/>
  <c r="N32" i="10"/>
  <c r="M32" i="10"/>
  <c r="J32" i="10"/>
  <c r="P32" i="10" s="1"/>
  <c r="H32" i="10"/>
  <c r="D32" i="10"/>
  <c r="O31" i="10"/>
  <c r="N31" i="10"/>
  <c r="M31" i="10"/>
  <c r="J31" i="10"/>
  <c r="P31" i="10" s="1"/>
  <c r="H31" i="10"/>
  <c r="D31" i="10"/>
  <c r="O30" i="10"/>
  <c r="N30" i="10"/>
  <c r="M30" i="10"/>
  <c r="J30" i="10"/>
  <c r="P30" i="10" s="1"/>
  <c r="H30" i="10"/>
  <c r="D30" i="10"/>
  <c r="O29" i="10"/>
  <c r="N29" i="10"/>
  <c r="M29" i="10"/>
  <c r="J29" i="10"/>
  <c r="P29" i="10" s="1"/>
  <c r="H29" i="10"/>
  <c r="D29" i="10"/>
  <c r="O28" i="10"/>
  <c r="N28" i="10"/>
  <c r="M28" i="10"/>
  <c r="J28" i="10"/>
  <c r="P28" i="10" s="1"/>
  <c r="H28" i="10"/>
  <c r="D28" i="10"/>
  <c r="O27" i="10"/>
  <c r="N27" i="10"/>
  <c r="M27" i="10"/>
  <c r="J27" i="10"/>
  <c r="P27" i="10" s="1"/>
  <c r="H27" i="10"/>
  <c r="D27" i="10"/>
  <c r="O26" i="10"/>
  <c r="N26" i="10"/>
  <c r="M26" i="10"/>
  <c r="J26" i="10"/>
  <c r="P26" i="10" s="1"/>
  <c r="H26" i="10"/>
  <c r="D26" i="10"/>
  <c r="O25" i="10"/>
  <c r="N25" i="10"/>
  <c r="M25" i="10"/>
  <c r="J25" i="10"/>
  <c r="P25" i="10" s="1"/>
  <c r="H25" i="10"/>
  <c r="D25" i="10"/>
  <c r="O24" i="10"/>
  <c r="N24" i="10"/>
  <c r="M24" i="10"/>
  <c r="J24" i="10"/>
  <c r="P24" i="10" s="1"/>
  <c r="H24" i="10"/>
  <c r="D24" i="10"/>
  <c r="O23" i="10"/>
  <c r="N23" i="10"/>
  <c r="M23" i="10"/>
  <c r="J23" i="10"/>
  <c r="P23" i="10" s="1"/>
  <c r="H23" i="10"/>
  <c r="D23" i="10"/>
  <c r="O22" i="10"/>
  <c r="N22" i="10"/>
  <c r="M22" i="10"/>
  <c r="J22" i="10"/>
  <c r="P22" i="10" s="1"/>
  <c r="H22" i="10"/>
  <c r="D22" i="10"/>
  <c r="O21" i="10"/>
  <c r="N21" i="10"/>
  <c r="M21" i="10"/>
  <c r="J21" i="10"/>
  <c r="P21" i="10" s="1"/>
  <c r="H21" i="10"/>
  <c r="D21" i="10"/>
  <c r="O20" i="10"/>
  <c r="N20" i="10"/>
  <c r="M20" i="10"/>
  <c r="J20" i="10"/>
  <c r="P20" i="10" s="1"/>
  <c r="H20" i="10"/>
  <c r="D20" i="10"/>
  <c r="O19" i="10"/>
  <c r="N19" i="10"/>
  <c r="M19" i="10"/>
  <c r="J19" i="10"/>
  <c r="P19" i="10" s="1"/>
  <c r="H19" i="10"/>
  <c r="D19" i="10"/>
  <c r="O18" i="10"/>
  <c r="N18" i="10"/>
  <c r="M18" i="10"/>
  <c r="J18" i="10"/>
  <c r="P18" i="10" s="1"/>
  <c r="H18" i="10"/>
  <c r="D18" i="10"/>
  <c r="O17" i="10"/>
  <c r="N17" i="10"/>
  <c r="M17" i="10"/>
  <c r="J17" i="10"/>
  <c r="P17" i="10" s="1"/>
  <c r="H17" i="10"/>
  <c r="D17" i="10"/>
  <c r="O16" i="10"/>
  <c r="N16" i="10"/>
  <c r="M16" i="10"/>
  <c r="J16" i="10"/>
  <c r="P16" i="10" s="1"/>
  <c r="H16" i="10"/>
  <c r="D16" i="10"/>
  <c r="O15" i="10"/>
  <c r="N15" i="10"/>
  <c r="M15" i="10"/>
  <c r="J15" i="10"/>
  <c r="P15" i="10" s="1"/>
  <c r="H15" i="10"/>
  <c r="D15" i="10"/>
  <c r="O14" i="10"/>
  <c r="N14" i="10"/>
  <c r="M14" i="10"/>
  <c r="J14" i="10"/>
  <c r="P14" i="10" s="1"/>
  <c r="H14" i="10"/>
  <c r="I14" i="10"/>
  <c r="Q14" i="10" s="1"/>
  <c r="D14" i="10"/>
  <c r="O13" i="10"/>
  <c r="N13" i="10"/>
  <c r="M13" i="10"/>
  <c r="J13" i="10"/>
  <c r="P13" i="10" s="1"/>
  <c r="H13" i="10"/>
  <c r="D13" i="10"/>
  <c r="O12" i="10"/>
  <c r="N12" i="10"/>
  <c r="M12" i="10"/>
  <c r="J12" i="10"/>
  <c r="P12" i="10" s="1"/>
  <c r="H12" i="10"/>
  <c r="D12" i="10"/>
  <c r="O11" i="10"/>
  <c r="N11" i="10"/>
  <c r="M11" i="10"/>
  <c r="J11" i="10"/>
  <c r="P11" i="10" s="1"/>
  <c r="H11" i="10"/>
  <c r="D11" i="10"/>
  <c r="O10" i="10"/>
  <c r="N10" i="10"/>
  <c r="M10" i="10"/>
  <c r="J10" i="10"/>
  <c r="P10" i="10" s="1"/>
  <c r="H10" i="10"/>
  <c r="D10" i="10"/>
  <c r="O9" i="10"/>
  <c r="N9" i="10"/>
  <c r="M9" i="10"/>
  <c r="J9" i="10"/>
  <c r="P9" i="10" s="1"/>
  <c r="H9" i="10"/>
  <c r="D9" i="10"/>
  <c r="O8" i="10"/>
  <c r="N8" i="10"/>
  <c r="M8" i="10"/>
  <c r="J8" i="10"/>
  <c r="P8" i="10" s="1"/>
  <c r="H8" i="10"/>
  <c r="D8" i="10"/>
  <c r="O7" i="10"/>
  <c r="N7" i="10"/>
  <c r="M7" i="10"/>
  <c r="J7" i="10"/>
  <c r="P7" i="10" s="1"/>
  <c r="H7" i="10"/>
  <c r="D7" i="10"/>
  <c r="O6" i="10"/>
  <c r="N6" i="10"/>
  <c r="M6" i="10"/>
  <c r="J6" i="10"/>
  <c r="P6" i="10" s="1"/>
  <c r="H6" i="10"/>
  <c r="D6" i="10"/>
  <c r="X5" i="10"/>
  <c r="X6" i="10" s="1"/>
  <c r="X7" i="10" s="1"/>
  <c r="O5" i="10"/>
  <c r="N5" i="10"/>
  <c r="M5" i="10"/>
  <c r="T5" i="10"/>
  <c r="J5" i="10"/>
  <c r="P5" i="10" s="1"/>
  <c r="H5" i="10"/>
  <c r="I5" i="10"/>
  <c r="Q5" i="10" s="1"/>
  <c r="D5" i="10"/>
  <c r="C32" i="9"/>
  <c r="B32" i="9"/>
  <c r="C31" i="9"/>
  <c r="B31" i="9"/>
  <c r="C30" i="9"/>
  <c r="B30" i="9"/>
  <c r="C29" i="9"/>
  <c r="B29" i="9"/>
  <c r="C28" i="9"/>
  <c r="B28" i="9"/>
  <c r="C27" i="9"/>
  <c r="B27" i="9"/>
  <c r="C26" i="9"/>
  <c r="B26" i="9"/>
  <c r="C25" i="9"/>
  <c r="B25" i="9"/>
  <c r="C24" i="9"/>
  <c r="B24" i="9"/>
  <c r="C23" i="9"/>
  <c r="B23" i="9"/>
  <c r="C22" i="9"/>
  <c r="B22" i="9"/>
  <c r="C21" i="9"/>
  <c r="B21" i="9"/>
  <c r="C20" i="9"/>
  <c r="B20" i="9"/>
  <c r="C19" i="9"/>
  <c r="B19" i="9"/>
  <c r="C18" i="9"/>
  <c r="B18" i="9"/>
  <c r="C17" i="9"/>
  <c r="B17" i="9"/>
  <c r="C16" i="9"/>
  <c r="B16" i="9"/>
  <c r="C15" i="9"/>
  <c r="B15" i="9"/>
  <c r="C14" i="9"/>
  <c r="B14" i="9"/>
  <c r="C13" i="9"/>
  <c r="B13" i="9"/>
  <c r="C12" i="9"/>
  <c r="B12" i="9"/>
  <c r="C11" i="9"/>
  <c r="B11" i="9"/>
  <c r="C10" i="9"/>
  <c r="B10" i="9"/>
  <c r="C9" i="9"/>
  <c r="B9" i="9"/>
  <c r="C8" i="9"/>
  <c r="B8" i="9"/>
  <c r="C7" i="9"/>
  <c r="B7" i="9"/>
  <c r="C6" i="9"/>
  <c r="B6" i="9"/>
  <c r="C5" i="9"/>
  <c r="B5" i="9"/>
  <c r="C4" i="9"/>
  <c r="B4" i="9"/>
  <c r="C3" i="9"/>
  <c r="B3" i="9"/>
  <c r="C2" i="9"/>
  <c r="B2" i="9"/>
  <c r="C32" i="8"/>
  <c r="B32" i="8"/>
  <c r="C31" i="8"/>
  <c r="B31" i="8"/>
  <c r="C30" i="8"/>
  <c r="B30" i="8"/>
  <c r="C29" i="8"/>
  <c r="B29" i="8"/>
  <c r="C28" i="8"/>
  <c r="B28" i="8"/>
  <c r="C27" i="8"/>
  <c r="B27" i="8"/>
  <c r="C26" i="8"/>
  <c r="B26" i="8"/>
  <c r="C25" i="8"/>
  <c r="B25" i="8"/>
  <c r="C24" i="8"/>
  <c r="B24" i="8"/>
  <c r="C23" i="8"/>
  <c r="B23" i="8"/>
  <c r="C22" i="8"/>
  <c r="B22" i="8"/>
  <c r="C21" i="8"/>
  <c r="B21" i="8"/>
  <c r="C20" i="8"/>
  <c r="B20" i="8"/>
  <c r="C19" i="8"/>
  <c r="B19" i="8"/>
  <c r="C18" i="8"/>
  <c r="B18" i="8"/>
  <c r="C17" i="8"/>
  <c r="B17" i="8"/>
  <c r="C16" i="8"/>
  <c r="B16" i="8"/>
  <c r="C15" i="8"/>
  <c r="B15" i="8"/>
  <c r="C14" i="8"/>
  <c r="B14" i="8"/>
  <c r="C13" i="8"/>
  <c r="B13" i="8"/>
  <c r="C12" i="8"/>
  <c r="B12" i="8"/>
  <c r="C11" i="8"/>
  <c r="B11" i="8"/>
  <c r="C10" i="8"/>
  <c r="B10" i="8"/>
  <c r="C9" i="8"/>
  <c r="B9" i="8"/>
  <c r="C8" i="8"/>
  <c r="B8" i="8"/>
  <c r="C7" i="8"/>
  <c r="B7" i="8"/>
  <c r="C6" i="8"/>
  <c r="B6" i="8"/>
  <c r="C5" i="8"/>
  <c r="B5" i="8"/>
  <c r="C4" i="8"/>
  <c r="B4" i="8"/>
  <c r="C3" i="8"/>
  <c r="B3" i="8"/>
  <c r="C2" i="8"/>
  <c r="B2" i="8"/>
  <c r="L36" i="11"/>
  <c r="L34" i="11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C3" i="7"/>
  <c r="B3" i="7"/>
  <c r="E2" i="7"/>
  <c r="D2" i="7"/>
  <c r="C2" i="7"/>
  <c r="B2" i="7"/>
  <c r="D36" i="11"/>
  <c r="M35" i="11"/>
  <c r="D35" i="11"/>
  <c r="M34" i="11"/>
  <c r="D34" i="11"/>
  <c r="M33" i="11"/>
  <c r="D33" i="11"/>
  <c r="M32" i="11"/>
  <c r="D32" i="11"/>
  <c r="M31" i="11"/>
  <c r="D31" i="11"/>
  <c r="M30" i="11"/>
  <c r="D30" i="11"/>
  <c r="M29" i="11"/>
  <c r="D29" i="11"/>
  <c r="M28" i="11"/>
  <c r="D28" i="11"/>
  <c r="M27" i="11"/>
  <c r="D27" i="11"/>
  <c r="M26" i="11"/>
  <c r="D26" i="11"/>
  <c r="M25" i="11"/>
  <c r="D25" i="11"/>
  <c r="M24" i="11"/>
  <c r="D24" i="11"/>
  <c r="M23" i="11"/>
  <c r="D23" i="11"/>
  <c r="M22" i="11"/>
  <c r="D22" i="11"/>
  <c r="M21" i="11"/>
  <c r="D21" i="11"/>
  <c r="M20" i="11"/>
  <c r="D20" i="11"/>
  <c r="M19" i="11"/>
  <c r="D19" i="11"/>
  <c r="M18" i="11"/>
  <c r="D18" i="11"/>
  <c r="M17" i="11"/>
  <c r="D17" i="11"/>
  <c r="M16" i="11"/>
  <c r="D16" i="11"/>
  <c r="M15" i="11"/>
  <c r="D15" i="11"/>
  <c r="M14" i="11"/>
  <c r="D14" i="11"/>
  <c r="M13" i="11"/>
  <c r="D13" i="11"/>
  <c r="M12" i="11"/>
  <c r="D12" i="11"/>
  <c r="M11" i="11"/>
  <c r="D11" i="11"/>
  <c r="M10" i="11"/>
  <c r="D10" i="11"/>
  <c r="M9" i="11"/>
  <c r="D9" i="11"/>
  <c r="M8" i="11"/>
  <c r="D8" i="11"/>
  <c r="M7" i="11"/>
  <c r="D7" i="11"/>
  <c r="M6" i="11"/>
  <c r="D6" i="11"/>
  <c r="M5" i="11"/>
  <c r="D5" i="11"/>
  <c r="V35" i="18"/>
  <c r="X35" i="18" s="1"/>
  <c r="D35" i="18"/>
  <c r="B35" i="18"/>
  <c r="H35" i="18" s="1"/>
  <c r="M35" i="18" s="1"/>
  <c r="T35" i="18" s="1"/>
  <c r="Y35" i="18" s="1"/>
  <c r="A35" i="18"/>
  <c r="V34" i="18"/>
  <c r="X34" i="18" s="1"/>
  <c r="D34" i="18"/>
  <c r="F34" i="18" s="1"/>
  <c r="I33" i="23" s="1"/>
  <c r="H34" i="18"/>
  <c r="M34" i="18" s="1"/>
  <c r="V33" i="18"/>
  <c r="X33" i="18" s="1"/>
  <c r="D33" i="18"/>
  <c r="F33" i="18" s="1"/>
  <c r="I32" i="23" s="1"/>
  <c r="V32" i="18"/>
  <c r="D32" i="18"/>
  <c r="F32" i="18" s="1"/>
  <c r="V31" i="18"/>
  <c r="D31" i="18"/>
  <c r="F31" i="18" s="1"/>
  <c r="I30" i="23" s="1"/>
  <c r="V30" i="18"/>
  <c r="X30" i="18" s="1"/>
  <c r="D30" i="18"/>
  <c r="F30" i="18" s="1"/>
  <c r="I29" i="23" s="1"/>
  <c r="V29" i="18"/>
  <c r="X29" i="18" s="1"/>
  <c r="D29" i="18"/>
  <c r="F29" i="18" s="1"/>
  <c r="I28" i="23" s="1"/>
  <c r="V28" i="18"/>
  <c r="X28" i="18" s="1"/>
  <c r="D28" i="18"/>
  <c r="F28" i="18" s="1"/>
  <c r="I27" i="23" s="1"/>
  <c r="V27" i="18"/>
  <c r="X27" i="18" s="1"/>
  <c r="D27" i="18"/>
  <c r="F27" i="18" s="1"/>
  <c r="I26" i="23" s="1"/>
  <c r="V26" i="18"/>
  <c r="D26" i="18"/>
  <c r="F26" i="18" s="1"/>
  <c r="I25" i="23" s="1"/>
  <c r="V25" i="18"/>
  <c r="D25" i="18"/>
  <c r="F25" i="18" s="1"/>
  <c r="Y24" i="18"/>
  <c r="V24" i="18"/>
  <c r="D24" i="18"/>
  <c r="F24" i="18" s="1"/>
  <c r="V23" i="18"/>
  <c r="D23" i="18"/>
  <c r="F23" i="18" s="1"/>
  <c r="I24" i="23" s="1"/>
  <c r="V22" i="18"/>
  <c r="D22" i="18"/>
  <c r="F22" i="18" s="1"/>
  <c r="I23" i="23" s="1"/>
  <c r="V21" i="18"/>
  <c r="D21" i="18"/>
  <c r="F21" i="18" s="1"/>
  <c r="I22" i="23" s="1"/>
  <c r="V20" i="18"/>
  <c r="D20" i="18"/>
  <c r="F20" i="18" s="1"/>
  <c r="I21" i="23" s="1"/>
  <c r="V19" i="18"/>
  <c r="D19" i="18"/>
  <c r="F19" i="18" s="1"/>
  <c r="I20" i="23" s="1"/>
  <c r="V18" i="18"/>
  <c r="D18" i="18"/>
  <c r="F18" i="18" s="1"/>
  <c r="I19" i="23" s="1"/>
  <c r="V17" i="18"/>
  <c r="D17" i="18"/>
  <c r="F17" i="18" s="1"/>
  <c r="I18" i="23" s="1"/>
  <c r="V16" i="18"/>
  <c r="X16" i="18" s="1"/>
  <c r="J17" i="23" s="1"/>
  <c r="D16" i="18"/>
  <c r="F16" i="18" s="1"/>
  <c r="I17" i="23" s="1"/>
  <c r="V15" i="18"/>
  <c r="D15" i="18"/>
  <c r="F15" i="18" s="1"/>
  <c r="I16" i="23" s="1"/>
  <c r="V14" i="18"/>
  <c r="D14" i="18"/>
  <c r="F14" i="18" s="1"/>
  <c r="I15" i="23" s="1"/>
  <c r="V13" i="18"/>
  <c r="D13" i="18"/>
  <c r="F13" i="18" s="1"/>
  <c r="V12" i="18"/>
  <c r="D12" i="18"/>
  <c r="F12" i="18" s="1"/>
  <c r="H12" i="18"/>
  <c r="M12" i="18" s="1"/>
  <c r="V11" i="18"/>
  <c r="D11" i="18"/>
  <c r="F11" i="18" s="1"/>
  <c r="V10" i="18"/>
  <c r="D10" i="18"/>
  <c r="F10" i="18" s="1"/>
  <c r="V9" i="18"/>
  <c r="D9" i="18"/>
  <c r="F9" i="18" s="1"/>
  <c r="I10" i="23" s="1"/>
  <c r="V8" i="18"/>
  <c r="V7" i="18"/>
  <c r="D7" i="18"/>
  <c r="F7" i="18" s="1"/>
  <c r="V6" i="18"/>
  <c r="D6" i="18"/>
  <c r="F6" i="18" s="1"/>
  <c r="V5" i="18"/>
  <c r="D5" i="18"/>
  <c r="F5" i="18" s="1"/>
  <c r="I6" i="23" s="1"/>
  <c r="X4" i="18"/>
  <c r="J5" i="23" s="1"/>
  <c r="F4" i="18"/>
  <c r="X3" i="18"/>
  <c r="AE37" i="13"/>
  <c r="H37" i="14" s="1"/>
  <c r="AC37" i="13"/>
  <c r="AE36" i="13"/>
  <c r="H36" i="14" s="1"/>
  <c r="AC36" i="13"/>
  <c r="H33" i="23" s="1"/>
  <c r="Y36" i="13"/>
  <c r="Z36" i="13" s="1"/>
  <c r="AA36" i="13" s="1"/>
  <c r="U36" i="13"/>
  <c r="V36" i="13" s="1"/>
  <c r="Q36" i="13"/>
  <c r="R36" i="13" s="1"/>
  <c r="AE35" i="13"/>
  <c r="H35" i="14" s="1"/>
  <c r="AC35" i="13"/>
  <c r="H32" i="23" s="1"/>
  <c r="Y35" i="13"/>
  <c r="Z35" i="13" s="1"/>
  <c r="AA35" i="13" s="1"/>
  <c r="U35" i="13"/>
  <c r="V35" i="13" s="1"/>
  <c r="Q35" i="13"/>
  <c r="R35" i="13" s="1"/>
  <c r="AE34" i="13"/>
  <c r="H34" i="14" s="1"/>
  <c r="AC34" i="13"/>
  <c r="H31" i="23" s="1"/>
  <c r="Y34" i="13"/>
  <c r="Z34" i="13" s="1"/>
  <c r="AA34" i="13" s="1"/>
  <c r="U34" i="13"/>
  <c r="V34" i="13" s="1"/>
  <c r="Q34" i="13"/>
  <c r="R34" i="13" s="1"/>
  <c r="AE33" i="13"/>
  <c r="H33" i="14" s="1"/>
  <c r="AC33" i="13"/>
  <c r="H30" i="23" s="1"/>
  <c r="Y33" i="13"/>
  <c r="Z33" i="13" s="1"/>
  <c r="AA33" i="13" s="1"/>
  <c r="U33" i="13"/>
  <c r="V33" i="13" s="1"/>
  <c r="Q33" i="13"/>
  <c r="R33" i="13" s="1"/>
  <c r="AE32" i="13"/>
  <c r="H32" i="14" s="1"/>
  <c r="AC32" i="13"/>
  <c r="H29" i="23" s="1"/>
  <c r="Y32" i="13"/>
  <c r="Z32" i="13" s="1"/>
  <c r="AA32" i="13" s="1"/>
  <c r="U32" i="13"/>
  <c r="V32" i="13" s="1"/>
  <c r="Q32" i="13"/>
  <c r="R32" i="13" s="1"/>
  <c r="AE31" i="13"/>
  <c r="H31" i="14" s="1"/>
  <c r="AC31" i="13"/>
  <c r="H28" i="23" s="1"/>
  <c r="Y31" i="13"/>
  <c r="Z31" i="13" s="1"/>
  <c r="AA31" i="13" s="1"/>
  <c r="U31" i="13"/>
  <c r="V31" i="13" s="1"/>
  <c r="Q31" i="13"/>
  <c r="R31" i="13" s="1"/>
  <c r="AE30" i="13"/>
  <c r="H30" i="14" s="1"/>
  <c r="AC30" i="13"/>
  <c r="H27" i="23" s="1"/>
  <c r="Y30" i="13"/>
  <c r="Z30" i="13" s="1"/>
  <c r="AA30" i="13" s="1"/>
  <c r="U30" i="13"/>
  <c r="V30" i="13" s="1"/>
  <c r="Q30" i="13"/>
  <c r="R30" i="13" s="1"/>
  <c r="AE29" i="13"/>
  <c r="H29" i="14" s="1"/>
  <c r="AC29" i="13"/>
  <c r="H26" i="23" s="1"/>
  <c r="Y29" i="13"/>
  <c r="Z29" i="13" s="1"/>
  <c r="AA29" i="13" s="1"/>
  <c r="U29" i="13"/>
  <c r="V29" i="13" s="1"/>
  <c r="Q29" i="13"/>
  <c r="R29" i="13" s="1"/>
  <c r="AE28" i="13"/>
  <c r="H28" i="14" s="1"/>
  <c r="G28" i="14"/>
  <c r="AE27" i="13"/>
  <c r="H27" i="14" s="1"/>
  <c r="G27" i="14"/>
  <c r="AE26" i="13"/>
  <c r="H26" i="14" s="1"/>
  <c r="G26" i="14"/>
  <c r="AE25" i="13"/>
  <c r="H25" i="14" s="1"/>
  <c r="G25" i="14"/>
  <c r="AE24" i="13"/>
  <c r="H24" i="14" s="1"/>
  <c r="G24" i="14"/>
  <c r="AE23" i="13"/>
  <c r="H23" i="14" s="1"/>
  <c r="G23" i="14"/>
  <c r="AE22" i="13"/>
  <c r="H22" i="14" s="1"/>
  <c r="G22" i="14"/>
  <c r="AE21" i="13"/>
  <c r="H21" i="14" s="1"/>
  <c r="G21" i="14"/>
  <c r="AE20" i="13"/>
  <c r="H20" i="14" s="1"/>
  <c r="G20" i="14"/>
  <c r="AE19" i="13"/>
  <c r="H19" i="14" s="1"/>
  <c r="G19" i="14"/>
  <c r="AE18" i="13"/>
  <c r="H18" i="14" s="1"/>
  <c r="G18" i="14"/>
  <c r="AE17" i="13"/>
  <c r="H17" i="14" s="1"/>
  <c r="G17" i="14"/>
  <c r="AE16" i="13"/>
  <c r="H16" i="14" s="1"/>
  <c r="G16" i="14"/>
  <c r="AE15" i="13"/>
  <c r="H15" i="14" s="1"/>
  <c r="G15" i="14"/>
  <c r="AE14" i="13"/>
  <c r="H14" i="14" s="1"/>
  <c r="G14" i="14"/>
  <c r="AE13" i="13"/>
  <c r="H13" i="14" s="1"/>
  <c r="G13" i="14"/>
  <c r="AE12" i="13"/>
  <c r="H12" i="14" s="1"/>
  <c r="G12" i="14"/>
  <c r="AE11" i="13"/>
  <c r="H11" i="14" s="1"/>
  <c r="G11" i="14"/>
  <c r="AE10" i="13"/>
  <c r="H10" i="14" s="1"/>
  <c r="G10" i="14"/>
  <c r="AE9" i="13"/>
  <c r="H9" i="14" s="1"/>
  <c r="G9" i="14"/>
  <c r="AE8" i="13"/>
  <c r="H8" i="14" s="1"/>
  <c r="G8" i="14"/>
  <c r="AE7" i="13"/>
  <c r="H7" i="14" s="1"/>
  <c r="G7" i="14"/>
  <c r="AE6" i="13"/>
  <c r="H6" i="14" s="1"/>
  <c r="G6" i="14"/>
  <c r="AI4" i="13"/>
  <c r="F3" i="13"/>
  <c r="E6" i="13" s="1"/>
  <c r="Q37" i="14"/>
  <c r="Q36" i="14"/>
  <c r="S36" i="14" s="1"/>
  <c r="P36" i="14"/>
  <c r="Q35" i="14"/>
  <c r="P35" i="14"/>
  <c r="Q34" i="14"/>
  <c r="P34" i="14"/>
  <c r="Q33" i="14"/>
  <c r="P33" i="14"/>
  <c r="Q32" i="14"/>
  <c r="P32" i="14"/>
  <c r="Q31" i="14"/>
  <c r="P31" i="14"/>
  <c r="Q30" i="14"/>
  <c r="P30" i="14"/>
  <c r="Q29" i="14"/>
  <c r="S29" i="14" s="1"/>
  <c r="P29" i="14"/>
  <c r="Q28" i="14"/>
  <c r="P28" i="14"/>
  <c r="Q27" i="14"/>
  <c r="P27" i="14"/>
  <c r="Q26" i="14"/>
  <c r="P26" i="14"/>
  <c r="Q25" i="14"/>
  <c r="P25" i="14"/>
  <c r="Q24" i="14"/>
  <c r="S24" i="14" s="1"/>
  <c r="P24" i="14"/>
  <c r="Q23" i="14"/>
  <c r="P23" i="14"/>
  <c r="Q22" i="14"/>
  <c r="P22" i="14"/>
  <c r="Q21" i="14"/>
  <c r="P21" i="14"/>
  <c r="Q20" i="14"/>
  <c r="P20" i="14"/>
  <c r="Q19" i="14"/>
  <c r="P19" i="14"/>
  <c r="Q18" i="14"/>
  <c r="P18" i="14"/>
  <c r="Q17" i="14"/>
  <c r="P17" i="14"/>
  <c r="Q16" i="14"/>
  <c r="P16" i="14"/>
  <c r="Q15" i="14"/>
  <c r="P15" i="14"/>
  <c r="Q14" i="14"/>
  <c r="P14" i="14"/>
  <c r="Q13" i="14"/>
  <c r="P13" i="14"/>
  <c r="Q12" i="14"/>
  <c r="P12" i="14"/>
  <c r="Q11" i="14"/>
  <c r="P11" i="14"/>
  <c r="Q10" i="14"/>
  <c r="P10" i="14"/>
  <c r="Q9" i="14"/>
  <c r="P9" i="14"/>
  <c r="Q8" i="14"/>
  <c r="P8" i="14"/>
  <c r="Q7" i="14"/>
  <c r="Q39" i="14" s="1"/>
  <c r="P7" i="14"/>
  <c r="P39" i="14" s="1"/>
  <c r="Q6" i="14"/>
  <c r="P6" i="14"/>
  <c r="J49" i="3"/>
  <c r="J48" i="3"/>
  <c r="J47" i="3"/>
  <c r="Q38" i="3"/>
  <c r="N38" i="3"/>
  <c r="AK37" i="3"/>
  <c r="AE37" i="3"/>
  <c r="Y37" i="3"/>
  <c r="V37" i="3"/>
  <c r="S37" i="3"/>
  <c r="O37" i="3"/>
  <c r="L37" i="3"/>
  <c r="I37" i="3"/>
  <c r="F37" i="3"/>
  <c r="C37" i="3"/>
  <c r="AK36" i="3"/>
  <c r="AE36" i="3"/>
  <c r="Y36" i="3"/>
  <c r="V36" i="3"/>
  <c r="AN36" i="3"/>
  <c r="G33" i="23" s="1"/>
  <c r="S36" i="3"/>
  <c r="N32" i="25"/>
  <c r="O36" i="3"/>
  <c r="L36" i="3"/>
  <c r="L32" i="25"/>
  <c r="I36" i="3"/>
  <c r="M32" i="25"/>
  <c r="F36" i="3"/>
  <c r="C36" i="3"/>
  <c r="AK35" i="3"/>
  <c r="AE35" i="3"/>
  <c r="Y35" i="3"/>
  <c r="V35" i="3"/>
  <c r="AN35" i="3"/>
  <c r="G32" i="23" s="1"/>
  <c r="S35" i="3"/>
  <c r="N31" i="25"/>
  <c r="O35" i="3"/>
  <c r="L35" i="3"/>
  <c r="L31" i="25"/>
  <c r="I35" i="3"/>
  <c r="M31" i="25"/>
  <c r="F35" i="3"/>
  <c r="C35" i="3"/>
  <c r="AK34" i="3"/>
  <c r="AE34" i="3"/>
  <c r="Y34" i="3"/>
  <c r="V34" i="3"/>
  <c r="AN34" i="3"/>
  <c r="G31" i="23" s="1"/>
  <c r="S34" i="3"/>
  <c r="N30" i="25"/>
  <c r="O34" i="3"/>
  <c r="L34" i="3"/>
  <c r="L30" i="25"/>
  <c r="I34" i="3"/>
  <c r="M30" i="25"/>
  <c r="F34" i="3"/>
  <c r="C34" i="3"/>
  <c r="AK33" i="3"/>
  <c r="AE33" i="3"/>
  <c r="Y33" i="3"/>
  <c r="V33" i="3"/>
  <c r="AN33" i="3"/>
  <c r="G30" i="23" s="1"/>
  <c r="S33" i="3"/>
  <c r="N29" i="25"/>
  <c r="O33" i="3"/>
  <c r="L33" i="3"/>
  <c r="L29" i="25"/>
  <c r="I33" i="3"/>
  <c r="M29" i="25"/>
  <c r="F33" i="3"/>
  <c r="C33" i="3"/>
  <c r="AK32" i="3"/>
  <c r="AE32" i="3"/>
  <c r="Y32" i="3"/>
  <c r="V32" i="3"/>
  <c r="AN32" i="3"/>
  <c r="G29" i="23" s="1"/>
  <c r="S32" i="3"/>
  <c r="N28" i="25"/>
  <c r="O32" i="3"/>
  <c r="L32" i="3"/>
  <c r="L28" i="25"/>
  <c r="I32" i="3"/>
  <c r="M28" i="25"/>
  <c r="F32" i="3"/>
  <c r="C32" i="3"/>
  <c r="AK31" i="3"/>
  <c r="AE31" i="3"/>
  <c r="Y31" i="3"/>
  <c r="V31" i="3"/>
  <c r="S31" i="3"/>
  <c r="N27" i="25"/>
  <c r="O31" i="3"/>
  <c r="L31" i="3"/>
  <c r="L27" i="25"/>
  <c r="I31" i="3"/>
  <c r="M27" i="25"/>
  <c r="C31" i="3"/>
  <c r="AK30" i="3"/>
  <c r="AE30" i="3"/>
  <c r="Y30" i="3"/>
  <c r="V30" i="3"/>
  <c r="S30" i="3"/>
  <c r="N26" i="25"/>
  <c r="O30" i="3"/>
  <c r="L30" i="3"/>
  <c r="L26" i="25"/>
  <c r="I30" i="3"/>
  <c r="M26" i="25"/>
  <c r="C30" i="3"/>
  <c r="AK29" i="3"/>
  <c r="AE29" i="3"/>
  <c r="Y29" i="3"/>
  <c r="V29" i="3"/>
  <c r="S29" i="3"/>
  <c r="N25" i="25"/>
  <c r="O29" i="3"/>
  <c r="L29" i="3"/>
  <c r="L25" i="25"/>
  <c r="I29" i="3"/>
  <c r="M25" i="25"/>
  <c r="C29" i="3"/>
  <c r="AK28" i="3"/>
  <c r="AE28" i="3"/>
  <c r="Y28" i="3"/>
  <c r="V28" i="3"/>
  <c r="AN28" i="3"/>
  <c r="S28" i="3"/>
  <c r="N24" i="25"/>
  <c r="O28" i="3"/>
  <c r="L28" i="3"/>
  <c r="L24" i="25"/>
  <c r="I28" i="3"/>
  <c r="M24" i="25"/>
  <c r="C28" i="3"/>
  <c r="AK27" i="3"/>
  <c r="AE27" i="3"/>
  <c r="Y27" i="3"/>
  <c r="V27" i="3"/>
  <c r="AN27" i="3"/>
  <c r="G26" i="23" s="1"/>
  <c r="S27" i="3"/>
  <c r="N23" i="25"/>
  <c r="O27" i="3"/>
  <c r="L27" i="3"/>
  <c r="L23" i="25"/>
  <c r="I27" i="3"/>
  <c r="M23" i="25"/>
  <c r="C27" i="3"/>
  <c r="AK26" i="3"/>
  <c r="AE26" i="3"/>
  <c r="Y26" i="3"/>
  <c r="V26" i="3"/>
  <c r="AN26" i="3"/>
  <c r="G25" i="23" s="1"/>
  <c r="S26" i="3"/>
  <c r="N22" i="25"/>
  <c r="O26" i="3"/>
  <c r="L26" i="3"/>
  <c r="L22" i="25"/>
  <c r="I26" i="3"/>
  <c r="M22" i="25"/>
  <c r="F26" i="3"/>
  <c r="C26" i="3"/>
  <c r="AK25" i="3"/>
  <c r="AE25" i="3"/>
  <c r="Y25" i="3"/>
  <c r="V25" i="3"/>
  <c r="AN25" i="3"/>
  <c r="G24" i="23" s="1"/>
  <c r="S25" i="3"/>
  <c r="N21" i="25"/>
  <c r="L25" i="3"/>
  <c r="L21" i="25"/>
  <c r="I25" i="3"/>
  <c r="M21" i="25"/>
  <c r="F25" i="3"/>
  <c r="C25" i="3"/>
  <c r="AK24" i="3"/>
  <c r="AE24" i="3"/>
  <c r="Y24" i="3"/>
  <c r="V24" i="3"/>
  <c r="N20" i="25"/>
  <c r="L20" i="25"/>
  <c r="M20" i="25"/>
  <c r="F24" i="3"/>
  <c r="C24" i="3"/>
  <c r="AK23" i="3"/>
  <c r="AE23" i="3"/>
  <c r="Y23" i="3"/>
  <c r="V23" i="3"/>
  <c r="N19" i="25"/>
  <c r="L19" i="25"/>
  <c r="M19" i="25"/>
  <c r="C23" i="3"/>
  <c r="AK22" i="3"/>
  <c r="AE22" i="3"/>
  <c r="Y22" i="3"/>
  <c r="V22" i="3"/>
  <c r="N18" i="25"/>
  <c r="L18" i="25"/>
  <c r="M18" i="25"/>
  <c r="C22" i="3"/>
  <c r="AK21" i="3"/>
  <c r="AE21" i="3"/>
  <c r="Y21" i="3"/>
  <c r="V21" i="3"/>
  <c r="N17" i="25"/>
  <c r="L17" i="25"/>
  <c r="M17" i="25"/>
  <c r="C21" i="3"/>
  <c r="AK20" i="3"/>
  <c r="Y20" i="3"/>
  <c r="V20" i="3"/>
  <c r="N16" i="25"/>
  <c r="L16" i="25"/>
  <c r="M16" i="25"/>
  <c r="C20" i="3"/>
  <c r="AK19" i="3"/>
  <c r="Y19" i="3"/>
  <c r="V19" i="3"/>
  <c r="N15" i="25"/>
  <c r="L15" i="25"/>
  <c r="M15" i="25"/>
  <c r="C19" i="3"/>
  <c r="AK18" i="3"/>
  <c r="Y18" i="3"/>
  <c r="V18" i="3"/>
  <c r="N14" i="25"/>
  <c r="L14" i="25"/>
  <c r="M14" i="25"/>
  <c r="C18" i="3"/>
  <c r="AK17" i="3"/>
  <c r="Y17" i="3"/>
  <c r="V17" i="3"/>
  <c r="N13" i="25"/>
  <c r="L13" i="25"/>
  <c r="M13" i="25"/>
  <c r="K16" i="11"/>
  <c r="C17" i="3"/>
  <c r="AK16" i="3"/>
  <c r="Y16" i="3"/>
  <c r="V16" i="3"/>
  <c r="N12" i="25"/>
  <c r="L12" i="25"/>
  <c r="M12" i="25"/>
  <c r="N16" i="13"/>
  <c r="C16" i="3"/>
  <c r="AK15" i="3"/>
  <c r="Y15" i="3"/>
  <c r="V15" i="3"/>
  <c r="N11" i="25"/>
  <c r="L11" i="25"/>
  <c r="M11" i="25"/>
  <c r="P11" i="25"/>
  <c r="C15" i="3"/>
  <c r="AK14" i="3"/>
  <c r="Y14" i="3"/>
  <c r="N10" i="25"/>
  <c r="L10" i="25"/>
  <c r="M10" i="25"/>
  <c r="K13" i="11"/>
  <c r="C14" i="3"/>
  <c r="AK13" i="3"/>
  <c r="Y13" i="3"/>
  <c r="N9" i="25"/>
  <c r="L9" i="25"/>
  <c r="M9" i="25"/>
  <c r="N13" i="13"/>
  <c r="C13" i="3"/>
  <c r="AK12" i="3"/>
  <c r="Y12" i="3"/>
  <c r="V12" i="3"/>
  <c r="N8" i="25"/>
  <c r="L8" i="25"/>
  <c r="M8" i="25"/>
  <c r="N12" i="13"/>
  <c r="C12" i="3"/>
  <c r="AK11" i="3"/>
  <c r="AE11" i="3"/>
  <c r="Y11" i="3"/>
  <c r="V11" i="3"/>
  <c r="N7" i="25"/>
  <c r="L7" i="25"/>
  <c r="M7" i="25"/>
  <c r="N11" i="13"/>
  <c r="C11" i="3"/>
  <c r="AK10" i="3"/>
  <c r="AE10" i="3"/>
  <c r="Y10" i="3"/>
  <c r="V10" i="3"/>
  <c r="N6" i="25"/>
  <c r="L6" i="25"/>
  <c r="M6" i="25"/>
  <c r="N10" i="13"/>
  <c r="C10" i="3"/>
  <c r="AK9" i="3"/>
  <c r="AE9" i="3"/>
  <c r="Y9" i="3"/>
  <c r="V9" i="3"/>
  <c r="N5" i="25"/>
  <c r="L5" i="25"/>
  <c r="M5" i="25"/>
  <c r="K8" i="11"/>
  <c r="C9" i="3"/>
  <c r="AK8" i="3"/>
  <c r="AE8" i="3"/>
  <c r="Y8" i="3"/>
  <c r="V8" i="3"/>
  <c r="N4" i="25"/>
  <c r="L4" i="25"/>
  <c r="M4" i="25"/>
  <c r="N8" i="13"/>
  <c r="C8" i="3"/>
  <c r="AK7" i="3"/>
  <c r="AE7" i="3"/>
  <c r="Y7" i="3"/>
  <c r="V7" i="3"/>
  <c r="N3" i="25"/>
  <c r="L3" i="25"/>
  <c r="M3" i="25"/>
  <c r="P3" i="25"/>
  <c r="C7" i="3"/>
  <c r="AK6" i="3"/>
  <c r="AE6" i="3"/>
  <c r="Y6" i="3"/>
  <c r="N2" i="25"/>
  <c r="L2" i="25"/>
  <c r="M2" i="25"/>
  <c r="P2" i="25"/>
  <c r="C6" i="3"/>
  <c r="AK5" i="3"/>
  <c r="C5" i="3"/>
  <c r="C37" i="14"/>
  <c r="C34" i="14"/>
  <c r="C33" i="14"/>
  <c r="C31" i="14"/>
  <c r="C30" i="14"/>
  <c r="C29" i="14"/>
  <c r="C27" i="14"/>
  <c r="C26" i="14"/>
  <c r="C25" i="14"/>
  <c r="C23" i="14"/>
  <c r="C22" i="14"/>
  <c r="C21" i="14"/>
  <c r="D21" i="14"/>
  <c r="N21" i="14" s="1"/>
  <c r="C19" i="14"/>
  <c r="C18" i="14"/>
  <c r="D18" i="14"/>
  <c r="N18" i="14" s="1"/>
  <c r="C17" i="14"/>
  <c r="D17" i="14"/>
  <c r="N17" i="14" s="1"/>
  <c r="C16" i="14"/>
  <c r="C15" i="14"/>
  <c r="C14" i="14"/>
  <c r="D14" i="14"/>
  <c r="N14" i="14" s="1"/>
  <c r="D13" i="14"/>
  <c r="N13" i="14" s="1"/>
  <c r="D12" i="14"/>
  <c r="N12" i="14" s="1"/>
  <c r="D10" i="14"/>
  <c r="N10" i="14" s="1"/>
  <c r="D9" i="14"/>
  <c r="N9" i="14" s="1"/>
  <c r="D8" i="14"/>
  <c r="N8" i="14" s="1"/>
  <c r="H5" i="11"/>
  <c r="C6" i="14"/>
  <c r="G6" i="11"/>
  <c r="S23" i="14" l="1"/>
  <c r="S37" i="14"/>
  <c r="R21" i="14"/>
  <c r="T31" i="18"/>
  <c r="Y31" i="18" s="1"/>
  <c r="T27" i="18"/>
  <c r="Y27" i="18" s="1"/>
  <c r="T23" i="18"/>
  <c r="Y23" i="18" s="1"/>
  <c r="T19" i="18"/>
  <c r="Y19" i="18" s="1"/>
  <c r="T15" i="18"/>
  <c r="Y15" i="18" s="1"/>
  <c r="T11" i="18"/>
  <c r="Y11" i="18" s="1"/>
  <c r="T7" i="18"/>
  <c r="Y7" i="18" s="1"/>
  <c r="T12" i="18"/>
  <c r="Y12" i="18" s="1"/>
  <c r="T32" i="18"/>
  <c r="Y32" i="18" s="1"/>
  <c r="T28" i="18"/>
  <c r="Y28" i="18" s="1"/>
  <c r="T20" i="18"/>
  <c r="Y20" i="18" s="1"/>
  <c r="T16" i="18"/>
  <c r="Y16" i="18" s="1"/>
  <c r="T8" i="18"/>
  <c r="Y8" i="18" s="1"/>
  <c r="T33" i="18"/>
  <c r="Y33" i="18" s="1"/>
  <c r="T29" i="18"/>
  <c r="Y29" i="18" s="1"/>
  <c r="T25" i="18"/>
  <c r="Y25" i="18" s="1"/>
  <c r="T21" i="18"/>
  <c r="Y21" i="18" s="1"/>
  <c r="T17" i="18"/>
  <c r="Y17" i="18" s="1"/>
  <c r="T13" i="18"/>
  <c r="Y13" i="18" s="1"/>
  <c r="T9" i="18"/>
  <c r="Y9" i="18" s="1"/>
  <c r="T5" i="18"/>
  <c r="Y5" i="18" s="1"/>
  <c r="T34" i="18"/>
  <c r="Y34" i="18" s="1"/>
  <c r="T30" i="18"/>
  <c r="Y30" i="18" s="1"/>
  <c r="T26" i="18"/>
  <c r="Y26" i="18" s="1"/>
  <c r="T22" i="18"/>
  <c r="Y22" i="18" s="1"/>
  <c r="T18" i="18"/>
  <c r="Y18" i="18" s="1"/>
  <c r="T14" i="18"/>
  <c r="Y14" i="18" s="1"/>
  <c r="T10" i="18"/>
  <c r="Y10" i="18" s="1"/>
  <c r="T6" i="18"/>
  <c r="Y6" i="18" s="1"/>
  <c r="H34" i="24"/>
  <c r="H34" i="23"/>
  <c r="A1" i="12"/>
  <c r="X32" i="18"/>
  <c r="X31" i="18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X8" i="18"/>
  <c r="J9" i="23" s="1"/>
  <c r="X11" i="18"/>
  <c r="J12" i="23" s="1"/>
  <c r="X12" i="18"/>
  <c r="J13" i="23" s="1"/>
  <c r="X15" i="18"/>
  <c r="J16" i="23" s="1"/>
  <c r="X26" i="18"/>
  <c r="AI19" i="13"/>
  <c r="X22" i="18"/>
  <c r="J23" i="23" s="1"/>
  <c r="X21" i="18"/>
  <c r="X20" i="18"/>
  <c r="J21" i="23" s="1"/>
  <c r="X19" i="18"/>
  <c r="J20" i="23" s="1"/>
  <c r="X17" i="18"/>
  <c r="J18" i="23" s="1"/>
  <c r="S11" i="14"/>
  <c r="AI13" i="13"/>
  <c r="S22" i="14"/>
  <c r="S27" i="14"/>
  <c r="AI9" i="13"/>
  <c r="R14" i="18"/>
  <c r="L6" i="18"/>
  <c r="L11" i="18"/>
  <c r="L14" i="18"/>
  <c r="L32" i="18"/>
  <c r="L4" i="18"/>
  <c r="L5" i="18"/>
  <c r="L8" i="18"/>
  <c r="L10" i="18"/>
  <c r="L13" i="18"/>
  <c r="L20" i="18"/>
  <c r="L23" i="18"/>
  <c r="L25" i="18"/>
  <c r="L33" i="18"/>
  <c r="L29" i="18"/>
  <c r="L19" i="18"/>
  <c r="L22" i="18"/>
  <c r="L34" i="18"/>
  <c r="L30" i="18"/>
  <c r="L26" i="18"/>
  <c r="L17" i="18"/>
  <c r="L28" i="18"/>
  <c r="L7" i="18"/>
  <c r="L9" i="18"/>
  <c r="L15" i="18"/>
  <c r="L18" i="18"/>
  <c r="L21" i="18"/>
  <c r="L24" i="18"/>
  <c r="J35" i="18"/>
  <c r="L31" i="18"/>
  <c r="L27" i="18"/>
  <c r="J39" i="14"/>
  <c r="S31" i="14"/>
  <c r="U5" i="10"/>
  <c r="V5" i="10" s="1"/>
  <c r="W5" i="10" s="1"/>
  <c r="I23" i="10"/>
  <c r="Q23" i="10" s="1"/>
  <c r="W24" i="25"/>
  <c r="W25" i="25"/>
  <c r="W26" i="25"/>
  <c r="W27" i="25"/>
  <c r="W28" i="25"/>
  <c r="W29" i="25"/>
  <c r="W30" i="25"/>
  <c r="W31" i="25"/>
  <c r="W32" i="25"/>
  <c r="AI16" i="13"/>
  <c r="W23" i="25"/>
  <c r="W22" i="25"/>
  <c r="W21" i="25"/>
  <c r="W20" i="25"/>
  <c r="W19" i="25"/>
  <c r="L39" i="14"/>
  <c r="W18" i="25"/>
  <c r="I19" i="10"/>
  <c r="Q19" i="10" s="1"/>
  <c r="I26" i="10"/>
  <c r="Q26" i="10" s="1"/>
  <c r="S15" i="14"/>
  <c r="S19" i="14"/>
  <c r="S30" i="14"/>
  <c r="S35" i="14"/>
  <c r="S10" i="14"/>
  <c r="W17" i="25"/>
  <c r="K39" i="14"/>
  <c r="B39" i="14"/>
  <c r="R17" i="14"/>
  <c r="I14" i="23"/>
  <c r="I13" i="23"/>
  <c r="I12" i="23"/>
  <c r="O12" i="14"/>
  <c r="J30" i="13"/>
  <c r="G35" i="11"/>
  <c r="I11" i="23"/>
  <c r="G32" i="14"/>
  <c r="G36" i="14"/>
  <c r="G31" i="14"/>
  <c r="G35" i="14"/>
  <c r="G30" i="14"/>
  <c r="G34" i="14"/>
  <c r="G37" i="14"/>
  <c r="G29" i="14"/>
  <c r="G33" i="14"/>
  <c r="I9" i="23"/>
  <c r="I8" i="23"/>
  <c r="O8" i="14"/>
  <c r="I7" i="23"/>
  <c r="K77" i="3"/>
  <c r="M37" i="13" s="1"/>
  <c r="G36" i="11"/>
  <c r="O16" i="14"/>
  <c r="K16" i="13"/>
  <c r="L16" i="13" s="1"/>
  <c r="H15" i="11"/>
  <c r="I15" i="11" s="1"/>
  <c r="K23" i="13"/>
  <c r="L23" i="13" s="1"/>
  <c r="H22" i="11"/>
  <c r="I22" i="11" s="1"/>
  <c r="D25" i="14"/>
  <c r="N25" i="14" s="1"/>
  <c r="R25" i="14" s="1"/>
  <c r="J25" i="13"/>
  <c r="K27" i="13"/>
  <c r="H26" i="11"/>
  <c r="E32" i="14"/>
  <c r="O32" i="14" s="1"/>
  <c r="K32" i="13"/>
  <c r="H31" i="11"/>
  <c r="M25" i="14"/>
  <c r="G21" i="26" s="1"/>
  <c r="L24" i="11"/>
  <c r="T6" i="10"/>
  <c r="K19" i="13"/>
  <c r="L19" i="13" s="1"/>
  <c r="H18" i="11"/>
  <c r="I18" i="11" s="1"/>
  <c r="G25" i="11"/>
  <c r="J24" i="13"/>
  <c r="K26" i="13"/>
  <c r="H25" i="11"/>
  <c r="K18" i="13"/>
  <c r="L18" i="13" s="1"/>
  <c r="H17" i="11"/>
  <c r="I17" i="11" s="1"/>
  <c r="K22" i="13"/>
  <c r="L22" i="13" s="1"/>
  <c r="H21" i="11"/>
  <c r="I21" i="11" s="1"/>
  <c r="C24" i="14"/>
  <c r="E25" i="14"/>
  <c r="O25" i="14" s="1"/>
  <c r="H24" i="11"/>
  <c r="I24" i="11" s="1"/>
  <c r="K25" i="13"/>
  <c r="J27" i="13"/>
  <c r="C28" i="14"/>
  <c r="K30" i="13"/>
  <c r="H29" i="11"/>
  <c r="J32" i="13"/>
  <c r="K34" i="13"/>
  <c r="H33" i="11"/>
  <c r="K36" i="13"/>
  <c r="H35" i="11"/>
  <c r="R5" i="18"/>
  <c r="R9" i="18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i="10" s="1"/>
  <c r="I16" i="10"/>
  <c r="Q16" i="10" s="1"/>
  <c r="F35" i="11"/>
  <c r="G28" i="11"/>
  <c r="E20" i="14"/>
  <c r="O20" i="14" s="1"/>
  <c r="K20" i="13"/>
  <c r="L20" i="13" s="1"/>
  <c r="H19" i="11"/>
  <c r="I19" i="11" s="1"/>
  <c r="D34" i="14"/>
  <c r="N34" i="14" s="1"/>
  <c r="R34" i="14" s="1"/>
  <c r="J34" i="13"/>
  <c r="K35" i="13"/>
  <c r="H34" i="11"/>
  <c r="H36" i="11"/>
  <c r="M27" i="14"/>
  <c r="G23" i="26" s="1"/>
  <c r="L26" i="11"/>
  <c r="M29" i="14"/>
  <c r="G25" i="26" s="1"/>
  <c r="L28" i="11"/>
  <c r="M31" i="14"/>
  <c r="G27" i="26" s="1"/>
  <c r="L30" i="11"/>
  <c r="G29" i="11"/>
  <c r="J28" i="13"/>
  <c r="D29" i="14"/>
  <c r="N29" i="14" s="1"/>
  <c r="R29" i="14" s="1"/>
  <c r="J29" i="13"/>
  <c r="K31" i="13"/>
  <c r="H30" i="11"/>
  <c r="D33" i="14"/>
  <c r="N33" i="14" s="1"/>
  <c r="R33" i="14" s="1"/>
  <c r="G34" i="11"/>
  <c r="J33" i="13"/>
  <c r="C36" i="14"/>
  <c r="H16" i="11"/>
  <c r="I16" i="11" s="1"/>
  <c r="K17" i="13"/>
  <c r="L17" i="13" s="1"/>
  <c r="C20" i="14"/>
  <c r="E21" i="14"/>
  <c r="O21" i="14" s="1"/>
  <c r="H20" i="11"/>
  <c r="I20" i="11" s="1"/>
  <c r="K21" i="13"/>
  <c r="L21" i="13" s="1"/>
  <c r="E24" i="14"/>
  <c r="O24" i="14" s="1"/>
  <c r="K24" i="13"/>
  <c r="H23" i="11"/>
  <c r="I23" i="11" s="1"/>
  <c r="J26" i="13"/>
  <c r="E28" i="14"/>
  <c r="O28" i="14" s="1"/>
  <c r="K28" i="13"/>
  <c r="H27" i="11"/>
  <c r="E29" i="14"/>
  <c r="O29" i="14" s="1"/>
  <c r="H28" i="11"/>
  <c r="K29" i="13"/>
  <c r="J31" i="13"/>
  <c r="C32" i="14"/>
  <c r="E33" i="14"/>
  <c r="O33" i="14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 i="14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i="10" s="1"/>
  <c r="G33" i="11"/>
  <c r="G27" i="11"/>
  <c r="I35" i="10"/>
  <c r="Q35" i="10" s="1"/>
  <c r="D37" i="14"/>
  <c r="G5" i="11"/>
  <c r="I5" i="11" s="1"/>
  <c r="G32" i="11"/>
  <c r="G26" i="11"/>
  <c r="R27" i="18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i="10" s="1"/>
  <c r="R6" i="10" s="1"/>
  <c r="U6" i="10"/>
  <c r="I12" i="10"/>
  <c r="Q12" i="10" s="1"/>
  <c r="I13" i="10"/>
  <c r="Q13" i="10" s="1"/>
  <c r="I17" i="10"/>
  <c r="Q17" i="10" s="1"/>
  <c r="I31" i="10"/>
  <c r="Q31" i="10" s="1"/>
  <c r="S6" i="14"/>
  <c r="M37" i="14"/>
  <c r="D36" i="14"/>
  <c r="N36" i="14" s="1"/>
  <c r="R36" i="14" s="1"/>
  <c r="J36" i="13"/>
  <c r="F36" i="11"/>
  <c r="G30" i="11"/>
  <c r="AI30" i="13"/>
  <c r="AI26" i="13"/>
  <c r="J35" i="13"/>
  <c r="AI15" i="13"/>
  <c r="K56" i="3"/>
  <c r="M16" i="13" s="1"/>
  <c r="N17" i="13"/>
  <c r="P13" i="25"/>
  <c r="I17" i="14"/>
  <c r="L16" i="11"/>
  <c r="K15" i="11"/>
  <c r="P12" i="25"/>
  <c r="I16" i="14"/>
  <c r="L15" i="11"/>
  <c r="G31" i="11"/>
  <c r="D30" i="14"/>
  <c r="N30" i="14" s="1"/>
  <c r="R30" i="14" s="1"/>
  <c r="F30" i="14"/>
  <c r="H14" i="11"/>
  <c r="I14" i="11" s="1"/>
  <c r="K15" i="13"/>
  <c r="L15" i="13" s="1"/>
  <c r="L14" i="11"/>
  <c r="K14" i="11"/>
  <c r="N15" i="13"/>
  <c r="I15" i="14"/>
  <c r="H13" i="11"/>
  <c r="I13" i="11" s="1"/>
  <c r="K14" i="13"/>
  <c r="L14" i="13" s="1"/>
  <c r="L13" i="11"/>
  <c r="L12" i="11"/>
  <c r="I14" i="14"/>
  <c r="P10" i="25"/>
  <c r="N14" i="13"/>
  <c r="H12" i="11"/>
  <c r="I12" i="11" s="1"/>
  <c r="C13" i="14"/>
  <c r="K52" i="3"/>
  <c r="M12" i="13" s="1"/>
  <c r="I13" i="14"/>
  <c r="P9" i="25"/>
  <c r="K12" i="11"/>
  <c r="H11" i="11"/>
  <c r="I11" i="11" s="1"/>
  <c r="C12" i="14"/>
  <c r="P8" i="25"/>
  <c r="K11" i="11"/>
  <c r="I12" i="14"/>
  <c r="L11" i="11"/>
  <c r="H10" i="11"/>
  <c r="I10" i="11" s="1"/>
  <c r="C11" i="14"/>
  <c r="L10" i="11"/>
  <c r="B10" i="11"/>
  <c r="H9" i="11"/>
  <c r="C10" i="14"/>
  <c r="L9" i="11"/>
  <c r="H8" i="1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 i="11"/>
  <c r="C8" i="14"/>
  <c r="J8" i="13"/>
  <c r="L8" i="13" s="1"/>
  <c r="G9" i="11"/>
  <c r="L7" i="11"/>
  <c r="I8" i="14"/>
  <c r="P4" i="25"/>
  <c r="K7" i="11"/>
  <c r="H6" i="11"/>
  <c r="I6" i="11" s="1"/>
  <c r="C7" i="14"/>
  <c r="G8" i="11"/>
  <c r="J7" i="13"/>
  <c r="L7" i="13" s="1"/>
  <c r="I8" i="10"/>
  <c r="Q8" i="10" s="1"/>
  <c r="I9" i="10"/>
  <c r="Q9" i="10" s="1"/>
  <c r="I11" i="10"/>
  <c r="Q11" i="10" s="1"/>
  <c r="I27" i="10"/>
  <c r="Q27" i="10" s="1"/>
  <c r="I28" i="10"/>
  <c r="Q28" i="10" s="1"/>
  <c r="I7" i="10"/>
  <c r="Q7" i="10" s="1"/>
  <c r="S7" i="10" s="1"/>
  <c r="Z7" i="10" s="1"/>
  <c r="I30" i="10"/>
  <c r="Q30" i="10" s="1"/>
  <c r="L5" i="11"/>
  <c r="L6" i="11"/>
  <c r="K5" i="11"/>
  <c r="N6" i="13"/>
  <c r="I6" i="14"/>
  <c r="K6" i="11"/>
  <c r="N7" i="13"/>
  <c r="I7" i="14"/>
  <c r="B6" i="11"/>
  <c r="J6" i="13"/>
  <c r="L6" i="13" s="1"/>
  <c r="G7" i="11"/>
  <c r="H39" i="14"/>
  <c r="F35" i="18"/>
  <c r="B12" i="11"/>
  <c r="B14" i="11"/>
  <c r="B18" i="11"/>
  <c r="B20" i="11"/>
  <c r="B22" i="11"/>
  <c r="B24" i="11"/>
  <c r="B26" i="11"/>
  <c r="B28" i="11"/>
  <c r="B30" i="11"/>
  <c r="B7" i="11"/>
  <c r="B8" i="11"/>
  <c r="B16" i="11"/>
  <c r="B32" i="11"/>
  <c r="B31" i="11"/>
  <c r="B9" i="11"/>
  <c r="B11" i="11"/>
  <c r="B13" i="11"/>
  <c r="B15" i="11"/>
  <c r="B17" i="11"/>
  <c r="B19" i="11"/>
  <c r="B21" i="11"/>
  <c r="B23" i="11"/>
  <c r="B25" i="11"/>
  <c r="B27" i="11"/>
  <c r="B29" i="11"/>
  <c r="E34" i="14"/>
  <c r="O34" i="14" s="1"/>
  <c r="E30" i="14"/>
  <c r="O30" i="14" s="1"/>
  <c r="E26" i="14"/>
  <c r="O26" i="14" s="1"/>
  <c r="E22" i="14"/>
  <c r="O22" i="14" s="1"/>
  <c r="E18" i="14"/>
  <c r="O18" i="14" s="1"/>
  <c r="O14" i="14"/>
  <c r="O10" i="14"/>
  <c r="E37" i="14"/>
  <c r="E31" i="14"/>
  <c r="O31" i="14" s="1"/>
  <c r="E27" i="14"/>
  <c r="O27" i="14" s="1"/>
  <c r="E23" i="14"/>
  <c r="O23" i="14" s="1"/>
  <c r="E19" i="14"/>
  <c r="O19" i="14" s="1"/>
  <c r="O15" i="14"/>
  <c r="O11" i="14"/>
  <c r="O7" i="14"/>
  <c r="O6" i="14"/>
  <c r="E17" i="14"/>
  <c r="O17" i="14" s="1"/>
  <c r="O13" i="14"/>
  <c r="O9" i="14"/>
  <c r="D28" i="14"/>
  <c r="N28" i="14" s="1"/>
  <c r="R28" i="14" s="1"/>
  <c r="D24" i="14"/>
  <c r="N24" i="14" s="1"/>
  <c r="R24" i="14" s="1"/>
  <c r="D20" i="14"/>
  <c r="N20" i="14" s="1"/>
  <c r="R20" i="14" s="1"/>
  <c r="D16" i="14"/>
  <c r="N16" i="14" s="1"/>
  <c r="R16" i="14" s="1"/>
  <c r="D6" i="14"/>
  <c r="D31" i="14"/>
  <c r="N31" i="14" s="1"/>
  <c r="R31" i="14" s="1"/>
  <c r="D26" i="14"/>
  <c r="N26" i="14" s="1"/>
  <c r="R26" i="14" s="1"/>
  <c r="D22" i="14"/>
  <c r="N22" i="14" s="1"/>
  <c r="R22" i="14" s="1"/>
  <c r="D32" i="14"/>
  <c r="N32" i="14" s="1"/>
  <c r="R32" i="14" s="1"/>
  <c r="D27" i="14"/>
  <c r="N27" i="14" s="1"/>
  <c r="R27" i="14" s="1"/>
  <c r="D23" i="14"/>
  <c r="N23" i="14" s="1"/>
  <c r="R23" i="14" s="1"/>
  <c r="D19" i="14"/>
  <c r="N19" i="14" s="1"/>
  <c r="R19" i="14" s="1"/>
  <c r="D15" i="14"/>
  <c r="N15" i="14" s="1"/>
  <c r="R15" i="14" s="1"/>
  <c r="D11" i="14"/>
  <c r="N11" i="14" s="1"/>
  <c r="R11" i="14" s="1"/>
  <c r="D7" i="14"/>
  <c r="N7" i="14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 i="3"/>
  <c r="E38" i="3"/>
  <c r="F35" i="23" s="1"/>
  <c r="AI18" i="13"/>
  <c r="AI22" i="13"/>
  <c r="AI23" i="13"/>
  <c r="P40" i="10"/>
  <c r="R25" i="18"/>
  <c r="I22" i="10"/>
  <c r="Q22" i="10" s="1"/>
  <c r="R4" i="18"/>
  <c r="R18" i="18"/>
  <c r="I33" i="10"/>
  <c r="Q33" i="10" s="1"/>
  <c r="R33" i="18"/>
  <c r="AI14" i="13"/>
  <c r="AI20" i="13"/>
  <c r="AI28" i="13"/>
  <c r="AI32" i="13"/>
  <c r="AI33" i="13"/>
  <c r="AI36" i="13"/>
  <c r="AJ37" i="13" s="1"/>
  <c r="I29" i="10"/>
  <c r="Q29" i="10" s="1"/>
  <c r="I34" i="10"/>
  <c r="Q34" i="10" s="1"/>
  <c r="AI7" i="13"/>
  <c r="AI11" i="13"/>
  <c r="AI17" i="13"/>
  <c r="AI21" i="13"/>
  <c r="AI24" i="13"/>
  <c r="AI35" i="13"/>
  <c r="R29" i="18"/>
  <c r="I20" i="10"/>
  <c r="Q20" i="10" s="1"/>
  <c r="I25" i="10"/>
  <c r="Q25" i="10" s="1"/>
  <c r="AI8" i="13"/>
  <c r="AI12" i="13"/>
  <c r="AJ13" i="13" s="1"/>
  <c r="AI25" i="13"/>
  <c r="AI27" i="13"/>
  <c r="AI29" i="13"/>
  <c r="AI31" i="13"/>
  <c r="AI34" i="13"/>
  <c r="R31" i="18"/>
  <c r="I15" i="10"/>
  <c r="Q15" i="10" s="1"/>
  <c r="I18" i="10"/>
  <c r="Q18" i="10" s="1"/>
  <c r="I21" i="10"/>
  <c r="Q21" i="10" s="1"/>
  <c r="I32" i="10"/>
  <c r="Q32" i="10" s="1"/>
  <c r="AI10" i="13"/>
  <c r="I5" i="23"/>
  <c r="E36" i="14"/>
  <c r="O36" i="14" s="1"/>
  <c r="K76" i="3"/>
  <c r="M36" i="13" s="1"/>
  <c r="M35" i="14"/>
  <c r="B36" i="11"/>
  <c r="E35" i="14"/>
  <c r="F37" i="14"/>
  <c r="D35" i="14"/>
  <c r="N35" i="14" s="1"/>
  <c r="R35" i="14" s="1"/>
  <c r="F29" i="14"/>
  <c r="K75" i="3"/>
  <c r="M35" i="13" s="1"/>
  <c r="B35" i="11"/>
  <c r="K74" i="3"/>
  <c r="M34" i="13" s="1"/>
  <c r="B34" i="11"/>
  <c r="B33" i="11"/>
  <c r="S32" i="14"/>
  <c r="S8" i="14"/>
  <c r="R9" i="14"/>
  <c r="R10" i="14"/>
  <c r="S12" i="14"/>
  <c r="R13" i="14"/>
  <c r="R14" i="14"/>
  <c r="S16" i="14"/>
  <c r="R18" i="14"/>
  <c r="S20" i="14"/>
  <c r="S28" i="14"/>
  <c r="S33" i="14"/>
  <c r="R6" i="14"/>
  <c r="S7" i="14"/>
  <c r="S39" i="14" s="1"/>
  <c r="R8" i="14"/>
  <c r="S9" i="14"/>
  <c r="R12" i="14"/>
  <c r="S13" i="14"/>
  <c r="S14" i="14"/>
  <c r="S17" i="14"/>
  <c r="S18" i="14"/>
  <c r="S21" i="14"/>
  <c r="S25" i="14"/>
  <c r="S26" i="14"/>
  <c r="S34" i="14"/>
  <c r="R5" i="10"/>
  <c r="S5" i="10"/>
  <c r="X8" i="10"/>
  <c r="T7" i="10"/>
  <c r="U7" i="10"/>
  <c r="R34" i="18"/>
  <c r="R32" i="18"/>
  <c r="E7" i="13"/>
  <c r="AI6" i="13"/>
  <c r="S8" i="10" l="1"/>
  <c r="Z8" i="10" s="1"/>
  <c r="AJ19" i="13"/>
  <c r="AJ9" i="13"/>
  <c r="R38" i="3"/>
  <c r="K37" i="10"/>
  <c r="X36" i="18"/>
  <c r="S6" i="10"/>
  <c r="Z6" i="10" s="1"/>
  <c r="R7" i="10"/>
  <c r="AJ26" i="13"/>
  <c r="L35" i="18"/>
  <c r="G39" i="14"/>
  <c r="L35" i="13"/>
  <c r="I33" i="11"/>
  <c r="V6" i="10"/>
  <c r="W6" i="10" s="1"/>
  <c r="AJ16" i="13"/>
  <c r="AJ17" i="13"/>
  <c r="I27" i="11"/>
  <c r="L34" i="13"/>
  <c r="AJ15" i="13"/>
  <c r="G7" i="13"/>
  <c r="I34" i="11"/>
  <c r="I36" i="11"/>
  <c r="I30" i="11"/>
  <c r="I25" i="11"/>
  <c r="L26" i="13"/>
  <c r="I7" i="11"/>
  <c r="L30" i="13"/>
  <c r="I26" i="11"/>
  <c r="I35" i="11"/>
  <c r="AJ11" i="13"/>
  <c r="I8" i="11"/>
  <c r="F17" i="14"/>
  <c r="F22" i="14"/>
  <c r="I31" i="11"/>
  <c r="L31" i="13"/>
  <c r="I29" i="11"/>
  <c r="F18" i="14"/>
  <c r="L32" i="13"/>
  <c r="L24" i="13"/>
  <c r="L29" i="13"/>
  <c r="AJ30" i="13"/>
  <c r="L36" i="13"/>
  <c r="I32" i="11"/>
  <c r="I28" i="11"/>
  <c r="L27" i="13"/>
  <c r="AJ31" i="13"/>
  <c r="V7" i="10"/>
  <c r="W7" i="10" s="1"/>
  <c r="L33" i="13"/>
  <c r="F36" i="14"/>
  <c r="G6" i="13"/>
  <c r="L25" i="13"/>
  <c r="AJ27" i="13"/>
  <c r="F26" i="14"/>
  <c r="I9" i="11"/>
  <c r="L28" i="13"/>
  <c r="C39" i="14"/>
  <c r="I39" i="14"/>
  <c r="F6" i="13"/>
  <c r="J37" i="13"/>
  <c r="L37" i="13" s="1"/>
  <c r="AJ22" i="13"/>
  <c r="AJ36" i="13"/>
  <c r="AJ32" i="13"/>
  <c r="AJ18" i="13"/>
  <c r="AJ23" i="13"/>
  <c r="F34" i="14"/>
  <c r="F24" i="14"/>
  <c r="F23" i="14"/>
  <c r="F33" i="14"/>
  <c r="F28" i="14"/>
  <c r="F21" i="14"/>
  <c r="F31" i="14"/>
  <c r="F27" i="14"/>
  <c r="F19" i="14"/>
  <c r="F20" i="14"/>
  <c r="F32" i="14"/>
  <c r="F25" i="14"/>
  <c r="AJ21" i="13"/>
  <c r="AJ34" i="13"/>
  <c r="AJ28" i="13"/>
  <c r="AJ8" i="13"/>
  <c r="R26" i="18"/>
  <c r="R22" i="18"/>
  <c r="R23" i="18"/>
  <c r="R6" i="18"/>
  <c r="R12" i="18"/>
  <c r="R24" i="18"/>
  <c r="R11" i="18"/>
  <c r="R19" i="18"/>
  <c r="R8" i="18"/>
  <c r="R16" i="18"/>
  <c r="AJ25" i="13"/>
  <c r="AJ29" i="13"/>
  <c r="AJ14" i="13"/>
  <c r="R10" i="18"/>
  <c r="R20" i="18"/>
  <c r="R21" i="18"/>
  <c r="R17" i="18"/>
  <c r="R15" i="18"/>
  <c r="R13" i="18"/>
  <c r="R7" i="18"/>
  <c r="AJ35" i="13"/>
  <c r="AJ10" i="13"/>
  <c r="AJ20" i="13"/>
  <c r="AJ24" i="13"/>
  <c r="AJ12" i="13"/>
  <c r="AJ33" i="13"/>
  <c r="R30" i="18"/>
  <c r="R28" i="18"/>
  <c r="G31" i="26"/>
  <c r="M39" i="14"/>
  <c r="O35" i="14"/>
  <c r="O39" i="14" s="1"/>
  <c r="E39" i="14"/>
  <c r="D39" i="14"/>
  <c r="F35" i="14"/>
  <c r="T8" i="10"/>
  <c r="U8" i="10"/>
  <c r="X9" i="10"/>
  <c r="Z5" i="10"/>
  <c r="S37" i="10"/>
  <c r="S39" i="10" s="1"/>
  <c r="R8" i="10"/>
  <c r="R35" i="18"/>
  <c r="AJ6" i="13"/>
  <c r="AJ7" i="13"/>
  <c r="F7" i="13"/>
  <c r="E8" i="13"/>
  <c r="N39" i="14"/>
  <c r="R7" i="14"/>
  <c r="R39" i="14" s="1"/>
  <c r="F39" i="14" l="1"/>
  <c r="U9" i="10"/>
  <c r="X10" i="10"/>
  <c r="T9" i="10"/>
  <c r="S9" i="10"/>
  <c r="Z9" i="10" s="1"/>
  <c r="R9" i="10"/>
  <c r="V8" i="10"/>
  <c r="W8" i="10" s="1"/>
  <c r="F8" i="13"/>
  <c r="E9" i="13"/>
  <c r="G8" i="13"/>
  <c r="V9" i="10" l="1"/>
  <c r="W9" i="10" s="1"/>
  <c r="X11" i="10"/>
  <c r="S10" i="10"/>
  <c r="Z10" i="10" s="1"/>
  <c r="U10" i="10"/>
  <c r="R10" i="10"/>
  <c r="T10" i="10"/>
  <c r="F9" i="13"/>
  <c r="E10" i="13"/>
  <c r="G9" i="13"/>
  <c r="X12" i="10" l="1"/>
  <c r="T11" i="10"/>
  <c r="R11" i="10"/>
  <c r="U11" i="10"/>
  <c r="S11" i="10"/>
  <c r="Z11" i="10" s="1"/>
  <c r="V10" i="10"/>
  <c r="W10" i="10" s="1"/>
  <c r="F10" i="13"/>
  <c r="E11" i="13"/>
  <c r="G10" i="13"/>
  <c r="V11" i="10" l="1"/>
  <c r="W11" i="10" s="1"/>
  <c r="T12" i="10"/>
  <c r="U12" i="10"/>
  <c r="X13" i="10"/>
  <c r="R12" i="10"/>
  <c r="S12" i="10"/>
  <c r="Z12" i="10" s="1"/>
  <c r="F11" i="13"/>
  <c r="E12" i="13"/>
  <c r="G11" i="13"/>
  <c r="U13" i="10" l="1"/>
  <c r="X14" i="10"/>
  <c r="T13" i="10"/>
  <c r="S13" i="10"/>
  <c r="Z13" i="10" s="1"/>
  <c r="R13" i="10"/>
  <c r="V12" i="10"/>
  <c r="W12" i="10" s="1"/>
  <c r="F12" i="13"/>
  <c r="E13" i="13"/>
  <c r="G12" i="13"/>
  <c r="V13" i="10" l="1"/>
  <c r="W13" i="10" s="1"/>
  <c r="X15" i="10"/>
  <c r="U14" i="10"/>
  <c r="T14" i="10"/>
  <c r="S14" i="10"/>
  <c r="Z14" i="10" s="1"/>
  <c r="R14" i="10"/>
  <c r="F13" i="13"/>
  <c r="E14" i="13"/>
  <c r="G13" i="13"/>
  <c r="X16" i="10" l="1"/>
  <c r="T15" i="10"/>
  <c r="R15" i="10"/>
  <c r="U15" i="10"/>
  <c r="S15" i="10"/>
  <c r="Z15" i="10" s="1"/>
  <c r="V14" i="10"/>
  <c r="W14" i="10" s="1"/>
  <c r="F14" i="13"/>
  <c r="E15" i="13"/>
  <c r="G14" i="13"/>
  <c r="V15" i="10" l="1"/>
  <c r="W15" i="10" s="1"/>
  <c r="T16" i="10"/>
  <c r="U16" i="10"/>
  <c r="X17" i="10"/>
  <c r="S16" i="10"/>
  <c r="Z16" i="10" s="1"/>
  <c r="R16" i="10"/>
  <c r="F15" i="13"/>
  <c r="E16" i="13"/>
  <c r="G15" i="13"/>
  <c r="U17" i="10" l="1"/>
  <c r="X18" i="10"/>
  <c r="R17" i="10"/>
  <c r="T17" i="10"/>
  <c r="S17" i="10"/>
  <c r="Z17" i="10" s="1"/>
  <c r="V16" i="10"/>
  <c r="W16" i="10" s="1"/>
  <c r="F16" i="13"/>
  <c r="E17" i="13"/>
  <c r="G16" i="13"/>
  <c r="V17" i="10" l="1"/>
  <c r="W17" i="10" s="1"/>
  <c r="X19" i="10"/>
  <c r="T18" i="10"/>
  <c r="S18" i="10"/>
  <c r="Z18" i="10" s="1"/>
  <c r="U18" i="10"/>
  <c r="R18" i="10"/>
  <c r="F17" i="13"/>
  <c r="E18" i="13"/>
  <c r="G17" i="13"/>
  <c r="V18" i="10" l="1"/>
  <c r="W18" i="10" s="1"/>
  <c r="T19" i="10"/>
  <c r="U19" i="10"/>
  <c r="X20" i="10"/>
  <c r="S19" i="10"/>
  <c r="Z19" i="10" s="1"/>
  <c r="R19" i="10"/>
  <c r="E19" i="13"/>
  <c r="F18" i="13"/>
  <c r="G18" i="13"/>
  <c r="V19" i="10" l="1"/>
  <c r="W19" i="10" s="1"/>
  <c r="U20" i="10"/>
  <c r="X21" i="10"/>
  <c r="S20" i="10"/>
  <c r="Z20" i="10" s="1"/>
  <c r="R20" i="10"/>
  <c r="T20" i="10"/>
  <c r="E20" i="13"/>
  <c r="F19" i="13"/>
  <c r="G19" i="13"/>
  <c r="V20" i="10" l="1"/>
  <c r="W20" i="10" s="1"/>
  <c r="X22" i="10"/>
  <c r="T21" i="10"/>
  <c r="R21" i="10"/>
  <c r="U21" i="10"/>
  <c r="S21" i="10"/>
  <c r="Z21" i="10" s="1"/>
  <c r="F20" i="13"/>
  <c r="E21" i="13"/>
  <c r="G20" i="13"/>
  <c r="X23" i="10" l="1"/>
  <c r="T22" i="10"/>
  <c r="S22" i="10"/>
  <c r="Z22" i="10" s="1"/>
  <c r="R22" i="10"/>
  <c r="U22" i="10"/>
  <c r="V21" i="10"/>
  <c r="W21" i="10" s="1"/>
  <c r="F21" i="13"/>
  <c r="E22" i="13"/>
  <c r="G21" i="13"/>
  <c r="T23" i="10" l="1"/>
  <c r="U23" i="10"/>
  <c r="X24" i="10"/>
  <c r="R23" i="10"/>
  <c r="S23" i="10"/>
  <c r="Z23" i="10" s="1"/>
  <c r="V22" i="10"/>
  <c r="W22" i="10" s="1"/>
  <c r="F22" i="13"/>
  <c r="E23" i="13"/>
  <c r="G22" i="13"/>
  <c r="V23" i="10" l="1"/>
  <c r="W23" i="10" s="1"/>
  <c r="U24" i="10"/>
  <c r="X25" i="10"/>
  <c r="S24" i="10"/>
  <c r="Z24" i="10" s="1"/>
  <c r="R24" i="10"/>
  <c r="T24" i="10"/>
  <c r="F23" i="13"/>
  <c r="E24" i="13"/>
  <c r="G23" i="13"/>
  <c r="V24" i="10" l="1"/>
  <c r="W24" i="10" s="1"/>
  <c r="X26" i="10"/>
  <c r="U25" i="10"/>
  <c r="T25" i="10"/>
  <c r="S25" i="10"/>
  <c r="Z25" i="10" s="1"/>
  <c r="R25" i="10"/>
  <c r="F24" i="13"/>
  <c r="E25" i="13"/>
  <c r="G24" i="13"/>
  <c r="X27" i="10" l="1"/>
  <c r="T26" i="10"/>
  <c r="S26" i="10"/>
  <c r="Z26" i="10" s="1"/>
  <c r="U26" i="10"/>
  <c r="R26" i="10"/>
  <c r="V25" i="10"/>
  <c r="W25" i="10" s="1"/>
  <c r="F25" i="13"/>
  <c r="E26" i="13"/>
  <c r="G25" i="13"/>
  <c r="V26" i="10" l="1"/>
  <c r="W26" i="10" s="1"/>
  <c r="T27" i="10"/>
  <c r="U27" i="10"/>
  <c r="X28" i="10"/>
  <c r="S27" i="10"/>
  <c r="Z27" i="10" s="1"/>
  <c r="R27" i="10"/>
  <c r="E27" i="13"/>
  <c r="F26" i="13"/>
  <c r="G26" i="13"/>
  <c r="U28" i="10" l="1"/>
  <c r="X29" i="10"/>
  <c r="R28" i="10"/>
  <c r="T28" i="10"/>
  <c r="S28" i="10"/>
  <c r="Z28" i="10" s="1"/>
  <c r="V27" i="10"/>
  <c r="W27" i="10" s="1"/>
  <c r="F27" i="13"/>
  <c r="E28" i="13"/>
  <c r="G27" i="13"/>
  <c r="V28" i="10" l="1"/>
  <c r="W28" i="10" s="1"/>
  <c r="X30" i="10"/>
  <c r="U29" i="10"/>
  <c r="S29" i="10"/>
  <c r="Z29" i="10" s="1"/>
  <c r="T29" i="10"/>
  <c r="R29" i="10"/>
  <c r="F28" i="13"/>
  <c r="E29" i="13"/>
  <c r="G28" i="13"/>
  <c r="X31" i="10" l="1"/>
  <c r="T30" i="10"/>
  <c r="R30" i="10"/>
  <c r="U30" i="10"/>
  <c r="S30" i="10"/>
  <c r="Z30" i="10" s="1"/>
  <c r="V29" i="10"/>
  <c r="W29" i="10" s="1"/>
  <c r="E30" i="13"/>
  <c r="F29" i="13"/>
  <c r="G29" i="13"/>
  <c r="V30" i="10" l="1"/>
  <c r="W30" i="10" s="1"/>
  <c r="T31" i="10"/>
  <c r="U31" i="10"/>
  <c r="X32" i="10"/>
  <c r="S31" i="10"/>
  <c r="Z31" i="10" s="1"/>
  <c r="R31" i="10"/>
  <c r="E31" i="13"/>
  <c r="F30" i="13"/>
  <c r="G30" i="13"/>
  <c r="U32" i="10" l="1"/>
  <c r="X33" i="10"/>
  <c r="R32" i="10"/>
  <c r="S32" i="10"/>
  <c r="Z32" i="10" s="1"/>
  <c r="T32" i="10"/>
  <c r="V31" i="10"/>
  <c r="W31" i="10" s="1"/>
  <c r="F31" i="13"/>
  <c r="E32" i="13"/>
  <c r="G31" i="13"/>
  <c r="V32" i="10" l="1"/>
  <c r="W32" i="10" s="1"/>
  <c r="T33" i="10"/>
  <c r="X34" i="10"/>
  <c r="S33" i="10"/>
  <c r="Z33" i="10" s="1"/>
  <c r="R33" i="10"/>
  <c r="U33" i="10"/>
  <c r="F32" i="13"/>
  <c r="E33" i="13"/>
  <c r="G32" i="13"/>
  <c r="U34" i="10" l="1"/>
  <c r="X35" i="10"/>
  <c r="R34" i="10"/>
  <c r="T34" i="10"/>
  <c r="S34" i="10"/>
  <c r="Z34" i="10" s="1"/>
  <c r="V33" i="10"/>
  <c r="W33" i="10" s="1"/>
  <c r="E34" i="13"/>
  <c r="F33" i="13"/>
  <c r="G33" i="13"/>
  <c r="V34" i="10" l="1"/>
  <c r="W34" i="10" s="1"/>
  <c r="T35" i="10"/>
  <c r="U35" i="10"/>
  <c r="R35" i="10"/>
  <c r="S35" i="10"/>
  <c r="Z35" i="10" s="1"/>
  <c r="E35" i="13"/>
  <c r="F34" i="13"/>
  <c r="G34" i="13"/>
  <c r="V35" i="10" l="1"/>
  <c r="W35" i="10" s="1"/>
  <c r="E36" i="13"/>
  <c r="F35" i="13"/>
  <c r="G35" i="13"/>
  <c r="F36" i="13" l="1"/>
  <c r="G36" i="13"/>
  <c r="V3" i="25" l="1"/>
  <c r="V4" i="25"/>
  <c r="V5" i="25"/>
  <c r="V6" i="25"/>
  <c r="V7" i="25"/>
  <c r="V8" i="25"/>
  <c r="V9" i="25"/>
  <c r="V10" i="25"/>
  <c r="V11" i="25"/>
  <c r="V12" i="25"/>
  <c r="V13" i="25"/>
  <c r="V14" i="25"/>
  <c r="V15" i="25"/>
  <c r="V16" i="25"/>
  <c r="V17" i="25"/>
  <c r="V18" i="25"/>
  <c r="V19" i="25"/>
  <c r="V20" i="25"/>
  <c r="V21" i="25"/>
  <c r="V22" i="25"/>
  <c r="V23" i="25"/>
  <c r="V24" i="25"/>
  <c r="V25" i="25"/>
  <c r="V26" i="25"/>
  <c r="V27" i="25"/>
  <c r="V28" i="25"/>
  <c r="V29" i="25"/>
  <c r="V30" i="25"/>
  <c r="V31" i="25"/>
  <c r="V32" i="25"/>
  <c r="U3" i="25"/>
  <c r="U4" i="25"/>
  <c r="U5" i="25"/>
  <c r="U6" i="25"/>
  <c r="U7" i="25"/>
  <c r="U8" i="25"/>
  <c r="U9" i="25"/>
  <c r="U10" i="25"/>
  <c r="U11" i="25"/>
  <c r="U12" i="25"/>
  <c r="U13" i="25"/>
  <c r="U14" i="25"/>
  <c r="U15" i="25"/>
  <c r="U16" i="25"/>
  <c r="U17" i="25"/>
  <c r="U18" i="25"/>
  <c r="U19" i="25"/>
  <c r="U20" i="25"/>
  <c r="U21" i="25"/>
  <c r="U22" i="25"/>
  <c r="U23" i="25"/>
  <c r="U24" i="25"/>
  <c r="U25" i="25"/>
  <c r="U26" i="25"/>
  <c r="U27" i="25"/>
  <c r="U28" i="25"/>
  <c r="U29" i="25"/>
  <c r="U30" i="25"/>
  <c r="U31" i="25"/>
  <c r="U32" i="25"/>
  <c r="T3" i="25"/>
  <c r="T4" i="25"/>
  <c r="T5" i="25"/>
  <c r="T6" i="25"/>
  <c r="T7" i="25"/>
  <c r="T8" i="25"/>
  <c r="T9" i="25"/>
  <c r="T10" i="25"/>
  <c r="T11" i="25"/>
  <c r="T12" i="25"/>
  <c r="T13" i="25"/>
  <c r="T14" i="25"/>
  <c r="T15" i="25"/>
  <c r="T16" i="25"/>
  <c r="T17" i="25"/>
  <c r="T18" i="25"/>
  <c r="T19" i="25"/>
  <c r="T20" i="25"/>
  <c r="T21" i="25"/>
  <c r="T22" i="25"/>
  <c r="T23" i="25"/>
  <c r="T24" i="25"/>
  <c r="T25" i="25"/>
  <c r="T26" i="25"/>
  <c r="T27" i="25"/>
  <c r="T28" i="25"/>
  <c r="T29" i="25"/>
  <c r="T30" i="25"/>
  <c r="T31" i="25"/>
  <c r="T32" i="25"/>
  <c r="S3" i="25"/>
  <c r="S4" i="25"/>
  <c r="S5" i="25"/>
  <c r="S6" i="25"/>
  <c r="S7" i="25"/>
  <c r="S8" i="25"/>
  <c r="S9" i="25"/>
  <c r="S10" i="25"/>
  <c r="S11" i="25"/>
  <c r="S12" i="25"/>
  <c r="S13" i="25"/>
  <c r="S14" i="25"/>
  <c r="S15" i="25"/>
  <c r="S16" i="25"/>
  <c r="S17" i="25"/>
  <c r="S18" i="25"/>
  <c r="S19" i="25"/>
  <c r="S20" i="25"/>
  <c r="S21" i="25"/>
  <c r="S22" i="25"/>
  <c r="S23" i="25"/>
  <c r="S24" i="25"/>
  <c r="S25" i="25"/>
  <c r="S26" i="25"/>
  <c r="S27" i="25"/>
  <c r="S28" i="25"/>
  <c r="S29" i="25"/>
  <c r="S30" i="25"/>
  <c r="S31" i="25"/>
  <c r="S32" i="25"/>
  <c r="V2" i="25"/>
  <c r="U2" i="25"/>
  <c r="T2" i="25"/>
  <c r="S2" i="25"/>
  <c r="R3" i="25"/>
  <c r="R4" i="25"/>
  <c r="R5" i="25"/>
  <c r="R6" i="25"/>
  <c r="R7" i="25"/>
  <c r="R8" i="25"/>
  <c r="R9" i="25"/>
  <c r="R10" i="25"/>
  <c r="R11" i="25"/>
  <c r="R12" i="25"/>
  <c r="R13" i="25"/>
  <c r="R14" i="25"/>
  <c r="R15" i="25"/>
  <c r="R16" i="25"/>
  <c r="R17" i="25"/>
  <c r="R18" i="25"/>
  <c r="R19" i="25"/>
  <c r="R20" i="25"/>
  <c r="R21" i="25"/>
  <c r="R22" i="25"/>
  <c r="R23" i="25"/>
  <c r="R24" i="25"/>
  <c r="R25" i="25"/>
  <c r="R26" i="25"/>
  <c r="R27" i="25"/>
  <c r="R28" i="25"/>
  <c r="R29" i="25"/>
  <c r="R30" i="25"/>
  <c r="R31" i="25"/>
  <c r="R32" i="25"/>
  <c r="R2" i="25"/>
  <c r="Q17" i="25"/>
  <c r="Q18" i="25"/>
  <c r="Q19" i="25"/>
  <c r="Q20" i="25"/>
  <c r="Q21" i="25"/>
  <c r="Q22" i="25"/>
  <c r="Q23" i="25"/>
  <c r="Q24" i="25"/>
  <c r="Q25" i="25"/>
  <c r="Q26" i="25"/>
  <c r="Q27" i="25"/>
  <c r="Q28" i="25"/>
  <c r="Q29" i="25"/>
  <c r="Q30" i="25"/>
  <c r="Q31" i="25"/>
  <c r="Q32" i="25"/>
  <c r="J3" i="25"/>
  <c r="J4" i="25"/>
  <c r="J5" i="25"/>
  <c r="J6" i="25"/>
  <c r="J7" i="25"/>
  <c r="J8" i="25"/>
  <c r="J9" i="25"/>
  <c r="J10" i="25"/>
  <c r="J11" i="25"/>
  <c r="J12" i="25"/>
  <c r="J13" i="25"/>
  <c r="J14" i="25"/>
  <c r="J15" i="25"/>
  <c r="J16" i="25"/>
  <c r="J17" i="25"/>
  <c r="J18" i="25"/>
  <c r="J19" i="25"/>
  <c r="J20" i="25"/>
  <c r="J21" i="25"/>
  <c r="J22" i="25"/>
  <c r="J23" i="25"/>
  <c r="J24" i="25"/>
  <c r="J25" i="25"/>
  <c r="J26" i="25"/>
  <c r="J27" i="25"/>
  <c r="J28" i="25"/>
  <c r="J29" i="25"/>
  <c r="J30" i="25"/>
  <c r="J31" i="25"/>
  <c r="J32" i="25"/>
  <c r="J2" i="25"/>
  <c r="I3" i="25"/>
  <c r="I4" i="25"/>
  <c r="I5" i="25"/>
  <c r="I6" i="25"/>
  <c r="I7" i="25"/>
  <c r="I8" i="25"/>
  <c r="I9" i="25"/>
  <c r="I10" i="25"/>
  <c r="I11" i="25"/>
  <c r="I12" i="25"/>
  <c r="I13" i="25"/>
  <c r="I14" i="25"/>
  <c r="I15" i="25"/>
  <c r="I16" i="25"/>
  <c r="I17" i="25"/>
  <c r="I18" i="25"/>
  <c r="I19" i="25"/>
  <c r="I20" i="25"/>
  <c r="I21" i="25"/>
  <c r="I22" i="25"/>
  <c r="I23" i="25"/>
  <c r="I24" i="25"/>
  <c r="I25" i="25"/>
  <c r="I26" i="25"/>
  <c r="I27" i="25"/>
  <c r="I28" i="25"/>
  <c r="I29" i="25"/>
  <c r="I30" i="25"/>
  <c r="I31" i="25"/>
  <c r="I32" i="25"/>
  <c r="I2" i="25"/>
  <c r="H3" i="25"/>
  <c r="H4" i="25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2" i="25"/>
  <c r="G2" i="26"/>
  <c r="B3" i="25" l="1"/>
  <c r="B4" i="25" s="1"/>
  <c r="B5" i="25" s="1"/>
  <c r="B6" i="25" s="1"/>
  <c r="B7" i="25" s="1"/>
  <c r="B8" i="25" s="1"/>
  <c r="B9" i="25" s="1"/>
  <c r="B10" i="25" s="1"/>
  <c r="B11" i="25" s="1"/>
  <c r="B12" i="25" s="1"/>
  <c r="B13" i="25" s="1"/>
  <c r="B14" i="25" s="1"/>
  <c r="B15" i="25" s="1"/>
  <c r="B16" i="25" s="1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27" i="25" s="1"/>
  <c r="B28" i="25" s="1"/>
  <c r="B29" i="25" s="1"/>
  <c r="B30" i="25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E11" i="25"/>
  <c r="C33" i="24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 i="24"/>
  <c r="B6" i="24"/>
  <c r="B7" i="24"/>
  <c r="B8" i="24"/>
  <c r="B9" i="24"/>
  <c r="B10" i="24"/>
  <c r="B11" i="24"/>
  <c r="B12" i="24"/>
  <c r="B13" i="24"/>
  <c r="B14" i="24"/>
  <c r="B15" i="24"/>
  <c r="B16" i="24"/>
  <c r="B17" i="24"/>
  <c r="B18" i="24"/>
  <c r="B19" i="24"/>
  <c r="B20" i="24"/>
  <c r="B21" i="24"/>
  <c r="B22" i="24"/>
  <c r="B23" i="24"/>
  <c r="B24" i="24"/>
  <c r="B25" i="24"/>
  <c r="B26" i="24"/>
  <c r="B27" i="24"/>
  <c r="B28" i="24"/>
  <c r="B29" i="24"/>
  <c r="B30" i="24"/>
  <c r="B31" i="24"/>
  <c r="B32" i="24"/>
  <c r="B33" i="24"/>
  <c r="B3" i="24"/>
  <c r="K32" i="26" l="1"/>
  <c r="X32" i="25" s="1"/>
  <c r="F30" i="25"/>
  <c r="F18" i="25"/>
  <c r="F14" i="25"/>
  <c r="F10" i="25"/>
  <c r="F5" i="25"/>
  <c r="F24" i="25"/>
  <c r="F15" i="25"/>
  <c r="F3" i="25"/>
  <c r="F6" i="25"/>
  <c r="F27" i="25"/>
  <c r="F16" i="25"/>
  <c r="F7" i="25"/>
  <c r="F26" i="25"/>
  <c r="F31" i="25"/>
  <c r="F19" i="25"/>
  <c r="F8" i="25"/>
  <c r="F28" i="25"/>
  <c r="F17" i="25"/>
  <c r="F13" i="25"/>
  <c r="F32" i="25"/>
  <c r="F23" i="25"/>
  <c r="F11" i="25"/>
  <c r="H9" i="24"/>
  <c r="K8" i="25" s="1"/>
  <c r="F4" i="25" l="1"/>
  <c r="F9" i="25"/>
  <c r="F25" i="25"/>
  <c r="F22" i="25"/>
  <c r="F20" i="25"/>
  <c r="F29" i="25"/>
  <c r="F12" i="25"/>
  <c r="F21" i="25"/>
  <c r="E2" i="25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 i="25"/>
  <c r="E22" i="25"/>
  <c r="E25" i="25"/>
  <c r="E28" i="25"/>
  <c r="E29" i="25"/>
  <c r="E32" i="25"/>
  <c r="E4" i="25"/>
  <c r="E6" i="25"/>
  <c r="E8" i="25"/>
  <c r="E12" i="25"/>
  <c r="E14" i="25"/>
  <c r="E32" i="26" l="1"/>
  <c r="F32" i="26"/>
  <c r="G32" i="25"/>
  <c r="F2" i="25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 i="25"/>
  <c r="H26" i="24"/>
  <c r="K25" i="25" s="1"/>
  <c r="E7" i="25"/>
  <c r="E3" i="25"/>
  <c r="E24" i="25"/>
  <c r="E20" i="25"/>
  <c r="E16" i="25"/>
  <c r="H25" i="24"/>
  <c r="K24" i="25" s="1"/>
  <c r="E10" i="25"/>
  <c r="E27" i="25"/>
  <c r="E23" i="25"/>
  <c r="E19" i="25"/>
  <c r="E15" i="25"/>
  <c r="F2" i="26"/>
  <c r="E13" i="25"/>
  <c r="E9" i="25"/>
  <c r="E5" i="25"/>
  <c r="E26" i="25"/>
  <c r="E18" i="25"/>
  <c r="E31" i="25"/>
  <c r="O6" i="25" l="1"/>
  <c r="O8" i="25"/>
  <c r="O19" i="25"/>
  <c r="O23" i="25"/>
  <c r="O26" i="25"/>
  <c r="O10" i="25"/>
  <c r="O13" i="25"/>
  <c r="O4" i="25"/>
  <c r="O12" i="25"/>
  <c r="O25" i="25"/>
  <c r="O7" i="25"/>
  <c r="O16" i="25"/>
  <c r="O31" i="25"/>
  <c r="O24" i="25"/>
  <c r="O22" i="25"/>
  <c r="O18" i="25"/>
  <c r="O27" i="25"/>
  <c r="O20" i="25"/>
  <c r="O3" i="25"/>
  <c r="O14" i="25"/>
  <c r="O9" i="25"/>
  <c r="O11" i="25"/>
  <c r="O15" i="25"/>
  <c r="O17" i="25"/>
  <c r="O2" i="25"/>
  <c r="O29" i="25"/>
  <c r="O28" i="25"/>
  <c r="O21" i="25"/>
  <c r="O5" i="25"/>
  <c r="G29" i="25"/>
  <c r="E29" i="26"/>
  <c r="F29" i="26"/>
  <c r="G27" i="25"/>
  <c r="E27" i="26"/>
  <c r="F27" i="26"/>
  <c r="G7" i="25"/>
  <c r="E7" i="26"/>
  <c r="F7" i="26"/>
  <c r="E4" i="26"/>
  <c r="G4" i="25"/>
  <c r="F4" i="26"/>
  <c r="E20" i="26"/>
  <c r="G20" i="25"/>
  <c r="F20" i="26"/>
  <c r="G25" i="25"/>
  <c r="E25" i="26"/>
  <c r="F25" i="26"/>
  <c r="G22" i="25"/>
  <c r="E22" i="26"/>
  <c r="F22" i="26"/>
  <c r="E8" i="26"/>
  <c r="G8" i="25"/>
  <c r="F8" i="26"/>
  <c r="G3" i="25"/>
  <c r="E3" i="26"/>
  <c r="F3" i="26"/>
  <c r="G21" i="25"/>
  <c r="E21" i="26"/>
  <c r="F21" i="26"/>
  <c r="G15" i="25"/>
  <c r="E15" i="26"/>
  <c r="F15" i="26"/>
  <c r="G11" i="25"/>
  <c r="E11" i="26"/>
  <c r="F11" i="26"/>
  <c r="G17" i="25"/>
  <c r="E17" i="26"/>
  <c r="F17" i="26"/>
  <c r="G14" i="25"/>
  <c r="E14" i="26"/>
  <c r="F14" i="26"/>
  <c r="E24" i="26"/>
  <c r="G24" i="25"/>
  <c r="F24" i="26"/>
  <c r="G30" i="25"/>
  <c r="E30" i="26"/>
  <c r="F30" i="26"/>
  <c r="E28" i="26"/>
  <c r="G28" i="25"/>
  <c r="F28" i="26"/>
  <c r="G31" i="25"/>
  <c r="E31" i="26"/>
  <c r="F31" i="26"/>
  <c r="G18" i="25"/>
  <c r="E18" i="26"/>
  <c r="F18" i="26"/>
  <c r="G5" i="25"/>
  <c r="E5" i="26"/>
  <c r="F5" i="26"/>
  <c r="G26" i="25"/>
  <c r="E26" i="26"/>
  <c r="F26" i="26"/>
  <c r="E16" i="26"/>
  <c r="G16" i="25"/>
  <c r="F16" i="26"/>
  <c r="E12" i="26"/>
  <c r="G12" i="25"/>
  <c r="F12" i="26"/>
  <c r="G23" i="25"/>
  <c r="E23" i="26"/>
  <c r="F23" i="26"/>
  <c r="G9" i="25"/>
  <c r="E9" i="26"/>
  <c r="F9" i="26"/>
  <c r="G6" i="25"/>
  <c r="E6" i="26"/>
  <c r="F6" i="26"/>
  <c r="E2" i="26"/>
  <c r="L2" i="26" s="1"/>
  <c r="G2" i="25"/>
  <c r="G19" i="25"/>
  <c r="E19" i="26"/>
  <c r="F19" i="26"/>
  <c r="G13" i="25"/>
  <c r="E13" i="26"/>
  <c r="F13" i="26"/>
  <c r="G10" i="25"/>
  <c r="E10" i="26"/>
  <c r="F10" i="26"/>
  <c r="E30" i="25"/>
  <c r="L28" i="26" l="1"/>
  <c r="L20" i="26"/>
  <c r="L13" i="26"/>
  <c r="L27" i="26"/>
  <c r="L6" i="26"/>
  <c r="L14" i="26"/>
  <c r="L21" i="26"/>
  <c r="L25" i="26"/>
  <c r="L31" i="26"/>
  <c r="L19" i="26"/>
  <c r="L9" i="26"/>
  <c r="L26" i="26"/>
  <c r="L17" i="26"/>
  <c r="L3" i="26"/>
  <c r="L8" i="26"/>
  <c r="L4" i="26"/>
  <c r="L29" i="26"/>
  <c r="O30" i="25"/>
  <c r="L23" i="26"/>
  <c r="L5" i="26"/>
  <c r="L30" i="26"/>
  <c r="L11" i="26"/>
  <c r="L12" i="26"/>
  <c r="L24" i="26"/>
  <c r="L10" i="26"/>
  <c r="L16" i="26"/>
  <c r="L18" i="26"/>
  <c r="L15" i="26"/>
  <c r="L22" i="26"/>
  <c r="L7" i="26"/>
  <c r="Q5" i="25" l="1"/>
  <c r="Q8" i="25"/>
  <c r="Q7" i="25"/>
  <c r="Q15" i="25"/>
  <c r="Q12" i="25"/>
  <c r="Q16" i="25"/>
  <c r="Q13" i="25"/>
  <c r="Q14" i="25"/>
  <c r="Q9" i="25"/>
  <c r="Q10" i="25"/>
  <c r="Q11" i="25"/>
  <c r="Q3" i="25"/>
  <c r="Q6" i="25"/>
  <c r="Q4" i="25"/>
  <c r="Q2" i="25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G15" i="23"/>
  <c r="AN17" i="3"/>
  <c r="AN12" i="3"/>
  <c r="G11" i="23" s="1"/>
  <c r="AN18" i="3"/>
  <c r="G17" i="23" s="1"/>
  <c r="AN11" i="3"/>
  <c r="G10" i="23" s="1"/>
  <c r="AN15" i="3"/>
  <c r="G14" i="23" s="1"/>
  <c r="U38" i="3"/>
  <c r="AN38" i="3" s="1"/>
  <c r="G35" i="23" s="1"/>
  <c r="W16" i="25" l="1"/>
  <c r="W15" i="25"/>
  <c r="G18" i="23"/>
  <c r="W13" i="25"/>
  <c r="G16" i="23"/>
  <c r="W7" i="25"/>
  <c r="W11" i="25"/>
  <c r="W2" i="25"/>
  <c r="G8" i="23"/>
  <c r="W14" i="25"/>
  <c r="W12" i="25"/>
  <c r="W10" i="25"/>
  <c r="AN37" i="3"/>
  <c r="G34" i="23" s="1"/>
  <c r="W8" i="25"/>
  <c r="G9" i="23"/>
  <c r="W4" i="25"/>
  <c r="G6" i="23"/>
  <c r="W9" i="25"/>
  <c r="C9" i="1" l="1"/>
  <c r="C11" i="1" s="1"/>
  <c r="H3" i="13" l="1"/>
  <c r="J5" i="11"/>
  <c r="H6" i="13"/>
  <c r="E5" i="23"/>
  <c r="C12" i="1"/>
  <c r="AT11" i="1"/>
  <c r="AT12" i="1" l="1"/>
  <c r="C13" i="1"/>
  <c r="J6" i="11"/>
  <c r="H7" i="13"/>
  <c r="E6" i="23"/>
  <c r="C14" i="1" l="1"/>
  <c r="AT13" i="1"/>
  <c r="E7" i="23"/>
  <c r="J7" i="11"/>
  <c r="H8" i="13"/>
  <c r="AT14" i="1" l="1"/>
  <c r="C15" i="1"/>
  <c r="H9" i="13"/>
  <c r="J8" i="11"/>
  <c r="E8" i="23"/>
  <c r="AT15" i="1" l="1"/>
  <c r="C16" i="1"/>
  <c r="H10" i="13"/>
  <c r="J9" i="11"/>
  <c r="E9" i="23"/>
  <c r="AT16" i="1" l="1"/>
  <c r="C17" i="1"/>
  <c r="J10" i="11"/>
  <c r="H11" i="13"/>
  <c r="E10" i="23"/>
  <c r="AT17" i="1" l="1"/>
  <c r="C18" i="1"/>
  <c r="H12" i="13"/>
  <c r="J11" i="11"/>
  <c r="E11" i="23"/>
  <c r="AT18" i="1" l="1"/>
  <c r="C19" i="1"/>
  <c r="E12" i="23"/>
  <c r="H13" i="13"/>
  <c r="J12" i="11"/>
  <c r="AT19" i="1" l="1"/>
  <c r="C20" i="1"/>
  <c r="J13" i="11"/>
  <c r="H14" i="13"/>
  <c r="E13" i="23"/>
  <c r="AT20" i="1" l="1"/>
  <c r="C21" i="1"/>
  <c r="J14" i="11"/>
  <c r="H15" i="13"/>
  <c r="E14" i="23"/>
  <c r="AT21" i="1" l="1"/>
  <c r="C22" i="1"/>
  <c r="E15" i="23"/>
  <c r="J15" i="11"/>
  <c r="H16" i="13"/>
  <c r="AT22" i="1" l="1"/>
  <c r="C23" i="1"/>
  <c r="H17" i="13"/>
  <c r="J16" i="11"/>
  <c r="E16" i="23"/>
  <c r="AT23" i="1" l="1"/>
  <c r="C24" i="1"/>
  <c r="E17" i="23"/>
  <c r="J17" i="11"/>
  <c r="H18" i="13"/>
  <c r="AT24" i="1" l="1"/>
  <c r="C25" i="1"/>
  <c r="J18" i="11"/>
  <c r="H19" i="13"/>
  <c r="E18" i="23"/>
  <c r="C26" i="1" l="1"/>
  <c r="J19" i="11"/>
  <c r="E19" i="23"/>
  <c r="AT25" i="1"/>
  <c r="H20" i="13"/>
  <c r="C27" i="1" l="1"/>
  <c r="AT26" i="1"/>
  <c r="J20" i="11"/>
  <c r="H21" i="13"/>
  <c r="E20" i="23"/>
  <c r="C28" i="1" l="1"/>
  <c r="AT27" i="1"/>
  <c r="H22" i="13"/>
  <c r="J21" i="11"/>
  <c r="E21" i="23"/>
  <c r="C29" i="1" l="1"/>
  <c r="AT28" i="1"/>
  <c r="J22" i="11"/>
  <c r="H23" i="13"/>
  <c r="AT29" i="1" l="1"/>
  <c r="C30" i="1"/>
  <c r="J23" i="11"/>
  <c r="H24" i="13"/>
  <c r="C31" i="1" l="1"/>
  <c r="AT30" i="1"/>
  <c r="E22" i="23"/>
  <c r="J24" i="11"/>
  <c r="H25" i="13"/>
  <c r="AT31" i="1" l="1"/>
  <c r="C32" i="1"/>
  <c r="E24" i="23" s="1"/>
  <c r="J25" i="11"/>
  <c r="H26" i="13"/>
  <c r="E23" i="23"/>
  <c r="C33" i="1" l="1"/>
  <c r="E25" i="23" s="1"/>
  <c r="AT32" i="1"/>
  <c r="H27" i="13"/>
  <c r="J26" i="11"/>
  <c r="C34" i="1" l="1"/>
  <c r="E26" i="23" s="1"/>
  <c r="AT33" i="1"/>
  <c r="J27" i="11"/>
  <c r="H28" i="13"/>
  <c r="C35" i="1" l="1"/>
  <c r="AT34" i="1"/>
  <c r="H29" i="13"/>
  <c r="J28" i="11"/>
  <c r="AT35" i="1" l="1"/>
  <c r="E27" i="23"/>
  <c r="C36" i="1"/>
  <c r="H30" i="13"/>
  <c r="J29" i="11"/>
  <c r="AT36" i="1" l="1"/>
  <c r="E28" i="23"/>
  <c r="C37" i="1"/>
  <c r="H31" i="13"/>
  <c r="J30" i="11"/>
  <c r="AT37" i="1" l="1"/>
  <c r="E29" i="23"/>
  <c r="C38" i="1"/>
  <c r="J31" i="11"/>
  <c r="H32" i="13"/>
  <c r="AT38" i="1" l="1"/>
  <c r="E30" i="23"/>
  <c r="C39" i="1"/>
  <c r="J32" i="11"/>
  <c r="H33" i="13"/>
  <c r="AT39" i="1" l="1"/>
  <c r="E31" i="23"/>
  <c r="C40" i="1"/>
  <c r="J33" i="11"/>
  <c r="H34" i="13"/>
  <c r="AT40" i="1" l="1"/>
  <c r="E32" i="23"/>
  <c r="C41" i="1"/>
  <c r="H35" i="13"/>
  <c r="J34" i="11"/>
  <c r="AT41" i="1" l="1"/>
  <c r="E33" i="23"/>
  <c r="C42" i="1"/>
  <c r="J35" i="11"/>
  <c r="H36" i="13"/>
  <c r="AT42" i="1" l="1"/>
  <c r="E34" i="23"/>
  <c r="J36" i="11"/>
  <c r="C43" i="1"/>
  <c r="AT43" i="1" l="1"/>
  <c r="E35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tc={F03FD981-0C07-42DC-8712-D09F77499164}</author>
  </authors>
  <commentList>
    <comment ref="AI14" authorId="0" shapeId="0" xr:uid="{F03FD981-0C07-42DC-8712-D09F77499164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Thomson vehicle and paid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<sst xmlns="http://schemas.openxmlformats.org/spreadsheetml/2006/main" count="566" uniqueCount="339">
  <si>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</si>
  <si>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</si>
  <si>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</si>
  <si>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</si>
  <si>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</si>
  <si>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</si>
  <si>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</si>
  <si>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</si>
  <si>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</si>
  <si>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</si>
  <si>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</si>
  <si>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</si>
  <si>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</si>
  <si>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 xml:space="preserve"> </t>
  </si>
  <si>
    <t xml:space="preserve">Transport Consumption (LT) </t>
  </si>
  <si>
    <t xml:space="preserve">Generators Consumption (LT) </t>
  </si>
  <si>
    <t>Kitchen (KWh)</t>
  </si>
  <si>
    <t>Laundry (KWh)</t>
  </si>
  <si>
    <t>STP (M3)</t>
  </si>
  <si>
    <t>RO prodution  (M3)</t>
  </si>
  <si>
    <t>Amani Restaurant (M3)</t>
  </si>
  <si>
    <t>Kitchen (M3)</t>
  </si>
  <si>
    <t>Laundry (M3)</t>
  </si>
  <si>
    <t>Total water Consumption 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</si>
  <si>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</si>
  <si>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</si>
  <si>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</si>
  <si>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</si>
  <si>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</si>
  <si>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</si>
  <si>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 xml:space="preserve">Total Bore holes production  (M3) </t>
  </si>
  <si>
    <t xml:space="preserve"> UTILITY REPORT </t>
  </si>
  <si>
    <t>Date</t>
  </si>
  <si>
    <t>%</t>
  </si>
  <si>
    <t xml:space="preserve"> Guest Rooms Occupied </t>
  </si>
  <si>
    <t>Diesel cost  Per  Liter        ($)</t>
  </si>
  <si>
    <t>Diesel consumption (LT)</t>
  </si>
  <si>
    <t>Power production (KW)</t>
  </si>
  <si>
    <t>Water consumption (M3)</t>
  </si>
  <si>
    <t xml:space="preserve">Transport Consupmtion (LT) </t>
  </si>
  <si>
    <t xml:space="preserve">Room Occupied </t>
  </si>
  <si>
    <t>Electricity Units Generated KW</t>
  </si>
  <si>
    <t>Diseal</t>
  </si>
  <si>
    <t>Water</t>
  </si>
  <si>
    <t>Gas</t>
  </si>
  <si>
    <t>Cost of utilites</t>
  </si>
  <si>
    <t>Generator</t>
  </si>
  <si>
    <t>Transport</t>
  </si>
  <si>
    <t xml:space="preserve">Total </t>
  </si>
  <si>
    <t>RO</t>
  </si>
  <si>
    <t>STP</t>
  </si>
  <si>
    <t>Total Consumption</t>
  </si>
  <si>
    <t>2 ton</t>
  </si>
  <si>
    <t>1 Ton</t>
  </si>
  <si>
    <t>Total consumption</t>
  </si>
  <si>
    <t>Electricity /1.4$/liter</t>
  </si>
  <si>
    <t>Diseal for Transport</t>
  </si>
  <si>
    <t>Gas /2.38$/Kg</t>
  </si>
  <si>
    <t>Total HLP Cost</t>
  </si>
  <si>
    <t>Electricity Cost/Room  $</t>
  </si>
  <si>
    <t>cost/Room $</t>
  </si>
  <si>
    <t>Total</t>
  </si>
  <si>
    <t xml:space="preserve">Date </t>
  </si>
  <si>
    <t>Total occupancy</t>
  </si>
  <si>
    <t>Diesel balance LTS</t>
  </si>
  <si>
    <t>Diesel Deliveries</t>
  </si>
  <si>
    <t>Gen.Diesel              consumption LTS</t>
  </si>
  <si>
    <t>Total Diesel consumption LTS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</si>
  <si>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</si>
  <si>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</si>
  <si>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</si>
  <si>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</si>
  <si>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RO Meter reading</t>
  </si>
  <si>
    <t>GAS TANK A</t>
  </si>
  <si>
    <t>GAS TANK B</t>
  </si>
  <si>
    <t>GAS TANK C</t>
  </si>
  <si>
    <t xml:space="preserve">Total Gas Tanks </t>
  </si>
  <si>
    <t>Kg /day</t>
  </si>
  <si>
    <t>TOTAL GAS cons.</t>
  </si>
  <si>
    <t>Rate Tsh /$</t>
  </si>
  <si>
    <t>Diesel cost / lits</t>
  </si>
  <si>
    <t>Transport consumption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</si>
  <si>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</si>
  <si>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</si>
  <si>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</si>
  <si>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</si>
  <si>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</si>
  <si>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</si>
  <si>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</si>
  <si>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</si>
  <si>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Rooms  OCC</t>
  </si>
  <si>
    <t xml:space="preserve"> Guest Rooms Occ </t>
  </si>
  <si>
    <t xml:space="preserve"> Electricity Production Cost /Room Occ by guest</t>
  </si>
  <si>
    <t>All Cost /Room Occ by guest</t>
  </si>
  <si>
    <t>Flow M3</t>
  </si>
  <si>
    <t>Reading Hours Meter</t>
  </si>
  <si>
    <t>Hrs</t>
  </si>
  <si>
    <t>total production M3</t>
  </si>
  <si>
    <t>READING HOURS METER</t>
  </si>
  <si>
    <t>M3</t>
  </si>
  <si>
    <t>Kg</t>
  </si>
  <si>
    <t xml:space="preserve"> -   </t>
  </si>
  <si>
    <t xml:space="preserve">          KITCHEN THREE PHASE KWH METER READING</t>
  </si>
  <si>
    <t xml:space="preserve">          KITCHEN WATER METER READING</t>
  </si>
  <si>
    <t>AMANI Restaurant WATER METER READING</t>
  </si>
  <si>
    <t xml:space="preserve">         LAUNDRY THREE PHASE KWH METER READING</t>
  </si>
  <si>
    <t xml:space="preserve">        LAUNDRY WATER METER READING</t>
  </si>
  <si>
    <t>Occ %</t>
  </si>
  <si>
    <t xml:space="preserve">   DATE</t>
  </si>
  <si>
    <t xml:space="preserve"> READING  TIME</t>
  </si>
  <si>
    <t>METER READING OPEN</t>
  </si>
  <si>
    <t>METER READING ClOSE</t>
  </si>
  <si>
    <t>UNIT USED Kwh</t>
  </si>
  <si>
    <t>METER READING OPEN Cbm</t>
  </si>
  <si>
    <t>METER READING ClOSE Cbm</t>
  </si>
  <si>
    <t>UNIT USED Cbm</t>
  </si>
  <si>
    <t>Cost Per day Elct+Water $</t>
  </si>
  <si>
    <t xml:space="preserve">% as per the total Lodge consumption </t>
  </si>
  <si>
    <t>METER READING OPEN (Kwh)</t>
  </si>
  <si>
    <t>METER READING ClOSE (Kwh)</t>
  </si>
  <si>
    <t xml:space="preserve">Close Last Month </t>
  </si>
  <si>
    <t>X120</t>
  </si>
  <si>
    <t>Gen Set Hours Working</t>
  </si>
  <si>
    <t>Occ%</t>
  </si>
  <si>
    <t>Total OCC  Room</t>
  </si>
  <si>
    <t>Guest Room Occ</t>
  </si>
  <si>
    <t>Total Kwh Generated</t>
  </si>
  <si>
    <t xml:space="preserve"> Diesel consumed by Gen (Ltrs)</t>
  </si>
  <si>
    <t xml:space="preserve"> Diesel consumed by Vehicle (Ltrs)</t>
  </si>
  <si>
    <t>Total diesel consumed (Ltrs)</t>
  </si>
  <si>
    <t>Balance stock of Diesel (Ltrs)</t>
  </si>
  <si>
    <t xml:space="preserve">Water consumed </t>
  </si>
  <si>
    <t xml:space="preserve">Gas consumed (KG) </t>
  </si>
  <si>
    <t>GENERATOR NO.1</t>
  </si>
  <si>
    <t>GENERATOR NO.2</t>
  </si>
  <si>
    <t>GENERATOR NO.4</t>
  </si>
  <si>
    <t>GENERATOR NO.5</t>
  </si>
  <si>
    <t>GENERATOR NO.6</t>
  </si>
  <si>
    <t xml:space="preserve">DATE </t>
  </si>
  <si>
    <t>OCC%</t>
  </si>
  <si>
    <t>D-TANK A</t>
  </si>
  <si>
    <t>D-TANK B</t>
  </si>
  <si>
    <t>DELIVERY DATE</t>
  </si>
  <si>
    <t xml:space="preserve">DELIVERY </t>
  </si>
  <si>
    <t>ISSUED-VEHICLE</t>
  </si>
  <si>
    <t>OTHERS</t>
  </si>
  <si>
    <t>M-R LV PANEL 1. KW-HR</t>
  </si>
  <si>
    <t>M-R LV PANEL 2. KW-HR</t>
  </si>
  <si>
    <t xml:space="preserve">OPEN HRS READING </t>
  </si>
  <si>
    <t>CLOSE HRS READING</t>
  </si>
  <si>
    <t>RUNNING HRS</t>
  </si>
  <si>
    <t>TOTAL RUNNING HRS</t>
  </si>
  <si>
    <t>MAX KW</t>
  </si>
  <si>
    <t>MIN-KW</t>
  </si>
  <si>
    <t>TOTAL DIESEL CONS.</t>
  </si>
  <si>
    <t>BILILA LODGE INVESTMENT LIMITED</t>
  </si>
  <si>
    <t xml:space="preserve">Diesel Consumed by 500KVA Generator </t>
  </si>
  <si>
    <t>500KVA  Generator KWh</t>
  </si>
  <si>
    <t>Safari-STAFF</t>
  </si>
  <si>
    <t>Lc/swg/gust</t>
  </si>
  <si>
    <t>Eng pikcup</t>
  </si>
  <si>
    <t xml:space="preserve">VIP Safari Car </t>
  </si>
  <si>
    <t>GX Guest</t>
  </si>
  <si>
    <t>T/Hillux/pur</t>
  </si>
  <si>
    <t xml:space="preserve">    TATA</t>
  </si>
  <si>
    <t>MAN</t>
  </si>
  <si>
    <t>F/Truck</t>
  </si>
  <si>
    <t>Incenerator</t>
  </si>
  <si>
    <t>A&amp;K</t>
  </si>
  <si>
    <t>OTHER</t>
  </si>
  <si>
    <t>TOTAL CO</t>
  </si>
  <si>
    <t>Occupancy %</t>
  </si>
  <si>
    <t>OPENING</t>
  </si>
  <si>
    <t>Received</t>
  </si>
  <si>
    <t>Schedule delivery</t>
  </si>
  <si>
    <t>Company</t>
  </si>
  <si>
    <t>Total Diseal Consumed</t>
  </si>
  <si>
    <t>Total Kwh generated</t>
  </si>
  <si>
    <t>Average Diesel/Kwh</t>
  </si>
  <si>
    <t>T 128 AXJ</t>
  </si>
  <si>
    <t>T 134 AXJ</t>
  </si>
  <si>
    <t>T 499 AXG</t>
  </si>
  <si>
    <t>T 217 CHV</t>
  </si>
  <si>
    <t>T 214 CHV</t>
  </si>
  <si>
    <t>T 139 AXE</t>
  </si>
  <si>
    <t xml:space="preserve">  T 242 AXN</t>
  </si>
  <si>
    <t>T 476 AWZ</t>
  </si>
  <si>
    <t>T 226 AUQ</t>
  </si>
  <si>
    <t>T 308 CLD</t>
  </si>
  <si>
    <t>T 852 AWU</t>
  </si>
  <si>
    <t>Machine ENG</t>
  </si>
  <si>
    <t>Vehicle</t>
  </si>
  <si>
    <t>Total Diseal Consumed Gen &amp;  Vehicle</t>
  </si>
  <si>
    <t>Total cost /Day (TSH)</t>
  </si>
  <si>
    <t>BALANCE</t>
  </si>
  <si>
    <t>RAHA</t>
  </si>
  <si>
    <t>BF</t>
  </si>
  <si>
    <t>Nb Day</t>
  </si>
  <si>
    <t>TZS</t>
  </si>
  <si>
    <t>Av. Occ</t>
  </si>
  <si>
    <t>USD</t>
  </si>
  <si>
    <t xml:space="preserve">A &amp; K  VEHICLES </t>
  </si>
  <si>
    <t>MAULY VEHICLES</t>
  </si>
  <si>
    <t>GREEN LAND VEHICLES</t>
  </si>
  <si>
    <t>OTHERS VEHICLES</t>
  </si>
  <si>
    <t>Vehicles</t>
  </si>
  <si>
    <t xml:space="preserve">Liters </t>
  </si>
  <si>
    <t>Driver name</t>
  </si>
  <si>
    <t>Authority manager</t>
  </si>
  <si>
    <t>Authorized Manager</t>
  </si>
  <si>
    <t>Liters</t>
  </si>
  <si>
    <t>Athorized Manager</t>
  </si>
  <si>
    <t>Reasons</t>
  </si>
  <si>
    <t>T880DKQ</t>
  </si>
  <si>
    <t>Boazi</t>
  </si>
  <si>
    <t>Huruma</t>
  </si>
  <si>
    <t>T308ACR</t>
  </si>
  <si>
    <t>Kumbi</t>
  </si>
  <si>
    <t>paid</t>
  </si>
  <si>
    <t>T840DDW</t>
  </si>
  <si>
    <t>Jeremiah</t>
  </si>
  <si>
    <t>T111CWQ</t>
  </si>
  <si>
    <t>Joseph</t>
  </si>
  <si>
    <t>T391DQR</t>
  </si>
  <si>
    <t>huruma</t>
  </si>
  <si>
    <t>13/6/2021</t>
  </si>
  <si>
    <t>T106CWQ</t>
  </si>
  <si>
    <t>Andason</t>
  </si>
  <si>
    <t>14/6/2021</t>
  </si>
  <si>
    <t>T132CWQ</t>
  </si>
  <si>
    <t>T882DKQ</t>
  </si>
  <si>
    <t>Donald</t>
  </si>
  <si>
    <t>Usage KW</t>
  </si>
  <si>
    <t>Cost per room Total Occ</t>
  </si>
  <si>
    <t>Cost per room Guest Occ</t>
  </si>
  <si>
    <t xml:space="preserve">Four Sasons Safari Lodge Serengeti </t>
  </si>
  <si>
    <t>VALUE</t>
  </si>
  <si>
    <t xml:space="preserve">Cost </t>
  </si>
  <si>
    <t>DATE</t>
  </si>
  <si>
    <t>A</t>
  </si>
  <si>
    <t>B</t>
  </si>
  <si>
    <t>C</t>
  </si>
  <si>
    <t xml:space="preserve">Meter Reading </t>
  </si>
  <si>
    <t>Occu</t>
  </si>
  <si>
    <t xml:space="preserve">No.of </t>
  </si>
  <si>
    <t>2Ton%</t>
  </si>
  <si>
    <t>1Ton (%)</t>
  </si>
  <si>
    <t>1Ton%</t>
  </si>
  <si>
    <t>consumption</t>
  </si>
  <si>
    <t>Consumption Kg</t>
  </si>
  <si>
    <t>pax</t>
  </si>
  <si>
    <t>per pax</t>
  </si>
  <si>
    <t>TOTAL USAGE</t>
  </si>
  <si>
    <t>Usage KG</t>
  </si>
  <si>
    <t xml:space="preserve">Four Seasons Safari Lodge Serengeti - Water Report </t>
  </si>
  <si>
    <t>Main Meter</t>
  </si>
  <si>
    <t>KITCHEN</t>
  </si>
  <si>
    <t xml:space="preserve">Amani café </t>
  </si>
  <si>
    <t>Main SW POOL</t>
  </si>
  <si>
    <t>Laundry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</si>
  <si>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</si>
  <si>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</si>
  <si>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</si>
  <si>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</si>
  <si>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BORE HOLE NO.5      METER READING</t>
  </si>
  <si>
    <t>BORE HOLE NO.6      METER READING</t>
  </si>
  <si>
    <t>RAIN WATER  - METER READING</t>
  </si>
  <si>
    <t>TOTAL WATER PRODUCTION</t>
  </si>
  <si>
    <t>Open Bal</t>
  </si>
  <si>
    <t>Final</t>
  </si>
  <si>
    <t>Total        consumption</t>
  </si>
  <si>
    <t xml:space="preserve">OPEN </t>
  </si>
  <si>
    <t>FINAL</t>
  </si>
  <si>
    <t>PROD.</t>
  </si>
  <si>
    <t>10/27//2009</t>
  </si>
  <si>
    <t>KL</t>
  </si>
  <si>
    <t xml:space="preserve">WATER TANK LEVEL </t>
  </si>
  <si>
    <t>RAW WATER TANK NO.1</t>
  </si>
  <si>
    <t>RAW WATER TANK NO.2</t>
  </si>
  <si>
    <t xml:space="preserve">TREATED WATER TANK </t>
  </si>
  <si>
    <t xml:space="preserve">TREATED -HILL TANK </t>
  </si>
  <si>
    <t>TOTAL WATER AVAILABLE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</si>
  <si>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</si>
  <si>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</si>
  <si>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</si>
  <si>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</si>
  <si>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cm </t>
  </si>
  <si>
    <t>m³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</si>
  <si>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</si>
  <si>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</si>
  <si>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</si>
  <si>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</si>
  <si>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Usage</t>
  </si>
  <si>
    <t>Generator and Diseal Summry Report</t>
  </si>
  <si>
    <t>Diesel Cost</t>
  </si>
  <si>
    <t>Rate$</t>
  </si>
  <si>
    <t xml:space="preserve">% of Gas  balance in Tank </t>
  </si>
  <si>
    <t xml:space="preserve">% of Dieasel balance in Tank </t>
  </si>
  <si>
    <t>HLP Cost (TSH)</t>
  </si>
  <si>
    <t>Total Cost (TSH)</t>
  </si>
  <si>
    <t>Consumption Guest Occ%</t>
  </si>
  <si>
    <t>Budget Cost Per Room occ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</si>
  <si>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</si>
  <si>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</si>
  <si>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</si>
  <si>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</si>
  <si>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>Electricity</t>
  </si>
  <si>
    <t>Cost per Room Total OOC  Usd</t>
  </si>
  <si>
    <t>Cost per Room  Guest OOC  Usd</t>
  </si>
  <si>
    <t xml:space="preserve">Over budget </t>
  </si>
  <si>
    <t>VODACOM AND AIRTEL KWH  METER READING</t>
  </si>
  <si>
    <t>VODACOM TOWER</t>
  </si>
  <si>
    <t>AIRTEL TOWER</t>
  </si>
  <si>
    <t>OPEN METER READING</t>
  </si>
  <si>
    <t>CLOSE METER READING</t>
  </si>
  <si>
    <t>UNIT CONSUMED</t>
  </si>
  <si>
    <t>VODACOM POWER METER READING</t>
  </si>
  <si>
    <t>AITEL POWER METER READING</t>
  </si>
  <si>
    <t>FUEL METER  1 READNG</t>
  </si>
  <si>
    <t>FUEL METER 2 READING</t>
  </si>
  <si>
    <t xml:space="preserve">Diesel consumed </t>
  </si>
  <si>
    <t>HLP-GENSETS</t>
  </si>
  <si>
    <t>DIFFERENCE</t>
  </si>
  <si>
    <t>OPEN METER</t>
  </si>
  <si>
    <t>CLOSE METER</t>
  </si>
  <si>
    <t>DIESEL CONSUMED</t>
  </si>
  <si>
    <t>HLP-VEHICLES</t>
  </si>
  <si>
    <t>DIESEL PUMP 01 READINGS</t>
  </si>
  <si>
    <t>DIESEL PUMP 02 READINGS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</si>
  <si>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</si>
  <si>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</si>
  <si>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</si>
  <si>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</si>
  <si>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</si>
  <si>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VEHICLE CONSUMPTION</t>
  </si>
  <si>
    <t>CONSUMPTION</t>
  </si>
  <si>
    <t>BOREHOLE PRODUCTION</t>
  </si>
  <si>
    <t>RO PRODUCTION</t>
  </si>
  <si>
    <t>LAUNDRY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</si>
</sst>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TSh&quot;* #,##0_-;\-&quot;TSh&quot;* #,##0_-;_-&quot;TSh&quot;* &quot;-&quot;_-;_-@_-"/>
    <numFmt numFmtId="165" formatCode="_-* #,##0_-;\-* #,##0_-;_-* &quot;-&quot;_-;_-@_-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1">
    <xf numFmtId="0" fontId="0" fillId="0" borderId="0"/>
    <xf numFmtId="43" fontId="2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51" fillId="0" borderId="0" applyFont="0" applyFill="0" applyBorder="0" applyAlignment="0" applyProtection="0"/>
    <xf numFmtId="164" fontId="55" fillId="0" borderId="0" applyFont="0" applyFill="0" applyBorder="0" applyAlignment="0" applyProtection="0"/>
  </cellStyleXfs>
  <cellXfs count="963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3" fillId="0" borderId="23" xfId="0" applyFont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Border="1"/>
    <xf numFmtId="0" fontId="6" fillId="2" borderId="1" xfId="0" applyFont="1" applyFill="1" applyBorder="1"/>
    <xf numFmtId="43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43" fontId="3" fillId="9" borderId="1" xfId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166" fontId="0" fillId="0" borderId="1" xfId="1" applyNumberFormat="1" applyFont="1" applyBorder="1"/>
    <xf numFmtId="0" fontId="0" fillId="0" borderId="4" xfId="0" applyBorder="1"/>
    <xf numFmtId="4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4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43" fontId="0" fillId="0" borderId="22" xfId="1" applyFont="1" applyBorder="1"/>
    <xf numFmtId="43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43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43" fontId="12" fillId="0" borderId="4" xfId="1" applyFont="1" applyBorder="1"/>
    <xf numFmtId="43" fontId="12" fillId="0" borderId="14" xfId="1" applyFont="1" applyBorder="1"/>
    <xf numFmtId="43" fontId="12" fillId="0" borderId="1" xfId="1" applyFont="1" applyBorder="1"/>
    <xf numFmtId="43" fontId="12" fillId="0" borderId="26" xfId="1" applyFont="1" applyBorder="1"/>
    <xf numFmtId="43" fontId="0" fillId="0" borderId="1" xfId="1" applyFont="1" applyBorder="1"/>
    <xf numFmtId="9" fontId="0" fillId="0" borderId="0" xfId="6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44" fontId="0" fillId="0" borderId="9" xfId="3" applyFont="1" applyBorder="1"/>
    <xf numFmtId="44" fontId="0" fillId="0" borderId="8" xfId="3" applyFont="1" applyBorder="1"/>
    <xf numFmtId="44" fontId="0" fillId="0" borderId="10" xfId="3" applyFont="1" applyBorder="1"/>
    <xf numFmtId="44" fontId="8" fillId="0" borderId="1" xfId="3" applyFont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166" fontId="0" fillId="8" borderId="26" xfId="0" applyNumberFormat="1" applyFill="1" applyBorder="1"/>
    <xf numFmtId="0" fontId="3" fillId="18" borderId="0" xfId="0" applyFont="1" applyFill="1" applyAlignment="1">
      <alignment horizontal="center"/>
    </xf>
    <xf numFmtId="0" fontId="3" fillId="18" borderId="0" xfId="0" applyFont="1" applyFill="1"/>
    <xf numFmtId="1" fontId="0" fillId="0" borderId="1" xfId="0" applyNumberFormat="1" applyBorder="1"/>
    <xf numFmtId="43" fontId="0" fillId="0" borderId="1" xfId="0" applyNumberFormat="1" applyBorder="1"/>
    <xf numFmtId="43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4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24" xfId="0" applyFont="1" applyBorder="1" applyAlignment="1">
      <alignment horizontal="center"/>
    </xf>
    <xf numFmtId="4" fontId="4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4" xfId="0" applyFont="1" applyBorder="1" applyAlignment="1">
      <alignment horizontal="center"/>
    </xf>
    <xf numFmtId="0" fontId="11" fillId="3" borderId="5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Alignment="1">
      <alignment horizontal="center"/>
    </xf>
    <xf numFmtId="43" fontId="16" fillId="16" borderId="4" xfId="1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2" fillId="9" borderId="0" xfId="0" applyFont="1" applyFill="1" applyAlignment="1">
      <alignment horizontal="center"/>
    </xf>
    <xf numFmtId="0" fontId="11" fillId="3" borderId="24" xfId="0" applyFont="1" applyFill="1" applyBorder="1" applyAlignment="1">
      <alignment horizontal="center"/>
    </xf>
    <xf numFmtId="43" fontId="16" fillId="0" borderId="1" xfId="1" applyFont="1" applyBorder="1" applyAlignment="1">
      <alignment horizontal="center"/>
    </xf>
    <xf numFmtId="43" fontId="16" fillId="0" borderId="22" xfId="1" applyFont="1" applyBorder="1" applyAlignment="1">
      <alignment horizontal="center"/>
    </xf>
    <xf numFmtId="43" fontId="16" fillId="16" borderId="1" xfId="1" applyFont="1" applyFill="1" applyBorder="1" applyAlignment="1">
      <alignment horizontal="center"/>
    </xf>
    <xf numFmtId="43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43" fontId="11" fillId="9" borderId="1" xfId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43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Font="1" applyAlignment="1">
      <alignment horizontal="center"/>
    </xf>
    <xf numFmtId="9" fontId="4" fillId="0" borderId="0" xfId="6" applyFont="1" applyAlignment="1">
      <alignment horizontal="center"/>
    </xf>
    <xf numFmtId="43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43" fontId="38" fillId="8" borderId="1" xfId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Border="1" applyAlignment="1">
      <alignment horizontal="center"/>
    </xf>
    <xf numFmtId="0" fontId="23" fillId="0" borderId="32" xfId="0" applyFont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/>
    <xf numFmtId="0" fontId="6" fillId="29" borderId="22" xfId="0" applyFont="1" applyFill="1" applyBorder="1"/>
    <xf numFmtId="0" fontId="42" fillId="0" borderId="1" xfId="0" applyFont="1" applyBorder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43" fontId="15" fillId="11" borderId="22" xfId="1" applyFont="1" applyFill="1" applyBorder="1" applyAlignment="1">
      <alignment horizontal="center"/>
    </xf>
    <xf numFmtId="0" fontId="11" fillId="3" borderId="22" xfId="0" applyFont="1" applyFill="1" applyBorder="1" applyAlignment="1">
      <alignment horizontal="center" wrapText="1"/>
    </xf>
    <xf numFmtId="0" fontId="0" fillId="9" borderId="0" xfId="0" applyFill="1"/>
    <xf numFmtId="0" fontId="9" fillId="9" borderId="0" xfId="0" applyFont="1" applyFill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/>
    <xf numFmtId="166" fontId="0" fillId="16" borderId="0" xfId="1" applyNumberFormat="1" applyFont="1" applyFill="1" applyBorder="1"/>
    <xf numFmtId="9" fontId="0" fillId="16" borderId="0" xfId="0" applyNumberFormat="1" applyFill="1"/>
    <xf numFmtId="43" fontId="0" fillId="16" borderId="0" xfId="0" applyNumberFormat="1" applyFill="1"/>
    <xf numFmtId="0" fontId="0" fillId="16" borderId="0" xfId="0" applyFill="1"/>
    <xf numFmtId="43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43" fontId="0" fillId="11" borderId="1" xfId="0" applyNumberFormat="1" applyFill="1" applyBorder="1"/>
    <xf numFmtId="9" fontId="0" fillId="20" borderId="1" xfId="0" applyNumberFormat="1" applyFill="1" applyBorder="1"/>
    <xf numFmtId="43" fontId="16" fillId="16" borderId="12" xfId="1" applyFont="1" applyFill="1" applyBorder="1" applyAlignment="1">
      <alignment horizontal="center"/>
    </xf>
    <xf numFmtId="43" fontId="16" fillId="16" borderId="22" xfId="1" applyFont="1" applyFill="1" applyBorder="1" applyAlignment="1">
      <alignment horizontal="center"/>
    </xf>
    <xf numFmtId="43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0" fillId="36" borderId="26" xfId="0" applyFill="1" applyBorder="1"/>
    <xf numFmtId="0" fontId="0" fillId="0" borderId="26" xfId="0" applyBorder="1"/>
    <xf numFmtId="0" fontId="0" fillId="36" borderId="1" xfId="0" applyFill="1" applyBorder="1"/>
    <xf numFmtId="0" fontId="0" fillId="13" borderId="26" xfId="0" applyFill="1" applyBorder="1"/>
    <xf numFmtId="43" fontId="10" fillId="8" borderId="38" xfId="0" applyNumberFormat="1" applyFont="1" applyFill="1" applyBorder="1" applyAlignment="1">
      <alignment horizontal="center"/>
    </xf>
    <xf numFmtId="0" fontId="10" fillId="0" borderId="28" xfId="0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Font="1" applyFill="1" applyBorder="1" applyAlignment="1">
      <alignment horizontal="center"/>
    </xf>
    <xf numFmtId="43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43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/>
    </xf>
    <xf numFmtId="0" fontId="23" fillId="0" borderId="38" xfId="0" applyFont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43" fontId="4" fillId="0" borderId="9" xfId="1" applyFont="1" applyBorder="1" applyAlignment="1">
      <alignment horizontal="center"/>
    </xf>
    <xf numFmtId="0" fontId="4" fillId="34" borderId="58" xfId="0" applyFont="1" applyFill="1" applyBorder="1" applyAlignment="1">
      <alignment horizontal="center"/>
    </xf>
    <xf numFmtId="0" fontId="4" fillId="34" borderId="60" xfId="0" applyFont="1" applyFill="1" applyBorder="1" applyAlignment="1">
      <alignment horizontal="center"/>
    </xf>
    <xf numFmtId="0" fontId="4" fillId="34" borderId="59" xfId="0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10" fillId="3" borderId="32" xfId="0" applyFont="1" applyFill="1" applyBorder="1" applyAlignment="1">
      <alignment horizontal="center"/>
    </xf>
    <xf numFmtId="0" fontId="10" fillId="3" borderId="33" xfId="0" applyFont="1" applyFill="1" applyBorder="1" applyAlignment="1">
      <alignment horizontal="center"/>
    </xf>
    <xf numFmtId="0" fontId="10" fillId="3" borderId="34" xfId="0" applyFont="1" applyFill="1" applyBorder="1" applyAlignment="1">
      <alignment horizontal="center"/>
    </xf>
    <xf numFmtId="0" fontId="11" fillId="3" borderId="33" xfId="0" applyFont="1" applyFill="1" applyBorder="1" applyAlignment="1">
      <alignment horizontal="center"/>
    </xf>
    <xf numFmtId="0" fontId="10" fillId="3" borderId="30" xfId="0" applyFont="1" applyFill="1" applyBorder="1" applyAlignment="1">
      <alignment horizontal="center"/>
    </xf>
    <xf numFmtId="0" fontId="10" fillId="3" borderId="61" xfId="0" applyFont="1" applyFill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Font="1" applyFill="1" applyBorder="1" applyAlignment="1">
      <alignment horizontal="center" wrapText="1"/>
    </xf>
    <xf numFmtId="0" fontId="30" fillId="3" borderId="33" xfId="0" applyFont="1" applyFill="1" applyBorder="1" applyAlignment="1">
      <alignment horizontal="center"/>
    </xf>
    <xf numFmtId="0" fontId="30" fillId="3" borderId="34" xfId="0" applyFont="1" applyFill="1" applyBorder="1" applyAlignment="1">
      <alignment horizontal="center" wrapText="1"/>
    </xf>
    <xf numFmtId="0" fontId="11" fillId="3" borderId="30" xfId="0" applyFont="1" applyFill="1" applyBorder="1" applyAlignment="1">
      <alignment horizontal="center" wrapText="1"/>
    </xf>
    <xf numFmtId="0" fontId="11" fillId="3" borderId="33" xfId="0" applyFont="1" applyFill="1" applyBorder="1" applyAlignment="1">
      <alignment horizontal="center" wrapText="1"/>
    </xf>
    <xf numFmtId="0" fontId="11" fillId="3" borderId="61" xfId="0" applyFont="1" applyFill="1" applyBorder="1" applyAlignment="1">
      <alignment horizontal="center" wrapText="1"/>
    </xf>
    <xf numFmtId="43" fontId="15" fillId="11" borderId="26" xfId="1" applyFont="1" applyFill="1" applyBorder="1" applyAlignment="1">
      <alignment horizontal="center"/>
    </xf>
    <xf numFmtId="43" fontId="15" fillId="11" borderId="38" xfId="1" applyFont="1" applyFill="1" applyBorder="1" applyAlignment="1">
      <alignment horizontal="center"/>
    </xf>
    <xf numFmtId="0" fontId="10" fillId="11" borderId="38" xfId="0" applyFont="1" applyFill="1" applyBorder="1" applyAlignment="1">
      <alignment horizontal="center"/>
    </xf>
    <xf numFmtId="43" fontId="11" fillId="9" borderId="26" xfId="1" applyFont="1" applyFill="1" applyBorder="1" applyAlignment="1">
      <alignment horizontal="center"/>
    </xf>
    <xf numFmtId="0" fontId="11" fillId="3" borderId="38" xfId="0" applyFont="1" applyFill="1" applyBorder="1" applyAlignment="1">
      <alignment horizontal="center" wrapText="1"/>
    </xf>
    <xf numFmtId="0" fontId="11" fillId="9" borderId="38" xfId="0" applyFont="1" applyFill="1" applyBorder="1" applyAlignment="1">
      <alignment horizontal="center" wrapText="1"/>
    </xf>
    <xf numFmtId="43" fontId="16" fillId="16" borderId="15" xfId="1" applyFont="1" applyFill="1" applyBorder="1" applyAlignment="1">
      <alignment horizontal="center"/>
    </xf>
    <xf numFmtId="43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43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Border="1"/>
    <xf numFmtId="166" fontId="0" fillId="13" borderId="22" xfId="0" applyNumberFormat="1" applyFill="1" applyBorder="1"/>
    <xf numFmtId="0" fontId="26" fillId="0" borderId="0" xfId="0" applyFont="1" applyAlignment="1">
      <alignment horizontal="center"/>
    </xf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165" fontId="0" fillId="0" borderId="40" xfId="9" applyFont="1" applyBorder="1" applyAlignment="1">
      <alignment horizontal="center" vertical="center"/>
    </xf>
    <xf numFmtId="165" fontId="0" fillId="0" borderId="49" xfId="9" applyFont="1" applyBorder="1" applyAlignment="1">
      <alignment horizontal="center" vertical="center"/>
    </xf>
    <xf numFmtId="165" fontId="0" fillId="0" borderId="16" xfId="9" applyFont="1" applyBorder="1" applyAlignment="1">
      <alignment horizontal="center" vertical="center"/>
    </xf>
    <xf numFmtId="165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43" fontId="1" fillId="0" borderId="0" xfId="1" applyFont="1"/>
    <xf numFmtId="43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4" fontId="2" fillId="12" borderId="1" xfId="3" applyFont="1" applyFill="1" applyBorder="1"/>
    <xf numFmtId="4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43" fontId="16" fillId="0" borderId="5" xfId="1" applyFont="1" applyFill="1" applyBorder="1" applyAlignment="1">
      <alignment horizontal="center"/>
    </xf>
    <xf numFmtId="1" fontId="1" fillId="0" borderId="1" xfId="9" applyNumberFormat="1" applyFont="1" applyBorder="1" applyAlignment="1">
      <alignment horizontal="center" vertical="center"/>
    </xf>
    <xf numFmtId="165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14" fontId="41" fillId="0" borderId="16" xfId="0" applyNumberFormat="1" applyFont="1" applyBorder="1" applyAlignment="1">
      <alignment vertical="top"/>
    </xf>
    <xf numFmtId="43" fontId="0" fillId="0" borderId="8" xfId="0" applyNumberFormat="1" applyBorder="1"/>
    <xf numFmtId="0" fontId="0" fillId="0" borderId="8" xfId="0" applyBorder="1"/>
    <xf numFmtId="43" fontId="0" fillId="0" borderId="9" xfId="0" applyNumberFormat="1" applyBorder="1"/>
    <xf numFmtId="43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43" fontId="3" fillId="9" borderId="1" xfId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43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43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/>
    <xf numFmtId="0" fontId="4" fillId="7" borderId="61" xfId="0" applyFont="1" applyFill="1" applyBorder="1" applyAlignment="1">
      <alignment wrapText="1"/>
    </xf>
    <xf numFmtId="0" fontId="4" fillId="0" borderId="9" xfId="0" applyFont="1" applyBorder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16" xfId="0" applyFont="1" applyBorder="1"/>
    <xf numFmtId="0" fontId="42" fillId="0" borderId="16" xfId="0" applyFont="1" applyBorder="1"/>
    <xf numFmtId="0" fontId="4" fillId="0" borderId="21" xfId="0" applyFon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/>
    <xf numFmtId="0" fontId="40" fillId="39" borderId="11" xfId="0" applyFont="1" applyFill="1" applyBorder="1"/>
    <xf numFmtId="0" fontId="40" fillId="39" borderId="28" xfId="0" applyFont="1" applyFill="1" applyBorder="1"/>
    <xf numFmtId="0" fontId="40" fillId="39" borderId="12" xfId="0" applyFont="1" applyFill="1" applyBorder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Font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43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/>
    <xf numFmtId="14" fontId="4" fillId="0" borderId="8" xfId="0" applyNumberFormat="1" applyFont="1" applyBorder="1"/>
    <xf numFmtId="14" fontId="4" fillId="0" borderId="10" xfId="0" applyNumberFormat="1" applyFont="1" applyBorder="1"/>
    <xf numFmtId="14" fontId="4" fillId="0" borderId="17" xfId="0" applyNumberFormat="1" applyFont="1" applyBorder="1"/>
    <xf numFmtId="14" fontId="4" fillId="0" borderId="7" xfId="0" applyNumberFormat="1" applyFont="1" applyBorder="1"/>
    <xf numFmtId="14" fontId="4" fillId="0" borderId="6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4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4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43" fontId="15" fillId="11" borderId="12" xfId="1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43" fontId="11" fillId="8" borderId="61" xfId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43" fontId="16" fillId="0" borderId="35" xfId="1" applyFont="1" applyBorder="1" applyAlignment="1">
      <alignment horizontal="center"/>
    </xf>
    <xf numFmtId="43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43" fontId="16" fillId="0" borderId="6" xfId="1" applyFont="1" applyBorder="1" applyAlignment="1">
      <alignment horizontal="center"/>
    </xf>
    <xf numFmtId="43" fontId="16" fillId="0" borderId="42" xfId="1" applyFont="1" applyBorder="1" applyAlignment="1">
      <alignment horizontal="center"/>
    </xf>
    <xf numFmtId="43" fontId="16" fillId="0" borderId="9" xfId="1" applyFont="1" applyBorder="1" applyAlignment="1">
      <alignment horizontal="center"/>
    </xf>
    <xf numFmtId="43" fontId="16" fillId="0" borderId="93" xfId="1" applyFont="1" applyBorder="1" applyAlignment="1">
      <alignment horizontal="center"/>
    </xf>
    <xf numFmtId="43" fontId="16" fillId="16" borderId="13" xfId="1" applyFont="1" applyFill="1" applyBorder="1" applyAlignment="1">
      <alignment horizontal="center"/>
    </xf>
    <xf numFmtId="43" fontId="16" fillId="16" borderId="5" xfId="1" applyFont="1" applyFill="1" applyBorder="1" applyAlignment="1">
      <alignment horizontal="center"/>
    </xf>
    <xf numFmtId="43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43" fontId="11" fillId="11" borderId="17" xfId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43" fontId="11" fillId="11" borderId="16" xfId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5" xfId="0" applyFont="1" applyFill="1" applyBorder="1"/>
    <xf numFmtId="169" fontId="5" fillId="0" borderId="17" xfId="0" applyNumberFormat="1" applyFont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Border="1" applyAlignment="1">
      <alignment horizontal="center"/>
    </xf>
    <xf numFmtId="169" fontId="5" fillId="0" borderId="21" xfId="0" applyNumberFormat="1" applyFont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43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4" xfId="0" applyFont="1" applyFill="1" applyBorder="1" applyAlignment="1">
      <alignment horizontal="center"/>
    </xf>
    <xf numFmtId="0" fontId="4" fillId="34" borderId="96" xfId="0" applyFont="1" applyFill="1" applyBorder="1" applyAlignment="1">
      <alignment horizontal="center"/>
    </xf>
    <xf numFmtId="0" fontId="4" fillId="34" borderId="38" xfId="0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0" xfId="0" applyFont="1" applyFill="1" applyAlignment="1">
      <alignment horizontal="center" vertical="center" wrapText="1"/>
    </xf>
    <xf numFmtId="169" fontId="17" fillId="0" borderId="1" xfId="0" applyNumberFormat="1" applyFont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4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4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4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43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43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61" xfId="0" applyFont="1" applyBorder="1" applyAlignment="1">
      <alignment horizontal="center" vertical="top" wrapText="1"/>
    </xf>
    <xf numFmtId="9" fontId="23" fillId="0" borderId="40" xfId="0" applyNumberFormat="1" applyFont="1" applyBorder="1" applyAlignment="1">
      <alignment horizontal="center" vertical="center"/>
    </xf>
    <xf numFmtId="0" fontId="0" fillId="0" borderId="49" xfId="0" applyBorder="1"/>
    <xf numFmtId="0" fontId="0" fillId="0" borderId="98" xfId="0" applyBorder="1"/>
    <xf numFmtId="0" fontId="0" fillId="0" borderId="99" xfId="0" applyBorder="1"/>
    <xf numFmtId="169" fontId="5" fillId="0" borderId="41" xfId="0" applyNumberFormat="1" applyFont="1" applyBorder="1" applyAlignment="1">
      <alignment horizontal="center"/>
    </xf>
    <xf numFmtId="169" fontId="5" fillId="0" borderId="2" xfId="0" applyNumberFormat="1" applyFont="1" applyBorder="1" applyAlignment="1">
      <alignment horizontal="center"/>
    </xf>
    <xf numFmtId="0" fontId="0" fillId="16" borderId="6" xfId="0" applyFill="1" applyBorder="1"/>
    <xf numFmtId="0" fontId="23" fillId="0" borderId="6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0" fillId="36" borderId="40" xfId="0" applyFill="1" applyBorder="1"/>
    <xf numFmtId="43" fontId="0" fillId="29" borderId="49" xfId="0" applyNumberFormat="1" applyFill="1" applyBorder="1"/>
    <xf numFmtId="0" fontId="0" fillId="36" borderId="97" xfId="0" applyFill="1" applyBorder="1"/>
    <xf numFmtId="0" fontId="0" fillId="36" borderId="98" xfId="0" applyFill="1" applyBorder="1"/>
    <xf numFmtId="0" fontId="0" fillId="36" borderId="9" xfId="0" applyFill="1" applyBorder="1"/>
    <xf numFmtId="0" fontId="0" fillId="13" borderId="98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99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2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99" xfId="1" applyNumberFormat="1" applyFont="1" applyFill="1" applyBorder="1"/>
    <xf numFmtId="166" fontId="2" fillId="23" borderId="100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6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Border="1" applyAlignment="1">
      <alignment horizontal="center"/>
    </xf>
    <xf numFmtId="169" fontId="5" fillId="0" borderId="92" xfId="0" applyNumberFormat="1" applyFont="1" applyBorder="1" applyAlignment="1">
      <alignment horizontal="center"/>
    </xf>
    <xf numFmtId="43" fontId="0" fillId="12" borderId="25" xfId="0" applyNumberFormat="1" applyFill="1" applyBorder="1"/>
    <xf numFmtId="43" fontId="0" fillId="12" borderId="102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43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43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43" fontId="8" fillId="0" borderId="9" xfId="0" applyNumberFormat="1" applyFont="1" applyBorder="1"/>
    <xf numFmtId="43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4" fillId="0" borderId="26" xfId="0" applyFont="1" applyBorder="1" applyAlignment="1">
      <alignment horizontal="right"/>
    </xf>
    <xf numFmtId="43" fontId="11" fillId="3" borderId="33" xfId="1" applyFont="1" applyFill="1" applyBorder="1" applyAlignment="1">
      <alignment horizontal="center" wrapText="1"/>
    </xf>
    <xf numFmtId="43" fontId="11" fillId="10" borderId="33" xfId="1" applyFont="1" applyFill="1" applyBorder="1" applyAlignment="1">
      <alignment horizontal="center" wrapText="1"/>
    </xf>
    <xf numFmtId="43" fontId="11" fillId="3" borderId="61" xfId="1" applyFont="1" applyFill="1" applyBorder="1" applyAlignment="1">
      <alignment horizontal="center" wrapText="1"/>
    </xf>
    <xf numFmtId="43" fontId="31" fillId="10" borderId="17" xfId="1" applyFont="1" applyFill="1" applyBorder="1" applyAlignment="1">
      <alignment horizontal="center"/>
    </xf>
    <xf numFmtId="43" fontId="31" fillId="10" borderId="53" xfId="1" applyFont="1" applyFill="1" applyBorder="1" applyAlignment="1">
      <alignment horizontal="center"/>
    </xf>
    <xf numFmtId="43" fontId="16" fillId="0" borderId="54" xfId="1" applyFont="1" applyBorder="1" applyAlignment="1">
      <alignment horizontal="center"/>
    </xf>
    <xf numFmtId="43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43" fontId="31" fillId="10" borderId="16" xfId="1" applyFont="1" applyFill="1" applyBorder="1" applyAlignment="1">
      <alignment horizontal="center"/>
    </xf>
    <xf numFmtId="43" fontId="16" fillId="10" borderId="8" xfId="1" applyFont="1" applyFill="1" applyBorder="1" applyAlignment="1">
      <alignment horizontal="center"/>
    </xf>
    <xf numFmtId="43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43" fontId="16" fillId="16" borderId="16" xfId="1" applyFont="1" applyFill="1" applyBorder="1" applyAlignment="1">
      <alignment horizontal="center"/>
    </xf>
    <xf numFmtId="43" fontId="16" fillId="10" borderId="63" xfId="1" applyFont="1" applyFill="1" applyBorder="1" applyAlignment="1">
      <alignment horizontal="center"/>
    </xf>
    <xf numFmtId="43" fontId="16" fillId="10" borderId="16" xfId="1" applyFont="1" applyFill="1" applyBorder="1" applyAlignment="1">
      <alignment horizontal="center"/>
    </xf>
    <xf numFmtId="4" fontId="4" fillId="8" borderId="92" xfId="0" applyNumberFormat="1" applyFont="1" applyFill="1" applyBorder="1" applyAlignment="1">
      <alignment horizontal="center"/>
    </xf>
    <xf numFmtId="43" fontId="16" fillId="10" borderId="21" xfId="1" applyFont="1" applyFill="1" applyBorder="1" applyAlignment="1">
      <alignment horizontal="center"/>
    </xf>
    <xf numFmtId="43" fontId="16" fillId="10" borderId="10" xfId="1" applyFont="1" applyFill="1" applyBorder="1" applyAlignment="1">
      <alignment horizontal="center"/>
    </xf>
    <xf numFmtId="43" fontId="16" fillId="0" borderId="89" xfId="1" applyFont="1" applyBorder="1" applyAlignment="1">
      <alignment horizontal="center"/>
    </xf>
    <xf numFmtId="0" fontId="4" fillId="0" borderId="92" xfId="0" applyFont="1" applyBorder="1" applyAlignment="1">
      <alignment horizontal="center"/>
    </xf>
    <xf numFmtId="43" fontId="10" fillId="8" borderId="61" xfId="0" applyNumberFormat="1" applyFont="1" applyFill="1" applyBorder="1" applyAlignment="1">
      <alignment horizontal="center"/>
    </xf>
    <xf numFmtId="43" fontId="42" fillId="0" borderId="0" xfId="0" applyNumberFormat="1" applyFont="1" applyAlignment="1">
      <alignment horizontal="center"/>
    </xf>
    <xf numFmtId="14" fontId="4" fillId="0" borderId="40" xfId="0" applyNumberFormat="1" applyFont="1" applyBorder="1"/>
    <xf numFmtId="0" fontId="4" fillId="0" borderId="26" xfId="0" applyFont="1" applyBorder="1"/>
    <xf numFmtId="0" fontId="4" fillId="0" borderId="49" xfId="0" applyFont="1" applyBorder="1" applyAlignment="1">
      <alignment horizontal="center"/>
    </xf>
    <xf numFmtId="0" fontId="23" fillId="0" borderId="52" xfId="0" applyFont="1" applyBorder="1" applyAlignment="1">
      <alignment horizontal="center" vertical="center" wrapText="1"/>
    </xf>
    <xf numFmtId="0" fontId="23" fillId="0" borderId="34" xfId="0" applyFont="1" applyBorder="1" applyAlignment="1">
      <alignment horizontal="center" vertical="center" wrapText="1"/>
    </xf>
    <xf numFmtId="43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0" fillId="0" borderId="51" xfId="0" applyBorder="1"/>
    <xf numFmtId="0" fontId="0" fillId="0" borderId="50" xfId="0" applyBorder="1"/>
    <xf numFmtId="0" fontId="0" fillId="0" borderId="20" xfId="0" applyBorder="1"/>
    <xf numFmtId="0" fontId="0" fillId="0" borderId="53" xfId="0" applyBorder="1"/>
    <xf numFmtId="0" fontId="8" fillId="0" borderId="52" xfId="0" applyFont="1" applyBorder="1"/>
    <xf numFmtId="0" fontId="8" fillId="0" borderId="30" xfId="0" applyFont="1" applyBorder="1"/>
    <xf numFmtId="0" fontId="8" fillId="0" borderId="31" xfId="0" applyFont="1" applyBorder="1"/>
    <xf numFmtId="43" fontId="0" fillId="0" borderId="0" xfId="1" applyFont="1" applyBorder="1"/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10" fillId="0" borderId="100" xfId="0" applyFont="1" applyBorder="1" applyAlignment="1">
      <alignment horizontal="center"/>
    </xf>
    <xf numFmtId="0" fontId="10" fillId="0" borderId="102" xfId="0" applyFont="1" applyBorder="1" applyAlignment="1">
      <alignment horizontal="center"/>
    </xf>
    <xf numFmtId="0" fontId="0" fillId="40" borderId="1" xfId="0" applyFill="1" applyBorder="1"/>
    <xf numFmtId="43" fontId="0" fillId="29" borderId="1" xfId="1" applyFont="1" applyFill="1" applyBorder="1"/>
    <xf numFmtId="0" fontId="0" fillId="29" borderId="1" xfId="0" applyFill="1" applyBorder="1"/>
    <xf numFmtId="166" fontId="16" fillId="7" borderId="55" xfId="1" applyNumberFormat="1" applyFont="1" applyFill="1" applyBorder="1" applyAlignment="1">
      <alignment horizontal="center"/>
    </xf>
    <xf numFmtId="0" fontId="0" fillId="0" borderId="25" xfId="0" applyBorder="1"/>
    <xf numFmtId="0" fontId="23" fillId="0" borderId="60" xfId="0" applyFont="1" applyBorder="1" applyAlignment="1">
      <alignment horizontal="center" vertical="center"/>
    </xf>
    <xf numFmtId="0" fontId="64" fillId="0" borderId="0" xfId="0" applyFont="1" applyAlignment="1">
      <alignment horizontal="right"/>
    </xf>
    <xf numFmtId="9" fontId="23" fillId="0" borderId="0" xfId="0" applyNumberFormat="1" applyFont="1" applyAlignment="1">
      <alignment horizontal="center" vertical="center"/>
    </xf>
    <xf numFmtId="0" fontId="23" fillId="0" borderId="60" xfId="0" applyFont="1" applyBorder="1" applyAlignment="1">
      <alignment horizontal="center" vertical="center" wrapText="1"/>
    </xf>
    <xf numFmtId="0" fontId="23" fillId="0" borderId="80" xfId="0" applyFont="1" applyBorder="1" applyAlignment="1">
      <alignment horizontal="center" vertical="center"/>
    </xf>
    <xf numFmtId="169" fontId="5" fillId="0" borderId="103" xfId="0" applyNumberFormat="1" applyFont="1" applyBorder="1" applyAlignment="1">
      <alignment horizontal="center"/>
    </xf>
    <xf numFmtId="0" fontId="0" fillId="16" borderId="39" xfId="0" applyFill="1" applyBorder="1"/>
    <xf numFmtId="0" fontId="0" fillId="36" borderId="25" xfId="0" applyFill="1" applyBorder="1"/>
    <xf numFmtId="0" fontId="23" fillId="0" borderId="59" xfId="0" applyFont="1" applyBorder="1" applyAlignment="1">
      <alignment horizontal="center" vertical="center" wrapText="1"/>
    </xf>
    <xf numFmtId="9" fontId="23" fillId="0" borderId="26" xfId="0" applyNumberFormat="1" applyFont="1" applyBorder="1" applyAlignment="1">
      <alignment horizontal="center" vertical="center"/>
    </xf>
    <xf numFmtId="43" fontId="11" fillId="11" borderId="8" xfId="1" applyFont="1" applyFill="1" applyBorder="1" applyAlignment="1">
      <alignment horizontal="center"/>
    </xf>
    <xf numFmtId="3" fontId="25" fillId="0" borderId="1" xfId="0" applyNumberFormat="1" applyFont="1" applyBorder="1"/>
    <xf numFmtId="165" fontId="0" fillId="0" borderId="16" xfId="9" applyFont="1" applyBorder="1" applyAlignment="1">
      <alignment horizontal="right" vertical="center"/>
    </xf>
    <xf numFmtId="0" fontId="67" fillId="0" borderId="43" xfId="0" applyFont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44" fontId="19" fillId="0" borderId="52" xfId="3" applyFont="1" applyBorder="1" applyAlignment="1">
      <alignment horizontal="center" vertical="center" wrapText="1"/>
    </xf>
    <xf numFmtId="44" fontId="0" fillId="0" borderId="31" xfId="3" applyFont="1" applyBorder="1" applyAlignment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Alignment="1">
      <alignment horizontal="center" wrapText="1"/>
    </xf>
    <xf numFmtId="0" fontId="0" fillId="0" borderId="0" xfId="0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Font="1" applyFill="1" applyBorder="1" applyAlignment="1">
      <alignment horizontal="center"/>
    </xf>
    <xf numFmtId="0" fontId="4" fillId="32" borderId="30" xfId="0" applyFont="1" applyFill="1" applyBorder="1" applyAlignment="1">
      <alignment horizontal="center"/>
    </xf>
    <xf numFmtId="0" fontId="4" fillId="32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50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 xr:uid="{00000000-0005-0000-0000-000002000000}"/>
    <cellStyle name="Currency" xfId="3" builtinId="4"/>
    <cellStyle name="Currency [0]" xfId="10" builtinId="7"/>
    <cellStyle name="Normal" xfId="0" builtinId="0"/>
    <cellStyle name="Normal 2" xfId="4" xr:uid="{00000000-0005-0000-0000-000006000000}"/>
    <cellStyle name="Normal 2 4" xfId="5" xr:uid="{00000000-0005-0000-0000-000007000000}"/>
    <cellStyle name="Normal 3" xfId="7" xr:uid="{00000000-0005-0000-0000-000008000000}"/>
    <cellStyle name="Normal 4" xfId="8" xr:uid="{00000000-0005-0000-0000-000009000000}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sheetMetadata" Target="metadata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sharedStrings" Target="sharedStrings.xml"/><Relationship Id="rId30" Type="http://schemas.microsoft.com/office/2017/06/relationships/rdRichValueStructure" Target="richData/rdrichvaluestructure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Disceal</c:v>
          </c:tx>
          <c:invertIfNegative val="0"/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3815</c:v>
                </c:pt>
                <c:pt idx="1">
                  <c:v>3366</c:v>
                </c:pt>
                <c:pt idx="2">
                  <c:v>3459</c:v>
                </c:pt>
                <c:pt idx="3">
                  <c:v>3463</c:v>
                </c:pt>
                <c:pt idx="4">
                  <c:v>3313</c:v>
                </c:pt>
                <c:pt idx="5">
                  <c:v>3517</c:v>
                </c:pt>
                <c:pt idx="6">
                  <c:v>3378</c:v>
                </c:pt>
                <c:pt idx="7">
                  <c:v>3163</c:v>
                </c:pt>
                <c:pt idx="8">
                  <c:v>3365</c:v>
                </c:pt>
                <c:pt idx="9">
                  <c:v>3555</c:v>
                </c:pt>
                <c:pt idx="10">
                  <c:v>3880</c:v>
                </c:pt>
                <c:pt idx="11">
                  <c:v>3601</c:v>
                </c:pt>
                <c:pt idx="12">
                  <c:v>3974</c:v>
                </c:pt>
                <c:pt idx="13">
                  <c:v>3583</c:v>
                </c:pt>
                <c:pt idx="14">
                  <c:v>3523</c:v>
                </c:pt>
                <c:pt idx="15">
                  <c:v>3308</c:v>
                </c:pt>
                <c:pt idx="16">
                  <c:v>3408</c:v>
                </c:pt>
                <c:pt idx="17">
                  <c:v>3062</c:v>
                </c:pt>
                <c:pt idx="18">
                  <c:v>3078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036928"/>
        <c:axId val="179038464"/>
      </c:barChart>
      <c:lineChart>
        <c:grouping val="standard"/>
        <c:varyColors val="0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040256"/>
        <c:axId val="179041792"/>
      </c:lineChart>
      <c:catAx>
        <c:axId val="179036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038464"/>
        <c:crosses val="autoZero"/>
        <c:auto val="1"/>
        <c:lblAlgn val="ctr"/>
        <c:lblOffset val="100"/>
        <c:noMultiLvlLbl val="0"/>
      </c:catAx>
      <c:valAx>
        <c:axId val="179038464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036928"/>
        <c:crosses val="autoZero"/>
        <c:crossBetween val="between"/>
        <c:majorUnit val="200"/>
      </c:valAx>
      <c:catAx>
        <c:axId val="179040256"/>
        <c:scaling>
          <c:orientation val="minMax"/>
        </c:scaling>
        <c:delete val="1"/>
        <c:axPos val="b"/>
        <c:majorTickMark val="out"/>
        <c:minorTickMark val="none"/>
        <c:tickLblPos val="none"/>
        <c:crossAx val="179041792"/>
        <c:crosses val="autoZero"/>
        <c:auto val="1"/>
        <c:lblAlgn val="ctr"/>
        <c:lblOffset val="100"/>
        <c:noMultiLvlLbl val="0"/>
      </c:catAx>
      <c:valAx>
        <c:axId val="17904179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0402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overlay val="0"/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Disceal</c:v>
          </c:tx>
          <c:invertIfNegative val="0"/>
          <c:val>
            <c:numRef>
              <c:f>'https://fshr.sharepoint.com/DOCUME~1/JEAN-N~1.BRA/LOCALS~1/Temp/notes5669A7/[DAILY UTILITY REPORT DECEMBER 1.xlsx]Utility summery'!$D$7:$D$38</c:f>
              <c:numCache>
                <c:formatCode>General</c:formatCode>
                <c:ptCount val="32"/>
              </c:numCache>
            </c:numRef>
          </c:val>
          <c:extLst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4638720"/>
        <c:axId val="254644608"/>
      </c:barChart>
      <c:lineChart>
        <c:grouping val="standard"/>
        <c:varyColors val="0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4646144"/>
        <c:axId val="254647680"/>
      </c:lineChart>
      <c:catAx>
        <c:axId val="254638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4644608"/>
        <c:crosses val="autoZero"/>
        <c:auto val="1"/>
        <c:lblAlgn val="ctr"/>
        <c:lblOffset val="100"/>
        <c:noMultiLvlLbl val="0"/>
      </c:catAx>
      <c:valAx>
        <c:axId val="2546446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4638720"/>
        <c:crosses val="autoZero"/>
        <c:crossBetween val="between"/>
        <c:majorUnit val="200"/>
      </c:valAx>
      <c:catAx>
        <c:axId val="254646144"/>
        <c:scaling>
          <c:orientation val="minMax"/>
        </c:scaling>
        <c:delete val="1"/>
        <c:axPos val="b"/>
        <c:majorTickMark val="out"/>
        <c:minorTickMark val="none"/>
        <c:tickLblPos val="none"/>
        <c:crossAx val="254647680"/>
        <c:crosses val="autoZero"/>
        <c:auto val="1"/>
        <c:lblAlgn val="ctr"/>
        <c:lblOffset val="100"/>
        <c:noMultiLvlLbl val="0"/>
      </c:catAx>
      <c:valAx>
        <c:axId val="2546476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46461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overlay val="0"/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74914852924E-2"/>
          <c:y val="3.7036787513880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2783</c:v>
                </c:pt>
                <c:pt idx="3">
                  <c:v>3815</c:v>
                </c:pt>
                <c:pt idx="4">
                  <c:v>3366</c:v>
                </c:pt>
                <c:pt idx="5">
                  <c:v>3459</c:v>
                </c:pt>
                <c:pt idx="6">
                  <c:v>3463</c:v>
                </c:pt>
                <c:pt idx="7">
                  <c:v>3313</c:v>
                </c:pt>
                <c:pt idx="8">
                  <c:v>3517</c:v>
                </c:pt>
                <c:pt idx="9">
                  <c:v>3378</c:v>
                </c:pt>
                <c:pt idx="10">
                  <c:v>3163</c:v>
                </c:pt>
                <c:pt idx="11">
                  <c:v>3365</c:v>
                </c:pt>
                <c:pt idx="12">
                  <c:v>3555</c:v>
                </c:pt>
                <c:pt idx="13">
                  <c:v>3880</c:v>
                </c:pt>
                <c:pt idx="14">
                  <c:v>3601</c:v>
                </c:pt>
                <c:pt idx="15">
                  <c:v>3974</c:v>
                </c:pt>
                <c:pt idx="16">
                  <c:v>3583</c:v>
                </c:pt>
                <c:pt idx="17">
                  <c:v>3523</c:v>
                </c:pt>
                <c:pt idx="18">
                  <c:v>3308</c:v>
                </c:pt>
                <c:pt idx="19">
                  <c:v>3408</c:v>
                </c:pt>
                <c:pt idx="20">
                  <c:v>3062</c:v>
                </c:pt>
                <c:pt idx="21">
                  <c:v>3078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4659968"/>
        <c:axId val="257270912"/>
      </c:lineChart>
      <c:catAx>
        <c:axId val="254659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7270912"/>
        <c:crosses val="autoZero"/>
        <c:auto val="1"/>
        <c:lblAlgn val="ctr"/>
        <c:lblOffset val="200"/>
        <c:tickLblSkip val="1"/>
        <c:noMultiLvlLbl val="0"/>
      </c:catAx>
      <c:valAx>
        <c:axId val="257270912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4659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08872251624"/>
          <c:y val="4.166685686028377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0.2</c:v>
                </c:pt>
                <c:pt idx="1">
                  <c:v>0.12</c:v>
                </c:pt>
                <c:pt idx="2">
                  <c:v>0.12</c:v>
                </c:pt>
                <c:pt idx="3">
                  <c:v>0.17</c:v>
                </c:pt>
                <c:pt idx="4">
                  <c:v>0.2</c:v>
                </c:pt>
                <c:pt idx="5">
                  <c:v>0.2</c:v>
                </c:pt>
                <c:pt idx="6">
                  <c:v>0.18</c:v>
                </c:pt>
                <c:pt idx="7">
                  <c:v>0.21</c:v>
                </c:pt>
                <c:pt idx="8">
                  <c:v>0.17</c:v>
                </c:pt>
                <c:pt idx="9">
                  <c:v>0.08</c:v>
                </c:pt>
                <c:pt idx="10">
                  <c:v>0.13</c:v>
                </c:pt>
                <c:pt idx="11">
                  <c:v>0.13</c:v>
                </c:pt>
                <c:pt idx="12">
                  <c:v>0.22</c:v>
                </c:pt>
                <c:pt idx="13">
                  <c:v>0.15</c:v>
                </c:pt>
                <c:pt idx="14">
                  <c:v>0.18</c:v>
                </c:pt>
                <c:pt idx="15">
                  <c:v>0.17</c:v>
                </c:pt>
                <c:pt idx="16">
                  <c:v>0.16</c:v>
                </c:pt>
                <c:pt idx="17">
                  <c:v>0.16</c:v>
                </c:pt>
                <c:pt idx="18">
                  <c:v>0.11</c:v>
                </c:pt>
                <c:pt idx="19">
                  <c:v>0.05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770624"/>
        <c:axId val="257772160"/>
      </c:lineChart>
      <c:catAx>
        <c:axId val="257770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7772160"/>
        <c:crosses val="autoZero"/>
        <c:auto val="1"/>
        <c:lblAlgn val="ctr"/>
        <c:lblOffset val="100"/>
        <c:noMultiLvlLbl val="0"/>
      </c:catAx>
      <c:valAx>
        <c:axId val="25777216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7770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0.41846927775781528</c:v>
                </c:pt>
                <c:pt idx="1">
                  <c:v>0.4355648754914811</c:v>
                </c:pt>
                <c:pt idx="2">
                  <c:v>0.40961972667855018</c:v>
                </c:pt>
                <c:pt idx="3">
                  <c:v>0.39995952587453021</c:v>
                </c:pt>
                <c:pt idx="4">
                  <c:v>0.4244989893156223</c:v>
                </c:pt>
                <c:pt idx="5">
                  <c:v>0.40415333534560821</c:v>
                </c:pt>
                <c:pt idx="6">
                  <c:v>0.38902473699175433</c:v>
                </c:pt>
                <c:pt idx="7">
                  <c:v>0.3989372409709887</c:v>
                </c:pt>
                <c:pt idx="8">
                  <c:v>0.39947834334492571</c:v>
                </c:pt>
                <c:pt idx="9">
                  <c:v>0.39400891530460619</c:v>
                </c:pt>
                <c:pt idx="10">
                  <c:v>0.38958649789029537</c:v>
                </c:pt>
                <c:pt idx="11">
                  <c:v>0.39547938144329897</c:v>
                </c:pt>
                <c:pt idx="12">
                  <c:v>0.40886142738128295</c:v>
                </c:pt>
                <c:pt idx="13">
                  <c:v>0.39634121791645693</c:v>
                </c:pt>
                <c:pt idx="14">
                  <c:v>0.41262908177504887</c:v>
                </c:pt>
                <c:pt idx="15">
                  <c:v>0.38456713028668749</c:v>
                </c:pt>
                <c:pt idx="16">
                  <c:v>0.40001511487303509</c:v>
                </c:pt>
                <c:pt idx="17">
                  <c:v>0.42455985915492961</c:v>
                </c:pt>
                <c:pt idx="18">
                  <c:v>0.42113324624428478</c:v>
                </c:pt>
                <c:pt idx="19">
                  <c:v>0.40831384015594541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230912"/>
        <c:axId val="258233088"/>
      </c:lineChart>
      <c:catAx>
        <c:axId val="258230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8233088"/>
        <c:crosses val="autoZero"/>
        <c:auto val="1"/>
        <c:lblAlgn val="ctr"/>
        <c:lblOffset val="100"/>
        <c:noMultiLvlLbl val="0"/>
      </c:catAx>
      <c:valAx>
        <c:axId val="258233088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823091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88</c:v>
                </c:pt>
                <c:pt idx="1">
                  <c:v>78</c:v>
                </c:pt>
                <c:pt idx="2">
                  <c:v>71</c:v>
                </c:pt>
                <c:pt idx="3">
                  <c:v>83</c:v>
                </c:pt>
                <c:pt idx="4">
                  <c:v>79</c:v>
                </c:pt>
                <c:pt idx="5">
                  <c:v>89</c:v>
                </c:pt>
                <c:pt idx="6">
                  <c:v>70</c:v>
                </c:pt>
                <c:pt idx="7">
                  <c:v>70</c:v>
                </c:pt>
                <c:pt idx="8">
                  <c:v>64</c:v>
                </c:pt>
                <c:pt idx="9">
                  <c:v>74</c:v>
                </c:pt>
                <c:pt idx="10">
                  <c:v>101</c:v>
                </c:pt>
                <c:pt idx="11">
                  <c:v>87</c:v>
                </c:pt>
                <c:pt idx="12">
                  <c:v>71</c:v>
                </c:pt>
                <c:pt idx="13">
                  <c:v>207</c:v>
                </c:pt>
                <c:pt idx="14">
                  <c:v>222</c:v>
                </c:pt>
                <c:pt idx="15">
                  <c:v>216</c:v>
                </c:pt>
                <c:pt idx="16">
                  <c:v>79</c:v>
                </c:pt>
                <c:pt idx="17">
                  <c:v>77</c:v>
                </c:pt>
                <c:pt idx="18">
                  <c:v>80</c:v>
                </c:pt>
                <c:pt idx="19">
                  <c:v>65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245760"/>
        <c:axId val="258247680"/>
      </c:lineChart>
      <c:catAx>
        <c:axId val="258245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8247680"/>
        <c:crosses val="autoZero"/>
        <c:auto val="1"/>
        <c:lblAlgn val="ctr"/>
        <c:lblOffset val="100"/>
        <c:noMultiLvlLbl val="0"/>
      </c:catAx>
      <c:valAx>
        <c:axId val="258247680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824576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163.15200000000769</c:v>
                </c:pt>
                <c:pt idx="1">
                  <c:v>61.247999999992324</c:v>
                </c:pt>
                <c:pt idx="2">
                  <c:v>71.808000000030745</c:v>
                </c:pt>
                <c:pt idx="3">
                  <c:v>71.191999999969269</c:v>
                </c:pt>
                <c:pt idx="4">
                  <c:v>72.952000000007686</c:v>
                </c:pt>
                <c:pt idx="5">
                  <c:v>132.52799999997953</c:v>
                </c:pt>
                <c:pt idx="6">
                  <c:v>132.61599999999746</c:v>
                </c:pt>
                <c:pt idx="7">
                  <c:v>154.30800000003075</c:v>
                </c:pt>
                <c:pt idx="8">
                  <c:v>152.4599999999744</c:v>
                </c:pt>
                <c:pt idx="9">
                  <c:v>149.07200000002049</c:v>
                </c:pt>
                <c:pt idx="10">
                  <c:v>148.54399999997696</c:v>
                </c:pt>
                <c:pt idx="11">
                  <c:v>151.53600000001026</c:v>
                </c:pt>
                <c:pt idx="12">
                  <c:v>152.32799999997951</c:v>
                </c:pt>
                <c:pt idx="13">
                  <c:v>143.52800000004356</c:v>
                </c:pt>
                <c:pt idx="14">
                  <c:v>117.52399999996415</c:v>
                </c:pt>
                <c:pt idx="15">
                  <c:v>112.02400000002818</c:v>
                </c:pt>
                <c:pt idx="16">
                  <c:v>129.00799999996673</c:v>
                </c:pt>
                <c:pt idx="17">
                  <c:v>99.880000000051226</c:v>
                </c:pt>
                <c:pt idx="18">
                  <c:v>106.52399999996415</c:v>
                </c:pt>
                <c:pt idx="19">
                  <c:v>120.2520000000077</c:v>
                </c:pt>
                <c:pt idx="20">
                  <c:v>77.043999999976961</c:v>
                </c:pt>
                <c:pt idx="21">
                  <c:v>-339889.17599999998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7568128"/>
        <c:axId val="257586304"/>
      </c:lineChart>
      <c:catAx>
        <c:axId val="257568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7586304"/>
        <c:crosses val="autoZero"/>
        <c:auto val="1"/>
        <c:lblAlgn val="ctr"/>
        <c:lblOffset val="100"/>
        <c:noMultiLvlLbl val="0"/>
      </c:catAx>
      <c:valAx>
        <c:axId val="25758630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7568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8811776"/>
        <c:axId val="258813312"/>
      </c:lineChart>
      <c:catAx>
        <c:axId val="258811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8813312"/>
        <c:crosses val="autoZero"/>
        <c:auto val="1"/>
        <c:lblAlgn val="ctr"/>
        <c:lblOffset val="100"/>
        <c:noMultiLvlLbl val="0"/>
      </c:catAx>
      <c:valAx>
        <c:axId val="2588133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8811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2783</c:v>
                </c:pt>
                <c:pt idx="3">
                  <c:v>3815</c:v>
                </c:pt>
                <c:pt idx="4">
                  <c:v>3366</c:v>
                </c:pt>
                <c:pt idx="5">
                  <c:v>3459</c:v>
                </c:pt>
                <c:pt idx="6">
                  <c:v>3463</c:v>
                </c:pt>
                <c:pt idx="7">
                  <c:v>3313</c:v>
                </c:pt>
                <c:pt idx="8">
                  <c:v>3517</c:v>
                </c:pt>
                <c:pt idx="9">
                  <c:v>3378</c:v>
                </c:pt>
                <c:pt idx="10">
                  <c:v>3163</c:v>
                </c:pt>
                <c:pt idx="11">
                  <c:v>3365</c:v>
                </c:pt>
                <c:pt idx="12">
                  <c:v>3555</c:v>
                </c:pt>
                <c:pt idx="13">
                  <c:v>3880</c:v>
                </c:pt>
                <c:pt idx="14">
                  <c:v>3601</c:v>
                </c:pt>
                <c:pt idx="15">
                  <c:v>3974</c:v>
                </c:pt>
                <c:pt idx="16">
                  <c:v>3583</c:v>
                </c:pt>
                <c:pt idx="17">
                  <c:v>3523</c:v>
                </c:pt>
                <c:pt idx="18">
                  <c:v>3308</c:v>
                </c:pt>
                <c:pt idx="19">
                  <c:v>3408</c:v>
                </c:pt>
                <c:pt idx="20">
                  <c:v>3062</c:v>
                </c:pt>
                <c:pt idx="21">
                  <c:v>3078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8833408"/>
        <c:axId val="258839296"/>
      </c:lineChart>
      <c:catAx>
        <c:axId val="258833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8839296"/>
        <c:crosses val="autoZero"/>
        <c:auto val="1"/>
        <c:lblAlgn val="ctr"/>
        <c:lblOffset val="100"/>
        <c:noMultiLvlLbl val="0"/>
      </c:catAx>
      <c:valAx>
        <c:axId val="2588392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8833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2577"/>
          <c:y val="7.4713247051123755E-2"/>
          <c:w val="0.12829531633675006"/>
          <c:h val="0.1379316378556104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74914852924E-2"/>
          <c:y val="3.7036787513880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9597056"/>
        <c:axId val="259598592"/>
      </c:lineChart>
      <c:catAx>
        <c:axId val="259597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9598592"/>
        <c:crosses val="autoZero"/>
        <c:auto val="1"/>
        <c:lblAlgn val="ctr"/>
        <c:lblOffset val="200"/>
        <c:tickLblSkip val="1"/>
        <c:noMultiLvlLbl val="0"/>
      </c:catAx>
      <c:valAx>
        <c:axId val="259598592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9597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08872251624"/>
          <c:y val="4.166685686028377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639936"/>
        <c:axId val="259797376"/>
      </c:lineChart>
      <c:catAx>
        <c:axId val="259639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9797376"/>
        <c:crosses val="autoZero"/>
        <c:auto val="1"/>
        <c:lblAlgn val="ctr"/>
        <c:lblOffset val="100"/>
        <c:noMultiLvlLbl val="0"/>
      </c:catAx>
      <c:valAx>
        <c:axId val="2597973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9639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842432"/>
        <c:axId val="259844352"/>
      </c:lineChart>
      <c:catAx>
        <c:axId val="259842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9844352"/>
        <c:crosses val="autoZero"/>
        <c:auto val="1"/>
        <c:lblAlgn val="ctr"/>
        <c:lblOffset val="100"/>
        <c:noMultiLvlLbl val="0"/>
      </c:catAx>
      <c:valAx>
        <c:axId val="259844352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98424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443328"/>
        <c:axId val="259449600"/>
      </c:lineChart>
      <c:catAx>
        <c:axId val="259443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9449600"/>
        <c:crosses val="autoZero"/>
        <c:auto val="1"/>
        <c:lblAlgn val="ctr"/>
        <c:lblOffset val="100"/>
        <c:noMultiLvlLbl val="0"/>
      </c:catAx>
      <c:valAx>
        <c:axId val="259449600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944332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1440640"/>
        <c:axId val="261442176"/>
      </c:lineChart>
      <c:catAx>
        <c:axId val="261440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1442176"/>
        <c:crosses val="autoZero"/>
        <c:auto val="1"/>
        <c:lblAlgn val="ctr"/>
        <c:lblOffset val="100"/>
        <c:noMultiLvlLbl val="0"/>
      </c:catAx>
      <c:valAx>
        <c:axId val="261442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1440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1467520"/>
        <c:axId val="261473408"/>
      </c:lineChart>
      <c:catAx>
        <c:axId val="261467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1473408"/>
        <c:crosses val="autoZero"/>
        <c:auto val="1"/>
        <c:lblAlgn val="ctr"/>
        <c:lblOffset val="100"/>
        <c:noMultiLvlLbl val="0"/>
      </c:catAx>
      <c:valAx>
        <c:axId val="261473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1467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1845760"/>
        <c:axId val="261847296"/>
      </c:lineChart>
      <c:catAx>
        <c:axId val="261845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1847296"/>
        <c:crosses val="autoZero"/>
        <c:auto val="1"/>
        <c:lblAlgn val="ctr"/>
        <c:lblOffset val="100"/>
        <c:noMultiLvlLbl val="0"/>
      </c:catAx>
      <c:valAx>
        <c:axId val="2618472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1845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291"/>
          <c:y val="7.4713247051124171E-2"/>
          <c:w val="0.12829531633675006"/>
          <c:h val="0.1379316378556104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varyColors val="0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056960"/>
        <c:axId val="262066944"/>
      </c:lineChart>
      <c:lineChart>
        <c:grouping val="stacked"/>
        <c:varyColors val="0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068480"/>
        <c:axId val="262070272"/>
      </c:lineChart>
      <c:catAx>
        <c:axId val="262056960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2066944"/>
        <c:crosses val="autoZero"/>
        <c:auto val="0"/>
        <c:lblAlgn val="ctr"/>
        <c:lblOffset val="100"/>
        <c:tickMarkSkip val="1"/>
        <c:noMultiLvlLbl val="0"/>
      </c:catAx>
      <c:valAx>
        <c:axId val="262066944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2056960"/>
        <c:crosses val="autoZero"/>
        <c:crossBetween val="between"/>
      </c:valAx>
      <c:catAx>
        <c:axId val="262068480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262070272"/>
        <c:crosses val="autoZero"/>
        <c:auto val="0"/>
        <c:lblAlgn val="ctr"/>
        <c:lblOffset val="100"/>
        <c:noMultiLvlLbl val="0"/>
      </c:catAx>
      <c:valAx>
        <c:axId val="26207027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20684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varyColors val="0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365184"/>
        <c:axId val="262366720"/>
      </c:lineChart>
      <c:catAx>
        <c:axId val="262365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2366720"/>
        <c:crosses val="autoZero"/>
        <c:auto val="1"/>
        <c:lblAlgn val="ctr"/>
        <c:lblOffset val="100"/>
        <c:noMultiLvlLbl val="0"/>
      </c:catAx>
      <c:valAx>
        <c:axId val="262366720"/>
        <c:scaling>
          <c:orientation val="minMax"/>
        </c:scaling>
        <c:delete val="0"/>
        <c:axPos val="l"/>
        <c:majorGridlines/>
        <c:numFmt formatCode="_(&quot;$&quot;* #,##0_);_(&quot;$&quot;* \(#,##0\);_(&quot;$&quot;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2365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varyColors val="0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935488"/>
        <c:axId val="263937024"/>
      </c:lineChart>
      <c:catAx>
        <c:axId val="263935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3937024"/>
        <c:crosses val="autoZero"/>
        <c:auto val="1"/>
        <c:lblAlgn val="ctr"/>
        <c:lblOffset val="100"/>
        <c:noMultiLvlLbl val="0"/>
      </c:catAx>
      <c:valAx>
        <c:axId val="263937024"/>
        <c:scaling>
          <c:orientation val="minMax"/>
        </c:scaling>
        <c:delete val="0"/>
        <c:axPos val="l"/>
        <c:majorGridlines/>
        <c:numFmt formatCode="_(&quot;$&quot;* #,##0_);_(&quot;$&quot;* \(#,##0\);_(&quot;$&quot;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3935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varyColors val="0"/>
        <c:ser>
          <c:idx val="0"/>
          <c:order val="0"/>
          <c:tx>
            <c:strRef>
              <c:f>'[3]Energy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'[2]Energy Graph'!$A$2:$A$32</c:f>
              <c:strCache>
                <c:ptCount val="31"/>
              </c:strCache>
            </c:strRef>
          </c:cat>
          <c:val>
            <c:numRef>
              <c:f>'[2]Energy Graph'!$B$2:$B$32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969024"/>
        <c:axId val="263467008"/>
      </c:lineChart>
      <c:lineChart>
        <c:grouping val="stacked"/>
        <c:varyColors val="0"/>
        <c:ser>
          <c:idx val="1"/>
          <c:order val="1"/>
          <c:tx>
            <c:strRef>
              <c:f>'[3]Energy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'[2]Energy Graph'!$A$2:$A$32</c:f>
              <c:strCache>
                <c:ptCount val="31"/>
              </c:strCache>
            </c:strRef>
          </c:cat>
          <c:val>
            <c:numRef>
              <c:f>'[2]Energy Graph'!$C$2:$C$32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468544"/>
        <c:axId val="263470080"/>
      </c:lineChart>
      <c:catAx>
        <c:axId val="26396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3467008"/>
        <c:crosses val="autoZero"/>
        <c:auto val="0"/>
        <c:lblAlgn val="ctr"/>
        <c:lblOffset val="100"/>
        <c:tickMarkSkip val="1"/>
        <c:noMultiLvlLbl val="0"/>
      </c:catAx>
      <c:valAx>
        <c:axId val="2634670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3969024"/>
        <c:crosses val="autoZero"/>
        <c:crossBetween val="between"/>
      </c:valAx>
      <c:catAx>
        <c:axId val="2634685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63470080"/>
        <c:crosses val="autoZero"/>
        <c:auto val="0"/>
        <c:lblAlgn val="ctr"/>
        <c:lblOffset val="100"/>
        <c:noMultiLvlLbl val="0"/>
      </c:catAx>
      <c:valAx>
        <c:axId val="2634700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34685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varyColors val="0"/>
        <c:ser>
          <c:idx val="0"/>
          <c:order val="0"/>
          <c:tx>
            <c:strRef>
              <c:f>'[3]Energy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481216"/>
        <c:axId val="263482752"/>
      </c:lineChart>
      <c:catAx>
        <c:axId val="263481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3482752"/>
        <c:crosses val="autoZero"/>
        <c:auto val="1"/>
        <c:lblAlgn val="ctr"/>
        <c:lblOffset val="100"/>
        <c:noMultiLvlLbl val="0"/>
      </c:catAx>
      <c:valAx>
        <c:axId val="263482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3481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varyColors val="0"/>
        <c:ser>
          <c:idx val="0"/>
          <c:order val="0"/>
          <c:tx>
            <c:strRef>
              <c:f>'[3]Energy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4539520"/>
        <c:axId val="264549504"/>
      </c:lineChart>
      <c:catAx>
        <c:axId val="264539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4549504"/>
        <c:crosses val="autoZero"/>
        <c:auto val="1"/>
        <c:lblAlgn val="ctr"/>
        <c:lblOffset val="100"/>
        <c:noMultiLvlLbl val="0"/>
      </c:catAx>
      <c:valAx>
        <c:axId val="2645495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4539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varyColors val="0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5055232"/>
        <c:axId val="265061120"/>
      </c:lineChart>
      <c:lineChart>
        <c:grouping val="stacked"/>
        <c:varyColors val="0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5062656"/>
        <c:axId val="265068544"/>
      </c:lineChart>
      <c:catAx>
        <c:axId val="265055232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5061120"/>
        <c:crosses val="autoZero"/>
        <c:auto val="0"/>
        <c:lblAlgn val="ctr"/>
        <c:lblOffset val="100"/>
        <c:tickMarkSkip val="1"/>
        <c:noMultiLvlLbl val="0"/>
      </c:catAx>
      <c:valAx>
        <c:axId val="26506112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5055232"/>
        <c:crosses val="autoZero"/>
        <c:crossBetween val="between"/>
      </c:valAx>
      <c:catAx>
        <c:axId val="265062656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265068544"/>
        <c:crosses val="autoZero"/>
        <c:auto val="0"/>
        <c:lblAlgn val="ctr"/>
        <c:lblOffset val="100"/>
        <c:noMultiLvlLbl val="0"/>
      </c:catAx>
      <c:valAx>
        <c:axId val="265068544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50626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varyColors val="0"/>
        <c:ser>
          <c:idx val="0"/>
          <c:order val="0"/>
          <c:tx>
            <c:strRef>
              <c:f>[3]LPG_Graph!$B$1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strRef>
              <c:f>[2]LPG_Graph!$A$2:$A$32</c:f>
              <c:strCache>
                <c:ptCount val="31"/>
              </c:strCache>
            </c:strRef>
          </c:cat>
          <c:val>
            <c:numRef>
              <c:f>[2]LPG_Graph!$B$2:$B$32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251456"/>
        <c:axId val="179265536"/>
      </c:lineChart>
      <c:lineChart>
        <c:grouping val="stacked"/>
        <c:varyColors val="0"/>
        <c:ser>
          <c:idx val="1"/>
          <c:order val="1"/>
          <c:tx>
            <c:strRef>
              <c:f>[3]LPG_Graph!$C$1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strRef>
              <c:f>[2]LPG_Graph!$A$2:$A$32</c:f>
              <c:strCache>
                <c:ptCount val="31"/>
              </c:strCache>
            </c:strRef>
          </c:cat>
          <c:val>
            <c:numRef>
              <c:f>[2]LPG_Graph!$C$2:$C$32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267072"/>
        <c:axId val="179268608"/>
      </c:lineChart>
      <c:catAx>
        <c:axId val="17925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265536"/>
        <c:crosses val="autoZero"/>
        <c:auto val="0"/>
        <c:lblAlgn val="ctr"/>
        <c:lblOffset val="100"/>
        <c:tickMarkSkip val="1"/>
        <c:noMultiLvlLbl val="0"/>
      </c:catAx>
      <c:valAx>
        <c:axId val="1792655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251456"/>
        <c:crosses val="autoZero"/>
        <c:crossBetween val="between"/>
      </c:valAx>
      <c:catAx>
        <c:axId val="1792670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79268608"/>
        <c:crosses val="autoZero"/>
        <c:auto val="0"/>
        <c:lblAlgn val="ctr"/>
        <c:lblOffset val="100"/>
        <c:noMultiLvlLbl val="0"/>
      </c:catAx>
      <c:valAx>
        <c:axId val="17926860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2670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varyColors val="0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6318592"/>
        <c:axId val="266320128"/>
      </c:lineChart>
      <c:lineChart>
        <c:grouping val="stacked"/>
        <c:varyColors val="0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6334208"/>
        <c:axId val="266335744"/>
      </c:lineChart>
      <c:catAx>
        <c:axId val="266318592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6320128"/>
        <c:crosses val="autoZero"/>
        <c:auto val="0"/>
        <c:lblAlgn val="ctr"/>
        <c:lblOffset val="100"/>
        <c:tickMarkSkip val="1"/>
        <c:noMultiLvlLbl val="0"/>
      </c:catAx>
      <c:valAx>
        <c:axId val="266320128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6318592"/>
        <c:crosses val="autoZero"/>
        <c:crossBetween val="between"/>
      </c:valAx>
      <c:catAx>
        <c:axId val="266334208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266335744"/>
        <c:crosses val="autoZero"/>
        <c:auto val="0"/>
        <c:lblAlgn val="ctr"/>
        <c:lblOffset val="100"/>
        <c:noMultiLvlLbl val="0"/>
      </c:catAx>
      <c:valAx>
        <c:axId val="266335744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63342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varyColors val="0"/>
        <c:ser>
          <c:idx val="0"/>
          <c:order val="0"/>
          <c:tx>
            <c:strRef>
              <c:f>'[3]Water_Graph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strRef>
              <c:f>'[2]Water_Graph '!$A$2:$A$32</c:f>
              <c:strCache>
                <c:ptCount val="31"/>
              </c:strCache>
            </c:strRef>
          </c:cat>
          <c:val>
            <c:numRef>
              <c:f>'[2]Water_Graph '!$B$2:$B$32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8537856"/>
        <c:axId val="268539392"/>
      </c:lineChart>
      <c:lineChart>
        <c:grouping val="stacked"/>
        <c:varyColors val="0"/>
        <c:ser>
          <c:idx val="1"/>
          <c:order val="1"/>
          <c:tx>
            <c:strRef>
              <c:f>'[3]Water_Graph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strRef>
              <c:f>'[2]Water_Graph '!$A$2:$A$32</c:f>
              <c:strCache>
                <c:ptCount val="31"/>
              </c:strCache>
            </c:strRef>
          </c:cat>
          <c:val>
            <c:numRef>
              <c:f>'[2]Water_Graph '!$C$2:$C$32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8540928"/>
        <c:axId val="268542720"/>
      </c:lineChart>
      <c:catAx>
        <c:axId val="26853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8539392"/>
        <c:crosses val="autoZero"/>
        <c:auto val="0"/>
        <c:lblAlgn val="ctr"/>
        <c:lblOffset val="100"/>
        <c:tickMarkSkip val="1"/>
        <c:noMultiLvlLbl val="0"/>
      </c:catAx>
      <c:valAx>
        <c:axId val="2685393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8537856"/>
        <c:crosses val="autoZero"/>
        <c:crossBetween val="between"/>
      </c:valAx>
      <c:catAx>
        <c:axId val="2685409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68542720"/>
        <c:crosses val="autoZero"/>
        <c:auto val="0"/>
        <c:lblAlgn val="ctr"/>
        <c:lblOffset val="100"/>
        <c:noMultiLvlLbl val="0"/>
      </c:catAx>
      <c:valAx>
        <c:axId val="26854272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85409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0.41846927775781528</c:v>
                </c:pt>
                <c:pt idx="1">
                  <c:v>0.4355648754914811</c:v>
                </c:pt>
                <c:pt idx="2">
                  <c:v>0.40961972667855018</c:v>
                </c:pt>
                <c:pt idx="3">
                  <c:v>0.39995952587453021</c:v>
                </c:pt>
                <c:pt idx="4">
                  <c:v>0.4244989893156223</c:v>
                </c:pt>
                <c:pt idx="5">
                  <c:v>0.40415333534560821</c:v>
                </c:pt>
                <c:pt idx="6">
                  <c:v>0.38902473699175433</c:v>
                </c:pt>
                <c:pt idx="7">
                  <c:v>0.3989372409709887</c:v>
                </c:pt>
                <c:pt idx="8">
                  <c:v>0.39947834334492571</c:v>
                </c:pt>
                <c:pt idx="9">
                  <c:v>0.39400891530460619</c:v>
                </c:pt>
                <c:pt idx="10">
                  <c:v>0.38958649789029537</c:v>
                </c:pt>
                <c:pt idx="11">
                  <c:v>0.39547938144329897</c:v>
                </c:pt>
                <c:pt idx="12">
                  <c:v>0.40886142738128295</c:v>
                </c:pt>
                <c:pt idx="13">
                  <c:v>0.39634121791645693</c:v>
                </c:pt>
                <c:pt idx="14">
                  <c:v>0.41262908177504887</c:v>
                </c:pt>
                <c:pt idx="15">
                  <c:v>0.38456713028668749</c:v>
                </c:pt>
                <c:pt idx="16">
                  <c:v>0.40001511487303509</c:v>
                </c:pt>
                <c:pt idx="17">
                  <c:v>0.42455985915492961</c:v>
                </c:pt>
                <c:pt idx="18">
                  <c:v>0.42113324624428478</c:v>
                </c:pt>
                <c:pt idx="19">
                  <c:v>0.40831384015594541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9971840"/>
        <c:axId val="269973760"/>
      </c:lineChart>
      <c:catAx>
        <c:axId val="269971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9973760"/>
        <c:crosses val="autoZero"/>
        <c:auto val="1"/>
        <c:lblAlgn val="ctr"/>
        <c:lblOffset val="100"/>
        <c:noMultiLvlLbl val="0"/>
      </c:catAx>
      <c:valAx>
        <c:axId val="269973760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997184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88</c:v>
                </c:pt>
                <c:pt idx="1">
                  <c:v>78</c:v>
                </c:pt>
                <c:pt idx="2">
                  <c:v>71</c:v>
                </c:pt>
                <c:pt idx="3">
                  <c:v>83</c:v>
                </c:pt>
                <c:pt idx="4">
                  <c:v>79</c:v>
                </c:pt>
                <c:pt idx="5">
                  <c:v>89</c:v>
                </c:pt>
                <c:pt idx="6">
                  <c:v>70</c:v>
                </c:pt>
                <c:pt idx="7">
                  <c:v>70</c:v>
                </c:pt>
                <c:pt idx="8">
                  <c:v>64</c:v>
                </c:pt>
                <c:pt idx="9">
                  <c:v>74</c:v>
                </c:pt>
                <c:pt idx="10">
                  <c:v>101</c:v>
                </c:pt>
                <c:pt idx="11">
                  <c:v>87</c:v>
                </c:pt>
                <c:pt idx="12">
                  <c:v>71</c:v>
                </c:pt>
                <c:pt idx="13">
                  <c:v>207</c:v>
                </c:pt>
                <c:pt idx="14">
                  <c:v>222</c:v>
                </c:pt>
                <c:pt idx="15">
                  <c:v>216</c:v>
                </c:pt>
                <c:pt idx="16">
                  <c:v>79</c:v>
                </c:pt>
                <c:pt idx="17">
                  <c:v>77</c:v>
                </c:pt>
                <c:pt idx="18">
                  <c:v>80</c:v>
                </c:pt>
                <c:pt idx="19">
                  <c:v>65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0006912"/>
        <c:axId val="270156544"/>
      </c:lineChart>
      <c:catAx>
        <c:axId val="270006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0156544"/>
        <c:crosses val="autoZero"/>
        <c:auto val="1"/>
        <c:lblAlgn val="ctr"/>
        <c:lblOffset val="100"/>
        <c:noMultiLvlLbl val="0"/>
      </c:catAx>
      <c:valAx>
        <c:axId val="270156544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000691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2783</c:v>
                </c:pt>
                <c:pt idx="3">
                  <c:v>3815</c:v>
                </c:pt>
                <c:pt idx="4">
                  <c:v>3366</c:v>
                </c:pt>
                <c:pt idx="5">
                  <c:v>3459</c:v>
                </c:pt>
                <c:pt idx="6">
                  <c:v>3463</c:v>
                </c:pt>
                <c:pt idx="7">
                  <c:v>3313</c:v>
                </c:pt>
                <c:pt idx="8">
                  <c:v>3517</c:v>
                </c:pt>
                <c:pt idx="9">
                  <c:v>3378</c:v>
                </c:pt>
                <c:pt idx="10">
                  <c:v>3163</c:v>
                </c:pt>
                <c:pt idx="11">
                  <c:v>3365</c:v>
                </c:pt>
                <c:pt idx="12">
                  <c:v>3555</c:v>
                </c:pt>
                <c:pt idx="13">
                  <c:v>3880</c:v>
                </c:pt>
                <c:pt idx="14">
                  <c:v>3601</c:v>
                </c:pt>
                <c:pt idx="15">
                  <c:v>3974</c:v>
                </c:pt>
                <c:pt idx="16">
                  <c:v>3583</c:v>
                </c:pt>
                <c:pt idx="17">
                  <c:v>3523</c:v>
                </c:pt>
                <c:pt idx="18">
                  <c:v>3308</c:v>
                </c:pt>
                <c:pt idx="19">
                  <c:v>3408</c:v>
                </c:pt>
                <c:pt idx="20">
                  <c:v>3062</c:v>
                </c:pt>
                <c:pt idx="21">
                  <c:v>3078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181504"/>
        <c:axId val="270183040"/>
      </c:lineChart>
      <c:catAx>
        <c:axId val="270181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0183040"/>
        <c:crosses val="autoZero"/>
        <c:auto val="1"/>
        <c:lblAlgn val="ctr"/>
        <c:lblOffset val="200"/>
        <c:tickLblSkip val="1"/>
        <c:noMultiLvlLbl val="0"/>
      </c:catAx>
      <c:valAx>
        <c:axId val="270183040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0181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0.2</c:v>
                </c:pt>
                <c:pt idx="1">
                  <c:v>0.12</c:v>
                </c:pt>
                <c:pt idx="2">
                  <c:v>0.12</c:v>
                </c:pt>
                <c:pt idx="3">
                  <c:v>0.17</c:v>
                </c:pt>
                <c:pt idx="4">
                  <c:v>0.2</c:v>
                </c:pt>
                <c:pt idx="5">
                  <c:v>0.2</c:v>
                </c:pt>
                <c:pt idx="6">
                  <c:v>0.18</c:v>
                </c:pt>
                <c:pt idx="7">
                  <c:v>0.21</c:v>
                </c:pt>
                <c:pt idx="8">
                  <c:v>0.17</c:v>
                </c:pt>
                <c:pt idx="9">
                  <c:v>0.08</c:v>
                </c:pt>
                <c:pt idx="10">
                  <c:v>0.13</c:v>
                </c:pt>
                <c:pt idx="11">
                  <c:v>0.13</c:v>
                </c:pt>
                <c:pt idx="12">
                  <c:v>0.22</c:v>
                </c:pt>
                <c:pt idx="13">
                  <c:v>0.15</c:v>
                </c:pt>
                <c:pt idx="14">
                  <c:v>0.18</c:v>
                </c:pt>
                <c:pt idx="15">
                  <c:v>0.17</c:v>
                </c:pt>
                <c:pt idx="16">
                  <c:v>0.16</c:v>
                </c:pt>
                <c:pt idx="17">
                  <c:v>0.16</c:v>
                </c:pt>
                <c:pt idx="18">
                  <c:v>0.11</c:v>
                </c:pt>
                <c:pt idx="19">
                  <c:v>0.05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9625984"/>
        <c:axId val="269635968"/>
      </c:lineChart>
      <c:catAx>
        <c:axId val="269625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9635968"/>
        <c:crosses val="autoZero"/>
        <c:auto val="1"/>
        <c:lblAlgn val="ctr"/>
        <c:lblOffset val="100"/>
        <c:noMultiLvlLbl val="0"/>
      </c:catAx>
      <c:valAx>
        <c:axId val="26963596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9625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028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163.15200000000769</c:v>
                </c:pt>
                <c:pt idx="1">
                  <c:v>61.247999999992324</c:v>
                </c:pt>
                <c:pt idx="2">
                  <c:v>71.808000000030745</c:v>
                </c:pt>
                <c:pt idx="3">
                  <c:v>71.191999999969269</c:v>
                </c:pt>
                <c:pt idx="4">
                  <c:v>72.952000000007686</c:v>
                </c:pt>
                <c:pt idx="5">
                  <c:v>132.52799999997953</c:v>
                </c:pt>
                <c:pt idx="6">
                  <c:v>132.61599999999746</c:v>
                </c:pt>
                <c:pt idx="7">
                  <c:v>154.30800000003075</c:v>
                </c:pt>
                <c:pt idx="8">
                  <c:v>152.4599999999744</c:v>
                </c:pt>
                <c:pt idx="9">
                  <c:v>149.07200000002049</c:v>
                </c:pt>
                <c:pt idx="10">
                  <c:v>148.54399999997696</c:v>
                </c:pt>
                <c:pt idx="11">
                  <c:v>151.53600000001026</c:v>
                </c:pt>
                <c:pt idx="12">
                  <c:v>152.32799999997951</c:v>
                </c:pt>
                <c:pt idx="13">
                  <c:v>143.52800000004356</c:v>
                </c:pt>
                <c:pt idx="14">
                  <c:v>117.52399999996415</c:v>
                </c:pt>
                <c:pt idx="15">
                  <c:v>112.02400000002818</c:v>
                </c:pt>
                <c:pt idx="16">
                  <c:v>129.00799999996673</c:v>
                </c:pt>
                <c:pt idx="17">
                  <c:v>99.880000000051226</c:v>
                </c:pt>
                <c:pt idx="18">
                  <c:v>106.52399999996415</c:v>
                </c:pt>
                <c:pt idx="19">
                  <c:v>120.2520000000077</c:v>
                </c:pt>
                <c:pt idx="20">
                  <c:v>77.043999999976961</c:v>
                </c:pt>
                <c:pt idx="21">
                  <c:v>-339889.17599999998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9676928"/>
        <c:axId val="269678464"/>
      </c:lineChart>
      <c:catAx>
        <c:axId val="269676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9678464"/>
        <c:crosses val="autoZero"/>
        <c:auto val="1"/>
        <c:lblAlgn val="ctr"/>
        <c:lblOffset val="100"/>
        <c:noMultiLvlLbl val="0"/>
      </c:catAx>
      <c:valAx>
        <c:axId val="26967846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9676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0.41846927775781528</c:v>
                </c:pt>
                <c:pt idx="1">
                  <c:v>0.4355648754914811</c:v>
                </c:pt>
                <c:pt idx="2">
                  <c:v>0.40961972667855018</c:v>
                </c:pt>
                <c:pt idx="3">
                  <c:v>0.39995952587453021</c:v>
                </c:pt>
                <c:pt idx="4">
                  <c:v>0.4244989893156223</c:v>
                </c:pt>
                <c:pt idx="5">
                  <c:v>0.40415333534560821</c:v>
                </c:pt>
                <c:pt idx="6">
                  <c:v>0.38902473699175433</c:v>
                </c:pt>
                <c:pt idx="7">
                  <c:v>0.3989372409709887</c:v>
                </c:pt>
                <c:pt idx="8">
                  <c:v>0.39947834334492571</c:v>
                </c:pt>
                <c:pt idx="9">
                  <c:v>0.39400891530460619</c:v>
                </c:pt>
                <c:pt idx="10">
                  <c:v>0.38958649789029537</c:v>
                </c:pt>
                <c:pt idx="11">
                  <c:v>0.39547938144329897</c:v>
                </c:pt>
                <c:pt idx="12">
                  <c:v>0.40886142738128295</c:v>
                </c:pt>
                <c:pt idx="13">
                  <c:v>0.39634121791645693</c:v>
                </c:pt>
                <c:pt idx="14">
                  <c:v>0.41262908177504887</c:v>
                </c:pt>
                <c:pt idx="15">
                  <c:v>0.38456713028668749</c:v>
                </c:pt>
                <c:pt idx="16">
                  <c:v>0.40001511487303509</c:v>
                </c:pt>
                <c:pt idx="17">
                  <c:v>0.42455985915492961</c:v>
                </c:pt>
                <c:pt idx="18">
                  <c:v>0.42113324624428478</c:v>
                </c:pt>
                <c:pt idx="19">
                  <c:v>0.40831384015594541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1206272"/>
        <c:axId val="271646720"/>
      </c:lineChart>
      <c:catAx>
        <c:axId val="271206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1646720"/>
        <c:crosses val="autoZero"/>
        <c:auto val="1"/>
        <c:lblAlgn val="ctr"/>
        <c:lblOffset val="100"/>
        <c:noMultiLvlLbl val="0"/>
      </c:catAx>
      <c:valAx>
        <c:axId val="271646720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120627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88</c:v>
                </c:pt>
                <c:pt idx="1">
                  <c:v>78</c:v>
                </c:pt>
                <c:pt idx="2">
                  <c:v>71</c:v>
                </c:pt>
                <c:pt idx="3">
                  <c:v>83</c:v>
                </c:pt>
                <c:pt idx="4">
                  <c:v>79</c:v>
                </c:pt>
                <c:pt idx="5">
                  <c:v>89</c:v>
                </c:pt>
                <c:pt idx="6">
                  <c:v>70</c:v>
                </c:pt>
                <c:pt idx="7">
                  <c:v>70</c:v>
                </c:pt>
                <c:pt idx="8">
                  <c:v>64</c:v>
                </c:pt>
                <c:pt idx="9">
                  <c:v>74</c:v>
                </c:pt>
                <c:pt idx="10">
                  <c:v>101</c:v>
                </c:pt>
                <c:pt idx="11">
                  <c:v>87</c:v>
                </c:pt>
                <c:pt idx="12">
                  <c:v>71</c:v>
                </c:pt>
                <c:pt idx="13">
                  <c:v>207</c:v>
                </c:pt>
                <c:pt idx="14">
                  <c:v>222</c:v>
                </c:pt>
                <c:pt idx="15">
                  <c:v>216</c:v>
                </c:pt>
                <c:pt idx="16">
                  <c:v>79</c:v>
                </c:pt>
                <c:pt idx="17">
                  <c:v>77</c:v>
                </c:pt>
                <c:pt idx="18">
                  <c:v>80</c:v>
                </c:pt>
                <c:pt idx="19">
                  <c:v>65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1667584"/>
        <c:axId val="271669504"/>
      </c:lineChart>
      <c:catAx>
        <c:axId val="271667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1669504"/>
        <c:crosses val="autoZero"/>
        <c:auto val="1"/>
        <c:lblAlgn val="ctr"/>
        <c:lblOffset val="100"/>
        <c:noMultiLvlLbl val="0"/>
      </c:catAx>
      <c:valAx>
        <c:axId val="271669504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166758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2783</c:v>
                </c:pt>
                <c:pt idx="3">
                  <c:v>3815</c:v>
                </c:pt>
                <c:pt idx="4">
                  <c:v>3366</c:v>
                </c:pt>
                <c:pt idx="5">
                  <c:v>3459</c:v>
                </c:pt>
                <c:pt idx="6">
                  <c:v>3463</c:v>
                </c:pt>
                <c:pt idx="7">
                  <c:v>3313</c:v>
                </c:pt>
                <c:pt idx="8">
                  <c:v>3517</c:v>
                </c:pt>
                <c:pt idx="9">
                  <c:v>3378</c:v>
                </c:pt>
                <c:pt idx="10">
                  <c:v>3163</c:v>
                </c:pt>
                <c:pt idx="11">
                  <c:v>3365</c:v>
                </c:pt>
                <c:pt idx="12">
                  <c:v>3555</c:v>
                </c:pt>
                <c:pt idx="13">
                  <c:v>3880</c:v>
                </c:pt>
                <c:pt idx="14">
                  <c:v>3601</c:v>
                </c:pt>
                <c:pt idx="15">
                  <c:v>3974</c:v>
                </c:pt>
                <c:pt idx="16">
                  <c:v>3583</c:v>
                </c:pt>
                <c:pt idx="17">
                  <c:v>3523</c:v>
                </c:pt>
                <c:pt idx="18">
                  <c:v>3308</c:v>
                </c:pt>
                <c:pt idx="19">
                  <c:v>3408</c:v>
                </c:pt>
                <c:pt idx="20">
                  <c:v>3062</c:v>
                </c:pt>
                <c:pt idx="21">
                  <c:v>3078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1850112"/>
        <c:axId val="271860096"/>
      </c:lineChart>
      <c:catAx>
        <c:axId val="27185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1860096"/>
        <c:crosses val="autoZero"/>
        <c:auto val="1"/>
        <c:lblAlgn val="ctr"/>
        <c:lblOffset val="200"/>
        <c:tickLblSkip val="1"/>
        <c:noMultiLvlLbl val="0"/>
      </c:catAx>
      <c:valAx>
        <c:axId val="271860096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1850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0.2</c:v>
                </c:pt>
                <c:pt idx="1">
                  <c:v>0.12</c:v>
                </c:pt>
                <c:pt idx="2">
                  <c:v>0.12</c:v>
                </c:pt>
                <c:pt idx="3">
                  <c:v>0.17</c:v>
                </c:pt>
                <c:pt idx="4">
                  <c:v>0.2</c:v>
                </c:pt>
                <c:pt idx="5">
                  <c:v>0.2</c:v>
                </c:pt>
                <c:pt idx="6">
                  <c:v>0.18</c:v>
                </c:pt>
                <c:pt idx="7">
                  <c:v>0.21</c:v>
                </c:pt>
                <c:pt idx="8">
                  <c:v>0.17</c:v>
                </c:pt>
                <c:pt idx="9">
                  <c:v>0.08</c:v>
                </c:pt>
                <c:pt idx="10">
                  <c:v>0.13</c:v>
                </c:pt>
                <c:pt idx="11">
                  <c:v>0.13</c:v>
                </c:pt>
                <c:pt idx="12">
                  <c:v>0.22</c:v>
                </c:pt>
                <c:pt idx="13">
                  <c:v>0.15</c:v>
                </c:pt>
                <c:pt idx="14">
                  <c:v>0.18</c:v>
                </c:pt>
                <c:pt idx="15">
                  <c:v>0.17</c:v>
                </c:pt>
                <c:pt idx="16">
                  <c:v>0.16</c:v>
                </c:pt>
                <c:pt idx="17">
                  <c:v>0.16</c:v>
                </c:pt>
                <c:pt idx="18">
                  <c:v>0.11</c:v>
                </c:pt>
                <c:pt idx="19">
                  <c:v>0.05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1872384"/>
        <c:axId val="271873920"/>
      </c:lineChart>
      <c:catAx>
        <c:axId val="271872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1873920"/>
        <c:crosses val="autoZero"/>
        <c:auto val="1"/>
        <c:lblAlgn val="ctr"/>
        <c:lblOffset val="100"/>
        <c:noMultiLvlLbl val="0"/>
      </c:catAx>
      <c:valAx>
        <c:axId val="27187392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1872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028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163.15200000000769</c:v>
                </c:pt>
                <c:pt idx="1">
                  <c:v>61.247999999992324</c:v>
                </c:pt>
                <c:pt idx="2">
                  <c:v>71.808000000030745</c:v>
                </c:pt>
                <c:pt idx="3">
                  <c:v>71.191999999969269</c:v>
                </c:pt>
                <c:pt idx="4">
                  <c:v>72.952000000007686</c:v>
                </c:pt>
                <c:pt idx="5">
                  <c:v>132.52799999997953</c:v>
                </c:pt>
                <c:pt idx="6">
                  <c:v>132.61599999999746</c:v>
                </c:pt>
                <c:pt idx="7">
                  <c:v>154.30800000003075</c:v>
                </c:pt>
                <c:pt idx="8">
                  <c:v>152.4599999999744</c:v>
                </c:pt>
                <c:pt idx="9">
                  <c:v>149.07200000002049</c:v>
                </c:pt>
                <c:pt idx="10">
                  <c:v>148.54399999997696</c:v>
                </c:pt>
                <c:pt idx="11">
                  <c:v>151.53600000001026</c:v>
                </c:pt>
                <c:pt idx="12">
                  <c:v>152.32799999997951</c:v>
                </c:pt>
                <c:pt idx="13">
                  <c:v>143.52800000004356</c:v>
                </c:pt>
                <c:pt idx="14">
                  <c:v>117.52399999996415</c:v>
                </c:pt>
                <c:pt idx="15">
                  <c:v>112.02400000002818</c:v>
                </c:pt>
                <c:pt idx="16">
                  <c:v>129.00799999996673</c:v>
                </c:pt>
                <c:pt idx="17">
                  <c:v>99.880000000051226</c:v>
                </c:pt>
                <c:pt idx="18">
                  <c:v>106.52399999996415</c:v>
                </c:pt>
                <c:pt idx="19">
                  <c:v>120.2520000000077</c:v>
                </c:pt>
                <c:pt idx="20">
                  <c:v>77.043999999976961</c:v>
                </c:pt>
                <c:pt idx="21">
                  <c:v>-339889.17599999998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914304"/>
        <c:axId val="272915840"/>
      </c:lineChart>
      <c:catAx>
        <c:axId val="272914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2915840"/>
        <c:crosses val="autoZero"/>
        <c:auto val="1"/>
        <c:lblAlgn val="ctr"/>
        <c:lblOffset val="100"/>
        <c:noMultiLvlLbl val="0"/>
      </c:catAx>
      <c:valAx>
        <c:axId val="27291584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2914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2932224"/>
        <c:axId val="272451072"/>
      </c:lineChart>
      <c:catAx>
        <c:axId val="272932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2451072"/>
        <c:crosses val="autoZero"/>
        <c:auto val="1"/>
        <c:lblAlgn val="ctr"/>
        <c:lblOffset val="100"/>
        <c:noMultiLvlLbl val="0"/>
      </c:catAx>
      <c:valAx>
        <c:axId val="272451072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293222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2467840"/>
        <c:axId val="272490496"/>
      </c:lineChart>
      <c:catAx>
        <c:axId val="272467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2490496"/>
        <c:crosses val="autoZero"/>
        <c:auto val="1"/>
        <c:lblAlgn val="ctr"/>
        <c:lblOffset val="100"/>
        <c:noMultiLvlLbl val="0"/>
      </c:catAx>
      <c:valAx>
        <c:axId val="272490496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24678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592704"/>
        <c:axId val="273594240"/>
      </c:lineChart>
      <c:catAx>
        <c:axId val="273592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3594240"/>
        <c:crosses val="autoZero"/>
        <c:auto val="1"/>
        <c:lblAlgn val="ctr"/>
        <c:lblOffset val="200"/>
        <c:tickLblSkip val="1"/>
        <c:noMultiLvlLbl val="0"/>
      </c:catAx>
      <c:valAx>
        <c:axId val="273594240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3592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3815424"/>
        <c:axId val="273816960"/>
      </c:lineChart>
      <c:catAx>
        <c:axId val="273815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3816960"/>
        <c:crosses val="autoZero"/>
        <c:auto val="1"/>
        <c:lblAlgn val="ctr"/>
        <c:lblOffset val="100"/>
        <c:noMultiLvlLbl val="0"/>
      </c:catAx>
      <c:valAx>
        <c:axId val="273816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3815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19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948608"/>
        <c:axId val="273851520"/>
      </c:lineChart>
      <c:catAx>
        <c:axId val="272948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3851520"/>
        <c:crosses val="autoZero"/>
        <c:auto val="1"/>
        <c:lblAlgn val="ctr"/>
        <c:lblOffset val="100"/>
        <c:noMultiLvlLbl val="0"/>
      </c:catAx>
      <c:valAx>
        <c:axId val="273851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2948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371712"/>
        <c:axId val="274373632"/>
      </c:lineChart>
      <c:catAx>
        <c:axId val="274371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373632"/>
        <c:crosses val="autoZero"/>
        <c:auto val="1"/>
        <c:lblAlgn val="ctr"/>
        <c:lblOffset val="100"/>
        <c:noMultiLvlLbl val="0"/>
      </c:catAx>
      <c:valAx>
        <c:axId val="274373632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37171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382208"/>
        <c:axId val="274535936"/>
      </c:lineChart>
      <c:catAx>
        <c:axId val="274382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535936"/>
        <c:crosses val="autoZero"/>
        <c:auto val="1"/>
        <c:lblAlgn val="ctr"/>
        <c:lblOffset val="100"/>
        <c:noMultiLvlLbl val="0"/>
      </c:catAx>
      <c:valAx>
        <c:axId val="274535936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38220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569088"/>
        <c:axId val="274570624"/>
      </c:lineChart>
      <c:catAx>
        <c:axId val="274569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570624"/>
        <c:crosses val="autoZero"/>
        <c:auto val="1"/>
        <c:lblAlgn val="ctr"/>
        <c:lblOffset val="200"/>
        <c:tickLblSkip val="1"/>
        <c:noMultiLvlLbl val="0"/>
      </c:catAx>
      <c:valAx>
        <c:axId val="274570624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569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591104"/>
        <c:axId val="274945152"/>
      </c:lineChart>
      <c:catAx>
        <c:axId val="274591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945152"/>
        <c:crosses val="autoZero"/>
        <c:auto val="1"/>
        <c:lblAlgn val="ctr"/>
        <c:lblOffset val="100"/>
        <c:noMultiLvlLbl val="0"/>
      </c:catAx>
      <c:valAx>
        <c:axId val="2749451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591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19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974208"/>
        <c:axId val="274975744"/>
      </c:lineChart>
      <c:catAx>
        <c:axId val="274974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975744"/>
        <c:crosses val="autoZero"/>
        <c:auto val="1"/>
        <c:lblAlgn val="ctr"/>
        <c:lblOffset val="100"/>
        <c:noMultiLvlLbl val="0"/>
      </c:catAx>
      <c:valAx>
        <c:axId val="2749757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974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275360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2</xdr:col>
      <xdr:colOff>33339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2</xdr:col>
      <xdr:colOff>33339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shr.sharepoint.com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5%20MAY,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20/HLP-REPORT-2020/12%20DECEMBER,%20HLP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ility summery"/>
      <sheetName val="Summery Report"/>
      <sheetName val="Energy Graph"/>
      <sheetName val="LPG_Graph"/>
      <sheetName val="Water_Graph "/>
      <sheetName val="Sheet1"/>
    </sheetNames>
    <sheetDataSet>
      <sheetData sheetId="0" refreshError="1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Daily report Gen"/>
      <sheetName val="Summery Report"/>
      <sheetName val="Gen"/>
      <sheetName val="Energy Graph"/>
      <sheetName val="Lpg (2)"/>
      <sheetName val="LPG_Graph"/>
      <sheetName val="Sheet1"/>
      <sheetName val="Water-Meter"/>
      <sheetName val="Water_Graph "/>
      <sheetName val="VODACOM AND AIRTEL"/>
      <sheetName val="FUEL METER READING"/>
      <sheetName val="Daily utility report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3">
          <cell r="C43">
            <v>31478.349999999988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1">
          <cell r="B11">
            <v>7.6999999999999999E-2</v>
          </cell>
        </row>
        <row r="12">
          <cell r="B12">
            <v>9.0999999999999998E-2</v>
          </cell>
        </row>
        <row r="13">
          <cell r="B13">
            <v>1.2999999999999999E-2</v>
          </cell>
        </row>
        <row r="14">
          <cell r="B14">
            <v>1.2999999999999999E-2</v>
          </cell>
        </row>
        <row r="15">
          <cell r="B15">
            <v>0.01</v>
          </cell>
        </row>
        <row r="16">
          <cell r="B16">
            <v>0.01</v>
          </cell>
        </row>
        <row r="17">
          <cell r="B17">
            <v>0.01</v>
          </cell>
        </row>
        <row r="18">
          <cell r="B18">
            <v>0.01</v>
          </cell>
        </row>
        <row r="19">
          <cell r="B19">
            <v>0.01</v>
          </cell>
        </row>
        <row r="20">
          <cell r="B20">
            <v>0.01</v>
          </cell>
        </row>
        <row r="21">
          <cell r="B21">
            <v>0.01</v>
          </cell>
        </row>
        <row r="22">
          <cell r="B22">
            <v>0.03</v>
          </cell>
        </row>
        <row r="23">
          <cell r="B23">
            <v>0.22</v>
          </cell>
        </row>
        <row r="24">
          <cell r="B24">
            <v>0.23</v>
          </cell>
        </row>
        <row r="25">
          <cell r="B25">
            <v>0.21</v>
          </cell>
        </row>
        <row r="26">
          <cell r="B26">
            <v>0.03</v>
          </cell>
        </row>
        <row r="27">
          <cell r="B27">
            <v>0.06</v>
          </cell>
        </row>
        <row r="28">
          <cell r="B28">
            <v>0.05</v>
          </cell>
        </row>
        <row r="29">
          <cell r="B29">
            <v>7.7899999999999997E-2</v>
          </cell>
        </row>
        <row r="30">
          <cell r="B30">
            <v>0.12989999999999999</v>
          </cell>
        </row>
        <row r="31">
          <cell r="B31">
            <v>0.18179999999999999</v>
          </cell>
        </row>
        <row r="32">
          <cell r="B32">
            <v>0.31169999999999998</v>
          </cell>
        </row>
        <row r="33">
          <cell r="B33">
            <v>0.41560000000000002</v>
          </cell>
        </row>
        <row r="34">
          <cell r="B34">
            <v>0.37659999999999999</v>
          </cell>
        </row>
        <row r="35">
          <cell r="B35">
            <v>0.37</v>
          </cell>
        </row>
        <row r="36">
          <cell r="B36">
            <v>0.29870000000000002</v>
          </cell>
        </row>
        <row r="37">
          <cell r="B37">
            <v>0.28570000000000001</v>
          </cell>
        </row>
        <row r="38">
          <cell r="B38">
            <v>0.42859999999999998</v>
          </cell>
        </row>
        <row r="39">
          <cell r="B39">
            <v>0.55800000000000005</v>
          </cell>
        </row>
        <row r="40">
          <cell r="B40">
            <v>0.6</v>
          </cell>
        </row>
        <row r="41">
          <cell r="B41">
            <v>0.63690000000000002</v>
          </cell>
        </row>
        <row r="42">
          <cell r="B42">
            <v>0</v>
          </cell>
        </row>
        <row r="43">
          <cell r="B43">
            <v>0.18598064516129031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osephat Mng'anya" id="{E1028C77-54B4-452F-81DF-5F4ED22A7146}" userId="S::josephat.mnganya@fourseasons.com::67f60825-9cb0-4003-a669-09094968c066" providerId="AD"/>
</personList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15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I14" dT="2021-06-05T03:36:10.97" personId="{E1028C77-54B4-452F-81DF-5F4ED22A7146}" id="{F03FD981-0C07-42DC-8712-D09F77499164}">
    <text>Used by Thomson vehicle and paid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L39"/>
  <sheetViews>
    <sheetView topLeftCell="A14" workbookViewId="0">
      <selection activeCell="M39" sqref="M39"/>
    </sheetView>
  </sheetViews>
  <sheetFormatPr defaultColWidth="11.5703125" defaultRowHeight="12.75"/>
  <cols>
    <col min="1" max="1" width="12.42578125" style="11" customWidth="1"/>
    <col min="2" max="3" width="11.5703125" style="397"/>
    <col min="4" max="4" width="13.42578125" style="398" customWidth="1"/>
    <col min="5" max="5" width="12.5703125" style="399" customWidth="1"/>
    <col min="6" max="6" width="12.5703125" style="11" customWidth="1"/>
    <col min="7" max="7" width="11.5703125" style="11"/>
    <col min="8" max="8" width="11.5703125" style="405"/>
    <col min="9" max="9" width="11.5703125" style="11"/>
    <col min="10" max="10" width="11.5703125" style="405"/>
    <col min="11" max="11" width="11.5703125" style="399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395" customFormat="1" ht="60.75" thickBot="1">
      <c r="A1" s="389" t="s">
        <v>0</v>
      </c>
      <c r="B1" s="390" t="s">
        <v>1</v>
      </c>
      <c r="C1" s="390" t="s">
        <v>2</v>
      </c>
      <c r="D1" s="391" t="s">
        <v>3</v>
      </c>
      <c r="E1" s="392" t="s">
        <v>4</v>
      </c>
      <c r="F1" s="393" t="s">
        <v>5</v>
      </c>
      <c r="G1" s="393" t="s">
        <v>6</v>
      </c>
      <c r="H1" s="403" t="s">
        <v>7</v>
      </c>
      <c r="I1" s="393" t="s">
        <v>8</v>
      </c>
      <c r="J1" s="403" t="s">
        <v>9</v>
      </c>
      <c r="K1" s="392" t="s">
        <v>10</v>
      </c>
      <c r="L1" s="394" t="s">
        <v>11</v>
      </c>
    </row>
    <row r="2" spans="1:12">
      <c r="A2" s="396" t="s">
        <v>12</v>
      </c>
      <c r="B2" s="397">
        <v>1</v>
      </c>
      <c r="C2" s="397">
        <v>6</v>
      </c>
      <c r="D2" s="398">
        <v>2021</v>
      </c>
      <c r="E2" s="399">
        <f>'UTILITY REPORT 1'!F3</f>
        <v>2783</v>
      </c>
      <c r="F2" s="400">
        <f>('UTILITY REPORT 1'!E3*'UTILITY REPORT 1'!D3)/'UTILITY REPORT 1'!F3</f>
        <v>0.41846927775781528</v>
      </c>
      <c r="G2" s="400">
        <f>IF('Utility summery'!M6&lt;0,"0",'Utility summery'!M6)</f>
        <v>163.15200000000769</v>
      </c>
      <c r="H2" s="404">
        <v>0</v>
      </c>
      <c r="I2" s="400">
        <f>IF('UTILITY REPORT 1'!G3&lt;0,"0",'UTILITY REPORT 1'!G3)</f>
        <v>88</v>
      </c>
      <c r="J2" s="404">
        <v>0</v>
      </c>
      <c r="K2" s="399">
        <f>'UTILITY REPORT 1'!C3</f>
        <v>0</v>
      </c>
      <c r="L2" s="401" t="e">
        <f>E2*F2+G2*H2+#REF!*#REF!+I2*J2</f>
        <v>#REF!</v>
      </c>
    </row>
    <row r="3" spans="1:12">
      <c r="A3" s="396" t="s">
        <v>12</v>
      </c>
      <c r="B3" s="397">
        <f>B2+1</f>
        <v>2</v>
      </c>
      <c r="C3" s="397">
        <v>6</v>
      </c>
      <c r="D3" s="398">
        <v>2021</v>
      </c>
      <c r="E3" s="399">
        <f>'UTILITY REPORT 1'!F4</f>
        <v>3815</v>
      </c>
      <c r="F3" s="400">
        <f>('UTILITY REPORT 1'!E4*'UTILITY REPORT 1'!D4)/'UTILITY REPORT 1'!F4</f>
        <v>0.4355648754914811</v>
      </c>
      <c r="G3" s="400">
        <f>IF('Utility summery'!M7&lt;0,"0",'Utility summery'!M7)</f>
        <v>61.247999999992324</v>
      </c>
      <c r="H3" s="404">
        <v>0</v>
      </c>
      <c r="I3" s="400">
        <f>IF('UTILITY REPORT 1'!G4&lt;0,"0",'UTILITY REPORT 1'!G4)</f>
        <v>78</v>
      </c>
      <c r="J3" s="404">
        <v>0</v>
      </c>
      <c r="K3" s="399">
        <f>'UTILITY REPORT 1'!C4</f>
        <v>0</v>
      </c>
      <c r="L3" s="401" t="e">
        <f>E3*F3+G3*H3+#REF!*#REF!+I3*J3</f>
        <v>#REF!</v>
      </c>
    </row>
    <row r="4" spans="1:12">
      <c r="A4" s="396" t="s">
        <v>12</v>
      </c>
      <c r="B4" s="397">
        <f t="shared" ref="B4:B30" si="0">B3+1</f>
        <v>3</v>
      </c>
      <c r="C4" s="397">
        <v>6</v>
      </c>
      <c r="D4" s="398">
        <v>2021</v>
      </c>
      <c r="E4" s="399">
        <f>'UTILITY REPORT 1'!F5</f>
        <v>3366</v>
      </c>
      <c r="F4" s="400">
        <f>('UTILITY REPORT 1'!E5*'UTILITY REPORT 1'!D5)/'UTILITY REPORT 1'!F5</f>
        <v>0.40961972667855018</v>
      </c>
      <c r="G4" s="400">
        <f>IF('Utility summery'!M8&lt;0,"0",'Utility summery'!M8)</f>
        <v>71.808000000030745</v>
      </c>
      <c r="H4" s="404">
        <v>0</v>
      </c>
      <c r="I4" s="400">
        <f>IF('UTILITY REPORT 1'!G5&lt;0,"0",'UTILITY REPORT 1'!G5)</f>
        <v>71</v>
      </c>
      <c r="J4" s="404">
        <v>0</v>
      </c>
      <c r="K4" s="399">
        <f>'UTILITY REPORT 1'!C5</f>
        <v>0</v>
      </c>
      <c r="L4" s="401" t="e">
        <f>E4*F4+G4*H4+#REF!*#REF!+I4*J4</f>
        <v>#REF!</v>
      </c>
    </row>
    <row r="5" spans="1:12">
      <c r="A5" s="396" t="s">
        <v>12</v>
      </c>
      <c r="B5" s="397">
        <f t="shared" si="0"/>
        <v>4</v>
      </c>
      <c r="C5" s="397">
        <v>6</v>
      </c>
      <c r="D5" s="398">
        <v>2021</v>
      </c>
      <c r="E5" s="399">
        <f>'UTILITY REPORT 1'!F6</f>
        <v>3459</v>
      </c>
      <c r="F5" s="400">
        <f>('UTILITY REPORT 1'!E6*'UTILITY REPORT 1'!D6)/'UTILITY REPORT 1'!F6</f>
        <v>0.39995952587453021</v>
      </c>
      <c r="G5" s="400">
        <f>IF('Utility summery'!M9&lt;0,"0",'Utility summery'!M9)</f>
        <v>71.191999999969269</v>
      </c>
      <c r="H5" s="404">
        <v>0</v>
      </c>
      <c r="I5" s="400">
        <f>IF('UTILITY REPORT 1'!G6&lt;0,"0",'UTILITY REPORT 1'!G6)</f>
        <v>83</v>
      </c>
      <c r="J5" s="404">
        <v>0</v>
      </c>
      <c r="K5" s="399">
        <f>'UTILITY REPORT 1'!C6</f>
        <v>0</v>
      </c>
      <c r="L5" s="401" t="e">
        <f>E5*F5+G5*H5+#REF!*#REF!+I5*J5</f>
        <v>#REF!</v>
      </c>
    </row>
    <row r="6" spans="1:12">
      <c r="A6" s="396" t="s">
        <v>12</v>
      </c>
      <c r="B6" s="397">
        <f t="shared" si="0"/>
        <v>5</v>
      </c>
      <c r="C6" s="397">
        <v>6</v>
      </c>
      <c r="D6" s="398">
        <v>2021</v>
      </c>
      <c r="E6" s="399">
        <f>'UTILITY REPORT 1'!F7</f>
        <v>3463</v>
      </c>
      <c r="F6" s="400">
        <f>('UTILITY REPORT 1'!E7*'UTILITY REPORT 1'!D7)/'UTILITY REPORT 1'!F7</f>
        <v>0.4244989893156223</v>
      </c>
      <c r="G6" s="400">
        <f>IF('Utility summery'!M10&lt;0,"0",'Utility summery'!M10)</f>
        <v>72.952000000007686</v>
      </c>
      <c r="H6" s="404">
        <v>0</v>
      </c>
      <c r="I6" s="400">
        <f>IF('UTILITY REPORT 1'!G7&lt;0,"0",'UTILITY REPORT 1'!G7)</f>
        <v>79</v>
      </c>
      <c r="J6" s="404">
        <v>0</v>
      </c>
      <c r="K6" s="399">
        <f>'UTILITY REPORT 1'!C7</f>
        <v>0</v>
      </c>
      <c r="L6" s="401" t="e">
        <f>E6*F6+G6*H6+#REF!*#REF!+I6*J6</f>
        <v>#REF!</v>
      </c>
    </row>
    <row r="7" spans="1:12">
      <c r="A7" s="396" t="s">
        <v>12</v>
      </c>
      <c r="B7" s="397">
        <f t="shared" si="0"/>
        <v>6</v>
      </c>
      <c r="C7" s="397">
        <v>6</v>
      </c>
      <c r="D7" s="398">
        <v>2021</v>
      </c>
      <c r="E7" s="399">
        <f>'UTILITY REPORT 1'!F8</f>
        <v>3313</v>
      </c>
      <c r="F7" s="400">
        <f>('UTILITY REPORT 1'!E8*'UTILITY REPORT 1'!D8)/'UTILITY REPORT 1'!F8</f>
        <v>0.40415333534560821</v>
      </c>
      <c r="G7" s="400">
        <f>IF('Utility summery'!M11&lt;0,"0",'Utility summery'!M11)</f>
        <v>132.52799999997953</v>
      </c>
      <c r="H7" s="404">
        <v>0</v>
      </c>
      <c r="I7" s="400">
        <f>IF('UTILITY REPORT 1'!G8&lt;0,"0",'UTILITY REPORT 1'!G8)</f>
        <v>89</v>
      </c>
      <c r="J7" s="404">
        <v>0</v>
      </c>
      <c r="K7" s="399">
        <f>'UTILITY REPORT 1'!C8</f>
        <v>0</v>
      </c>
      <c r="L7" s="401" t="e">
        <f>E7*F7+G7*H7+#REF!*#REF!+I7*J7</f>
        <v>#REF!</v>
      </c>
    </row>
    <row r="8" spans="1:12">
      <c r="A8" s="396" t="s">
        <v>12</v>
      </c>
      <c r="B8" s="397">
        <f t="shared" si="0"/>
        <v>7</v>
      </c>
      <c r="C8" s="397">
        <v>6</v>
      </c>
      <c r="D8" s="398">
        <v>2021</v>
      </c>
      <c r="E8" s="399">
        <f>'UTILITY REPORT 1'!F9</f>
        <v>3517</v>
      </c>
      <c r="F8" s="400">
        <f>('UTILITY REPORT 1'!E9*'UTILITY REPORT 1'!D9)/'UTILITY REPORT 1'!F9</f>
        <v>0.38902473699175433</v>
      </c>
      <c r="G8" s="400">
        <f>IF('Utility summery'!M12&lt;0,"0",'Utility summery'!M12)</f>
        <v>132.61599999999746</v>
      </c>
      <c r="H8" s="404">
        <v>0</v>
      </c>
      <c r="I8" s="400">
        <f>IF('UTILITY REPORT 1'!G9&lt;0,"0",'UTILITY REPORT 1'!G9)</f>
        <v>70</v>
      </c>
      <c r="J8" s="404">
        <v>0</v>
      </c>
      <c r="K8" s="399">
        <f>'UTILITY REPORT 1'!C9</f>
        <v>0</v>
      </c>
      <c r="L8" s="401" t="e">
        <f>E8*F8+G8*H8+#REF!*#REF!+I8*J8</f>
        <v>#REF!</v>
      </c>
    </row>
    <row r="9" spans="1:12">
      <c r="A9" s="396" t="s">
        <v>12</v>
      </c>
      <c r="B9" s="397">
        <f t="shared" si="0"/>
        <v>8</v>
      </c>
      <c r="C9" s="397">
        <v>6</v>
      </c>
      <c r="D9" s="398">
        <v>2021</v>
      </c>
      <c r="E9" s="399">
        <f>'UTILITY REPORT 1'!F10</f>
        <v>3378</v>
      </c>
      <c r="F9" s="400">
        <f>('UTILITY REPORT 1'!E10*'UTILITY REPORT 1'!D10)/'UTILITY REPORT 1'!F10</f>
        <v>0.3989372409709887</v>
      </c>
      <c r="G9" s="400">
        <f>IF('Utility summery'!M13&lt;0,"0",'Utility summery'!M13)</f>
        <v>154.30800000003075</v>
      </c>
      <c r="H9" s="404">
        <v>0</v>
      </c>
      <c r="I9" s="400">
        <f>IF('UTILITY REPORT 1'!G10&lt;0,"0",'UTILITY REPORT 1'!G10)</f>
        <v>70</v>
      </c>
      <c r="J9" s="404">
        <v>0</v>
      </c>
      <c r="K9" s="399">
        <f>'UTILITY REPORT 1'!C10</f>
        <v>0</v>
      </c>
      <c r="L9" s="401" t="e">
        <f>E9*F9+G9*H9+#REF!*#REF!+I9*J9</f>
        <v>#REF!</v>
      </c>
    </row>
    <row r="10" spans="1:12">
      <c r="A10" s="396" t="s">
        <v>12</v>
      </c>
      <c r="B10" s="397">
        <f t="shared" si="0"/>
        <v>9</v>
      </c>
      <c r="C10" s="397">
        <v>6</v>
      </c>
      <c r="D10" s="398">
        <v>2021</v>
      </c>
      <c r="E10" s="399">
        <f>'UTILITY REPORT 1'!F11</f>
        <v>3163</v>
      </c>
      <c r="F10" s="400">
        <f>('UTILITY REPORT 1'!E11*'UTILITY REPORT 1'!D11)/'UTILITY REPORT 1'!F11</f>
        <v>0.39947834334492571</v>
      </c>
      <c r="G10" s="400">
        <f>IF('Utility summery'!M14&lt;0,"0",'Utility summery'!M14)</f>
        <v>152.4599999999744</v>
      </c>
      <c r="H10" s="404">
        <v>0</v>
      </c>
      <c r="I10" s="400">
        <f>IF('UTILITY REPORT 1'!G11&lt;0,"0",'UTILITY REPORT 1'!G11)</f>
        <v>64</v>
      </c>
      <c r="J10" s="404">
        <v>0</v>
      </c>
      <c r="K10" s="399">
        <f>'UTILITY REPORT 1'!C11</f>
        <v>0</v>
      </c>
      <c r="L10" s="401" t="e">
        <f>E10*F10+G10*H10+#REF!*#REF!+I10*J10</f>
        <v>#REF!</v>
      </c>
    </row>
    <row r="11" spans="1:12">
      <c r="A11" s="396" t="s">
        <v>12</v>
      </c>
      <c r="B11" s="397">
        <f t="shared" si="0"/>
        <v>10</v>
      </c>
      <c r="C11" s="397">
        <v>6</v>
      </c>
      <c r="D11" s="398">
        <v>2021</v>
      </c>
      <c r="E11" s="399">
        <f>'UTILITY REPORT 1'!F12</f>
        <v>3365</v>
      </c>
      <c r="F11" s="400">
        <f>('UTILITY REPORT 1'!E12*'UTILITY REPORT 1'!D12)/'UTILITY REPORT 1'!F12</f>
        <v>0.39400891530460619</v>
      </c>
      <c r="G11" s="400">
        <f>IF('Utility summery'!M15&lt;0,"0",'Utility summery'!M15)</f>
        <v>149.07200000002049</v>
      </c>
      <c r="H11" s="404">
        <v>0</v>
      </c>
      <c r="I11" s="400">
        <f>IF('UTILITY REPORT 1'!G12&lt;0,"0",'UTILITY REPORT 1'!G12)</f>
        <v>74</v>
      </c>
      <c r="J11" s="404">
        <v>0</v>
      </c>
      <c r="K11" s="399">
        <f>'UTILITY REPORT 1'!C12</f>
        <v>0</v>
      </c>
      <c r="L11" s="401" t="e">
        <f>E11*F11+G11*H11+#REF!*#REF!+I11*J11</f>
        <v>#REF!</v>
      </c>
    </row>
    <row r="12" spans="1:12">
      <c r="A12" s="396" t="s">
        <v>12</v>
      </c>
      <c r="B12" s="397">
        <f t="shared" si="0"/>
        <v>11</v>
      </c>
      <c r="C12" s="397">
        <v>6</v>
      </c>
      <c r="D12" s="398">
        <v>2021</v>
      </c>
      <c r="E12" s="399">
        <f>'UTILITY REPORT 1'!F13</f>
        <v>3555</v>
      </c>
      <c r="F12" s="400">
        <f>('UTILITY REPORT 1'!E13*'UTILITY REPORT 1'!D13)/'UTILITY REPORT 1'!F13</f>
        <v>0.38958649789029537</v>
      </c>
      <c r="G12" s="400">
        <f>IF('Utility summery'!M16&lt;0,"0",'Utility summery'!M16)</f>
        <v>148.54399999997696</v>
      </c>
      <c r="H12" s="404">
        <v>0</v>
      </c>
      <c r="I12" s="400">
        <f>IF('UTILITY REPORT 1'!G13&lt;0,"0",'UTILITY REPORT 1'!G13)</f>
        <v>101</v>
      </c>
      <c r="J12" s="404">
        <v>0</v>
      </c>
      <c r="K12" s="399">
        <f>'UTILITY REPORT 1'!C13</f>
        <v>0</v>
      </c>
      <c r="L12" s="401" t="e">
        <f>E12*F12+G12*H12+#REF!*#REF!+I12*J12</f>
        <v>#REF!</v>
      </c>
    </row>
    <row r="13" spans="1:12">
      <c r="A13" s="396" t="s">
        <v>12</v>
      </c>
      <c r="B13" s="397">
        <f t="shared" si="0"/>
        <v>12</v>
      </c>
      <c r="C13" s="397">
        <v>6</v>
      </c>
      <c r="D13" s="398">
        <v>2021</v>
      </c>
      <c r="E13" s="399">
        <f>'UTILITY REPORT 1'!F14</f>
        <v>3880</v>
      </c>
      <c r="F13" s="400">
        <f>('UTILITY REPORT 1'!E14*'UTILITY REPORT 1'!D14)/'UTILITY REPORT 1'!F14</f>
        <v>0.39547938144329897</v>
      </c>
      <c r="G13" s="400">
        <f>IF('Utility summery'!M17&lt;0,"0",'Utility summery'!M17)</f>
        <v>151.53600000001026</v>
      </c>
      <c r="H13" s="404">
        <v>0</v>
      </c>
      <c r="I13" s="400">
        <f>IF('UTILITY REPORT 1'!G14&lt;0,"0",'UTILITY REPORT 1'!G14)</f>
        <v>87</v>
      </c>
      <c r="J13" s="404">
        <v>0</v>
      </c>
      <c r="K13" s="399">
        <f>'UTILITY REPORT 1'!C14</f>
        <v>0</v>
      </c>
      <c r="L13" s="401" t="e">
        <f>E13*F13+G13*H13+#REF!*#REF!+I13*J13</f>
        <v>#REF!</v>
      </c>
    </row>
    <row r="14" spans="1:12">
      <c r="A14" s="396" t="s">
        <v>12</v>
      </c>
      <c r="B14" s="397">
        <f t="shared" si="0"/>
        <v>13</v>
      </c>
      <c r="C14" s="397">
        <v>6</v>
      </c>
      <c r="D14" s="398">
        <v>2021</v>
      </c>
      <c r="E14" s="399">
        <f>'UTILITY REPORT 1'!F15</f>
        <v>3601</v>
      </c>
      <c r="F14" s="400">
        <f>('UTILITY REPORT 1'!E15*'UTILITY REPORT 1'!D15)/'UTILITY REPORT 1'!F15</f>
        <v>0.40886142738128295</v>
      </c>
      <c r="G14" s="400">
        <f>IF('Utility summery'!M18&lt;0,"0",'Utility summery'!M18)</f>
        <v>152.32799999997951</v>
      </c>
      <c r="H14" s="404">
        <v>0</v>
      </c>
      <c r="I14" s="400">
        <f>IF('UTILITY REPORT 1'!G15&lt;0,"0",'UTILITY REPORT 1'!G15)</f>
        <v>71</v>
      </c>
      <c r="J14" s="404">
        <v>0</v>
      </c>
      <c r="K14" s="399">
        <f>'UTILITY REPORT 1'!C15</f>
        <v>0</v>
      </c>
      <c r="L14" s="401" t="e">
        <f>E14*F14+G14*H14+#REF!*#REF!+I14*J14</f>
        <v>#REF!</v>
      </c>
    </row>
    <row r="15" spans="1:12">
      <c r="A15" s="396" t="s">
        <v>12</v>
      </c>
      <c r="B15" s="397">
        <f t="shared" si="0"/>
        <v>14</v>
      </c>
      <c r="C15" s="397">
        <v>6</v>
      </c>
      <c r="D15" s="398">
        <v>2021</v>
      </c>
      <c r="E15" s="399">
        <f>'UTILITY REPORT 1'!F16</f>
        <v>3974</v>
      </c>
      <c r="F15" s="400">
        <f>('UTILITY REPORT 1'!E16*'UTILITY REPORT 1'!D16)/'UTILITY REPORT 1'!F16</f>
        <v>0.39634121791645693</v>
      </c>
      <c r="G15" s="400">
        <f>IF('Utility summery'!M19&lt;0,"0",'Utility summery'!M19)</f>
        <v>143.52800000004356</v>
      </c>
      <c r="H15" s="404">
        <v>0</v>
      </c>
      <c r="I15" s="400">
        <f>IF('UTILITY REPORT 1'!G16&lt;0,"0",'UTILITY REPORT 1'!G16)</f>
        <v>207</v>
      </c>
      <c r="J15" s="404">
        <v>0</v>
      </c>
      <c r="K15" s="399">
        <f>'UTILITY REPORT 1'!C16</f>
        <v>0</v>
      </c>
      <c r="L15" s="401" t="e">
        <f>E15*F15+G15*H15+#REF!*#REF!+I15*J15</f>
        <v>#REF!</v>
      </c>
    </row>
    <row r="16" spans="1:12">
      <c r="A16" s="396" t="s">
        <v>12</v>
      </c>
      <c r="B16" s="397">
        <f t="shared" si="0"/>
        <v>15</v>
      </c>
      <c r="C16" s="397">
        <v>6</v>
      </c>
      <c r="D16" s="398">
        <v>2021</v>
      </c>
      <c r="E16" s="399">
        <f>'UTILITY REPORT 1'!F17</f>
        <v>3583</v>
      </c>
      <c r="F16" s="400">
        <f>('UTILITY REPORT 1'!E17*'UTILITY REPORT 1'!D17)/'UTILITY REPORT 1'!F17</f>
        <v>0.41262908177504887</v>
      </c>
      <c r="G16" s="400">
        <f>IF('Utility summery'!M20&lt;0,"0",'Utility summery'!M20)</f>
        <v>117.52399999996415</v>
      </c>
      <c r="H16" s="404">
        <v>0</v>
      </c>
      <c r="I16" s="400">
        <f>IF('UTILITY REPORT 1'!G17&lt;0,"0",'UTILITY REPORT 1'!G17)</f>
        <v>222</v>
      </c>
      <c r="J16" s="404">
        <v>0</v>
      </c>
      <c r="K16" s="399">
        <f>'UTILITY REPORT 1'!C17</f>
        <v>0</v>
      </c>
      <c r="L16" s="401" t="e">
        <f>E16*F16+G16*H16+#REF!*#REF!+I16*J16</f>
        <v>#REF!</v>
      </c>
    </row>
    <row r="17" spans="1:12">
      <c r="A17" s="396" t="s">
        <v>12</v>
      </c>
      <c r="B17" s="397">
        <f t="shared" si="0"/>
        <v>16</v>
      </c>
      <c r="C17" s="397">
        <v>6</v>
      </c>
      <c r="D17" s="398">
        <v>2021</v>
      </c>
      <c r="E17" s="399">
        <f>'UTILITY REPORT 1'!F18</f>
        <v>3523</v>
      </c>
      <c r="F17" s="400">
        <f>('UTILITY REPORT 1'!E18*'UTILITY REPORT 1'!D18)/'UTILITY REPORT 1'!F18</f>
        <v>0.38456713028668749</v>
      </c>
      <c r="G17" s="400">
        <f>IF('Utility summery'!M21&lt;0,"0",'Utility summery'!M21)</f>
        <v>112.02400000002818</v>
      </c>
      <c r="H17" s="404">
        <v>0</v>
      </c>
      <c r="I17" s="400">
        <f>IF('UTILITY REPORT 1'!G18&lt;0,"0",'UTILITY REPORT 1'!G18)</f>
        <v>216</v>
      </c>
      <c r="J17" s="404">
        <v>0</v>
      </c>
      <c r="K17" s="399">
        <f>'UTILITY REPORT 1'!C18</f>
        <v>0</v>
      </c>
      <c r="L17" s="401" t="e">
        <f>E17*F17+G17*H17+#REF!*#REF!+I17*J17</f>
        <v>#REF!</v>
      </c>
    </row>
    <row r="18" spans="1:12">
      <c r="A18" s="396" t="s">
        <v>12</v>
      </c>
      <c r="B18" s="397">
        <f t="shared" si="0"/>
        <v>17</v>
      </c>
      <c r="C18" s="397">
        <v>6</v>
      </c>
      <c r="D18" s="398">
        <v>2021</v>
      </c>
      <c r="E18" s="399">
        <f>'UTILITY REPORT 1'!F19</f>
        <v>3308</v>
      </c>
      <c r="F18" s="400">
        <f>('UTILITY REPORT 1'!E19*'UTILITY REPORT 1'!D19)/'UTILITY REPORT 1'!F19</f>
        <v>0.40001511487303509</v>
      </c>
      <c r="G18" s="400">
        <f>IF('Utility summery'!M22&lt;0,"0",'Utility summery'!M22)</f>
        <v>129.00799999996673</v>
      </c>
      <c r="H18" s="404">
        <v>0</v>
      </c>
      <c r="I18" s="400">
        <f>IF('UTILITY REPORT 1'!G19&lt;0,"0",'UTILITY REPORT 1'!G19)</f>
        <v>79</v>
      </c>
      <c r="J18" s="404">
        <v>0</v>
      </c>
      <c r="K18" s="399">
        <f>'UTILITY REPORT 1'!C19</f>
        <v>0</v>
      </c>
      <c r="L18" s="401" t="e">
        <f>E18*F18+G18*H18+#REF!*#REF!+I18*J18</f>
        <v>#REF!</v>
      </c>
    </row>
    <row r="19" spans="1:12">
      <c r="A19" s="396" t="s">
        <v>12</v>
      </c>
      <c r="B19" s="397">
        <f t="shared" si="0"/>
        <v>18</v>
      </c>
      <c r="C19" s="397">
        <v>6</v>
      </c>
      <c r="D19" s="398">
        <v>2021</v>
      </c>
      <c r="E19" s="399">
        <f>'UTILITY REPORT 1'!F20</f>
        <v>3408</v>
      </c>
      <c r="F19" s="400">
        <f>('UTILITY REPORT 1'!E20*'UTILITY REPORT 1'!D20)/'UTILITY REPORT 1'!F20</f>
        <v>0.42455985915492961</v>
      </c>
      <c r="G19" s="400">
        <f>IF('Utility summery'!M23&lt;0,"0",'Utility summery'!M23)</f>
        <v>99.880000000051226</v>
      </c>
      <c r="H19" s="404">
        <v>0</v>
      </c>
      <c r="I19" s="400">
        <f>IF('UTILITY REPORT 1'!G20&lt;0,"0",'UTILITY REPORT 1'!G20)</f>
        <v>77</v>
      </c>
      <c r="J19" s="404">
        <v>0</v>
      </c>
      <c r="K19" s="399">
        <f>'UTILITY REPORT 1'!C20</f>
        <v>0</v>
      </c>
      <c r="L19" s="401" t="e">
        <f>E19*F19+G19*H19+#REF!*#REF!+I19*J19</f>
        <v>#REF!</v>
      </c>
    </row>
    <row r="20" spans="1:12">
      <c r="A20" s="396" t="s">
        <v>12</v>
      </c>
      <c r="B20" s="397">
        <f t="shared" si="0"/>
        <v>19</v>
      </c>
      <c r="C20" s="397">
        <v>6</v>
      </c>
      <c r="D20" s="398">
        <v>2021</v>
      </c>
      <c r="E20" s="399">
        <f>'UTILITY REPORT 1'!F21</f>
        <v>3062</v>
      </c>
      <c r="F20" s="400">
        <f>('UTILITY REPORT 1'!E21*'UTILITY REPORT 1'!D21)/'UTILITY REPORT 1'!F21</f>
        <v>0.42113324624428478</v>
      </c>
      <c r="G20" s="400">
        <f>IF('Utility summery'!M24&lt;0,"0",'Utility summery'!M24)</f>
        <v>106.52399999996415</v>
      </c>
      <c r="H20" s="404">
        <v>0</v>
      </c>
      <c r="I20" s="400">
        <f>IF('UTILITY REPORT 1'!G21&lt;0,"0",'UTILITY REPORT 1'!G21)</f>
        <v>80</v>
      </c>
      <c r="J20" s="404">
        <v>0</v>
      </c>
      <c r="K20" s="399">
        <f>'UTILITY REPORT 1'!C21</f>
        <v>0</v>
      </c>
      <c r="L20" s="401" t="e">
        <f>E20*F20+G20*H20+#REF!*#REF!+I20*J20</f>
        <v>#REF!</v>
      </c>
    </row>
    <row r="21" spans="1:12">
      <c r="A21" s="396" t="s">
        <v>12</v>
      </c>
      <c r="B21" s="397">
        <f t="shared" si="0"/>
        <v>20</v>
      </c>
      <c r="C21" s="397">
        <v>6</v>
      </c>
      <c r="D21" s="398">
        <v>2021</v>
      </c>
      <c r="E21" s="399">
        <f>'UTILITY REPORT 1'!F22</f>
        <v>3078</v>
      </c>
      <c r="F21" s="400">
        <f>('UTILITY REPORT 1'!E22*'UTILITY REPORT 1'!D22)/'UTILITY REPORT 1'!F22</f>
        <v>0.40831384015594541</v>
      </c>
      <c r="G21" s="400">
        <f>IF('Utility summery'!M25&lt;0,"0",'Utility summery'!M25)</f>
        <v>120.2520000000077</v>
      </c>
      <c r="H21" s="404">
        <v>0</v>
      </c>
      <c r="I21" s="400">
        <f>IF('UTILITY REPORT 1'!G22&lt;0,"0",'UTILITY REPORT 1'!G22)</f>
        <v>65</v>
      </c>
      <c r="J21" s="404">
        <v>0</v>
      </c>
      <c r="K21" s="399">
        <f>'UTILITY REPORT 1'!C22</f>
        <v>0</v>
      </c>
      <c r="L21" s="401" t="e">
        <f>E21*F21+G21*H21+#REF!*#REF!+I21*J21</f>
        <v>#REF!</v>
      </c>
    </row>
    <row r="22" spans="1:12">
      <c r="A22" s="396" t="s">
        <v>12</v>
      </c>
      <c r="B22" s="397">
        <f t="shared" si="0"/>
        <v>21</v>
      </c>
      <c r="C22" s="397">
        <v>6</v>
      </c>
      <c r="D22" s="398">
        <v>2021</v>
      </c>
      <c r="E22" s="399">
        <f>'UTILITY REPORT 1'!F23</f>
        <v>0</v>
      </c>
      <c r="F22" s="400" t="e">
        <f>('UTILITY REPORT 1'!E23*'UTILITY REPORT 1'!D23)/'UTILITY REPORT 1'!F23</f>
        <v>#DIV/0!</v>
      </c>
      <c r="G22" s="400">
        <f>IF('Utility summery'!M26&lt;0,"0",'Utility summery'!M26)</f>
        <v>77.043999999976961</v>
      </c>
      <c r="H22" s="404">
        <v>0</v>
      </c>
      <c r="I22" s="400" t="str">
        <f>IF('UTILITY REPORT 1'!G23&lt;0,"0",'UTILITY REPORT 1'!G23)</f>
        <v>0</v>
      </c>
      <c r="J22" s="404">
        <v>0</v>
      </c>
      <c r="K22" s="399">
        <f>'UTILITY REPORT 1'!C23</f>
        <v>0</v>
      </c>
      <c r="L22" s="401" t="e">
        <f>E22*F22+G22*H22+#REF!*#REF!+I22*J22</f>
        <v>#DIV/0!</v>
      </c>
    </row>
    <row r="23" spans="1:12">
      <c r="A23" s="396" t="s">
        <v>12</v>
      </c>
      <c r="B23" s="397">
        <f t="shared" si="0"/>
        <v>22</v>
      </c>
      <c r="C23" s="397">
        <v>6</v>
      </c>
      <c r="D23" s="398">
        <v>2021</v>
      </c>
      <c r="E23" s="399">
        <f>'UTILITY REPORT 1'!F24</f>
        <v>0</v>
      </c>
      <c r="F23" s="400" t="e">
        <f>('UTILITY REPORT 1'!E24*'UTILITY REPORT 1'!D24)/'UTILITY REPORT 1'!F24</f>
        <v>#DIV/0!</v>
      </c>
      <c r="G23" s="400" t="str">
        <f>IF('Utility summery'!M27&lt;0,"0",'Utility summery'!M27)</f>
        <v>0</v>
      </c>
      <c r="H23" s="404">
        <v>0</v>
      </c>
      <c r="I23" s="400">
        <f>IF('UTILITY REPORT 1'!G24&lt;0,"0",'UTILITY REPORT 1'!G24)</f>
        <v>0</v>
      </c>
      <c r="J23" s="404">
        <v>0</v>
      </c>
      <c r="K23" s="399">
        <f>'UTILITY REPORT 1'!C24</f>
        <v>0</v>
      </c>
      <c r="L23" s="401" t="e">
        <f>E23*F23+G23*H23+#REF!*#REF!+I23*J23</f>
        <v>#DIV/0!</v>
      </c>
    </row>
    <row r="24" spans="1:12">
      <c r="A24" s="396" t="s">
        <v>12</v>
      </c>
      <c r="B24" s="397">
        <f t="shared" si="0"/>
        <v>23</v>
      </c>
      <c r="C24" s="397">
        <v>6</v>
      </c>
      <c r="D24" s="398">
        <v>2021</v>
      </c>
      <c r="E24" s="399">
        <f>'UTILITY REPORT 1'!F25</f>
        <v>0</v>
      </c>
      <c r="F24" s="400" t="e">
        <f>('UTILITY REPORT 1'!E25*'UTILITY REPORT 1'!D25)/'UTILITY REPORT 1'!F25</f>
        <v>#DIV/0!</v>
      </c>
      <c r="G24" s="400">
        <f>IF('Utility summery'!M28&lt;0,"0",'Utility summery'!M28)</f>
        <v>0</v>
      </c>
      <c r="H24" s="404">
        <v>0</v>
      </c>
      <c r="I24" s="400">
        <f>IF('UTILITY REPORT 1'!G25&lt;0,"0",'UTILITY REPORT 1'!G25)</f>
        <v>0</v>
      </c>
      <c r="J24" s="404">
        <v>0</v>
      </c>
      <c r="K24" s="399">
        <f>'UTILITY REPORT 1'!C25</f>
        <v>0</v>
      </c>
      <c r="L24" s="401" t="e">
        <f>E24*F24+G24*H24+#REF!*#REF!+I24*J24</f>
        <v>#DIV/0!</v>
      </c>
    </row>
    <row r="25" spans="1:12">
      <c r="A25" s="396" t="s">
        <v>12</v>
      </c>
      <c r="B25" s="397">
        <f t="shared" si="0"/>
        <v>24</v>
      </c>
      <c r="C25" s="397">
        <v>6</v>
      </c>
      <c r="D25" s="398">
        <v>2021</v>
      </c>
      <c r="E25" s="399">
        <f>'UTILITY REPORT 1'!F26</f>
        <v>0</v>
      </c>
      <c r="F25" s="400" t="e">
        <f>('UTILITY REPORT 1'!E26*'UTILITY REPORT 1'!D26)/'UTILITY REPORT 1'!F26</f>
        <v>#DIV/0!</v>
      </c>
      <c r="G25" s="400">
        <f>IF('Utility summery'!M29&lt;0,"0",'Utility summery'!M29)</f>
        <v>0</v>
      </c>
      <c r="H25" s="404">
        <v>0</v>
      </c>
      <c r="I25" s="400">
        <f>IF('UTILITY REPORT 1'!G26&lt;0,"0",'UTILITY REPORT 1'!G26)</f>
        <v>0</v>
      </c>
      <c r="J25" s="404">
        <v>0</v>
      </c>
      <c r="K25" s="399">
        <f>'UTILITY REPORT 1'!C26</f>
        <v>0</v>
      </c>
      <c r="L25" s="401" t="e">
        <f>E25*F25+G25*H25+#REF!*#REF!+I25*J25</f>
        <v>#DIV/0!</v>
      </c>
    </row>
    <row r="26" spans="1:12">
      <c r="A26" s="396" t="s">
        <v>12</v>
      </c>
      <c r="B26" s="397">
        <f>B25+1</f>
        <v>25</v>
      </c>
      <c r="C26" s="397">
        <v>6</v>
      </c>
      <c r="D26" s="398">
        <v>2021</v>
      </c>
      <c r="E26" s="399">
        <f>'UTILITY REPORT 1'!F27</f>
        <v>0</v>
      </c>
      <c r="F26" s="400" t="e">
        <f>('UTILITY REPORT 1'!E27*'UTILITY REPORT 1'!D27)/'UTILITY REPORT 1'!F27</f>
        <v>#DIV/0!</v>
      </c>
      <c r="G26" s="400">
        <f>IF('Utility summery'!M30&lt;0,"0",'Utility summery'!M30)</f>
        <v>0</v>
      </c>
      <c r="H26" s="404">
        <v>0</v>
      </c>
      <c r="I26" s="400">
        <f>IF('UTILITY REPORT 1'!G27&lt;0,"0",'UTILITY REPORT 1'!G27)</f>
        <v>0</v>
      </c>
      <c r="J26" s="404">
        <v>0</v>
      </c>
      <c r="K26" s="399">
        <f>'UTILITY REPORT 1'!C27</f>
        <v>0</v>
      </c>
      <c r="L26" s="401" t="e">
        <f>E26*F26+G26*H26+#REF!*#REF!+I26*J26</f>
        <v>#DIV/0!</v>
      </c>
    </row>
    <row r="27" spans="1:12">
      <c r="A27" s="396" t="s">
        <v>12</v>
      </c>
      <c r="B27" s="397">
        <f t="shared" si="0"/>
        <v>26</v>
      </c>
      <c r="C27" s="397">
        <v>6</v>
      </c>
      <c r="D27" s="398">
        <v>2021</v>
      </c>
      <c r="E27" s="399">
        <f>'UTILITY REPORT 1'!F28</f>
        <v>0</v>
      </c>
      <c r="F27" s="400" t="e">
        <f>('UTILITY REPORT 1'!E28*'UTILITY REPORT 1'!D28)/'UTILITY REPORT 1'!F28</f>
        <v>#DIV/0!</v>
      </c>
      <c r="G27" s="400">
        <f>IF('Utility summery'!M31&lt;0,"0",'Utility summery'!M31)</f>
        <v>0</v>
      </c>
      <c r="H27" s="404">
        <v>0</v>
      </c>
      <c r="I27" s="400">
        <f>IF('UTILITY REPORT 1'!G28&lt;0,"0",'UTILITY REPORT 1'!G28)</f>
        <v>0</v>
      </c>
      <c r="J27" s="404">
        <v>0</v>
      </c>
      <c r="K27" s="399">
        <f>'UTILITY REPORT 1'!C28</f>
        <v>0</v>
      </c>
      <c r="L27" s="401" t="e">
        <f>E27*F27+G27*H27+#REF!*#REF!+I27*J27</f>
        <v>#DIV/0!</v>
      </c>
    </row>
    <row r="28" spans="1:12">
      <c r="A28" s="396" t="s">
        <v>12</v>
      </c>
      <c r="B28" s="397">
        <f t="shared" si="0"/>
        <v>27</v>
      </c>
      <c r="C28" s="397">
        <v>6</v>
      </c>
      <c r="D28" s="398">
        <v>2021</v>
      </c>
      <c r="E28" s="399">
        <f>'UTILITY REPORT 1'!F29</f>
        <v>0</v>
      </c>
      <c r="F28" s="400" t="e">
        <f>('UTILITY REPORT 1'!E29*'UTILITY REPORT 1'!D29)/'UTILITY REPORT 1'!F29</f>
        <v>#DIV/0!</v>
      </c>
      <c r="G28" s="400">
        <f>IF('Utility summery'!M32&lt;0,"0",'Utility summery'!M32)</f>
        <v>0</v>
      </c>
      <c r="H28" s="404">
        <v>0</v>
      </c>
      <c r="I28" s="400">
        <f>IF('UTILITY REPORT 1'!G29&lt;0,"0",'UTILITY REPORT 1'!G29)</f>
        <v>0</v>
      </c>
      <c r="J28" s="404">
        <v>0</v>
      </c>
      <c r="K28" s="399">
        <f>'UTILITY REPORT 1'!C29</f>
        <v>0</v>
      </c>
      <c r="L28" s="401" t="e">
        <f>E28*F28+G28*H28+#REF!*#REF!+I28*J28</f>
        <v>#DIV/0!</v>
      </c>
    </row>
    <row r="29" spans="1:12">
      <c r="A29" s="396" t="s">
        <v>12</v>
      </c>
      <c r="B29" s="397">
        <f t="shared" si="0"/>
        <v>28</v>
      </c>
      <c r="C29" s="397">
        <v>6</v>
      </c>
      <c r="D29" s="398">
        <v>2021</v>
      </c>
      <c r="E29" s="399">
        <f>'UTILITY REPORT 1'!F30</f>
        <v>0</v>
      </c>
      <c r="F29" s="400" t="e">
        <f>('UTILITY REPORT 1'!E30*'UTILITY REPORT 1'!D30)/'UTILITY REPORT 1'!F30</f>
        <v>#DIV/0!</v>
      </c>
      <c r="G29" s="400">
        <f>IF('Utility summery'!M33&lt;0,"0",'Utility summery'!M33)</f>
        <v>0</v>
      </c>
      <c r="H29" s="404">
        <v>0</v>
      </c>
      <c r="I29" s="400">
        <f>IF('UTILITY REPORT 1'!G30&lt;0,"0",'UTILITY REPORT 1'!G30)</f>
        <v>0</v>
      </c>
      <c r="J29" s="404">
        <v>0</v>
      </c>
      <c r="K29" s="399">
        <f>'UTILITY REPORT 1'!C30</f>
        <v>0</v>
      </c>
      <c r="L29" s="401" t="e">
        <f>E29*F29+G29*H29+#REF!*#REF!+I29*J29</f>
        <v>#DIV/0!</v>
      </c>
    </row>
    <row r="30" spans="1:12">
      <c r="A30" s="396" t="s">
        <v>12</v>
      </c>
      <c r="B30" s="397">
        <f t="shared" si="0"/>
        <v>29</v>
      </c>
      <c r="C30" s="397">
        <v>6</v>
      </c>
      <c r="D30" s="398">
        <v>2021</v>
      </c>
      <c r="E30" s="399">
        <f>'UTILITY REPORT 1'!F31</f>
        <v>0</v>
      </c>
      <c r="F30" s="400" t="e">
        <f>('UTILITY REPORT 1'!E31*'UTILITY REPORT 1'!D31)/'UTILITY REPORT 1'!F31</f>
        <v>#DIV/0!</v>
      </c>
      <c r="G30" s="400">
        <f>IF('Utility summery'!M34&lt;0,"0",'Utility summery'!M34)</f>
        <v>0</v>
      </c>
      <c r="H30" s="404">
        <v>0</v>
      </c>
      <c r="I30" s="400">
        <f>IF('UTILITY REPORT 1'!G31&lt;0,"0",'UTILITY REPORT 1'!G31)</f>
        <v>0</v>
      </c>
      <c r="J30" s="404">
        <v>0</v>
      </c>
      <c r="K30" s="399">
        <f>'UTILITY REPORT 1'!C31</f>
        <v>0</v>
      </c>
      <c r="L30" s="401" t="e">
        <f>E30*F30+G30*H30+#REF!*#REF!+I30*J30</f>
        <v>#DIV/0!</v>
      </c>
    </row>
    <row r="31" spans="1:12">
      <c r="A31" s="396" t="s">
        <v>12</v>
      </c>
      <c r="B31" s="397">
        <v>30</v>
      </c>
      <c r="C31" s="397">
        <v>6</v>
      </c>
      <c r="D31" s="398">
        <v>2021</v>
      </c>
      <c r="E31" s="399">
        <f>'UTILITY REPORT 1'!F32</f>
        <v>0</v>
      </c>
      <c r="F31" s="400" t="e">
        <f>('UTILITY REPORT 1'!E32*'UTILITY REPORT 1'!D32)/'UTILITY REPORT 1'!F32</f>
        <v>#DIV/0!</v>
      </c>
      <c r="G31" s="400">
        <f>IF('Utility summery'!M35&lt;0,"0",'Utility summery'!M35)</f>
        <v>0</v>
      </c>
      <c r="H31" s="404">
        <v>0</v>
      </c>
      <c r="I31" s="400">
        <f>IF('UTILITY REPORT 1'!G32&lt;0,"0",'UTILITY REPORT 1'!G32)</f>
        <v>0</v>
      </c>
      <c r="J31" s="404">
        <v>0</v>
      </c>
      <c r="K31" s="399">
        <f>'UTILITY REPORT 1'!C32</f>
        <v>0</v>
      </c>
      <c r="L31" s="401" t="e">
        <f>E31*F31+G31*H31+#REF!*#REF!+I31*J31</f>
        <v>#DIV/0!</v>
      </c>
    </row>
    <row r="32" spans="1:12">
      <c r="A32" s="396" t="s">
        <v>12</v>
      </c>
      <c r="B32" s="397">
        <v>31</v>
      </c>
      <c r="C32" s="397">
        <v>6</v>
      </c>
      <c r="D32" s="398">
        <v>2021</v>
      </c>
      <c r="E32" s="399">
        <f>'UTILITY REPORT 1'!F33</f>
        <v>0</v>
      </c>
      <c r="F32" s="400" t="e">
        <f>('UTILITY REPORT 1'!E33*'UTILITY REPORT 1'!D33)/'UTILITY REPORT 1'!F33</f>
        <v>#DIV/0!</v>
      </c>
      <c r="G32" s="400">
        <f>IF('Utility summery'!M36&lt;0,"0",'Utility summery'!M36)</f>
        <v>0</v>
      </c>
      <c r="H32" s="404">
        <v>0</v>
      </c>
      <c r="I32" s="400">
        <f>IF('UTILITY REPORT 1'!G33&lt;0,"0",'UTILITY REPORT 1'!G33)</f>
        <v>0</v>
      </c>
      <c r="J32" s="404">
        <v>0</v>
      </c>
      <c r="K32" s="399">
        <f>'UTILITY REPORT 1'!C33</f>
        <v>0</v>
      </c>
    </row>
    <row r="33" spans="6:10">
      <c r="F33" s="400"/>
      <c r="G33" s="400"/>
      <c r="H33" s="404"/>
      <c r="I33" s="400" t="s">
        <v>13</v>
      </c>
      <c r="J33" s="404"/>
    </row>
    <row r="34" spans="6:10">
      <c r="F34" s="400"/>
      <c r="G34" s="400"/>
      <c r="H34" s="404"/>
      <c r="I34" s="400"/>
      <c r="J34" s="404"/>
    </row>
    <row r="35" spans="6:10">
      <c r="F35" s="400"/>
      <c r="G35" s="400"/>
      <c r="H35" s="404"/>
      <c r="I35" s="400"/>
      <c r="J35" s="404"/>
    </row>
    <row r="36" spans="6:10">
      <c r="F36" s="400"/>
      <c r="G36" s="400"/>
      <c r="H36" s="404"/>
      <c r="I36" s="400"/>
      <c r="J36" s="404"/>
    </row>
    <row r="37" spans="6:10">
      <c r="F37" s="400"/>
      <c r="G37" s="400"/>
      <c r="H37" s="404"/>
      <c r="I37" s="400"/>
      <c r="J37" s="404"/>
    </row>
    <row r="38" spans="6:10">
      <c r="F38" s="400"/>
      <c r="G38" s="400"/>
      <c r="H38" s="404"/>
      <c r="I38" s="400"/>
      <c r="J38" s="404"/>
    </row>
    <row r="39" spans="6:10">
      <c r="F39" s="400"/>
      <c r="G39" s="400"/>
      <c r="H39" s="404"/>
      <c r="I39" s="400"/>
      <c r="J39" s="40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X38"/>
  <sheetViews>
    <sheetView workbookViewId="0">
      <selection activeCell="E37" sqref="E37"/>
    </sheetView>
  </sheetViews>
  <sheetFormatPr defaultColWidth="11.5703125" defaultRowHeight="12.75"/>
  <cols>
    <col min="1" max="1" width="12.42578125" style="11" customWidth="1"/>
    <col min="2" max="3" width="11.5703125" style="397"/>
    <col min="4" max="4" width="13.42578125" style="398" customWidth="1"/>
    <col min="5" max="6" width="12.5703125" style="11" customWidth="1"/>
    <col min="7" max="7" width="12.5703125" style="399" customWidth="1"/>
    <col min="8" max="10" width="11.5703125" style="11"/>
    <col min="11" max="11" width="12.5703125" style="399" customWidth="1"/>
    <col min="12" max="12" width="11.5703125" style="11"/>
    <col min="13" max="14" width="11.5703125" style="399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395" customFormat="1" ht="60.75" thickBot="1">
      <c r="A1" s="442" t="s">
        <v>0</v>
      </c>
      <c r="B1" s="443" t="s">
        <v>1</v>
      </c>
      <c r="C1" s="443" t="s">
        <v>2</v>
      </c>
      <c r="D1" s="444" t="s">
        <v>3</v>
      </c>
      <c r="E1" s="445" t="s">
        <v>14</v>
      </c>
      <c r="F1" s="445" t="s">
        <v>15</v>
      </c>
      <c r="G1" s="446" t="s">
        <v>4</v>
      </c>
      <c r="H1" s="445" t="s">
        <v>16</v>
      </c>
      <c r="I1" s="445" t="s">
        <v>17</v>
      </c>
      <c r="J1" s="445" t="s">
        <v>18</v>
      </c>
      <c r="K1" s="446" t="s">
        <v>19</v>
      </c>
      <c r="L1" s="445" t="s">
        <v>20</v>
      </c>
      <c r="M1" s="446" t="s">
        <v>21</v>
      </c>
      <c r="N1" s="446" t="s">
        <v>22</v>
      </c>
      <c r="O1" s="446" t="s">
        <v>22</v>
      </c>
      <c r="P1" s="446" t="s">
        <v>23</v>
      </c>
      <c r="Q1" s="446" t="s">
        <v>24</v>
      </c>
      <c r="R1" s="446" t="s">
        <v>25</v>
      </c>
      <c r="S1" s="446" t="s">
        <v>26</v>
      </c>
      <c r="T1" s="446" t="s">
        <v>27</v>
      </c>
      <c r="U1" s="446" t="s">
        <v>28</v>
      </c>
      <c r="V1" s="446" t="s">
        <v>29</v>
      </c>
      <c r="W1" s="449" t="s">
        <v>30</v>
      </c>
      <c r="X1" s="450" t="s">
        <v>10</v>
      </c>
    </row>
    <row r="2" spans="1:24">
      <c r="A2" s="437" t="s">
        <v>12</v>
      </c>
      <c r="B2" s="438">
        <v>1</v>
      </c>
      <c r="C2" s="438">
        <v>6</v>
      </c>
      <c r="D2" s="439">
        <v>2021</v>
      </c>
      <c r="E2" s="440">
        <f>'UTILITY REPORT 1'!I3</f>
        <v>21</v>
      </c>
      <c r="F2" s="440">
        <f>'UTILITY REPORT 1'!E3</f>
        <v>1164.5999999999999</v>
      </c>
      <c r="G2" s="441">
        <f>'UTILITY REPORT 1'!F3</f>
        <v>2783</v>
      </c>
      <c r="H2" s="440">
        <f>IF('Kit report'!F4&lt;0,"0",'Kit report'!F4)</f>
        <v>300</v>
      </c>
      <c r="I2" s="440">
        <f>IF('Kit report'!X4&lt;0,"0",'Kit report'!X4)</f>
        <v>520.00000000007276</v>
      </c>
      <c r="J2" s="440">
        <f>IF('Utility summery'!H6&lt;0,"0",'Utility summery'!H6)</f>
        <v>73</v>
      </c>
      <c r="K2" s="441">
        <f>IF('UTILITY REPORT 1'!H3&lt;0,"0",'UTILITY REPORT 1'!H3)</f>
        <v>40</v>
      </c>
      <c r="L2" s="440">
        <f>'Water-Meter'!K6</f>
        <v>2</v>
      </c>
      <c r="M2" s="441">
        <f>'Water-Meter'!H6</f>
        <v>0</v>
      </c>
      <c r="N2" s="441">
        <f>'Water-Meter'!Q6</f>
        <v>7</v>
      </c>
      <c r="O2" s="440" t="e">
        <f>K2*E2+H2*I2+#REF!*#REF!+J2*L2</f>
        <v>#REF!</v>
      </c>
      <c r="P2" s="440">
        <f>'Water-Meter'!E6</f>
        <v>88</v>
      </c>
      <c r="Q2" s="387">
        <f>IF('Water-Meter'!U6&lt;0,"0",'Water-Meter'!U6)</f>
        <v>0</v>
      </c>
      <c r="R2" s="387">
        <f>IF('Water-Meter'!X6&lt;0,"0",'Water-Meter'!X6)</f>
        <v>0</v>
      </c>
      <c r="S2" s="387">
        <f>IF('Water-Meter'!AA6&lt;0,"0",'Water-Meter'!AA6)</f>
        <v>0</v>
      </c>
      <c r="T2" s="387">
        <f>IF('Water-Meter'!AD6&lt;0,"0",'Water-Meter'!AD6)</f>
        <v>17</v>
      </c>
      <c r="U2" s="387">
        <f>IF('Water-Meter'!AG6&lt;0,"0",'Water-Meter'!AG6)</f>
        <v>0</v>
      </c>
      <c r="V2" s="387">
        <f>IF('Water-Meter'!AJ6&lt;0,"0",'Water-Meter'!AJ6)</f>
        <v>42</v>
      </c>
      <c r="W2" s="29">
        <f>'Water-Meter'!AN6</f>
        <v>59</v>
      </c>
      <c r="X2" s="451">
        <f>Total!K2</f>
        <v>0</v>
      </c>
    </row>
    <row r="3" spans="1:24">
      <c r="A3" s="436" t="s">
        <v>12</v>
      </c>
      <c r="B3" s="433">
        <f>B2+1</f>
        <v>2</v>
      </c>
      <c r="C3" s="438">
        <v>6</v>
      </c>
      <c r="D3" s="439">
        <v>2021</v>
      </c>
      <c r="E3" s="434">
        <f>'UTILITY REPORT 1'!I4</f>
        <v>70.680000000000007</v>
      </c>
      <c r="F3" s="434">
        <f>'UTILITY REPORT 1'!E4</f>
        <v>1661.6800000000003</v>
      </c>
      <c r="G3" s="435">
        <f>'UTILITY REPORT 1'!F4</f>
        <v>3815</v>
      </c>
      <c r="H3" s="434">
        <f>IF('Kit report'!F5&lt;0,"0",'Kit report'!F5)</f>
        <v>300</v>
      </c>
      <c r="I3" s="434">
        <f>IF('Kit report'!X5&lt;0,"0",'Kit report'!X5)</f>
        <v>539.99999999996362</v>
      </c>
      <c r="J3" s="434">
        <f>IF('Utility summery'!H7&lt;0,"0",'Utility summery'!H7)</f>
        <v>70</v>
      </c>
      <c r="K3" s="435">
        <f>IF('UTILITY REPORT 1'!H4&lt;0,"0",'UTILITY REPORT 1'!H4)</f>
        <v>77</v>
      </c>
      <c r="L3" s="434">
        <f>'Water-Meter'!K7</f>
        <v>2</v>
      </c>
      <c r="M3" s="435">
        <f>'Water-Meter'!H7</f>
        <v>0</v>
      </c>
      <c r="N3" s="435">
        <f>'Water-Meter'!Q7</f>
        <v>5</v>
      </c>
      <c r="O3" s="434" t="e">
        <f>K3*E3+H3*I3+#REF!*#REF!+J3*L3</f>
        <v>#REF!</v>
      </c>
      <c r="P3" s="440">
        <f>'Water-Meter'!E7</f>
        <v>78</v>
      </c>
      <c r="Q3" s="228">
        <f>IF('Water-Meter'!U7&lt;0,"0",'Water-Meter'!U7)</f>
        <v>84</v>
      </c>
      <c r="R3" s="228">
        <f>IF('Water-Meter'!X7&lt;0,"0",'Water-Meter'!X7)</f>
        <v>0</v>
      </c>
      <c r="S3" s="228">
        <f>IF('Water-Meter'!AA7&lt;0,"0",'Water-Meter'!AA7)</f>
        <v>39</v>
      </c>
      <c r="T3" s="228">
        <f>IF('Water-Meter'!AD7&lt;0,"0",'Water-Meter'!AD7)</f>
        <v>17</v>
      </c>
      <c r="U3" s="228">
        <f>IF('Water-Meter'!AG7&lt;0,"0",'Water-Meter'!AG7)</f>
        <v>0</v>
      </c>
      <c r="V3" s="228">
        <f>IF('Water-Meter'!AJ7&lt;0,"0",'Water-Meter'!AJ7)</f>
        <v>32</v>
      </c>
      <c r="W3" s="29">
        <f>'Water-Meter'!AN7</f>
        <v>172</v>
      </c>
      <c r="X3" s="451">
        <f>Total!K3</f>
        <v>0</v>
      </c>
    </row>
    <row r="4" spans="1:24">
      <c r="A4" s="436" t="s">
        <v>12</v>
      </c>
      <c r="B4" s="433">
        <f t="shared" ref="B4:B30" si="0">B3+1</f>
        <v>3</v>
      </c>
      <c r="C4" s="438">
        <v>6</v>
      </c>
      <c r="D4" s="439">
        <v>2021</v>
      </c>
      <c r="E4" s="434">
        <f>'UTILITY REPORT 1'!I5</f>
        <v>266.02999999999997</v>
      </c>
      <c r="F4" s="434">
        <f>'UTILITY REPORT 1'!E5</f>
        <v>1378.78</v>
      </c>
      <c r="G4" s="435">
        <f>'UTILITY REPORT 1'!F5</f>
        <v>3366</v>
      </c>
      <c r="H4" s="434">
        <f>IF('Kit report'!F6&lt;0,"0",'Kit report'!F6)</f>
        <v>311.99999999982538</v>
      </c>
      <c r="I4" s="434">
        <f>IF('Kit report'!X6&lt;0,"0",'Kit report'!X6)</f>
        <v>520.00000000007276</v>
      </c>
      <c r="J4" s="434">
        <f>IF('Utility summery'!H8&lt;0,"0",'Utility summery'!H8)</f>
        <v>62</v>
      </c>
      <c r="K4" s="435">
        <f>IF('UTILITY REPORT 1'!H5&lt;0,"0",'UTILITY REPORT 1'!H5)</f>
        <v>167</v>
      </c>
      <c r="L4" s="434">
        <f>'Water-Meter'!K8</f>
        <v>3</v>
      </c>
      <c r="M4" s="435">
        <f>'Water-Meter'!H8</f>
        <v>0</v>
      </c>
      <c r="N4" s="435">
        <f>'Water-Meter'!Q8</f>
        <v>6</v>
      </c>
      <c r="O4" s="434" t="e">
        <f>K4*E4+H4*I4+#REF!*#REF!+J4*L4</f>
        <v>#REF!</v>
      </c>
      <c r="P4" s="440">
        <f>'Water-Meter'!E8</f>
        <v>71</v>
      </c>
      <c r="Q4" s="228">
        <f>IF('Water-Meter'!U8&lt;0,"0",'Water-Meter'!U8)</f>
        <v>83</v>
      </c>
      <c r="R4" s="228">
        <f>IF('Water-Meter'!X8&lt;0,"0",'Water-Meter'!X8)</f>
        <v>0</v>
      </c>
      <c r="S4" s="228">
        <f>IF('Water-Meter'!AA8&lt;0,"0",'Water-Meter'!AA8)</f>
        <v>0</v>
      </c>
      <c r="T4" s="228">
        <f>IF('Water-Meter'!AD8&lt;0,"0",'Water-Meter'!AD8)</f>
        <v>15</v>
      </c>
      <c r="U4" s="228">
        <f>IF('Water-Meter'!AG8&lt;0,"0",'Water-Meter'!AG8)</f>
        <v>0</v>
      </c>
      <c r="V4" s="228">
        <f>IF('Water-Meter'!AJ8&lt;0,"0",'Water-Meter'!AJ8)</f>
        <v>30</v>
      </c>
      <c r="W4" s="29">
        <f>'Water-Meter'!AN8</f>
        <v>128</v>
      </c>
      <c r="X4" s="451">
        <f>Total!K4</f>
        <v>0</v>
      </c>
    </row>
    <row r="5" spans="1:24">
      <c r="A5" s="436" t="s">
        <v>12</v>
      </c>
      <c r="B5" s="433">
        <f t="shared" si="0"/>
        <v>4</v>
      </c>
      <c r="C5" s="438">
        <v>6</v>
      </c>
      <c r="D5" s="439">
        <v>2021</v>
      </c>
      <c r="E5" s="434">
        <f>'UTILITY REPORT 1'!I6</f>
        <v>122.77000000000001</v>
      </c>
      <c r="F5" s="434">
        <f>'UTILITY REPORT 1'!E6</f>
        <v>1383.46</v>
      </c>
      <c r="G5" s="435">
        <f>'UTILITY REPORT 1'!F6</f>
        <v>3459</v>
      </c>
      <c r="H5" s="434">
        <f>IF('Kit report'!F7&lt;0,"0",'Kit report'!F7)</f>
        <v>324.00000000008731</v>
      </c>
      <c r="I5" s="434">
        <f>IF('Kit report'!X7&lt;0,"0",'Kit report'!X7)</f>
        <v>400</v>
      </c>
      <c r="J5" s="434">
        <f>IF('Utility summery'!H9&lt;0,"0",'Utility summery'!H9)</f>
        <v>71</v>
      </c>
      <c r="K5" s="435">
        <f>IF('UTILITY REPORT 1'!H6&lt;0,"0",'UTILITY REPORT 1'!H6)</f>
        <v>13</v>
      </c>
      <c r="L5" s="434">
        <f>'Water-Meter'!K9</f>
        <v>3</v>
      </c>
      <c r="M5" s="435">
        <f>'Water-Meter'!H9</f>
        <v>0</v>
      </c>
      <c r="N5" s="435">
        <f>'Water-Meter'!Q9</f>
        <v>5</v>
      </c>
      <c r="O5" s="434" t="e">
        <f>K5*E5+H5*I5+#REF!*#REF!+J5*L5</f>
        <v>#REF!</v>
      </c>
      <c r="P5" s="440">
        <f>'Water-Meter'!E9</f>
        <v>83</v>
      </c>
      <c r="Q5" s="228">
        <f>IF('Water-Meter'!U9&lt;0,"0",'Water-Meter'!U9)</f>
        <v>80</v>
      </c>
      <c r="R5" s="228">
        <f>IF('Water-Meter'!X9&lt;0,"0",'Water-Meter'!X9)</f>
        <v>0</v>
      </c>
      <c r="S5" s="228">
        <f>IF('Water-Meter'!AA9&lt;0,"0",'Water-Meter'!AA9)</f>
        <v>0</v>
      </c>
      <c r="T5" s="228">
        <f>IF('Water-Meter'!AD9&lt;0,"0",'Water-Meter'!AD9)</f>
        <v>17</v>
      </c>
      <c r="U5" s="228">
        <f>IF('Water-Meter'!AG9&lt;0,"0",'Water-Meter'!AG9)</f>
        <v>0</v>
      </c>
      <c r="V5" s="228">
        <f>IF('Water-Meter'!AJ9&lt;0,"0",'Water-Meter'!AJ9)</f>
        <v>31</v>
      </c>
      <c r="W5" s="29">
        <f>'Water-Meter'!AN9</f>
        <v>128</v>
      </c>
      <c r="X5" s="451">
        <f>Total!K5</f>
        <v>0</v>
      </c>
    </row>
    <row r="6" spans="1:24">
      <c r="A6" s="436" t="s">
        <v>12</v>
      </c>
      <c r="B6" s="433">
        <f t="shared" si="0"/>
        <v>5</v>
      </c>
      <c r="C6" s="438">
        <v>6</v>
      </c>
      <c r="D6" s="439">
        <v>2021</v>
      </c>
      <c r="E6" s="434">
        <f>'UTILITY REPORT 1'!I7</f>
        <v>79.11</v>
      </c>
      <c r="F6" s="434">
        <f>'UTILITY REPORT 1'!E7</f>
        <v>1470.04</v>
      </c>
      <c r="G6" s="435">
        <f>'UTILITY REPORT 1'!F7</f>
        <v>3463</v>
      </c>
      <c r="H6" s="434">
        <f>IF('Kit report'!F8&lt;0,"0",'Kit report'!F8)</f>
        <v>252.00000000004366</v>
      </c>
      <c r="I6" s="434">
        <f>IF('Kit report'!X8&lt;0,"0",'Kit report'!X8)</f>
        <v>419.99999999989086</v>
      </c>
      <c r="J6" s="434">
        <f>IF('Utility summery'!H10&lt;0,"0",'Utility summery'!H10)</f>
        <v>60</v>
      </c>
      <c r="K6" s="435">
        <f>IF('UTILITY REPORT 1'!H7&lt;0,"0",'UTILITY REPORT 1'!H7)</f>
        <v>35</v>
      </c>
      <c r="L6" s="434">
        <f>'Water-Meter'!K10</f>
        <v>2</v>
      </c>
      <c r="M6" s="435">
        <f>'Water-Meter'!H10</f>
        <v>0</v>
      </c>
      <c r="N6" s="435">
        <f>'Water-Meter'!Q10</f>
        <v>6</v>
      </c>
      <c r="O6" s="434" t="e">
        <f>K6*E6+H6*I6+#REF!*#REF!+J6*L6</f>
        <v>#REF!</v>
      </c>
      <c r="P6" s="440">
        <f>'Water-Meter'!E10</f>
        <v>79</v>
      </c>
      <c r="Q6" s="228">
        <f>IF('Water-Meter'!U10&lt;0,"0",'Water-Meter'!U10)</f>
        <v>19</v>
      </c>
      <c r="R6" s="228">
        <f>IF('Water-Meter'!X10&lt;0,"0",'Water-Meter'!X10)</f>
        <v>0</v>
      </c>
      <c r="S6" s="228">
        <f>IF('Water-Meter'!AA10&lt;0,"0",'Water-Meter'!AA10)</f>
        <v>34</v>
      </c>
      <c r="T6" s="228">
        <f>IF('Water-Meter'!AD10&lt;0,"0",'Water-Meter'!AD10)</f>
        <v>16</v>
      </c>
      <c r="U6" s="228">
        <f>IF('Water-Meter'!AG10&lt;0,"0",'Water-Meter'!AG10)</f>
        <v>0</v>
      </c>
      <c r="V6" s="228">
        <f>IF('Water-Meter'!AJ10&lt;0,"0",'Water-Meter'!AJ10)</f>
        <v>32</v>
      </c>
      <c r="W6" s="29">
        <f>'Water-Meter'!AN10</f>
        <v>101</v>
      </c>
      <c r="X6" s="451">
        <f>Total!K6</f>
        <v>0</v>
      </c>
    </row>
    <row r="7" spans="1:24">
      <c r="A7" s="436" t="s">
        <v>12</v>
      </c>
      <c r="B7" s="433">
        <f t="shared" si="0"/>
        <v>6</v>
      </c>
      <c r="C7" s="438">
        <v>6</v>
      </c>
      <c r="D7" s="439">
        <v>2021</v>
      </c>
      <c r="E7" s="434">
        <f>'UTILITY REPORT 1'!I8</f>
        <v>183.75</v>
      </c>
      <c r="F7" s="434">
        <f>'UTILITY REPORT 1'!E8</f>
        <v>1338.96</v>
      </c>
      <c r="G7" s="435">
        <f>'UTILITY REPORT 1'!F8</f>
        <v>3313</v>
      </c>
      <c r="H7" s="434">
        <f>IF('Kit report'!F9&lt;0,"0",'Kit report'!F9)</f>
        <v>227.99999999995634</v>
      </c>
      <c r="I7" s="434">
        <f>IF('Kit report'!X9&lt;0,"0",'Kit report'!X9)</f>
        <v>440.00000000014552</v>
      </c>
      <c r="J7" s="434">
        <f>IF('Utility summery'!H11&lt;0,"0",'Utility summery'!H11)</f>
        <v>53</v>
      </c>
      <c r="K7" s="435">
        <f>IF('UTILITY REPORT 1'!H8&lt;0,"0",'UTILITY REPORT 1'!H8)</f>
        <v>99</v>
      </c>
      <c r="L7" s="434">
        <f>'Water-Meter'!K11</f>
        <v>2</v>
      </c>
      <c r="M7" s="435">
        <f>'Water-Meter'!H11</f>
        <v>0</v>
      </c>
      <c r="N7" s="435">
        <f>'Water-Meter'!Q11</f>
        <v>7</v>
      </c>
      <c r="O7" s="434" t="e">
        <f>K7*E7+H7*I7+#REF!*#REF!+J7*L7</f>
        <v>#REF!</v>
      </c>
      <c r="P7" s="440">
        <f>'Water-Meter'!E11</f>
        <v>89</v>
      </c>
      <c r="Q7" s="228">
        <f>IF('Water-Meter'!U11&lt;0,"0",'Water-Meter'!U11)</f>
        <v>0</v>
      </c>
      <c r="R7" s="228">
        <f>IF('Water-Meter'!X11&lt;0,"0",'Water-Meter'!X11)</f>
        <v>0</v>
      </c>
      <c r="S7" s="228">
        <f>IF('Water-Meter'!AA11&lt;0,"0",'Water-Meter'!AA11)</f>
        <v>0</v>
      </c>
      <c r="T7" s="228">
        <f>IF('Water-Meter'!AD11&lt;0,"0",'Water-Meter'!AD11)</f>
        <v>17</v>
      </c>
      <c r="U7" s="228">
        <f>IF('Water-Meter'!AG11&lt;0,"0",'Water-Meter'!AG11)</f>
        <v>0</v>
      </c>
      <c r="V7" s="228">
        <f>IF('Water-Meter'!AJ11&lt;0,"0",'Water-Meter'!AJ11)</f>
        <v>32</v>
      </c>
      <c r="W7" s="29">
        <f>'Water-Meter'!AN11</f>
        <v>49</v>
      </c>
      <c r="X7" s="451">
        <f>Total!K7</f>
        <v>0</v>
      </c>
    </row>
    <row r="8" spans="1:24">
      <c r="A8" s="436" t="s">
        <v>12</v>
      </c>
      <c r="B8" s="433">
        <f t="shared" si="0"/>
        <v>7</v>
      </c>
      <c r="C8" s="438">
        <v>6</v>
      </c>
      <c r="D8" s="439">
        <v>2021</v>
      </c>
      <c r="E8" s="434">
        <f>'UTILITY REPORT 1'!I9</f>
        <v>104.57</v>
      </c>
      <c r="F8" s="434">
        <f>'UTILITY REPORT 1'!E9</f>
        <v>1368.2</v>
      </c>
      <c r="G8" s="435">
        <f>'UTILITY REPORT 1'!F9</f>
        <v>3517</v>
      </c>
      <c r="H8" s="434">
        <f>IF('Kit report'!F10&lt;0,"0",'Kit report'!F10)</f>
        <v>287.99999999995634</v>
      </c>
      <c r="I8" s="434">
        <f>IF('Kit report'!X10&lt;0,"0",'Kit report'!X10)</f>
        <v>559.99999999985448</v>
      </c>
      <c r="J8" s="434">
        <f>IF('Utility summery'!H12&lt;0,"0",'Utility summery'!H12)</f>
        <v>75</v>
      </c>
      <c r="K8" s="435">
        <f>IF('UTILITY REPORT 1'!H9&lt;0,"0",'UTILITY REPORT 1'!H9)</f>
        <v>71</v>
      </c>
      <c r="L8" s="434">
        <f>'Water-Meter'!K12</f>
        <v>2</v>
      </c>
      <c r="M8" s="435">
        <f>'Water-Meter'!H12</f>
        <v>0</v>
      </c>
      <c r="N8" s="435">
        <f>'Water-Meter'!Q12</f>
        <v>6</v>
      </c>
      <c r="O8" s="434" t="e">
        <f>K8*E8+H8*I8+#REF!*#REF!+J8*L8</f>
        <v>#REF!</v>
      </c>
      <c r="P8" s="440">
        <f>'Water-Meter'!E12</f>
        <v>70</v>
      </c>
      <c r="Q8" s="228">
        <f>IF('Water-Meter'!U12&lt;0,"0",'Water-Meter'!U12)</f>
        <v>0</v>
      </c>
      <c r="R8" s="228">
        <f>IF('Water-Meter'!X12&lt;0,"0",'Water-Meter'!X12)</f>
        <v>0</v>
      </c>
      <c r="S8" s="228">
        <f>IF('Water-Meter'!AA12&lt;0,"0",'Water-Meter'!AA12)</f>
        <v>25</v>
      </c>
      <c r="T8" s="228">
        <f>IF('Water-Meter'!AD12&lt;0,"0",'Water-Meter'!AD12)</f>
        <v>16</v>
      </c>
      <c r="U8" s="228">
        <f>IF('Water-Meter'!AG12&lt;0,"0",'Water-Meter'!AG12)</f>
        <v>0</v>
      </c>
      <c r="V8" s="228">
        <f>IF('Water-Meter'!AJ12&lt;0,"0",'Water-Meter'!AJ12)</f>
        <v>31</v>
      </c>
      <c r="W8" s="29">
        <f>'Water-Meter'!AN12</f>
        <v>72</v>
      </c>
      <c r="X8" s="451">
        <f>Total!K8</f>
        <v>0</v>
      </c>
    </row>
    <row r="9" spans="1:24">
      <c r="A9" s="436" t="s">
        <v>12</v>
      </c>
      <c r="B9" s="433">
        <f t="shared" si="0"/>
        <v>8</v>
      </c>
      <c r="C9" s="438">
        <v>6</v>
      </c>
      <c r="D9" s="439">
        <v>2021</v>
      </c>
      <c r="E9" s="434">
        <f>'UTILITY REPORT 1'!I10</f>
        <v>0</v>
      </c>
      <c r="F9" s="434">
        <f>'UTILITY REPORT 1'!E10</f>
        <v>1347.61</v>
      </c>
      <c r="G9" s="435">
        <f>'UTILITY REPORT 1'!F10</f>
        <v>3378</v>
      </c>
      <c r="H9" s="434">
        <f>IF('Kit report'!F11&lt;0,"0",'Kit report'!F11)</f>
        <v>240</v>
      </c>
      <c r="I9" s="434">
        <f>IF('Kit report'!X11&lt;0,"0",'Kit report'!X11)</f>
        <v>440.00000000014552</v>
      </c>
      <c r="J9" s="434">
        <f>IF('Utility summery'!H13&lt;0,"0",'Utility summery'!H13)</f>
        <v>5</v>
      </c>
      <c r="K9" s="435">
        <f>IF('UTILITY REPORT 1'!H10&lt;0,"0",'UTILITY REPORT 1'!H10)</f>
        <v>114</v>
      </c>
      <c r="L9" s="434">
        <f>'Water-Meter'!K13</f>
        <v>2</v>
      </c>
      <c r="M9" s="435">
        <f>'Water-Meter'!H13</f>
        <v>0</v>
      </c>
      <c r="N9" s="435">
        <f>'Water-Meter'!Q13</f>
        <v>3</v>
      </c>
      <c r="O9" s="434" t="e">
        <f>K9*E9+H9*I9+#REF!*#REF!+J9*L9</f>
        <v>#REF!</v>
      </c>
      <c r="P9" s="440">
        <f>'Water-Meter'!E13</f>
        <v>70</v>
      </c>
      <c r="Q9" s="228">
        <f>IF('Water-Meter'!U13&lt;0,"0",'Water-Meter'!U13)</f>
        <v>87</v>
      </c>
      <c r="R9" s="228">
        <f>IF('Water-Meter'!X13&lt;0,"0",'Water-Meter'!X13)</f>
        <v>0</v>
      </c>
      <c r="S9" s="228">
        <f>IF('Water-Meter'!AA13&lt;0,"0",'Water-Meter'!AA13)</f>
        <v>0</v>
      </c>
      <c r="T9" s="228">
        <f>IF('Water-Meter'!AD13&lt;0,"0",'Water-Meter'!AD13)</f>
        <v>16</v>
      </c>
      <c r="U9" s="228">
        <f>IF('Water-Meter'!AG13&lt;0,"0",'Water-Meter'!AG13)</f>
        <v>0</v>
      </c>
      <c r="V9" s="228">
        <f>IF('Water-Meter'!AJ13&lt;0,"0",'Water-Meter'!AJ13)</f>
        <v>28</v>
      </c>
      <c r="W9" s="29">
        <f>'Water-Meter'!AN13</f>
        <v>131</v>
      </c>
      <c r="X9" s="451">
        <f>Total!K9</f>
        <v>0</v>
      </c>
    </row>
    <row r="10" spans="1:24">
      <c r="A10" s="436" t="s">
        <v>12</v>
      </c>
      <c r="B10" s="433">
        <f t="shared" si="0"/>
        <v>9</v>
      </c>
      <c r="C10" s="438">
        <v>6</v>
      </c>
      <c r="D10" s="439">
        <v>2021</v>
      </c>
      <c r="E10" s="434">
        <f>'UTILITY REPORT 1'!I11</f>
        <v>146.75</v>
      </c>
      <c r="F10" s="434">
        <f>'UTILITY REPORT 1'!E11</f>
        <v>1263.55</v>
      </c>
      <c r="G10" s="435">
        <f>'UTILITY REPORT 1'!F11</f>
        <v>3163</v>
      </c>
      <c r="H10" s="434">
        <f>IF('Kit report'!F12&lt;0,"0",'Kit report'!F12)</f>
        <v>264.00000000008731</v>
      </c>
      <c r="I10" s="434">
        <f>IF('Kit report'!X12&lt;0,"0",'Kit report'!X12)</f>
        <v>379.99999999992724</v>
      </c>
      <c r="J10" s="434">
        <f>IF('Utility summery'!H14&lt;0,"0",'Utility summery'!H14)</f>
        <v>2</v>
      </c>
      <c r="K10" s="435">
        <f>IF('UTILITY REPORT 1'!H11&lt;0,"0",'UTILITY REPORT 1'!H11)</f>
        <v>35</v>
      </c>
      <c r="L10" s="434">
        <f>'Water-Meter'!K14</f>
        <v>2</v>
      </c>
      <c r="M10" s="435">
        <f>'Water-Meter'!H14</f>
        <v>0</v>
      </c>
      <c r="N10" s="435">
        <f>'Water-Meter'!Q14</f>
        <v>7</v>
      </c>
      <c r="O10" s="434" t="e">
        <f>K10*E10+H10*I10+#REF!*#REF!+J10*L10</f>
        <v>#REF!</v>
      </c>
      <c r="P10" s="440">
        <f>'Water-Meter'!E14</f>
        <v>64</v>
      </c>
      <c r="Q10" s="228">
        <f>IF('Water-Meter'!U14&lt;0,"0",'Water-Meter'!U14)</f>
        <v>82</v>
      </c>
      <c r="R10" s="228">
        <f>IF('Water-Meter'!X14&lt;0,"0",'Water-Meter'!X14)</f>
        <v>0</v>
      </c>
      <c r="S10" s="228">
        <f>IF('Water-Meter'!AA14&lt;0,"0",'Water-Meter'!AA14)</f>
        <v>0</v>
      </c>
      <c r="T10" s="228">
        <f>IF('Water-Meter'!AD14&lt;0,"0",'Water-Meter'!AD14)</f>
        <v>16</v>
      </c>
      <c r="U10" s="228">
        <f>IF('Water-Meter'!AG14&lt;0,"0",'Water-Meter'!AG14)</f>
        <v>0</v>
      </c>
      <c r="V10" s="228">
        <f>IF('Water-Meter'!AJ14&lt;0,"0",'Water-Meter'!AJ14)</f>
        <v>24</v>
      </c>
      <c r="W10" s="29">
        <f>'Water-Meter'!AN14</f>
        <v>122</v>
      </c>
      <c r="X10" s="451">
        <f>Total!K10</f>
        <v>0</v>
      </c>
    </row>
    <row r="11" spans="1:24">
      <c r="A11" s="436" t="s">
        <v>12</v>
      </c>
      <c r="B11" s="433">
        <f t="shared" si="0"/>
        <v>10</v>
      </c>
      <c r="C11" s="438">
        <v>6</v>
      </c>
      <c r="D11" s="439">
        <v>2021</v>
      </c>
      <c r="E11" s="434">
        <f>'UTILITY REPORT 1'!I12</f>
        <v>45.94</v>
      </c>
      <c r="F11" s="434">
        <f>'UTILITY REPORT 1'!E12</f>
        <v>1325.84</v>
      </c>
      <c r="G11" s="435">
        <f>'UTILITY REPORT 1'!F12</f>
        <v>3365</v>
      </c>
      <c r="H11" s="434">
        <f>IF('Kit report'!F13&lt;0,"0",'Kit report'!F13)</f>
        <v>252.00000000004366</v>
      </c>
      <c r="I11" s="434">
        <f>IF('Kit report'!X13&lt;0,"0",'Kit report'!X13)</f>
        <v>379.99999999992724</v>
      </c>
      <c r="J11" s="434">
        <f>IF('Utility summery'!H15&lt;0,"0",'Utility summery'!H15)</f>
        <v>76</v>
      </c>
      <c r="K11" s="435">
        <f>IF('UTILITY REPORT 1'!H12&lt;0,"0",'UTILITY REPORT 1'!H12)</f>
        <v>110</v>
      </c>
      <c r="L11" s="434">
        <f>'Water-Meter'!K15</f>
        <v>2</v>
      </c>
      <c r="M11" s="435">
        <f>'Water-Meter'!H15</f>
        <v>0</v>
      </c>
      <c r="N11" s="435">
        <f>'Water-Meter'!Q15</f>
        <v>3</v>
      </c>
      <c r="O11" s="434" t="e">
        <f>K11*E11+H11*I11+#REF!*#REF!+J11*L11</f>
        <v>#REF!</v>
      </c>
      <c r="P11" s="440">
        <f>'Water-Meter'!E15</f>
        <v>74</v>
      </c>
      <c r="Q11" s="228">
        <f>IF('Water-Meter'!U15&lt;0,"0",'Water-Meter'!U15)</f>
        <v>93</v>
      </c>
      <c r="R11" s="228">
        <f>IF('Water-Meter'!X15&lt;0,"0",'Water-Meter'!X15)</f>
        <v>0</v>
      </c>
      <c r="S11" s="228">
        <f>IF('Water-Meter'!AA15&lt;0,"0",'Water-Meter'!AA15)</f>
        <v>0</v>
      </c>
      <c r="T11" s="228">
        <f>IF('Water-Meter'!AD15&lt;0,"0",'Water-Meter'!AD15)</f>
        <v>16</v>
      </c>
      <c r="U11" s="228">
        <f>IF('Water-Meter'!AG15&lt;0,"0",'Water-Meter'!AG15)</f>
        <v>0</v>
      </c>
      <c r="V11" s="228">
        <f>IF('Water-Meter'!AJ15&lt;0,"0",'Water-Meter'!AJ15)</f>
        <v>28</v>
      </c>
      <c r="W11" s="29">
        <f>'Water-Meter'!AN15</f>
        <v>137</v>
      </c>
      <c r="X11" s="451">
        <f>Total!K11</f>
        <v>0</v>
      </c>
    </row>
    <row r="12" spans="1:24">
      <c r="A12" s="436" t="s">
        <v>12</v>
      </c>
      <c r="B12" s="433">
        <f t="shared" si="0"/>
        <v>11</v>
      </c>
      <c r="C12" s="438">
        <v>6</v>
      </c>
      <c r="D12" s="439">
        <v>2021</v>
      </c>
      <c r="E12" s="434">
        <f>'UTILITY REPORT 1'!I13</f>
        <v>51.86</v>
      </c>
      <c r="F12" s="434">
        <f>'UTILITY REPORT 1'!E13</f>
        <v>1384.98</v>
      </c>
      <c r="G12" s="435">
        <f>'UTILITY REPORT 1'!F13</f>
        <v>3555</v>
      </c>
      <c r="H12" s="434">
        <f>IF('Kit report'!F14&lt;0,"0",'Kit report'!F14)</f>
        <v>240</v>
      </c>
      <c r="I12" s="434">
        <f>IF('Kit report'!X14&lt;0,"0",'Kit report'!X14)</f>
        <v>460.00000000021828</v>
      </c>
      <c r="J12" s="434">
        <f>IF('Utility summery'!H16&lt;0,"0",'Utility summery'!H16)</f>
        <v>78</v>
      </c>
      <c r="K12" s="435">
        <f>IF('UTILITY REPORT 1'!H13&lt;0,"0",'UTILITY REPORT 1'!H13)</f>
        <v>91</v>
      </c>
      <c r="L12" s="434">
        <f>'Water-Meter'!K16</f>
        <v>1</v>
      </c>
      <c r="M12" s="435">
        <f>'Water-Meter'!H16</f>
        <v>0</v>
      </c>
      <c r="N12" s="435">
        <f>'Water-Meter'!Q16</f>
        <v>4</v>
      </c>
      <c r="O12" s="434" t="e">
        <f>K12*E12+H12*I12+#REF!*#REF!+J12*L12</f>
        <v>#REF!</v>
      </c>
      <c r="P12" s="440">
        <f>'Water-Meter'!E16</f>
        <v>101</v>
      </c>
      <c r="Q12" s="228">
        <f>IF('Water-Meter'!U16&lt;0,"0",'Water-Meter'!U16)</f>
        <v>70</v>
      </c>
      <c r="R12" s="228">
        <f>IF('Water-Meter'!X16&lt;0,"0",'Water-Meter'!X16)</f>
        <v>0</v>
      </c>
      <c r="S12" s="228">
        <f>IF('Water-Meter'!AA16&lt;0,"0",'Water-Meter'!AA16)</f>
        <v>17</v>
      </c>
      <c r="T12" s="228">
        <f>IF('Water-Meter'!AD16&lt;0,"0",'Water-Meter'!AD16)</f>
        <v>16</v>
      </c>
      <c r="U12" s="228">
        <f>IF('Water-Meter'!AG16&lt;0,"0",'Water-Meter'!AG16)</f>
        <v>0</v>
      </c>
      <c r="V12" s="228">
        <f>IF('Water-Meter'!AJ16&lt;0,"0",'Water-Meter'!AJ16)</f>
        <v>43</v>
      </c>
      <c r="W12" s="29">
        <f>'Water-Meter'!AN16</f>
        <v>146</v>
      </c>
      <c r="X12" s="451">
        <f>Total!K12</f>
        <v>0</v>
      </c>
    </row>
    <row r="13" spans="1:24">
      <c r="A13" s="436" t="s">
        <v>12</v>
      </c>
      <c r="B13" s="433">
        <f t="shared" si="0"/>
        <v>12</v>
      </c>
      <c r="C13" s="438">
        <v>6</v>
      </c>
      <c r="D13" s="439">
        <v>2021</v>
      </c>
      <c r="E13" s="434">
        <f>'UTILITY REPORT 1'!I14</f>
        <v>317.36</v>
      </c>
      <c r="F13" s="434">
        <f>'UTILITY REPORT 1'!E14</f>
        <v>1534.46</v>
      </c>
      <c r="G13" s="435">
        <f>'UTILITY REPORT 1'!F14</f>
        <v>3880</v>
      </c>
      <c r="H13" s="434">
        <f>IF('Kit report'!F15&lt;0,"0",'Kit report'!F15)</f>
        <v>263.99999999986903</v>
      </c>
      <c r="I13" s="434">
        <f>IF('Kit report'!X15&lt;0,"0",'Kit report'!X15)</f>
        <v>539.99999999978172</v>
      </c>
      <c r="J13" s="434">
        <f>IF('Utility summery'!H17&lt;0,"0",'Utility summery'!H17)</f>
        <v>72</v>
      </c>
      <c r="K13" s="435">
        <f>IF('UTILITY REPORT 1'!H14&lt;0,"0",'UTILITY REPORT 1'!H14)</f>
        <v>101</v>
      </c>
      <c r="L13" s="434">
        <f>'Water-Meter'!K17</f>
        <v>2</v>
      </c>
      <c r="M13" s="435">
        <f>'Water-Meter'!H17</f>
        <v>0</v>
      </c>
      <c r="N13" s="435">
        <f>'Water-Meter'!Q17</f>
        <v>6</v>
      </c>
      <c r="O13" s="434" t="e">
        <f>K13*E13+H13*I13+#REF!*#REF!+J13*L13</f>
        <v>#REF!</v>
      </c>
      <c r="P13" s="440">
        <f>'Water-Meter'!E17</f>
        <v>87</v>
      </c>
      <c r="Q13" s="228">
        <f>IF('Water-Meter'!U17&lt;0,"0",'Water-Meter'!U17)</f>
        <v>70</v>
      </c>
      <c r="R13" s="228">
        <f>IF('Water-Meter'!X17&lt;0,"0",'Water-Meter'!X17)</f>
        <v>0</v>
      </c>
      <c r="S13" s="228">
        <f>IF('Water-Meter'!AA17&lt;0,"0",'Water-Meter'!AA17)</f>
        <v>17</v>
      </c>
      <c r="T13" s="228">
        <f>IF('Water-Meter'!AD17&lt;0,"0",'Water-Meter'!AD17)</f>
        <v>17</v>
      </c>
      <c r="U13" s="228">
        <f>IF('Water-Meter'!AG17&lt;0,"0",'Water-Meter'!AG17)</f>
        <v>0</v>
      </c>
      <c r="V13" s="228">
        <f>IF('Water-Meter'!AJ17&lt;0,"0",'Water-Meter'!AJ17)</f>
        <v>37</v>
      </c>
      <c r="W13" s="29">
        <f>'Water-Meter'!AN17</f>
        <v>141</v>
      </c>
      <c r="X13" s="451">
        <f>Total!K13</f>
        <v>0</v>
      </c>
    </row>
    <row r="14" spans="1:24">
      <c r="A14" s="436" t="s">
        <v>12</v>
      </c>
      <c r="B14" s="433">
        <f t="shared" si="0"/>
        <v>13</v>
      </c>
      <c r="C14" s="438">
        <v>6</v>
      </c>
      <c r="D14" s="439">
        <v>2021</v>
      </c>
      <c r="E14" s="434">
        <f>'UTILITY REPORT 1'!I15</f>
        <v>258.22000000000003</v>
      </c>
      <c r="F14" s="434">
        <f>'UTILITY REPORT 1'!E15</f>
        <v>1472.31</v>
      </c>
      <c r="G14" s="435">
        <f>'UTILITY REPORT 1'!F15</f>
        <v>3601</v>
      </c>
      <c r="H14" s="434">
        <f>IF('Kit report'!F16&lt;0,"0",'Kit report'!F16)</f>
        <v>240</v>
      </c>
      <c r="I14" s="434">
        <f>IF('Kit report'!X16&lt;0,"0",'Kit report'!X16)</f>
        <v>460.00000000021828</v>
      </c>
      <c r="J14" s="434">
        <f>IF('Utility summery'!H18&lt;0,"0",'Utility summery'!H18)</f>
        <v>71</v>
      </c>
      <c r="K14" s="435">
        <f>IF('UTILITY REPORT 1'!H15&lt;0,"0",'UTILITY REPORT 1'!H15)</f>
        <v>35</v>
      </c>
      <c r="L14" s="434">
        <f>'Water-Meter'!K18</f>
        <v>2</v>
      </c>
      <c r="M14" s="435">
        <f>'Water-Meter'!H18</f>
        <v>0</v>
      </c>
      <c r="N14" s="435">
        <f>'Water-Meter'!Q18</f>
        <v>6</v>
      </c>
      <c r="O14" s="434" t="e">
        <f>K14*E14+H14*I14+#REF!*#REF!+J14*L14</f>
        <v>#REF!</v>
      </c>
      <c r="P14" s="440">
        <f>'Water-Meter'!E18</f>
        <v>71</v>
      </c>
      <c r="Q14" s="228">
        <f>IF('Water-Meter'!U18&lt;0,"0",'Water-Meter'!U18)</f>
        <v>98</v>
      </c>
      <c r="R14" s="228">
        <f>IF('Water-Meter'!X18&lt;0,"0",'Water-Meter'!X18)</f>
        <v>0</v>
      </c>
      <c r="S14" s="228">
        <f>IF('Water-Meter'!AA18&lt;0,"0",'Water-Meter'!AA18)</f>
        <v>0</v>
      </c>
      <c r="T14" s="228">
        <f>IF('Water-Meter'!AD18&lt;0,"0",'Water-Meter'!AD18)</f>
        <v>14</v>
      </c>
      <c r="U14" s="228">
        <f>IF('Water-Meter'!AG18&lt;0,"0",'Water-Meter'!AG18)</f>
        <v>0</v>
      </c>
      <c r="V14" s="228">
        <f>IF('Water-Meter'!AJ18&lt;0,"0",'Water-Meter'!AJ18)</f>
        <v>24</v>
      </c>
      <c r="W14" s="29">
        <f>'Water-Meter'!AN18</f>
        <v>136</v>
      </c>
      <c r="X14" s="451">
        <f>Total!K14</f>
        <v>0</v>
      </c>
    </row>
    <row r="15" spans="1:24">
      <c r="A15" s="436" t="s">
        <v>12</v>
      </c>
      <c r="B15" s="433">
        <f t="shared" si="0"/>
        <v>14</v>
      </c>
      <c r="C15" s="438">
        <v>6</v>
      </c>
      <c r="D15" s="439">
        <v>2021</v>
      </c>
      <c r="E15" s="434">
        <f>'UTILITY REPORT 1'!I16</f>
        <v>262.43</v>
      </c>
      <c r="F15" s="434">
        <f>'UTILITY REPORT 1'!E16</f>
        <v>1575.06</v>
      </c>
      <c r="G15" s="435">
        <f>'UTILITY REPORT 1'!F16</f>
        <v>3974</v>
      </c>
      <c r="H15" s="434">
        <f>IF('Kit report'!F17&lt;0,"0",'Kit report'!F17)</f>
        <v>252.00000000004366</v>
      </c>
      <c r="I15" s="434">
        <f>IF('Kit report'!X17&lt;0,"0",'Kit report'!X17)</f>
        <v>400</v>
      </c>
      <c r="J15" s="434">
        <f>IF('Utility summery'!H19&lt;0,"0",'Utility summery'!H19)</f>
        <v>62</v>
      </c>
      <c r="K15" s="435">
        <f>IF('UTILITY REPORT 1'!H16&lt;0,"0",'UTILITY REPORT 1'!H16)</f>
        <v>175</v>
      </c>
      <c r="L15" s="434">
        <f>'Water-Meter'!K19</f>
        <v>2</v>
      </c>
      <c r="M15" s="435">
        <f>'Water-Meter'!H19</f>
        <v>0</v>
      </c>
      <c r="N15" s="435">
        <f>'Water-Meter'!Q19</f>
        <v>6</v>
      </c>
      <c r="O15" s="434" t="e">
        <f>K15*E15+H15*I15+#REF!*#REF!+J15*L15</f>
        <v>#REF!</v>
      </c>
      <c r="P15" s="440">
        <f>'Water-Meter'!E19</f>
        <v>207</v>
      </c>
      <c r="Q15" s="228">
        <f>IF('Water-Meter'!U19&lt;0,"0",'Water-Meter'!U19)</f>
        <v>79</v>
      </c>
      <c r="R15" s="228">
        <f>IF('Water-Meter'!X19&lt;0,"0",'Water-Meter'!X19)</f>
        <v>0</v>
      </c>
      <c r="S15" s="228">
        <f>IF('Water-Meter'!AA19&lt;0,"0",'Water-Meter'!AA19)</f>
        <v>0</v>
      </c>
      <c r="T15" s="228">
        <f>IF('Water-Meter'!AD19&lt;0,"0",'Water-Meter'!AD19)</f>
        <v>17</v>
      </c>
      <c r="U15" s="228">
        <f>IF('Water-Meter'!AG19&lt;0,"0",'Water-Meter'!AG19)</f>
        <v>0</v>
      </c>
      <c r="V15" s="228">
        <f>IF('Water-Meter'!AJ19&lt;0,"0",'Water-Meter'!AJ19)</f>
        <v>33</v>
      </c>
      <c r="W15" s="29">
        <f>'Water-Meter'!AN19</f>
        <v>129</v>
      </c>
      <c r="X15" s="451">
        <f>Total!K15</f>
        <v>0</v>
      </c>
    </row>
    <row r="16" spans="1:24">
      <c r="A16" s="436" t="s">
        <v>12</v>
      </c>
      <c r="B16" s="433">
        <f t="shared" si="0"/>
        <v>15</v>
      </c>
      <c r="C16" s="438">
        <v>6</v>
      </c>
      <c r="D16" s="439">
        <v>2021</v>
      </c>
      <c r="E16" s="434">
        <f>'UTILITY REPORT 1'!I17</f>
        <v>98.19</v>
      </c>
      <c r="F16" s="434">
        <f>'UTILITY REPORT 1'!E17</f>
        <v>1478.45</v>
      </c>
      <c r="G16" s="435">
        <f>'UTILITY REPORT 1'!F17</f>
        <v>3583</v>
      </c>
      <c r="H16" s="434">
        <f>IF('Kit report'!F18&lt;0,"0",'Kit report'!F18)</f>
        <v>264.00000000008731</v>
      </c>
      <c r="I16" s="434">
        <f>IF('Kit report'!X18&lt;0,"0",'Kit report'!X18)</f>
        <v>359.99999999985448</v>
      </c>
      <c r="J16" s="434">
        <f>IF('Utility summery'!H20&lt;0,"0",'Utility summery'!H20)</f>
        <v>55</v>
      </c>
      <c r="K16" s="435">
        <f>IF('UTILITY REPORT 1'!H17&lt;0,"0",'UTILITY REPORT 1'!H17)</f>
        <v>174</v>
      </c>
      <c r="L16" s="434">
        <f>'Water-Meter'!K20</f>
        <v>2</v>
      </c>
      <c r="M16" s="435">
        <f>'Water-Meter'!H20</f>
        <v>0</v>
      </c>
      <c r="N16" s="435">
        <f>'Water-Meter'!Q20</f>
        <v>5</v>
      </c>
      <c r="O16" s="434" t="e">
        <f>K16*E16+H16*I16+#REF!*#REF!+J16*L16</f>
        <v>#REF!</v>
      </c>
      <c r="P16" s="440">
        <f>'Water-Meter'!E20</f>
        <v>222</v>
      </c>
      <c r="Q16" s="228">
        <f>IF('Water-Meter'!U20&lt;0,"0",'Water-Meter'!U20)</f>
        <v>83</v>
      </c>
      <c r="R16" s="228">
        <f>IF('Water-Meter'!X20&lt;0,"0",'Water-Meter'!X20)</f>
        <v>0</v>
      </c>
      <c r="S16" s="228">
        <f>IF('Water-Meter'!AA20&lt;0,"0",'Water-Meter'!AA20)</f>
        <v>0</v>
      </c>
      <c r="T16" s="228">
        <f>IF('Water-Meter'!AD20&lt;0,"0",'Water-Meter'!AD20)</f>
        <v>14</v>
      </c>
      <c r="U16" s="228">
        <f>IF('Water-Meter'!AG20&lt;0,"0",'Water-Meter'!AG20)</f>
        <v>0</v>
      </c>
      <c r="V16" s="228">
        <f>IF('Water-Meter'!AJ20&lt;0,"0",'Water-Meter'!AJ20)</f>
        <v>30</v>
      </c>
      <c r="W16" s="29">
        <f>'Water-Meter'!AN20</f>
        <v>56</v>
      </c>
      <c r="X16" s="451">
        <f>Total!K16</f>
        <v>0</v>
      </c>
    </row>
    <row r="17" spans="1:24">
      <c r="A17" s="436" t="s">
        <v>12</v>
      </c>
      <c r="B17" s="433">
        <f t="shared" si="0"/>
        <v>16</v>
      </c>
      <c r="C17" s="438">
        <v>6</v>
      </c>
      <c r="D17" s="439">
        <v>2021</v>
      </c>
      <c r="E17" s="434">
        <f>'UTILITY REPORT 1'!I18</f>
        <v>0</v>
      </c>
      <c r="F17" s="434">
        <f>'UTILITY REPORT 1'!E18</f>
        <v>1354.83</v>
      </c>
      <c r="G17" s="435">
        <f>'UTILITY REPORT 1'!F18</f>
        <v>3523</v>
      </c>
      <c r="H17" s="434">
        <f>IF('Kit report'!F19&lt;0,"0",'Kit report'!F19)</f>
        <v>251.99999999982538</v>
      </c>
      <c r="I17" s="434">
        <f>IF('Kit report'!X19&lt;0,"0",'Kit report'!X19)</f>
        <v>400</v>
      </c>
      <c r="J17" s="434">
        <f>IF('Utility summery'!H21&lt;0,"0",'Utility summery'!H21)</f>
        <v>51</v>
      </c>
      <c r="K17" s="435">
        <f>IF('UTILITY REPORT 1'!H18&lt;0,"0",'UTILITY REPORT 1'!H18)</f>
        <v>98</v>
      </c>
      <c r="L17" s="434">
        <f>'Water-Meter'!K21</f>
        <v>3</v>
      </c>
      <c r="M17" s="435">
        <f>'Water-Meter'!H21</f>
        <v>0</v>
      </c>
      <c r="N17" s="435">
        <f>'Water-Meter'!Q21</f>
        <v>4</v>
      </c>
      <c r="O17" s="434" t="e">
        <f>K17*E17+H17*I17+#REF!*#REF!+J17*L17</f>
        <v>#REF!</v>
      </c>
      <c r="P17" s="440">
        <f>'Water-Meter'!E21</f>
        <v>216</v>
      </c>
      <c r="Q17" s="228">
        <f>IF('Water-Meter'!U21&lt;0,"0",'Water-Meter'!U21)</f>
        <v>83</v>
      </c>
      <c r="R17" s="228">
        <f>IF('Water-Meter'!X21&lt;0,"0",'Water-Meter'!X21)</f>
        <v>0</v>
      </c>
      <c r="S17" s="228">
        <f>IF('Water-Meter'!AA21&lt;0,"0",'Water-Meter'!AA21)</f>
        <v>0</v>
      </c>
      <c r="T17" s="228">
        <f>IF('Water-Meter'!AD21&lt;0,"0",'Water-Meter'!AD21)</f>
        <v>17</v>
      </c>
      <c r="U17" s="228">
        <f>IF('Water-Meter'!AG21&lt;0,"0",'Water-Meter'!AG21)</f>
        <v>0</v>
      </c>
      <c r="V17" s="228">
        <f>IF('Water-Meter'!AJ21&lt;0,"0",'Water-Meter'!AJ21)</f>
        <v>30</v>
      </c>
      <c r="W17" s="29">
        <f>'Water-Meter'!AN21</f>
        <v>130</v>
      </c>
      <c r="X17" s="451">
        <f>Total!K17</f>
        <v>0</v>
      </c>
    </row>
    <row r="18" spans="1:24">
      <c r="A18" s="436" t="s">
        <v>12</v>
      </c>
      <c r="B18" s="433">
        <f t="shared" si="0"/>
        <v>17</v>
      </c>
      <c r="C18" s="438">
        <v>6</v>
      </c>
      <c r="D18" s="439">
        <v>2021</v>
      </c>
      <c r="E18" s="434">
        <f>'UTILITY REPORT 1'!I19</f>
        <v>28.75</v>
      </c>
      <c r="F18" s="434">
        <f>'UTILITY REPORT 1'!E19</f>
        <v>1323.25</v>
      </c>
      <c r="G18" s="435">
        <f>'UTILITY REPORT 1'!F19</f>
        <v>3308</v>
      </c>
      <c r="H18" s="434">
        <f>IF('Kit report'!F20&lt;0,"0",'Kit report'!F20)</f>
        <v>264.00000000008731</v>
      </c>
      <c r="I18" s="434">
        <f>IF('Kit report'!X20&lt;0,"0",'Kit report'!X20)</f>
        <v>400</v>
      </c>
      <c r="J18" s="434">
        <f>IF('Utility summery'!H22&lt;0,"0",'Utility summery'!H22)</f>
        <v>36</v>
      </c>
      <c r="K18" s="435">
        <f>IF('UTILITY REPORT 1'!H19&lt;0,"0",'UTILITY REPORT 1'!H19)</f>
        <v>35</v>
      </c>
      <c r="L18" s="434">
        <f>'Water-Meter'!K22</f>
        <v>2</v>
      </c>
      <c r="M18" s="435">
        <f>'Water-Meter'!H22</f>
        <v>0</v>
      </c>
      <c r="N18" s="435">
        <f>'Water-Meter'!Q22</f>
        <v>8</v>
      </c>
      <c r="O18" s="434" t="e">
        <f>K18*E18+H18*I18+#REF!*#REF!+J18*L18</f>
        <v>#REF!</v>
      </c>
      <c r="P18" s="440">
        <f>'Water-Meter'!E22</f>
        <v>79</v>
      </c>
      <c r="Q18" s="228">
        <f>IF('Water-Meter'!U22&lt;0,"0",'Water-Meter'!U22)</f>
        <v>82</v>
      </c>
      <c r="R18" s="228">
        <f>IF('Water-Meter'!X22&lt;0,"0",'Water-Meter'!X22)</f>
        <v>0</v>
      </c>
      <c r="S18" s="228">
        <f>IF('Water-Meter'!AA22&lt;0,"0",'Water-Meter'!AA22)</f>
        <v>0</v>
      </c>
      <c r="T18" s="228">
        <f>IF('Water-Meter'!AD22&lt;0,"0",'Water-Meter'!AD22)</f>
        <v>15</v>
      </c>
      <c r="U18" s="228">
        <f>IF('Water-Meter'!AG22&lt;0,"0",'Water-Meter'!AG22)</f>
        <v>0</v>
      </c>
      <c r="V18" s="228">
        <f>IF('Water-Meter'!AJ22&lt;0,"0",'Water-Meter'!AJ22)</f>
        <v>30</v>
      </c>
      <c r="W18" s="29">
        <f>'Water-Meter'!AN22</f>
        <v>127</v>
      </c>
      <c r="X18" s="451">
        <f>Total!K18</f>
        <v>0</v>
      </c>
    </row>
    <row r="19" spans="1:24">
      <c r="A19" s="436" t="s">
        <v>12</v>
      </c>
      <c r="B19" s="433">
        <f t="shared" si="0"/>
        <v>18</v>
      </c>
      <c r="C19" s="438">
        <v>6</v>
      </c>
      <c r="D19" s="439">
        <v>2021</v>
      </c>
      <c r="E19" s="434">
        <f>'UTILITY REPORT 1'!I20</f>
        <v>193.39</v>
      </c>
      <c r="F19" s="434">
        <f>'UTILITY REPORT 1'!E20</f>
        <v>1446.9</v>
      </c>
      <c r="G19" s="435">
        <f>'UTILITY REPORT 1'!F20</f>
        <v>3408</v>
      </c>
      <c r="H19" s="434">
        <f>IF('Kit report'!F21&lt;0,"0",'Kit report'!F21)</f>
        <v>215.99999999991269</v>
      </c>
      <c r="I19" s="434">
        <f>IF('Kit report'!X21&lt;0,"0",'Kit report'!X21)</f>
        <v>500</v>
      </c>
      <c r="J19" s="434">
        <f>IF('Utility summery'!H23&lt;0,"0",'Utility summery'!H23)</f>
        <v>27</v>
      </c>
      <c r="K19" s="435">
        <f>IF('UTILITY REPORT 1'!H20&lt;0,"0",'UTILITY REPORT 1'!H20)</f>
        <v>93</v>
      </c>
      <c r="L19" s="434">
        <f>'Water-Meter'!K23</f>
        <v>2</v>
      </c>
      <c r="M19" s="435">
        <f>'Water-Meter'!H23</f>
        <v>0</v>
      </c>
      <c r="N19" s="435">
        <f>'Water-Meter'!Q23</f>
        <v>9</v>
      </c>
      <c r="O19" s="434" t="e">
        <f>K19*E19+H19*I19+#REF!*#REF!+J19*L19</f>
        <v>#REF!</v>
      </c>
      <c r="P19" s="440">
        <f>'Water-Meter'!E23</f>
        <v>77</v>
      </c>
      <c r="Q19" s="228">
        <f>IF('Water-Meter'!U23&lt;0,"0",'Water-Meter'!U23)</f>
        <v>81</v>
      </c>
      <c r="R19" s="228">
        <f>IF('Water-Meter'!X23&lt;0,"0",'Water-Meter'!X23)</f>
        <v>0</v>
      </c>
      <c r="S19" s="228">
        <f>IF('Water-Meter'!AA23&lt;0,"0",'Water-Meter'!AA23)</f>
        <v>20</v>
      </c>
      <c r="T19" s="228">
        <f>IF('Water-Meter'!AD23&lt;0,"0",'Water-Meter'!AD23)</f>
        <v>18</v>
      </c>
      <c r="U19" s="228">
        <f>IF('Water-Meter'!AG23&lt;0,"0",'Water-Meter'!AG23)</f>
        <v>5</v>
      </c>
      <c r="V19" s="228">
        <f>IF('Water-Meter'!AJ23&lt;0,"0",'Water-Meter'!AJ23)</f>
        <v>34</v>
      </c>
      <c r="W19" s="29">
        <f>'Water-Meter'!AN23</f>
        <v>158</v>
      </c>
      <c r="X19" s="451">
        <f>Total!K19</f>
        <v>0</v>
      </c>
    </row>
    <row r="20" spans="1:24">
      <c r="A20" s="436" t="s">
        <v>12</v>
      </c>
      <c r="B20" s="433">
        <f t="shared" si="0"/>
        <v>19</v>
      </c>
      <c r="C20" s="438">
        <v>6</v>
      </c>
      <c r="D20" s="439">
        <v>2021</v>
      </c>
      <c r="E20" s="434">
        <f>'UTILITY REPORT 1'!I21</f>
        <v>30</v>
      </c>
      <c r="F20" s="434">
        <f>'UTILITY REPORT 1'!E21</f>
        <v>1289.51</v>
      </c>
      <c r="G20" s="435">
        <f>'UTILITY REPORT 1'!F21</f>
        <v>3062</v>
      </c>
      <c r="H20" s="434">
        <f>IF('Kit report'!F22&lt;0,"0",'Kit report'!F22)</f>
        <v>228.00000000017462</v>
      </c>
      <c r="I20" s="434">
        <f>IF('Kit report'!X22&lt;0,"0",'Kit report'!X22)</f>
        <v>400</v>
      </c>
      <c r="J20" s="434">
        <f>IF('Utility summery'!H24&lt;0,"0",'Utility summery'!H24)</f>
        <v>27</v>
      </c>
      <c r="K20" s="435">
        <f>IF('UTILITY REPORT 1'!H21&lt;0,"0",'UTILITY REPORT 1'!H21)</f>
        <v>154</v>
      </c>
      <c r="L20" s="434">
        <f>'Water-Meter'!K24</f>
        <v>1</v>
      </c>
      <c r="M20" s="435">
        <f>'Water-Meter'!H24</f>
        <v>0</v>
      </c>
      <c r="N20" s="435">
        <f>'Water-Meter'!Q24</f>
        <v>16</v>
      </c>
      <c r="O20" s="434" t="e">
        <f>K20*E20+H20*I20+#REF!*#REF!+J20*L20</f>
        <v>#REF!</v>
      </c>
      <c r="P20" s="440">
        <f>'Water-Meter'!E24</f>
        <v>80</v>
      </c>
      <c r="Q20" s="228">
        <f>IF('Water-Meter'!U24&lt;0,"0",'Water-Meter'!U24)</f>
        <v>82</v>
      </c>
      <c r="R20" s="228">
        <f>IF('Water-Meter'!X24&lt;0,"0",'Water-Meter'!X24)</f>
        <v>0</v>
      </c>
      <c r="S20" s="228">
        <f>IF('Water-Meter'!AA24&lt;0,"0",'Water-Meter'!AA24)</f>
        <v>37</v>
      </c>
      <c r="T20" s="228">
        <f>IF('Water-Meter'!AD24&lt;0,"0",'Water-Meter'!AD24)</f>
        <v>16</v>
      </c>
      <c r="U20" s="228">
        <f>IF('Water-Meter'!AG24&lt;0,"0",'Water-Meter'!AG24)</f>
        <v>0</v>
      </c>
      <c r="V20" s="228">
        <f>IF('Water-Meter'!AJ24&lt;0,"0",'Water-Meter'!AJ24)</f>
        <v>31</v>
      </c>
      <c r="W20" s="29">
        <f>'Water-Meter'!AN24</f>
        <v>166</v>
      </c>
      <c r="X20" s="451">
        <f>Total!K20</f>
        <v>0</v>
      </c>
    </row>
    <row r="21" spans="1:24">
      <c r="A21" s="436" t="s">
        <v>12</v>
      </c>
      <c r="B21" s="433">
        <f t="shared" si="0"/>
        <v>20</v>
      </c>
      <c r="C21" s="438">
        <v>6</v>
      </c>
      <c r="D21" s="439">
        <v>2021</v>
      </c>
      <c r="E21" s="434">
        <f>'UTILITY REPORT 1'!I22</f>
        <v>0</v>
      </c>
      <c r="F21" s="434">
        <f>'UTILITY REPORT 1'!E22</f>
        <v>1256.79</v>
      </c>
      <c r="G21" s="435">
        <f>'UTILITY REPORT 1'!F22</f>
        <v>3078</v>
      </c>
      <c r="H21" s="434">
        <f>IF('Kit report'!F23&lt;0,"0",'Kit report'!F23)</f>
        <v>215.99999999991269</v>
      </c>
      <c r="I21" s="434">
        <f>IF('Kit report'!X23&lt;0,"0",'Kit report'!X23)</f>
        <v>379.99999999992724</v>
      </c>
      <c r="J21" s="434">
        <f>IF('Utility summery'!H25&lt;0,"0",'Utility summery'!H25)</f>
        <v>73</v>
      </c>
      <c r="K21" s="435">
        <f>IF('UTILITY REPORT 1'!H22&lt;0,"0",'UTILITY REPORT 1'!H22)</f>
        <v>157</v>
      </c>
      <c r="L21" s="434">
        <f>'Water-Meter'!K25</f>
        <v>2</v>
      </c>
      <c r="M21" s="435" t="str">
        <f>'Water-Meter'!H25</f>
        <v>0</v>
      </c>
      <c r="N21" s="435">
        <f>'Water-Meter'!Q25</f>
        <v>8</v>
      </c>
      <c r="O21" s="434" t="e">
        <f>K21*E21+H21*I21+#REF!*#REF!+J21*L21</f>
        <v>#REF!</v>
      </c>
      <c r="P21" s="440">
        <f>'Water-Meter'!E25</f>
        <v>65</v>
      </c>
      <c r="Q21" s="228">
        <f>IF('Water-Meter'!U25&lt;0,"0",'Water-Meter'!U25)</f>
        <v>80</v>
      </c>
      <c r="R21" s="228">
        <f>IF('Water-Meter'!X25&lt;0,"0",'Water-Meter'!X25)</f>
        <v>0</v>
      </c>
      <c r="S21" s="228">
        <f>IF('Water-Meter'!AA25&lt;0,"0",'Water-Meter'!AA25)</f>
        <v>36</v>
      </c>
      <c r="T21" s="228">
        <f>IF('Water-Meter'!AD25&lt;0,"0",'Water-Meter'!AD25)</f>
        <v>16</v>
      </c>
      <c r="U21" s="228">
        <f>IF('Water-Meter'!AG25&lt;0,"0",'Water-Meter'!AG25)</f>
        <v>0</v>
      </c>
      <c r="V21" s="228">
        <f>IF('Water-Meter'!AJ25&lt;0,"0",'Water-Meter'!AJ25)</f>
        <v>31</v>
      </c>
      <c r="W21" s="29">
        <f>'Water-Meter'!AN25</f>
        <v>163</v>
      </c>
      <c r="X21" s="451">
        <f>Total!K21</f>
        <v>0</v>
      </c>
    </row>
    <row r="22" spans="1:24">
      <c r="A22" s="436" t="s">
        <v>12</v>
      </c>
      <c r="B22" s="433">
        <f t="shared" si="0"/>
        <v>21</v>
      </c>
      <c r="C22" s="438">
        <v>6</v>
      </c>
      <c r="D22" s="439">
        <v>2021</v>
      </c>
      <c r="E22" s="434">
        <f>'UTILITY REPORT 1'!I23</f>
        <v>0</v>
      </c>
      <c r="F22" s="434">
        <f>'UTILITY REPORT 1'!E23</f>
        <v>0</v>
      </c>
      <c r="G22" s="435">
        <f>'UTILITY REPORT 1'!F23</f>
        <v>0</v>
      </c>
      <c r="H22" s="434" t="str">
        <f>IF('Kit report'!F24&lt;0,"0",'Kit report'!F24)</f>
        <v>0</v>
      </c>
      <c r="I22" s="434" t="str">
        <f>IF('Kit report'!X24&lt;0,"0",'Kit report'!X24)</f>
        <v>0</v>
      </c>
      <c r="J22" s="434" t="str">
        <f>IF('Utility summery'!H26&lt;0,"0",'Utility summery'!H26)</f>
        <v>0</v>
      </c>
      <c r="K22" s="435" t="str">
        <f>IF('UTILITY REPORT 1'!H23&lt;0,"0",'UTILITY REPORT 1'!H23)</f>
        <v>0</v>
      </c>
      <c r="L22" s="434" t="str">
        <f>'Water-Meter'!K26</f>
        <v>0</v>
      </c>
      <c r="M22" s="435" t="str">
        <f>'Water-Meter'!H26</f>
        <v>0</v>
      </c>
      <c r="N22" s="435" t="str">
        <f>'Water-Meter'!Q26</f>
        <v>0</v>
      </c>
      <c r="O22" s="434" t="e">
        <f>K22*E22+H22*I22+#REF!*#REF!+J22*L22</f>
        <v>#REF!</v>
      </c>
      <c r="P22" s="440" t="str">
        <f>'Water-Meter'!E26</f>
        <v>0</v>
      </c>
      <c r="Q22" s="228" t="str">
        <f>IF('Water-Meter'!U26&lt;0,"0",'Water-Meter'!U26)</f>
        <v>0</v>
      </c>
      <c r="R22" s="228" t="str">
        <f>IF('Water-Meter'!X26&lt;0,"0",'Water-Meter'!X26)</f>
        <v>0</v>
      </c>
      <c r="S22" s="228" t="str">
        <f>IF('Water-Meter'!AA26&lt;0,"0",'Water-Meter'!AA26)</f>
        <v>0</v>
      </c>
      <c r="T22" s="228" t="str">
        <f>IF('Water-Meter'!AD26&lt;0,"0",'Water-Meter'!AD26)</f>
        <v>0</v>
      </c>
      <c r="U22" s="228" t="str">
        <f>IF('Water-Meter'!AG26&lt;0,"0",'Water-Meter'!AG26)</f>
        <v>0</v>
      </c>
      <c r="V22" s="228" t="str">
        <f>IF('Water-Meter'!AJ26&lt;0,"0",'Water-Meter'!AJ26)</f>
        <v>0</v>
      </c>
      <c r="W22" s="29">
        <f>'Water-Meter'!AN26</f>
        <v>0</v>
      </c>
      <c r="X22" s="451">
        <f>Total!K22</f>
        <v>0</v>
      </c>
    </row>
    <row r="23" spans="1:24">
      <c r="A23" s="436" t="s">
        <v>12</v>
      </c>
      <c r="B23" s="433">
        <f t="shared" si="0"/>
        <v>22</v>
      </c>
      <c r="C23" s="438">
        <v>6</v>
      </c>
      <c r="D23" s="439">
        <v>2021</v>
      </c>
      <c r="E23" s="434">
        <f>'UTILITY REPORT 1'!I24</f>
        <v>0</v>
      </c>
      <c r="F23" s="434">
        <f>'UTILITY REPORT 1'!E24</f>
        <v>0</v>
      </c>
      <c r="G23" s="435">
        <f>'UTILITY REPORT 1'!F24</f>
        <v>0</v>
      </c>
      <c r="H23" s="434">
        <f>IF('Kit report'!F25&lt;0,"0",'Kit report'!F25)</f>
        <v>0</v>
      </c>
      <c r="I23" s="434">
        <f>IF('Kit report'!X25&lt;0,"0",'Kit report'!X25)</f>
        <v>0</v>
      </c>
      <c r="J23" s="434">
        <f>IF('Utility summery'!H27&lt;0,"0",'Utility summery'!H27)</f>
        <v>0</v>
      </c>
      <c r="K23" s="435">
        <f>IF('UTILITY REPORT 1'!H24&lt;0,"0",'UTILITY REPORT 1'!H24)</f>
        <v>0</v>
      </c>
      <c r="L23" s="434">
        <f>'Water-Meter'!K27</f>
        <v>0</v>
      </c>
      <c r="M23" s="435">
        <f>'Water-Meter'!H27</f>
        <v>0</v>
      </c>
      <c r="N23" s="435">
        <f>'Water-Meter'!Q27</f>
        <v>0</v>
      </c>
      <c r="O23" s="434" t="e">
        <f>K23*E23+H23*I23+#REF!*#REF!+J23*L23</f>
        <v>#REF!</v>
      </c>
      <c r="P23" s="440">
        <f>'Water-Meter'!E27</f>
        <v>0</v>
      </c>
      <c r="Q23" s="228">
        <f>IF('Water-Meter'!U27&lt;0,"0",'Water-Meter'!U27)</f>
        <v>0</v>
      </c>
      <c r="R23" s="228">
        <f>IF('Water-Meter'!X27&lt;0,"0",'Water-Meter'!X27)</f>
        <v>0</v>
      </c>
      <c r="S23" s="228">
        <f>IF('Water-Meter'!AA27&lt;0,"0",'Water-Meter'!AA27)</f>
        <v>0</v>
      </c>
      <c r="T23" s="228">
        <f>IF('Water-Meter'!AD27&lt;0,"0",'Water-Meter'!AD27)</f>
        <v>0</v>
      </c>
      <c r="U23" s="228">
        <f>IF('Water-Meter'!AG27&lt;0,"0",'Water-Meter'!AG27)</f>
        <v>0</v>
      </c>
      <c r="V23" s="228" t="e">
        <f>IF('Water-Meter'!AJ27&lt;0,"0",'Water-Meter'!AJ27)</f>
        <v>#VALUE!</v>
      </c>
      <c r="W23" s="29" t="e">
        <f>'Water-Meter'!AN27</f>
        <v>#VALUE!</v>
      </c>
      <c r="X23" s="451">
        <f>Total!K23</f>
        <v>0</v>
      </c>
    </row>
    <row r="24" spans="1:24">
      <c r="A24" s="436" t="s">
        <v>12</v>
      </c>
      <c r="B24" s="433">
        <f t="shared" si="0"/>
        <v>23</v>
      </c>
      <c r="C24" s="438">
        <v>6</v>
      </c>
      <c r="D24" s="439">
        <v>2021</v>
      </c>
      <c r="E24" s="434">
        <f>'UTILITY REPORT 1'!I25</f>
        <v>0</v>
      </c>
      <c r="F24" s="434">
        <f>'UTILITY REPORT 1'!E25</f>
        <v>0</v>
      </c>
      <c r="G24" s="435">
        <f>'UTILITY REPORT 1'!F25</f>
        <v>0</v>
      </c>
      <c r="H24" s="434">
        <f>IF('Kit report'!F26&lt;0,"0",'Kit report'!F26)</f>
        <v>0</v>
      </c>
      <c r="I24" s="434">
        <f>IF('Kit report'!X26&lt;0,"0",'Kit report'!X26)</f>
        <v>0</v>
      </c>
      <c r="J24" s="434">
        <f>IF('Utility summery'!H28&lt;0,"0",'Utility summery'!H28)</f>
        <v>0</v>
      </c>
      <c r="K24" s="435">
        <f>IF('UTILITY REPORT 1'!H25&lt;0,"0",'UTILITY REPORT 1'!H25)</f>
        <v>0</v>
      </c>
      <c r="L24" s="434">
        <f>'Water-Meter'!K28</f>
        <v>0</v>
      </c>
      <c r="M24" s="435">
        <f>'Water-Meter'!H28</f>
        <v>0</v>
      </c>
      <c r="N24" s="435">
        <f>'Water-Meter'!Q28</f>
        <v>0</v>
      </c>
      <c r="O24" s="434" t="e">
        <f>K24*E24+H24*I24+#REF!*#REF!+J24*L24</f>
        <v>#REF!</v>
      </c>
      <c r="P24" s="440">
        <f>'Water-Meter'!E28</f>
        <v>0</v>
      </c>
      <c r="Q24" s="228">
        <f>IF('Water-Meter'!U28&lt;0,"0",'Water-Meter'!U28)</f>
        <v>0</v>
      </c>
      <c r="R24" s="228">
        <f>IF('Water-Meter'!X28&lt;0,"0",'Water-Meter'!X28)</f>
        <v>0</v>
      </c>
      <c r="S24" s="228">
        <f>IF('Water-Meter'!AA28&lt;0,"0",'Water-Meter'!AA28)</f>
        <v>0</v>
      </c>
      <c r="T24" s="228">
        <f>IF('Water-Meter'!AD28&lt;0,"0",'Water-Meter'!AD28)</f>
        <v>0</v>
      </c>
      <c r="U24" s="228">
        <f>IF('Water-Meter'!AG28&lt;0,"0",'Water-Meter'!AG28)</f>
        <v>0</v>
      </c>
      <c r="V24" s="228" t="e">
        <f>IF('Water-Meter'!AJ28&lt;0,"0",'Water-Meter'!AJ28)</f>
        <v>#VALUE!</v>
      </c>
      <c r="W24" s="29" t="e">
        <f>'Water-Meter'!AN28</f>
        <v>#VALUE!</v>
      </c>
      <c r="X24" s="451">
        <f>Total!K24</f>
        <v>0</v>
      </c>
    </row>
    <row r="25" spans="1:24">
      <c r="A25" s="436" t="s">
        <v>12</v>
      </c>
      <c r="B25" s="433">
        <f t="shared" si="0"/>
        <v>24</v>
      </c>
      <c r="C25" s="438">
        <v>6</v>
      </c>
      <c r="D25" s="439">
        <v>2021</v>
      </c>
      <c r="E25" s="434">
        <f>'UTILITY REPORT 1'!I26</f>
        <v>0</v>
      </c>
      <c r="F25" s="434">
        <f>'UTILITY REPORT 1'!E26</f>
        <v>0</v>
      </c>
      <c r="G25" s="435">
        <f>'UTILITY REPORT 1'!F26</f>
        <v>0</v>
      </c>
      <c r="H25" s="434">
        <f>IF('Kit report'!F27&lt;0,"0",'Kit report'!F27)</f>
        <v>0</v>
      </c>
      <c r="I25" s="434">
        <f>IF('Kit report'!X27&lt;0,"0",'Kit report'!X27)</f>
        <v>0</v>
      </c>
      <c r="J25" s="434">
        <f>IF('Utility summery'!H29&lt;0,"0",'Utility summery'!H29)</f>
        <v>0</v>
      </c>
      <c r="K25" s="435">
        <f>IF('UTILITY REPORT 1'!H26&lt;0,"0",'UTILITY REPORT 1'!H26)</f>
        <v>0</v>
      </c>
      <c r="L25" s="434">
        <f>'Water-Meter'!K29</f>
        <v>0</v>
      </c>
      <c r="M25" s="435">
        <f>'Water-Meter'!H29</f>
        <v>0</v>
      </c>
      <c r="N25" s="435">
        <f>'Water-Meter'!Q29</f>
        <v>0</v>
      </c>
      <c r="O25" s="434" t="e">
        <f>K25*E25+H25*I25+#REF!*#REF!+J25*L25</f>
        <v>#REF!</v>
      </c>
      <c r="P25" s="440">
        <f>'Water-Meter'!E29</f>
        <v>0</v>
      </c>
      <c r="Q25" s="228">
        <f>IF('Water-Meter'!U29&lt;0,"0",'Water-Meter'!U29)</f>
        <v>0</v>
      </c>
      <c r="R25" s="228">
        <f>IF('Water-Meter'!X29&lt;0,"0",'Water-Meter'!X29)</f>
        <v>0</v>
      </c>
      <c r="S25" s="228">
        <f>IF('Water-Meter'!AA29&lt;0,"0",'Water-Meter'!AA29)</f>
        <v>0</v>
      </c>
      <c r="T25" s="228">
        <f>IF('Water-Meter'!AD29&lt;0,"0",'Water-Meter'!AD29)</f>
        <v>0</v>
      </c>
      <c r="U25" s="228">
        <f>IF('Water-Meter'!AG29&lt;0,"0",'Water-Meter'!AG29)</f>
        <v>0</v>
      </c>
      <c r="V25" s="228">
        <f>IF('Water-Meter'!AJ29&lt;0,"0",'Water-Meter'!AJ29)</f>
        <v>0</v>
      </c>
      <c r="W25" s="29">
        <f>'Water-Meter'!AN29</f>
        <v>0</v>
      </c>
      <c r="X25" s="451">
        <f>Total!K25</f>
        <v>0</v>
      </c>
    </row>
    <row r="26" spans="1:24">
      <c r="A26" s="436" t="s">
        <v>12</v>
      </c>
      <c r="B26" s="433">
        <f>B25+1</f>
        <v>25</v>
      </c>
      <c r="C26" s="438">
        <v>6</v>
      </c>
      <c r="D26" s="439">
        <v>2021</v>
      </c>
      <c r="E26" s="434">
        <f>'UTILITY REPORT 1'!I27</f>
        <v>0</v>
      </c>
      <c r="F26" s="434">
        <f>'UTILITY REPORT 1'!E27</f>
        <v>0</v>
      </c>
      <c r="G26" s="435">
        <f>'UTILITY REPORT 1'!F27</f>
        <v>0</v>
      </c>
      <c r="H26" s="434">
        <f>IF('Kit report'!F28&lt;0,"0",'Kit report'!F28)</f>
        <v>0</v>
      </c>
      <c r="I26" s="434">
        <f>IF('Kit report'!X28&lt;0,"0",'Kit report'!X28)</f>
        <v>0</v>
      </c>
      <c r="J26" s="434">
        <f>IF('Utility summery'!H30&lt;0,"0",'Utility summery'!H30)</f>
        <v>0</v>
      </c>
      <c r="K26" s="435">
        <f>IF('UTILITY REPORT 1'!H27&lt;0,"0",'UTILITY REPORT 1'!H27)</f>
        <v>0</v>
      </c>
      <c r="L26" s="434">
        <f>'Water-Meter'!K30</f>
        <v>0</v>
      </c>
      <c r="M26" s="435">
        <f>'Water-Meter'!H30</f>
        <v>0</v>
      </c>
      <c r="N26" s="435">
        <f>'Water-Meter'!Q30</f>
        <v>0</v>
      </c>
      <c r="O26" s="434" t="e">
        <f>K26*E26+H26*I26+#REF!*#REF!+J26*L26</f>
        <v>#REF!</v>
      </c>
      <c r="P26" s="440">
        <f>'Water-Meter'!E30</f>
        <v>0</v>
      </c>
      <c r="Q26" s="228">
        <f>IF('Water-Meter'!U30&lt;0,"0",'Water-Meter'!U30)</f>
        <v>0</v>
      </c>
      <c r="R26" s="228">
        <f>IF('Water-Meter'!X30&lt;0,"0",'Water-Meter'!X30)</f>
        <v>0</v>
      </c>
      <c r="S26" s="228">
        <f>IF('Water-Meter'!AA30&lt;0,"0",'Water-Meter'!AA30)</f>
        <v>0</v>
      </c>
      <c r="T26" s="228">
        <f>IF('Water-Meter'!AD30&lt;0,"0",'Water-Meter'!AD30)</f>
        <v>0</v>
      </c>
      <c r="U26" s="228">
        <f>IF('Water-Meter'!AG30&lt;0,"0",'Water-Meter'!AG30)</f>
        <v>0</v>
      </c>
      <c r="V26" s="228">
        <f>IF('Water-Meter'!AJ30&lt;0,"0",'Water-Meter'!AJ30)</f>
        <v>0</v>
      </c>
      <c r="W26" s="29">
        <f>'Water-Meter'!AN30</f>
        <v>0</v>
      </c>
      <c r="X26" s="451">
        <f>Total!K26</f>
        <v>0</v>
      </c>
    </row>
    <row r="27" spans="1:24">
      <c r="A27" s="436" t="s">
        <v>12</v>
      </c>
      <c r="B27" s="433">
        <f t="shared" si="0"/>
        <v>26</v>
      </c>
      <c r="C27" s="438">
        <v>6</v>
      </c>
      <c r="D27" s="439">
        <v>2021</v>
      </c>
      <c r="E27" s="434">
        <f>'UTILITY REPORT 1'!I28</f>
        <v>0</v>
      </c>
      <c r="F27" s="434">
        <f>'UTILITY REPORT 1'!E28</f>
        <v>0</v>
      </c>
      <c r="G27" s="435">
        <f>'UTILITY REPORT 1'!F28</f>
        <v>0</v>
      </c>
      <c r="H27" s="434">
        <f>IF('Kit report'!F29&lt;0,"0",'Kit report'!F29)</f>
        <v>0</v>
      </c>
      <c r="I27" s="434">
        <f>IF('Kit report'!X29&lt;0,"0",'Kit report'!X29)</f>
        <v>0</v>
      </c>
      <c r="J27" s="434">
        <f>IF('Utility summery'!H31&lt;0,"0",'Utility summery'!H31)</f>
        <v>0</v>
      </c>
      <c r="K27" s="435">
        <f>IF('UTILITY REPORT 1'!H28&lt;0,"0",'UTILITY REPORT 1'!H28)</f>
        <v>0</v>
      </c>
      <c r="L27" s="434">
        <f>'Water-Meter'!K31</f>
        <v>0</v>
      </c>
      <c r="M27" s="435">
        <f>'Water-Meter'!H31</f>
        <v>0</v>
      </c>
      <c r="N27" s="435">
        <f>'Water-Meter'!Q31</f>
        <v>0</v>
      </c>
      <c r="O27" s="434" t="e">
        <f>K27*E27+H27*I27+#REF!*#REF!+J27*L27</f>
        <v>#REF!</v>
      </c>
      <c r="P27" s="440">
        <f>'Water-Meter'!E31</f>
        <v>0</v>
      </c>
      <c r="Q27" s="228">
        <f>IF('Water-Meter'!U31&lt;0,"0",'Water-Meter'!U31)</f>
        <v>0</v>
      </c>
      <c r="R27" s="228">
        <f>IF('Water-Meter'!X31&lt;0,"0",'Water-Meter'!X31)</f>
        <v>0</v>
      </c>
      <c r="S27" s="228">
        <f>IF('Water-Meter'!AA31&lt;0,"0",'Water-Meter'!AA31)</f>
        <v>0</v>
      </c>
      <c r="T27" s="228">
        <f>IF('Water-Meter'!AD31&lt;0,"0",'Water-Meter'!AD31)</f>
        <v>0</v>
      </c>
      <c r="U27" s="228">
        <f>IF('Water-Meter'!AG31&lt;0,"0",'Water-Meter'!AG31)</f>
        <v>0</v>
      </c>
      <c r="V27" s="228">
        <f>IF('Water-Meter'!AJ31&lt;0,"0",'Water-Meter'!AJ31)</f>
        <v>0</v>
      </c>
      <c r="W27" s="29">
        <f>'Water-Meter'!AN31</f>
        <v>0</v>
      </c>
      <c r="X27" s="451">
        <f>Total!K27</f>
        <v>0</v>
      </c>
    </row>
    <row r="28" spans="1:24">
      <c r="A28" s="436" t="s">
        <v>12</v>
      </c>
      <c r="B28" s="433">
        <f t="shared" si="0"/>
        <v>27</v>
      </c>
      <c r="C28" s="438">
        <v>6</v>
      </c>
      <c r="D28" s="439">
        <v>2021</v>
      </c>
      <c r="E28" s="434">
        <f>'UTILITY REPORT 1'!I29</f>
        <v>0</v>
      </c>
      <c r="F28" s="434">
        <f>'UTILITY REPORT 1'!E29</f>
        <v>0</v>
      </c>
      <c r="G28" s="435">
        <f>'UTILITY REPORT 1'!F29</f>
        <v>0</v>
      </c>
      <c r="H28" s="434">
        <f>IF('Kit report'!F30&lt;0,"0",'Kit report'!F30)</f>
        <v>0</v>
      </c>
      <c r="I28" s="434">
        <f>IF('Kit report'!X30&lt;0,"0",'Kit report'!X30)</f>
        <v>0</v>
      </c>
      <c r="J28" s="434">
        <f>IF('Utility summery'!H32&lt;0,"0",'Utility summery'!H32)</f>
        <v>0</v>
      </c>
      <c r="K28" s="435">
        <f>IF('UTILITY REPORT 1'!H29&lt;0,"0",'UTILITY REPORT 1'!H29)</f>
        <v>0</v>
      </c>
      <c r="L28" s="434">
        <f>'Water-Meter'!K32</f>
        <v>0</v>
      </c>
      <c r="M28" s="435">
        <f>'Water-Meter'!H32</f>
        <v>0</v>
      </c>
      <c r="N28" s="435">
        <f>'Water-Meter'!Q32</f>
        <v>0</v>
      </c>
      <c r="O28" s="434" t="e">
        <f>K28*E28+H28*I28+#REF!*#REF!+J28*L28</f>
        <v>#REF!</v>
      </c>
      <c r="P28" s="440">
        <f>'Water-Meter'!E32</f>
        <v>0</v>
      </c>
      <c r="Q28" s="228">
        <f>IF('Water-Meter'!U32&lt;0,"0",'Water-Meter'!U32)</f>
        <v>0</v>
      </c>
      <c r="R28" s="228">
        <f>IF('Water-Meter'!X32&lt;0,"0",'Water-Meter'!X32)</f>
        <v>0</v>
      </c>
      <c r="S28" s="228">
        <f>IF('Water-Meter'!AA32&lt;0,"0",'Water-Meter'!AA32)</f>
        <v>0</v>
      </c>
      <c r="T28" s="228">
        <f>IF('Water-Meter'!AD32&lt;0,"0",'Water-Meter'!AD32)</f>
        <v>0</v>
      </c>
      <c r="U28" s="228">
        <f>IF('Water-Meter'!AG32&lt;0,"0",'Water-Meter'!AG32)</f>
        <v>0</v>
      </c>
      <c r="V28" s="228">
        <f>IF('Water-Meter'!AJ32&lt;0,"0",'Water-Meter'!AJ32)</f>
        <v>0</v>
      </c>
      <c r="W28" s="29">
        <f>'Water-Meter'!AN32</f>
        <v>0</v>
      </c>
      <c r="X28" s="451">
        <f>Total!K28</f>
        <v>0</v>
      </c>
    </row>
    <row r="29" spans="1:24">
      <c r="A29" s="436" t="s">
        <v>12</v>
      </c>
      <c r="B29" s="433">
        <f t="shared" si="0"/>
        <v>28</v>
      </c>
      <c r="C29" s="438">
        <v>6</v>
      </c>
      <c r="D29" s="439">
        <v>2021</v>
      </c>
      <c r="E29" s="434">
        <f>'UTILITY REPORT 1'!I30</f>
        <v>0</v>
      </c>
      <c r="F29" s="434">
        <f>'UTILITY REPORT 1'!E30</f>
        <v>0</v>
      </c>
      <c r="G29" s="435">
        <f>'UTILITY REPORT 1'!F30</f>
        <v>0</v>
      </c>
      <c r="H29" s="434">
        <f>IF('Kit report'!F31&lt;0,"0",'Kit report'!F31)</f>
        <v>0</v>
      </c>
      <c r="I29" s="434">
        <f>IF('Kit report'!X31&lt;0,"0",'Kit report'!X31)</f>
        <v>0</v>
      </c>
      <c r="J29" s="434">
        <f>IF('Utility summery'!H33&lt;0,"0",'Utility summery'!H33)</f>
        <v>0</v>
      </c>
      <c r="K29" s="435">
        <f>IF('UTILITY REPORT 1'!H30&lt;0,"0",'UTILITY REPORT 1'!H30)</f>
        <v>0</v>
      </c>
      <c r="L29" s="434">
        <f>'Water-Meter'!K33</f>
        <v>0</v>
      </c>
      <c r="M29" s="435">
        <f>'Water-Meter'!H33</f>
        <v>0</v>
      </c>
      <c r="N29" s="435">
        <f>'Water-Meter'!Q33</f>
        <v>0</v>
      </c>
      <c r="O29" s="434" t="e">
        <f>K29*E29+H29*I29+#REF!*#REF!+J29*L29</f>
        <v>#REF!</v>
      </c>
      <c r="P29" s="440">
        <f>'Water-Meter'!E33</f>
        <v>0</v>
      </c>
      <c r="Q29" s="228">
        <f>IF('Water-Meter'!U33&lt;0,"0",'Water-Meter'!U33)</f>
        <v>0</v>
      </c>
      <c r="R29" s="228">
        <f>IF('Water-Meter'!X33&lt;0,"0",'Water-Meter'!X33)</f>
        <v>0</v>
      </c>
      <c r="S29" s="228">
        <f>IF('Water-Meter'!AA33&lt;0,"0",'Water-Meter'!AA33)</f>
        <v>0</v>
      </c>
      <c r="T29" s="228">
        <f>IF('Water-Meter'!AD33&lt;0,"0",'Water-Meter'!AD33)</f>
        <v>0</v>
      </c>
      <c r="U29" s="228">
        <f>IF('Water-Meter'!AG33&lt;0,"0",'Water-Meter'!AG33)</f>
        <v>0</v>
      </c>
      <c r="V29" s="228">
        <f>IF('Water-Meter'!AJ33&lt;0,"0",'Water-Meter'!AJ33)</f>
        <v>0</v>
      </c>
      <c r="W29" s="29">
        <f>'Water-Meter'!AN33</f>
        <v>0</v>
      </c>
      <c r="X29" s="451">
        <f>Total!K29</f>
        <v>0</v>
      </c>
    </row>
    <row r="30" spans="1:24">
      <c r="A30" s="436" t="s">
        <v>12</v>
      </c>
      <c r="B30" s="433">
        <f t="shared" si="0"/>
        <v>29</v>
      </c>
      <c r="C30" s="438">
        <v>6</v>
      </c>
      <c r="D30" s="439">
        <v>2021</v>
      </c>
      <c r="E30" s="434">
        <f>'UTILITY REPORT 1'!I31</f>
        <v>0</v>
      </c>
      <c r="F30" s="434">
        <f>'UTILITY REPORT 1'!E31</f>
        <v>0</v>
      </c>
      <c r="G30" s="435">
        <f>'UTILITY REPORT 1'!F31</f>
        <v>0</v>
      </c>
      <c r="H30" s="434">
        <f>IF('Kit report'!F32&lt;0,"0",'Kit report'!F32)</f>
        <v>0</v>
      </c>
      <c r="I30" s="434">
        <f>IF('Kit report'!X32&lt;0,"0",'Kit report'!X32)</f>
        <v>0</v>
      </c>
      <c r="J30" s="434">
        <f>IF('Utility summery'!H34&lt;0,"0",'Utility summery'!H34)</f>
        <v>0</v>
      </c>
      <c r="K30" s="435">
        <f>IF('UTILITY REPORT 1'!H31&lt;0,"0",'UTILITY REPORT 1'!H31)</f>
        <v>0</v>
      </c>
      <c r="L30" s="434">
        <f>'Water-Meter'!K34</f>
        <v>0</v>
      </c>
      <c r="M30" s="435">
        <f>'Water-Meter'!H34</f>
        <v>0</v>
      </c>
      <c r="N30" s="435">
        <f>'Water-Meter'!Q34</f>
        <v>0</v>
      </c>
      <c r="O30" s="434" t="e">
        <f>K30*E30+H30*I30+#REF!*#REF!+J30*L30</f>
        <v>#REF!</v>
      </c>
      <c r="P30" s="440">
        <f>'Water-Meter'!E34</f>
        <v>0</v>
      </c>
      <c r="Q30" s="228">
        <f>IF('Water-Meter'!U34&lt;0,"0",'Water-Meter'!U34)</f>
        <v>0</v>
      </c>
      <c r="R30" s="228">
        <f>IF('Water-Meter'!X34&lt;0,"0",'Water-Meter'!X34)</f>
        <v>0</v>
      </c>
      <c r="S30" s="228">
        <f>IF('Water-Meter'!AA34&lt;0,"0",'Water-Meter'!AA34)</f>
        <v>0</v>
      </c>
      <c r="T30" s="228">
        <f>IF('Water-Meter'!AD34&lt;0,"0",'Water-Meter'!AD34)</f>
        <v>0</v>
      </c>
      <c r="U30" s="228">
        <f>IF('Water-Meter'!AG34&lt;0,"0",'Water-Meter'!AG34)</f>
        <v>0</v>
      </c>
      <c r="V30" s="228">
        <f>IF('Water-Meter'!AJ34&lt;0,"0",'Water-Meter'!AJ34)</f>
        <v>0</v>
      </c>
      <c r="W30" s="29">
        <f>'Water-Meter'!AN34</f>
        <v>0</v>
      </c>
      <c r="X30" s="451">
        <f>Total!K30</f>
        <v>0</v>
      </c>
    </row>
    <row r="31" spans="1:24">
      <c r="A31" s="436" t="s">
        <v>12</v>
      </c>
      <c r="B31" s="433">
        <v>30</v>
      </c>
      <c r="C31" s="438">
        <v>6</v>
      </c>
      <c r="D31" s="439">
        <v>2021</v>
      </c>
      <c r="E31" s="434">
        <f>'UTILITY REPORT 1'!I32</f>
        <v>0</v>
      </c>
      <c r="F31" s="434">
        <f>'UTILITY REPORT 1'!E32</f>
        <v>0</v>
      </c>
      <c r="G31" s="435">
        <f>'UTILITY REPORT 1'!F32</f>
        <v>0</v>
      </c>
      <c r="H31" s="434">
        <f>IF('Kit report'!F33&lt;0,"0",'Kit report'!F33)</f>
        <v>0</v>
      </c>
      <c r="I31" s="434">
        <f>IF('Kit report'!X33&lt;0,"0",'Kit report'!X33)</f>
        <v>0</v>
      </c>
      <c r="J31" s="434">
        <f>IF('Utility summery'!H35&lt;0,"0",'Utility summery'!H35)</f>
        <v>0</v>
      </c>
      <c r="K31" s="435">
        <f>IF('UTILITY REPORT 1'!H32&lt;0,"0",'UTILITY REPORT 1'!H32)</f>
        <v>0</v>
      </c>
      <c r="L31" s="434">
        <f>'Water-Meter'!K35</f>
        <v>0</v>
      </c>
      <c r="M31" s="435">
        <f>'Water-Meter'!H35</f>
        <v>0</v>
      </c>
      <c r="N31" s="435">
        <f>'Water-Meter'!Q35</f>
        <v>0</v>
      </c>
      <c r="O31" s="434" t="e">
        <f>K31*E31+H31*I31+#REF!*#REF!+J31*L31</f>
        <v>#REF!</v>
      </c>
      <c r="P31" s="440">
        <f>'Water-Meter'!E35</f>
        <v>0</v>
      </c>
      <c r="Q31" s="228">
        <f>IF('Water-Meter'!U35&lt;0,"0",'Water-Meter'!U35)</f>
        <v>0</v>
      </c>
      <c r="R31" s="228">
        <f>IF('Water-Meter'!X35&lt;0,"0",'Water-Meter'!X35)</f>
        <v>0</v>
      </c>
      <c r="S31" s="228">
        <f>IF('Water-Meter'!AA35&lt;0,"0",'Water-Meter'!AA35)</f>
        <v>0</v>
      </c>
      <c r="T31" s="228">
        <f>IF('Water-Meter'!AD35&lt;0,"0",'Water-Meter'!AD35)</f>
        <v>0</v>
      </c>
      <c r="U31" s="228">
        <f>IF('Water-Meter'!AG35&lt;0,"0",'Water-Meter'!AG35)</f>
        <v>0</v>
      </c>
      <c r="V31" s="228">
        <f>IF('Water-Meter'!AJ35&lt;0,"0",'Water-Meter'!AJ35)</f>
        <v>0</v>
      </c>
      <c r="W31" s="29">
        <f>'Water-Meter'!AN35</f>
        <v>0</v>
      </c>
      <c r="X31" s="451">
        <f>Total!K31</f>
        <v>0</v>
      </c>
    </row>
    <row r="32" spans="1:24">
      <c r="A32" s="436" t="s">
        <v>12</v>
      </c>
      <c r="B32" s="433">
        <v>31</v>
      </c>
      <c r="C32" s="438">
        <v>6</v>
      </c>
      <c r="D32" s="439">
        <v>2021</v>
      </c>
      <c r="E32" s="434">
        <f>'UTILITY REPORT 1'!I33</f>
        <v>0</v>
      </c>
      <c r="F32" s="434">
        <f>'UTILITY REPORT 1'!E33</f>
        <v>0</v>
      </c>
      <c r="G32" s="435">
        <f>'UTILITY REPORT 1'!F33</f>
        <v>0</v>
      </c>
      <c r="H32" s="434">
        <f>IF('Kit report'!F34&lt;0,"0",'Kit report'!F34)</f>
        <v>0</v>
      </c>
      <c r="I32" s="434">
        <f>IF('Kit report'!X34&lt;0,"0",'Kit report'!X34)</f>
        <v>0</v>
      </c>
      <c r="J32" s="434">
        <f>IF('Utility summery'!H36&lt;0,"0",'Utility summery'!H36)</f>
        <v>0</v>
      </c>
      <c r="K32" s="435">
        <f>IF('UTILITY REPORT 1'!H33&lt;0,"0",'UTILITY REPORT 1'!H33)</f>
        <v>0</v>
      </c>
      <c r="L32" s="434">
        <f>'Water-Meter'!K36</f>
        <v>0</v>
      </c>
      <c r="M32" s="435">
        <f>'Water-Meter'!H36</f>
        <v>0</v>
      </c>
      <c r="N32" s="435">
        <f>'Water-Meter'!Q36</f>
        <v>0</v>
      </c>
      <c r="O32" s="228"/>
      <c r="P32" s="440">
        <f>'Water-Meter'!E36</f>
        <v>0</v>
      </c>
      <c r="Q32" s="228">
        <f>IF('Water-Meter'!U36&lt;0,"0",'Water-Meter'!U36)</f>
        <v>0</v>
      </c>
      <c r="R32" s="228">
        <f>IF('Water-Meter'!X36&lt;0,"0",'Water-Meter'!X36)</f>
        <v>0</v>
      </c>
      <c r="S32" s="228">
        <f>IF('Water-Meter'!AA36&lt;0,"0",'Water-Meter'!AA36)</f>
        <v>0</v>
      </c>
      <c r="T32" s="228">
        <f>IF('Water-Meter'!AD36&lt;0,"0",'Water-Meter'!AD36)</f>
        <v>0</v>
      </c>
      <c r="U32" s="228">
        <f>IF('Water-Meter'!AG36&lt;0,"0",'Water-Meter'!AG36)</f>
        <v>0</v>
      </c>
      <c r="V32" s="228">
        <f>IF('Water-Meter'!AJ36&lt;0,"0",'Water-Meter'!AJ36)</f>
        <v>0</v>
      </c>
      <c r="W32" s="29">
        <f>'Water-Meter'!AN36</f>
        <v>0</v>
      </c>
      <c r="X32" s="451">
        <f>Total!K32</f>
        <v>0</v>
      </c>
    </row>
    <row r="33" spans="5:12">
      <c r="E33" s="400"/>
      <c r="F33" s="400"/>
      <c r="H33" s="400"/>
      <c r="I33" s="400"/>
      <c r="J33" s="400"/>
      <c r="L33" s="400"/>
    </row>
    <row r="34" spans="5:12">
      <c r="E34" s="400"/>
      <c r="F34" s="400"/>
      <c r="H34" s="400"/>
      <c r="I34" s="400"/>
      <c r="J34" s="400"/>
      <c r="L34" s="400"/>
    </row>
    <row r="35" spans="5:12">
      <c r="E35" s="400"/>
      <c r="F35" s="400"/>
      <c r="H35" s="400"/>
      <c r="I35" s="400"/>
      <c r="J35" s="400"/>
      <c r="L35" s="400"/>
    </row>
    <row r="36" spans="5:12">
      <c r="E36" s="400"/>
      <c r="F36" s="400"/>
      <c r="H36" s="400"/>
      <c r="I36" s="400"/>
      <c r="J36" s="400"/>
      <c r="L36" s="400"/>
    </row>
    <row r="37" spans="5:12">
      <c r="E37" s="400"/>
      <c r="F37" s="400"/>
      <c r="H37" s="400"/>
      <c r="I37" s="400"/>
      <c r="J37" s="400"/>
      <c r="L37" s="400"/>
    </row>
    <row r="38" spans="5:12">
      <c r="E38" s="400"/>
      <c r="F38" s="400"/>
      <c r="H38" s="400"/>
      <c r="I38" s="400"/>
      <c r="J38" s="400"/>
      <c r="L38" s="40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24" t="s">
        <v>31</v>
      </c>
      <c r="B1" s="824"/>
      <c r="C1" s="824"/>
      <c r="D1" s="824"/>
      <c r="E1" s="824"/>
      <c r="F1" s="824"/>
      <c r="G1" s="824"/>
      <c r="H1" s="824"/>
    </row>
    <row r="2" spans="1:9" ht="48" customHeight="1" thickBot="1">
      <c r="A2" s="227" t="s">
        <v>32</v>
      </c>
      <c r="B2" s="126" t="s">
        <v>33</v>
      </c>
      <c r="C2" s="385" t="s">
        <v>34</v>
      </c>
      <c r="D2" s="270" t="s">
        <v>35</v>
      </c>
      <c r="E2" s="383" t="s">
        <v>36</v>
      </c>
      <c r="F2" s="270" t="s">
        <v>37</v>
      </c>
      <c r="G2" s="270" t="s">
        <v>38</v>
      </c>
      <c r="H2" s="385" t="s">
        <v>19</v>
      </c>
      <c r="I2" s="270" t="s">
        <v>39</v>
      </c>
    </row>
    <row r="3" spans="1:9" ht="13.5">
      <c r="A3" s="384">
        <f>Gen!A11</f>
        <v>44348</v>
      </c>
      <c r="B3" s="386">
        <f>Gen!B11</f>
        <v>0.2</v>
      </c>
      <c r="C3" s="387">
        <f>'Summery Report'!E5</f>
        <v>0</v>
      </c>
      <c r="D3" s="388">
        <v>1</v>
      </c>
      <c r="E3" s="387">
        <f>Gen!S11</f>
        <v>1164.5999999999999</v>
      </c>
      <c r="F3" s="387">
        <f>Gen!T11</f>
        <v>2783</v>
      </c>
      <c r="G3" s="387">
        <f>'Water-Meter'!E6</f>
        <v>88</v>
      </c>
      <c r="H3" s="387">
        <f>'Utility report '!AC6</f>
        <v>40</v>
      </c>
      <c r="I3" s="387">
        <f>Gen!AJ11</f>
        <v>21</v>
      </c>
    </row>
    <row r="4" spans="1:9" ht="13.5">
      <c r="A4" s="384">
        <f>Gen!A12</f>
        <v>44349</v>
      </c>
      <c r="B4" s="386">
        <f>Gen!B12</f>
        <v>0.12</v>
      </c>
      <c r="C4" s="387">
        <f>'Summery Report'!E6</f>
        <v>0</v>
      </c>
      <c r="D4" s="388">
        <v>1</v>
      </c>
      <c r="E4" s="387">
        <f>Gen!S12</f>
        <v>1661.6800000000003</v>
      </c>
      <c r="F4" s="387">
        <f>Gen!T12</f>
        <v>3815</v>
      </c>
      <c r="G4" s="387">
        <f>'Water-Meter'!E7</f>
        <v>78</v>
      </c>
      <c r="H4" s="387">
        <f>'Utility report '!AC7</f>
        <v>77</v>
      </c>
      <c r="I4" s="387">
        <f>Gen!AJ12</f>
        <v>70.680000000000007</v>
      </c>
    </row>
    <row r="5" spans="1:9" ht="13.5">
      <c r="A5" s="384">
        <f>Gen!A13</f>
        <v>44350</v>
      </c>
      <c r="B5" s="386">
        <f>Gen!B13</f>
        <v>0.12</v>
      </c>
      <c r="C5" s="387">
        <f>'Summery Report'!E7</f>
        <v>0</v>
      </c>
      <c r="D5" s="388">
        <v>1</v>
      </c>
      <c r="E5" s="387">
        <f>Gen!S13</f>
        <v>1378.78</v>
      </c>
      <c r="F5" s="387">
        <f>Gen!T13</f>
        <v>3366</v>
      </c>
      <c r="G5" s="387">
        <f>'Water-Meter'!E8</f>
        <v>71</v>
      </c>
      <c r="H5" s="387">
        <f>'Utility report '!AC8</f>
        <v>167</v>
      </c>
      <c r="I5" s="387">
        <f>Gen!AJ13</f>
        <v>266.02999999999997</v>
      </c>
    </row>
    <row r="6" spans="1:9" ht="13.5">
      <c r="A6" s="384">
        <f>Gen!A14</f>
        <v>44351</v>
      </c>
      <c r="B6" s="386">
        <f>Gen!B14</f>
        <v>0.17</v>
      </c>
      <c r="C6" s="387">
        <f>'Summery Report'!E8</f>
        <v>0</v>
      </c>
      <c r="D6" s="388">
        <v>1</v>
      </c>
      <c r="E6" s="387">
        <f>Gen!S14</f>
        <v>1383.46</v>
      </c>
      <c r="F6" s="387">
        <f>Gen!T14</f>
        <v>3459</v>
      </c>
      <c r="G6" s="387">
        <f>'Water-Meter'!E9</f>
        <v>83</v>
      </c>
      <c r="H6" s="387">
        <f>'Utility report '!AC9</f>
        <v>13</v>
      </c>
      <c r="I6" s="387">
        <f>Gen!AJ14</f>
        <v>122.77000000000001</v>
      </c>
    </row>
    <row r="7" spans="1:9" ht="13.5">
      <c r="A7" s="384">
        <f>Gen!A15</f>
        <v>44352</v>
      </c>
      <c r="B7" s="386">
        <f>Gen!B15</f>
        <v>0.2</v>
      </c>
      <c r="C7" s="387">
        <f>'Summery Report'!E9</f>
        <v>0</v>
      </c>
      <c r="D7" s="388">
        <v>1</v>
      </c>
      <c r="E7" s="387">
        <f>Gen!S15</f>
        <v>1470.04</v>
      </c>
      <c r="F7" s="387">
        <f>Gen!T15</f>
        <v>3463</v>
      </c>
      <c r="G7" s="387">
        <f>'Water-Meter'!E10</f>
        <v>79</v>
      </c>
      <c r="H7" s="387">
        <f>'Utility report '!AC10</f>
        <v>35</v>
      </c>
      <c r="I7" s="387">
        <f>Gen!AJ15</f>
        <v>79.11</v>
      </c>
    </row>
    <row r="8" spans="1:9" ht="13.5">
      <c r="A8" s="384">
        <f>Gen!A16</f>
        <v>44353</v>
      </c>
      <c r="B8" s="386">
        <f>Gen!B16</f>
        <v>0.2</v>
      </c>
      <c r="C8" s="387">
        <f>'Summery Report'!E10</f>
        <v>0</v>
      </c>
      <c r="D8" s="388">
        <v>1</v>
      </c>
      <c r="E8" s="387">
        <f>Gen!S16</f>
        <v>1338.96</v>
      </c>
      <c r="F8" s="387">
        <f>Gen!T16</f>
        <v>3313</v>
      </c>
      <c r="G8" s="387">
        <f>'Water-Meter'!E11</f>
        <v>89</v>
      </c>
      <c r="H8" s="387">
        <f>'Utility report '!AC11</f>
        <v>99</v>
      </c>
      <c r="I8" s="387">
        <f>Gen!AJ16</f>
        <v>183.75</v>
      </c>
    </row>
    <row r="9" spans="1:9" ht="13.5">
      <c r="A9" s="384">
        <f>Gen!A17</f>
        <v>44354</v>
      </c>
      <c r="B9" s="386">
        <f>Gen!B17</f>
        <v>0.18</v>
      </c>
      <c r="C9" s="387">
        <f>'Summery Report'!E11</f>
        <v>0</v>
      </c>
      <c r="D9" s="388">
        <v>1</v>
      </c>
      <c r="E9" s="387">
        <f>Gen!S17</f>
        <v>1368.2</v>
      </c>
      <c r="F9" s="387">
        <f>Gen!T17</f>
        <v>3517</v>
      </c>
      <c r="G9" s="387">
        <f>'Water-Meter'!E12</f>
        <v>70</v>
      </c>
      <c r="H9" s="387">
        <f>'Utility report '!AC12</f>
        <v>71</v>
      </c>
      <c r="I9" s="387">
        <f>Gen!AJ17</f>
        <v>104.57</v>
      </c>
    </row>
    <row r="10" spans="1:9" ht="13.5">
      <c r="A10" s="384">
        <f>Gen!A18</f>
        <v>44355</v>
      </c>
      <c r="B10" s="386">
        <f>Gen!B18</f>
        <v>0.21</v>
      </c>
      <c r="C10" s="387">
        <f>'Summery Report'!E12</f>
        <v>0</v>
      </c>
      <c r="D10" s="388">
        <v>1</v>
      </c>
      <c r="E10" s="387">
        <f>Gen!S18</f>
        <v>1347.61</v>
      </c>
      <c r="F10" s="387">
        <f>Gen!T18</f>
        <v>3378</v>
      </c>
      <c r="G10" s="387">
        <f>'Water-Meter'!E13</f>
        <v>70</v>
      </c>
      <c r="H10" s="387">
        <f>'Utility report '!AC13</f>
        <v>114</v>
      </c>
      <c r="I10" s="387">
        <f>Gen!AJ18</f>
        <v>0</v>
      </c>
    </row>
    <row r="11" spans="1:9" ht="13.5">
      <c r="A11" s="384">
        <f>Gen!A19</f>
        <v>44356</v>
      </c>
      <c r="B11" s="386">
        <f>Gen!B19</f>
        <v>0.17</v>
      </c>
      <c r="C11" s="387">
        <f>'Summery Report'!E13</f>
        <v>0</v>
      </c>
      <c r="D11" s="388">
        <v>1</v>
      </c>
      <c r="E11" s="387">
        <f>Gen!S19</f>
        <v>1263.55</v>
      </c>
      <c r="F11" s="387">
        <f>Gen!T19</f>
        <v>3163</v>
      </c>
      <c r="G11" s="387">
        <f>'Water-Meter'!E14</f>
        <v>64</v>
      </c>
      <c r="H11" s="387">
        <f>'Utility report '!AC14</f>
        <v>35</v>
      </c>
      <c r="I11" s="387">
        <f>Gen!AJ19</f>
        <v>146.75</v>
      </c>
    </row>
    <row r="12" spans="1:9" ht="13.5">
      <c r="A12" s="384">
        <f>Gen!A20</f>
        <v>44357</v>
      </c>
      <c r="B12" s="386">
        <f>Gen!B20</f>
        <v>0.08</v>
      </c>
      <c r="C12" s="387">
        <f>'Summery Report'!E14</f>
        <v>0</v>
      </c>
      <c r="D12" s="388">
        <v>1</v>
      </c>
      <c r="E12" s="387">
        <f>Gen!S20</f>
        <v>1325.84</v>
      </c>
      <c r="F12" s="387">
        <f>Gen!T20</f>
        <v>3365</v>
      </c>
      <c r="G12" s="387">
        <f>'Water-Meter'!E15</f>
        <v>74</v>
      </c>
      <c r="H12" s="387">
        <f>'Utility report '!AC15</f>
        <v>110</v>
      </c>
      <c r="I12" s="387">
        <f>Gen!AJ20</f>
        <v>45.94</v>
      </c>
    </row>
    <row r="13" spans="1:9" ht="13.5">
      <c r="A13" s="384">
        <f>Gen!A21</f>
        <v>44358</v>
      </c>
      <c r="B13" s="386">
        <f>Gen!B21</f>
        <v>0.13</v>
      </c>
      <c r="C13" s="387">
        <f>'Summery Report'!E15</f>
        <v>0</v>
      </c>
      <c r="D13" s="388">
        <v>1</v>
      </c>
      <c r="E13" s="387">
        <f>Gen!S21</f>
        <v>1384.98</v>
      </c>
      <c r="F13" s="387">
        <f>Gen!T21</f>
        <v>3555</v>
      </c>
      <c r="G13" s="387">
        <f>'Water-Meter'!E16</f>
        <v>101</v>
      </c>
      <c r="H13" s="387">
        <f>'Utility report '!AC16</f>
        <v>91</v>
      </c>
      <c r="I13" s="387">
        <f>Gen!AJ21</f>
        <v>51.86</v>
      </c>
    </row>
    <row r="14" spans="1:9" ht="13.5">
      <c r="A14" s="384">
        <f>Gen!A22</f>
        <v>44359</v>
      </c>
      <c r="B14" s="386">
        <f>Gen!B22</f>
        <v>0.13</v>
      </c>
      <c r="C14" s="387">
        <f>'Summery Report'!E16</f>
        <v>0</v>
      </c>
      <c r="D14" s="388">
        <v>1</v>
      </c>
      <c r="E14" s="387">
        <f>Gen!S22</f>
        <v>1534.46</v>
      </c>
      <c r="F14" s="387">
        <f>Gen!T22</f>
        <v>3880</v>
      </c>
      <c r="G14" s="387">
        <f>'Water-Meter'!E17</f>
        <v>87</v>
      </c>
      <c r="H14" s="387">
        <f>'Utility report '!AC17</f>
        <v>101</v>
      </c>
      <c r="I14" s="387">
        <f>Gen!AJ22</f>
        <v>317.36</v>
      </c>
    </row>
    <row r="15" spans="1:9" ht="13.5">
      <c r="A15" s="384">
        <f>Gen!A23</f>
        <v>44360</v>
      </c>
      <c r="B15" s="386">
        <f>Gen!B23</f>
        <v>0.22</v>
      </c>
      <c r="C15" s="387">
        <f>'Summery Report'!E17</f>
        <v>0</v>
      </c>
      <c r="D15" s="388">
        <v>1</v>
      </c>
      <c r="E15" s="387">
        <f>Gen!S23</f>
        <v>1472.31</v>
      </c>
      <c r="F15" s="387">
        <f>Gen!T23</f>
        <v>3601</v>
      </c>
      <c r="G15" s="387">
        <f>'Water-Meter'!E18</f>
        <v>71</v>
      </c>
      <c r="H15" s="387">
        <f>'Utility report '!AC18</f>
        <v>35</v>
      </c>
      <c r="I15" s="387">
        <f>Gen!AJ23</f>
        <v>258.22000000000003</v>
      </c>
    </row>
    <row r="16" spans="1:9" ht="13.5">
      <c r="A16" s="384">
        <f>Gen!A24</f>
        <v>44361</v>
      </c>
      <c r="B16" s="386">
        <f>Gen!B24</f>
        <v>0.15</v>
      </c>
      <c r="C16" s="387">
        <f>'Summery Report'!E18</f>
        <v>0</v>
      </c>
      <c r="D16" s="388">
        <v>1</v>
      </c>
      <c r="E16" s="387">
        <f>Gen!S24</f>
        <v>1575.06</v>
      </c>
      <c r="F16" s="387">
        <f>Gen!T24</f>
        <v>3974</v>
      </c>
      <c r="G16" s="387">
        <f>'Water-Meter'!E19</f>
        <v>207</v>
      </c>
      <c r="H16" s="387">
        <f>'Utility report '!AC19</f>
        <v>175</v>
      </c>
      <c r="I16" s="387">
        <f>Gen!AJ24</f>
        <v>262.43</v>
      </c>
    </row>
    <row r="17" spans="1:9" ht="13.5">
      <c r="A17" s="384">
        <f>Gen!A25</f>
        <v>44362</v>
      </c>
      <c r="B17" s="386">
        <f>Gen!B25</f>
        <v>0.18</v>
      </c>
      <c r="C17" s="387">
        <f>'Summery Report'!E19</f>
        <v>0</v>
      </c>
      <c r="D17" s="388">
        <v>1</v>
      </c>
      <c r="E17" s="387">
        <f>Gen!S25</f>
        <v>1478.45</v>
      </c>
      <c r="F17" s="387">
        <f>Gen!T25</f>
        <v>3583</v>
      </c>
      <c r="G17" s="387">
        <f>'Water-Meter'!E20</f>
        <v>222</v>
      </c>
      <c r="H17" s="387">
        <f>'Utility report '!AC20</f>
        <v>174</v>
      </c>
      <c r="I17" s="387">
        <f>Gen!AJ25</f>
        <v>98.19</v>
      </c>
    </row>
    <row r="18" spans="1:9" ht="13.5">
      <c r="A18" s="384">
        <f>Gen!A26</f>
        <v>44363</v>
      </c>
      <c r="B18" s="386">
        <f>Gen!B26</f>
        <v>0.17</v>
      </c>
      <c r="C18" s="387">
        <f>'Summery Report'!E20</f>
        <v>0</v>
      </c>
      <c r="D18" s="388">
        <v>1</v>
      </c>
      <c r="E18" s="387">
        <f>Gen!S26</f>
        <v>1354.83</v>
      </c>
      <c r="F18" s="387">
        <f>Gen!T26</f>
        <v>3523</v>
      </c>
      <c r="G18" s="387">
        <f>'Water-Meter'!E21</f>
        <v>216</v>
      </c>
      <c r="H18" s="387">
        <f>'Utility report '!AC21</f>
        <v>98</v>
      </c>
      <c r="I18" s="387">
        <f>Gen!AJ26</f>
        <v>0</v>
      </c>
    </row>
    <row r="19" spans="1:9" ht="13.5">
      <c r="A19" s="384">
        <f>Gen!A27</f>
        <v>44364</v>
      </c>
      <c r="B19" s="386">
        <f>Gen!B27</f>
        <v>0.16</v>
      </c>
      <c r="C19" s="387">
        <f>'Summery Report'!E21</f>
        <v>0</v>
      </c>
      <c r="D19" s="388">
        <v>1</v>
      </c>
      <c r="E19" s="387">
        <f>Gen!S27</f>
        <v>1323.25</v>
      </c>
      <c r="F19" s="387">
        <f>Gen!T27</f>
        <v>3308</v>
      </c>
      <c r="G19" s="387">
        <f>'Water-Meter'!E22</f>
        <v>79</v>
      </c>
      <c r="H19" s="387">
        <f>'Utility report '!AC22</f>
        <v>35</v>
      </c>
      <c r="I19" s="387">
        <f>Gen!AJ27</f>
        <v>28.75</v>
      </c>
    </row>
    <row r="20" spans="1:9" ht="13.5">
      <c r="A20" s="384">
        <f>Gen!A28</f>
        <v>44365</v>
      </c>
      <c r="B20" s="386">
        <f>Gen!B28</f>
        <v>0.16</v>
      </c>
      <c r="C20" s="387">
        <f>'Summery Report'!E22</f>
        <v>0</v>
      </c>
      <c r="D20" s="388">
        <v>1</v>
      </c>
      <c r="E20" s="387">
        <f>Gen!S28</f>
        <v>1446.9</v>
      </c>
      <c r="F20" s="387">
        <f>Gen!T28</f>
        <v>3408</v>
      </c>
      <c r="G20" s="387">
        <f>'Water-Meter'!E23</f>
        <v>77</v>
      </c>
      <c r="H20" s="387">
        <f>'Utility report '!AC23</f>
        <v>93</v>
      </c>
      <c r="I20" s="387">
        <f>Gen!AJ28</f>
        <v>193.39</v>
      </c>
    </row>
    <row r="21" spans="1:9" ht="13.5">
      <c r="A21" s="384">
        <f>Gen!A29</f>
        <v>44366</v>
      </c>
      <c r="B21" s="386">
        <f>Gen!B29</f>
        <v>0.11</v>
      </c>
      <c r="C21" s="387">
        <f>'Summery Report'!E23</f>
        <v>0</v>
      </c>
      <c r="D21" s="388">
        <v>1</v>
      </c>
      <c r="E21" s="387">
        <f>Gen!S29</f>
        <v>1289.51</v>
      </c>
      <c r="F21" s="387">
        <f>Gen!T29</f>
        <v>3062</v>
      </c>
      <c r="G21" s="387">
        <f>'Water-Meter'!E24</f>
        <v>80</v>
      </c>
      <c r="H21" s="387">
        <f>'Utility report '!AC24</f>
        <v>154</v>
      </c>
      <c r="I21" s="387">
        <f>Gen!AJ29</f>
        <v>30</v>
      </c>
    </row>
    <row r="22" spans="1:9" ht="13.5">
      <c r="A22" s="384">
        <f>Gen!A30</f>
        <v>44367</v>
      </c>
      <c r="B22" s="386">
        <f>Gen!B30</f>
        <v>0.05</v>
      </c>
      <c r="C22" s="387">
        <f>'Summery Report'!E24</f>
        <v>0</v>
      </c>
      <c r="D22" s="388">
        <v>1</v>
      </c>
      <c r="E22" s="387">
        <f>Gen!S30</f>
        <v>1256.79</v>
      </c>
      <c r="F22" s="387">
        <f>Gen!T30</f>
        <v>3078</v>
      </c>
      <c r="G22" s="387">
        <f>'Water-Meter'!E25</f>
        <v>65</v>
      </c>
      <c r="H22" s="387">
        <f>'Utility report '!AC25</f>
        <v>157</v>
      </c>
      <c r="I22" s="387">
        <f>Gen!AJ30</f>
        <v>0</v>
      </c>
    </row>
    <row r="23" spans="1:9" ht="13.5">
      <c r="A23" s="384">
        <f>Gen!A31</f>
        <v>44368</v>
      </c>
      <c r="B23" s="386">
        <f>Gen!B31</f>
        <v>0</v>
      </c>
      <c r="C23" s="387">
        <f>'Summery Report'!E25</f>
        <v>0</v>
      </c>
      <c r="D23" s="388">
        <v>1</v>
      </c>
      <c r="E23" s="387">
        <f>Gen!S31</f>
        <v>0</v>
      </c>
      <c r="F23" s="387">
        <f>Gen!T31</f>
        <v>0</v>
      </c>
      <c r="G23" s="387" t="str">
        <f>'Water-Meter'!E26</f>
        <v>0</v>
      </c>
      <c r="H23" s="387">
        <f>'Utility report '!AC26</f>
        <v>-4653</v>
      </c>
      <c r="I23" s="387">
        <f>Gen!AJ31</f>
        <v>0</v>
      </c>
    </row>
    <row r="24" spans="1:9" ht="13.5">
      <c r="A24" s="384">
        <f>Gen!A32</f>
        <v>44369</v>
      </c>
      <c r="B24" s="386">
        <f>Gen!B32</f>
        <v>0</v>
      </c>
      <c r="C24" s="387">
        <f>'Summery Report'!E26</f>
        <v>0</v>
      </c>
      <c r="D24" s="388">
        <v>1</v>
      </c>
      <c r="E24" s="387">
        <f>Gen!S32</f>
        <v>0</v>
      </c>
      <c r="F24" s="387">
        <f>Gen!T32</f>
        <v>0</v>
      </c>
      <c r="G24" s="387">
        <f>'Water-Meter'!E27</f>
        <v>0</v>
      </c>
      <c r="H24" s="387">
        <f>'Utility report '!AC27</f>
        <v>0</v>
      </c>
      <c r="I24" s="387">
        <f>Gen!AJ32</f>
        <v>0</v>
      </c>
    </row>
    <row r="25" spans="1:9" ht="13.5">
      <c r="A25" s="384">
        <f>Gen!A33</f>
        <v>44370</v>
      </c>
      <c r="B25" s="386">
        <f>Gen!B33</f>
        <v>0</v>
      </c>
      <c r="C25" s="387">
        <f>'Summery Report'!E27</f>
        <v>0</v>
      </c>
      <c r="D25" s="388">
        <v>1</v>
      </c>
      <c r="E25" s="387">
        <f>Gen!S33</f>
        <v>0</v>
      </c>
      <c r="F25" s="387">
        <f>Gen!T33</f>
        <v>0</v>
      </c>
      <c r="G25" s="387">
        <f>'Water-Meter'!E28</f>
        <v>0</v>
      </c>
      <c r="H25" s="387">
        <f>'Utility report '!AC28</f>
        <v>0</v>
      </c>
      <c r="I25" s="387">
        <f>Gen!AJ33</f>
        <v>0</v>
      </c>
    </row>
    <row r="26" spans="1:9" ht="13.5">
      <c r="A26" s="384">
        <f>Gen!A34</f>
        <v>44371</v>
      </c>
      <c r="B26" s="386">
        <f>Gen!B34</f>
        <v>0</v>
      </c>
      <c r="C26" s="387">
        <f>'Summery Report'!E28</f>
        <v>0</v>
      </c>
      <c r="D26" s="388">
        <v>1</v>
      </c>
      <c r="E26" s="387">
        <f>Gen!S34</f>
        <v>0</v>
      </c>
      <c r="F26" s="387">
        <f>Gen!T34</f>
        <v>0</v>
      </c>
      <c r="G26" s="387">
        <f>'Water-Meter'!E29</f>
        <v>0</v>
      </c>
      <c r="H26" s="387">
        <f>'Utility report '!AC29</f>
        <v>0</v>
      </c>
      <c r="I26" s="387">
        <f>Gen!AJ34</f>
        <v>0</v>
      </c>
    </row>
    <row r="27" spans="1:9" ht="13.5">
      <c r="A27" s="384">
        <f>Gen!A35</f>
        <v>44372</v>
      </c>
      <c r="B27" s="386">
        <f>Gen!B35</f>
        <v>0</v>
      </c>
      <c r="C27" s="387">
        <f>'Summery Report'!E29</f>
        <v>0</v>
      </c>
      <c r="D27" s="388">
        <v>1</v>
      </c>
      <c r="E27" s="387">
        <f>Gen!S35</f>
        <v>0</v>
      </c>
      <c r="F27" s="387">
        <f>Gen!T35</f>
        <v>0</v>
      </c>
      <c r="G27" s="387">
        <f>'Water-Meter'!E30</f>
        <v>0</v>
      </c>
      <c r="H27" s="387">
        <f>'Utility report '!AC30</f>
        <v>0</v>
      </c>
      <c r="I27" s="387">
        <f>Gen!AJ35</f>
        <v>0</v>
      </c>
    </row>
    <row r="28" spans="1:9" ht="13.5">
      <c r="A28" s="384">
        <f>Gen!A36</f>
        <v>44373</v>
      </c>
      <c r="B28" s="386">
        <f>Gen!B36</f>
        <v>0</v>
      </c>
      <c r="C28" s="387">
        <f>'Summery Report'!E30</f>
        <v>0</v>
      </c>
      <c r="D28" s="388">
        <v>1</v>
      </c>
      <c r="E28" s="387">
        <f>Gen!S36</f>
        <v>0</v>
      </c>
      <c r="F28" s="387">
        <f>Gen!T36</f>
        <v>0</v>
      </c>
      <c r="G28" s="387">
        <f>'Water-Meter'!E31</f>
        <v>0</v>
      </c>
      <c r="H28" s="387">
        <f>'Utility report '!AC31</f>
        <v>0</v>
      </c>
      <c r="I28" s="387">
        <f>Gen!AJ36</f>
        <v>0</v>
      </c>
    </row>
    <row r="29" spans="1:9" ht="13.5">
      <c r="A29" s="384">
        <f>Gen!A37</f>
        <v>44374</v>
      </c>
      <c r="B29" s="386">
        <f>Gen!B37</f>
        <v>0</v>
      </c>
      <c r="C29" s="387">
        <f>'Summery Report'!E31</f>
        <v>0</v>
      </c>
      <c r="D29" s="388">
        <v>1</v>
      </c>
      <c r="E29" s="387">
        <f>Gen!S37</f>
        <v>0</v>
      </c>
      <c r="F29" s="387">
        <f>Gen!T37</f>
        <v>0</v>
      </c>
      <c r="G29" s="387">
        <f>'Water-Meter'!E32</f>
        <v>0</v>
      </c>
      <c r="H29" s="387">
        <f>'Utility report '!AC32</f>
        <v>0</v>
      </c>
      <c r="I29" s="387">
        <f>Gen!AJ37</f>
        <v>0</v>
      </c>
    </row>
    <row r="30" spans="1:9" ht="13.5">
      <c r="A30" s="384">
        <f>Gen!A38</f>
        <v>44375</v>
      </c>
      <c r="B30" s="386">
        <f>Gen!B38</f>
        <v>0</v>
      </c>
      <c r="C30" s="387">
        <f>'Summery Report'!E32</f>
        <v>0</v>
      </c>
      <c r="D30" s="388">
        <v>1</v>
      </c>
      <c r="E30" s="387">
        <f>Gen!S38</f>
        <v>0</v>
      </c>
      <c r="F30" s="387">
        <f>Gen!T38</f>
        <v>0</v>
      </c>
      <c r="G30" s="387">
        <f>'Water-Meter'!E33</f>
        <v>0</v>
      </c>
      <c r="H30" s="387">
        <f>'Utility report '!AC33</f>
        <v>0</v>
      </c>
      <c r="I30" s="387">
        <f>Gen!AJ38</f>
        <v>0</v>
      </c>
    </row>
    <row r="31" spans="1:9" ht="13.5">
      <c r="A31" s="384">
        <f>Gen!A39</f>
        <v>44376</v>
      </c>
      <c r="B31" s="386">
        <f>Gen!B39</f>
        <v>0</v>
      </c>
      <c r="C31" s="387">
        <f>'Summery Report'!E33</f>
        <v>0</v>
      </c>
      <c r="D31" s="388">
        <v>1</v>
      </c>
      <c r="E31" s="387">
        <f>Gen!S39</f>
        <v>0</v>
      </c>
      <c r="F31" s="387">
        <f>Gen!T39</f>
        <v>0</v>
      </c>
      <c r="G31" s="387">
        <f>'Water-Meter'!E34</f>
        <v>0</v>
      </c>
      <c r="H31" s="387">
        <f>'Utility report '!AC34</f>
        <v>0</v>
      </c>
      <c r="I31" s="387">
        <f>Gen!AJ39</f>
        <v>0</v>
      </c>
    </row>
    <row r="32" spans="1:9" ht="13.5">
      <c r="A32" s="384">
        <f>Gen!A40</f>
        <v>44377</v>
      </c>
      <c r="B32" s="386">
        <f>Gen!B40</f>
        <v>0</v>
      </c>
      <c r="C32" s="387">
        <f>'Summery Report'!E34</f>
        <v>0</v>
      </c>
      <c r="D32" s="388">
        <v>1</v>
      </c>
      <c r="E32" s="387">
        <f>Gen!S40</f>
        <v>0</v>
      </c>
      <c r="F32" s="387">
        <f>Gen!T40</f>
        <v>0</v>
      </c>
      <c r="G32" s="387">
        <f>'Water-Meter'!E35</f>
        <v>0</v>
      </c>
      <c r="H32" s="387">
        <f>'Utility report '!AC35</f>
        <v>0</v>
      </c>
      <c r="I32" s="387">
        <f>Gen!AJ40</f>
        <v>0</v>
      </c>
    </row>
    <row r="33" spans="1:9" ht="13.5">
      <c r="A33" s="384">
        <f>Gen!A41</f>
        <v>0</v>
      </c>
      <c r="B33" s="386">
        <f>Gen!B41</f>
        <v>0</v>
      </c>
      <c r="C33" s="387">
        <f>'Summery Report'!E35</f>
        <v>0</v>
      </c>
      <c r="D33" s="388">
        <v>1</v>
      </c>
      <c r="E33" s="387">
        <f>Gen!S41</f>
        <v>0</v>
      </c>
      <c r="F33" s="387">
        <f>Gen!T41</f>
        <v>0</v>
      </c>
      <c r="G33" s="387">
        <f>'Water-Meter'!E36</f>
        <v>0</v>
      </c>
      <c r="H33" s="387">
        <f>'Utility report '!AC36</f>
        <v>0</v>
      </c>
      <c r="I33" s="387">
        <f>Gen!AJ41</f>
        <v>0</v>
      </c>
    </row>
    <row r="34" spans="1:9" ht="13.5">
      <c r="A34" s="384"/>
      <c r="B34" s="386">
        <f>Gen!B42</f>
        <v>0</v>
      </c>
      <c r="C34" s="387">
        <f>'Summery Report'!E36</f>
        <v>0</v>
      </c>
      <c r="D34" s="388">
        <v>2</v>
      </c>
      <c r="E34" s="387">
        <f>Gen!S42</f>
        <v>0</v>
      </c>
      <c r="F34" s="387">
        <f>Gen!T42</f>
        <v>0</v>
      </c>
      <c r="G34" s="387">
        <f>'Water-Meter'!E37</f>
        <v>0</v>
      </c>
      <c r="H34" s="387">
        <f>'Utility report '!AC37</f>
        <v>0</v>
      </c>
      <c r="I34" s="387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S43"/>
  <sheetViews>
    <sheetView zoomScale="85" zoomScaleNormal="85" workbookViewId="0">
      <selection activeCell="A37" sqref="A37"/>
    </sheetView>
  </sheetViews>
  <sheetFormatPr defaultRowHeight="12.75"/>
  <cols>
    <col min="1" max="1" width="14.5703125" customWidth="1"/>
    <col min="2" max="2" width="9" customWidth="1"/>
    <col min="3" max="3" width="13.42578125" bestFit="1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23.25" thickBot="1">
      <c r="A4" s="734" t="s">
        <v>32</v>
      </c>
      <c r="B4" s="735" t="s">
        <v>40</v>
      </c>
      <c r="C4" s="736" t="s">
        <v>41</v>
      </c>
      <c r="D4" s="825" t="s">
        <v>42</v>
      </c>
      <c r="E4" s="825"/>
      <c r="F4" s="825"/>
      <c r="G4" s="826" t="s">
        <v>43</v>
      </c>
      <c r="H4" s="826"/>
      <c r="I4" s="826"/>
      <c r="J4" s="827" t="s">
        <v>44</v>
      </c>
      <c r="K4" s="827"/>
      <c r="L4" s="827"/>
      <c r="M4" s="827"/>
      <c r="N4" s="828" t="s">
        <v>45</v>
      </c>
      <c r="O4" s="828"/>
      <c r="P4" s="828"/>
      <c r="Q4" s="737"/>
      <c r="R4" s="737"/>
      <c r="S4" s="738"/>
    </row>
    <row r="5" spans="1:19" ht="25.5">
      <c r="A5" s="739"/>
      <c r="B5" s="740"/>
      <c r="C5" s="741"/>
      <c r="D5" s="742" t="s">
        <v>46</v>
      </c>
      <c r="E5" s="742" t="s">
        <v>47</v>
      </c>
      <c r="F5" s="742" t="s">
        <v>48</v>
      </c>
      <c r="G5" s="743" t="s">
        <v>49</v>
      </c>
      <c r="H5" s="743" t="s">
        <v>50</v>
      </c>
      <c r="I5" s="744" t="s">
        <v>51</v>
      </c>
      <c r="J5" s="745" t="s">
        <v>52</v>
      </c>
      <c r="K5" s="745" t="s">
        <v>53</v>
      </c>
      <c r="L5" s="745" t="s">
        <v>53</v>
      </c>
      <c r="M5" s="746" t="s">
        <v>54</v>
      </c>
      <c r="N5" s="747" t="s">
        <v>55</v>
      </c>
      <c r="O5" s="747" t="s">
        <v>56</v>
      </c>
      <c r="P5" s="748" t="s">
        <v>57</v>
      </c>
      <c r="Q5" s="749" t="s">
        <v>58</v>
      </c>
      <c r="R5" s="749" t="s">
        <v>59</v>
      </c>
      <c r="S5" s="750" t="s">
        <v>60</v>
      </c>
    </row>
    <row r="6" spans="1:19" ht="14.25">
      <c r="A6" s="428">
        <f>Gen!A11</f>
        <v>44348</v>
      </c>
      <c r="B6" s="6">
        <f>'Summery Report'!E5</f>
        <v>0</v>
      </c>
      <c r="C6" s="6">
        <f>Gen!U11</f>
        <v>0.41846927775781528</v>
      </c>
      <c r="D6" s="145">
        <f>Gen!T11</f>
        <v>2783</v>
      </c>
      <c r="E6" s="145">
        <f>Gen!AK11</f>
        <v>0</v>
      </c>
      <c r="F6" s="145">
        <f>Gen!AS11</f>
        <v>0</v>
      </c>
      <c r="G6" s="146">
        <f>'Utility report '!AC6</f>
        <v>40</v>
      </c>
      <c r="H6" s="146">
        <f>'Utility report '!AE6</f>
        <v>73</v>
      </c>
      <c r="I6" s="281">
        <f>'Water-Meter'!E6</f>
        <v>88</v>
      </c>
      <c r="J6" s="147">
        <f>'Lpg (2)'!B10</f>
        <v>85</v>
      </c>
      <c r="K6" s="147">
        <f>'Lpg (2)'!C10</f>
        <v>25</v>
      </c>
      <c r="L6" s="147">
        <f>'Lpg (2)'!D10</f>
        <v>85</v>
      </c>
      <c r="M6" s="6">
        <f>'Lpg (2)'!G10</f>
        <v>163.15200000000769</v>
      </c>
      <c r="N6" s="6"/>
      <c r="O6" s="144">
        <f>E6</f>
        <v>0</v>
      </c>
      <c r="P6" s="143" t="e">
        <f>'[1]Lpg (2)'!#REF!</f>
        <v>#REF!</v>
      </c>
      <c r="Q6" s="144" t="e">
        <f>'[1]Summery Report'!#REF!</f>
        <v>#REF!</v>
      </c>
      <c r="R6" s="144" t="e">
        <f t="shared" ref="R6:R37" si="0">N6/B6</f>
        <v>#DIV/0!</v>
      </c>
      <c r="S6" s="429" t="e">
        <f t="shared" ref="S6:S37" si="1">Q6/B6</f>
        <v>#REF!</v>
      </c>
    </row>
    <row r="7" spans="1:19" ht="14.25">
      <c r="A7" s="428">
        <f>Gen!A12</f>
        <v>44349</v>
      </c>
      <c r="B7" s="6">
        <f>'Summery Report'!E6</f>
        <v>0</v>
      </c>
      <c r="C7" s="6">
        <f>Gen!U12</f>
        <v>0.4355648754914811</v>
      </c>
      <c r="D7" s="145">
        <f>Gen!T12</f>
        <v>3815</v>
      </c>
      <c r="E7" s="145">
        <f>Gen!AK12</f>
        <v>0</v>
      </c>
      <c r="F7" s="145">
        <f>Gen!AS12</f>
        <v>0</v>
      </c>
      <c r="G7" s="146">
        <f>'Utility report '!AC7</f>
        <v>77</v>
      </c>
      <c r="H7" s="146">
        <f>'Utility report '!AE7</f>
        <v>70</v>
      </c>
      <c r="I7" s="281">
        <f>'Water-Meter'!E7</f>
        <v>78</v>
      </c>
      <c r="J7" s="147">
        <f>'Lpg (2)'!B11</f>
        <v>85</v>
      </c>
      <c r="K7" s="147">
        <f>'Lpg (2)'!C11</f>
        <v>20</v>
      </c>
      <c r="L7" s="147">
        <f>'Lpg (2)'!D11</f>
        <v>85</v>
      </c>
      <c r="M7" s="6">
        <f>'Lpg (2)'!G11</f>
        <v>61.247999999992324</v>
      </c>
      <c r="N7" s="144">
        <f>D7*1.4</f>
        <v>5341</v>
      </c>
      <c r="O7" s="144">
        <f>E7*1.4</f>
        <v>0</v>
      </c>
      <c r="P7" s="143" t="e">
        <f>'[1]Lpg (2)'!#REF!</f>
        <v>#REF!</v>
      </c>
      <c r="Q7" s="144" t="e">
        <f>'[1]Summery Report'!#REF!</f>
        <v>#REF!</v>
      </c>
      <c r="R7" s="144" t="e">
        <f t="shared" si="0"/>
        <v>#DIV/0!</v>
      </c>
      <c r="S7" s="429" t="e">
        <f t="shared" si="1"/>
        <v>#REF!</v>
      </c>
    </row>
    <row r="8" spans="1:19" ht="14.25">
      <c r="A8" s="428">
        <f>Gen!A13</f>
        <v>44350</v>
      </c>
      <c r="B8" s="6">
        <f>'Summery Report'!E7</f>
        <v>0</v>
      </c>
      <c r="C8" s="6">
        <f>Gen!U13</f>
        <v>0.40961972667855018</v>
      </c>
      <c r="D8" s="145">
        <f>Gen!T13</f>
        <v>3366</v>
      </c>
      <c r="E8" s="145">
        <f>Gen!AK13</f>
        <v>0</v>
      </c>
      <c r="F8" s="145">
        <f>Gen!AS13</f>
        <v>0</v>
      </c>
      <c r="G8" s="146">
        <f>'Utility report '!AC8</f>
        <v>167</v>
      </c>
      <c r="H8" s="146">
        <f>'Utility report '!AE8</f>
        <v>62</v>
      </c>
      <c r="I8" s="281">
        <f>'Water-Meter'!E8</f>
        <v>71</v>
      </c>
      <c r="J8" s="147">
        <f>'Lpg (2)'!B12</f>
        <v>85</v>
      </c>
      <c r="K8" s="147">
        <f>'Lpg (2)'!C12</f>
        <v>19</v>
      </c>
      <c r="L8" s="147">
        <f>'Lpg (2)'!D12</f>
        <v>85</v>
      </c>
      <c r="M8" s="6">
        <f>'Lpg (2)'!G12</f>
        <v>71.808000000030745</v>
      </c>
      <c r="N8" s="144">
        <f t="shared" ref="N8:O36" si="2">D8*1.4</f>
        <v>4712.3999999999996</v>
      </c>
      <c r="O8" s="144">
        <f t="shared" si="2"/>
        <v>0</v>
      </c>
      <c r="P8" s="143" t="e">
        <f>'[1]Lpg (2)'!#REF!</f>
        <v>#REF!</v>
      </c>
      <c r="Q8" s="144" t="e">
        <f>'[1]Summery Report'!#REF!</f>
        <v>#REF!</v>
      </c>
      <c r="R8" s="144" t="e">
        <f t="shared" si="0"/>
        <v>#DIV/0!</v>
      </c>
      <c r="S8" s="429" t="e">
        <f t="shared" si="1"/>
        <v>#REF!</v>
      </c>
    </row>
    <row r="9" spans="1:19" ht="14.25">
      <c r="A9" s="428">
        <f>Gen!A14</f>
        <v>44351</v>
      </c>
      <c r="B9" s="6">
        <f>'Summery Report'!E8</f>
        <v>0</v>
      </c>
      <c r="C9" s="6">
        <f>Gen!U14</f>
        <v>0.39995952587453021</v>
      </c>
      <c r="D9" s="145">
        <f>Gen!T14</f>
        <v>3459</v>
      </c>
      <c r="E9" s="145">
        <f>Gen!AK14</f>
        <v>0</v>
      </c>
      <c r="F9" s="145">
        <f>Gen!AS14</f>
        <v>0</v>
      </c>
      <c r="G9" s="146">
        <f>'Utility report '!AC9</f>
        <v>13</v>
      </c>
      <c r="H9" s="146">
        <f>'Utility report '!AE9</f>
        <v>71</v>
      </c>
      <c r="I9" s="281">
        <f>'Water-Meter'!E9</f>
        <v>83</v>
      </c>
      <c r="J9" s="147">
        <f>'Lpg (2)'!B13</f>
        <v>85</v>
      </c>
      <c r="K9" s="147">
        <f>'Lpg (2)'!C13</f>
        <v>15</v>
      </c>
      <c r="L9" s="147">
        <f>'Lpg (2)'!D13</f>
        <v>85</v>
      </c>
      <c r="M9" s="6">
        <f>'Lpg (2)'!G13</f>
        <v>71.191999999969269</v>
      </c>
      <c r="N9" s="144">
        <f t="shared" si="2"/>
        <v>4842.5999999999995</v>
      </c>
      <c r="O9" s="144">
        <f t="shared" si="2"/>
        <v>0</v>
      </c>
      <c r="P9" s="143" t="e">
        <f>'[1]Lpg (2)'!#REF!</f>
        <v>#REF!</v>
      </c>
      <c r="Q9" s="144" t="e">
        <f>'[1]Summery Report'!#REF!</f>
        <v>#REF!</v>
      </c>
      <c r="R9" s="144" t="e">
        <f t="shared" si="0"/>
        <v>#DIV/0!</v>
      </c>
      <c r="S9" s="429" t="e">
        <f t="shared" si="1"/>
        <v>#REF!</v>
      </c>
    </row>
    <row r="10" spans="1:19" ht="14.25">
      <c r="A10" s="428">
        <f>Gen!A15</f>
        <v>44352</v>
      </c>
      <c r="B10" s="6">
        <f>'Summery Report'!E9</f>
        <v>0</v>
      </c>
      <c r="C10" s="6">
        <f>Gen!U15</f>
        <v>0.4244989893156223</v>
      </c>
      <c r="D10" s="145">
        <f>Gen!T15</f>
        <v>3463</v>
      </c>
      <c r="E10" s="145">
        <f>Gen!AK15</f>
        <v>0</v>
      </c>
      <c r="F10" s="145">
        <f>Gen!AS15</f>
        <v>0</v>
      </c>
      <c r="G10" s="146">
        <f>'Utility report '!AC10</f>
        <v>35</v>
      </c>
      <c r="H10" s="146">
        <f>'Utility report '!AE10</f>
        <v>60</v>
      </c>
      <c r="I10" s="281">
        <f>'Water-Meter'!E10</f>
        <v>79</v>
      </c>
      <c r="J10" s="147">
        <f>'Lpg (2)'!B14</f>
        <v>85</v>
      </c>
      <c r="K10" s="147">
        <f>'Lpg (2)'!C14</f>
        <v>10</v>
      </c>
      <c r="L10" s="147">
        <f>'Lpg (2)'!D14</f>
        <v>85</v>
      </c>
      <c r="M10" s="6">
        <f>'Lpg (2)'!G14</f>
        <v>72.952000000007686</v>
      </c>
      <c r="N10" s="144">
        <f t="shared" si="2"/>
        <v>4848.2</v>
      </c>
      <c r="O10" s="144">
        <f t="shared" si="2"/>
        <v>0</v>
      </c>
      <c r="P10" s="143" t="e">
        <f>'[1]Lpg (2)'!#REF!</f>
        <v>#REF!</v>
      </c>
      <c r="Q10" s="144" t="e">
        <f>'[1]Summery Report'!#REF!</f>
        <v>#REF!</v>
      </c>
      <c r="R10" s="144" t="e">
        <f t="shared" si="0"/>
        <v>#DIV/0!</v>
      </c>
      <c r="S10" s="429" t="e">
        <f t="shared" si="1"/>
        <v>#REF!</v>
      </c>
    </row>
    <row r="11" spans="1:19" ht="14.25">
      <c r="A11" s="428">
        <f>Gen!A16</f>
        <v>44353</v>
      </c>
      <c r="B11" s="6">
        <f>'Summery Report'!E10</f>
        <v>0</v>
      </c>
      <c r="C11" s="6">
        <f>Gen!U16</f>
        <v>0.40415333534560821</v>
      </c>
      <c r="D11" s="145">
        <f>Gen!T16</f>
        <v>3313</v>
      </c>
      <c r="E11" s="145">
        <f>Gen!AK16</f>
        <v>0</v>
      </c>
      <c r="F11" s="145">
        <f>Gen!AS16</f>
        <v>0</v>
      </c>
      <c r="G11" s="146">
        <f>'Utility report '!AC11</f>
        <v>99</v>
      </c>
      <c r="H11" s="146">
        <f>'Utility report '!AE11</f>
        <v>53</v>
      </c>
      <c r="I11" s="281">
        <f>'Water-Meter'!E11</f>
        <v>89</v>
      </c>
      <c r="J11" s="147">
        <f>'Lpg (2)'!B15</f>
        <v>85</v>
      </c>
      <c r="K11" s="147">
        <f>'Lpg (2)'!C15</f>
        <v>5</v>
      </c>
      <c r="L11" s="147">
        <f>'Lpg (2)'!D15</f>
        <v>85</v>
      </c>
      <c r="M11" s="6">
        <f>'Lpg (2)'!G15</f>
        <v>132.52799999997953</v>
      </c>
      <c r="N11" s="144">
        <f t="shared" si="2"/>
        <v>4638.2</v>
      </c>
      <c r="O11" s="144">
        <f t="shared" si="2"/>
        <v>0</v>
      </c>
      <c r="P11" s="143" t="e">
        <f>'[1]Lpg (2)'!#REF!</f>
        <v>#REF!</v>
      </c>
      <c r="Q11" s="144" t="e">
        <f>'[1]Summery Report'!#REF!</f>
        <v>#REF!</v>
      </c>
      <c r="R11" s="144" t="e">
        <f t="shared" si="0"/>
        <v>#DIV/0!</v>
      </c>
      <c r="S11" s="429" t="e">
        <f t="shared" si="1"/>
        <v>#REF!</v>
      </c>
    </row>
    <row r="12" spans="1:19" ht="14.25">
      <c r="A12" s="428">
        <f>Gen!A17</f>
        <v>44354</v>
      </c>
      <c r="B12" s="6">
        <f>'Summery Report'!E11</f>
        <v>0</v>
      </c>
      <c r="C12" s="6">
        <f>Gen!U17</f>
        <v>0.38902473699175433</v>
      </c>
      <c r="D12" s="145">
        <f>Gen!T17</f>
        <v>3517</v>
      </c>
      <c r="E12" s="145">
        <f>Gen!AK17</f>
        <v>0</v>
      </c>
      <c r="F12" s="145">
        <f>Gen!AS17</f>
        <v>0</v>
      </c>
      <c r="G12" s="146">
        <f>'Utility report '!AC12</f>
        <v>71</v>
      </c>
      <c r="H12" s="146">
        <f>'Utility report '!AE12</f>
        <v>75</v>
      </c>
      <c r="I12" s="281">
        <f>'Water-Meter'!E12</f>
        <v>70</v>
      </c>
      <c r="J12" s="147">
        <f>'Lpg (2)'!B16</f>
        <v>85</v>
      </c>
      <c r="K12" s="147">
        <f>'Lpg (2)'!C16</f>
        <v>2</v>
      </c>
      <c r="L12" s="147">
        <f>'Lpg (2)'!D16</f>
        <v>85</v>
      </c>
      <c r="M12" s="6">
        <f>'Lpg (2)'!G16</f>
        <v>132.61599999999746</v>
      </c>
      <c r="N12" s="144">
        <f t="shared" si="2"/>
        <v>4923.7999999999993</v>
      </c>
      <c r="O12" s="144">
        <f t="shared" si="2"/>
        <v>0</v>
      </c>
      <c r="P12" s="143" t="e">
        <f>'[1]Lpg (2)'!#REF!</f>
        <v>#REF!</v>
      </c>
      <c r="Q12" s="144" t="e">
        <f>'[1]Summery Report'!#REF!</f>
        <v>#REF!</v>
      </c>
      <c r="R12" s="144" t="e">
        <f t="shared" si="0"/>
        <v>#DIV/0!</v>
      </c>
      <c r="S12" s="429" t="e">
        <f t="shared" si="1"/>
        <v>#REF!</v>
      </c>
    </row>
    <row r="13" spans="1:19" ht="14.25">
      <c r="A13" s="428">
        <f>Gen!A18</f>
        <v>44355</v>
      </c>
      <c r="B13" s="6">
        <f>'Summery Report'!E12</f>
        <v>0</v>
      </c>
      <c r="C13" s="6">
        <f>Gen!U18</f>
        <v>0.3989372409709887</v>
      </c>
      <c r="D13" s="145">
        <f>Gen!T18</f>
        <v>3378</v>
      </c>
      <c r="E13" s="145">
        <f>Gen!AK18</f>
        <v>0</v>
      </c>
      <c r="F13" s="145">
        <f>Gen!AS18</f>
        <v>0</v>
      </c>
      <c r="G13" s="146">
        <f>'Utility report '!AC13</f>
        <v>114</v>
      </c>
      <c r="H13" s="146">
        <f>'Utility report '!AE13</f>
        <v>5</v>
      </c>
      <c r="I13" s="281">
        <f>'Water-Meter'!E13</f>
        <v>70</v>
      </c>
      <c r="J13" s="147">
        <f>'Lpg (2)'!B17</f>
        <v>85</v>
      </c>
      <c r="K13" s="147">
        <f>'Lpg (2)'!C17</f>
        <v>0</v>
      </c>
      <c r="L13" s="147">
        <f>'Lpg (2)'!D17</f>
        <v>85</v>
      </c>
      <c r="M13" s="6">
        <f>'Lpg (2)'!G17</f>
        <v>154.30800000003075</v>
      </c>
      <c r="N13" s="144">
        <f t="shared" si="2"/>
        <v>4729.2</v>
      </c>
      <c r="O13" s="144">
        <f t="shared" si="2"/>
        <v>0</v>
      </c>
      <c r="P13" s="143" t="e">
        <f>'[1]Lpg (2)'!#REF!</f>
        <v>#REF!</v>
      </c>
      <c r="Q13" s="144" t="e">
        <f>'[1]Summery Report'!#REF!</f>
        <v>#REF!</v>
      </c>
      <c r="R13" s="144" t="e">
        <f t="shared" si="0"/>
        <v>#DIV/0!</v>
      </c>
      <c r="S13" s="429" t="e">
        <f t="shared" si="1"/>
        <v>#REF!</v>
      </c>
    </row>
    <row r="14" spans="1:19" ht="14.25">
      <c r="A14" s="428">
        <f>Gen!A19</f>
        <v>44356</v>
      </c>
      <c r="B14" s="6">
        <f>'Summery Report'!E13</f>
        <v>0</v>
      </c>
      <c r="C14" s="6">
        <f>Gen!U19</f>
        <v>0.39947834334492571</v>
      </c>
      <c r="D14" s="145">
        <f>Gen!T19</f>
        <v>3163</v>
      </c>
      <c r="E14" s="145">
        <f>Gen!AK19</f>
        <v>0</v>
      </c>
      <c r="F14" s="145">
        <f>Gen!AS19</f>
        <v>0</v>
      </c>
      <c r="G14" s="146">
        <f>'Utility report '!AC14</f>
        <v>35</v>
      </c>
      <c r="H14" s="146">
        <f>'Utility report '!AE14</f>
        <v>2</v>
      </c>
      <c r="I14" s="281">
        <f>'Water-Meter'!E14</f>
        <v>64</v>
      </c>
      <c r="J14" s="147">
        <f>'Lpg (2)'!B18</f>
        <v>85</v>
      </c>
      <c r="K14" s="147">
        <f>'Lpg (2)'!C18</f>
        <v>0</v>
      </c>
      <c r="L14" s="147">
        <f>'Lpg (2)'!D18</f>
        <v>70</v>
      </c>
      <c r="M14" s="6">
        <f>'Lpg (2)'!G18</f>
        <v>152.4599999999744</v>
      </c>
      <c r="N14" s="144">
        <f t="shared" si="2"/>
        <v>4428.2</v>
      </c>
      <c r="O14" s="144">
        <f t="shared" si="2"/>
        <v>0</v>
      </c>
      <c r="P14" s="143" t="e">
        <f>'[1]Lpg (2)'!#REF!</f>
        <v>#REF!</v>
      </c>
      <c r="Q14" s="144" t="e">
        <f>'[1]Summery Report'!#REF!</f>
        <v>#REF!</v>
      </c>
      <c r="R14" s="144" t="e">
        <f t="shared" si="0"/>
        <v>#DIV/0!</v>
      </c>
      <c r="S14" s="429" t="e">
        <f t="shared" si="1"/>
        <v>#REF!</v>
      </c>
    </row>
    <row r="15" spans="1:19" ht="14.25">
      <c r="A15" s="428">
        <f>Gen!A20</f>
        <v>44357</v>
      </c>
      <c r="B15" s="6">
        <f>'Summery Report'!E14</f>
        <v>0</v>
      </c>
      <c r="C15" s="6">
        <f>Gen!U20</f>
        <v>0.39400891530460619</v>
      </c>
      <c r="D15" s="145">
        <f>Gen!T20</f>
        <v>3365</v>
      </c>
      <c r="E15" s="145">
        <f>Gen!AK20</f>
        <v>0</v>
      </c>
      <c r="F15" s="145">
        <f>Gen!AS20</f>
        <v>0</v>
      </c>
      <c r="G15" s="146">
        <f>'Utility report '!AC15</f>
        <v>110</v>
      </c>
      <c r="H15" s="146">
        <f>'Utility report '!AE15</f>
        <v>76</v>
      </c>
      <c r="I15" s="281">
        <f>'Water-Meter'!E15</f>
        <v>74</v>
      </c>
      <c r="J15" s="147">
        <f>'Lpg (2)'!B19</f>
        <v>85</v>
      </c>
      <c r="K15" s="147">
        <f>'Lpg (2)'!C19</f>
        <v>0</v>
      </c>
      <c r="L15" s="147">
        <f>'Lpg (2)'!D19</f>
        <v>60</v>
      </c>
      <c r="M15" s="6">
        <f>'Lpg (2)'!G19</f>
        <v>149.07200000002049</v>
      </c>
      <c r="N15" s="144">
        <f t="shared" si="2"/>
        <v>4711</v>
      </c>
      <c r="O15" s="144">
        <f t="shared" si="2"/>
        <v>0</v>
      </c>
      <c r="P15" s="143" t="e">
        <f>'[1]Lpg (2)'!#REF!</f>
        <v>#REF!</v>
      </c>
      <c r="Q15" s="144" t="e">
        <f>'[1]Summery Report'!#REF!</f>
        <v>#REF!</v>
      </c>
      <c r="R15" s="144" t="e">
        <f t="shared" si="0"/>
        <v>#DIV/0!</v>
      </c>
      <c r="S15" s="429" t="e">
        <f t="shared" si="1"/>
        <v>#REF!</v>
      </c>
    </row>
    <row r="16" spans="1:19" ht="14.25">
      <c r="A16" s="428">
        <f>Gen!A21</f>
        <v>44358</v>
      </c>
      <c r="B16" s="6">
        <f>'Summery Report'!E15</f>
        <v>0</v>
      </c>
      <c r="C16" s="6">
        <f>Gen!U21</f>
        <v>0.38958649789029537</v>
      </c>
      <c r="D16" s="145">
        <f>Gen!T21</f>
        <v>3555</v>
      </c>
      <c r="E16" s="145">
        <f>Gen!AK21</f>
        <v>0</v>
      </c>
      <c r="F16" s="145">
        <f>Gen!AS21</f>
        <v>0</v>
      </c>
      <c r="G16" s="146">
        <f>'Utility report '!AC16</f>
        <v>91</v>
      </c>
      <c r="H16" s="146">
        <f>'Utility report '!AE16</f>
        <v>78</v>
      </c>
      <c r="I16" s="281">
        <f>'Water-Meter'!E16</f>
        <v>101</v>
      </c>
      <c r="J16" s="147">
        <f>'Lpg (2)'!B20</f>
        <v>85</v>
      </c>
      <c r="K16" s="147">
        <f>'Lpg (2)'!C20</f>
        <v>0</v>
      </c>
      <c r="L16" s="147">
        <f>'Lpg (2)'!D20</f>
        <v>53</v>
      </c>
      <c r="M16" s="6">
        <f>'Lpg (2)'!G20</f>
        <v>148.54399999997696</v>
      </c>
      <c r="N16" s="144">
        <f t="shared" si="2"/>
        <v>4977</v>
      </c>
      <c r="O16" s="144">
        <f t="shared" si="2"/>
        <v>0</v>
      </c>
      <c r="P16" s="143" t="e">
        <f>'[1]Lpg (2)'!#REF!</f>
        <v>#REF!</v>
      </c>
      <c r="Q16" s="144" t="e">
        <f>'[1]Summery Report'!#REF!</f>
        <v>#REF!</v>
      </c>
      <c r="R16" s="144" t="e">
        <f t="shared" si="0"/>
        <v>#DIV/0!</v>
      </c>
      <c r="S16" s="429" t="e">
        <f t="shared" si="1"/>
        <v>#REF!</v>
      </c>
    </row>
    <row r="17" spans="1:19" ht="14.25">
      <c r="A17" s="428">
        <f>Gen!A22</f>
        <v>44359</v>
      </c>
      <c r="B17" s="6">
        <f>'Summery Report'!E16</f>
        <v>0</v>
      </c>
      <c r="C17" s="6">
        <f>Gen!U22</f>
        <v>0.39547938144329897</v>
      </c>
      <c r="D17" s="145">
        <f>Gen!T22</f>
        <v>3880</v>
      </c>
      <c r="E17" s="145">
        <f>Gen!AK22</f>
        <v>0</v>
      </c>
      <c r="F17" s="145">
        <f>Gen!AS22</f>
        <v>0</v>
      </c>
      <c r="G17" s="146">
        <f>'Utility report '!AC17</f>
        <v>101</v>
      </c>
      <c r="H17" s="146">
        <f>'Utility report '!AE17</f>
        <v>72</v>
      </c>
      <c r="I17" s="281">
        <f>'Water-Meter'!E17</f>
        <v>87</v>
      </c>
      <c r="J17" s="147">
        <f>'Lpg (2)'!B21</f>
        <v>85</v>
      </c>
      <c r="K17" s="147">
        <f>'Lpg (2)'!C22</f>
        <v>0</v>
      </c>
      <c r="L17" s="147">
        <f>'Lpg (2)'!D21</f>
        <v>40</v>
      </c>
      <c r="M17" s="6">
        <f>'Lpg (2)'!G21</f>
        <v>151.53600000001026</v>
      </c>
      <c r="N17" s="144">
        <f t="shared" si="2"/>
        <v>5432</v>
      </c>
      <c r="O17" s="144">
        <f t="shared" si="2"/>
        <v>0</v>
      </c>
      <c r="P17" s="143" t="e">
        <f>'[1]Lpg (2)'!#REF!</f>
        <v>#REF!</v>
      </c>
      <c r="Q17" s="144" t="e">
        <f>'[1]Summery Report'!#REF!</f>
        <v>#REF!</v>
      </c>
      <c r="R17" s="144" t="e">
        <f t="shared" si="0"/>
        <v>#DIV/0!</v>
      </c>
      <c r="S17" s="429" t="e">
        <f t="shared" si="1"/>
        <v>#REF!</v>
      </c>
    </row>
    <row r="18" spans="1:19" ht="14.25">
      <c r="A18" s="428">
        <f>Gen!A23</f>
        <v>44360</v>
      </c>
      <c r="B18" s="6">
        <f>'Summery Report'!E17</f>
        <v>0</v>
      </c>
      <c r="C18" s="6">
        <f>Gen!U23</f>
        <v>0.40886142738128295</v>
      </c>
      <c r="D18" s="145">
        <f>Gen!T23</f>
        <v>3601</v>
      </c>
      <c r="E18" s="145">
        <f>Gen!AK23</f>
        <v>0</v>
      </c>
      <c r="F18" s="145">
        <f>Gen!AS23</f>
        <v>0</v>
      </c>
      <c r="G18" s="146">
        <f>'Utility report '!AC18</f>
        <v>35</v>
      </c>
      <c r="H18" s="146">
        <f>'Utility report '!AE18</f>
        <v>71</v>
      </c>
      <c r="I18" s="281">
        <f>'Water-Meter'!E18</f>
        <v>71</v>
      </c>
      <c r="J18" s="147">
        <f>'Lpg (2)'!B22</f>
        <v>85</v>
      </c>
      <c r="K18" s="147">
        <f>'Lpg (2)'!C23</f>
        <v>0</v>
      </c>
      <c r="L18" s="147">
        <f>'Lpg (2)'!D22</f>
        <v>35</v>
      </c>
      <c r="M18" s="6">
        <f>'Lpg (2)'!G22</f>
        <v>152.32799999997951</v>
      </c>
      <c r="N18" s="144">
        <f t="shared" si="2"/>
        <v>5041.3999999999996</v>
      </c>
      <c r="O18" s="144">
        <f t="shared" si="2"/>
        <v>0</v>
      </c>
      <c r="P18" s="143" t="e">
        <f>'[1]Lpg (2)'!#REF!</f>
        <v>#REF!</v>
      </c>
      <c r="Q18" s="144" t="e">
        <f>'[1]Summery Report'!#REF!</f>
        <v>#REF!</v>
      </c>
      <c r="R18" s="144" t="e">
        <f t="shared" si="0"/>
        <v>#DIV/0!</v>
      </c>
      <c r="S18" s="429" t="e">
        <f t="shared" si="1"/>
        <v>#REF!</v>
      </c>
    </row>
    <row r="19" spans="1:19" ht="14.25">
      <c r="A19" s="428">
        <f>Gen!A24</f>
        <v>44361</v>
      </c>
      <c r="B19" s="6">
        <f>'Summery Report'!E18</f>
        <v>0</v>
      </c>
      <c r="C19" s="6">
        <f>Gen!U24</f>
        <v>0.39634121791645693</v>
      </c>
      <c r="D19" s="145">
        <f>Gen!T24</f>
        <v>3974</v>
      </c>
      <c r="E19" s="145">
        <f>Gen!AK24</f>
        <v>0</v>
      </c>
      <c r="F19" s="145">
        <f>Gen!AS24</f>
        <v>0</v>
      </c>
      <c r="G19" s="146">
        <f>'Utility report '!AC19</f>
        <v>175</v>
      </c>
      <c r="H19" s="146">
        <f>'Utility report '!AE19</f>
        <v>62</v>
      </c>
      <c r="I19" s="281">
        <f>'Water-Meter'!E19</f>
        <v>207</v>
      </c>
      <c r="J19" s="147">
        <f>'Lpg (2)'!B23</f>
        <v>85</v>
      </c>
      <c r="K19" s="147">
        <f>'Lpg (2)'!C24</f>
        <v>0</v>
      </c>
      <c r="L19" s="147">
        <f>'Lpg (2)'!D23</f>
        <v>27</v>
      </c>
      <c r="M19" s="6">
        <f>'Lpg (2)'!G23</f>
        <v>143.52800000004356</v>
      </c>
      <c r="N19" s="144">
        <f t="shared" si="2"/>
        <v>5563.5999999999995</v>
      </c>
      <c r="O19" s="144">
        <f t="shared" si="2"/>
        <v>0</v>
      </c>
      <c r="P19" s="143" t="e">
        <f>'[1]Lpg (2)'!#REF!</f>
        <v>#REF!</v>
      </c>
      <c r="Q19" s="144" t="e">
        <f>'[1]Summery Report'!#REF!</f>
        <v>#REF!</v>
      </c>
      <c r="R19" s="144" t="e">
        <f t="shared" si="0"/>
        <v>#DIV/0!</v>
      </c>
      <c r="S19" s="429" t="e">
        <f t="shared" si="1"/>
        <v>#REF!</v>
      </c>
    </row>
    <row r="20" spans="1:19" ht="14.25">
      <c r="A20" s="428">
        <f>Gen!A25</f>
        <v>44362</v>
      </c>
      <c r="B20" s="6">
        <f>'Summery Report'!E19</f>
        <v>0</v>
      </c>
      <c r="C20" s="6">
        <f>Gen!U25</f>
        <v>0.41262908177504887</v>
      </c>
      <c r="D20" s="145">
        <f>Gen!T25</f>
        <v>3583</v>
      </c>
      <c r="E20" s="145">
        <f>Gen!AK25</f>
        <v>0</v>
      </c>
      <c r="F20" s="145">
        <f>Gen!AS25</f>
        <v>0</v>
      </c>
      <c r="G20" s="146">
        <f>'Utility report '!AC20</f>
        <v>174</v>
      </c>
      <c r="H20" s="146">
        <f>'Utility report '!AE20</f>
        <v>55</v>
      </c>
      <c r="I20" s="281">
        <f>'Water-Meter'!E20</f>
        <v>222</v>
      </c>
      <c r="J20" s="147">
        <f>'Lpg (2)'!B24</f>
        <v>85</v>
      </c>
      <c r="K20" s="147">
        <f>'Lpg (2)'!C25</f>
        <v>0</v>
      </c>
      <c r="L20" s="147">
        <f>'Lpg (2)'!D24</f>
        <v>20</v>
      </c>
      <c r="M20" s="6">
        <f>'Lpg (2)'!G24</f>
        <v>117.52399999996415</v>
      </c>
      <c r="N20" s="144">
        <f t="shared" si="2"/>
        <v>5016.2</v>
      </c>
      <c r="O20" s="144">
        <f t="shared" si="2"/>
        <v>0</v>
      </c>
      <c r="P20" s="143" t="e">
        <f>'[1]Lpg (2)'!#REF!</f>
        <v>#REF!</v>
      </c>
      <c r="Q20" s="144" t="e">
        <f>'[1]Summery Report'!#REF!</f>
        <v>#REF!</v>
      </c>
      <c r="R20" s="144" t="e">
        <f t="shared" si="0"/>
        <v>#DIV/0!</v>
      </c>
      <c r="S20" s="429" t="e">
        <f t="shared" si="1"/>
        <v>#REF!</v>
      </c>
    </row>
    <row r="21" spans="1:19" ht="14.25">
      <c r="A21" s="428">
        <f>Gen!A26</f>
        <v>44363</v>
      </c>
      <c r="B21" s="6">
        <f>'Summery Report'!E20</f>
        <v>0</v>
      </c>
      <c r="C21" s="6">
        <f>Gen!U26</f>
        <v>0.38456713028668749</v>
      </c>
      <c r="D21" s="145">
        <f>Gen!T26</f>
        <v>3523</v>
      </c>
      <c r="E21" s="145">
        <f>Gen!AK26</f>
        <v>0</v>
      </c>
      <c r="F21" s="145">
        <f>Gen!AS26</f>
        <v>0</v>
      </c>
      <c r="G21" s="146">
        <f>'Utility report '!AC21</f>
        <v>98</v>
      </c>
      <c r="H21" s="146">
        <f>'Utility report '!AE21</f>
        <v>51</v>
      </c>
      <c r="I21" s="281">
        <f>'Water-Meter'!E21</f>
        <v>216</v>
      </c>
      <c r="J21" s="147">
        <f>'Lpg (2)'!B25</f>
        <v>85</v>
      </c>
      <c r="K21" s="147">
        <f>'Lpg (2)'!C25</f>
        <v>0</v>
      </c>
      <c r="L21" s="147">
        <f>'Lpg (2)'!D25</f>
        <v>15</v>
      </c>
      <c r="M21" s="6">
        <f>'Lpg (2)'!G25</f>
        <v>112.02400000002818</v>
      </c>
      <c r="N21" s="144">
        <f t="shared" si="2"/>
        <v>4932.2</v>
      </c>
      <c r="O21" s="144">
        <f t="shared" si="2"/>
        <v>0</v>
      </c>
      <c r="P21" s="143" t="e">
        <f>'[1]Lpg (2)'!#REF!</f>
        <v>#REF!</v>
      </c>
      <c r="Q21" s="144" t="e">
        <f>'[1]Summery Report'!#REF!</f>
        <v>#REF!</v>
      </c>
      <c r="R21" s="144" t="e">
        <f t="shared" si="0"/>
        <v>#DIV/0!</v>
      </c>
      <c r="S21" s="429" t="e">
        <f t="shared" si="1"/>
        <v>#REF!</v>
      </c>
    </row>
    <row r="22" spans="1:19" ht="14.25">
      <c r="A22" s="428">
        <f>Gen!A27</f>
        <v>44364</v>
      </c>
      <c r="B22" s="6">
        <f>'Summery Report'!E21</f>
        <v>0</v>
      </c>
      <c r="C22" s="6">
        <f>Gen!U27</f>
        <v>0.40001511487303509</v>
      </c>
      <c r="D22" s="145">
        <f>Gen!T27</f>
        <v>3308</v>
      </c>
      <c r="E22" s="145">
        <f>Gen!AK27</f>
        <v>0</v>
      </c>
      <c r="F22" s="145">
        <f>Gen!AS27</f>
        <v>0</v>
      </c>
      <c r="G22" s="146">
        <f>'Utility report '!AC22</f>
        <v>35</v>
      </c>
      <c r="H22" s="146">
        <f>'Utility report '!AE22</f>
        <v>36</v>
      </c>
      <c r="I22" s="281">
        <f>'Water-Meter'!E22</f>
        <v>79</v>
      </c>
      <c r="J22" s="147">
        <f>'Lpg (2)'!B26</f>
        <v>85</v>
      </c>
      <c r="K22" s="147">
        <f>'Lpg (2)'!C26</f>
        <v>0</v>
      </c>
      <c r="L22" s="147">
        <f>'Lpg (2)'!D26</f>
        <v>8</v>
      </c>
      <c r="M22" s="6">
        <f>'Lpg (2)'!G26</f>
        <v>129.00799999996673</v>
      </c>
      <c r="N22" s="144">
        <f t="shared" si="2"/>
        <v>4631.2</v>
      </c>
      <c r="O22" s="144">
        <f t="shared" si="2"/>
        <v>0</v>
      </c>
      <c r="P22" s="143" t="e">
        <f>'[1]Lpg (2)'!#REF!</f>
        <v>#REF!</v>
      </c>
      <c r="Q22" s="144" t="e">
        <f>'[1]Summery Report'!#REF!</f>
        <v>#REF!</v>
      </c>
      <c r="R22" s="144" t="e">
        <f t="shared" si="0"/>
        <v>#DIV/0!</v>
      </c>
      <c r="S22" s="429" t="e">
        <f t="shared" si="1"/>
        <v>#REF!</v>
      </c>
    </row>
    <row r="23" spans="1:19" ht="14.25">
      <c r="A23" s="428">
        <f>Gen!A28</f>
        <v>44365</v>
      </c>
      <c r="B23" s="6">
        <f>'Summery Report'!E22</f>
        <v>0</v>
      </c>
      <c r="C23" s="6">
        <f>Gen!U28</f>
        <v>0.42455985915492961</v>
      </c>
      <c r="D23" s="145">
        <f>Gen!T28</f>
        <v>3408</v>
      </c>
      <c r="E23" s="145">
        <f>Gen!AK28</f>
        <v>0</v>
      </c>
      <c r="F23" s="145">
        <f>Gen!AS28</f>
        <v>0</v>
      </c>
      <c r="G23" s="146">
        <f>'Utility report '!AC23</f>
        <v>93</v>
      </c>
      <c r="H23" s="146">
        <f>'Utility report '!AE23</f>
        <v>27</v>
      </c>
      <c r="I23" s="281">
        <f>'Water-Meter'!E23</f>
        <v>77</v>
      </c>
      <c r="J23" s="147">
        <f>'Lpg (2)'!B27</f>
        <v>85</v>
      </c>
      <c r="K23" s="147">
        <f>'Lpg (2)'!C27</f>
        <v>0</v>
      </c>
      <c r="L23" s="147">
        <f>'Lpg (2)'!D27</f>
        <v>4</v>
      </c>
      <c r="M23" s="6">
        <f>'Lpg (2)'!G27</f>
        <v>99.880000000051226</v>
      </c>
      <c r="N23" s="144">
        <f t="shared" si="2"/>
        <v>4771.2</v>
      </c>
      <c r="O23" s="144">
        <f t="shared" si="2"/>
        <v>0</v>
      </c>
      <c r="P23" s="143" t="e">
        <f>'[1]Lpg (2)'!#REF!</f>
        <v>#REF!</v>
      </c>
      <c r="Q23" s="144" t="e">
        <f>'[1]Summery Report'!#REF!</f>
        <v>#REF!</v>
      </c>
      <c r="R23" s="144" t="e">
        <f t="shared" si="0"/>
        <v>#DIV/0!</v>
      </c>
      <c r="S23" s="429" t="e">
        <f t="shared" si="1"/>
        <v>#REF!</v>
      </c>
    </row>
    <row r="24" spans="1:19" ht="14.25">
      <c r="A24" s="428">
        <f>Gen!A29</f>
        <v>44366</v>
      </c>
      <c r="B24" s="6">
        <f>'Summery Report'!E23</f>
        <v>0</v>
      </c>
      <c r="C24" s="6">
        <f>Gen!U29</f>
        <v>0.42113324624428478</v>
      </c>
      <c r="D24" s="145">
        <f>Gen!T29</f>
        <v>3062</v>
      </c>
      <c r="E24" s="145">
        <f>Gen!AK29</f>
        <v>0</v>
      </c>
      <c r="F24" s="145">
        <f>Gen!AS29</f>
        <v>0</v>
      </c>
      <c r="G24" s="146">
        <f>'Utility report '!AC24</f>
        <v>154</v>
      </c>
      <c r="H24" s="146">
        <f>'Utility report '!AE24</f>
        <v>27</v>
      </c>
      <c r="I24" s="281">
        <f>'Water-Meter'!E24</f>
        <v>80</v>
      </c>
      <c r="J24" s="147">
        <f>'Lpg (2)'!B28</f>
        <v>85</v>
      </c>
      <c r="K24" s="147">
        <f>'Lpg (2)'!C28</f>
        <v>0</v>
      </c>
      <c r="L24" s="147">
        <f>'Lpg (2)'!D28</f>
        <v>2</v>
      </c>
      <c r="M24" s="6">
        <f>'Lpg (2)'!G28</f>
        <v>106.52399999996415</v>
      </c>
      <c r="N24" s="144">
        <f t="shared" si="2"/>
        <v>4286.8</v>
      </c>
      <c r="O24" s="144">
        <f t="shared" si="2"/>
        <v>0</v>
      </c>
      <c r="P24" s="143" t="e">
        <f>'[1]Lpg (2)'!#REF!</f>
        <v>#REF!</v>
      </c>
      <c r="Q24" s="144" t="e">
        <f>'[1]Summery Report'!#REF!</f>
        <v>#REF!</v>
      </c>
      <c r="R24" s="144" t="e">
        <f t="shared" si="0"/>
        <v>#DIV/0!</v>
      </c>
      <c r="S24" s="429" t="e">
        <f t="shared" si="1"/>
        <v>#REF!</v>
      </c>
    </row>
    <row r="25" spans="1:19" ht="14.25">
      <c r="A25" s="428">
        <f>Gen!A30</f>
        <v>44367</v>
      </c>
      <c r="B25" s="6">
        <f>'Summery Report'!E24</f>
        <v>0</v>
      </c>
      <c r="C25" s="6">
        <f>Gen!U30</f>
        <v>0.40831384015594541</v>
      </c>
      <c r="D25" s="145">
        <f>Gen!T30</f>
        <v>3078</v>
      </c>
      <c r="E25" s="145">
        <f>Gen!AK30</f>
        <v>0</v>
      </c>
      <c r="F25" s="145">
        <f>Gen!AS30</f>
        <v>0</v>
      </c>
      <c r="G25" s="146">
        <f>'Utility report '!AC25</f>
        <v>157</v>
      </c>
      <c r="H25" s="146">
        <f>'Utility report '!AE25</f>
        <v>73</v>
      </c>
      <c r="I25" s="281">
        <f>'Water-Meter'!E25</f>
        <v>65</v>
      </c>
      <c r="J25" s="147">
        <f>'Lpg (2)'!B29</f>
        <v>85</v>
      </c>
      <c r="K25" s="147">
        <f>'Lpg (2)'!C29</f>
        <v>0</v>
      </c>
      <c r="L25" s="147">
        <f>'Lpg (2)'!D29</f>
        <v>1</v>
      </c>
      <c r="M25" s="6">
        <f>'Lpg (2)'!G29</f>
        <v>120.2520000000077</v>
      </c>
      <c r="N25" s="144">
        <f t="shared" si="2"/>
        <v>4309.2</v>
      </c>
      <c r="O25" s="144">
        <f t="shared" si="2"/>
        <v>0</v>
      </c>
      <c r="P25" s="143" t="e">
        <f>'[1]Lpg (2)'!#REF!</f>
        <v>#REF!</v>
      </c>
      <c r="Q25" s="144" t="e">
        <f>'[1]Summery Report'!#REF!</f>
        <v>#REF!</v>
      </c>
      <c r="R25" s="144" t="e">
        <f t="shared" si="0"/>
        <v>#DIV/0!</v>
      </c>
      <c r="S25" s="429" t="e">
        <f t="shared" si="1"/>
        <v>#REF!</v>
      </c>
    </row>
    <row r="26" spans="1:19" ht="14.25">
      <c r="A26" s="428">
        <f>Gen!A31</f>
        <v>44368</v>
      </c>
      <c r="B26" s="6">
        <f>'Summery Report'!E25</f>
        <v>0</v>
      </c>
      <c r="C26" s="6" t="e">
        <f>Gen!U31</f>
        <v>#DIV/0!</v>
      </c>
      <c r="D26" s="145">
        <f>Gen!T31</f>
        <v>0</v>
      </c>
      <c r="E26" s="145">
        <f>Gen!AK31</f>
        <v>0</v>
      </c>
      <c r="F26" s="145">
        <f>Gen!AS31</f>
        <v>0</v>
      </c>
      <c r="G26" s="146">
        <f>'Utility report '!AC26</f>
        <v>-4653</v>
      </c>
      <c r="H26" s="146">
        <f>'Utility report '!AE26</f>
        <v>-218382</v>
      </c>
      <c r="I26" s="281" t="str">
        <f>'Water-Meter'!E26</f>
        <v>0</v>
      </c>
      <c r="J26" s="147">
        <f>'Lpg (2)'!B30</f>
        <v>85</v>
      </c>
      <c r="K26" s="147">
        <f>'Lpg (2)'!C30</f>
        <v>0</v>
      </c>
      <c r="L26" s="147">
        <f>'Lpg (2)'!D30</f>
        <v>1</v>
      </c>
      <c r="M26" s="6">
        <f>'Lpg (2)'!G30</f>
        <v>77.043999999976961</v>
      </c>
      <c r="N26" s="144">
        <f t="shared" si="2"/>
        <v>0</v>
      </c>
      <c r="O26" s="144">
        <f t="shared" si="2"/>
        <v>0</v>
      </c>
      <c r="P26" s="143" t="e">
        <f>'[1]Lpg (2)'!#REF!</f>
        <v>#REF!</v>
      </c>
      <c r="Q26" s="144" t="e">
        <f>'[1]Summery Report'!#REF!</f>
        <v>#REF!</v>
      </c>
      <c r="R26" s="144" t="e">
        <f t="shared" si="0"/>
        <v>#DIV/0!</v>
      </c>
      <c r="S26" s="429" t="e">
        <f t="shared" si="1"/>
        <v>#REF!</v>
      </c>
    </row>
    <row r="27" spans="1:19" ht="14.25">
      <c r="A27" s="428">
        <f>Gen!A32</f>
        <v>44369</v>
      </c>
      <c r="B27" s="6">
        <f>'Summery Report'!E26</f>
        <v>0</v>
      </c>
      <c r="C27" s="6" t="e">
        <f>Gen!U32</f>
        <v>#DIV/0!</v>
      </c>
      <c r="D27" s="145">
        <f>Gen!T32</f>
        <v>0</v>
      </c>
      <c r="E27" s="145">
        <f>Gen!AK32</f>
        <v>0</v>
      </c>
      <c r="F27" s="145">
        <f>Gen!AS32</f>
        <v>0</v>
      </c>
      <c r="G27" s="146">
        <f>'Utility report '!AC27</f>
        <v>0</v>
      </c>
      <c r="H27" s="146">
        <f>'Utility report '!AE27</f>
        <v>0</v>
      </c>
      <c r="I27" s="281">
        <f>'Water-Meter'!E27</f>
        <v>0</v>
      </c>
      <c r="J27" s="147">
        <f>'Lpg (2)'!B31</f>
        <v>0</v>
      </c>
      <c r="K27" s="147">
        <f>'Lpg (2)'!C31</f>
        <v>0</v>
      </c>
      <c r="L27" s="147">
        <f>'Lpg (2)'!D31</f>
        <v>0</v>
      </c>
      <c r="M27" s="6">
        <f>'Lpg (2)'!G31</f>
        <v>-339889.17599999998</v>
      </c>
      <c r="N27" s="144">
        <f t="shared" si="2"/>
        <v>0</v>
      </c>
      <c r="O27" s="144">
        <f t="shared" si="2"/>
        <v>0</v>
      </c>
      <c r="P27" s="143" t="e">
        <f>'[1]Lpg (2)'!#REF!</f>
        <v>#REF!</v>
      </c>
      <c r="Q27" s="144" t="e">
        <f>'[1]Summery Report'!#REF!</f>
        <v>#REF!</v>
      </c>
      <c r="R27" s="144" t="e">
        <f t="shared" si="0"/>
        <v>#DIV/0!</v>
      </c>
      <c r="S27" s="429" t="e">
        <f t="shared" si="1"/>
        <v>#REF!</v>
      </c>
    </row>
    <row r="28" spans="1:19" ht="14.25">
      <c r="A28" s="428">
        <f>Gen!A33</f>
        <v>44370</v>
      </c>
      <c r="B28" s="6">
        <f>'Summery Report'!E27</f>
        <v>0</v>
      </c>
      <c r="C28" s="6" t="e">
        <f>Gen!U33</f>
        <v>#DIV/0!</v>
      </c>
      <c r="D28" s="145">
        <f>Gen!T33</f>
        <v>0</v>
      </c>
      <c r="E28" s="145">
        <f>Gen!AK33</f>
        <v>0</v>
      </c>
      <c r="F28" s="145">
        <f>Gen!AS33</f>
        <v>0</v>
      </c>
      <c r="G28" s="146">
        <f>'Utility report '!AC28</f>
        <v>0</v>
      </c>
      <c r="H28" s="146">
        <f>'Utility report '!AE28</f>
        <v>0</v>
      </c>
      <c r="I28" s="281">
        <f>'Water-Meter'!E28</f>
        <v>0</v>
      </c>
      <c r="J28" s="147">
        <f>'Lpg (2)'!B32</f>
        <v>0</v>
      </c>
      <c r="K28" s="147">
        <f>'Lpg (2)'!C32</f>
        <v>0</v>
      </c>
      <c r="L28" s="147">
        <f>'Lpg (2)'!D32</f>
        <v>0</v>
      </c>
      <c r="M28" s="6">
        <f>'Lpg (2)'!G32</f>
        <v>0</v>
      </c>
      <c r="N28" s="144">
        <f t="shared" si="2"/>
        <v>0</v>
      </c>
      <c r="O28" s="144">
        <f t="shared" si="2"/>
        <v>0</v>
      </c>
      <c r="P28" s="143" t="e">
        <f>'[1]Lpg (2)'!#REF!</f>
        <v>#REF!</v>
      </c>
      <c r="Q28" s="144" t="e">
        <f>'[1]Summery Report'!#REF!</f>
        <v>#REF!</v>
      </c>
      <c r="R28" s="144" t="e">
        <f t="shared" si="0"/>
        <v>#DIV/0!</v>
      </c>
      <c r="S28" s="429" t="e">
        <f t="shared" si="1"/>
        <v>#REF!</v>
      </c>
    </row>
    <row r="29" spans="1:19" ht="14.25">
      <c r="A29" s="428">
        <f>Gen!A34</f>
        <v>44371</v>
      </c>
      <c r="B29" s="6">
        <f>'Summery Report'!E28</f>
        <v>0</v>
      </c>
      <c r="C29" s="6" t="e">
        <f>Gen!U34</f>
        <v>#DIV/0!</v>
      </c>
      <c r="D29" s="145">
        <f>Gen!T34</f>
        <v>0</v>
      </c>
      <c r="E29" s="145">
        <f>Gen!AK34</f>
        <v>0</v>
      </c>
      <c r="F29" s="145">
        <f>Gen!AS34</f>
        <v>0</v>
      </c>
      <c r="G29" s="146">
        <f>'Utility report '!AC29</f>
        <v>0</v>
      </c>
      <c r="H29" s="146">
        <f>'Utility report '!AE29</f>
        <v>0</v>
      </c>
      <c r="I29" s="281">
        <f>'Water-Meter'!E29</f>
        <v>0</v>
      </c>
      <c r="J29" s="147">
        <f>'Lpg (2)'!B33</f>
        <v>0</v>
      </c>
      <c r="K29" s="147">
        <f>'Lpg (2)'!C33</f>
        <v>0</v>
      </c>
      <c r="L29" s="147">
        <f>'Lpg (2)'!D33</f>
        <v>0</v>
      </c>
      <c r="M29" s="6">
        <f>'Lpg (2)'!G33</f>
        <v>0</v>
      </c>
      <c r="N29" s="144">
        <f t="shared" si="2"/>
        <v>0</v>
      </c>
      <c r="O29" s="144">
        <f t="shared" si="2"/>
        <v>0</v>
      </c>
      <c r="P29" s="143" t="e">
        <f>'[1]Lpg (2)'!#REF!</f>
        <v>#REF!</v>
      </c>
      <c r="Q29" s="144" t="e">
        <f>'[1]Summery Report'!#REF!</f>
        <v>#REF!</v>
      </c>
      <c r="R29" s="144" t="e">
        <f t="shared" si="0"/>
        <v>#DIV/0!</v>
      </c>
      <c r="S29" s="429" t="e">
        <f t="shared" si="1"/>
        <v>#REF!</v>
      </c>
    </row>
    <row r="30" spans="1:19" ht="14.25">
      <c r="A30" s="428">
        <f>Gen!A35</f>
        <v>44372</v>
      </c>
      <c r="B30" s="6">
        <f>'Summery Report'!E29</f>
        <v>0</v>
      </c>
      <c r="C30" s="6" t="e">
        <f>Gen!U35</f>
        <v>#DIV/0!</v>
      </c>
      <c r="D30" s="145">
        <f>Gen!T35</f>
        <v>0</v>
      </c>
      <c r="E30" s="145">
        <f>Gen!AK35</f>
        <v>0</v>
      </c>
      <c r="F30" s="145">
        <f>Gen!AS35</f>
        <v>0</v>
      </c>
      <c r="G30" s="146">
        <f>'Utility report '!AC30</f>
        <v>0</v>
      </c>
      <c r="H30" s="146">
        <f>'Utility report '!AE30</f>
        <v>0</v>
      </c>
      <c r="I30" s="281">
        <f>'Water-Meter'!E30</f>
        <v>0</v>
      </c>
      <c r="J30" s="147">
        <f>'Lpg (2)'!B34</f>
        <v>0</v>
      </c>
      <c r="K30" s="147">
        <f>'Lpg (2)'!C34</f>
        <v>0</v>
      </c>
      <c r="L30" s="147">
        <f>'Lpg (2)'!D34</f>
        <v>0</v>
      </c>
      <c r="M30" s="6">
        <f>'Lpg (2)'!G34</f>
        <v>0</v>
      </c>
      <c r="N30" s="144">
        <f t="shared" si="2"/>
        <v>0</v>
      </c>
      <c r="O30" s="144">
        <f t="shared" si="2"/>
        <v>0</v>
      </c>
      <c r="P30" s="143" t="e">
        <f>'[1]Lpg (2)'!#REF!</f>
        <v>#REF!</v>
      </c>
      <c r="Q30" s="144" t="e">
        <f>'[1]Summery Report'!#REF!</f>
        <v>#REF!</v>
      </c>
      <c r="R30" s="144" t="e">
        <f t="shared" si="0"/>
        <v>#DIV/0!</v>
      </c>
      <c r="S30" s="429" t="e">
        <f t="shared" si="1"/>
        <v>#REF!</v>
      </c>
    </row>
    <row r="31" spans="1:19" ht="14.25">
      <c r="A31" s="428">
        <f>Gen!A36</f>
        <v>44373</v>
      </c>
      <c r="B31" s="6">
        <f>'Summery Report'!E30</f>
        <v>0</v>
      </c>
      <c r="C31" s="6" t="e">
        <f>Gen!U36</f>
        <v>#DIV/0!</v>
      </c>
      <c r="D31" s="145">
        <f>Gen!T36</f>
        <v>0</v>
      </c>
      <c r="E31" s="145">
        <f>Gen!AK36</f>
        <v>0</v>
      </c>
      <c r="F31" s="145">
        <f>Gen!AS36</f>
        <v>0</v>
      </c>
      <c r="G31" s="146">
        <f>'Utility report '!AC31</f>
        <v>0</v>
      </c>
      <c r="H31" s="146">
        <f>'Utility report '!AE31</f>
        <v>0</v>
      </c>
      <c r="I31" s="281">
        <f>'Water-Meter'!E31</f>
        <v>0</v>
      </c>
      <c r="J31" s="147">
        <f>'Lpg (2)'!B35</f>
        <v>0</v>
      </c>
      <c r="K31" s="147">
        <f>'Lpg (2)'!C35</f>
        <v>0</v>
      </c>
      <c r="L31" s="147">
        <f>'Lpg (2)'!D35</f>
        <v>0</v>
      </c>
      <c r="M31" s="6">
        <f>'Lpg (2)'!G35</f>
        <v>0</v>
      </c>
      <c r="N31" s="144">
        <f t="shared" si="2"/>
        <v>0</v>
      </c>
      <c r="O31" s="144">
        <f t="shared" si="2"/>
        <v>0</v>
      </c>
      <c r="P31" s="143" t="e">
        <f>'[1]Lpg (2)'!#REF!</f>
        <v>#REF!</v>
      </c>
      <c r="Q31" s="144" t="e">
        <f>'[1]Summery Report'!#REF!</f>
        <v>#REF!</v>
      </c>
      <c r="R31" s="144" t="e">
        <f t="shared" si="0"/>
        <v>#DIV/0!</v>
      </c>
      <c r="S31" s="429" t="e">
        <f t="shared" si="1"/>
        <v>#REF!</v>
      </c>
    </row>
    <row r="32" spans="1:19" ht="14.25">
      <c r="A32" s="428">
        <f>Gen!A37</f>
        <v>44374</v>
      </c>
      <c r="B32" s="6">
        <f>'Summery Report'!E31</f>
        <v>0</v>
      </c>
      <c r="C32" s="6" t="e">
        <f>Gen!U37</f>
        <v>#DIV/0!</v>
      </c>
      <c r="D32" s="145">
        <f>Gen!T37</f>
        <v>0</v>
      </c>
      <c r="E32" s="145">
        <f>Gen!AK37</f>
        <v>0</v>
      </c>
      <c r="F32" s="145">
        <f>Gen!AS37</f>
        <v>0</v>
      </c>
      <c r="G32" s="146">
        <f>'Utility report '!AC32</f>
        <v>0</v>
      </c>
      <c r="H32" s="146">
        <f>'Utility report '!AE32</f>
        <v>0</v>
      </c>
      <c r="I32" s="281">
        <f>'Water-Meter'!E32</f>
        <v>0</v>
      </c>
      <c r="J32" s="147">
        <f>'Lpg (2)'!B36</f>
        <v>0</v>
      </c>
      <c r="K32" s="147">
        <f>'Lpg (2)'!C36</f>
        <v>0</v>
      </c>
      <c r="L32" s="147">
        <f>'Lpg (2)'!D36</f>
        <v>0</v>
      </c>
      <c r="M32" s="6">
        <f>'Lpg (2)'!G36</f>
        <v>0</v>
      </c>
      <c r="N32" s="144">
        <f t="shared" si="2"/>
        <v>0</v>
      </c>
      <c r="O32" s="144">
        <f t="shared" si="2"/>
        <v>0</v>
      </c>
      <c r="P32" s="143" t="e">
        <f>'[1]Lpg (2)'!#REF!</f>
        <v>#REF!</v>
      </c>
      <c r="Q32" s="144" t="e">
        <f>'[1]Summery Report'!#REF!</f>
        <v>#REF!</v>
      </c>
      <c r="R32" s="144" t="e">
        <f t="shared" si="0"/>
        <v>#DIV/0!</v>
      </c>
      <c r="S32" s="429" t="e">
        <f t="shared" si="1"/>
        <v>#REF!</v>
      </c>
    </row>
    <row r="33" spans="1:19" ht="14.25">
      <c r="A33" s="428">
        <f>Gen!A38</f>
        <v>44375</v>
      </c>
      <c r="B33" s="6">
        <f>'Summery Report'!E32</f>
        <v>0</v>
      </c>
      <c r="C33" s="6" t="e">
        <f>Gen!U38</f>
        <v>#DIV/0!</v>
      </c>
      <c r="D33" s="145">
        <f>Gen!T38</f>
        <v>0</v>
      </c>
      <c r="E33" s="145">
        <f>Gen!AK38</f>
        <v>0</v>
      </c>
      <c r="F33" s="145">
        <f>Gen!AS38</f>
        <v>0</v>
      </c>
      <c r="G33" s="146">
        <f>'Utility report '!AC33</f>
        <v>0</v>
      </c>
      <c r="H33" s="146">
        <f>'Utility report '!AE33</f>
        <v>0</v>
      </c>
      <c r="I33" s="281">
        <f>'Water-Meter'!E33</f>
        <v>0</v>
      </c>
      <c r="J33" s="147">
        <f>'Lpg (2)'!B37</f>
        <v>0</v>
      </c>
      <c r="K33" s="147">
        <f>'Lpg (2)'!C37</f>
        <v>0</v>
      </c>
      <c r="L33" s="147">
        <f>'Lpg (2)'!D37</f>
        <v>0</v>
      </c>
      <c r="M33" s="6">
        <f>'Lpg (2)'!G37</f>
        <v>0</v>
      </c>
      <c r="N33" s="144">
        <f t="shared" si="2"/>
        <v>0</v>
      </c>
      <c r="O33" s="144">
        <f t="shared" si="2"/>
        <v>0</v>
      </c>
      <c r="P33" s="143" t="e">
        <f>'[1]Lpg (2)'!#REF!</f>
        <v>#REF!</v>
      </c>
      <c r="Q33" s="144" t="e">
        <f>'[1]Summery Report'!#REF!</f>
        <v>#REF!</v>
      </c>
      <c r="R33" s="144" t="e">
        <f t="shared" si="0"/>
        <v>#DIV/0!</v>
      </c>
      <c r="S33" s="429" t="e">
        <f t="shared" si="1"/>
        <v>#REF!</v>
      </c>
    </row>
    <row r="34" spans="1:19" ht="14.25">
      <c r="A34" s="428">
        <f>Gen!A39</f>
        <v>44376</v>
      </c>
      <c r="B34" s="6">
        <f>'Summery Report'!E33</f>
        <v>0</v>
      </c>
      <c r="C34" s="6" t="e">
        <f>Gen!U39</f>
        <v>#DIV/0!</v>
      </c>
      <c r="D34" s="145">
        <f>Gen!T39</f>
        <v>0</v>
      </c>
      <c r="E34" s="145">
        <f>Gen!AK39</f>
        <v>0</v>
      </c>
      <c r="F34" s="145">
        <f>Gen!AS39</f>
        <v>0</v>
      </c>
      <c r="G34" s="146">
        <f>'Utility report '!AC34</f>
        <v>0</v>
      </c>
      <c r="H34" s="146">
        <f>'Utility report '!AE34</f>
        <v>0</v>
      </c>
      <c r="I34" s="281">
        <f>'Water-Meter'!E34</f>
        <v>0</v>
      </c>
      <c r="J34" s="147">
        <f>'Lpg (2)'!B38</f>
        <v>0</v>
      </c>
      <c r="K34" s="147">
        <f>'Lpg (2)'!C38</f>
        <v>0</v>
      </c>
      <c r="L34" s="147">
        <f>'Lpg (2)'!D38</f>
        <v>0</v>
      </c>
      <c r="M34" s="6">
        <f>'Lpg (2)'!G38</f>
        <v>0</v>
      </c>
      <c r="N34" s="144">
        <f t="shared" si="2"/>
        <v>0</v>
      </c>
      <c r="O34" s="144">
        <f t="shared" si="2"/>
        <v>0</v>
      </c>
      <c r="P34" s="143" t="e">
        <f>'[1]Lpg (2)'!#REF!</f>
        <v>#REF!</v>
      </c>
      <c r="Q34" s="144" t="e">
        <f>'[1]Summery Report'!#REF!</f>
        <v>#REF!</v>
      </c>
      <c r="R34" s="144" t="e">
        <f t="shared" si="0"/>
        <v>#DIV/0!</v>
      </c>
      <c r="S34" s="429" t="e">
        <f t="shared" si="1"/>
        <v>#REF!</v>
      </c>
    </row>
    <row r="35" spans="1:19" ht="14.25">
      <c r="A35" s="428">
        <f>Gen!A40</f>
        <v>44377</v>
      </c>
      <c r="B35" s="6">
        <f>'Summery Report'!E34</f>
        <v>0</v>
      </c>
      <c r="C35" s="6" t="e">
        <f>Gen!U40</f>
        <v>#DIV/0!</v>
      </c>
      <c r="D35" s="145">
        <f>Gen!T40</f>
        <v>0</v>
      </c>
      <c r="E35" s="145">
        <f>Gen!AK40</f>
        <v>0</v>
      </c>
      <c r="F35" s="145">
        <f>Gen!AS40</f>
        <v>0</v>
      </c>
      <c r="G35" s="146">
        <f>'Utility report '!AC35</f>
        <v>0</v>
      </c>
      <c r="H35" s="146">
        <f>'Utility report '!AE35</f>
        <v>0</v>
      </c>
      <c r="I35" s="281">
        <f>'Water-Meter'!E35</f>
        <v>0</v>
      </c>
      <c r="J35" s="147">
        <f>'Lpg (2)'!B39</f>
        <v>0</v>
      </c>
      <c r="K35" s="147">
        <f>'Lpg (2)'!C39</f>
        <v>0</v>
      </c>
      <c r="L35" s="147">
        <f>'Lpg (2)'!D39</f>
        <v>0</v>
      </c>
      <c r="M35" s="6">
        <f>'Lpg (2)'!G39</f>
        <v>0</v>
      </c>
      <c r="N35" s="144">
        <f t="shared" si="2"/>
        <v>0</v>
      </c>
      <c r="O35" s="144">
        <f t="shared" si="2"/>
        <v>0</v>
      </c>
      <c r="P35" s="143" t="e">
        <f>'[1]Lpg (2)'!#REF!</f>
        <v>#REF!</v>
      </c>
      <c r="Q35" s="144" t="e">
        <f>'[1]Summery Report'!#REF!</f>
        <v>#REF!</v>
      </c>
      <c r="R35" s="144" t="e">
        <f t="shared" si="0"/>
        <v>#DIV/0!</v>
      </c>
      <c r="S35" s="429" t="e">
        <f t="shared" si="1"/>
        <v>#REF!</v>
      </c>
    </row>
    <row r="36" spans="1:19" ht="14.25">
      <c r="A36" s="428">
        <f>Gen!A41</f>
        <v>0</v>
      </c>
      <c r="B36" s="6">
        <f>'Summery Report'!E35</f>
        <v>0</v>
      </c>
      <c r="C36" s="6">
        <f>Gen!U41</f>
        <v>0</v>
      </c>
      <c r="D36" s="145">
        <f>Gen!T41</f>
        <v>0</v>
      </c>
      <c r="E36" s="145">
        <f>Gen!AK41</f>
        <v>0</v>
      </c>
      <c r="F36" s="145">
        <f>Gen!AS41</f>
        <v>0</v>
      </c>
      <c r="G36" s="146">
        <f>'Utility report '!AC36</f>
        <v>0</v>
      </c>
      <c r="H36" s="146">
        <f>'Utility report '!AE36</f>
        <v>0</v>
      </c>
      <c r="I36" s="281">
        <f>'Water-Meter'!E36</f>
        <v>0</v>
      </c>
      <c r="J36" s="147">
        <f>'Lpg (2)'!B40</f>
        <v>0</v>
      </c>
      <c r="K36" s="147">
        <f>'Lpg (2)'!C40</f>
        <v>0</v>
      </c>
      <c r="L36" s="147">
        <f>'Lpg (2)'!D40</f>
        <v>0</v>
      </c>
      <c r="M36" s="6">
        <f>'Lpg (2)'!G40</f>
        <v>0</v>
      </c>
      <c r="N36" s="144">
        <f t="shared" si="2"/>
        <v>0</v>
      </c>
      <c r="O36" s="144">
        <f t="shared" si="2"/>
        <v>0</v>
      </c>
      <c r="P36" s="143" t="e">
        <f>'[1]Lpg (2)'!#REF!</f>
        <v>#REF!</v>
      </c>
      <c r="Q36" s="144" t="e">
        <f>'[1]Summery Report'!#REF!</f>
        <v>#REF!</v>
      </c>
      <c r="R36" s="144" t="e">
        <f t="shared" si="0"/>
        <v>#DIV/0!</v>
      </c>
      <c r="S36" s="429" t="e">
        <f t="shared" si="1"/>
        <v>#REF!</v>
      </c>
    </row>
    <row r="37" spans="1:19" ht="14.25">
      <c r="A37" s="428"/>
      <c r="B37" s="6">
        <f>'Summery Report'!E36</f>
        <v>0</v>
      </c>
      <c r="C37" s="6">
        <f>Gen!U42</f>
        <v>0</v>
      </c>
      <c r="D37" s="145">
        <f>Gen!T42</f>
        <v>0</v>
      </c>
      <c r="E37" s="145">
        <f>Gen!AK42</f>
        <v>0</v>
      </c>
      <c r="F37" s="145">
        <f>Gen!AS42</f>
        <v>0</v>
      </c>
      <c r="G37" s="146">
        <f>'Utility report '!AC37</f>
        <v>0</v>
      </c>
      <c r="H37" s="146">
        <f>'Utility report '!AE37</f>
        <v>0</v>
      </c>
      <c r="I37" s="281">
        <f>'Water-Meter'!E37</f>
        <v>0</v>
      </c>
      <c r="J37" s="147">
        <f>'Lpg (2)'!B41</f>
        <v>0</v>
      </c>
      <c r="K37" s="147">
        <f>'Lpg (2)'!C41</f>
        <v>0</v>
      </c>
      <c r="L37" s="147">
        <f>'Lpg (2)'!D41</f>
        <v>0</v>
      </c>
      <c r="M37" s="6">
        <f>'Lpg (2)'!G41</f>
        <v>0</v>
      </c>
      <c r="N37" s="6"/>
      <c r="O37" s="6"/>
      <c r="P37" s="6"/>
      <c r="Q37" s="144" t="e">
        <f>'[1]Summery Report'!#REF!</f>
        <v>#REF!</v>
      </c>
      <c r="R37" s="144" t="e">
        <f t="shared" si="0"/>
        <v>#DIV/0!</v>
      </c>
      <c r="S37" s="429" t="e">
        <f t="shared" si="1"/>
        <v>#REF!</v>
      </c>
    </row>
    <row r="38" spans="1:19" ht="14.25">
      <c r="A38" s="428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30"/>
    </row>
    <row r="39" spans="1:19" ht="13.5" thickBot="1">
      <c r="A39" s="52" t="s">
        <v>61</v>
      </c>
      <c r="B39" s="431">
        <f>SUM(B7:B37)</f>
        <v>0</v>
      </c>
      <c r="C39" s="431" t="e">
        <f>SUM(C7:C35)</f>
        <v>#DIV/0!</v>
      </c>
      <c r="D39" s="431">
        <f>SUM(D7:D35)</f>
        <v>65811</v>
      </c>
      <c r="E39" s="431">
        <f t="shared" ref="E39:S39" si="3">SUM(E7:E35)</f>
        <v>0</v>
      </c>
      <c r="F39" s="431">
        <f t="shared" si="3"/>
        <v>0</v>
      </c>
      <c r="G39" s="431">
        <f t="shared" si="3"/>
        <v>-2819</v>
      </c>
      <c r="H39" s="431">
        <f t="shared" si="3"/>
        <v>-217356</v>
      </c>
      <c r="I39" s="431">
        <f t="shared" si="3"/>
        <v>1883</v>
      </c>
      <c r="J39" s="431">
        <f t="shared" si="3"/>
        <v>1700</v>
      </c>
      <c r="K39" s="431">
        <f t="shared" si="3"/>
        <v>71</v>
      </c>
      <c r="L39" s="431">
        <f t="shared" si="3"/>
        <v>931</v>
      </c>
      <c r="M39" s="431">
        <f t="shared" si="3"/>
        <v>-337532.8</v>
      </c>
      <c r="N39" s="431">
        <f t="shared" si="3"/>
        <v>92135.4</v>
      </c>
      <c r="O39" s="431">
        <f t="shared" si="3"/>
        <v>0</v>
      </c>
      <c r="P39" s="431" t="e">
        <f t="shared" si="3"/>
        <v>#REF!</v>
      </c>
      <c r="Q39" s="431" t="e">
        <f t="shared" si="3"/>
        <v>#REF!</v>
      </c>
      <c r="R39" s="431" t="e">
        <f t="shared" si="3"/>
        <v>#DIV/0!</v>
      </c>
      <c r="S39" s="432" t="e">
        <f t="shared" si="3"/>
        <v>#REF!</v>
      </c>
    </row>
    <row r="42" spans="1:19">
      <c r="I42" s="497"/>
    </row>
    <row r="43" spans="1:19">
      <c r="I43" s="497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AK74"/>
  <sheetViews>
    <sheetView zoomScalePageLayoutView="85" workbookViewId="0">
      <pane xSplit="1" topLeftCell="N2" activePane="topRight" state="frozen"/>
      <selection pane="topRight" activeCell="AB26" sqref="AB26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36">
        <f>A6</f>
        <v>44348</v>
      </c>
      <c r="B1" s="837"/>
      <c r="C1" s="837"/>
      <c r="D1" s="837"/>
      <c r="E1" s="837"/>
      <c r="F1" s="837"/>
      <c r="G1" s="837"/>
      <c r="H1" s="837"/>
      <c r="I1" s="837"/>
      <c r="J1" s="837"/>
      <c r="K1" s="837"/>
      <c r="L1" s="837"/>
      <c r="M1" s="837"/>
      <c r="N1" s="837"/>
      <c r="O1" s="837"/>
      <c r="P1" s="837"/>
      <c r="Q1" s="837"/>
      <c r="R1" s="837"/>
      <c r="S1" s="837"/>
      <c r="T1" s="837"/>
      <c r="U1" s="837"/>
      <c r="V1" s="837"/>
      <c r="W1" s="837"/>
      <c r="X1" s="837"/>
      <c r="Y1" s="837"/>
      <c r="Z1" s="837"/>
      <c r="AA1" s="837"/>
      <c r="AB1" s="837"/>
      <c r="AC1" s="837"/>
      <c r="AD1" s="837"/>
      <c r="AE1" s="837"/>
      <c r="AF1" s="837"/>
      <c r="AG1" s="837"/>
      <c r="AH1" s="837"/>
      <c r="AI1" s="837"/>
      <c r="AJ1" s="837"/>
      <c r="AK1" s="838"/>
    </row>
    <row r="2" spans="1:37" ht="61.5" customHeight="1" thickBot="1">
      <c r="A2" s="132" t="s">
        <v>62</v>
      </c>
      <c r="B2" s="839" t="s">
        <v>63</v>
      </c>
      <c r="C2" s="840"/>
      <c r="D2" s="841"/>
      <c r="E2" s="133"/>
      <c r="F2" s="133"/>
      <c r="G2" s="133"/>
      <c r="H2" s="130" t="s">
        <v>64</v>
      </c>
      <c r="I2" s="705" t="s">
        <v>65</v>
      </c>
      <c r="J2" s="707" t="s">
        <v>66</v>
      </c>
      <c r="K2" s="708"/>
      <c r="L2" s="709" t="s">
        <v>67</v>
      </c>
      <c r="M2" s="818" t="s">
        <v>68</v>
      </c>
      <c r="N2" s="269" t="s">
        <v>69</v>
      </c>
      <c r="O2" s="829" t="s">
        <v>70</v>
      </c>
      <c r="P2" s="829"/>
      <c r="Q2" s="829"/>
      <c r="R2" s="829"/>
      <c r="S2" s="829"/>
      <c r="T2" s="829"/>
      <c r="U2" s="829"/>
      <c r="V2" s="829"/>
      <c r="W2" s="829"/>
      <c r="X2" s="829"/>
      <c r="Y2" s="829"/>
      <c r="Z2" s="829"/>
      <c r="AA2" s="269" t="s">
        <v>71</v>
      </c>
      <c r="AB2" s="839" t="s">
        <v>72</v>
      </c>
      <c r="AC2" s="841"/>
      <c r="AD2" s="129">
        <v>0</v>
      </c>
      <c r="AE2" s="382" t="s">
        <v>50</v>
      </c>
      <c r="AF2" s="134" t="s">
        <v>73</v>
      </c>
      <c r="AG2" s="130" t="s">
        <v>74</v>
      </c>
      <c r="AH2" s="134" t="s">
        <v>75</v>
      </c>
      <c r="AI2" s="130" t="s">
        <v>76</v>
      </c>
      <c r="AJ2" s="131" t="s">
        <v>77</v>
      </c>
      <c r="AK2" s="130" t="s">
        <v>78</v>
      </c>
    </row>
    <row r="3" spans="1:37" ht="44.25" customHeight="1" thickBot="1">
      <c r="A3" s="137" t="s">
        <v>79</v>
      </c>
      <c r="B3" s="138">
        <v>1640</v>
      </c>
      <c r="C3" s="136" t="s">
        <v>80</v>
      </c>
      <c r="D3" s="138">
        <v>2175</v>
      </c>
      <c r="E3" s="139"/>
      <c r="F3" s="842">
        <f>SUM(D3/B3)</f>
        <v>1.3262195121951219</v>
      </c>
      <c r="G3" s="843"/>
      <c r="H3" s="122">
        <f>Gen!C11</f>
        <v>46478.349999999991</v>
      </c>
      <c r="I3" s="819"/>
      <c r="J3" s="710"/>
      <c r="K3" s="711" t="s">
        <v>81</v>
      </c>
      <c r="L3" s="710"/>
      <c r="M3" s="590" t="s">
        <v>82</v>
      </c>
      <c r="N3" s="710"/>
      <c r="O3" s="829" t="s">
        <v>83</v>
      </c>
      <c r="P3" s="829"/>
      <c r="Q3" s="829"/>
      <c r="R3" s="829"/>
      <c r="S3" s="830" t="s">
        <v>84</v>
      </c>
      <c r="T3" s="831"/>
      <c r="U3" s="831"/>
      <c r="V3" s="832"/>
      <c r="W3" s="833" t="s">
        <v>85</v>
      </c>
      <c r="X3" s="834"/>
      <c r="Y3" s="834"/>
      <c r="Z3" s="835"/>
      <c r="AA3" s="271" t="s">
        <v>86</v>
      </c>
      <c r="AB3" s="121" t="s">
        <v>82</v>
      </c>
      <c r="AD3" s="121">
        <v>0</v>
      </c>
      <c r="AE3" s="121" t="s">
        <v>87</v>
      </c>
      <c r="AF3" s="699" t="s">
        <v>88</v>
      </c>
      <c r="AG3" s="700" t="s">
        <v>88</v>
      </c>
      <c r="AH3" s="382" t="s">
        <v>88</v>
      </c>
      <c r="AI3" s="129" t="s">
        <v>89</v>
      </c>
      <c r="AJ3" s="701" t="s">
        <v>86</v>
      </c>
      <c r="AK3" s="702" t="s">
        <v>86</v>
      </c>
    </row>
    <row r="4" spans="1:37" ht="60.75" thickBot="1">
      <c r="A4" s="163"/>
      <c r="B4" s="164" t="s">
        <v>90</v>
      </c>
      <c r="C4" s="165" t="s">
        <v>33</v>
      </c>
      <c r="D4" s="166" t="s">
        <v>91</v>
      </c>
      <c r="E4" s="167"/>
      <c r="F4" s="167" t="s">
        <v>92</v>
      </c>
      <c r="G4" s="167" t="s">
        <v>93</v>
      </c>
      <c r="H4" s="168"/>
      <c r="I4" s="706"/>
      <c r="J4" s="720"/>
      <c r="K4" s="274"/>
      <c r="L4" s="709"/>
      <c r="M4" s="712"/>
      <c r="N4" s="269"/>
      <c r="O4" s="713" t="s">
        <v>94</v>
      </c>
      <c r="P4" s="273" t="s">
        <v>95</v>
      </c>
      <c r="Q4" s="273" t="s">
        <v>96</v>
      </c>
      <c r="R4" s="166" t="s">
        <v>97</v>
      </c>
      <c r="S4" s="272" t="s">
        <v>94</v>
      </c>
      <c r="T4" s="273" t="s">
        <v>95</v>
      </c>
      <c r="U4" s="273" t="s">
        <v>96</v>
      </c>
      <c r="V4" s="166" t="s">
        <v>97</v>
      </c>
      <c r="W4" s="272" t="s">
        <v>94</v>
      </c>
      <c r="X4" s="274" t="s">
        <v>98</v>
      </c>
      <c r="Y4" s="274" t="s">
        <v>96</v>
      </c>
      <c r="Z4" s="273" t="s">
        <v>97</v>
      </c>
      <c r="AA4" s="275" t="s">
        <v>99</v>
      </c>
      <c r="AB4" s="171"/>
      <c r="AC4" s="169" t="s">
        <v>99</v>
      </c>
      <c r="AD4" s="171"/>
      <c r="AE4" s="169" t="s">
        <v>99</v>
      </c>
      <c r="AF4" s="703">
        <v>2000</v>
      </c>
      <c r="AG4" s="704">
        <v>1000</v>
      </c>
      <c r="AH4" s="818">
        <v>1000</v>
      </c>
      <c r="AI4" s="121" t="e" vm="1">
        <f>SUM([2]Sheet1!$AA$36)</f>
        <v>#VALUE!</v>
      </c>
      <c r="AJ4" s="820" t="s">
        <v>100</v>
      </c>
      <c r="AK4" s="121" t="s">
        <v>99</v>
      </c>
    </row>
    <row r="5" spans="1:37" ht="18.75">
      <c r="A5" s="715"/>
      <c r="B5" s="723"/>
      <c r="C5" s="724"/>
      <c r="D5" s="725"/>
      <c r="E5" s="725"/>
      <c r="F5" s="725"/>
      <c r="G5" s="725"/>
      <c r="H5" s="726"/>
      <c r="I5" s="726"/>
      <c r="J5" s="659"/>
      <c r="K5" s="677"/>
      <c r="L5" s="123"/>
      <c r="M5" s="448"/>
      <c r="N5" s="714"/>
      <c r="O5" s="658"/>
      <c r="P5" s="676">
        <v>19038</v>
      </c>
      <c r="Q5" s="687"/>
      <c r="R5" s="677"/>
      <c r="S5" s="658"/>
      <c r="T5" s="665">
        <v>18104</v>
      </c>
      <c r="U5" s="658"/>
      <c r="V5" s="677"/>
      <c r="W5" s="658"/>
      <c r="X5" s="670">
        <v>28478</v>
      </c>
      <c r="Y5" s="658"/>
      <c r="Z5" s="663"/>
      <c r="AA5" s="673"/>
      <c r="AB5" s="672">
        <v>2779</v>
      </c>
      <c r="AC5" s="658"/>
      <c r="AD5" s="657">
        <v>217283</v>
      </c>
      <c r="AE5" s="660"/>
      <c r="AF5" s="680">
        <v>0.85</v>
      </c>
      <c r="AG5" s="681">
        <v>0.85</v>
      </c>
      <c r="AH5" s="694">
        <v>0.85</v>
      </c>
      <c r="AI5" s="684"/>
      <c r="AJ5" s="673"/>
      <c r="AK5" s="673"/>
    </row>
    <row r="6" spans="1:37" ht="18.75">
      <c r="A6" s="716">
        <f>Gen!A11</f>
        <v>44348</v>
      </c>
      <c r="B6" s="406">
        <f>'Summery Report'!E5</f>
        <v>0</v>
      </c>
      <c r="C6" s="721">
        <f>Gen!B11</f>
        <v>0.2</v>
      </c>
      <c r="D6" s="683">
        <f>'Summery Report'!E5</f>
        <v>0</v>
      </c>
      <c r="E6" s="683">
        <f>SUM(F3)</f>
        <v>1.3262195121951219</v>
      </c>
      <c r="F6" s="418" t="e">
        <f>SUM(J6*E6)/D6</f>
        <v>#DIV/0!</v>
      </c>
      <c r="G6" s="418" t="e">
        <f t="shared" ref="G6:G36" si="0">SUM(L6*E6)/D6</f>
        <v>#DIV/0!</v>
      </c>
      <c r="H6" s="683">
        <f>Gen!C11</f>
        <v>46478.349999999991</v>
      </c>
      <c r="I6" s="683">
        <f>Gen!E11</f>
        <v>0</v>
      </c>
      <c r="J6" s="722">
        <f>Gen!T11</f>
        <v>2783</v>
      </c>
      <c r="K6" s="727">
        <f>Gen!AK11</f>
        <v>0</v>
      </c>
      <c r="L6" s="718">
        <f t="shared" ref="L6:L13" si="1">SUM(J6:K6)</f>
        <v>2783</v>
      </c>
      <c r="M6" s="427">
        <f>'Water-Meter'!K46</f>
        <v>466.05157981697852</v>
      </c>
      <c r="N6" s="678">
        <f>'Water-Meter'!E6</f>
        <v>88</v>
      </c>
      <c r="O6" s="658">
        <v>1.6</v>
      </c>
      <c r="P6" s="676">
        <v>19038</v>
      </c>
      <c r="Q6" s="688">
        <f t="shared" ref="Q6:Q36" si="2">SUM(P6-P5)</f>
        <v>0</v>
      </c>
      <c r="R6" s="407">
        <f>SUM(Q6*O6)</f>
        <v>0</v>
      </c>
      <c r="S6" s="658">
        <v>1.7</v>
      </c>
      <c r="T6" s="665">
        <v>18104</v>
      </c>
      <c r="U6" s="688">
        <f>T6-T5</f>
        <v>0</v>
      </c>
      <c r="V6" s="408" t="s">
        <v>101</v>
      </c>
      <c r="W6" s="658">
        <v>1.5</v>
      </c>
      <c r="X6" s="670">
        <v>28501</v>
      </c>
      <c r="Y6" s="688">
        <f>X6-X5</f>
        <v>23</v>
      </c>
      <c r="Z6" s="671">
        <f t="shared" ref="Z6:AA6" si="3">Y6-Y5</f>
        <v>23</v>
      </c>
      <c r="AA6" s="674">
        <f t="shared" si="3"/>
        <v>23</v>
      </c>
      <c r="AB6" s="672">
        <v>2819</v>
      </c>
      <c r="AC6" s="655">
        <f>AB6-AB5</f>
        <v>40</v>
      </c>
      <c r="AD6" s="657">
        <v>217356</v>
      </c>
      <c r="AE6" s="170">
        <f>AD6-AD5</f>
        <v>73</v>
      </c>
      <c r="AF6" s="682">
        <f>'Lpg (2)'!B10*2000/85</f>
        <v>2000</v>
      </c>
      <c r="AG6" s="252">
        <f>'Lpg (2)'!C10*1000/85</f>
        <v>294.11764705882354</v>
      </c>
      <c r="AH6" s="695">
        <f>'Lpg (2)'!D10*1000/85</f>
        <v>1000</v>
      </c>
      <c r="AI6" s="685">
        <f>SUM(AF6*2000)+(AG6*1000)+(AH6*1000)</f>
        <v>5294117.6470588231</v>
      </c>
      <c r="AJ6" s="409">
        <f t="shared" ref="AJ6:AJ36" si="4">SUM(AI5-AI6)</f>
        <v>-5294117.6470588231</v>
      </c>
      <c r="AK6" s="127"/>
    </row>
    <row r="7" spans="1:37" ht="18.75">
      <c r="A7" s="716">
        <f>Gen!A12</f>
        <v>44349</v>
      </c>
      <c r="B7" s="406">
        <f>'Summery Report'!E6</f>
        <v>0</v>
      </c>
      <c r="C7" s="721">
        <f>Gen!B12</f>
        <v>0.12</v>
      </c>
      <c r="D7" s="683">
        <f>'Summery Report'!E6</f>
        <v>0</v>
      </c>
      <c r="E7" s="683">
        <f>SUM(E6)</f>
        <v>1.3262195121951219</v>
      </c>
      <c r="F7" s="418" t="e">
        <f>SUM(J7*E7)/D7</f>
        <v>#DIV/0!</v>
      </c>
      <c r="G7" s="418" t="e">
        <f t="shared" si="0"/>
        <v>#DIV/0!</v>
      </c>
      <c r="H7" s="683">
        <f>Gen!C12</f>
        <v>45292.749999999993</v>
      </c>
      <c r="I7" s="683">
        <f>Gen!E12</f>
        <v>0</v>
      </c>
      <c r="J7" s="722">
        <f>Gen!T12</f>
        <v>3815</v>
      </c>
      <c r="K7" s="727">
        <f>Gen!AK12</f>
        <v>0</v>
      </c>
      <c r="L7" s="718">
        <f t="shared" si="1"/>
        <v>3815</v>
      </c>
      <c r="M7" s="427">
        <f>'Water-Meter'!K47</f>
        <v>389.44189654600564</v>
      </c>
      <c r="N7" s="678">
        <f>'Water-Meter'!E7</f>
        <v>78</v>
      </c>
      <c r="O7" s="658">
        <v>1.6</v>
      </c>
      <c r="P7" s="676">
        <v>19038</v>
      </c>
      <c r="Q7" s="688">
        <f t="shared" si="2"/>
        <v>0</v>
      </c>
      <c r="R7" s="407">
        <f t="shared" ref="R7:R36" si="5">SUM(Q7*O7)</f>
        <v>0</v>
      </c>
      <c r="S7" s="658">
        <v>1.7</v>
      </c>
      <c r="T7" s="665">
        <v>18130</v>
      </c>
      <c r="U7" s="688">
        <f t="shared" ref="U7:U36" si="6">T7-T6</f>
        <v>26</v>
      </c>
      <c r="V7" s="408">
        <f t="shared" ref="V7:V8" si="7">SUM(U7*S7)</f>
        <v>44.199999999999996</v>
      </c>
      <c r="W7" s="658">
        <v>1.5</v>
      </c>
      <c r="X7" s="670">
        <v>28511</v>
      </c>
      <c r="Y7" s="688">
        <f t="shared" ref="Y7:Y36" si="8">X7-X6</f>
        <v>10</v>
      </c>
      <c r="Z7" s="668">
        <f t="shared" ref="Z7:Z36" si="9">SUM(Y7*W7)</f>
        <v>15</v>
      </c>
      <c r="AA7" s="675">
        <f t="shared" ref="AA7:AA36" si="10">SUM(Z7*X9)</f>
        <v>427785</v>
      </c>
      <c r="AB7" s="672">
        <v>2896</v>
      </c>
      <c r="AC7" s="655">
        <f t="shared" ref="AC7:AC27" si="11">AB7-AB6</f>
        <v>77</v>
      </c>
      <c r="AD7" s="657">
        <v>217426</v>
      </c>
      <c r="AE7" s="170">
        <f>AD7-AD6</f>
        <v>70</v>
      </c>
      <c r="AF7" s="682">
        <f>'Lpg (2)'!B11*2000/85</f>
        <v>2000</v>
      </c>
      <c r="AG7" s="252">
        <f>'Lpg (2)'!C11*1000/85</f>
        <v>235.29411764705881</v>
      </c>
      <c r="AH7" s="695">
        <f>'Lpg (2)'!D11*1000/85</f>
        <v>1000</v>
      </c>
      <c r="AI7" s="685">
        <f t="shared" ref="AI7:AI14" si="12">SUM(AF6*2000)+(AG7*1000)+(AH7*1000)</f>
        <v>5235294.1176470593</v>
      </c>
      <c r="AJ7" s="409">
        <f t="shared" si="4"/>
        <v>58823.529411763884</v>
      </c>
      <c r="AK7" s="127"/>
    </row>
    <row r="8" spans="1:37" ht="18.75">
      <c r="A8" s="716">
        <f>Gen!A13</f>
        <v>44350</v>
      </c>
      <c r="B8" s="406">
        <f>'Summery Report'!E7</f>
        <v>0</v>
      </c>
      <c r="C8" s="721">
        <f>Gen!B13</f>
        <v>0.12</v>
      </c>
      <c r="D8" s="683">
        <f>'Summery Report'!E7</f>
        <v>0</v>
      </c>
      <c r="E8" s="683">
        <f t="shared" ref="E8:E36" si="13">SUM(E7)</f>
        <v>1.3262195121951219</v>
      </c>
      <c r="F8" s="418" t="e">
        <f t="shared" ref="F8:F36" si="14">SUM(J8*E8)/D8</f>
        <v>#DIV/0!</v>
      </c>
      <c r="G8" s="418" t="e">
        <f t="shared" si="0"/>
        <v>#DIV/0!</v>
      </c>
      <c r="H8" s="683">
        <f>Gen!C13</f>
        <v>43560.389999999992</v>
      </c>
      <c r="I8" s="683">
        <f>Gen!E13</f>
        <v>15000</v>
      </c>
      <c r="J8" s="722">
        <f>Gen!T13</f>
        <v>3366</v>
      </c>
      <c r="K8" s="727">
        <f>Gen!AK13</f>
        <v>0</v>
      </c>
      <c r="L8" s="718">
        <f t="shared" si="1"/>
        <v>3366</v>
      </c>
      <c r="M8" s="427">
        <f>'Water-Meter'!K48</f>
        <v>462.94334684491128</v>
      </c>
      <c r="N8" s="678">
        <f>'Water-Meter'!E8</f>
        <v>71</v>
      </c>
      <c r="O8" s="658">
        <v>1.6</v>
      </c>
      <c r="P8" s="676">
        <v>19038</v>
      </c>
      <c r="Q8" s="688">
        <f t="shared" si="2"/>
        <v>0</v>
      </c>
      <c r="R8" s="407">
        <f t="shared" si="5"/>
        <v>0</v>
      </c>
      <c r="S8" s="658">
        <v>1.7</v>
      </c>
      <c r="T8" s="665">
        <v>18153</v>
      </c>
      <c r="U8" s="688">
        <f t="shared" si="6"/>
        <v>23</v>
      </c>
      <c r="V8" s="408">
        <f t="shared" si="7"/>
        <v>39.1</v>
      </c>
      <c r="W8" s="658">
        <v>1.5</v>
      </c>
      <c r="X8" s="670">
        <v>28511</v>
      </c>
      <c r="Y8" s="688">
        <f t="shared" si="8"/>
        <v>0</v>
      </c>
      <c r="Z8" s="668">
        <f t="shared" si="9"/>
        <v>0</v>
      </c>
      <c r="AA8" s="675">
        <f t="shared" si="10"/>
        <v>0</v>
      </c>
      <c r="AB8" s="672">
        <v>3063</v>
      </c>
      <c r="AC8" s="655">
        <f t="shared" si="11"/>
        <v>167</v>
      </c>
      <c r="AD8" s="657">
        <v>217488</v>
      </c>
      <c r="AE8" s="170">
        <f t="shared" ref="AE8:AE37" si="15">AD8-AD7</f>
        <v>62</v>
      </c>
      <c r="AF8" s="682">
        <f>'Lpg (2)'!B12*2000/85</f>
        <v>2000</v>
      </c>
      <c r="AG8" s="252">
        <f>'Lpg (2)'!C12*1000/85</f>
        <v>223.52941176470588</v>
      </c>
      <c r="AH8" s="695">
        <f>'Lpg (2)'!D12*1000/85</f>
        <v>1000</v>
      </c>
      <c r="AI8" s="685">
        <f t="shared" si="12"/>
        <v>5223529.4117647056</v>
      </c>
      <c r="AJ8" s="409">
        <f t="shared" si="4"/>
        <v>11764.705882353708</v>
      </c>
      <c r="AK8" s="127"/>
    </row>
    <row r="9" spans="1:37" ht="18.75">
      <c r="A9" s="716">
        <f>Gen!A14</f>
        <v>44351</v>
      </c>
      <c r="B9" s="406">
        <f>'Summery Report'!E8</f>
        <v>0</v>
      </c>
      <c r="C9" s="721">
        <f>Gen!B14</f>
        <v>0.17</v>
      </c>
      <c r="D9" s="683">
        <f>'Summery Report'!E8</f>
        <v>0</v>
      </c>
      <c r="E9" s="683">
        <f t="shared" si="13"/>
        <v>1.3262195121951219</v>
      </c>
      <c r="F9" s="418" t="e">
        <f t="shared" si="14"/>
        <v>#DIV/0!</v>
      </c>
      <c r="G9" s="418" t="e">
        <f t="shared" si="0"/>
        <v>#DIV/0!</v>
      </c>
      <c r="H9" s="683">
        <f>Gen!C14</f>
        <v>41915.579999999994</v>
      </c>
      <c r="I9" s="683">
        <f>Gen!E14</f>
        <v>0</v>
      </c>
      <c r="J9" s="722">
        <f>Gen!T14</f>
        <v>3459</v>
      </c>
      <c r="K9" s="727">
        <f>Gen!AK14</f>
        <v>0</v>
      </c>
      <c r="L9" s="718">
        <f t="shared" si="1"/>
        <v>3459</v>
      </c>
      <c r="M9" s="427">
        <f>'Water-Meter'!K49</f>
        <v>467.32554005639952</v>
      </c>
      <c r="N9" s="678">
        <f>'Water-Meter'!E9</f>
        <v>83</v>
      </c>
      <c r="O9" s="658">
        <v>1.6</v>
      </c>
      <c r="P9" s="676">
        <v>19038</v>
      </c>
      <c r="Q9" s="688">
        <f t="shared" si="2"/>
        <v>0</v>
      </c>
      <c r="R9" s="407">
        <f t="shared" si="5"/>
        <v>0</v>
      </c>
      <c r="S9" s="658">
        <v>1.7</v>
      </c>
      <c r="T9" s="665">
        <v>18153</v>
      </c>
      <c r="U9" s="688">
        <f t="shared" si="6"/>
        <v>0</v>
      </c>
      <c r="V9" s="408">
        <f>SUM(U9*S10)</f>
        <v>0</v>
      </c>
      <c r="W9" s="658">
        <v>1.5</v>
      </c>
      <c r="X9" s="670">
        <v>28519</v>
      </c>
      <c r="Y9" s="688">
        <f t="shared" si="8"/>
        <v>8</v>
      </c>
      <c r="Z9" s="668">
        <f>SUM(Y9*W11)</f>
        <v>12.8</v>
      </c>
      <c r="AA9" s="675">
        <f t="shared" si="10"/>
        <v>365516.80000000005</v>
      </c>
      <c r="AB9" s="672">
        <v>3076</v>
      </c>
      <c r="AC9" s="655">
        <f t="shared" si="11"/>
        <v>13</v>
      </c>
      <c r="AD9" s="657">
        <v>217559</v>
      </c>
      <c r="AE9" s="170">
        <f t="shared" si="15"/>
        <v>71</v>
      </c>
      <c r="AF9" s="682">
        <f>'Lpg (2)'!B13*2000/85</f>
        <v>2000</v>
      </c>
      <c r="AG9" s="252">
        <f>'Lpg (2)'!C13*1000/85</f>
        <v>176.47058823529412</v>
      </c>
      <c r="AH9" s="695">
        <f>'Lpg (2)'!D13*1000/85</f>
        <v>1000</v>
      </c>
      <c r="AI9" s="685">
        <f t="shared" si="12"/>
        <v>5176470.5882352944</v>
      </c>
      <c r="AJ9" s="409">
        <f t="shared" si="4"/>
        <v>47058.823529411107</v>
      </c>
      <c r="AK9" s="127"/>
    </row>
    <row r="10" spans="1:37" ht="18.75">
      <c r="A10" s="716">
        <f>Gen!A15</f>
        <v>44352</v>
      </c>
      <c r="B10" s="406">
        <f>'Summery Report'!E9</f>
        <v>0</v>
      </c>
      <c r="C10" s="721">
        <f>Gen!B15</f>
        <v>0.2</v>
      </c>
      <c r="D10" s="683">
        <f>'Summery Report'!E9</f>
        <v>0</v>
      </c>
      <c r="E10" s="683">
        <f t="shared" si="13"/>
        <v>1.3262195121951219</v>
      </c>
      <c r="F10" s="418" t="e">
        <f t="shared" si="14"/>
        <v>#DIV/0!</v>
      </c>
      <c r="G10" s="418" t="e">
        <f t="shared" si="0"/>
        <v>#DIV/0!</v>
      </c>
      <c r="H10" s="683">
        <f>Gen!C15</f>
        <v>40409.349999999991</v>
      </c>
      <c r="I10" s="683">
        <f>Gen!E15</f>
        <v>0</v>
      </c>
      <c r="J10" s="722">
        <f>Gen!T15</f>
        <v>3463</v>
      </c>
      <c r="K10" s="727">
        <f>Gen!AK15</f>
        <v>0</v>
      </c>
      <c r="L10" s="718">
        <f t="shared" si="1"/>
        <v>3463</v>
      </c>
      <c r="M10" s="427">
        <f>'Water-Meter'!K50</f>
        <v>558.00900039337739</v>
      </c>
      <c r="N10" s="678">
        <f>'Water-Meter'!E10</f>
        <v>79</v>
      </c>
      <c r="O10" s="658">
        <v>1.6</v>
      </c>
      <c r="P10" s="676">
        <v>19038</v>
      </c>
      <c r="Q10" s="688">
        <f t="shared" si="2"/>
        <v>0</v>
      </c>
      <c r="R10" s="407">
        <f t="shared" si="5"/>
        <v>0</v>
      </c>
      <c r="S10" s="658">
        <v>1.7</v>
      </c>
      <c r="T10" s="665">
        <v>18153</v>
      </c>
      <c r="U10" s="688">
        <f t="shared" si="6"/>
        <v>0</v>
      </c>
      <c r="V10" s="408" t="e">
        <f>SUM(U10*#REF!)</f>
        <v>#REF!</v>
      </c>
      <c r="W10" s="658">
        <v>1.6</v>
      </c>
      <c r="X10" s="670">
        <v>28542.959999999999</v>
      </c>
      <c r="Y10" s="688">
        <f t="shared" si="8"/>
        <v>23.959999999999127</v>
      </c>
      <c r="Z10" s="668">
        <f t="shared" si="9"/>
        <v>38.335999999998606</v>
      </c>
      <c r="AA10" s="675">
        <f t="shared" si="10"/>
        <v>1094722.8159999603</v>
      </c>
      <c r="AB10" s="672">
        <v>3111</v>
      </c>
      <c r="AC10" s="655">
        <f t="shared" si="11"/>
        <v>35</v>
      </c>
      <c r="AD10" s="657">
        <v>217619</v>
      </c>
      <c r="AE10" s="170">
        <f t="shared" si="15"/>
        <v>60</v>
      </c>
      <c r="AF10" s="682">
        <f>'Lpg (2)'!B14*2000/85</f>
        <v>2000</v>
      </c>
      <c r="AG10" s="252">
        <f>'Lpg (2)'!C14*1000/85</f>
        <v>117.64705882352941</v>
      </c>
      <c r="AH10" s="695">
        <f>'Lpg (2)'!D14*1000/85</f>
        <v>1000</v>
      </c>
      <c r="AI10" s="685">
        <f t="shared" si="12"/>
        <v>5117647.0588235296</v>
      </c>
      <c r="AJ10" s="409">
        <f t="shared" si="4"/>
        <v>58823.529411764815</v>
      </c>
      <c r="AK10" s="127"/>
    </row>
    <row r="11" spans="1:37" ht="18.75">
      <c r="A11" s="716">
        <f>Gen!A16</f>
        <v>44353</v>
      </c>
      <c r="B11" s="406">
        <f>'Summery Report'!E10</f>
        <v>0</v>
      </c>
      <c r="C11" s="721">
        <f>Gen!B16</f>
        <v>0.2</v>
      </c>
      <c r="D11" s="683">
        <f>'Summery Report'!E10</f>
        <v>0</v>
      </c>
      <c r="E11" s="683">
        <f t="shared" si="13"/>
        <v>1.3262195121951219</v>
      </c>
      <c r="F11" s="418" t="e">
        <f t="shared" si="14"/>
        <v>#DIV/0!</v>
      </c>
      <c r="G11" s="418" t="e">
        <f t="shared" si="0"/>
        <v>#DIV/0!</v>
      </c>
      <c r="H11" s="683">
        <f>Gen!C16</f>
        <v>38860.19999999999</v>
      </c>
      <c r="I11" s="683">
        <f>Gen!E16</f>
        <v>0</v>
      </c>
      <c r="J11" s="722">
        <f>Gen!T16</f>
        <v>3313</v>
      </c>
      <c r="K11" s="727">
        <f>Gen!AK16</f>
        <v>0</v>
      </c>
      <c r="L11" s="718">
        <f t="shared" si="1"/>
        <v>3313</v>
      </c>
      <c r="M11" s="427">
        <f>'Water-Meter'!K51</f>
        <v>509.54788396126412</v>
      </c>
      <c r="N11" s="678">
        <f>'Water-Meter'!E11</f>
        <v>89</v>
      </c>
      <c r="O11" s="658">
        <v>1.6</v>
      </c>
      <c r="P11" s="676">
        <v>19038</v>
      </c>
      <c r="Q11" s="688">
        <f t="shared" si="2"/>
        <v>0</v>
      </c>
      <c r="R11" s="407">
        <f t="shared" si="5"/>
        <v>0</v>
      </c>
      <c r="S11" s="658">
        <v>6.8</v>
      </c>
      <c r="T11" s="665">
        <v>18164</v>
      </c>
      <c r="U11" s="688">
        <f t="shared" si="6"/>
        <v>11</v>
      </c>
      <c r="V11" s="408">
        <f t="shared" ref="V11:V16" si="16">SUM(U11*S11)</f>
        <v>74.8</v>
      </c>
      <c r="W11" s="658">
        <v>1.6</v>
      </c>
      <c r="X11" s="670">
        <v>28556</v>
      </c>
      <c r="Y11" s="688">
        <f t="shared" si="8"/>
        <v>13.040000000000873</v>
      </c>
      <c r="Z11" s="668" t="e">
        <f>SUM(Y11*#REF!)</f>
        <v>#REF!</v>
      </c>
      <c r="AA11" s="675" t="e">
        <f t="shared" si="10"/>
        <v>#REF!</v>
      </c>
      <c r="AB11" s="672">
        <v>3210</v>
      </c>
      <c r="AC11" s="655">
        <f t="shared" si="11"/>
        <v>99</v>
      </c>
      <c r="AD11" s="657">
        <v>217672</v>
      </c>
      <c r="AE11" s="170">
        <f t="shared" si="15"/>
        <v>53</v>
      </c>
      <c r="AF11" s="682">
        <f>'Lpg (2)'!B15*2000/85</f>
        <v>2000</v>
      </c>
      <c r="AG11" s="252">
        <f>'Lpg (2)'!C15*1000/85</f>
        <v>58.823529411764703</v>
      </c>
      <c r="AH11" s="695">
        <f>'Lpg (2)'!D15*1000/85</f>
        <v>1000</v>
      </c>
      <c r="AI11" s="685">
        <f t="shared" si="12"/>
        <v>5058823.5294117648</v>
      </c>
      <c r="AJ11" s="409">
        <f t="shared" si="4"/>
        <v>58823.529411764815</v>
      </c>
      <c r="AK11" s="127"/>
    </row>
    <row r="12" spans="1:37" ht="18.75">
      <c r="A12" s="716">
        <f>Gen!A17</f>
        <v>44354</v>
      </c>
      <c r="B12" s="406">
        <f>'Summery Report'!E11</f>
        <v>0</v>
      </c>
      <c r="C12" s="721">
        <f>Gen!B17</f>
        <v>0.18</v>
      </c>
      <c r="D12" s="683">
        <f>'Summery Report'!E11</f>
        <v>0</v>
      </c>
      <c r="E12" s="683">
        <f t="shared" si="13"/>
        <v>1.3262195121951219</v>
      </c>
      <c r="F12" s="418" t="e">
        <f t="shared" si="14"/>
        <v>#DIV/0!</v>
      </c>
      <c r="G12" s="418" t="e">
        <f t="shared" si="0"/>
        <v>#DIV/0!</v>
      </c>
      <c r="H12" s="683">
        <f>Gen!C17</f>
        <v>37337.489999999991</v>
      </c>
      <c r="I12" s="683">
        <f>Gen!E17</f>
        <v>0</v>
      </c>
      <c r="J12" s="722">
        <f>Gen!T17</f>
        <v>3517</v>
      </c>
      <c r="K12" s="727">
        <f>Gen!AK17</f>
        <v>0</v>
      </c>
      <c r="L12" s="718">
        <f t="shared" si="1"/>
        <v>3517</v>
      </c>
      <c r="M12" s="427">
        <f>'Water-Meter'!K52</f>
        <v>456.13089358742957</v>
      </c>
      <c r="N12" s="678">
        <f>'Water-Meter'!E12</f>
        <v>70</v>
      </c>
      <c r="O12" s="658">
        <v>1.6</v>
      </c>
      <c r="P12" s="676">
        <v>19038</v>
      </c>
      <c r="Q12" s="688">
        <f t="shared" si="2"/>
        <v>0</v>
      </c>
      <c r="R12" s="407">
        <f t="shared" si="5"/>
        <v>0</v>
      </c>
      <c r="S12" s="658">
        <v>6.8</v>
      </c>
      <c r="T12" s="665">
        <v>18174</v>
      </c>
      <c r="U12" s="688">
        <f t="shared" si="6"/>
        <v>10</v>
      </c>
      <c r="V12" s="408">
        <f t="shared" si="16"/>
        <v>68</v>
      </c>
      <c r="W12" s="658">
        <v>1.6</v>
      </c>
      <c r="X12" s="670">
        <v>28556</v>
      </c>
      <c r="Y12" s="688">
        <f t="shared" si="8"/>
        <v>0</v>
      </c>
      <c r="Z12" s="668">
        <f t="shared" si="9"/>
        <v>0</v>
      </c>
      <c r="AA12" s="675">
        <f t="shared" si="10"/>
        <v>0</v>
      </c>
      <c r="AB12" s="672">
        <v>3281</v>
      </c>
      <c r="AC12" s="655">
        <f t="shared" si="11"/>
        <v>71</v>
      </c>
      <c r="AD12" s="657">
        <v>217747</v>
      </c>
      <c r="AE12" s="170">
        <f t="shared" si="15"/>
        <v>75</v>
      </c>
      <c r="AF12" s="682">
        <f>'Lpg (2)'!B16*2000/85</f>
        <v>2000</v>
      </c>
      <c r="AG12" s="252">
        <f>'Lpg (2)'!C16*1000/85</f>
        <v>23.529411764705884</v>
      </c>
      <c r="AH12" s="695">
        <f>'Lpg (2)'!D16*1000/85</f>
        <v>1000</v>
      </c>
      <c r="AI12" s="685">
        <f t="shared" si="12"/>
        <v>5023529.4117647056</v>
      </c>
      <c r="AJ12" s="409">
        <f t="shared" si="4"/>
        <v>35294.117647059262</v>
      </c>
      <c r="AK12" s="127"/>
    </row>
    <row r="13" spans="1:37" ht="18.75">
      <c r="A13" s="716">
        <f>Gen!A18</f>
        <v>44355</v>
      </c>
      <c r="B13" s="406">
        <f>'Summery Report'!E12</f>
        <v>0</v>
      </c>
      <c r="C13" s="721">
        <f>Gen!B18</f>
        <v>0.21</v>
      </c>
      <c r="D13" s="683">
        <f>'Summery Report'!E12</f>
        <v>0</v>
      </c>
      <c r="E13" s="683">
        <f t="shared" si="13"/>
        <v>1.3262195121951219</v>
      </c>
      <c r="F13" s="418" t="e">
        <f t="shared" si="14"/>
        <v>#DIV/0!</v>
      </c>
      <c r="G13" s="418" t="e">
        <f t="shared" si="0"/>
        <v>#DIV/0!</v>
      </c>
      <c r="H13" s="683">
        <f>Gen!C18</f>
        <v>35864.719999999994</v>
      </c>
      <c r="I13" s="683">
        <f>Gen!E18</f>
        <v>0</v>
      </c>
      <c r="J13" s="722">
        <f>Gen!T18</f>
        <v>3378</v>
      </c>
      <c r="K13" s="727">
        <f>Gen!AK18</f>
        <v>0</v>
      </c>
      <c r="L13" s="718">
        <f t="shared" si="1"/>
        <v>3378</v>
      </c>
      <c r="M13" s="427">
        <f>'Water-Meter'!K53</f>
        <v>382.67303355307251</v>
      </c>
      <c r="N13" s="678">
        <f>'Water-Meter'!E13</f>
        <v>70</v>
      </c>
      <c r="O13" s="658">
        <v>1.6</v>
      </c>
      <c r="P13" s="676">
        <v>19038</v>
      </c>
      <c r="Q13" s="688">
        <f t="shared" si="2"/>
        <v>0</v>
      </c>
      <c r="R13" s="407">
        <f t="shared" si="5"/>
        <v>0</v>
      </c>
      <c r="S13" s="658">
        <v>6.8</v>
      </c>
      <c r="T13" s="665">
        <v>18190</v>
      </c>
      <c r="U13" s="688">
        <f t="shared" si="6"/>
        <v>16</v>
      </c>
      <c r="V13" s="408">
        <f t="shared" si="16"/>
        <v>108.8</v>
      </c>
      <c r="W13" s="658">
        <v>1.6</v>
      </c>
      <c r="X13" s="670">
        <v>28556</v>
      </c>
      <c r="Y13" s="688">
        <f t="shared" si="8"/>
        <v>0</v>
      </c>
      <c r="Z13" s="668">
        <f t="shared" si="9"/>
        <v>0</v>
      </c>
      <c r="AA13" s="675">
        <f t="shared" si="10"/>
        <v>0</v>
      </c>
      <c r="AB13" s="672">
        <v>3395</v>
      </c>
      <c r="AC13" s="655">
        <f t="shared" si="11"/>
        <v>114</v>
      </c>
      <c r="AD13" s="657">
        <v>217752</v>
      </c>
      <c r="AE13" s="170">
        <f t="shared" si="15"/>
        <v>5</v>
      </c>
      <c r="AF13" s="682">
        <f>'Lpg (2)'!B17*2000/85</f>
        <v>2000</v>
      </c>
      <c r="AG13" s="252">
        <f>'Lpg (2)'!C17*1000/85</f>
        <v>0</v>
      </c>
      <c r="AH13" s="695">
        <f>'Lpg (2)'!D17*1000/85</f>
        <v>1000</v>
      </c>
      <c r="AI13" s="685">
        <f t="shared" si="12"/>
        <v>5000000</v>
      </c>
      <c r="AJ13" s="409">
        <f t="shared" si="4"/>
        <v>23529.411764705554</v>
      </c>
      <c r="AK13" s="127"/>
    </row>
    <row r="14" spans="1:37" ht="18.75">
      <c r="A14" s="716">
        <f>Gen!A19</f>
        <v>44356</v>
      </c>
      <c r="B14" s="406">
        <f>'Summery Report'!E13</f>
        <v>0</v>
      </c>
      <c r="C14" s="721">
        <f>Gen!B19</f>
        <v>0.17</v>
      </c>
      <c r="D14" s="683">
        <f>'Summery Report'!E13</f>
        <v>0</v>
      </c>
      <c r="E14" s="683">
        <f t="shared" si="13"/>
        <v>1.3262195121951219</v>
      </c>
      <c r="F14" s="418" t="e">
        <f t="shared" si="14"/>
        <v>#DIV/0!</v>
      </c>
      <c r="G14" s="418" t="e">
        <f t="shared" si="0"/>
        <v>#DIV/0!</v>
      </c>
      <c r="H14" s="683">
        <f>Gen!C19</f>
        <v>34517.109999999993</v>
      </c>
      <c r="I14" s="683">
        <f>Gen!E19</f>
        <v>0</v>
      </c>
      <c r="J14" s="722">
        <f>Gen!T19</f>
        <v>3163</v>
      </c>
      <c r="K14" s="727">
        <f>Gen!AK19</f>
        <v>0</v>
      </c>
      <c r="L14" s="718">
        <f t="shared" ref="L14:L37" si="17">SUM(J14:K14)</f>
        <v>3163</v>
      </c>
      <c r="M14" s="427">
        <f>'Water-Meter'!K54</f>
        <v>444.10879896302527</v>
      </c>
      <c r="N14" s="678">
        <f>'Water-Meter'!E14</f>
        <v>64</v>
      </c>
      <c r="O14" s="658">
        <v>1.6</v>
      </c>
      <c r="P14" s="676">
        <v>19038</v>
      </c>
      <c r="Q14" s="688">
        <f t="shared" si="2"/>
        <v>0</v>
      </c>
      <c r="R14" s="407">
        <f t="shared" si="5"/>
        <v>0</v>
      </c>
      <c r="S14" s="658">
        <v>6.8</v>
      </c>
      <c r="T14" s="665">
        <v>18195</v>
      </c>
      <c r="U14" s="688">
        <f t="shared" si="6"/>
        <v>5</v>
      </c>
      <c r="V14" s="408">
        <f t="shared" si="16"/>
        <v>34</v>
      </c>
      <c r="W14" s="658">
        <v>1.6</v>
      </c>
      <c r="X14" s="670">
        <v>28556</v>
      </c>
      <c r="Y14" s="688">
        <f t="shared" si="8"/>
        <v>0</v>
      </c>
      <c r="Z14" s="668">
        <f t="shared" si="9"/>
        <v>0</v>
      </c>
      <c r="AA14" s="675">
        <f t="shared" si="10"/>
        <v>0</v>
      </c>
      <c r="AB14" s="672">
        <v>3430</v>
      </c>
      <c r="AC14" s="655">
        <f t="shared" si="11"/>
        <v>35</v>
      </c>
      <c r="AD14" s="657">
        <v>217754</v>
      </c>
      <c r="AE14" s="170">
        <f t="shared" si="15"/>
        <v>2</v>
      </c>
      <c r="AF14" s="682">
        <f>'Lpg (2)'!B18*2000/85</f>
        <v>2000</v>
      </c>
      <c r="AG14" s="252">
        <f>'Lpg (2)'!C18*1000/85</f>
        <v>0</v>
      </c>
      <c r="AH14" s="695">
        <f>'Lpg (2)'!D18*1000/85</f>
        <v>823.52941176470586</v>
      </c>
      <c r="AI14" s="685">
        <f t="shared" si="12"/>
        <v>4823529.4117647056</v>
      </c>
      <c r="AJ14" s="409">
        <f t="shared" si="4"/>
        <v>176470.58823529445</v>
      </c>
      <c r="AK14" s="127"/>
    </row>
    <row r="15" spans="1:37" ht="18.75">
      <c r="A15" s="716">
        <f>Gen!A20</f>
        <v>44357</v>
      </c>
      <c r="B15" s="406">
        <f>'Summery Report'!E14</f>
        <v>0</v>
      </c>
      <c r="C15" s="721">
        <f>Gen!B20</f>
        <v>0.08</v>
      </c>
      <c r="D15" s="683">
        <f>'Summery Report'!E14</f>
        <v>0</v>
      </c>
      <c r="E15" s="683">
        <f t="shared" si="13"/>
        <v>1.3262195121951219</v>
      </c>
      <c r="F15" s="418" t="e">
        <f t="shared" si="14"/>
        <v>#DIV/0!</v>
      </c>
      <c r="G15" s="418" t="e">
        <f t="shared" si="0"/>
        <v>#DIV/0!</v>
      </c>
      <c r="H15" s="683">
        <f>Gen!C20</f>
        <v>33106.80999999999</v>
      </c>
      <c r="I15" s="683">
        <f>Gen!E20</f>
        <v>0</v>
      </c>
      <c r="J15" s="722">
        <f>Gen!T20</f>
        <v>3365</v>
      </c>
      <c r="K15" s="727">
        <f>Gen!AK20</f>
        <v>0</v>
      </c>
      <c r="L15" s="718">
        <f t="shared" si="17"/>
        <v>3365</v>
      </c>
      <c r="M15" s="427">
        <f>'Water-Meter'!K55</f>
        <v>469.8760798654327</v>
      </c>
      <c r="N15" s="678">
        <f>'Water-Meter'!E15</f>
        <v>74</v>
      </c>
      <c r="O15" s="658">
        <v>1.6</v>
      </c>
      <c r="P15" s="676">
        <v>19038</v>
      </c>
      <c r="Q15" s="688">
        <f t="shared" si="2"/>
        <v>0</v>
      </c>
      <c r="R15" s="407">
        <f t="shared" si="5"/>
        <v>0</v>
      </c>
      <c r="S15" s="658">
        <v>6.8</v>
      </c>
      <c r="T15" s="665">
        <v>18210</v>
      </c>
      <c r="U15" s="688">
        <f t="shared" si="6"/>
        <v>15</v>
      </c>
      <c r="V15" s="408">
        <f t="shared" si="16"/>
        <v>102</v>
      </c>
      <c r="W15" s="658">
        <v>1.6</v>
      </c>
      <c r="X15" s="670">
        <v>28556</v>
      </c>
      <c r="Y15" s="688">
        <f t="shared" si="8"/>
        <v>0</v>
      </c>
      <c r="Z15" s="668">
        <f t="shared" si="9"/>
        <v>0</v>
      </c>
      <c r="AA15" s="675">
        <f t="shared" si="10"/>
        <v>0</v>
      </c>
      <c r="AB15" s="672">
        <v>3540</v>
      </c>
      <c r="AC15" s="655">
        <f t="shared" si="11"/>
        <v>110</v>
      </c>
      <c r="AD15" s="657">
        <v>217830</v>
      </c>
      <c r="AE15" s="170">
        <f>AD15-AD14</f>
        <v>76</v>
      </c>
      <c r="AF15" s="682">
        <f>'Lpg (2)'!B19*2000/85</f>
        <v>2000</v>
      </c>
      <c r="AG15" s="252">
        <f>'Lpg (2)'!C19*1000/85</f>
        <v>0</v>
      </c>
      <c r="AH15" s="695">
        <f>'Lpg (2)'!D19*1000/85</f>
        <v>705.88235294117646</v>
      </c>
      <c r="AI15" s="685">
        <f t="shared" ref="AI15:AI35" si="18">SUM(AF15*2000)+(AG15*1000)+(AH15*1000)</f>
        <v>4705882.3529411769</v>
      </c>
      <c r="AJ15" s="409">
        <f t="shared" si="4"/>
        <v>117647.0588235287</v>
      </c>
      <c r="AK15" s="127"/>
    </row>
    <row r="16" spans="1:37" ht="18.75">
      <c r="A16" s="716">
        <f>Gen!A21</f>
        <v>44358</v>
      </c>
      <c r="B16" s="406">
        <f>'Summery Report'!E15</f>
        <v>0</v>
      </c>
      <c r="C16" s="721">
        <f>Gen!B21</f>
        <v>0.13</v>
      </c>
      <c r="D16" s="683">
        <f>'Summery Report'!E15</f>
        <v>0</v>
      </c>
      <c r="E16" s="683">
        <f t="shared" si="13"/>
        <v>1.3262195121951219</v>
      </c>
      <c r="F16" s="418" t="e">
        <f t="shared" si="14"/>
        <v>#DIV/0!</v>
      </c>
      <c r="G16" s="418" t="e">
        <f t="shared" si="0"/>
        <v>#DIV/0!</v>
      </c>
      <c r="H16" s="683">
        <f>Gen!C21</f>
        <v>31735.029999999992</v>
      </c>
      <c r="I16" s="683">
        <f>Gen!E21</f>
        <v>0</v>
      </c>
      <c r="J16" s="722">
        <f>Gen!T21</f>
        <v>3555</v>
      </c>
      <c r="K16" s="727">
        <f>Gen!AK21</f>
        <v>0</v>
      </c>
      <c r="L16" s="718">
        <f t="shared" si="17"/>
        <v>3555</v>
      </c>
      <c r="M16" s="427">
        <f>'Water-Meter'!K56</f>
        <v>538.30787913808285</v>
      </c>
      <c r="N16" s="678">
        <f>'Water-Meter'!E16</f>
        <v>101</v>
      </c>
      <c r="O16" s="658">
        <v>1.6</v>
      </c>
      <c r="P16" s="676">
        <v>19038</v>
      </c>
      <c r="Q16" s="688">
        <f t="shared" si="2"/>
        <v>0</v>
      </c>
      <c r="R16" s="407">
        <f t="shared" si="5"/>
        <v>0</v>
      </c>
      <c r="S16" s="658">
        <v>6.8</v>
      </c>
      <c r="T16" s="665">
        <v>18223</v>
      </c>
      <c r="U16" s="688">
        <f t="shared" si="6"/>
        <v>13</v>
      </c>
      <c r="V16" s="408">
        <f t="shared" si="16"/>
        <v>88.399999999999991</v>
      </c>
      <c r="W16" s="658">
        <v>1.6</v>
      </c>
      <c r="X16" s="670">
        <v>28556</v>
      </c>
      <c r="Y16" s="688">
        <f t="shared" si="8"/>
        <v>0</v>
      </c>
      <c r="Z16" s="668">
        <f t="shared" si="9"/>
        <v>0</v>
      </c>
      <c r="AA16" s="675">
        <f t="shared" si="10"/>
        <v>0</v>
      </c>
      <c r="AB16" s="672">
        <v>3631</v>
      </c>
      <c r="AC16" s="655">
        <f t="shared" si="11"/>
        <v>91</v>
      </c>
      <c r="AD16" s="657">
        <v>217908</v>
      </c>
      <c r="AE16" s="170">
        <f t="shared" si="15"/>
        <v>78</v>
      </c>
      <c r="AF16" s="682">
        <f>'Lpg (2)'!B20*2000/85</f>
        <v>2000</v>
      </c>
      <c r="AG16" s="252">
        <f>'Lpg (2)'!C20*1000/85</f>
        <v>0</v>
      </c>
      <c r="AH16" s="695">
        <f>'Lpg (2)'!D20*1000/85</f>
        <v>623.52941176470586</v>
      </c>
      <c r="AI16" s="685">
        <f t="shared" si="18"/>
        <v>4623529.4117647056</v>
      </c>
      <c r="AJ16" s="409">
        <f t="shared" si="4"/>
        <v>82352.9411764713</v>
      </c>
      <c r="AK16" s="127"/>
    </row>
    <row r="17" spans="1:37" ht="18.75">
      <c r="A17" s="716">
        <f>Gen!A22</f>
        <v>44359</v>
      </c>
      <c r="B17" s="406">
        <f>'Summery Report'!E16</f>
        <v>0</v>
      </c>
      <c r="C17" s="721">
        <f>Gen!B22</f>
        <v>0.13</v>
      </c>
      <c r="D17" s="683">
        <f>'Summery Report'!E16</f>
        <v>0</v>
      </c>
      <c r="E17" s="683">
        <f t="shared" si="13"/>
        <v>1.3262195121951219</v>
      </c>
      <c r="F17" s="418" t="e">
        <f t="shared" si="14"/>
        <v>#DIV/0!</v>
      </c>
      <c r="G17" s="418" t="e">
        <f t="shared" si="0"/>
        <v>#DIV/0!</v>
      </c>
      <c r="H17" s="683">
        <f>Gen!C22</f>
        <v>30298.189999999991</v>
      </c>
      <c r="I17" s="683">
        <f>Gen!E22</f>
        <v>0</v>
      </c>
      <c r="J17" s="722">
        <f>Gen!T22</f>
        <v>3880</v>
      </c>
      <c r="K17" s="727">
        <f>Gen!AK22</f>
        <v>0</v>
      </c>
      <c r="L17" s="718">
        <f t="shared" si="17"/>
        <v>3880</v>
      </c>
      <c r="M17" s="427">
        <f>'Water-Meter'!K57</f>
        <v>520.725899150857</v>
      </c>
      <c r="N17" s="678">
        <f>'Water-Meter'!E17</f>
        <v>87</v>
      </c>
      <c r="O17" s="658"/>
      <c r="P17" s="676">
        <v>19038</v>
      </c>
      <c r="Q17" s="688">
        <f>SUM(P18-P16)</f>
        <v>0</v>
      </c>
      <c r="R17" s="407">
        <f t="shared" si="5"/>
        <v>0</v>
      </c>
      <c r="S17" s="658">
        <v>6.7</v>
      </c>
      <c r="T17" s="665">
        <v>18237</v>
      </c>
      <c r="U17" s="688">
        <f t="shared" si="6"/>
        <v>14</v>
      </c>
      <c r="V17" s="408">
        <f t="shared" ref="V17:V36" si="19">SUM(U17*S17)</f>
        <v>93.8</v>
      </c>
      <c r="W17" s="658"/>
      <c r="X17" s="670">
        <v>28556</v>
      </c>
      <c r="Y17" s="688">
        <f t="shared" si="8"/>
        <v>0</v>
      </c>
      <c r="Z17" s="668">
        <f t="shared" si="9"/>
        <v>0</v>
      </c>
      <c r="AA17" s="675">
        <f t="shared" si="10"/>
        <v>0</v>
      </c>
      <c r="AB17" s="672">
        <v>3732</v>
      </c>
      <c r="AC17" s="655">
        <f t="shared" si="11"/>
        <v>101</v>
      </c>
      <c r="AD17" s="657">
        <v>217980</v>
      </c>
      <c r="AE17" s="170">
        <f t="shared" si="15"/>
        <v>72</v>
      </c>
      <c r="AF17" s="682">
        <f>'Lpg (2)'!B21*2000/85</f>
        <v>2000</v>
      </c>
      <c r="AG17" s="252">
        <f>'Lpg (2)'!C21*1000/85</f>
        <v>0</v>
      </c>
      <c r="AH17" s="695">
        <f>'Lpg (2)'!D21*1000/85</f>
        <v>470.58823529411762</v>
      </c>
      <c r="AI17" s="685">
        <f t="shared" si="18"/>
        <v>4470588.2352941176</v>
      </c>
      <c r="AJ17" s="409">
        <f t="shared" si="4"/>
        <v>152941.17647058796</v>
      </c>
      <c r="AK17" s="127"/>
    </row>
    <row r="18" spans="1:37" ht="18.75">
      <c r="A18" s="716">
        <f>Gen!A23</f>
        <v>44360</v>
      </c>
      <c r="B18" s="406">
        <f>'Summery Report'!E17</f>
        <v>0</v>
      </c>
      <c r="C18" s="721">
        <f>Gen!B23</f>
        <v>0.22</v>
      </c>
      <c r="D18" s="683">
        <f>'Summery Report'!E17</f>
        <v>0</v>
      </c>
      <c r="E18" s="683">
        <f t="shared" si="13"/>
        <v>1.3262195121951219</v>
      </c>
      <c r="F18" s="418" t="e">
        <f t="shared" si="14"/>
        <v>#DIV/0!</v>
      </c>
      <c r="G18" s="418" t="e">
        <f t="shared" si="0"/>
        <v>#DIV/0!</v>
      </c>
      <c r="H18" s="683">
        <f>Gen!C23</f>
        <v>28446.369999999992</v>
      </c>
      <c r="I18" s="683">
        <f>Gen!E23</f>
        <v>15000</v>
      </c>
      <c r="J18" s="722">
        <f>Gen!T23</f>
        <v>3601</v>
      </c>
      <c r="K18" s="727">
        <f>Gen!AK23</f>
        <v>0</v>
      </c>
      <c r="L18" s="718">
        <f t="shared" si="17"/>
        <v>3601</v>
      </c>
      <c r="M18" s="427">
        <f>'Water-Meter'!K58</f>
        <v>543.1502182197662</v>
      </c>
      <c r="N18" s="678">
        <f>'Water-Meter'!E18</f>
        <v>71</v>
      </c>
      <c r="O18" s="658"/>
      <c r="P18" s="676">
        <v>19038</v>
      </c>
      <c r="Q18" s="688"/>
      <c r="R18" s="407">
        <f t="shared" si="5"/>
        <v>0</v>
      </c>
      <c r="S18" s="658"/>
      <c r="T18" s="665">
        <v>18237</v>
      </c>
      <c r="U18" s="688">
        <f t="shared" si="6"/>
        <v>0</v>
      </c>
      <c r="V18" s="408">
        <f t="shared" si="19"/>
        <v>0</v>
      </c>
      <c r="W18" s="669">
        <v>1.8</v>
      </c>
      <c r="X18" s="670">
        <v>28572</v>
      </c>
      <c r="Y18" s="688">
        <f t="shared" si="8"/>
        <v>16</v>
      </c>
      <c r="Z18" s="668">
        <f t="shared" si="9"/>
        <v>28.8</v>
      </c>
      <c r="AA18" s="675">
        <f t="shared" si="10"/>
        <v>822873.59999999998</v>
      </c>
      <c r="AB18" s="672">
        <v>3767</v>
      </c>
      <c r="AC18" s="655">
        <f t="shared" si="11"/>
        <v>35</v>
      </c>
      <c r="AD18" s="657">
        <v>218051</v>
      </c>
      <c r="AE18" s="170">
        <f t="shared" si="15"/>
        <v>71</v>
      </c>
      <c r="AF18" s="682">
        <f>'Lpg (2)'!B22*2000/85</f>
        <v>2000</v>
      </c>
      <c r="AG18" s="252">
        <f>'Lpg (2)'!C22*1000/85</f>
        <v>0</v>
      </c>
      <c r="AH18" s="695">
        <f>'Lpg (2)'!D22*1000/85</f>
        <v>411.76470588235293</v>
      </c>
      <c r="AI18" s="685">
        <f t="shared" si="18"/>
        <v>4411764.7058823528</v>
      </c>
      <c r="AJ18" s="409">
        <f t="shared" si="4"/>
        <v>58823.529411764815</v>
      </c>
      <c r="AK18" s="127"/>
    </row>
    <row r="19" spans="1:37" ht="18.75">
      <c r="A19" s="716">
        <f>Gen!A24</f>
        <v>44361</v>
      </c>
      <c r="B19" s="406">
        <f>'Summery Report'!E18</f>
        <v>0</v>
      </c>
      <c r="C19" s="721">
        <f>Gen!B24</f>
        <v>0.15</v>
      </c>
      <c r="D19" s="683">
        <f>'Summery Report'!E18</f>
        <v>0</v>
      </c>
      <c r="E19" s="683">
        <f t="shared" si="13"/>
        <v>1.3262195121951219</v>
      </c>
      <c r="F19" s="418" t="e">
        <f t="shared" si="14"/>
        <v>#DIV/0!</v>
      </c>
      <c r="G19" s="418" t="e">
        <f t="shared" si="0"/>
        <v>#DIV/0!</v>
      </c>
      <c r="H19" s="683">
        <f>Gen!C24</f>
        <v>26715.839999999993</v>
      </c>
      <c r="I19" s="683">
        <f>Gen!E24</f>
        <v>0</v>
      </c>
      <c r="J19" s="722">
        <f>Gen!T24</f>
        <v>3974</v>
      </c>
      <c r="K19" s="727">
        <f>Gen!AK24</f>
        <v>0</v>
      </c>
      <c r="L19" s="718">
        <f t="shared" si="17"/>
        <v>3974</v>
      </c>
      <c r="M19" s="427">
        <f>'Water-Meter'!K59</f>
        <v>562.12033401687984</v>
      </c>
      <c r="N19" s="678">
        <f>'Water-Meter'!E19</f>
        <v>207</v>
      </c>
      <c r="O19" s="669"/>
      <c r="P19" s="676">
        <v>19038</v>
      </c>
      <c r="Q19" s="688"/>
      <c r="R19" s="407">
        <f t="shared" si="5"/>
        <v>0</v>
      </c>
      <c r="S19" s="658">
        <v>7.2</v>
      </c>
      <c r="T19" s="665">
        <v>18262</v>
      </c>
      <c r="U19" s="688">
        <f t="shared" si="6"/>
        <v>25</v>
      </c>
      <c r="V19" s="408">
        <f t="shared" si="19"/>
        <v>180</v>
      </c>
      <c r="W19" s="669"/>
      <c r="X19" s="670">
        <v>28572</v>
      </c>
      <c r="Y19" s="688">
        <f t="shared" si="8"/>
        <v>0</v>
      </c>
      <c r="Z19" s="668">
        <f t="shared" si="9"/>
        <v>0</v>
      </c>
      <c r="AA19" s="675">
        <f t="shared" si="10"/>
        <v>0</v>
      </c>
      <c r="AB19" s="672">
        <v>3942</v>
      </c>
      <c r="AC19" s="655">
        <f t="shared" si="11"/>
        <v>175</v>
      </c>
      <c r="AD19" s="657">
        <v>218113</v>
      </c>
      <c r="AE19" s="170">
        <f t="shared" si="15"/>
        <v>62</v>
      </c>
      <c r="AF19" s="682">
        <f>'Lpg (2)'!B23*2000/85</f>
        <v>2000</v>
      </c>
      <c r="AG19" s="252">
        <f>'Lpg (2)'!C23*1000/85</f>
        <v>0</v>
      </c>
      <c r="AH19" s="695">
        <f>'Lpg (2)'!D23*1000/85</f>
        <v>317.64705882352939</v>
      </c>
      <c r="AI19" s="685">
        <f t="shared" si="18"/>
        <v>4317647.0588235296</v>
      </c>
      <c r="AJ19" s="409">
        <f t="shared" si="4"/>
        <v>94117.647058823146</v>
      </c>
      <c r="AK19" s="127"/>
    </row>
    <row r="20" spans="1:37" ht="18.75">
      <c r="A20" s="716">
        <f>Gen!A25</f>
        <v>44362</v>
      </c>
      <c r="B20" s="406">
        <f>'Summery Report'!E19</f>
        <v>0</v>
      </c>
      <c r="C20" s="721">
        <f>Gen!B25</f>
        <v>0.18</v>
      </c>
      <c r="D20" s="683">
        <f>'Summery Report'!E19</f>
        <v>0</v>
      </c>
      <c r="E20" s="683">
        <f t="shared" si="13"/>
        <v>1.3262195121951219</v>
      </c>
      <c r="F20" s="418" t="e">
        <f t="shared" si="14"/>
        <v>#DIV/0!</v>
      </c>
      <c r="G20" s="418" t="e">
        <f t="shared" si="0"/>
        <v>#DIV/0!</v>
      </c>
      <c r="H20" s="683">
        <f>Gen!C25</f>
        <v>39878.349999999991</v>
      </c>
      <c r="I20" s="683">
        <f>Gen!E25</f>
        <v>0</v>
      </c>
      <c r="J20" s="722">
        <f>Gen!T25</f>
        <v>3583</v>
      </c>
      <c r="K20" s="727">
        <f>Gen!AK25</f>
        <v>0</v>
      </c>
      <c r="L20" s="718">
        <f t="shared" si="17"/>
        <v>3583</v>
      </c>
      <c r="M20" s="427">
        <f>'Water-Meter'!K60</f>
        <v>477.07677799450903</v>
      </c>
      <c r="N20" s="678">
        <f>'Water-Meter'!E20</f>
        <v>222</v>
      </c>
      <c r="O20" s="669"/>
      <c r="P20" s="676">
        <v>19038</v>
      </c>
      <c r="Q20" s="688">
        <f t="shared" si="2"/>
        <v>0</v>
      </c>
      <c r="R20" s="407">
        <f t="shared" si="5"/>
        <v>0</v>
      </c>
      <c r="S20" s="664">
        <v>7.1</v>
      </c>
      <c r="T20" s="665">
        <v>18286</v>
      </c>
      <c r="U20" s="688">
        <f t="shared" si="6"/>
        <v>24</v>
      </c>
      <c r="V20" s="408">
        <f t="shared" si="19"/>
        <v>170.39999999999998</v>
      </c>
      <c r="W20" s="669"/>
      <c r="X20" s="670">
        <v>28572</v>
      </c>
      <c r="Y20" s="688">
        <f t="shared" si="8"/>
        <v>0</v>
      </c>
      <c r="Z20" s="668">
        <f t="shared" si="9"/>
        <v>0</v>
      </c>
      <c r="AA20" s="675">
        <f t="shared" si="10"/>
        <v>0</v>
      </c>
      <c r="AB20" s="672">
        <v>4116</v>
      </c>
      <c r="AC20" s="655">
        <f t="shared" si="11"/>
        <v>174</v>
      </c>
      <c r="AD20" s="657">
        <v>218168</v>
      </c>
      <c r="AE20" s="170">
        <f t="shared" si="15"/>
        <v>55</v>
      </c>
      <c r="AF20" s="682">
        <f>'Lpg (2)'!B24*2000/85</f>
        <v>2000</v>
      </c>
      <c r="AG20" s="252">
        <f>'Lpg (2)'!C24*1000/85</f>
        <v>0</v>
      </c>
      <c r="AH20" s="695">
        <f>'Lpg (2)'!D24*1000/85</f>
        <v>235.29411764705881</v>
      </c>
      <c r="AI20" s="685">
        <f t="shared" si="18"/>
        <v>4235294.1176470593</v>
      </c>
      <c r="AJ20" s="409">
        <f t="shared" si="4"/>
        <v>82352.941176470369</v>
      </c>
      <c r="AK20" s="127"/>
    </row>
    <row r="21" spans="1:37" ht="18.75">
      <c r="A21" s="716">
        <f>Gen!A26</f>
        <v>44363</v>
      </c>
      <c r="B21" s="406">
        <f>'Summery Report'!E20</f>
        <v>0</v>
      </c>
      <c r="C21" s="721">
        <f>Gen!B26</f>
        <v>0.17</v>
      </c>
      <c r="D21" s="683">
        <f>'Summery Report'!E20</f>
        <v>0</v>
      </c>
      <c r="E21" s="683">
        <f t="shared" si="13"/>
        <v>1.3262195121951219</v>
      </c>
      <c r="F21" s="418" t="e">
        <f t="shared" si="14"/>
        <v>#DIV/0!</v>
      </c>
      <c r="G21" s="418" t="e">
        <f t="shared" si="0"/>
        <v>#DIV/0!</v>
      </c>
      <c r="H21" s="683">
        <f>Gen!C26</f>
        <v>38301.709999999992</v>
      </c>
      <c r="I21" s="683">
        <f>Gen!E26</f>
        <v>0</v>
      </c>
      <c r="J21" s="722">
        <f>Gen!T26</f>
        <v>3523</v>
      </c>
      <c r="K21" s="727">
        <f>Gen!AK26</f>
        <v>0</v>
      </c>
      <c r="L21" s="718">
        <f t="shared" si="17"/>
        <v>3523</v>
      </c>
      <c r="M21" s="427">
        <f>'Water-Meter'!K61</f>
        <v>371.73739869327551</v>
      </c>
      <c r="N21" s="678">
        <f>'Water-Meter'!E21</f>
        <v>216</v>
      </c>
      <c r="O21" s="669"/>
      <c r="P21" s="676">
        <v>19038</v>
      </c>
      <c r="Q21" s="688">
        <f t="shared" si="2"/>
        <v>0</v>
      </c>
      <c r="R21" s="407">
        <f t="shared" si="5"/>
        <v>0</v>
      </c>
      <c r="S21" s="664">
        <v>7.2</v>
      </c>
      <c r="T21" s="665">
        <v>18299</v>
      </c>
      <c r="U21" s="688">
        <f t="shared" si="6"/>
        <v>13</v>
      </c>
      <c r="V21" s="408">
        <f t="shared" si="19"/>
        <v>93.600000000000009</v>
      </c>
      <c r="W21" s="664"/>
      <c r="X21" s="670">
        <v>28572</v>
      </c>
      <c r="Y21" s="688">
        <f t="shared" si="8"/>
        <v>0</v>
      </c>
      <c r="Z21" s="668">
        <f t="shared" si="9"/>
        <v>0</v>
      </c>
      <c r="AA21" s="675">
        <f t="shared" si="10"/>
        <v>0</v>
      </c>
      <c r="AB21" s="672">
        <v>4214</v>
      </c>
      <c r="AC21" s="655">
        <f t="shared" si="11"/>
        <v>98</v>
      </c>
      <c r="AD21" s="657">
        <v>218219</v>
      </c>
      <c r="AE21" s="170">
        <f t="shared" si="15"/>
        <v>51</v>
      </c>
      <c r="AF21" s="682">
        <f>'Lpg (2)'!B25*2000/85</f>
        <v>2000</v>
      </c>
      <c r="AG21" s="252">
        <f>'Lpg (2)'!C25*1000/85</f>
        <v>0</v>
      </c>
      <c r="AH21" s="695">
        <f>'Lpg (2)'!D25*1000/85</f>
        <v>176.47058823529412</v>
      </c>
      <c r="AI21" s="685">
        <f t="shared" si="18"/>
        <v>4176470.588235294</v>
      </c>
      <c r="AJ21" s="409">
        <f t="shared" si="4"/>
        <v>58823.529411765281</v>
      </c>
      <c r="AK21" s="127"/>
    </row>
    <row r="22" spans="1:37" ht="18.75">
      <c r="A22" s="716">
        <f>Gen!A27</f>
        <v>44364</v>
      </c>
      <c r="B22" s="406">
        <f>'Summery Report'!E21</f>
        <v>0</v>
      </c>
      <c r="C22" s="721">
        <f>Gen!B27</f>
        <v>0.16</v>
      </c>
      <c r="D22" s="683">
        <f>'Summery Report'!E21</f>
        <v>0</v>
      </c>
      <c r="E22" s="683">
        <f t="shared" si="13"/>
        <v>1.3262195121951219</v>
      </c>
      <c r="F22" s="418" t="e">
        <f t="shared" si="14"/>
        <v>#DIV/0!</v>
      </c>
      <c r="G22" s="418" t="e">
        <f t="shared" si="0"/>
        <v>#DIV/0!</v>
      </c>
      <c r="H22" s="683">
        <f>Gen!C27</f>
        <v>36946.87999999999</v>
      </c>
      <c r="I22" s="683">
        <f>Gen!E27</f>
        <v>0</v>
      </c>
      <c r="J22" s="722">
        <f>Gen!T27</f>
        <v>3308</v>
      </c>
      <c r="K22" s="727">
        <f>Gen!AK27</f>
        <v>0</v>
      </c>
      <c r="L22" s="718">
        <f t="shared" si="17"/>
        <v>3308</v>
      </c>
      <c r="M22" s="427">
        <f>'Water-Meter'!K62</f>
        <v>242.82485753271396</v>
      </c>
      <c r="N22" s="678">
        <f>'Water-Meter'!E22</f>
        <v>79</v>
      </c>
      <c r="O22" s="669"/>
      <c r="P22" s="676">
        <v>19038</v>
      </c>
      <c r="Q22" s="688">
        <f t="shared" si="2"/>
        <v>0</v>
      </c>
      <c r="R22" s="407">
        <f t="shared" si="5"/>
        <v>0</v>
      </c>
      <c r="S22" s="664">
        <v>7.2</v>
      </c>
      <c r="T22" s="665">
        <v>18304</v>
      </c>
      <c r="U22" s="688">
        <f t="shared" si="6"/>
        <v>5</v>
      </c>
      <c r="V22" s="408">
        <f t="shared" si="19"/>
        <v>36</v>
      </c>
      <c r="W22" s="664"/>
      <c r="X22" s="670">
        <v>28572</v>
      </c>
      <c r="Y22" s="688">
        <f t="shared" si="8"/>
        <v>0</v>
      </c>
      <c r="Z22" s="668">
        <f t="shared" si="9"/>
        <v>0</v>
      </c>
      <c r="AA22" s="675">
        <f t="shared" si="10"/>
        <v>0</v>
      </c>
      <c r="AB22" s="672">
        <v>4249</v>
      </c>
      <c r="AC22" s="655">
        <f t="shared" si="11"/>
        <v>35</v>
      </c>
      <c r="AD22" s="657">
        <v>218255</v>
      </c>
      <c r="AE22" s="170">
        <f t="shared" si="15"/>
        <v>36</v>
      </c>
      <c r="AF22" s="682">
        <f>'Lpg (2)'!B26*2000/85</f>
        <v>2000</v>
      </c>
      <c r="AG22" s="252">
        <f>'Lpg (2)'!C26*1000/85</f>
        <v>0</v>
      </c>
      <c r="AH22" s="695">
        <f>'Lpg (2)'!D26*1000/85</f>
        <v>94.117647058823536</v>
      </c>
      <c r="AI22" s="685">
        <f t="shared" si="18"/>
        <v>4094117.6470588236</v>
      </c>
      <c r="AJ22" s="409">
        <f t="shared" si="4"/>
        <v>82352.941176470369</v>
      </c>
      <c r="AK22" s="127"/>
    </row>
    <row r="23" spans="1:37" ht="18.75">
      <c r="A23" s="716">
        <f>Gen!A28</f>
        <v>44365</v>
      </c>
      <c r="B23" s="406">
        <f>'Summery Report'!E22</f>
        <v>0</v>
      </c>
      <c r="C23" s="721">
        <f>Gen!B28</f>
        <v>0.16</v>
      </c>
      <c r="D23" s="683">
        <f>'Summery Report'!E22</f>
        <v>0</v>
      </c>
      <c r="E23" s="683">
        <f t="shared" si="13"/>
        <v>1.3262195121951219</v>
      </c>
      <c r="F23" s="418" t="e">
        <f t="shared" si="14"/>
        <v>#DIV/0!</v>
      </c>
      <c r="G23" s="418" t="e">
        <f t="shared" si="0"/>
        <v>#DIV/0!</v>
      </c>
      <c r="H23" s="683">
        <f>Gen!C28</f>
        <v>35594.87999999999</v>
      </c>
      <c r="I23" s="683">
        <f>Gen!E28</f>
        <v>0</v>
      </c>
      <c r="J23" s="722">
        <f>Gen!T28</f>
        <v>3408</v>
      </c>
      <c r="K23" s="727">
        <f>Gen!AK28</f>
        <v>0</v>
      </c>
      <c r="L23" s="718">
        <f t="shared" si="17"/>
        <v>3408</v>
      </c>
      <c r="M23" s="427">
        <f>'Water-Meter'!K63</f>
        <v>283.75207070676186</v>
      </c>
      <c r="N23" s="678">
        <f>'Water-Meter'!E23</f>
        <v>77</v>
      </c>
      <c r="O23" s="669"/>
      <c r="P23" s="676">
        <v>19038</v>
      </c>
      <c r="Q23" s="688">
        <f t="shared" si="2"/>
        <v>0</v>
      </c>
      <c r="R23" s="407">
        <f t="shared" si="5"/>
        <v>0</v>
      </c>
      <c r="S23" s="664">
        <v>7.1</v>
      </c>
      <c r="T23" s="665">
        <v>18314</v>
      </c>
      <c r="U23" s="688">
        <f t="shared" si="6"/>
        <v>10</v>
      </c>
      <c r="V23" s="408">
        <f t="shared" si="19"/>
        <v>71</v>
      </c>
      <c r="W23" s="664">
        <v>2.1</v>
      </c>
      <c r="X23" s="670">
        <v>28585</v>
      </c>
      <c r="Y23" s="688">
        <f t="shared" si="8"/>
        <v>13</v>
      </c>
      <c r="Z23" s="668">
        <f t="shared" si="9"/>
        <v>27.3</v>
      </c>
      <c r="AA23" s="675">
        <f t="shared" si="10"/>
        <v>780370.5</v>
      </c>
      <c r="AB23" s="672">
        <v>4342</v>
      </c>
      <c r="AC23" s="655">
        <f t="shared" si="11"/>
        <v>93</v>
      </c>
      <c r="AD23" s="817">
        <v>218282</v>
      </c>
      <c r="AE23" s="170">
        <f t="shared" si="15"/>
        <v>27</v>
      </c>
      <c r="AF23" s="682">
        <f>'Lpg (2)'!B27*2000/85</f>
        <v>2000</v>
      </c>
      <c r="AG23" s="252">
        <f>'Lpg (2)'!C27*1000/85</f>
        <v>0</v>
      </c>
      <c r="AH23" s="695">
        <f>'Lpg (2)'!D27*1000/85</f>
        <v>47.058823529411768</v>
      </c>
      <c r="AI23" s="685">
        <f t="shared" si="18"/>
        <v>4047058.8235294116</v>
      </c>
      <c r="AJ23" s="409">
        <f t="shared" si="4"/>
        <v>47058.823529412039</v>
      </c>
      <c r="AK23" s="127"/>
    </row>
    <row r="24" spans="1:37" ht="18.75">
      <c r="A24" s="716">
        <f>Gen!A29</f>
        <v>44366</v>
      </c>
      <c r="B24" s="406">
        <f>'Summery Report'!E23</f>
        <v>0</v>
      </c>
      <c r="C24" s="721">
        <f>Gen!B29</f>
        <v>0.11</v>
      </c>
      <c r="D24" s="683">
        <f>'Summery Report'!E23</f>
        <v>0</v>
      </c>
      <c r="E24" s="683">
        <f t="shared" si="13"/>
        <v>1.3262195121951219</v>
      </c>
      <c r="F24" s="418" t="e">
        <f t="shared" si="14"/>
        <v>#DIV/0!</v>
      </c>
      <c r="G24" s="418" t="e">
        <f t="shared" si="0"/>
        <v>#DIV/0!</v>
      </c>
      <c r="H24" s="683">
        <f>Gen!C29</f>
        <v>33954.589999999989</v>
      </c>
      <c r="I24" s="683">
        <f>Gen!E29</f>
        <v>0</v>
      </c>
      <c r="J24" s="722">
        <f>Gen!T29</f>
        <v>3062</v>
      </c>
      <c r="K24" s="727">
        <f>Gen!AK29</f>
        <v>0</v>
      </c>
      <c r="L24" s="718">
        <f t="shared" si="17"/>
        <v>3062</v>
      </c>
      <c r="M24" s="427">
        <f>'Water-Meter'!K64</f>
        <v>364.18103665228602</v>
      </c>
      <c r="N24" s="678">
        <f>'Water-Meter'!E24</f>
        <v>80</v>
      </c>
      <c r="O24" s="669"/>
      <c r="P24" s="676">
        <v>19038</v>
      </c>
      <c r="Q24" s="688">
        <f t="shared" si="2"/>
        <v>0</v>
      </c>
      <c r="R24" s="407">
        <f t="shared" si="5"/>
        <v>0</v>
      </c>
      <c r="S24" s="664">
        <v>7.1</v>
      </c>
      <c r="T24" s="665">
        <v>18335</v>
      </c>
      <c r="U24" s="688">
        <f t="shared" si="6"/>
        <v>21</v>
      </c>
      <c r="V24" s="408">
        <f t="shared" si="19"/>
        <v>149.1</v>
      </c>
      <c r="W24" s="664"/>
      <c r="X24" s="670">
        <v>28585</v>
      </c>
      <c r="Y24" s="688">
        <f t="shared" si="8"/>
        <v>0</v>
      </c>
      <c r="Z24" s="668">
        <f t="shared" si="9"/>
        <v>0</v>
      </c>
      <c r="AA24" s="675">
        <f t="shared" si="10"/>
        <v>0</v>
      </c>
      <c r="AB24" s="672">
        <v>4496</v>
      </c>
      <c r="AC24" s="655">
        <f t="shared" si="11"/>
        <v>154</v>
      </c>
      <c r="AD24" s="817">
        <v>218309</v>
      </c>
      <c r="AE24" s="170">
        <f t="shared" si="15"/>
        <v>27</v>
      </c>
      <c r="AF24" s="682">
        <f>'Lpg (2)'!B28*2000/85</f>
        <v>2000</v>
      </c>
      <c r="AG24" s="252">
        <f>'Lpg (2)'!C28*1000/85</f>
        <v>0</v>
      </c>
      <c r="AH24" s="695">
        <f>'Lpg (2)'!D28*1000/85</f>
        <v>23.529411764705884</v>
      </c>
      <c r="AI24" s="685">
        <f t="shared" si="18"/>
        <v>4023529.411764706</v>
      </c>
      <c r="AJ24" s="409">
        <f t="shared" si="4"/>
        <v>23529.411764705554</v>
      </c>
      <c r="AK24" s="127"/>
    </row>
    <row r="25" spans="1:37" ht="18.75">
      <c r="A25" s="716">
        <f>Gen!A30</f>
        <v>44367</v>
      </c>
      <c r="B25" s="406">
        <f>'Summery Report'!E24</f>
        <v>0</v>
      </c>
      <c r="C25" s="721">
        <f>Gen!B30</f>
        <v>0.05</v>
      </c>
      <c r="D25" s="683">
        <f>'Summery Report'!E24</f>
        <v>0</v>
      </c>
      <c r="E25" s="683">
        <f t="shared" si="13"/>
        <v>1.3262195121951219</v>
      </c>
      <c r="F25" s="418" t="e">
        <f t="shared" si="14"/>
        <v>#DIV/0!</v>
      </c>
      <c r="G25" s="418" t="e">
        <f t="shared" si="0"/>
        <v>#DIV/0!</v>
      </c>
      <c r="H25" s="683">
        <f>Gen!C30</f>
        <v>32635.079999999991</v>
      </c>
      <c r="I25" s="683">
        <f>Gen!E30</f>
        <v>0</v>
      </c>
      <c r="J25" s="722">
        <f>Gen!T30</f>
        <v>3078</v>
      </c>
      <c r="K25" s="727">
        <f>Gen!AK30</f>
        <v>0</v>
      </c>
      <c r="L25" s="718">
        <f t="shared" si="17"/>
        <v>3078</v>
      </c>
      <c r="M25" s="427">
        <f>'Water-Meter'!K65</f>
        <v>383.64593916121117</v>
      </c>
      <c r="N25" s="678">
        <f>'Water-Meter'!E25</f>
        <v>65</v>
      </c>
      <c r="O25" s="669"/>
      <c r="P25" s="676">
        <v>19038</v>
      </c>
      <c r="Q25" s="688">
        <f t="shared" si="2"/>
        <v>0</v>
      </c>
      <c r="R25" s="407">
        <f t="shared" si="5"/>
        <v>0</v>
      </c>
      <c r="S25" s="664">
        <v>7.2</v>
      </c>
      <c r="T25" s="665">
        <v>18359</v>
      </c>
      <c r="U25" s="688">
        <f t="shared" si="6"/>
        <v>24</v>
      </c>
      <c r="V25" s="408">
        <f t="shared" si="19"/>
        <v>172.8</v>
      </c>
      <c r="W25" s="664"/>
      <c r="X25" s="670">
        <v>28585</v>
      </c>
      <c r="Y25" s="688">
        <f t="shared" si="8"/>
        <v>0</v>
      </c>
      <c r="Z25" s="668">
        <f t="shared" si="9"/>
        <v>0</v>
      </c>
      <c r="AA25" s="675">
        <f t="shared" si="10"/>
        <v>0</v>
      </c>
      <c r="AB25" s="672">
        <v>4653</v>
      </c>
      <c r="AC25" s="655">
        <f t="shared" si="11"/>
        <v>157</v>
      </c>
      <c r="AD25" s="817">
        <v>218382</v>
      </c>
      <c r="AE25" s="170">
        <f t="shared" si="15"/>
        <v>73</v>
      </c>
      <c r="AF25" s="682">
        <f>'Lpg (2)'!B29*2000/85</f>
        <v>2000</v>
      </c>
      <c r="AG25" s="252">
        <f>'Lpg (2)'!C29*1000/85</f>
        <v>0</v>
      </c>
      <c r="AH25" s="695">
        <f>'Lpg (2)'!D29*1000/85</f>
        <v>11.764705882352942</v>
      </c>
      <c r="AI25" s="685">
        <f t="shared" si="18"/>
        <v>4011764.7058823528</v>
      </c>
      <c r="AJ25" s="409">
        <f t="shared" si="4"/>
        <v>11764.705882353242</v>
      </c>
      <c r="AK25" s="127"/>
    </row>
    <row r="26" spans="1:37" ht="18.75">
      <c r="A26" s="716">
        <f>Gen!A31</f>
        <v>44368</v>
      </c>
      <c r="B26" s="406">
        <f>'Summery Report'!E25</f>
        <v>0</v>
      </c>
      <c r="C26" s="721">
        <f>Gen!B31</f>
        <v>0</v>
      </c>
      <c r="D26" s="683">
        <f>'Summery Report'!E25</f>
        <v>0</v>
      </c>
      <c r="E26" s="683">
        <f t="shared" si="13"/>
        <v>1.3262195121951219</v>
      </c>
      <c r="F26" s="418" t="e">
        <f>SUM(J26*E26)/D26</f>
        <v>#DIV/0!</v>
      </c>
      <c r="G26" s="418" t="e">
        <f t="shared" si="0"/>
        <v>#DIV/0!</v>
      </c>
      <c r="H26" s="683">
        <f>Gen!C31</f>
        <v>31378.28999999999</v>
      </c>
      <c r="I26" s="683">
        <f>Gen!E31</f>
        <v>0</v>
      </c>
      <c r="J26" s="722">
        <f>Gen!T31</f>
        <v>0</v>
      </c>
      <c r="K26" s="727">
        <f>Gen!AK31</f>
        <v>0</v>
      </c>
      <c r="L26" s="718">
        <f t="shared" si="17"/>
        <v>0</v>
      </c>
      <c r="M26" s="427">
        <f>'Water-Meter'!K66</f>
        <v>446.06033815447631</v>
      </c>
      <c r="N26" s="678" t="str">
        <f>'Water-Meter'!E26</f>
        <v>0</v>
      </c>
      <c r="O26" s="669"/>
      <c r="P26" s="676"/>
      <c r="Q26" s="688">
        <f t="shared" si="2"/>
        <v>-19038</v>
      </c>
      <c r="R26" s="407">
        <f t="shared" si="5"/>
        <v>0</v>
      </c>
      <c r="S26" s="664"/>
      <c r="T26" s="665"/>
      <c r="U26" s="688">
        <f t="shared" si="6"/>
        <v>-18359</v>
      </c>
      <c r="V26" s="408">
        <f t="shared" si="19"/>
        <v>0</v>
      </c>
      <c r="W26" s="664"/>
      <c r="X26" s="670"/>
      <c r="Y26" s="688">
        <f t="shared" si="8"/>
        <v>-28585</v>
      </c>
      <c r="Z26" s="668">
        <f t="shared" si="9"/>
        <v>0</v>
      </c>
      <c r="AA26" s="675">
        <f t="shared" si="10"/>
        <v>0</v>
      </c>
      <c r="AB26" s="672"/>
      <c r="AC26" s="655">
        <f t="shared" si="11"/>
        <v>-4653</v>
      </c>
      <c r="AD26" s="817"/>
      <c r="AE26" s="170">
        <f t="shared" si="15"/>
        <v>-218382</v>
      </c>
      <c r="AF26" s="682">
        <f>'Lpg (2)'!B30*2000/85</f>
        <v>2000</v>
      </c>
      <c r="AG26" s="252">
        <f>'Lpg (2)'!C30*1000/85</f>
        <v>0</v>
      </c>
      <c r="AH26" s="695">
        <f>'Lpg (2)'!D30*1000/85</f>
        <v>11.764705882352942</v>
      </c>
      <c r="AI26" s="685">
        <f t="shared" si="18"/>
        <v>4011764.7058823528</v>
      </c>
      <c r="AJ26" s="409">
        <f t="shared" si="4"/>
        <v>0</v>
      </c>
      <c r="AK26" s="127"/>
    </row>
    <row r="27" spans="1:37" ht="18.75">
      <c r="A27" s="716">
        <f>Gen!A32</f>
        <v>44369</v>
      </c>
      <c r="B27" s="406">
        <f>'Summery Report'!E26</f>
        <v>0</v>
      </c>
      <c r="C27" s="721">
        <f>Gen!B32</f>
        <v>0</v>
      </c>
      <c r="D27" s="683">
        <f>'Summery Report'!E26</f>
        <v>0</v>
      </c>
      <c r="E27" s="683">
        <f t="shared" si="13"/>
        <v>1.3262195121951219</v>
      </c>
      <c r="F27" s="418" t="e">
        <f t="shared" si="14"/>
        <v>#DIV/0!</v>
      </c>
      <c r="G27" s="418" t="e">
        <f t="shared" si="0"/>
        <v>#DIV/0!</v>
      </c>
      <c r="H27" s="683">
        <f>Gen!C32</f>
        <v>31378.28999999999</v>
      </c>
      <c r="I27" s="683">
        <f>Gen!E32</f>
        <v>0</v>
      </c>
      <c r="J27" s="722">
        <f>Gen!T32</f>
        <v>0</v>
      </c>
      <c r="K27" s="727">
        <f>Gen!AK32</f>
        <v>0</v>
      </c>
      <c r="L27" s="718">
        <f t="shared" si="17"/>
        <v>0</v>
      </c>
      <c r="M27" s="427">
        <f>'Water-Meter'!K67</f>
        <v>0</v>
      </c>
      <c r="N27" s="678">
        <f>'Water-Meter'!E27</f>
        <v>0</v>
      </c>
      <c r="O27" s="669"/>
      <c r="P27" s="676"/>
      <c r="Q27" s="688">
        <f t="shared" si="2"/>
        <v>0</v>
      </c>
      <c r="R27" s="407">
        <f t="shared" si="5"/>
        <v>0</v>
      </c>
      <c r="S27" s="664"/>
      <c r="T27" s="665"/>
      <c r="U27" s="688">
        <f t="shared" si="6"/>
        <v>0</v>
      </c>
      <c r="V27" s="408">
        <f t="shared" si="19"/>
        <v>0</v>
      </c>
      <c r="W27" s="664"/>
      <c r="X27" s="670"/>
      <c r="Y27" s="688">
        <f t="shared" si="8"/>
        <v>0</v>
      </c>
      <c r="Z27" s="668">
        <f t="shared" si="9"/>
        <v>0</v>
      </c>
      <c r="AA27" s="675">
        <f t="shared" si="10"/>
        <v>0</v>
      </c>
      <c r="AB27" s="672"/>
      <c r="AC27" s="655">
        <f t="shared" si="11"/>
        <v>0</v>
      </c>
      <c r="AD27" s="817"/>
      <c r="AE27" s="170">
        <f t="shared" si="15"/>
        <v>0</v>
      </c>
      <c r="AF27" s="682">
        <f>'Lpg (2)'!B31*2000/85</f>
        <v>0</v>
      </c>
      <c r="AG27" s="252">
        <f>'Lpg (2)'!C31*1000/85</f>
        <v>0</v>
      </c>
      <c r="AH27" s="695">
        <f>'Lpg (2)'!D31*1000/85</f>
        <v>0</v>
      </c>
      <c r="AI27" s="685">
        <f t="shared" si="18"/>
        <v>0</v>
      </c>
      <c r="AJ27" s="409">
        <f t="shared" si="4"/>
        <v>4011764.7058823528</v>
      </c>
      <c r="AK27" s="127"/>
    </row>
    <row r="28" spans="1:37" ht="18.75">
      <c r="A28" s="716">
        <f>Gen!A33</f>
        <v>44370</v>
      </c>
      <c r="B28" s="406">
        <f>'Summery Report'!E27</f>
        <v>0</v>
      </c>
      <c r="C28" s="721">
        <f>Gen!B33</f>
        <v>0</v>
      </c>
      <c r="D28" s="683">
        <f>'Summery Report'!E27</f>
        <v>0</v>
      </c>
      <c r="E28" s="683">
        <f t="shared" si="13"/>
        <v>1.3262195121951219</v>
      </c>
      <c r="F28" s="418" t="e">
        <f t="shared" si="14"/>
        <v>#DIV/0!</v>
      </c>
      <c r="G28" s="418" t="e">
        <f t="shared" si="0"/>
        <v>#DIV/0!</v>
      </c>
      <c r="H28" s="683">
        <f>Gen!C33</f>
        <v>31378.28999999999</v>
      </c>
      <c r="I28" s="683">
        <f>Gen!E33</f>
        <v>0</v>
      </c>
      <c r="J28" s="722">
        <f>Gen!T33</f>
        <v>0</v>
      </c>
      <c r="K28" s="727">
        <f>Gen!AK33</f>
        <v>0</v>
      </c>
      <c r="L28" s="718">
        <f t="shared" si="17"/>
        <v>0</v>
      </c>
      <c r="M28" s="427">
        <f>'Water-Meter'!K68</f>
        <v>0</v>
      </c>
      <c r="N28" s="678">
        <f>'Water-Meter'!E28</f>
        <v>0</v>
      </c>
      <c r="O28" s="669"/>
      <c r="P28" s="676"/>
      <c r="Q28" s="688">
        <f t="shared" si="2"/>
        <v>0</v>
      </c>
      <c r="R28" s="407">
        <f t="shared" si="5"/>
        <v>0</v>
      </c>
      <c r="S28" s="664"/>
      <c r="T28" s="665"/>
      <c r="U28" s="688">
        <f t="shared" si="6"/>
        <v>0</v>
      </c>
      <c r="V28" s="408">
        <f t="shared" si="19"/>
        <v>0</v>
      </c>
      <c r="W28" s="664"/>
      <c r="X28" s="670"/>
      <c r="Y28" s="688">
        <f t="shared" si="8"/>
        <v>0</v>
      </c>
      <c r="Z28" s="668">
        <f t="shared" si="9"/>
        <v>0</v>
      </c>
      <c r="AA28" s="675">
        <f t="shared" si="10"/>
        <v>0</v>
      </c>
      <c r="AB28" s="672"/>
      <c r="AC28" s="655">
        <f>SUM(AB28-AB27)</f>
        <v>0</v>
      </c>
      <c r="AD28" s="817"/>
      <c r="AE28" s="170">
        <f t="shared" si="15"/>
        <v>0</v>
      </c>
      <c r="AF28" s="682">
        <f>'Lpg (2)'!B32*2000/85</f>
        <v>0</v>
      </c>
      <c r="AG28" s="252">
        <f>'Lpg (2)'!C32*1000/85</f>
        <v>0</v>
      </c>
      <c r="AH28" s="695">
        <f>'Lpg (2)'!D32*1000/85</f>
        <v>0</v>
      </c>
      <c r="AI28" s="685">
        <f t="shared" si="18"/>
        <v>0</v>
      </c>
      <c r="AJ28" s="409">
        <f t="shared" si="4"/>
        <v>0</v>
      </c>
      <c r="AK28" s="127"/>
    </row>
    <row r="29" spans="1:37" ht="18.75">
      <c r="A29" s="716">
        <f>Gen!A34</f>
        <v>44371</v>
      </c>
      <c r="B29" s="406">
        <f>'Summery Report'!E28</f>
        <v>0</v>
      </c>
      <c r="C29" s="721">
        <f>Gen!B34</f>
        <v>0</v>
      </c>
      <c r="D29" s="683">
        <f>'Summery Report'!E28</f>
        <v>0</v>
      </c>
      <c r="E29" s="683">
        <f t="shared" si="13"/>
        <v>1.3262195121951219</v>
      </c>
      <c r="F29" s="418" t="e">
        <f t="shared" si="14"/>
        <v>#DIV/0!</v>
      </c>
      <c r="G29" s="418" t="e">
        <f t="shared" si="0"/>
        <v>#DIV/0!</v>
      </c>
      <c r="H29" s="683">
        <f>Gen!C34</f>
        <v>31378.28999999999</v>
      </c>
      <c r="I29" s="683">
        <f>Gen!E34</f>
        <v>0</v>
      </c>
      <c r="J29" s="722">
        <f>Gen!T34</f>
        <v>0</v>
      </c>
      <c r="K29" s="727">
        <f>Gen!AK34</f>
        <v>0</v>
      </c>
      <c r="L29" s="718">
        <f t="shared" si="17"/>
        <v>0</v>
      </c>
      <c r="M29" s="427">
        <f>'Water-Meter'!K69</f>
        <v>0</v>
      </c>
      <c r="N29" s="678">
        <f>'Water-Meter'!E29</f>
        <v>0</v>
      </c>
      <c r="O29" s="669"/>
      <c r="P29" s="676"/>
      <c r="Q29" s="688">
        <f t="shared" si="2"/>
        <v>0</v>
      </c>
      <c r="R29" s="407">
        <f t="shared" si="5"/>
        <v>0</v>
      </c>
      <c r="S29" s="664"/>
      <c r="T29" s="665"/>
      <c r="U29" s="688">
        <f t="shared" si="6"/>
        <v>0</v>
      </c>
      <c r="V29" s="408">
        <f t="shared" si="19"/>
        <v>0</v>
      </c>
      <c r="W29" s="664"/>
      <c r="X29" s="670"/>
      <c r="Y29" s="688">
        <f t="shared" si="8"/>
        <v>0</v>
      </c>
      <c r="Z29" s="668">
        <f t="shared" si="9"/>
        <v>0</v>
      </c>
      <c r="AA29" s="675">
        <f t="shared" si="10"/>
        <v>0</v>
      </c>
      <c r="AB29" s="672"/>
      <c r="AC29" s="655">
        <f t="shared" ref="AC28:AC37" si="20">SUM(AB29-AB28)</f>
        <v>0</v>
      </c>
      <c r="AD29" s="817"/>
      <c r="AE29" s="170">
        <f t="shared" si="15"/>
        <v>0</v>
      </c>
      <c r="AF29" s="682">
        <f>'Lpg (2)'!B33*2000/85</f>
        <v>0</v>
      </c>
      <c r="AG29" s="252">
        <f>'Lpg (2)'!C33*1000/85</f>
        <v>0</v>
      </c>
      <c r="AH29" s="695">
        <f>'Lpg (2)'!D33*1000/85</f>
        <v>0</v>
      </c>
      <c r="AI29" s="685">
        <f t="shared" si="18"/>
        <v>0</v>
      </c>
      <c r="AJ29" s="409">
        <f t="shared" si="4"/>
        <v>0</v>
      </c>
      <c r="AK29" s="127"/>
    </row>
    <row r="30" spans="1:37" ht="18.75">
      <c r="A30" s="716">
        <f>Gen!A35</f>
        <v>44372</v>
      </c>
      <c r="B30" s="406">
        <f>'Summery Report'!E29</f>
        <v>0</v>
      </c>
      <c r="C30" s="721">
        <f>Gen!B35</f>
        <v>0</v>
      </c>
      <c r="D30" s="683">
        <f>'Summery Report'!E29</f>
        <v>0</v>
      </c>
      <c r="E30" s="683">
        <f t="shared" si="13"/>
        <v>1.3262195121951219</v>
      </c>
      <c r="F30" s="418" t="e">
        <f t="shared" si="14"/>
        <v>#DIV/0!</v>
      </c>
      <c r="G30" s="418" t="e">
        <f t="shared" si="0"/>
        <v>#DIV/0!</v>
      </c>
      <c r="H30" s="683">
        <f>Gen!C35</f>
        <v>31378.28999999999</v>
      </c>
      <c r="I30" s="683">
        <f>Gen!E35</f>
        <v>15000</v>
      </c>
      <c r="J30" s="722">
        <f>Gen!T35</f>
        <v>0</v>
      </c>
      <c r="K30" s="727">
        <f>Gen!AK35</f>
        <v>0</v>
      </c>
      <c r="L30" s="718">
        <f t="shared" si="17"/>
        <v>0</v>
      </c>
      <c r="M30" s="427">
        <f>'Water-Meter'!K70</f>
        <v>0</v>
      </c>
      <c r="N30" s="678">
        <f>'Water-Meter'!E30</f>
        <v>0</v>
      </c>
      <c r="O30" s="669"/>
      <c r="P30" s="676"/>
      <c r="Q30" s="688">
        <f t="shared" si="2"/>
        <v>0</v>
      </c>
      <c r="R30" s="407">
        <f t="shared" si="5"/>
        <v>0</v>
      </c>
      <c r="S30" s="664"/>
      <c r="T30" s="665"/>
      <c r="U30" s="688">
        <f t="shared" si="6"/>
        <v>0</v>
      </c>
      <c r="V30" s="408">
        <f t="shared" si="19"/>
        <v>0</v>
      </c>
      <c r="W30" s="664"/>
      <c r="X30" s="670"/>
      <c r="Y30" s="688">
        <f t="shared" si="8"/>
        <v>0</v>
      </c>
      <c r="Z30" s="668">
        <f t="shared" si="9"/>
        <v>0</v>
      </c>
      <c r="AA30" s="675">
        <f t="shared" si="10"/>
        <v>0</v>
      </c>
      <c r="AB30" s="672"/>
      <c r="AC30" s="655">
        <f t="shared" si="20"/>
        <v>0</v>
      </c>
      <c r="AD30" s="817"/>
      <c r="AE30" s="170">
        <f t="shared" si="15"/>
        <v>0</v>
      </c>
      <c r="AF30" s="682">
        <f>'Lpg (2)'!B34*2000/85</f>
        <v>0</v>
      </c>
      <c r="AG30" s="252">
        <f>'Lpg (2)'!C34*1000/85</f>
        <v>0</v>
      </c>
      <c r="AH30" s="695">
        <f>'Lpg (2)'!D34*1000/85</f>
        <v>0</v>
      </c>
      <c r="AI30" s="685">
        <f t="shared" si="18"/>
        <v>0</v>
      </c>
      <c r="AJ30" s="409">
        <f t="shared" si="4"/>
        <v>0</v>
      </c>
      <c r="AK30" s="127"/>
    </row>
    <row r="31" spans="1:37" ht="18.75">
      <c r="A31" s="716">
        <f>Gen!A36</f>
        <v>44373</v>
      </c>
      <c r="B31" s="406">
        <f>'Summery Report'!E30</f>
        <v>0</v>
      </c>
      <c r="C31" s="721">
        <f>Gen!B36</f>
        <v>0</v>
      </c>
      <c r="D31" s="683">
        <f>'Summery Report'!E30</f>
        <v>0</v>
      </c>
      <c r="E31" s="683">
        <f t="shared" si="13"/>
        <v>1.3262195121951219</v>
      </c>
      <c r="F31" s="418" t="e">
        <f t="shared" si="14"/>
        <v>#DIV/0!</v>
      </c>
      <c r="G31" s="418" t="e">
        <f t="shared" si="0"/>
        <v>#DIV/0!</v>
      </c>
      <c r="H31" s="683">
        <f>Gen!C36</f>
        <v>31378.28999999999</v>
      </c>
      <c r="I31" s="683">
        <f>Gen!E36</f>
        <v>0</v>
      </c>
      <c r="J31" s="722">
        <f>Gen!T36</f>
        <v>0</v>
      </c>
      <c r="K31" s="727">
        <f>Gen!AK36</f>
        <v>0</v>
      </c>
      <c r="L31" s="718">
        <f t="shared" si="17"/>
        <v>0</v>
      </c>
      <c r="M31" s="427">
        <f>'Water-Meter'!K71</f>
        <v>0</v>
      </c>
      <c r="N31" s="678">
        <f>'Water-Meter'!E31</f>
        <v>0</v>
      </c>
      <c r="O31" s="669"/>
      <c r="P31" s="676"/>
      <c r="Q31" s="688">
        <f t="shared" si="2"/>
        <v>0</v>
      </c>
      <c r="R31" s="407">
        <f t="shared" si="5"/>
        <v>0</v>
      </c>
      <c r="S31" s="664"/>
      <c r="T31" s="665"/>
      <c r="U31" s="688">
        <f t="shared" si="6"/>
        <v>0</v>
      </c>
      <c r="V31" s="408">
        <f t="shared" si="19"/>
        <v>0</v>
      </c>
      <c r="W31" s="664"/>
      <c r="X31" s="670"/>
      <c r="Y31" s="688">
        <f t="shared" si="8"/>
        <v>0</v>
      </c>
      <c r="Z31" s="668">
        <f t="shared" si="9"/>
        <v>0</v>
      </c>
      <c r="AA31" s="675">
        <f t="shared" si="10"/>
        <v>0</v>
      </c>
      <c r="AB31" s="672"/>
      <c r="AC31" s="655">
        <f t="shared" si="20"/>
        <v>0</v>
      </c>
      <c r="AD31" s="817"/>
      <c r="AE31" s="170">
        <f t="shared" si="15"/>
        <v>0</v>
      </c>
      <c r="AF31" s="682">
        <f>'Lpg (2)'!B35*2000/85</f>
        <v>0</v>
      </c>
      <c r="AG31" s="252">
        <f>'Lpg (2)'!C35*1000/85</f>
        <v>0</v>
      </c>
      <c r="AH31" s="695">
        <f>'Lpg (2)'!D35*1000/85</f>
        <v>0</v>
      </c>
      <c r="AI31" s="685">
        <f t="shared" si="18"/>
        <v>0</v>
      </c>
      <c r="AJ31" s="409">
        <f t="shared" si="4"/>
        <v>0</v>
      </c>
      <c r="AK31" s="127"/>
    </row>
    <row r="32" spans="1:37" ht="18.75">
      <c r="A32" s="716">
        <f>Gen!A37</f>
        <v>44374</v>
      </c>
      <c r="B32" s="406">
        <f>'Summery Report'!E31</f>
        <v>0</v>
      </c>
      <c r="C32" s="721">
        <f>Gen!B37</f>
        <v>0</v>
      </c>
      <c r="D32" s="683">
        <f>'Summery Report'!E31</f>
        <v>0</v>
      </c>
      <c r="E32" s="683">
        <f t="shared" si="13"/>
        <v>1.3262195121951219</v>
      </c>
      <c r="F32" s="418" t="e">
        <f t="shared" si="14"/>
        <v>#DIV/0!</v>
      </c>
      <c r="G32" s="418" t="e">
        <f t="shared" si="0"/>
        <v>#DIV/0!</v>
      </c>
      <c r="H32" s="683">
        <f>Gen!C37</f>
        <v>31378.28999999999</v>
      </c>
      <c r="I32" s="683">
        <f>Gen!E37</f>
        <v>0</v>
      </c>
      <c r="J32" s="722">
        <f>Gen!T37</f>
        <v>0</v>
      </c>
      <c r="K32" s="727">
        <f>Gen!AK37</f>
        <v>0</v>
      </c>
      <c r="L32" s="718">
        <f t="shared" si="17"/>
        <v>0</v>
      </c>
      <c r="M32" s="427">
        <f>'Water-Meter'!K72</f>
        <v>0</v>
      </c>
      <c r="N32" s="678">
        <f>'Water-Meter'!E32</f>
        <v>0</v>
      </c>
      <c r="O32" s="669"/>
      <c r="P32" s="676"/>
      <c r="Q32" s="688">
        <f t="shared" si="2"/>
        <v>0</v>
      </c>
      <c r="R32" s="407">
        <f t="shared" si="5"/>
        <v>0</v>
      </c>
      <c r="S32" s="664"/>
      <c r="T32" s="665"/>
      <c r="U32" s="688">
        <f t="shared" si="6"/>
        <v>0</v>
      </c>
      <c r="V32" s="408">
        <f t="shared" si="19"/>
        <v>0</v>
      </c>
      <c r="W32" s="664"/>
      <c r="X32" s="670"/>
      <c r="Y32" s="688">
        <f t="shared" si="8"/>
        <v>0</v>
      </c>
      <c r="Z32" s="668">
        <f t="shared" si="9"/>
        <v>0</v>
      </c>
      <c r="AA32" s="675">
        <f t="shared" si="10"/>
        <v>0</v>
      </c>
      <c r="AB32" s="672"/>
      <c r="AC32" s="655">
        <f t="shared" si="20"/>
        <v>0</v>
      </c>
      <c r="AD32" s="817"/>
      <c r="AE32" s="170">
        <f t="shared" si="15"/>
        <v>0</v>
      </c>
      <c r="AF32" s="682">
        <f>'Lpg (2)'!B36*2000/85</f>
        <v>0</v>
      </c>
      <c r="AG32" s="252">
        <f>'Lpg (2)'!C36*1000/85</f>
        <v>0</v>
      </c>
      <c r="AH32" s="695">
        <f>'Lpg (2)'!D36*1000/85</f>
        <v>0</v>
      </c>
      <c r="AI32" s="685">
        <f t="shared" si="18"/>
        <v>0</v>
      </c>
      <c r="AJ32" s="409">
        <f t="shared" si="4"/>
        <v>0</v>
      </c>
      <c r="AK32" s="127"/>
    </row>
    <row r="33" spans="1:37" ht="18.75">
      <c r="A33" s="716">
        <f>Gen!A38</f>
        <v>44375</v>
      </c>
      <c r="B33" s="406">
        <f>'Summery Report'!E32</f>
        <v>0</v>
      </c>
      <c r="C33" s="721">
        <f>Gen!B38</f>
        <v>0</v>
      </c>
      <c r="D33" s="683">
        <f>'Summery Report'!E32</f>
        <v>0</v>
      </c>
      <c r="E33" s="683">
        <f t="shared" si="13"/>
        <v>1.3262195121951219</v>
      </c>
      <c r="F33" s="418" t="e">
        <f t="shared" si="14"/>
        <v>#DIV/0!</v>
      </c>
      <c r="G33" s="418" t="e">
        <f t="shared" si="0"/>
        <v>#DIV/0!</v>
      </c>
      <c r="H33" s="683">
        <f>Gen!C38</f>
        <v>31378.28999999999</v>
      </c>
      <c r="I33" s="683">
        <f>Gen!E38</f>
        <v>0</v>
      </c>
      <c r="J33" s="722">
        <f>Gen!T38</f>
        <v>0</v>
      </c>
      <c r="K33" s="727">
        <f>Gen!AK38</f>
        <v>0</v>
      </c>
      <c r="L33" s="718">
        <f t="shared" si="17"/>
        <v>0</v>
      </c>
      <c r="M33" s="427">
        <f>'Water-Meter'!K73</f>
        <v>0</v>
      </c>
      <c r="N33" s="678">
        <f>'Water-Meter'!E33</f>
        <v>0</v>
      </c>
      <c r="O33" s="669"/>
      <c r="P33" s="676"/>
      <c r="Q33" s="688">
        <f t="shared" si="2"/>
        <v>0</v>
      </c>
      <c r="R33" s="407">
        <f t="shared" si="5"/>
        <v>0</v>
      </c>
      <c r="S33" s="664"/>
      <c r="T33" s="665"/>
      <c r="U33" s="688">
        <f t="shared" si="6"/>
        <v>0</v>
      </c>
      <c r="V33" s="408">
        <f t="shared" si="19"/>
        <v>0</v>
      </c>
      <c r="W33" s="664"/>
      <c r="X33" s="670"/>
      <c r="Y33" s="688">
        <f t="shared" si="8"/>
        <v>0</v>
      </c>
      <c r="Z33" s="668">
        <f t="shared" si="9"/>
        <v>0</v>
      </c>
      <c r="AA33" s="675">
        <f t="shared" si="10"/>
        <v>0</v>
      </c>
      <c r="AB33" s="672"/>
      <c r="AC33" s="655">
        <f t="shared" si="20"/>
        <v>0</v>
      </c>
      <c r="AD33" s="817"/>
      <c r="AE33" s="170">
        <f t="shared" si="15"/>
        <v>0</v>
      </c>
      <c r="AF33" s="682">
        <f>'Lpg (2)'!B37*2000/85</f>
        <v>0</v>
      </c>
      <c r="AG33" s="252">
        <f>'Lpg (2)'!C37*1000/85</f>
        <v>0</v>
      </c>
      <c r="AH33" s="695">
        <f>'Lpg (2)'!D37*1000/85</f>
        <v>0</v>
      </c>
      <c r="AI33" s="685">
        <f t="shared" si="18"/>
        <v>0</v>
      </c>
      <c r="AJ33" s="409">
        <f t="shared" si="4"/>
        <v>0</v>
      </c>
      <c r="AK33" s="127"/>
    </row>
    <row r="34" spans="1:37" ht="18.75">
      <c r="A34" s="716">
        <f>Gen!A39</f>
        <v>44376</v>
      </c>
      <c r="B34" s="406">
        <f>'Summery Report'!E33</f>
        <v>0</v>
      </c>
      <c r="C34" s="721">
        <f>Gen!B39</f>
        <v>0</v>
      </c>
      <c r="D34" s="683">
        <f>'Summery Report'!E33</f>
        <v>0</v>
      </c>
      <c r="E34" s="683">
        <f t="shared" si="13"/>
        <v>1.3262195121951219</v>
      </c>
      <c r="F34" s="418" t="e">
        <f t="shared" si="14"/>
        <v>#DIV/0!</v>
      </c>
      <c r="G34" s="418" t="e">
        <f t="shared" si="0"/>
        <v>#DIV/0!</v>
      </c>
      <c r="H34" s="683">
        <f>Gen!C39</f>
        <v>31378.28999999999</v>
      </c>
      <c r="I34" s="683">
        <f>Gen!E39</f>
        <v>0</v>
      </c>
      <c r="J34" s="722">
        <f>Gen!T39</f>
        <v>0</v>
      </c>
      <c r="K34" s="727">
        <f>Gen!AK39</f>
        <v>0</v>
      </c>
      <c r="L34" s="718">
        <f t="shared" si="17"/>
        <v>0</v>
      </c>
      <c r="M34" s="427">
        <f>'Water-Meter'!K74</f>
        <v>0</v>
      </c>
      <c r="N34" s="678">
        <f>'Water-Meter'!E34</f>
        <v>0</v>
      </c>
      <c r="O34" s="669"/>
      <c r="P34" s="676"/>
      <c r="Q34" s="688">
        <f t="shared" si="2"/>
        <v>0</v>
      </c>
      <c r="R34" s="407">
        <f t="shared" si="5"/>
        <v>0</v>
      </c>
      <c r="S34" s="664"/>
      <c r="T34" s="665"/>
      <c r="U34" s="688">
        <f t="shared" si="6"/>
        <v>0</v>
      </c>
      <c r="V34" s="408">
        <f t="shared" si="19"/>
        <v>0</v>
      </c>
      <c r="W34" s="664"/>
      <c r="X34" s="670"/>
      <c r="Y34" s="688">
        <f t="shared" si="8"/>
        <v>0</v>
      </c>
      <c r="Z34" s="668">
        <f t="shared" si="9"/>
        <v>0</v>
      </c>
      <c r="AA34" s="675">
        <f t="shared" si="10"/>
        <v>0</v>
      </c>
      <c r="AB34" s="672"/>
      <c r="AC34" s="655">
        <f t="shared" si="20"/>
        <v>0</v>
      </c>
      <c r="AD34" s="817"/>
      <c r="AE34" s="170">
        <f t="shared" si="15"/>
        <v>0</v>
      </c>
      <c r="AF34" s="682">
        <f>'Lpg (2)'!B38*2000/85</f>
        <v>0</v>
      </c>
      <c r="AG34" s="252">
        <f>'Lpg (2)'!C38*1000/85</f>
        <v>0</v>
      </c>
      <c r="AH34" s="695">
        <f>'Lpg (2)'!D38*1000/85</f>
        <v>0</v>
      </c>
      <c r="AI34" s="685">
        <f t="shared" si="18"/>
        <v>0</v>
      </c>
      <c r="AJ34" s="409">
        <f t="shared" si="4"/>
        <v>0</v>
      </c>
      <c r="AK34" s="127"/>
    </row>
    <row r="35" spans="1:37" ht="18.75">
      <c r="A35" s="716">
        <f>Gen!A40</f>
        <v>44377</v>
      </c>
      <c r="B35" s="406">
        <f>'Summery Report'!E34</f>
        <v>0</v>
      </c>
      <c r="C35" s="721">
        <f>Gen!B40</f>
        <v>0</v>
      </c>
      <c r="D35" s="683">
        <f>'Summery Report'!E34</f>
        <v>0</v>
      </c>
      <c r="E35" s="683">
        <f t="shared" si="13"/>
        <v>1.3262195121951219</v>
      </c>
      <c r="F35" s="418" t="e">
        <f t="shared" si="14"/>
        <v>#DIV/0!</v>
      </c>
      <c r="G35" s="418" t="e">
        <f t="shared" si="0"/>
        <v>#DIV/0!</v>
      </c>
      <c r="H35" s="683">
        <f>Gen!C40</f>
        <v>31378.28999999999</v>
      </c>
      <c r="I35" s="683">
        <f>Gen!E40</f>
        <v>0</v>
      </c>
      <c r="J35" s="722">
        <f>Gen!T40</f>
        <v>0</v>
      </c>
      <c r="K35" s="727">
        <f>Gen!AK40</f>
        <v>0</v>
      </c>
      <c r="L35" s="718">
        <f t="shared" si="17"/>
        <v>0</v>
      </c>
      <c r="M35" s="427">
        <f>'Water-Meter'!K75</f>
        <v>0</v>
      </c>
      <c r="N35" s="678">
        <f>'Water-Meter'!E35</f>
        <v>0</v>
      </c>
      <c r="O35" s="669"/>
      <c r="P35" s="676"/>
      <c r="Q35" s="688">
        <f t="shared" si="2"/>
        <v>0</v>
      </c>
      <c r="R35" s="407">
        <f t="shared" si="5"/>
        <v>0</v>
      </c>
      <c r="S35" s="664"/>
      <c r="T35" s="665"/>
      <c r="U35" s="688">
        <f t="shared" si="6"/>
        <v>0</v>
      </c>
      <c r="V35" s="408">
        <f t="shared" si="19"/>
        <v>0</v>
      </c>
      <c r="W35" s="664"/>
      <c r="X35" s="670"/>
      <c r="Y35" s="688">
        <f t="shared" si="8"/>
        <v>0</v>
      </c>
      <c r="Z35" s="668">
        <f t="shared" si="9"/>
        <v>0</v>
      </c>
      <c r="AA35" s="675">
        <f t="shared" si="10"/>
        <v>0</v>
      </c>
      <c r="AB35" s="672"/>
      <c r="AC35" s="655">
        <f t="shared" si="20"/>
        <v>0</v>
      </c>
      <c r="AD35" s="817"/>
      <c r="AE35" s="170">
        <f t="shared" si="15"/>
        <v>0</v>
      </c>
      <c r="AF35" s="682">
        <f>'Lpg (2)'!B39*2000/85</f>
        <v>0</v>
      </c>
      <c r="AG35" s="252">
        <f>'Lpg (2)'!C39*1000/85</f>
        <v>0</v>
      </c>
      <c r="AH35" s="695">
        <f>'Lpg (2)'!D39*1000/85</f>
        <v>0</v>
      </c>
      <c r="AI35" s="685">
        <f t="shared" si="18"/>
        <v>0</v>
      </c>
      <c r="AJ35" s="409">
        <f t="shared" si="4"/>
        <v>0</v>
      </c>
      <c r="AK35" s="127"/>
    </row>
    <row r="36" spans="1:37" ht="18.75">
      <c r="A36" s="716">
        <f>Gen!A41</f>
        <v>0</v>
      </c>
      <c r="B36" s="406">
        <f>'Summery Report'!E35</f>
        <v>0</v>
      </c>
      <c r="C36" s="721">
        <f>Gen!B41</f>
        <v>0</v>
      </c>
      <c r="D36" s="683">
        <f>'Summery Report'!E35</f>
        <v>0</v>
      </c>
      <c r="E36" s="683">
        <f t="shared" si="13"/>
        <v>1.3262195121951219</v>
      </c>
      <c r="F36" s="418" t="e">
        <f t="shared" si="14"/>
        <v>#DIV/0!</v>
      </c>
      <c r="G36" s="418" t="e">
        <f t="shared" si="0"/>
        <v>#DIV/0!</v>
      </c>
      <c r="H36" s="683">
        <f>Gen!C41</f>
        <v>31378.28999999999</v>
      </c>
      <c r="I36" s="683">
        <f>Gen!E41</f>
        <v>0</v>
      </c>
      <c r="J36" s="722">
        <f>Gen!T41</f>
        <v>0</v>
      </c>
      <c r="K36" s="727">
        <f>Gen!AK41</f>
        <v>0</v>
      </c>
      <c r="L36" s="718">
        <f t="shared" si="17"/>
        <v>0</v>
      </c>
      <c r="M36" s="427">
        <f>'Water-Meter'!K76</f>
        <v>0</v>
      </c>
      <c r="N36" s="678">
        <f>'Water-Meter'!E36</f>
        <v>0</v>
      </c>
      <c r="O36" s="669"/>
      <c r="P36" s="676"/>
      <c r="Q36" s="688">
        <f t="shared" si="2"/>
        <v>0</v>
      </c>
      <c r="R36" s="407">
        <f t="shared" si="5"/>
        <v>0</v>
      </c>
      <c r="S36" s="664"/>
      <c r="T36" s="665"/>
      <c r="U36" s="688">
        <f t="shared" si="6"/>
        <v>0</v>
      </c>
      <c r="V36" s="408">
        <f t="shared" si="19"/>
        <v>0</v>
      </c>
      <c r="W36" s="664"/>
      <c r="X36" s="670"/>
      <c r="Y36" s="688">
        <f t="shared" si="8"/>
        <v>0</v>
      </c>
      <c r="Z36" s="668">
        <f t="shared" si="9"/>
        <v>0</v>
      </c>
      <c r="AA36" s="675">
        <f t="shared" si="10"/>
        <v>0</v>
      </c>
      <c r="AB36" s="672"/>
      <c r="AC36" s="655">
        <f t="shared" si="20"/>
        <v>0</v>
      </c>
      <c r="AD36" s="817"/>
      <c r="AE36" s="170">
        <f t="shared" si="15"/>
        <v>0</v>
      </c>
      <c r="AF36" s="682">
        <f>'Lpg (2)'!B40*2000/85</f>
        <v>0</v>
      </c>
      <c r="AG36" s="252">
        <f>'Lpg (2)'!C40*1000/85</f>
        <v>0</v>
      </c>
      <c r="AH36" s="695">
        <f>'Lpg (2)'!D40*1000/85</f>
        <v>0</v>
      </c>
      <c r="AI36" s="685">
        <f>SUM(AF36*1000)+(AG36*1000)+(AH36*2000)</f>
        <v>0</v>
      </c>
      <c r="AJ36" s="409">
        <f t="shared" si="4"/>
        <v>0</v>
      </c>
      <c r="AK36" s="127"/>
    </row>
    <row r="37" spans="1:37" s="8" customFormat="1" ht="17.25">
      <c r="A37" s="717">
        <f>Gen!A42</f>
        <v>0</v>
      </c>
      <c r="B37" s="728">
        <v>0</v>
      </c>
      <c r="C37" s="729"/>
      <c r="D37" s="729"/>
      <c r="E37" s="729"/>
      <c r="F37" s="729"/>
      <c r="G37" s="729"/>
      <c r="H37" s="730"/>
      <c r="I37" s="731"/>
      <c r="J37" s="732">
        <f>SUM(J6:J36)</f>
        <v>68594</v>
      </c>
      <c r="K37" s="733"/>
      <c r="L37" s="719">
        <f t="shared" si="17"/>
        <v>68594</v>
      </c>
      <c r="M37" s="427">
        <f>'Water-Meter'!K77</f>
        <v>0</v>
      </c>
      <c r="N37" s="679">
        <f>'Water-Meter'!E37</f>
        <v>0</v>
      </c>
      <c r="O37" s="666"/>
      <c r="P37" s="667"/>
      <c r="Q37" s="689">
        <f t="shared" ref="Q37" si="21">SUM(P37-P36)</f>
        <v>0</v>
      </c>
      <c r="R37" s="690">
        <f t="shared" ref="R37" si="22">SUM(Q37*O37)</f>
        <v>0</v>
      </c>
      <c r="S37" s="666"/>
      <c r="T37" s="667"/>
      <c r="U37" s="689">
        <f t="shared" ref="U37" si="23">T37-T36</f>
        <v>0</v>
      </c>
      <c r="V37" s="691">
        <f t="shared" ref="V37" si="24">SUM(U37*S37)</f>
        <v>0</v>
      </c>
      <c r="W37" s="666"/>
      <c r="X37" s="667"/>
      <c r="Y37" s="689">
        <f t="shared" ref="Y37" si="25">X37-X36</f>
        <v>0</v>
      </c>
      <c r="Z37" s="692">
        <f t="shared" ref="Z37" si="26">SUM(Y37*W37)</f>
        <v>0</v>
      </c>
      <c r="AA37" s="693">
        <f t="shared" ref="AA37" si="27">SUM(Z37*X39)</f>
        <v>0</v>
      </c>
      <c r="AB37" s="661"/>
      <c r="AC37" s="656">
        <f t="shared" si="20"/>
        <v>0</v>
      </c>
      <c r="AD37" s="817"/>
      <c r="AE37" s="662">
        <f t="shared" si="15"/>
        <v>0</v>
      </c>
      <c r="AF37" s="696">
        <f>'Lpg (2)'!B41*2000/85</f>
        <v>0</v>
      </c>
      <c r="AG37" s="697">
        <f>'Lpg (2)'!C41*1000/85</f>
        <v>0</v>
      </c>
      <c r="AH37" s="698">
        <f>'Lpg (2)'!D41*1000/85</f>
        <v>0</v>
      </c>
      <c r="AI37" s="686"/>
      <c r="AJ37" s="410">
        <f t="shared" ref="AJ37" si="28">SUM(AI36-AI37)</f>
        <v>0</v>
      </c>
      <c r="AK37" s="128"/>
    </row>
    <row r="38" spans="1:37">
      <c r="A38" s="263"/>
      <c r="B38" s="264"/>
      <c r="C38" s="265"/>
      <c r="D38" s="265"/>
      <c r="E38" s="265"/>
      <c r="F38" s="265"/>
      <c r="G38" s="265"/>
      <c r="H38" s="264"/>
      <c r="I38" s="264"/>
      <c r="J38" s="266"/>
      <c r="K38" s="266"/>
      <c r="L38" s="266"/>
      <c r="M38" s="267"/>
      <c r="N38" s="267"/>
      <c r="O38" s="267"/>
      <c r="P38" s="267"/>
      <c r="Q38" s="267"/>
      <c r="R38" s="267"/>
      <c r="S38" s="267"/>
      <c r="T38" s="267"/>
      <c r="U38" s="267"/>
      <c r="V38" s="267"/>
      <c r="W38" s="267"/>
      <c r="AA38" s="124"/>
      <c r="AB38" s="124"/>
      <c r="AC38" s="125"/>
      <c r="AD38" s="124"/>
      <c r="AE38" s="125"/>
      <c r="AI38" s="124"/>
      <c r="AJ38" s="124"/>
    </row>
    <row r="39" spans="1:37">
      <c r="C39" s="125"/>
      <c r="J39" s="125"/>
      <c r="X39" s="125"/>
      <c r="AF39" s="125"/>
      <c r="AH39" s="124"/>
    </row>
    <row r="40" spans="1:37" ht="30.75" customHeight="1">
      <c r="C40" s="125"/>
      <c r="J40" s="125"/>
      <c r="X40" s="125"/>
    </row>
    <row r="41" spans="1:37">
      <c r="C41" s="125"/>
      <c r="J41" s="125"/>
    </row>
    <row r="42" spans="1:37">
      <c r="C42" s="125"/>
      <c r="J42" s="125"/>
    </row>
    <row r="43" spans="1:37" ht="15">
      <c r="C43" s="125"/>
      <c r="J43" s="125"/>
      <c r="X43" s="411"/>
    </row>
    <row r="44" spans="1:37" ht="15">
      <c r="C44" s="125"/>
      <c r="J44" s="125"/>
      <c r="X44" s="412"/>
    </row>
    <row r="45" spans="1:37" ht="15">
      <c r="C45" s="125"/>
      <c r="J45" s="125"/>
      <c r="X45" s="411"/>
    </row>
    <row r="46" spans="1:37" ht="15">
      <c r="C46" s="125"/>
      <c r="J46" s="125"/>
      <c r="X46" s="412"/>
    </row>
    <row r="47" spans="1:37">
      <c r="C47" s="125"/>
      <c r="J47" s="125"/>
    </row>
    <row r="48" spans="1:37">
      <c r="C48" s="125"/>
      <c r="J48" s="125"/>
    </row>
    <row r="49" spans="3:10">
      <c r="C49" s="125"/>
      <c r="J49" s="125"/>
    </row>
    <row r="50" spans="3:10">
      <c r="C50" s="125"/>
      <c r="J50" s="125"/>
    </row>
    <row r="51" spans="3:10">
      <c r="C51" s="125"/>
      <c r="J51" s="125"/>
    </row>
    <row r="52" spans="3:10">
      <c r="C52" s="125"/>
      <c r="J52" s="125"/>
    </row>
    <row r="53" spans="3:10">
      <c r="C53" s="125"/>
      <c r="J53" s="125"/>
    </row>
    <row r="54" spans="3:10">
      <c r="C54" s="125"/>
      <c r="J54" s="125"/>
    </row>
    <row r="55" spans="3:10">
      <c r="C55" s="125"/>
      <c r="J55" s="125"/>
    </row>
    <row r="56" spans="3:10">
      <c r="C56" s="125"/>
      <c r="J56" s="125"/>
    </row>
    <row r="57" spans="3:10">
      <c r="C57" s="125"/>
      <c r="J57" s="125"/>
    </row>
    <row r="58" spans="3:10">
      <c r="C58" s="125"/>
      <c r="J58" s="125"/>
    </row>
    <row r="59" spans="3:10">
      <c r="C59" s="125"/>
      <c r="J59" s="125"/>
    </row>
    <row r="60" spans="3:10">
      <c r="C60" s="125"/>
      <c r="J60" s="125"/>
    </row>
    <row r="61" spans="3:10">
      <c r="C61" s="125"/>
      <c r="J61" s="125"/>
    </row>
    <row r="62" spans="3:10">
      <c r="C62" s="125"/>
      <c r="J62" s="125"/>
    </row>
    <row r="63" spans="3:10">
      <c r="C63" s="125"/>
      <c r="J63" s="125"/>
    </row>
    <row r="64" spans="3:10">
      <c r="C64" s="125"/>
      <c r="J64" s="125"/>
    </row>
    <row r="65" spans="3:24">
      <c r="C65" s="125"/>
      <c r="J65" s="125"/>
    </row>
    <row r="66" spans="3:24" ht="15">
      <c r="C66" s="125"/>
      <c r="J66" s="125"/>
      <c r="X66" s="411"/>
    </row>
    <row r="67" spans="3:24" ht="15">
      <c r="C67" s="125"/>
      <c r="J67" s="125"/>
      <c r="X67" s="413"/>
    </row>
    <row r="68" spans="3:24" ht="15">
      <c r="C68" s="125"/>
      <c r="J68" s="125"/>
      <c r="X68" s="413"/>
    </row>
    <row r="69" spans="3:24" ht="15">
      <c r="C69" s="125"/>
      <c r="J69" s="125"/>
      <c r="X69" s="413"/>
    </row>
    <row r="70" spans="3:24" ht="15">
      <c r="C70" s="125"/>
      <c r="J70" s="125"/>
      <c r="X70" s="413"/>
    </row>
    <row r="71" spans="3:24" ht="15">
      <c r="C71" s="125"/>
      <c r="J71" s="125"/>
      <c r="X71" s="413"/>
    </row>
    <row r="72" spans="3:24">
      <c r="C72" s="125"/>
      <c r="J72" s="125"/>
    </row>
    <row r="73" spans="3:24">
      <c r="C73" s="125"/>
      <c r="J73" s="125"/>
    </row>
    <row r="74" spans="3:24">
      <c r="C74" s="125"/>
      <c r="J74" s="125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C53"/>
  <sheetViews>
    <sheetView zoomScale="70" zoomScaleNormal="70" workbookViewId="0">
      <selection activeCell="W29" sqref="W29"/>
    </sheetView>
  </sheetViews>
  <sheetFormatPr defaultRowHeight="12.75"/>
  <cols>
    <col min="1" max="1" width="9.140625" style="48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5" bestFit="1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A1" s="821"/>
      <c r="B1" s="844" t="s">
        <v>102</v>
      </c>
      <c r="C1" s="845"/>
      <c r="D1" s="845"/>
      <c r="E1" s="845"/>
      <c r="F1" s="846"/>
      <c r="G1" s="150"/>
      <c r="H1" s="844" t="s">
        <v>103</v>
      </c>
      <c r="I1" s="845"/>
      <c r="J1" s="845"/>
      <c r="K1" s="845"/>
      <c r="L1" s="846"/>
      <c r="M1" s="844" t="s">
        <v>104</v>
      </c>
      <c r="N1" s="845"/>
      <c r="O1" s="845"/>
      <c r="P1" s="845"/>
      <c r="Q1" s="846"/>
      <c r="R1" s="150"/>
      <c r="T1" s="844" t="s">
        <v>105</v>
      </c>
      <c r="U1" s="845"/>
      <c r="V1" s="845"/>
      <c r="W1" s="845"/>
      <c r="X1" s="846"/>
      <c r="Y1" s="844" t="s">
        <v>106</v>
      </c>
      <c r="Z1" s="845"/>
      <c r="AA1" s="845"/>
      <c r="AB1" s="845"/>
      <c r="AC1" s="846"/>
    </row>
    <row r="2" spans="1:29" ht="45.75" thickBot="1">
      <c r="A2" s="553" t="s">
        <v>107</v>
      </c>
      <c r="B2" s="151" t="s">
        <v>108</v>
      </c>
      <c r="C2" s="152" t="s">
        <v>109</v>
      </c>
      <c r="D2" s="153" t="s">
        <v>110</v>
      </c>
      <c r="E2" s="153" t="s">
        <v>111</v>
      </c>
      <c r="F2" s="154" t="s">
        <v>112</v>
      </c>
      <c r="G2" s="155"/>
      <c r="H2" s="151" t="s">
        <v>108</v>
      </c>
      <c r="I2" s="152" t="s">
        <v>109</v>
      </c>
      <c r="J2" s="153" t="s">
        <v>113</v>
      </c>
      <c r="K2" s="153" t="s">
        <v>114</v>
      </c>
      <c r="L2" s="160" t="s">
        <v>115</v>
      </c>
      <c r="M2" s="151" t="s">
        <v>108</v>
      </c>
      <c r="N2" s="152" t="s">
        <v>109</v>
      </c>
      <c r="O2" s="153" t="s">
        <v>113</v>
      </c>
      <c r="P2" s="153" t="s">
        <v>114</v>
      </c>
      <c r="Q2" s="160" t="s">
        <v>115</v>
      </c>
      <c r="R2" s="323" t="s">
        <v>116</v>
      </c>
      <c r="S2" s="607" t="s">
        <v>117</v>
      </c>
      <c r="T2" s="151" t="s">
        <v>108</v>
      </c>
      <c r="U2" s="152" t="s">
        <v>109</v>
      </c>
      <c r="V2" s="153" t="s">
        <v>118</v>
      </c>
      <c r="W2" s="153" t="s">
        <v>119</v>
      </c>
      <c r="X2" s="154" t="s">
        <v>112</v>
      </c>
      <c r="Y2" s="151" t="s">
        <v>108</v>
      </c>
      <c r="Z2" s="152" t="s">
        <v>109</v>
      </c>
      <c r="AA2" s="153" t="s">
        <v>113</v>
      </c>
      <c r="AB2" s="153" t="s">
        <v>114</v>
      </c>
      <c r="AC2" s="154" t="s">
        <v>115</v>
      </c>
    </row>
    <row r="3" spans="1:29" ht="31.5" customHeight="1" thickBot="1">
      <c r="A3" s="554">
        <f>Gen!A11</f>
        <v>44348</v>
      </c>
      <c r="B3" s="847" t="s">
        <v>120</v>
      </c>
      <c r="C3" s="848"/>
      <c r="D3" s="159"/>
      <c r="E3" s="548">
        <v>9336.2000000000007</v>
      </c>
      <c r="F3" s="555" t="s">
        <v>121</v>
      </c>
      <c r="G3" s="556"/>
      <c r="H3" s="847" t="s">
        <v>120</v>
      </c>
      <c r="I3" s="848"/>
      <c r="J3" s="582">
        <f>'Water-Meter'!G5</f>
        <v>75790</v>
      </c>
      <c r="K3" s="557">
        <f>'Water-Meter'!G5</f>
        <v>75790</v>
      </c>
      <c r="L3" s="227"/>
      <c r="M3" s="847" t="s">
        <v>120</v>
      </c>
      <c r="N3" s="848"/>
      <c r="O3" s="159"/>
      <c r="P3" s="558">
        <f>'Water-Meter'!J5</f>
        <v>8459</v>
      </c>
      <c r="Q3" s="158"/>
      <c r="R3" s="227"/>
      <c r="S3" s="608"/>
      <c r="T3" s="847" t="s">
        <v>120</v>
      </c>
      <c r="U3" s="848"/>
      <c r="V3" s="159"/>
      <c r="W3" s="549">
        <v>8166.9</v>
      </c>
      <c r="X3" s="559">
        <f t="shared" ref="X3:X35" si="0">(W3-V3)*200</f>
        <v>1633380</v>
      </c>
      <c r="Y3" s="847" t="s">
        <v>120</v>
      </c>
      <c r="Z3" s="848"/>
      <c r="AA3" s="159"/>
      <c r="AB3" s="161"/>
      <c r="AC3" s="162"/>
    </row>
    <row r="4" spans="1:29" ht="19.5" thickBot="1">
      <c r="A4" s="609">
        <f>Gen!B11</f>
        <v>0.2</v>
      </c>
      <c r="B4" s="560">
        <f>Gen!A11</f>
        <v>44348</v>
      </c>
      <c r="C4" s="561"/>
      <c r="D4" s="562">
        <f t="shared" ref="D4:D23" si="1">E3</f>
        <v>9336.2000000000007</v>
      </c>
      <c r="E4" s="548">
        <v>9338.7000000000007</v>
      </c>
      <c r="F4" s="562">
        <f t="shared" ref="F4:F15" si="2">SUM(E4-D4)*120</f>
        <v>300</v>
      </c>
      <c r="G4" s="561"/>
      <c r="H4" s="596">
        <f>B4</f>
        <v>44348</v>
      </c>
      <c r="I4" s="561"/>
      <c r="J4" s="597">
        <f>'Water-Meter'!G6</f>
        <v>75790</v>
      </c>
      <c r="K4" s="598">
        <f>'Water-Meter'!G6</f>
        <v>75790</v>
      </c>
      <c r="L4" s="561">
        <f t="shared" ref="L4:L34" si="3">SUM(K4-J4)</f>
        <v>0</v>
      </c>
      <c r="M4" s="596">
        <f>H4</f>
        <v>44348</v>
      </c>
      <c r="N4" s="561"/>
      <c r="O4" s="58"/>
      <c r="P4" s="568">
        <f>'Water-Meter'!J6</f>
        <v>8461</v>
      </c>
      <c r="Q4" s="561">
        <f>N4-O3</f>
        <v>0</v>
      </c>
      <c r="R4" s="599">
        <f t="shared" ref="R4:R20" si="4">SUM(Q4/1615)</f>
        <v>0</v>
      </c>
      <c r="S4" s="600">
        <f>Gen!T11</f>
        <v>2783</v>
      </c>
      <c r="T4" s="596">
        <f>M4</f>
        <v>44348</v>
      </c>
      <c r="U4" s="561"/>
      <c r="V4" s="562">
        <f t="shared" ref="V4:V33" si="5">W3</f>
        <v>8166.9</v>
      </c>
      <c r="W4" s="549">
        <v>8169.5</v>
      </c>
      <c r="X4" s="562">
        <f t="shared" si="0"/>
        <v>520.00000000007276</v>
      </c>
      <c r="Y4" s="596">
        <f>T4</f>
        <v>44348</v>
      </c>
      <c r="Z4" s="561"/>
      <c r="AA4" s="561"/>
      <c r="AB4" s="568">
        <f>'Water-Meter'!P6</f>
        <v>21368</v>
      </c>
      <c r="AC4" s="569">
        <f>AA4-AB3</f>
        <v>0</v>
      </c>
    </row>
    <row r="5" spans="1:29" ht="19.5" thickBot="1">
      <c r="A5" s="610">
        <f>Gen!B12</f>
        <v>0.12</v>
      </c>
      <c r="B5" s="563">
        <f>Gen!A12</f>
        <v>44349</v>
      </c>
      <c r="C5" s="547"/>
      <c r="D5" s="552">
        <f t="shared" si="1"/>
        <v>9338.7000000000007</v>
      </c>
      <c r="E5" s="548">
        <v>9341.2000000000007</v>
      </c>
      <c r="F5" s="552">
        <f t="shared" si="2"/>
        <v>300</v>
      </c>
      <c r="G5" s="547"/>
      <c r="H5" s="591">
        <f t="shared" ref="H5:H35" si="6">B5</f>
        <v>44349</v>
      </c>
      <c r="I5" s="547"/>
      <c r="J5" s="592">
        <f>'Water-Meter'!G7</f>
        <v>75790</v>
      </c>
      <c r="K5" s="593">
        <f>'Water-Meter'!G7</f>
        <v>75790</v>
      </c>
      <c r="L5" s="547">
        <f t="shared" si="3"/>
        <v>0</v>
      </c>
      <c r="M5" s="591">
        <f t="shared" ref="M5:M35" si="7">H5</f>
        <v>44349</v>
      </c>
      <c r="N5" s="547"/>
      <c r="O5" s="6"/>
      <c r="P5" s="551">
        <f>'Water-Meter'!J7</f>
        <v>8463</v>
      </c>
      <c r="Q5" s="547">
        <f t="shared" ref="Q5:Q20" si="8">N5-O4</f>
        <v>0</v>
      </c>
      <c r="R5" s="594">
        <f t="shared" si="4"/>
        <v>0</v>
      </c>
      <c r="S5" s="595">
        <f>Gen!T12</f>
        <v>3815</v>
      </c>
      <c r="T5" s="596">
        <f t="shared" ref="T5:T34" si="9">M5</f>
        <v>44349</v>
      </c>
      <c r="U5" s="547"/>
      <c r="V5" s="552">
        <f t="shared" si="5"/>
        <v>8169.5</v>
      </c>
      <c r="W5" s="549">
        <v>8172.2</v>
      </c>
      <c r="X5" s="552">
        <f t="shared" si="0"/>
        <v>539.99999999996362</v>
      </c>
      <c r="Y5" s="591">
        <f t="shared" ref="Y5:Y30" si="10">T5</f>
        <v>44349</v>
      </c>
      <c r="Z5" s="547"/>
      <c r="AA5" s="547"/>
      <c r="AB5" s="551">
        <f>'Water-Meter'!P7</f>
        <v>21373</v>
      </c>
      <c r="AC5" s="601">
        <f t="shared" ref="AC5:AC35" si="11">AA5-AB4</f>
        <v>-21368</v>
      </c>
    </row>
    <row r="6" spans="1:29" ht="19.5" thickBot="1">
      <c r="A6" s="610">
        <f>Gen!B13</f>
        <v>0.12</v>
      </c>
      <c r="B6" s="563">
        <f>Gen!A13</f>
        <v>44350</v>
      </c>
      <c r="C6" s="547"/>
      <c r="D6" s="552">
        <f t="shared" si="1"/>
        <v>9341.2000000000007</v>
      </c>
      <c r="E6" s="548">
        <v>9343.7999999999993</v>
      </c>
      <c r="F6" s="552">
        <f t="shared" si="2"/>
        <v>311.99999999982538</v>
      </c>
      <c r="G6" s="547"/>
      <c r="H6" s="591">
        <f t="shared" si="6"/>
        <v>44350</v>
      </c>
      <c r="I6" s="547"/>
      <c r="J6" s="592">
        <f>'Water-Meter'!G8</f>
        <v>75790</v>
      </c>
      <c r="K6" s="593">
        <f>'Water-Meter'!G8</f>
        <v>75790</v>
      </c>
      <c r="L6" s="547">
        <f t="shared" si="3"/>
        <v>0</v>
      </c>
      <c r="M6" s="591">
        <f t="shared" si="7"/>
        <v>44350</v>
      </c>
      <c r="N6" s="547"/>
      <c r="O6" s="6"/>
      <c r="P6" s="551">
        <f>'Water-Meter'!J8</f>
        <v>8466</v>
      </c>
      <c r="Q6" s="547">
        <f t="shared" si="8"/>
        <v>0</v>
      </c>
      <c r="R6" s="594">
        <f t="shared" si="4"/>
        <v>0</v>
      </c>
      <c r="S6" s="595">
        <f>Gen!T13</f>
        <v>3366</v>
      </c>
      <c r="T6" s="596">
        <f t="shared" si="9"/>
        <v>44350</v>
      </c>
      <c r="U6" s="547"/>
      <c r="V6" s="552">
        <f t="shared" si="5"/>
        <v>8172.2</v>
      </c>
      <c r="W6" s="549">
        <v>8174.8</v>
      </c>
      <c r="X6" s="552">
        <f t="shared" si="0"/>
        <v>520.00000000007276</v>
      </c>
      <c r="Y6" s="591">
        <f t="shared" si="10"/>
        <v>44350</v>
      </c>
      <c r="Z6" s="547"/>
      <c r="AA6" s="547"/>
      <c r="AB6" s="551">
        <f>'Water-Meter'!P8</f>
        <v>21379</v>
      </c>
      <c r="AC6" s="601">
        <f t="shared" si="11"/>
        <v>-21373</v>
      </c>
    </row>
    <row r="7" spans="1:29" ht="19.5" thickBot="1">
      <c r="A7" s="610">
        <f>Gen!B14</f>
        <v>0.17</v>
      </c>
      <c r="B7" s="563">
        <f>Gen!A14</f>
        <v>44351</v>
      </c>
      <c r="C7" s="547"/>
      <c r="D7" s="552">
        <f t="shared" si="1"/>
        <v>9343.7999999999993</v>
      </c>
      <c r="E7" s="548">
        <v>9346.5</v>
      </c>
      <c r="F7" s="552">
        <f t="shared" si="2"/>
        <v>324.00000000008731</v>
      </c>
      <c r="G7" s="547"/>
      <c r="H7" s="591">
        <f t="shared" si="6"/>
        <v>44351</v>
      </c>
      <c r="I7" s="547"/>
      <c r="J7" s="592">
        <f>'Water-Meter'!G9</f>
        <v>75790</v>
      </c>
      <c r="K7" s="593">
        <f>'Water-Meter'!G9</f>
        <v>75790</v>
      </c>
      <c r="L7" s="547">
        <f t="shared" si="3"/>
        <v>0</v>
      </c>
      <c r="M7" s="591">
        <f t="shared" si="7"/>
        <v>44351</v>
      </c>
      <c r="N7" s="547"/>
      <c r="O7" s="6"/>
      <c r="P7" s="551">
        <f>'Water-Meter'!J9</f>
        <v>8469</v>
      </c>
      <c r="Q7" s="547">
        <f t="shared" si="8"/>
        <v>0</v>
      </c>
      <c r="R7" s="594">
        <f t="shared" si="4"/>
        <v>0</v>
      </c>
      <c r="S7" s="595">
        <f>Gen!T14</f>
        <v>3459</v>
      </c>
      <c r="T7" s="596">
        <f t="shared" si="9"/>
        <v>44351</v>
      </c>
      <c r="U7" s="547"/>
      <c r="V7" s="552">
        <f t="shared" si="5"/>
        <v>8174.8</v>
      </c>
      <c r="W7" s="549">
        <v>8176.8</v>
      </c>
      <c r="X7" s="552">
        <f t="shared" si="0"/>
        <v>400</v>
      </c>
      <c r="Y7" s="591">
        <f t="shared" si="10"/>
        <v>44351</v>
      </c>
      <c r="Z7" s="547"/>
      <c r="AA7" s="547"/>
      <c r="AB7" s="551">
        <f>'Water-Meter'!P9</f>
        <v>21384</v>
      </c>
      <c r="AC7" s="601">
        <f t="shared" si="11"/>
        <v>-21379</v>
      </c>
    </row>
    <row r="8" spans="1:29" ht="19.5" thickBot="1">
      <c r="A8" s="610">
        <f>Gen!B15</f>
        <v>0.2</v>
      </c>
      <c r="B8" s="563">
        <f>Gen!A15</f>
        <v>44352</v>
      </c>
      <c r="C8" s="547"/>
      <c r="D8" s="552">
        <f t="shared" si="1"/>
        <v>9346.5</v>
      </c>
      <c r="E8" s="548">
        <v>9348.6</v>
      </c>
      <c r="F8" s="552">
        <f t="shared" si="2"/>
        <v>252.00000000004366</v>
      </c>
      <c r="G8" s="547"/>
      <c r="H8" s="591">
        <f t="shared" si="6"/>
        <v>44352</v>
      </c>
      <c r="I8" s="547"/>
      <c r="J8" s="592">
        <f>'Water-Meter'!G10</f>
        <v>75790</v>
      </c>
      <c r="K8" s="593">
        <f>'Water-Meter'!G10</f>
        <v>75790</v>
      </c>
      <c r="L8" s="547">
        <f t="shared" si="3"/>
        <v>0</v>
      </c>
      <c r="M8" s="591">
        <f t="shared" si="7"/>
        <v>44352</v>
      </c>
      <c r="N8" s="547"/>
      <c r="O8" s="6"/>
      <c r="P8" s="551">
        <f>'Water-Meter'!J10</f>
        <v>8471</v>
      </c>
      <c r="Q8" s="547">
        <f t="shared" si="8"/>
        <v>0</v>
      </c>
      <c r="R8" s="594">
        <f t="shared" si="4"/>
        <v>0</v>
      </c>
      <c r="S8" s="595">
        <f>Gen!T15</f>
        <v>3463</v>
      </c>
      <c r="T8" s="596">
        <f t="shared" si="9"/>
        <v>44352</v>
      </c>
      <c r="U8" s="547"/>
      <c r="V8" s="552">
        <f t="shared" si="5"/>
        <v>8176.8</v>
      </c>
      <c r="W8" s="549">
        <v>8178.9</v>
      </c>
      <c r="X8" s="552">
        <f t="shared" si="0"/>
        <v>419.99999999989086</v>
      </c>
      <c r="Y8" s="591">
        <f t="shared" si="10"/>
        <v>44352</v>
      </c>
      <c r="Z8" s="547"/>
      <c r="AA8" s="547"/>
      <c r="AB8" s="551">
        <f>'Water-Meter'!P10</f>
        <v>21390</v>
      </c>
      <c r="AC8" s="601">
        <f t="shared" si="11"/>
        <v>-21384</v>
      </c>
    </row>
    <row r="9" spans="1:29" ht="19.5" thickBot="1">
      <c r="A9" s="610">
        <f>Gen!B16</f>
        <v>0.2</v>
      </c>
      <c r="B9" s="563">
        <f>Gen!A16</f>
        <v>44353</v>
      </c>
      <c r="C9" s="547"/>
      <c r="D9" s="552">
        <f t="shared" si="1"/>
        <v>9348.6</v>
      </c>
      <c r="E9" s="548">
        <v>9350.5</v>
      </c>
      <c r="F9" s="552">
        <f t="shared" si="2"/>
        <v>227.99999999995634</v>
      </c>
      <c r="G9" s="547"/>
      <c r="H9" s="591">
        <f t="shared" si="6"/>
        <v>44353</v>
      </c>
      <c r="I9" s="547"/>
      <c r="J9" s="592">
        <f>'Water-Meter'!G11</f>
        <v>75790</v>
      </c>
      <c r="K9" s="593">
        <f>'Water-Meter'!G11</f>
        <v>75790</v>
      </c>
      <c r="L9" s="547">
        <f t="shared" si="3"/>
        <v>0</v>
      </c>
      <c r="M9" s="591">
        <f t="shared" si="7"/>
        <v>44353</v>
      </c>
      <c r="N9" s="547"/>
      <c r="O9" s="6"/>
      <c r="P9" s="551">
        <f>'Water-Meter'!J11</f>
        <v>8473</v>
      </c>
      <c r="Q9" s="547">
        <f t="shared" si="8"/>
        <v>0</v>
      </c>
      <c r="R9" s="594">
        <f t="shared" si="4"/>
        <v>0</v>
      </c>
      <c r="S9" s="595">
        <f>Gen!T16</f>
        <v>3313</v>
      </c>
      <c r="T9" s="596">
        <f t="shared" si="9"/>
        <v>44353</v>
      </c>
      <c r="U9" s="547"/>
      <c r="V9" s="552">
        <f t="shared" si="5"/>
        <v>8178.9</v>
      </c>
      <c r="W9" s="549">
        <v>8181.1</v>
      </c>
      <c r="X9" s="552">
        <f t="shared" si="0"/>
        <v>440.00000000014552</v>
      </c>
      <c r="Y9" s="591">
        <f t="shared" si="10"/>
        <v>44353</v>
      </c>
      <c r="Z9" s="547"/>
      <c r="AA9" s="547"/>
      <c r="AB9" s="551">
        <f>'Water-Meter'!P11</f>
        <v>21397</v>
      </c>
      <c r="AC9" s="601">
        <f t="shared" si="11"/>
        <v>-21390</v>
      </c>
    </row>
    <row r="10" spans="1:29" ht="19.5" thickBot="1">
      <c r="A10" s="610">
        <f>Gen!B17</f>
        <v>0.18</v>
      </c>
      <c r="B10" s="563">
        <f>Gen!A17</f>
        <v>44354</v>
      </c>
      <c r="C10" s="547"/>
      <c r="D10" s="552">
        <f t="shared" si="1"/>
        <v>9350.5</v>
      </c>
      <c r="E10" s="548">
        <v>9352.9</v>
      </c>
      <c r="F10" s="552">
        <f t="shared" si="2"/>
        <v>287.99999999995634</v>
      </c>
      <c r="G10" s="547"/>
      <c r="H10" s="591">
        <f t="shared" si="6"/>
        <v>44354</v>
      </c>
      <c r="I10" s="547"/>
      <c r="J10" s="592">
        <f>'Water-Meter'!G12</f>
        <v>75790</v>
      </c>
      <c r="K10" s="593">
        <f>'Water-Meter'!G12</f>
        <v>75790</v>
      </c>
      <c r="L10" s="547">
        <f t="shared" si="3"/>
        <v>0</v>
      </c>
      <c r="M10" s="591">
        <f t="shared" si="7"/>
        <v>44354</v>
      </c>
      <c r="N10" s="547"/>
      <c r="O10" s="6"/>
      <c r="P10" s="551">
        <f>'Water-Meter'!J12</f>
        <v>8475</v>
      </c>
      <c r="Q10" s="547">
        <f t="shared" si="8"/>
        <v>0</v>
      </c>
      <c r="R10" s="594">
        <f t="shared" si="4"/>
        <v>0</v>
      </c>
      <c r="S10" s="595">
        <f>Gen!T17</f>
        <v>3517</v>
      </c>
      <c r="T10" s="596">
        <f t="shared" si="9"/>
        <v>44354</v>
      </c>
      <c r="U10" s="547"/>
      <c r="V10" s="552">
        <f t="shared" si="5"/>
        <v>8181.1</v>
      </c>
      <c r="W10" s="549">
        <v>8183.9</v>
      </c>
      <c r="X10" s="552">
        <f t="shared" si="0"/>
        <v>559.99999999985448</v>
      </c>
      <c r="Y10" s="591">
        <f t="shared" si="10"/>
        <v>44354</v>
      </c>
      <c r="Z10" s="547"/>
      <c r="AA10" s="547"/>
      <c r="AB10" s="551">
        <f>'Water-Meter'!P12</f>
        <v>21403</v>
      </c>
      <c r="AC10" s="601">
        <f t="shared" si="11"/>
        <v>-21397</v>
      </c>
    </row>
    <row r="11" spans="1:29" ht="19.5" thickBot="1">
      <c r="A11" s="610">
        <f>Gen!B18</f>
        <v>0.21</v>
      </c>
      <c r="B11" s="563">
        <f>Gen!A18</f>
        <v>44355</v>
      </c>
      <c r="C11" s="547"/>
      <c r="D11" s="552">
        <f t="shared" si="1"/>
        <v>9352.9</v>
      </c>
      <c r="E11" s="548">
        <v>9354.9</v>
      </c>
      <c r="F11" s="552">
        <f t="shared" si="2"/>
        <v>240</v>
      </c>
      <c r="G11" s="547"/>
      <c r="H11" s="591">
        <f t="shared" si="6"/>
        <v>44355</v>
      </c>
      <c r="I11" s="547"/>
      <c r="J11" s="592">
        <f>'Water-Meter'!G13</f>
        <v>75790</v>
      </c>
      <c r="K11" s="593">
        <f>'Water-Meter'!G13</f>
        <v>75790</v>
      </c>
      <c r="L11" s="547">
        <f t="shared" si="3"/>
        <v>0</v>
      </c>
      <c r="M11" s="591">
        <f t="shared" si="7"/>
        <v>44355</v>
      </c>
      <c r="N11" s="547"/>
      <c r="O11" s="6"/>
      <c r="P11" s="551">
        <f>'Water-Meter'!J13</f>
        <v>8477</v>
      </c>
      <c r="Q11" s="547">
        <f t="shared" si="8"/>
        <v>0</v>
      </c>
      <c r="R11" s="594">
        <f t="shared" si="4"/>
        <v>0</v>
      </c>
      <c r="S11" s="595">
        <f>Gen!T18</f>
        <v>3378</v>
      </c>
      <c r="T11" s="596">
        <f t="shared" si="9"/>
        <v>44355</v>
      </c>
      <c r="U11" s="547"/>
      <c r="V11" s="552">
        <f t="shared" si="5"/>
        <v>8183.9</v>
      </c>
      <c r="W11" s="549">
        <v>8186.1</v>
      </c>
      <c r="X11" s="552">
        <f t="shared" si="0"/>
        <v>440.00000000014552</v>
      </c>
      <c r="Y11" s="591">
        <f t="shared" si="10"/>
        <v>44355</v>
      </c>
      <c r="Z11" s="547"/>
      <c r="AA11" s="547"/>
      <c r="AB11" s="551">
        <f>'Water-Meter'!P13</f>
        <v>21406</v>
      </c>
      <c r="AC11" s="601">
        <f t="shared" si="11"/>
        <v>-21403</v>
      </c>
    </row>
    <row r="12" spans="1:29" ht="19.5" thickBot="1">
      <c r="A12" s="610">
        <f>Gen!B19</f>
        <v>0.17</v>
      </c>
      <c r="B12" s="563">
        <f>Gen!A19</f>
        <v>44356</v>
      </c>
      <c r="C12" s="547"/>
      <c r="D12" s="552">
        <f t="shared" si="1"/>
        <v>9354.9</v>
      </c>
      <c r="E12" s="548">
        <v>9357.1</v>
      </c>
      <c r="F12" s="552">
        <f t="shared" si="2"/>
        <v>264.00000000008731</v>
      </c>
      <c r="G12" s="547"/>
      <c r="H12" s="591">
        <f t="shared" si="6"/>
        <v>44356</v>
      </c>
      <c r="I12" s="547"/>
      <c r="J12" s="592">
        <f>'Water-Meter'!G14</f>
        <v>75790</v>
      </c>
      <c r="K12" s="593">
        <f>'Water-Meter'!G14</f>
        <v>75790</v>
      </c>
      <c r="L12" s="815">
        <f>SUM(K12-J12)</f>
        <v>0</v>
      </c>
      <c r="M12" s="591">
        <f t="shared" si="7"/>
        <v>44356</v>
      </c>
      <c r="N12" s="547"/>
      <c r="O12" s="6"/>
      <c r="P12" s="551">
        <f>'Water-Meter'!J14</f>
        <v>8479</v>
      </c>
      <c r="Q12" s="547">
        <f t="shared" si="8"/>
        <v>0</v>
      </c>
      <c r="R12" s="594">
        <f t="shared" si="4"/>
        <v>0</v>
      </c>
      <c r="S12" s="595">
        <f>Gen!T19</f>
        <v>3163</v>
      </c>
      <c r="T12" s="596">
        <f t="shared" si="9"/>
        <v>44356</v>
      </c>
      <c r="U12" s="547"/>
      <c r="V12" s="552">
        <f t="shared" si="5"/>
        <v>8186.1</v>
      </c>
      <c r="W12" s="549">
        <v>8188</v>
      </c>
      <c r="X12" s="552">
        <f t="shared" si="0"/>
        <v>379.99999999992724</v>
      </c>
      <c r="Y12" s="591">
        <f t="shared" si="10"/>
        <v>44356</v>
      </c>
      <c r="Z12" s="547"/>
      <c r="AA12" s="547"/>
      <c r="AB12" s="551">
        <f>'Water-Meter'!P14</f>
        <v>21413</v>
      </c>
      <c r="AC12" s="601">
        <f t="shared" si="11"/>
        <v>-21406</v>
      </c>
    </row>
    <row r="13" spans="1:29" ht="17.25">
      <c r="A13" s="610">
        <f>Gen!B20</f>
        <v>0.08</v>
      </c>
      <c r="B13" s="563">
        <f>Gen!A20</f>
        <v>44357</v>
      </c>
      <c r="C13" s="547"/>
      <c r="D13" s="552">
        <f t="shared" si="1"/>
        <v>9357.1</v>
      </c>
      <c r="E13" s="548">
        <v>9359.2000000000007</v>
      </c>
      <c r="F13" s="552">
        <f t="shared" si="2"/>
        <v>252.00000000004366</v>
      </c>
      <c r="G13" s="547"/>
      <c r="H13" s="591">
        <f t="shared" si="6"/>
        <v>44357</v>
      </c>
      <c r="I13" s="547"/>
      <c r="J13" s="592">
        <f>'Water-Meter'!G15</f>
        <v>75790</v>
      </c>
      <c r="K13" s="593">
        <f>'Water-Meter'!G15</f>
        <v>75790</v>
      </c>
      <c r="L13" s="547">
        <f t="shared" si="3"/>
        <v>0</v>
      </c>
      <c r="M13" s="591">
        <f t="shared" si="7"/>
        <v>44357</v>
      </c>
      <c r="N13" s="547"/>
      <c r="O13" s="6"/>
      <c r="P13" s="551">
        <f>'Water-Meter'!J15</f>
        <v>8481</v>
      </c>
      <c r="Q13" s="547">
        <f t="shared" si="8"/>
        <v>0</v>
      </c>
      <c r="R13" s="594">
        <f t="shared" si="4"/>
        <v>0</v>
      </c>
      <c r="S13" s="595">
        <f>Gen!T20</f>
        <v>3365</v>
      </c>
      <c r="T13" s="596">
        <f t="shared" si="9"/>
        <v>44357</v>
      </c>
      <c r="U13" s="547"/>
      <c r="V13" s="552">
        <f t="shared" si="5"/>
        <v>8188</v>
      </c>
      <c r="W13" s="549">
        <v>8189.9</v>
      </c>
      <c r="X13" s="552">
        <f t="shared" si="0"/>
        <v>379.99999999992724</v>
      </c>
      <c r="Y13" s="591">
        <f t="shared" si="10"/>
        <v>44357</v>
      </c>
      <c r="Z13" s="547"/>
      <c r="AA13" s="547"/>
      <c r="AB13" s="551">
        <f>'Water-Meter'!P15</f>
        <v>21416</v>
      </c>
      <c r="AC13" s="601">
        <f t="shared" si="11"/>
        <v>-21413</v>
      </c>
    </row>
    <row r="14" spans="1:29" ht="19.5" thickBot="1">
      <c r="A14" s="610">
        <f>Gen!B21</f>
        <v>0.13</v>
      </c>
      <c r="B14" s="563">
        <f>Gen!A21</f>
        <v>44358</v>
      </c>
      <c r="C14" s="547"/>
      <c r="D14" s="552">
        <f t="shared" si="1"/>
        <v>9359.2000000000007</v>
      </c>
      <c r="E14" s="548">
        <v>9361.2000000000007</v>
      </c>
      <c r="F14" s="552">
        <f t="shared" si="2"/>
        <v>240</v>
      </c>
      <c r="G14" s="547"/>
      <c r="H14" s="591">
        <f t="shared" si="6"/>
        <v>44358</v>
      </c>
      <c r="I14" s="547"/>
      <c r="J14" s="592">
        <f>'Water-Meter'!G15</f>
        <v>75790</v>
      </c>
      <c r="K14" s="593">
        <f>'Water-Meter'!G15</f>
        <v>75790</v>
      </c>
      <c r="L14" s="547">
        <f t="shared" si="3"/>
        <v>0</v>
      </c>
      <c r="M14" s="591">
        <f t="shared" si="7"/>
        <v>44358</v>
      </c>
      <c r="N14" s="547"/>
      <c r="O14" s="6"/>
      <c r="P14" s="551">
        <f>'Water-Meter'!J16</f>
        <v>8482</v>
      </c>
      <c r="Q14" s="547">
        <v>8095</v>
      </c>
      <c r="R14" s="594">
        <f t="shared" si="4"/>
        <v>5.0123839009287927</v>
      </c>
      <c r="S14" s="595">
        <f>Gen!T21</f>
        <v>3555</v>
      </c>
      <c r="T14" s="596">
        <f t="shared" si="9"/>
        <v>44358</v>
      </c>
      <c r="U14" s="547"/>
      <c r="V14" s="552">
        <f t="shared" si="5"/>
        <v>8189.9</v>
      </c>
      <c r="W14" s="549">
        <v>8192.2000000000007</v>
      </c>
      <c r="X14" s="552">
        <f t="shared" si="0"/>
        <v>460.00000000021828</v>
      </c>
      <c r="Y14" s="591">
        <f t="shared" si="10"/>
        <v>44358</v>
      </c>
      <c r="Z14" s="547"/>
      <c r="AA14" s="547"/>
      <c r="AB14" s="551">
        <f>'Water-Meter'!P16</f>
        <v>21420</v>
      </c>
      <c r="AC14" s="601">
        <v>20490</v>
      </c>
    </row>
    <row r="15" spans="1:29" ht="19.5" thickBot="1">
      <c r="A15" s="610">
        <f>Gen!B22</f>
        <v>0.13</v>
      </c>
      <c r="B15" s="563">
        <f>Gen!A22</f>
        <v>44359</v>
      </c>
      <c r="C15" s="547"/>
      <c r="D15" s="552">
        <f t="shared" si="1"/>
        <v>9361.2000000000007</v>
      </c>
      <c r="E15" s="548">
        <v>9363.4</v>
      </c>
      <c r="F15" s="552">
        <f t="shared" si="2"/>
        <v>263.99999999986903</v>
      </c>
      <c r="G15" s="547"/>
      <c r="H15" s="591">
        <f t="shared" si="6"/>
        <v>44359</v>
      </c>
      <c r="I15" s="547"/>
      <c r="J15" s="592">
        <f>'Water-Meter'!G17</f>
        <v>75790</v>
      </c>
      <c r="K15" s="593">
        <f>'Water-Meter'!G17</f>
        <v>75790</v>
      </c>
      <c r="L15" s="547">
        <f t="shared" si="3"/>
        <v>0</v>
      </c>
      <c r="M15" s="591">
        <f t="shared" si="7"/>
        <v>44359</v>
      </c>
      <c r="N15" s="547"/>
      <c r="O15" s="6"/>
      <c r="P15" s="551">
        <f>'Water-Meter'!J17</f>
        <v>8484</v>
      </c>
      <c r="Q15" s="547">
        <f t="shared" si="8"/>
        <v>0</v>
      </c>
      <c r="R15" s="594">
        <f t="shared" si="4"/>
        <v>0</v>
      </c>
      <c r="S15" s="595">
        <f>Gen!T22</f>
        <v>3880</v>
      </c>
      <c r="T15" s="596">
        <f t="shared" si="9"/>
        <v>44359</v>
      </c>
      <c r="U15" s="547"/>
      <c r="V15" s="552">
        <f t="shared" si="5"/>
        <v>8192.2000000000007</v>
      </c>
      <c r="W15" s="549">
        <v>8194.9</v>
      </c>
      <c r="X15" s="552">
        <f t="shared" si="0"/>
        <v>539.99999999978172</v>
      </c>
      <c r="Y15" s="591">
        <f t="shared" si="10"/>
        <v>44359</v>
      </c>
      <c r="Z15" s="547"/>
      <c r="AA15" s="547"/>
      <c r="AB15" s="551">
        <f>'Water-Meter'!P17</f>
        <v>21426</v>
      </c>
      <c r="AC15" s="601">
        <f t="shared" si="11"/>
        <v>-21420</v>
      </c>
    </row>
    <row r="16" spans="1:29" ht="19.5" thickBot="1">
      <c r="A16" s="610">
        <f>Gen!B23</f>
        <v>0.22</v>
      </c>
      <c r="B16" s="563">
        <f>Gen!A23</f>
        <v>44360</v>
      </c>
      <c r="C16" s="547"/>
      <c r="D16" s="552">
        <f t="shared" si="1"/>
        <v>9363.4</v>
      </c>
      <c r="E16" s="548">
        <v>9365.4</v>
      </c>
      <c r="F16" s="552">
        <f>SUM(E16-D16)*120</f>
        <v>240</v>
      </c>
      <c r="G16" s="547"/>
      <c r="H16" s="591">
        <f t="shared" si="6"/>
        <v>44360</v>
      </c>
      <c r="I16" s="547"/>
      <c r="J16" s="592">
        <f>'Water-Meter'!G18</f>
        <v>75790</v>
      </c>
      <c r="K16" s="593">
        <f>'Water-Meter'!G18</f>
        <v>75790</v>
      </c>
      <c r="L16" s="547">
        <f t="shared" si="3"/>
        <v>0</v>
      </c>
      <c r="M16" s="591">
        <f t="shared" si="7"/>
        <v>44360</v>
      </c>
      <c r="N16" s="547"/>
      <c r="O16" s="6"/>
      <c r="P16" s="551">
        <f>'Water-Meter'!J18</f>
        <v>8486</v>
      </c>
      <c r="Q16" s="547">
        <f t="shared" si="8"/>
        <v>0</v>
      </c>
      <c r="R16" s="594">
        <f t="shared" si="4"/>
        <v>0</v>
      </c>
      <c r="S16" s="595">
        <f>Gen!T23</f>
        <v>3601</v>
      </c>
      <c r="T16" s="596">
        <f t="shared" si="9"/>
        <v>44360</v>
      </c>
      <c r="U16" s="547"/>
      <c r="V16" s="552">
        <f t="shared" si="5"/>
        <v>8194.9</v>
      </c>
      <c r="W16" s="549">
        <v>8197.2000000000007</v>
      </c>
      <c r="X16" s="552">
        <f t="shared" si="0"/>
        <v>460.00000000021828</v>
      </c>
      <c r="Y16" s="591">
        <f t="shared" si="10"/>
        <v>44360</v>
      </c>
      <c r="Z16" s="547"/>
      <c r="AA16" s="547"/>
      <c r="AB16" s="551">
        <f>'Water-Meter'!P18</f>
        <v>21432</v>
      </c>
      <c r="AC16" s="601">
        <f t="shared" si="11"/>
        <v>-21426</v>
      </c>
    </row>
    <row r="17" spans="1:29" ht="19.5" thickBot="1">
      <c r="A17" s="610">
        <f>Gen!B24</f>
        <v>0.15</v>
      </c>
      <c r="B17" s="563">
        <f>Gen!A24</f>
        <v>44361</v>
      </c>
      <c r="C17" s="547"/>
      <c r="D17" s="552">
        <f t="shared" si="1"/>
        <v>9365.4</v>
      </c>
      <c r="E17" s="548">
        <v>9367.5</v>
      </c>
      <c r="F17" s="552">
        <f>SUM(E17-D17)*120</f>
        <v>252.00000000004366</v>
      </c>
      <c r="G17" s="547"/>
      <c r="H17" s="591">
        <f t="shared" si="6"/>
        <v>44361</v>
      </c>
      <c r="I17" s="547"/>
      <c r="J17" s="592">
        <f>'Water-Meter'!G19</f>
        <v>75790</v>
      </c>
      <c r="K17" s="593">
        <f>'Water-Meter'!G19</f>
        <v>75790</v>
      </c>
      <c r="L17" s="547">
        <f t="shared" si="3"/>
        <v>0</v>
      </c>
      <c r="M17" s="591">
        <f t="shared" si="7"/>
        <v>44361</v>
      </c>
      <c r="N17" s="547"/>
      <c r="O17" s="6"/>
      <c r="P17" s="551">
        <f>'Water-Meter'!J19</f>
        <v>8488</v>
      </c>
      <c r="Q17" s="547">
        <f t="shared" si="8"/>
        <v>0</v>
      </c>
      <c r="R17" s="594">
        <f t="shared" si="4"/>
        <v>0</v>
      </c>
      <c r="S17" s="595">
        <f>Gen!T24</f>
        <v>3974</v>
      </c>
      <c r="T17" s="596">
        <f t="shared" si="9"/>
        <v>44361</v>
      </c>
      <c r="U17" s="547"/>
      <c r="V17" s="552">
        <f t="shared" si="5"/>
        <v>8197.2000000000007</v>
      </c>
      <c r="W17" s="549">
        <v>8199.2000000000007</v>
      </c>
      <c r="X17" s="552">
        <f t="shared" si="0"/>
        <v>400</v>
      </c>
      <c r="Y17" s="591">
        <f t="shared" si="10"/>
        <v>44361</v>
      </c>
      <c r="Z17" s="547"/>
      <c r="AA17" s="547"/>
      <c r="AB17" s="551">
        <f>'Water-Meter'!P19</f>
        <v>21438</v>
      </c>
      <c r="AC17" s="601">
        <f t="shared" si="11"/>
        <v>-21432</v>
      </c>
    </row>
    <row r="18" spans="1:29" ht="19.5" thickBot="1">
      <c r="A18" s="610">
        <f>Gen!B25</f>
        <v>0.18</v>
      </c>
      <c r="B18" s="563">
        <f>Gen!A25</f>
        <v>44362</v>
      </c>
      <c r="C18" s="547"/>
      <c r="D18" s="552">
        <f t="shared" si="1"/>
        <v>9367.5</v>
      </c>
      <c r="E18" s="548">
        <v>9369.7000000000007</v>
      </c>
      <c r="F18" s="552">
        <f t="shared" ref="F18:F22" si="12">SUM(E18-D18)*120</f>
        <v>264.00000000008731</v>
      </c>
      <c r="G18" s="547"/>
      <c r="H18" s="591">
        <f t="shared" si="6"/>
        <v>44362</v>
      </c>
      <c r="I18" s="547"/>
      <c r="J18" s="592">
        <f>'Water-Meter'!G20</f>
        <v>75790</v>
      </c>
      <c r="K18" s="593">
        <f>'Water-Meter'!G20</f>
        <v>75790</v>
      </c>
      <c r="L18" s="547">
        <f t="shared" si="3"/>
        <v>0</v>
      </c>
      <c r="M18" s="591">
        <f t="shared" si="7"/>
        <v>44362</v>
      </c>
      <c r="N18" s="547"/>
      <c r="O18" s="6">
        <f>'Water-Meter'!J20</f>
        <v>8490</v>
      </c>
      <c r="P18" s="551">
        <f>'Water-Meter'!J20</f>
        <v>8490</v>
      </c>
      <c r="Q18" s="547">
        <f t="shared" si="8"/>
        <v>0</v>
      </c>
      <c r="R18" s="594">
        <f t="shared" si="4"/>
        <v>0</v>
      </c>
      <c r="S18" s="595">
        <f>Gen!T25</f>
        <v>3583</v>
      </c>
      <c r="T18" s="596">
        <f t="shared" si="9"/>
        <v>44362</v>
      </c>
      <c r="U18" s="547"/>
      <c r="V18" s="552">
        <f t="shared" si="5"/>
        <v>8199.2000000000007</v>
      </c>
      <c r="W18" s="549">
        <v>8201</v>
      </c>
      <c r="X18" s="552">
        <f t="shared" si="0"/>
        <v>359.99999999985448</v>
      </c>
      <c r="Y18" s="591">
        <f t="shared" si="10"/>
        <v>44362</v>
      </c>
      <c r="Z18" s="547"/>
      <c r="AA18" s="547"/>
      <c r="AB18" s="551">
        <f>'Water-Meter'!P20</f>
        <v>21443</v>
      </c>
      <c r="AC18" s="601">
        <f t="shared" si="11"/>
        <v>-21438</v>
      </c>
    </row>
    <row r="19" spans="1:29" ht="19.5" thickBot="1">
      <c r="A19" s="610">
        <f>Gen!B26</f>
        <v>0.17</v>
      </c>
      <c r="B19" s="563">
        <f>Gen!A26</f>
        <v>44363</v>
      </c>
      <c r="C19" s="550"/>
      <c r="D19" s="552">
        <f t="shared" si="1"/>
        <v>9369.7000000000007</v>
      </c>
      <c r="E19" s="548">
        <v>9371.7999999999993</v>
      </c>
      <c r="F19" s="552">
        <f t="shared" si="12"/>
        <v>251.99999999982538</v>
      </c>
      <c r="G19" s="547"/>
      <c r="H19" s="591">
        <f t="shared" si="6"/>
        <v>44363</v>
      </c>
      <c r="I19" s="550"/>
      <c r="J19" s="592">
        <f>'Water-Meter'!G21</f>
        <v>75790</v>
      </c>
      <c r="K19" s="593">
        <f>'Water-Meter'!G21</f>
        <v>75790</v>
      </c>
      <c r="L19" s="547">
        <f t="shared" si="3"/>
        <v>0</v>
      </c>
      <c r="M19" s="591">
        <f t="shared" si="7"/>
        <v>44363</v>
      </c>
      <c r="N19" s="550"/>
      <c r="O19" s="6">
        <f>'Water-Meter'!J21</f>
        <v>8493</v>
      </c>
      <c r="P19" s="551">
        <f>'Water-Meter'!J21</f>
        <v>8493</v>
      </c>
      <c r="Q19" s="547">
        <f t="shared" si="8"/>
        <v>-8490</v>
      </c>
      <c r="R19" s="594">
        <f t="shared" si="4"/>
        <v>-5.2569659442724461</v>
      </c>
      <c r="S19" s="595">
        <f>Gen!T26</f>
        <v>3523</v>
      </c>
      <c r="T19" s="596">
        <f t="shared" si="9"/>
        <v>44363</v>
      </c>
      <c r="U19" s="550"/>
      <c r="V19" s="552">
        <f t="shared" si="5"/>
        <v>8201</v>
      </c>
      <c r="W19" s="549">
        <v>8203</v>
      </c>
      <c r="X19" s="552">
        <f t="shared" si="0"/>
        <v>400</v>
      </c>
      <c r="Y19" s="591">
        <f t="shared" si="10"/>
        <v>44363</v>
      </c>
      <c r="Z19" s="550"/>
      <c r="AA19" s="547"/>
      <c r="AB19" s="551">
        <f>'Water-Meter'!P21</f>
        <v>21447</v>
      </c>
      <c r="AC19" s="601">
        <f t="shared" si="11"/>
        <v>-21443</v>
      </c>
    </row>
    <row r="20" spans="1:29" ht="19.5" thickBot="1">
      <c r="A20" s="610">
        <f>Gen!B27</f>
        <v>0.16</v>
      </c>
      <c r="B20" s="563">
        <f>Gen!A27</f>
        <v>44364</v>
      </c>
      <c r="C20" s="550"/>
      <c r="D20" s="552">
        <f t="shared" si="1"/>
        <v>9371.7999999999993</v>
      </c>
      <c r="E20" s="548">
        <v>9374</v>
      </c>
      <c r="F20" s="552">
        <f t="shared" si="12"/>
        <v>264.00000000008731</v>
      </c>
      <c r="G20" s="547"/>
      <c r="H20" s="591">
        <f t="shared" si="6"/>
        <v>44364</v>
      </c>
      <c r="I20" s="550"/>
      <c r="J20" s="592">
        <f>'Water-Meter'!G22</f>
        <v>75790</v>
      </c>
      <c r="K20" s="593">
        <f>'Water-Meter'!G22</f>
        <v>75790</v>
      </c>
      <c r="L20" s="547">
        <f t="shared" si="3"/>
        <v>0</v>
      </c>
      <c r="M20" s="591">
        <f t="shared" si="7"/>
        <v>44364</v>
      </c>
      <c r="N20" s="550"/>
      <c r="O20" s="6">
        <f>'Water-Meter'!J22</f>
        <v>8495</v>
      </c>
      <c r="P20" s="551">
        <f>'Water-Meter'!J22</f>
        <v>8495</v>
      </c>
      <c r="Q20" s="547">
        <f t="shared" si="8"/>
        <v>-8493</v>
      </c>
      <c r="R20" s="594">
        <f t="shared" si="4"/>
        <v>-5.2588235294117647</v>
      </c>
      <c r="S20" s="595">
        <f>Gen!T27</f>
        <v>3308</v>
      </c>
      <c r="T20" s="596">
        <f t="shared" si="9"/>
        <v>44364</v>
      </c>
      <c r="U20" s="550"/>
      <c r="V20" s="552">
        <f t="shared" si="5"/>
        <v>8203</v>
      </c>
      <c r="W20" s="549">
        <v>8205</v>
      </c>
      <c r="X20" s="552">
        <f t="shared" si="0"/>
        <v>400</v>
      </c>
      <c r="Y20" s="591">
        <f t="shared" si="10"/>
        <v>44364</v>
      </c>
      <c r="Z20" s="550"/>
      <c r="AA20" s="547"/>
      <c r="AB20" s="551">
        <f>'Water-Meter'!P22</f>
        <v>21455</v>
      </c>
      <c r="AC20" s="601">
        <f t="shared" si="11"/>
        <v>-21447</v>
      </c>
    </row>
    <row r="21" spans="1:29" ht="19.5" thickBot="1">
      <c r="A21" s="610">
        <f>Gen!B28</f>
        <v>0.16</v>
      </c>
      <c r="B21" s="563">
        <f>Gen!A28</f>
        <v>44365</v>
      </c>
      <c r="C21" s="550"/>
      <c r="D21" s="552">
        <f t="shared" si="1"/>
        <v>9374</v>
      </c>
      <c r="E21" s="548">
        <v>9375.7999999999993</v>
      </c>
      <c r="F21" s="552">
        <f t="shared" si="12"/>
        <v>215.99999999991269</v>
      </c>
      <c r="G21" s="547"/>
      <c r="H21" s="591">
        <f t="shared" si="6"/>
        <v>44365</v>
      </c>
      <c r="I21" s="550"/>
      <c r="J21" s="592">
        <f>'Water-Meter'!G23</f>
        <v>75790</v>
      </c>
      <c r="K21" s="593">
        <f>'Water-Meter'!G23</f>
        <v>75790</v>
      </c>
      <c r="L21" s="547">
        <f t="shared" si="3"/>
        <v>0</v>
      </c>
      <c r="M21" s="591">
        <f t="shared" si="7"/>
        <v>44365</v>
      </c>
      <c r="N21" s="550"/>
      <c r="O21" s="6">
        <f>'Water-Meter'!J23</f>
        <v>8497</v>
      </c>
      <c r="P21" s="551">
        <f>'Water-Meter'!J23</f>
        <v>8497</v>
      </c>
      <c r="Q21" s="547">
        <f t="shared" ref="Q21:Q35" si="13">N21-O20</f>
        <v>-8495</v>
      </c>
      <c r="R21" s="594">
        <f t="shared" ref="R21:R35" si="14">SUM(Q21/1615)</f>
        <v>-5.2600619195046443</v>
      </c>
      <c r="S21" s="595">
        <f>Gen!T28</f>
        <v>3408</v>
      </c>
      <c r="T21" s="596">
        <f t="shared" si="9"/>
        <v>44365</v>
      </c>
      <c r="U21" s="550"/>
      <c r="V21" s="552">
        <f t="shared" si="5"/>
        <v>8205</v>
      </c>
      <c r="W21" s="549">
        <v>8207.5</v>
      </c>
      <c r="X21" s="552">
        <f t="shared" si="0"/>
        <v>500</v>
      </c>
      <c r="Y21" s="591">
        <f t="shared" si="10"/>
        <v>44365</v>
      </c>
      <c r="Z21" s="550"/>
      <c r="AA21" s="547"/>
      <c r="AB21" s="551">
        <f>'Water-Meter'!P23</f>
        <v>21464</v>
      </c>
      <c r="AC21" s="601">
        <f t="shared" si="11"/>
        <v>-21455</v>
      </c>
    </row>
    <row r="22" spans="1:29" ht="19.5" thickBot="1">
      <c r="A22" s="610">
        <f>Gen!B29</f>
        <v>0.11</v>
      </c>
      <c r="B22" s="563">
        <f>Gen!A29</f>
        <v>44366</v>
      </c>
      <c r="C22" s="547"/>
      <c r="D22" s="552">
        <f t="shared" si="1"/>
        <v>9375.7999999999993</v>
      </c>
      <c r="E22" s="548">
        <v>9377.7000000000007</v>
      </c>
      <c r="F22" s="552">
        <f t="shared" si="12"/>
        <v>228.00000000017462</v>
      </c>
      <c r="G22" s="547"/>
      <c r="H22" s="591">
        <f t="shared" si="6"/>
        <v>44366</v>
      </c>
      <c r="I22" s="547"/>
      <c r="J22" s="592">
        <f>'Water-Meter'!G24</f>
        <v>75790</v>
      </c>
      <c r="K22" s="593">
        <f>'Water-Meter'!G24</f>
        <v>75790</v>
      </c>
      <c r="L22" s="547">
        <f t="shared" si="3"/>
        <v>0</v>
      </c>
      <c r="M22" s="591">
        <f t="shared" si="7"/>
        <v>44366</v>
      </c>
      <c r="N22" s="547"/>
      <c r="O22" s="6">
        <f>'Water-Meter'!J24</f>
        <v>8498</v>
      </c>
      <c r="P22" s="551">
        <f>'Water-Meter'!J24</f>
        <v>8498</v>
      </c>
      <c r="Q22" s="547">
        <f t="shared" si="13"/>
        <v>-8497</v>
      </c>
      <c r="R22" s="594">
        <f t="shared" si="14"/>
        <v>-5.261300309597523</v>
      </c>
      <c r="S22" s="595">
        <f>Gen!T29</f>
        <v>3062</v>
      </c>
      <c r="T22" s="596">
        <f t="shared" si="9"/>
        <v>44366</v>
      </c>
      <c r="U22" s="547"/>
      <c r="V22" s="552">
        <f t="shared" si="5"/>
        <v>8207.5</v>
      </c>
      <c r="W22" s="549">
        <v>8209.5</v>
      </c>
      <c r="X22" s="552">
        <f t="shared" si="0"/>
        <v>400</v>
      </c>
      <c r="Y22" s="591">
        <f t="shared" si="10"/>
        <v>44366</v>
      </c>
      <c r="Z22" s="547"/>
      <c r="AA22" s="547"/>
      <c r="AB22" s="551">
        <f>'Water-Meter'!P24</f>
        <v>21480</v>
      </c>
      <c r="AC22" s="601">
        <f t="shared" si="11"/>
        <v>-21464</v>
      </c>
    </row>
    <row r="23" spans="1:29" ht="19.5" thickBot="1">
      <c r="A23" s="610">
        <f>Gen!B30</f>
        <v>0.05</v>
      </c>
      <c r="B23" s="563">
        <f>Gen!A30</f>
        <v>44367</v>
      </c>
      <c r="C23" s="550"/>
      <c r="D23" s="552">
        <f t="shared" si="1"/>
        <v>9377.7000000000007</v>
      </c>
      <c r="E23" s="548">
        <v>9379.5</v>
      </c>
      <c r="F23" s="552">
        <f t="shared" ref="F23:F34" si="15">SUM(E23-D23)*120</f>
        <v>215.99999999991269</v>
      </c>
      <c r="G23" s="547"/>
      <c r="H23" s="591">
        <f t="shared" si="6"/>
        <v>44367</v>
      </c>
      <c r="I23" s="550"/>
      <c r="J23" s="592">
        <f>'Water-Meter'!G25</f>
        <v>75790</v>
      </c>
      <c r="K23" s="593">
        <f>'Water-Meter'!G26</f>
        <v>0</v>
      </c>
      <c r="L23" s="547">
        <f t="shared" si="3"/>
        <v>-75790</v>
      </c>
      <c r="M23" s="591">
        <f t="shared" si="7"/>
        <v>44367</v>
      </c>
      <c r="N23" s="550"/>
      <c r="O23" s="6">
        <f>'Water-Meter'!J25</f>
        <v>8500</v>
      </c>
      <c r="P23" s="551">
        <f>'Water-Meter'!J25</f>
        <v>8500</v>
      </c>
      <c r="Q23" s="547">
        <f t="shared" si="13"/>
        <v>-8498</v>
      </c>
      <c r="R23" s="594">
        <f t="shared" si="14"/>
        <v>-5.2619195046439629</v>
      </c>
      <c r="S23" s="595">
        <f>Gen!T30</f>
        <v>3078</v>
      </c>
      <c r="T23" s="596">
        <f t="shared" si="9"/>
        <v>44367</v>
      </c>
      <c r="U23" s="550"/>
      <c r="V23" s="552">
        <f t="shared" si="5"/>
        <v>8209.5</v>
      </c>
      <c r="W23" s="549">
        <v>8211.4</v>
      </c>
      <c r="X23" s="552">
        <f t="shared" si="0"/>
        <v>379.99999999992724</v>
      </c>
      <c r="Y23" s="591">
        <f t="shared" si="10"/>
        <v>44367</v>
      </c>
      <c r="Z23" s="550"/>
      <c r="AA23" s="547"/>
      <c r="AB23" s="551">
        <f>'Water-Meter'!P25</f>
        <v>21488</v>
      </c>
      <c r="AC23" s="601">
        <f t="shared" si="11"/>
        <v>-21480</v>
      </c>
    </row>
    <row r="24" spans="1:29" ht="19.5" thickBot="1">
      <c r="A24" s="610">
        <f>Gen!B31</f>
        <v>0</v>
      </c>
      <c r="B24" s="563">
        <f>Gen!A31</f>
        <v>44368</v>
      </c>
      <c r="C24" s="550"/>
      <c r="D24" s="552">
        <f t="shared" ref="D24:D35" si="16">SUM(E23)</f>
        <v>9379.5</v>
      </c>
      <c r="E24" s="548"/>
      <c r="F24" s="552">
        <f t="shared" si="15"/>
        <v>-1125540</v>
      </c>
      <c r="G24" s="547"/>
      <c r="H24" s="591">
        <f t="shared" si="6"/>
        <v>44368</v>
      </c>
      <c r="I24" s="550"/>
      <c r="J24" s="592">
        <f>'Water-Meter'!G26</f>
        <v>0</v>
      </c>
      <c r="K24" s="593">
        <f>'Water-Meter'!G27</f>
        <v>0</v>
      </c>
      <c r="L24" s="547">
        <f t="shared" si="3"/>
        <v>0</v>
      </c>
      <c r="M24" s="591">
        <f t="shared" si="7"/>
        <v>44368</v>
      </c>
      <c r="N24" s="550"/>
      <c r="O24" s="6">
        <f>'Water-Meter'!J26</f>
        <v>0</v>
      </c>
      <c r="P24" s="551">
        <f>'Water-Meter'!J26</f>
        <v>0</v>
      </c>
      <c r="Q24" s="547">
        <f t="shared" si="13"/>
        <v>-8500</v>
      </c>
      <c r="R24" s="594">
        <f t="shared" si="14"/>
        <v>-5.2631578947368425</v>
      </c>
      <c r="S24" s="595">
        <f>Gen!T31</f>
        <v>0</v>
      </c>
      <c r="T24" s="596">
        <f t="shared" si="9"/>
        <v>44368</v>
      </c>
      <c r="U24" s="550"/>
      <c r="V24" s="552">
        <f t="shared" si="5"/>
        <v>8211.4</v>
      </c>
      <c r="W24" s="549"/>
      <c r="X24" s="552">
        <f t="shared" si="0"/>
        <v>-1642280</v>
      </c>
      <c r="Y24" s="591">
        <f t="shared" si="10"/>
        <v>44368</v>
      </c>
      <c r="Z24" s="550"/>
      <c r="AA24" s="547"/>
      <c r="AB24" s="551">
        <f>'Water-Meter'!P26</f>
        <v>0</v>
      </c>
      <c r="AC24" s="601">
        <f t="shared" si="11"/>
        <v>-21488</v>
      </c>
    </row>
    <row r="25" spans="1:29" ht="19.5" thickBot="1">
      <c r="A25" s="610">
        <f>Gen!B32</f>
        <v>0</v>
      </c>
      <c r="B25" s="563">
        <f>Gen!A32</f>
        <v>44369</v>
      </c>
      <c r="C25" s="550"/>
      <c r="D25" s="552">
        <f t="shared" si="16"/>
        <v>0</v>
      </c>
      <c r="E25" s="548"/>
      <c r="F25" s="552">
        <f t="shared" si="15"/>
        <v>0</v>
      </c>
      <c r="G25" s="547"/>
      <c r="H25" s="591">
        <f t="shared" si="6"/>
        <v>44369</v>
      </c>
      <c r="I25" s="550"/>
      <c r="J25" s="592">
        <f>'Water-Meter'!G27</f>
        <v>0</v>
      </c>
      <c r="K25" s="593">
        <f>'Water-Meter'!G28</f>
        <v>0</v>
      </c>
      <c r="L25" s="547">
        <f t="shared" si="3"/>
        <v>0</v>
      </c>
      <c r="M25" s="591">
        <f t="shared" si="7"/>
        <v>44369</v>
      </c>
      <c r="N25" s="550"/>
      <c r="O25" s="6">
        <f>'Water-Meter'!J27</f>
        <v>0</v>
      </c>
      <c r="P25" s="551">
        <f>'Water-Meter'!J27</f>
        <v>0</v>
      </c>
      <c r="Q25" s="547">
        <f t="shared" si="13"/>
        <v>0</v>
      </c>
      <c r="R25" s="594">
        <f t="shared" si="14"/>
        <v>0</v>
      </c>
      <c r="S25" s="595">
        <f>Gen!T32</f>
        <v>0</v>
      </c>
      <c r="T25" s="596">
        <f t="shared" si="9"/>
        <v>44369</v>
      </c>
      <c r="U25" s="550"/>
      <c r="V25" s="552">
        <f t="shared" si="5"/>
        <v>0</v>
      </c>
      <c r="W25" s="549"/>
      <c r="X25" s="552">
        <f t="shared" si="0"/>
        <v>0</v>
      </c>
      <c r="Y25" s="591">
        <f t="shared" si="10"/>
        <v>44369</v>
      </c>
      <c r="Z25" s="550"/>
      <c r="AA25" s="547"/>
      <c r="AB25" s="551">
        <f>'Water-Meter'!P27</f>
        <v>0</v>
      </c>
      <c r="AC25" s="601">
        <f t="shared" si="11"/>
        <v>0</v>
      </c>
    </row>
    <row r="26" spans="1:29" ht="19.5" thickBot="1">
      <c r="A26" s="610">
        <f>Gen!B33</f>
        <v>0</v>
      </c>
      <c r="B26" s="563">
        <f>Gen!A33</f>
        <v>44370</v>
      </c>
      <c r="C26" s="550"/>
      <c r="D26" s="552">
        <f t="shared" si="16"/>
        <v>0</v>
      </c>
      <c r="E26" s="548"/>
      <c r="F26" s="552">
        <f t="shared" si="15"/>
        <v>0</v>
      </c>
      <c r="G26" s="547"/>
      <c r="H26" s="591">
        <f t="shared" si="6"/>
        <v>44370</v>
      </c>
      <c r="I26" s="550"/>
      <c r="J26" s="592">
        <f>'Water-Meter'!G28</f>
        <v>0</v>
      </c>
      <c r="K26" s="593">
        <f>'Water-Meter'!G29</f>
        <v>0</v>
      </c>
      <c r="L26" s="547">
        <f t="shared" si="3"/>
        <v>0</v>
      </c>
      <c r="M26" s="591">
        <f t="shared" si="7"/>
        <v>44370</v>
      </c>
      <c r="N26" s="550"/>
      <c r="O26" s="6">
        <f>'Water-Meter'!J28</f>
        <v>0</v>
      </c>
      <c r="P26" s="551">
        <f>'Water-Meter'!J28</f>
        <v>0</v>
      </c>
      <c r="Q26" s="547">
        <f t="shared" si="13"/>
        <v>0</v>
      </c>
      <c r="R26" s="594">
        <f t="shared" si="14"/>
        <v>0</v>
      </c>
      <c r="S26" s="595">
        <f>Gen!T33</f>
        <v>0</v>
      </c>
      <c r="T26" s="596">
        <f t="shared" si="9"/>
        <v>44370</v>
      </c>
      <c r="U26" s="550"/>
      <c r="V26" s="552">
        <f t="shared" si="5"/>
        <v>0</v>
      </c>
      <c r="W26" s="549"/>
      <c r="X26" s="552">
        <f t="shared" si="0"/>
        <v>0</v>
      </c>
      <c r="Y26" s="591">
        <f t="shared" si="10"/>
        <v>44370</v>
      </c>
      <c r="Z26" s="550"/>
      <c r="AA26" s="547"/>
      <c r="AB26" s="551">
        <f>'Water-Meter'!P28</f>
        <v>0</v>
      </c>
      <c r="AC26" s="601">
        <f t="shared" si="11"/>
        <v>0</v>
      </c>
    </row>
    <row r="27" spans="1:29" ht="19.5" thickBot="1">
      <c r="A27" s="610">
        <f>Gen!B34</f>
        <v>0</v>
      </c>
      <c r="B27" s="563">
        <f>Gen!A34</f>
        <v>44371</v>
      </c>
      <c r="C27" s="550"/>
      <c r="D27" s="552">
        <f t="shared" si="16"/>
        <v>0</v>
      </c>
      <c r="E27" s="548"/>
      <c r="F27" s="552">
        <f t="shared" si="15"/>
        <v>0</v>
      </c>
      <c r="G27" s="547"/>
      <c r="H27" s="591">
        <f t="shared" si="6"/>
        <v>44371</v>
      </c>
      <c r="I27" s="550"/>
      <c r="J27" s="592">
        <f>'Water-Meter'!G29</f>
        <v>0</v>
      </c>
      <c r="K27" s="593">
        <f>'Water-Meter'!G30</f>
        <v>0</v>
      </c>
      <c r="L27" s="547">
        <f t="shared" si="3"/>
        <v>0</v>
      </c>
      <c r="M27" s="591">
        <f t="shared" si="7"/>
        <v>44371</v>
      </c>
      <c r="N27" s="550"/>
      <c r="O27" s="6">
        <f>'Water-Meter'!J29</f>
        <v>0</v>
      </c>
      <c r="P27" s="551">
        <f>'Water-Meter'!J29</f>
        <v>0</v>
      </c>
      <c r="Q27" s="547">
        <f t="shared" si="13"/>
        <v>0</v>
      </c>
      <c r="R27" s="594">
        <f t="shared" si="14"/>
        <v>0</v>
      </c>
      <c r="S27" s="595">
        <f>Gen!T34</f>
        <v>0</v>
      </c>
      <c r="T27" s="596">
        <f t="shared" si="9"/>
        <v>44371</v>
      </c>
      <c r="U27" s="550"/>
      <c r="V27" s="552">
        <f t="shared" si="5"/>
        <v>0</v>
      </c>
      <c r="W27" s="549"/>
      <c r="X27" s="552">
        <f t="shared" si="0"/>
        <v>0</v>
      </c>
      <c r="Y27" s="591">
        <f t="shared" si="10"/>
        <v>44371</v>
      </c>
      <c r="Z27" s="550"/>
      <c r="AA27" s="547"/>
      <c r="AB27" s="551">
        <f>'Water-Meter'!P29</f>
        <v>0</v>
      </c>
      <c r="AC27" s="601">
        <f t="shared" si="11"/>
        <v>0</v>
      </c>
    </row>
    <row r="28" spans="1:29" ht="19.5" thickBot="1">
      <c r="A28" s="610">
        <f>Gen!B35</f>
        <v>0</v>
      </c>
      <c r="B28" s="563">
        <f>Gen!A35</f>
        <v>44372</v>
      </c>
      <c r="C28" s="550"/>
      <c r="D28" s="552">
        <f t="shared" si="16"/>
        <v>0</v>
      </c>
      <c r="E28" s="548"/>
      <c r="F28" s="552">
        <f t="shared" si="15"/>
        <v>0</v>
      </c>
      <c r="G28" s="547"/>
      <c r="H28" s="591">
        <f t="shared" si="6"/>
        <v>44372</v>
      </c>
      <c r="I28" s="550"/>
      <c r="J28" s="592">
        <f>'Water-Meter'!G30</f>
        <v>0</v>
      </c>
      <c r="K28" s="593">
        <f>'Water-Meter'!G31</f>
        <v>0</v>
      </c>
      <c r="L28" s="547">
        <f t="shared" si="3"/>
        <v>0</v>
      </c>
      <c r="M28" s="591">
        <f t="shared" si="7"/>
        <v>44372</v>
      </c>
      <c r="N28" s="550"/>
      <c r="O28" s="6">
        <f>'Water-Meter'!J30</f>
        <v>0</v>
      </c>
      <c r="P28" s="551">
        <f>'Water-Meter'!J30</f>
        <v>0</v>
      </c>
      <c r="Q28" s="547">
        <f t="shared" si="13"/>
        <v>0</v>
      </c>
      <c r="R28" s="594">
        <f t="shared" si="14"/>
        <v>0</v>
      </c>
      <c r="S28" s="595">
        <f>Gen!T35</f>
        <v>0</v>
      </c>
      <c r="T28" s="596">
        <f t="shared" si="9"/>
        <v>44372</v>
      </c>
      <c r="U28" s="550"/>
      <c r="V28" s="552">
        <f t="shared" si="5"/>
        <v>0</v>
      </c>
      <c r="W28" s="549"/>
      <c r="X28" s="552">
        <f t="shared" si="0"/>
        <v>0</v>
      </c>
      <c r="Y28" s="591">
        <f t="shared" si="10"/>
        <v>44372</v>
      </c>
      <c r="Z28" s="550"/>
      <c r="AA28" s="547"/>
      <c r="AB28" s="551">
        <f>'Water-Meter'!P30</f>
        <v>0</v>
      </c>
      <c r="AC28" s="601">
        <f t="shared" si="11"/>
        <v>0</v>
      </c>
    </row>
    <row r="29" spans="1:29" ht="19.5" thickBot="1">
      <c r="A29" s="610">
        <f>Gen!B36</f>
        <v>0</v>
      </c>
      <c r="B29" s="563">
        <f>Gen!A36</f>
        <v>44373</v>
      </c>
      <c r="C29" s="550"/>
      <c r="D29" s="552">
        <f t="shared" si="16"/>
        <v>0</v>
      </c>
      <c r="E29" s="548"/>
      <c r="F29" s="552">
        <f t="shared" si="15"/>
        <v>0</v>
      </c>
      <c r="G29" s="547"/>
      <c r="H29" s="591">
        <f t="shared" si="6"/>
        <v>44373</v>
      </c>
      <c r="I29" s="550"/>
      <c r="J29" s="592">
        <f>'Water-Meter'!G31</f>
        <v>0</v>
      </c>
      <c r="K29" s="593">
        <f>'Water-Meter'!G32</f>
        <v>0</v>
      </c>
      <c r="L29" s="547">
        <f t="shared" si="3"/>
        <v>0</v>
      </c>
      <c r="M29" s="591">
        <f t="shared" si="7"/>
        <v>44373</v>
      </c>
      <c r="N29" s="550"/>
      <c r="O29" s="6">
        <f>'Water-Meter'!J31</f>
        <v>0</v>
      </c>
      <c r="P29" s="551">
        <f>'Water-Meter'!J31</f>
        <v>0</v>
      </c>
      <c r="Q29" s="547">
        <f t="shared" si="13"/>
        <v>0</v>
      </c>
      <c r="R29" s="594">
        <f t="shared" si="14"/>
        <v>0</v>
      </c>
      <c r="S29" s="595">
        <f>Gen!T36</f>
        <v>0</v>
      </c>
      <c r="T29" s="596">
        <f t="shared" si="9"/>
        <v>44373</v>
      </c>
      <c r="U29" s="550"/>
      <c r="V29" s="552">
        <f t="shared" si="5"/>
        <v>0</v>
      </c>
      <c r="W29" s="549"/>
      <c r="X29" s="552">
        <f t="shared" si="0"/>
        <v>0</v>
      </c>
      <c r="Y29" s="591">
        <f t="shared" si="10"/>
        <v>44373</v>
      </c>
      <c r="Z29" s="550"/>
      <c r="AA29" s="547"/>
      <c r="AB29" s="551">
        <f>'Water-Meter'!P31</f>
        <v>0</v>
      </c>
      <c r="AC29" s="601">
        <f t="shared" si="11"/>
        <v>0</v>
      </c>
    </row>
    <row r="30" spans="1:29" ht="19.5" thickBot="1">
      <c r="A30" s="610">
        <f>Gen!B37</f>
        <v>0</v>
      </c>
      <c r="B30" s="563">
        <f>Gen!A37</f>
        <v>44374</v>
      </c>
      <c r="C30" s="550"/>
      <c r="D30" s="552">
        <f t="shared" si="16"/>
        <v>0</v>
      </c>
      <c r="E30" s="548"/>
      <c r="F30" s="552">
        <f t="shared" si="15"/>
        <v>0</v>
      </c>
      <c r="G30" s="547"/>
      <c r="H30" s="591">
        <f t="shared" si="6"/>
        <v>44374</v>
      </c>
      <c r="I30" s="550"/>
      <c r="J30" s="592">
        <f>'Water-Meter'!G32</f>
        <v>0</v>
      </c>
      <c r="K30" s="593">
        <f>'Water-Meter'!G33</f>
        <v>0</v>
      </c>
      <c r="L30" s="547">
        <f t="shared" si="3"/>
        <v>0</v>
      </c>
      <c r="M30" s="591">
        <f t="shared" si="7"/>
        <v>44374</v>
      </c>
      <c r="N30" s="550"/>
      <c r="O30" s="6">
        <f>'Water-Meter'!J32</f>
        <v>0</v>
      </c>
      <c r="P30" s="551">
        <f>'Water-Meter'!J32</f>
        <v>0</v>
      </c>
      <c r="Q30" s="547">
        <f t="shared" si="13"/>
        <v>0</v>
      </c>
      <c r="R30" s="594">
        <f t="shared" si="14"/>
        <v>0</v>
      </c>
      <c r="S30" s="595">
        <f>Gen!T37</f>
        <v>0</v>
      </c>
      <c r="T30" s="596">
        <f t="shared" si="9"/>
        <v>44374</v>
      </c>
      <c r="U30" s="550"/>
      <c r="V30" s="552">
        <f t="shared" si="5"/>
        <v>0</v>
      </c>
      <c r="W30" s="549"/>
      <c r="X30" s="552">
        <f t="shared" si="0"/>
        <v>0</v>
      </c>
      <c r="Y30" s="591">
        <f t="shared" si="10"/>
        <v>44374</v>
      </c>
      <c r="Z30" s="550"/>
      <c r="AA30" s="547"/>
      <c r="AB30" s="551">
        <f>'Water-Meter'!P32</f>
        <v>0</v>
      </c>
      <c r="AC30" s="601">
        <f t="shared" si="11"/>
        <v>0</v>
      </c>
    </row>
    <row r="31" spans="1:29" ht="19.5" thickBot="1">
      <c r="A31" s="610">
        <f>Gen!B38</f>
        <v>0</v>
      </c>
      <c r="B31" s="563">
        <f>Gen!A38</f>
        <v>44375</v>
      </c>
      <c r="C31" s="550"/>
      <c r="D31" s="552">
        <f t="shared" si="16"/>
        <v>0</v>
      </c>
      <c r="E31" s="548"/>
      <c r="F31" s="552">
        <f t="shared" si="15"/>
        <v>0</v>
      </c>
      <c r="G31" s="547"/>
      <c r="H31" s="591">
        <f t="shared" si="6"/>
        <v>44375</v>
      </c>
      <c r="I31" s="550"/>
      <c r="J31" s="592">
        <f>'Water-Meter'!G33</f>
        <v>0</v>
      </c>
      <c r="K31" s="593">
        <f>'Water-Meter'!G34</f>
        <v>0</v>
      </c>
      <c r="L31" s="547">
        <f t="shared" si="3"/>
        <v>0</v>
      </c>
      <c r="M31" s="591">
        <f t="shared" si="7"/>
        <v>44375</v>
      </c>
      <c r="N31" s="550"/>
      <c r="O31" s="6">
        <f>'Water-Meter'!J33</f>
        <v>0</v>
      </c>
      <c r="P31" s="551">
        <f>'Water-Meter'!J33</f>
        <v>0</v>
      </c>
      <c r="Q31" s="547">
        <f t="shared" si="13"/>
        <v>0</v>
      </c>
      <c r="R31" s="594">
        <f t="shared" si="14"/>
        <v>0</v>
      </c>
      <c r="S31" s="595">
        <f>Gen!T38</f>
        <v>0</v>
      </c>
      <c r="T31" s="596">
        <f t="shared" si="9"/>
        <v>44375</v>
      </c>
      <c r="U31" s="550"/>
      <c r="V31" s="552">
        <f t="shared" si="5"/>
        <v>0</v>
      </c>
      <c r="W31" s="549"/>
      <c r="X31" s="552">
        <f t="shared" si="0"/>
        <v>0</v>
      </c>
      <c r="Y31" s="591">
        <f>T31</f>
        <v>44375</v>
      </c>
      <c r="Z31" s="550"/>
      <c r="AA31" s="547"/>
      <c r="AB31" s="551">
        <f>'Water-Meter'!P33</f>
        <v>0</v>
      </c>
      <c r="AC31" s="601">
        <f t="shared" si="11"/>
        <v>0</v>
      </c>
    </row>
    <row r="32" spans="1:29" ht="19.5" thickBot="1">
      <c r="A32" s="610">
        <f>Gen!B39</f>
        <v>0</v>
      </c>
      <c r="B32" s="563">
        <f>Gen!A39</f>
        <v>44376</v>
      </c>
      <c r="C32" s="550"/>
      <c r="D32" s="552">
        <f t="shared" si="16"/>
        <v>0</v>
      </c>
      <c r="E32" s="548"/>
      <c r="F32" s="552">
        <f t="shared" si="15"/>
        <v>0</v>
      </c>
      <c r="G32" s="547"/>
      <c r="H32" s="591">
        <f t="shared" si="6"/>
        <v>44376</v>
      </c>
      <c r="I32" s="550"/>
      <c r="J32" s="592">
        <f>'Water-Meter'!G34</f>
        <v>0</v>
      </c>
      <c r="K32" s="593">
        <f>'Water-Meter'!G34</f>
        <v>0</v>
      </c>
      <c r="L32" s="547">
        <f t="shared" si="3"/>
        <v>0</v>
      </c>
      <c r="M32" s="591">
        <f t="shared" si="7"/>
        <v>44376</v>
      </c>
      <c r="N32" s="550"/>
      <c r="O32" s="6">
        <f>'Water-Meter'!J34</f>
        <v>0</v>
      </c>
      <c r="P32" s="551">
        <f>'Water-Meter'!J34</f>
        <v>0</v>
      </c>
      <c r="Q32" s="547">
        <f t="shared" si="13"/>
        <v>0</v>
      </c>
      <c r="R32" s="594">
        <f t="shared" si="14"/>
        <v>0</v>
      </c>
      <c r="S32" s="595">
        <f>Gen!T39</f>
        <v>0</v>
      </c>
      <c r="T32" s="596">
        <f t="shared" si="9"/>
        <v>44376</v>
      </c>
      <c r="U32" s="550"/>
      <c r="V32" s="552">
        <f t="shared" si="5"/>
        <v>0</v>
      </c>
      <c r="W32" s="549"/>
      <c r="X32" s="552">
        <f t="shared" si="0"/>
        <v>0</v>
      </c>
      <c r="Y32" s="591">
        <f t="shared" ref="Y32:Y35" si="17">T32</f>
        <v>44376</v>
      </c>
      <c r="Z32" s="550"/>
      <c r="AA32" s="547"/>
      <c r="AB32" s="551">
        <f>'Water-Meter'!P34</f>
        <v>0</v>
      </c>
      <c r="AC32" s="601">
        <f t="shared" si="11"/>
        <v>0</v>
      </c>
    </row>
    <row r="33" spans="1:29" ht="19.5" thickBot="1">
      <c r="A33" s="610">
        <f>Gen!B40</f>
        <v>0</v>
      </c>
      <c r="B33" s="563">
        <f>Gen!A40</f>
        <v>44377</v>
      </c>
      <c r="C33" s="550"/>
      <c r="D33" s="552">
        <f t="shared" si="16"/>
        <v>0</v>
      </c>
      <c r="E33" s="548"/>
      <c r="F33" s="552">
        <f t="shared" si="15"/>
        <v>0</v>
      </c>
      <c r="G33" s="547"/>
      <c r="H33" s="591">
        <f t="shared" si="6"/>
        <v>44377</v>
      </c>
      <c r="I33" s="550"/>
      <c r="J33" s="592">
        <f>'Water-Meter'!G35</f>
        <v>0</v>
      </c>
      <c r="K33" s="593">
        <f>'Water-Meter'!G35</f>
        <v>0</v>
      </c>
      <c r="L33" s="547">
        <f t="shared" si="3"/>
        <v>0</v>
      </c>
      <c r="M33" s="591">
        <f t="shared" si="7"/>
        <v>44377</v>
      </c>
      <c r="N33" s="550"/>
      <c r="O33" s="6">
        <f>'Water-Meter'!J35</f>
        <v>0</v>
      </c>
      <c r="P33" s="551">
        <f>'Water-Meter'!J35</f>
        <v>0</v>
      </c>
      <c r="Q33" s="547">
        <f t="shared" si="13"/>
        <v>0</v>
      </c>
      <c r="R33" s="594">
        <f t="shared" si="14"/>
        <v>0</v>
      </c>
      <c r="S33" s="595">
        <f>Gen!T40</f>
        <v>0</v>
      </c>
      <c r="T33" s="596">
        <f t="shared" si="9"/>
        <v>44377</v>
      </c>
      <c r="U33" s="550"/>
      <c r="V33" s="552">
        <f t="shared" si="5"/>
        <v>0</v>
      </c>
      <c r="W33" s="549"/>
      <c r="X33" s="552">
        <f t="shared" si="0"/>
        <v>0</v>
      </c>
      <c r="Y33" s="591">
        <f t="shared" si="17"/>
        <v>44377</v>
      </c>
      <c r="Z33" s="550"/>
      <c r="AA33" s="547"/>
      <c r="AB33" s="551">
        <f>'Water-Meter'!P35</f>
        <v>0</v>
      </c>
      <c r="AC33" s="601">
        <f t="shared" si="11"/>
        <v>0</v>
      </c>
    </row>
    <row r="34" spans="1:29" ht="18.75">
      <c r="A34" s="610">
        <f>Gen!B41</f>
        <v>0</v>
      </c>
      <c r="B34" s="563"/>
      <c r="C34" s="6"/>
      <c r="D34" s="552">
        <f t="shared" si="16"/>
        <v>0</v>
      </c>
      <c r="E34" s="548"/>
      <c r="F34" s="552">
        <f t="shared" si="15"/>
        <v>0</v>
      </c>
      <c r="G34" s="6"/>
      <c r="H34" s="591">
        <f t="shared" si="6"/>
        <v>0</v>
      </c>
      <c r="I34" s="6"/>
      <c r="J34" s="592">
        <f>'Water-Meter'!G36</f>
        <v>0</v>
      </c>
      <c r="K34" s="593">
        <f>'Water-Meter'!G36</f>
        <v>0</v>
      </c>
      <c r="L34" s="547">
        <f t="shared" si="3"/>
        <v>0</v>
      </c>
      <c r="M34" s="591">
        <f t="shared" si="7"/>
        <v>0</v>
      </c>
      <c r="N34" s="6"/>
      <c r="O34" s="6">
        <f>'Water-Meter'!J36</f>
        <v>0</v>
      </c>
      <c r="P34" s="551">
        <f>'Water-Meter'!J36</f>
        <v>0</v>
      </c>
      <c r="Q34" s="547">
        <f t="shared" si="13"/>
        <v>0</v>
      </c>
      <c r="R34" s="594">
        <f t="shared" si="14"/>
        <v>0</v>
      </c>
      <c r="S34" s="595">
        <f>Gen!T41</f>
        <v>0</v>
      </c>
      <c r="T34" s="596">
        <f t="shared" si="9"/>
        <v>0</v>
      </c>
      <c r="U34" s="6"/>
      <c r="V34" s="552">
        <f t="shared" ref="V34:V35" si="18">SUM(W33)</f>
        <v>0</v>
      </c>
      <c r="W34" s="549"/>
      <c r="X34" s="552">
        <f t="shared" si="0"/>
        <v>0</v>
      </c>
      <c r="Y34" s="591">
        <f t="shared" si="17"/>
        <v>0</v>
      </c>
      <c r="Z34" s="6"/>
      <c r="AA34" s="547"/>
      <c r="AB34" s="551">
        <f>'Water-Meter'!P36</f>
        <v>0</v>
      </c>
      <c r="AC34" s="601">
        <f t="shared" si="11"/>
        <v>0</v>
      </c>
    </row>
    <row r="35" spans="1:29" ht="20.25" customHeight="1" thickBot="1">
      <c r="A35" s="611" t="e">
        <f>[1]Gen!B42</f>
        <v>#REF!</v>
      </c>
      <c r="B35" s="564" t="e">
        <f>[1]Gen!A42</f>
        <v>#REF!</v>
      </c>
      <c r="C35" s="7"/>
      <c r="D35" s="565">
        <f t="shared" si="16"/>
        <v>0</v>
      </c>
      <c r="E35" s="566"/>
      <c r="F35" s="567">
        <f>SUM(F4:F6)</f>
        <v>911.99999999982538</v>
      </c>
      <c r="G35" s="7"/>
      <c r="H35" s="602" t="e">
        <f t="shared" si="6"/>
        <v>#REF!</v>
      </c>
      <c r="I35" s="7"/>
      <c r="J35" s="570">
        <f t="shared" ref="J35" si="19">SUM(K34)</f>
        <v>0</v>
      </c>
      <c r="K35" s="603">
        <f>'Water-Meter'!G37</f>
        <v>0</v>
      </c>
      <c r="L35" s="7">
        <f>SUM(L5:L34)</f>
        <v>-75790</v>
      </c>
      <c r="M35" s="602" t="e">
        <f t="shared" si="7"/>
        <v>#REF!</v>
      </c>
      <c r="N35" s="7"/>
      <c r="O35" s="570"/>
      <c r="P35" s="571">
        <f>'Water-Meter'!J37</f>
        <v>0</v>
      </c>
      <c r="Q35" s="570">
        <f t="shared" si="13"/>
        <v>0</v>
      </c>
      <c r="R35" s="604">
        <f t="shared" si="14"/>
        <v>0</v>
      </c>
      <c r="S35" s="605">
        <f>Gen!T42</f>
        <v>0</v>
      </c>
      <c r="T35" s="602" t="e">
        <f t="shared" ref="T35" si="20">M35</f>
        <v>#REF!</v>
      </c>
      <c r="U35" s="7"/>
      <c r="V35" s="565">
        <f t="shared" si="18"/>
        <v>0</v>
      </c>
      <c r="W35" s="572"/>
      <c r="X35" s="565">
        <f t="shared" si="0"/>
        <v>0</v>
      </c>
      <c r="Y35" s="602" t="e">
        <f t="shared" si="17"/>
        <v>#REF!</v>
      </c>
      <c r="Z35" s="7"/>
      <c r="AA35" s="570"/>
      <c r="AB35" s="571">
        <f>'Water-Meter'!P37</f>
        <v>0</v>
      </c>
      <c r="AC35" s="606">
        <f t="shared" si="11"/>
        <v>0</v>
      </c>
    </row>
    <row r="36" spans="1:29" ht="24.75" customHeight="1">
      <c r="A36" s="821"/>
      <c r="E36" s="373"/>
      <c r="L36" s="135"/>
      <c r="Q36" s="135"/>
      <c r="R36" s="156"/>
      <c r="X36" s="371">
        <f>SUM(X4:X6)</f>
        <v>1580.0000000001091</v>
      </c>
      <c r="AC36" s="135"/>
    </row>
    <row r="37" spans="1:29" ht="12.75" customHeight="1">
      <c r="A37" s="821"/>
      <c r="E37" s="373"/>
    </row>
    <row r="38" spans="1:29" ht="12.75" customHeight="1">
      <c r="A38" s="821"/>
      <c r="E38" s="156"/>
      <c r="K38" s="156"/>
      <c r="W38" s="156"/>
      <c r="AB38" s="156"/>
    </row>
    <row r="39" spans="1:29" ht="12.75" customHeight="1">
      <c r="A39" s="821"/>
      <c r="E39" s="373"/>
    </row>
    <row r="40" spans="1:29" ht="12.75" customHeight="1">
      <c r="A40" s="821"/>
      <c r="D40" s="135"/>
      <c r="E40" s="156"/>
      <c r="V40" s="135"/>
      <c r="W40" s="156"/>
    </row>
    <row r="41" spans="1:29" ht="12.75" customHeight="1">
      <c r="A41" s="821"/>
      <c r="E41" s="373"/>
    </row>
    <row r="42" spans="1:29" ht="12.75" customHeight="1">
      <c r="A42" s="821"/>
      <c r="C42" s="157"/>
      <c r="E42" s="156"/>
      <c r="U42" s="157"/>
    </row>
    <row r="43" spans="1:29" ht="18.75">
      <c r="A43" s="821"/>
      <c r="E43" s="373"/>
    </row>
    <row r="44" spans="1:29">
      <c r="A44" s="821"/>
      <c r="E44" s="156"/>
    </row>
    <row r="45" spans="1:29" ht="18.75">
      <c r="A45" s="821"/>
      <c r="E45" s="373"/>
    </row>
    <row r="46" spans="1:29">
      <c r="A46" s="821"/>
      <c r="E46" s="156"/>
    </row>
    <row r="47" spans="1:29" ht="18.75">
      <c r="A47" s="821"/>
      <c r="E47" s="373"/>
    </row>
    <row r="48" spans="1:29">
      <c r="A48" s="821"/>
      <c r="E48" s="156"/>
    </row>
    <row r="49" spans="5:5" ht="18.75">
      <c r="E49" s="373"/>
    </row>
    <row r="50" spans="5:5">
      <c r="E50" s="156"/>
    </row>
    <row r="51" spans="5:5" ht="18.75">
      <c r="E51" s="373"/>
    </row>
    <row r="52" spans="5:5">
      <c r="E52" s="156"/>
    </row>
    <row r="53" spans="5:5" ht="18.75">
      <c r="E53" s="373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39"/>
  <sheetViews>
    <sheetView workbookViewId="0">
      <selection activeCell="E28" sqref="E28"/>
    </sheetView>
  </sheetViews>
  <sheetFormatPr defaultRowHeight="12.75"/>
  <cols>
    <col min="1" max="1" width="9.7109375" bestFit="1" customWidth="1"/>
    <col min="2" max="2" width="9.140625" customWidth="1"/>
    <col min="3" max="3" width="8.85546875" customWidth="1"/>
    <col min="4" max="4" width="8.28515625" customWidth="1"/>
    <col min="5" max="5" width="7.42578125" customWidth="1"/>
    <col min="6" max="6" width="12" bestFit="1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49">
        <f>A5</f>
        <v>44348</v>
      </c>
      <c r="B1" s="849"/>
      <c r="C1" s="849"/>
      <c r="D1" s="849"/>
      <c r="E1" s="849"/>
      <c r="F1" s="849"/>
      <c r="G1" s="849"/>
      <c r="H1" s="849"/>
      <c r="I1" s="849"/>
      <c r="J1" s="849"/>
      <c r="K1" s="849"/>
      <c r="L1" s="849"/>
    </row>
    <row r="2" spans="1:13">
      <c r="A2" s="850"/>
      <c r="B2" s="850"/>
      <c r="C2" s="850"/>
      <c r="D2" s="850"/>
      <c r="E2" s="850"/>
      <c r="F2" s="850"/>
      <c r="G2" s="850"/>
      <c r="H2" s="850"/>
      <c r="I2" s="850"/>
      <c r="J2" s="850"/>
      <c r="K2" s="850"/>
      <c r="L2" s="850"/>
    </row>
    <row r="3" spans="1:13" ht="50.25" customHeight="1" thickBot="1">
      <c r="A3" s="632"/>
      <c r="B3" s="633"/>
      <c r="C3" s="71"/>
      <c r="D3" s="71"/>
      <c r="E3" s="71"/>
      <c r="F3" s="71"/>
      <c r="G3" s="71"/>
      <c r="H3" s="71"/>
      <c r="I3" s="71"/>
      <c r="J3" s="71"/>
      <c r="K3" s="71"/>
      <c r="L3" s="634"/>
    </row>
    <row r="4" spans="1:13" s="48" customFormat="1" ht="50.25" customHeight="1" thickBot="1">
      <c r="A4" s="635" t="s">
        <v>32</v>
      </c>
      <c r="B4" s="636" t="s">
        <v>122</v>
      </c>
      <c r="C4" s="637" t="s">
        <v>123</v>
      </c>
      <c r="D4" s="638" t="s">
        <v>124</v>
      </c>
      <c r="E4" s="638" t="s">
        <v>125</v>
      </c>
      <c r="F4" s="638" t="s">
        <v>126</v>
      </c>
      <c r="G4" s="638" t="s">
        <v>127</v>
      </c>
      <c r="H4" s="638" t="s">
        <v>128</v>
      </c>
      <c r="I4" s="638" t="s">
        <v>129</v>
      </c>
      <c r="J4" s="638" t="s">
        <v>130</v>
      </c>
      <c r="K4" s="638" t="s">
        <v>131</v>
      </c>
      <c r="L4" s="639" t="s">
        <v>132</v>
      </c>
      <c r="M4" s="821"/>
    </row>
    <row r="5" spans="1:13">
      <c r="A5" s="629">
        <f>Gen!A11</f>
        <v>44348</v>
      </c>
      <c r="B5" s="612">
        <f>'Daily report Gen'!Z6</f>
        <v>20</v>
      </c>
      <c r="C5" s="613">
        <f>Gen!B11</f>
        <v>0.2</v>
      </c>
      <c r="D5" s="614">
        <f t="shared" ref="D5:D36" si="0">E5</f>
        <v>0</v>
      </c>
      <c r="E5" s="615"/>
      <c r="F5" s="68">
        <f>Gen!U11</f>
        <v>0.41846927775781528</v>
      </c>
      <c r="G5" s="616">
        <f>Gen!T9</f>
        <v>0</v>
      </c>
      <c r="H5" s="616">
        <f>Gen!AK11</f>
        <v>0</v>
      </c>
      <c r="I5" s="616">
        <f t="shared" ref="I5:I36" si="1">SUM(G5:H5)</f>
        <v>0</v>
      </c>
      <c r="J5" s="617">
        <f>Gen!C11</f>
        <v>46478.349999999991</v>
      </c>
      <c r="K5" s="618">
        <f>'Water-Meter'!E6</f>
        <v>88</v>
      </c>
      <c r="L5" s="619">
        <f>'Lpg (2)'!G10</f>
        <v>163.15200000000769</v>
      </c>
      <c r="M5" s="75" t="e">
        <f>SUM(#REF!-#REF!)</f>
        <v>#REF!</v>
      </c>
    </row>
    <row r="6" spans="1:13">
      <c r="A6" s="630">
        <f>Gen!A12</f>
        <v>44349</v>
      </c>
      <c r="B6" s="620">
        <f>'Daily report Gen'!Z7</f>
        <v>43</v>
      </c>
      <c r="C6" s="83">
        <f>Gen!B12</f>
        <v>0.12</v>
      </c>
      <c r="D6" s="414">
        <f t="shared" si="0"/>
        <v>0</v>
      </c>
      <c r="E6" s="70"/>
      <c r="F6" s="68">
        <f>Gen!U12</f>
        <v>0.4355648754914811</v>
      </c>
      <c r="G6" s="81">
        <f>Gen!T10</f>
        <v>0</v>
      </c>
      <c r="H6" s="81">
        <f>Gen!AK12</f>
        <v>0</v>
      </c>
      <c r="I6" s="81">
        <f t="shared" si="1"/>
        <v>0</v>
      </c>
      <c r="J6" s="425">
        <f>Gen!C12</f>
        <v>45292.749999999993</v>
      </c>
      <c r="K6" s="280">
        <f>'Water-Meter'!E7</f>
        <v>78</v>
      </c>
      <c r="L6" s="621">
        <f>'Lpg (2)'!G11</f>
        <v>61.247999999992324</v>
      </c>
      <c r="M6" s="75" t="e">
        <f>SUM(#REF!-#REF!)</f>
        <v>#REF!</v>
      </c>
    </row>
    <row r="7" spans="1:13">
      <c r="A7" s="630">
        <f>Gen!A13</f>
        <v>44350</v>
      </c>
      <c r="B7" s="620">
        <f>'Daily report Gen'!Z8</f>
        <v>25</v>
      </c>
      <c r="C7" s="83">
        <f>Gen!B13</f>
        <v>0.12</v>
      </c>
      <c r="D7" s="414">
        <f t="shared" si="0"/>
        <v>0</v>
      </c>
      <c r="E7" s="70"/>
      <c r="F7" s="68">
        <f>Gen!U13</f>
        <v>0.40961972667855018</v>
      </c>
      <c r="G7" s="81">
        <f>Gen!T11</f>
        <v>2783</v>
      </c>
      <c r="H7" s="81">
        <f>Gen!AK13</f>
        <v>0</v>
      </c>
      <c r="I7" s="81">
        <f t="shared" si="1"/>
        <v>2783</v>
      </c>
      <c r="J7" s="425">
        <f>Gen!C13</f>
        <v>43560.389999999992</v>
      </c>
      <c r="K7" s="280">
        <f>'Water-Meter'!E8</f>
        <v>71</v>
      </c>
      <c r="L7" s="621">
        <f>'Lpg (2)'!G12</f>
        <v>71.808000000030745</v>
      </c>
      <c r="M7" s="75" t="e">
        <f>SUM(#REF!-#REF!)</f>
        <v>#REF!</v>
      </c>
    </row>
    <row r="8" spans="1:13">
      <c r="A8" s="630">
        <f>Gen!A14</f>
        <v>44351</v>
      </c>
      <c r="B8" s="620">
        <f>'Daily report Gen'!Z9</f>
        <v>25</v>
      </c>
      <c r="C8" s="83">
        <f>Gen!B14</f>
        <v>0.17</v>
      </c>
      <c r="D8" s="414">
        <f>E8</f>
        <v>0</v>
      </c>
      <c r="E8" s="70"/>
      <c r="F8" s="68">
        <f>Gen!U14</f>
        <v>0.39995952587453021</v>
      </c>
      <c r="G8" s="81">
        <f>Gen!T12</f>
        <v>3815</v>
      </c>
      <c r="H8" s="81">
        <f>Gen!AK14</f>
        <v>0</v>
      </c>
      <c r="I8" s="81">
        <f t="shared" si="1"/>
        <v>3815</v>
      </c>
      <c r="J8" s="425">
        <f>Gen!C14</f>
        <v>41915.579999999994</v>
      </c>
      <c r="K8" s="280">
        <f>'Water-Meter'!E9</f>
        <v>83</v>
      </c>
      <c r="L8" s="621">
        <f>'Lpg (2)'!G13</f>
        <v>71.191999999969269</v>
      </c>
      <c r="M8" s="75" t="e">
        <f>SUM(#REF!-#REF!)</f>
        <v>#REF!</v>
      </c>
    </row>
    <row r="9" spans="1:13">
      <c r="A9" s="630">
        <f>Gen!A15</f>
        <v>44352</v>
      </c>
      <c r="B9" s="620">
        <f>'Daily report Gen'!Z10</f>
        <v>25</v>
      </c>
      <c r="C9" s="83">
        <f>Gen!B15</f>
        <v>0.2</v>
      </c>
      <c r="D9" s="414">
        <f t="shared" si="0"/>
        <v>0</v>
      </c>
      <c r="E9" s="70"/>
      <c r="F9" s="68">
        <f>Gen!U15</f>
        <v>0.4244989893156223</v>
      </c>
      <c r="G9" s="81">
        <f>Gen!T13</f>
        <v>3366</v>
      </c>
      <c r="H9" s="81">
        <f>Gen!AK15</f>
        <v>0</v>
      </c>
      <c r="I9" s="81">
        <f t="shared" si="1"/>
        <v>3366</v>
      </c>
      <c r="J9" s="425">
        <f>Gen!C15</f>
        <v>40409.349999999991</v>
      </c>
      <c r="K9" s="280">
        <f>'Water-Meter'!E10</f>
        <v>79</v>
      </c>
      <c r="L9" s="621">
        <f>'Lpg (2)'!G14</f>
        <v>72.952000000007686</v>
      </c>
      <c r="M9" s="75" t="e">
        <f>SUM(#REF!-#REF!)</f>
        <v>#REF!</v>
      </c>
    </row>
    <row r="10" spans="1:13">
      <c r="A10" s="630">
        <f>Gen!A16</f>
        <v>44353</v>
      </c>
      <c r="B10" s="620">
        <f>'Daily report Gen'!Z11</f>
        <v>24</v>
      </c>
      <c r="C10" s="83">
        <f>Gen!B16</f>
        <v>0.2</v>
      </c>
      <c r="D10" s="414">
        <f t="shared" si="0"/>
        <v>0</v>
      </c>
      <c r="E10" s="70"/>
      <c r="F10" s="68">
        <f>Gen!U16</f>
        <v>0.40415333534560821</v>
      </c>
      <c r="G10" s="81">
        <f>Gen!T14</f>
        <v>3459</v>
      </c>
      <c r="H10" s="81">
        <f>Gen!AK16</f>
        <v>0</v>
      </c>
      <c r="I10" s="81">
        <f t="shared" si="1"/>
        <v>3459</v>
      </c>
      <c r="J10" s="425">
        <f>Gen!C16</f>
        <v>38860.19999999999</v>
      </c>
      <c r="K10" s="280">
        <f>'Water-Meter'!E11</f>
        <v>89</v>
      </c>
      <c r="L10" s="621">
        <f>'Lpg (2)'!G15</f>
        <v>132.52799999997953</v>
      </c>
      <c r="M10" s="75" t="e">
        <f>SUM(#REF!-#REF!)</f>
        <v>#REF!</v>
      </c>
    </row>
    <row r="11" spans="1:13">
      <c r="A11" s="630">
        <f>Gen!A17</f>
        <v>44354</v>
      </c>
      <c r="B11" s="620">
        <f>'Daily report Gen'!Z12</f>
        <v>24</v>
      </c>
      <c r="C11" s="83">
        <f>Gen!B17</f>
        <v>0.18</v>
      </c>
      <c r="D11" s="414">
        <f t="shared" si="0"/>
        <v>0</v>
      </c>
      <c r="E11" s="70"/>
      <c r="F11" s="68">
        <f>Gen!U17</f>
        <v>0.38902473699175433</v>
      </c>
      <c r="G11" s="81">
        <f>Gen!T15</f>
        <v>3463</v>
      </c>
      <c r="H11" s="81">
        <f>Gen!AK17</f>
        <v>0</v>
      </c>
      <c r="I11" s="81">
        <f t="shared" si="1"/>
        <v>3463</v>
      </c>
      <c r="J11" s="425">
        <f>Gen!C17</f>
        <v>37337.489999999991</v>
      </c>
      <c r="K11" s="280">
        <f>'Water-Meter'!E12</f>
        <v>70</v>
      </c>
      <c r="L11" s="621">
        <f>'Lpg (2)'!G16</f>
        <v>132.61599999999746</v>
      </c>
      <c r="M11" s="75" t="e">
        <f>SUM(#REF!-#REF!)</f>
        <v>#REF!</v>
      </c>
    </row>
    <row r="12" spans="1:13">
      <c r="A12" s="630">
        <f>Gen!A18</f>
        <v>44355</v>
      </c>
      <c r="B12" s="620">
        <f>'Daily report Gen'!Z13</f>
        <v>24</v>
      </c>
      <c r="C12" s="83">
        <f>Gen!B18</f>
        <v>0.21</v>
      </c>
      <c r="D12" s="414">
        <f t="shared" si="0"/>
        <v>0</v>
      </c>
      <c r="E12" s="70"/>
      <c r="F12" s="68">
        <f>Gen!U18</f>
        <v>0.3989372409709887</v>
      </c>
      <c r="G12" s="81">
        <f>Gen!T16</f>
        <v>3313</v>
      </c>
      <c r="H12" s="81">
        <f>Gen!AK18</f>
        <v>0</v>
      </c>
      <c r="I12" s="81">
        <f t="shared" si="1"/>
        <v>3313</v>
      </c>
      <c r="J12" s="425">
        <f>Gen!C18</f>
        <v>35864.719999999994</v>
      </c>
      <c r="K12" s="280">
        <f>'Water-Meter'!E13</f>
        <v>70</v>
      </c>
      <c r="L12" s="621">
        <f>'Lpg (2)'!G17</f>
        <v>154.30800000003075</v>
      </c>
      <c r="M12" s="75" t="e">
        <f>SUM(#REF!-#REF!)</f>
        <v>#REF!</v>
      </c>
    </row>
    <row r="13" spans="1:13">
      <c r="A13" s="630">
        <f>Gen!A19</f>
        <v>44356</v>
      </c>
      <c r="B13" s="620">
        <f>'Daily report Gen'!Z14</f>
        <v>41</v>
      </c>
      <c r="C13" s="83">
        <f>Gen!B19</f>
        <v>0.17</v>
      </c>
      <c r="D13" s="414">
        <f t="shared" si="0"/>
        <v>0</v>
      </c>
      <c r="E13" s="70"/>
      <c r="F13" s="68">
        <f>Gen!U19</f>
        <v>0.39947834334492571</v>
      </c>
      <c r="G13" s="81">
        <f>Gen!T17</f>
        <v>3517</v>
      </c>
      <c r="H13" s="81">
        <f>Gen!AK19</f>
        <v>0</v>
      </c>
      <c r="I13" s="81">
        <f t="shared" si="1"/>
        <v>3517</v>
      </c>
      <c r="J13" s="425">
        <f>Gen!C19</f>
        <v>34517.109999999993</v>
      </c>
      <c r="K13" s="280">
        <f>'Water-Meter'!E14</f>
        <v>64</v>
      </c>
      <c r="L13" s="621">
        <f>'Lpg (2)'!G18</f>
        <v>152.4599999999744</v>
      </c>
      <c r="M13" s="75" t="e">
        <f>SUM(#REF!-#REF!)</f>
        <v>#REF!</v>
      </c>
    </row>
    <row r="14" spans="1:13">
      <c r="A14" s="630">
        <f>Gen!A20</f>
        <v>44357</v>
      </c>
      <c r="B14" s="620">
        <f>'Daily report Gen'!Z15</f>
        <v>23</v>
      </c>
      <c r="C14" s="83">
        <f>Gen!B20</f>
        <v>0.08</v>
      </c>
      <c r="D14" s="414">
        <f t="shared" si="0"/>
        <v>0</v>
      </c>
      <c r="E14" s="70"/>
      <c r="F14" s="68">
        <f>Gen!U20</f>
        <v>0.39400891530460619</v>
      </c>
      <c r="G14" s="81">
        <f>Gen!T18</f>
        <v>3378</v>
      </c>
      <c r="H14" s="81">
        <f>Gen!AK20</f>
        <v>0</v>
      </c>
      <c r="I14" s="81">
        <f t="shared" si="1"/>
        <v>3378</v>
      </c>
      <c r="J14" s="425">
        <f>Gen!C20</f>
        <v>33106.80999999999</v>
      </c>
      <c r="K14" s="280">
        <f>'Water-Meter'!E15</f>
        <v>74</v>
      </c>
      <c r="L14" s="621">
        <f>'Lpg (2)'!G19</f>
        <v>149.07200000002049</v>
      </c>
      <c r="M14" s="75" t="e">
        <f>SUM(#REF!-#REF!)</f>
        <v>#REF!</v>
      </c>
    </row>
    <row r="15" spans="1:13">
      <c r="A15" s="630">
        <f>Gen!A21</f>
        <v>44358</v>
      </c>
      <c r="B15" s="620">
        <f>'Daily report Gen'!Z16</f>
        <v>10</v>
      </c>
      <c r="C15" s="83">
        <f>Gen!B21</f>
        <v>0.13</v>
      </c>
      <c r="D15" s="414">
        <f t="shared" si="0"/>
        <v>0</v>
      </c>
      <c r="E15" s="70"/>
      <c r="F15" s="68">
        <f>Gen!U21</f>
        <v>0.38958649789029537</v>
      </c>
      <c r="G15" s="81">
        <f>Gen!T19</f>
        <v>3163</v>
      </c>
      <c r="H15" s="81">
        <f>Gen!AK21</f>
        <v>0</v>
      </c>
      <c r="I15" s="81">
        <f t="shared" si="1"/>
        <v>3163</v>
      </c>
      <c r="J15" s="425">
        <f>Gen!C21</f>
        <v>31735.029999999992</v>
      </c>
      <c r="K15" s="280">
        <f>'Water-Meter'!E16</f>
        <v>101</v>
      </c>
      <c r="L15" s="621">
        <f>'Lpg (2)'!G20</f>
        <v>148.54399999997696</v>
      </c>
      <c r="M15" s="75" t="e">
        <f>SUM(#REF!-#REF!)</f>
        <v>#REF!</v>
      </c>
    </row>
    <row r="16" spans="1:13">
      <c r="A16" s="630">
        <f>Gen!A22</f>
        <v>44359</v>
      </c>
      <c r="B16" s="620">
        <f>'Daily report Gen'!Z17</f>
        <v>26</v>
      </c>
      <c r="C16" s="83">
        <f>Gen!B22</f>
        <v>0.13</v>
      </c>
      <c r="D16" s="414">
        <f t="shared" si="0"/>
        <v>0</v>
      </c>
      <c r="E16" s="70"/>
      <c r="F16" s="68">
        <f>Gen!U22</f>
        <v>0.39547938144329897</v>
      </c>
      <c r="G16" s="81">
        <f>Gen!T20</f>
        <v>3365</v>
      </c>
      <c r="H16" s="81">
        <f>Gen!AK22</f>
        <v>0</v>
      </c>
      <c r="I16" s="81">
        <f t="shared" si="1"/>
        <v>3365</v>
      </c>
      <c r="J16" s="425">
        <f>Gen!C22</f>
        <v>30298.189999999991</v>
      </c>
      <c r="K16" s="280">
        <f>'Water-Meter'!E17</f>
        <v>87</v>
      </c>
      <c r="L16" s="621">
        <f>'Lpg (2)'!G21</f>
        <v>151.53600000001026</v>
      </c>
      <c r="M16" s="75" t="e">
        <f>SUM(#REF!-#REF!)</f>
        <v>#REF!</v>
      </c>
    </row>
    <row r="17" spans="1:13">
      <c r="A17" s="630">
        <f>Gen!A23</f>
        <v>44360</v>
      </c>
      <c r="B17" s="620">
        <f>'Daily report Gen'!Z18</f>
        <v>24</v>
      </c>
      <c r="C17" s="83">
        <f>Gen!B23</f>
        <v>0.22</v>
      </c>
      <c r="D17" s="414">
        <f t="shared" si="0"/>
        <v>0</v>
      </c>
      <c r="E17" s="70"/>
      <c r="F17" s="68">
        <f>Gen!U23</f>
        <v>0.40886142738128295</v>
      </c>
      <c r="G17" s="81">
        <f>Gen!T21</f>
        <v>3555</v>
      </c>
      <c r="H17" s="81">
        <f>Gen!AK23</f>
        <v>0</v>
      </c>
      <c r="I17" s="81">
        <f t="shared" si="1"/>
        <v>3555</v>
      </c>
      <c r="J17" s="425">
        <f>Gen!C23</f>
        <v>28446.369999999992</v>
      </c>
      <c r="K17" s="280">
        <f>'Water-Meter'!E18</f>
        <v>71</v>
      </c>
      <c r="L17" s="621">
        <f>'Lpg (2)'!G22</f>
        <v>152.32799999997951</v>
      </c>
      <c r="M17" s="75" t="e">
        <f>SUM(#REF!-#REF!)</f>
        <v>#REF!</v>
      </c>
    </row>
    <row r="18" spans="1:13">
      <c r="A18" s="630">
        <f>Gen!A24</f>
        <v>44361</v>
      </c>
      <c r="B18" s="620">
        <f>'Daily report Gen'!Z19</f>
        <v>25</v>
      </c>
      <c r="C18" s="83">
        <f>Gen!B24</f>
        <v>0.15</v>
      </c>
      <c r="D18" s="414">
        <f t="shared" si="0"/>
        <v>0</v>
      </c>
      <c r="E18" s="70"/>
      <c r="F18" s="68">
        <f>Gen!U24</f>
        <v>0.39634121791645693</v>
      </c>
      <c r="G18" s="81">
        <f>Gen!T22</f>
        <v>3880</v>
      </c>
      <c r="H18" s="81">
        <f>Gen!AK24</f>
        <v>0</v>
      </c>
      <c r="I18" s="81">
        <f t="shared" si="1"/>
        <v>3880</v>
      </c>
      <c r="J18" s="425">
        <f>Gen!C24</f>
        <v>26715.839999999993</v>
      </c>
      <c r="K18" s="280">
        <f>'Water-Meter'!E19</f>
        <v>207</v>
      </c>
      <c r="L18" s="621">
        <f>'Lpg (2)'!G23</f>
        <v>143.52800000004356</v>
      </c>
      <c r="M18" s="75" t="e">
        <f>SUM(#REF!-#REF!)</f>
        <v>#REF!</v>
      </c>
    </row>
    <row r="19" spans="1:13">
      <c r="A19" s="630">
        <f>Gen!A25</f>
        <v>44362</v>
      </c>
      <c r="B19" s="620">
        <f>'Daily report Gen'!Z20</f>
        <v>25</v>
      </c>
      <c r="C19" s="83">
        <f>Gen!B25</f>
        <v>0.18</v>
      </c>
      <c r="D19" s="414">
        <f t="shared" si="0"/>
        <v>0</v>
      </c>
      <c r="E19" s="70"/>
      <c r="F19" s="68">
        <f>Gen!U25</f>
        <v>0.41262908177504887</v>
      </c>
      <c r="G19" s="81">
        <f>Gen!T23</f>
        <v>3601</v>
      </c>
      <c r="H19" s="81">
        <f>Gen!AK25</f>
        <v>0</v>
      </c>
      <c r="I19" s="81">
        <f t="shared" si="1"/>
        <v>3601</v>
      </c>
      <c r="J19" s="425">
        <f>Gen!C25</f>
        <v>39878.349999999991</v>
      </c>
      <c r="K19" s="280">
        <f>'Water-Meter'!E20</f>
        <v>222</v>
      </c>
      <c r="L19" s="621">
        <f>'Lpg (2)'!G24</f>
        <v>117.52399999996415</v>
      </c>
      <c r="M19" s="75" t="e">
        <f>SUM(#REF!-#REF!)</f>
        <v>#REF!</v>
      </c>
    </row>
    <row r="20" spans="1:13">
      <c r="A20" s="630">
        <f>Gen!A26</f>
        <v>44363</v>
      </c>
      <c r="B20" s="620">
        <f>'Daily report Gen'!Z21</f>
        <v>25</v>
      </c>
      <c r="C20" s="83">
        <f>Gen!B26</f>
        <v>0.17</v>
      </c>
      <c r="D20" s="414">
        <f t="shared" si="0"/>
        <v>0</v>
      </c>
      <c r="E20" s="70"/>
      <c r="F20" s="68">
        <f>Gen!U26</f>
        <v>0.38456713028668749</v>
      </c>
      <c r="G20" s="81">
        <f>Gen!T24</f>
        <v>3974</v>
      </c>
      <c r="H20" s="81">
        <f>Gen!AK26</f>
        <v>0</v>
      </c>
      <c r="I20" s="81">
        <f t="shared" si="1"/>
        <v>3974</v>
      </c>
      <c r="J20" s="425">
        <f>Gen!C26</f>
        <v>38301.709999999992</v>
      </c>
      <c r="K20" s="280">
        <f>'Water-Meter'!E21</f>
        <v>216</v>
      </c>
      <c r="L20" s="621">
        <f>'Lpg (2)'!G25</f>
        <v>112.02400000002818</v>
      </c>
      <c r="M20" s="75" t="e">
        <f>SUM(#REF!-#REF!)</f>
        <v>#REF!</v>
      </c>
    </row>
    <row r="21" spans="1:13">
      <c r="A21" s="630">
        <f>Gen!A27</f>
        <v>44364</v>
      </c>
      <c r="B21" s="620">
        <f>'Daily report Gen'!Z22</f>
        <v>25</v>
      </c>
      <c r="C21" s="83">
        <f>Gen!B27</f>
        <v>0.16</v>
      </c>
      <c r="D21" s="414">
        <f t="shared" si="0"/>
        <v>0</v>
      </c>
      <c r="E21" s="70"/>
      <c r="F21" s="68">
        <f>Gen!U27</f>
        <v>0.40001511487303509</v>
      </c>
      <c r="G21" s="81">
        <f>Gen!T25</f>
        <v>3583</v>
      </c>
      <c r="H21" s="81">
        <f>Gen!AK27</f>
        <v>0</v>
      </c>
      <c r="I21" s="81">
        <f t="shared" si="1"/>
        <v>3583</v>
      </c>
      <c r="J21" s="425">
        <f>Gen!C27</f>
        <v>36946.87999999999</v>
      </c>
      <c r="K21" s="280">
        <f>'Water-Meter'!E22</f>
        <v>79</v>
      </c>
      <c r="L21" s="621">
        <f>'Lpg (2)'!G26</f>
        <v>129.00799999996673</v>
      </c>
      <c r="M21" s="75" t="e">
        <f>SUM(#REF!-#REF!)</f>
        <v>#REF!</v>
      </c>
    </row>
    <row r="22" spans="1:13">
      <c r="A22" s="630">
        <f>Gen!A28</f>
        <v>44365</v>
      </c>
      <c r="B22" s="620">
        <f>'Daily report Gen'!Z23</f>
        <v>25</v>
      </c>
      <c r="C22" s="83">
        <f>Gen!B28</f>
        <v>0.16</v>
      </c>
      <c r="D22" s="414">
        <f t="shared" si="0"/>
        <v>0</v>
      </c>
      <c r="E22" s="70"/>
      <c r="F22" s="68">
        <f>Gen!U28</f>
        <v>0.42455985915492961</v>
      </c>
      <c r="G22" s="81">
        <f>Gen!T26</f>
        <v>3523</v>
      </c>
      <c r="H22" s="81">
        <f>Gen!AK28</f>
        <v>0</v>
      </c>
      <c r="I22" s="81">
        <f t="shared" si="1"/>
        <v>3523</v>
      </c>
      <c r="J22" s="425">
        <f>Gen!C28</f>
        <v>35594.87999999999</v>
      </c>
      <c r="K22" s="280">
        <f>'Water-Meter'!E23</f>
        <v>77</v>
      </c>
      <c r="L22" s="621">
        <f>'Lpg (2)'!G27</f>
        <v>99.880000000051226</v>
      </c>
      <c r="M22" s="75" t="e">
        <f>SUM(#REF!-#REF!)</f>
        <v>#REF!</v>
      </c>
    </row>
    <row r="23" spans="1:13">
      <c r="A23" s="630">
        <f>Gen!A29</f>
        <v>44366</v>
      </c>
      <c r="B23" s="620">
        <f>'Daily report Gen'!Z24</f>
        <v>24</v>
      </c>
      <c r="C23" s="83">
        <f>Gen!B29</f>
        <v>0.11</v>
      </c>
      <c r="D23" s="414">
        <f t="shared" si="0"/>
        <v>0</v>
      </c>
      <c r="E23" s="70"/>
      <c r="F23" s="68">
        <f>Gen!U29</f>
        <v>0.42113324624428478</v>
      </c>
      <c r="G23" s="81">
        <f>Gen!T27</f>
        <v>3308</v>
      </c>
      <c r="H23" s="81">
        <f>Gen!AK29</f>
        <v>0</v>
      </c>
      <c r="I23" s="81">
        <f t="shared" si="1"/>
        <v>3308</v>
      </c>
      <c r="J23" s="425">
        <f>Gen!C29</f>
        <v>33954.589999999989</v>
      </c>
      <c r="K23" s="280">
        <f>'Water-Meter'!E24</f>
        <v>80</v>
      </c>
      <c r="L23" s="621">
        <f>'Lpg (2)'!G28</f>
        <v>106.52399999996415</v>
      </c>
      <c r="M23" s="75" t="e">
        <f>SUM(#REF!-#REF!)</f>
        <v>#REF!</v>
      </c>
    </row>
    <row r="24" spans="1:13">
      <c r="A24" s="630">
        <f>Gen!A30</f>
        <v>44367</v>
      </c>
      <c r="B24" s="620">
        <f>'Daily report Gen'!Z25</f>
        <v>24</v>
      </c>
      <c r="C24" s="83">
        <f>Gen!B30</f>
        <v>0.05</v>
      </c>
      <c r="D24" s="414">
        <f t="shared" si="0"/>
        <v>0</v>
      </c>
      <c r="E24" s="70"/>
      <c r="F24" s="68">
        <f>Gen!U30</f>
        <v>0.40831384015594541</v>
      </c>
      <c r="G24" s="81">
        <f>Gen!T28</f>
        <v>3408</v>
      </c>
      <c r="H24" s="81">
        <f>Gen!AK30</f>
        <v>0</v>
      </c>
      <c r="I24" s="81">
        <f t="shared" si="1"/>
        <v>3408</v>
      </c>
      <c r="J24" s="425">
        <f>Gen!C30</f>
        <v>32635.079999999991</v>
      </c>
      <c r="K24" s="280">
        <f>'Water-Meter'!E25</f>
        <v>65</v>
      </c>
      <c r="L24" s="621">
        <f>'Lpg (2)'!G29</f>
        <v>120.2520000000077</v>
      </c>
      <c r="M24" s="75" t="e">
        <f>SUM(#REF!-#REF!)</f>
        <v>#REF!</v>
      </c>
    </row>
    <row r="25" spans="1:13">
      <c r="A25" s="630">
        <f>Gen!A31</f>
        <v>44368</v>
      </c>
      <c r="B25" s="620">
        <f>'Daily report Gen'!Z26</f>
        <v>-160909</v>
      </c>
      <c r="C25" s="83">
        <f>Gen!B31</f>
        <v>0</v>
      </c>
      <c r="D25" s="414">
        <f t="shared" si="0"/>
        <v>0</v>
      </c>
      <c r="E25" s="70"/>
      <c r="F25" s="68" t="e">
        <f>Gen!U31</f>
        <v>#DIV/0!</v>
      </c>
      <c r="G25" s="81">
        <f>Gen!T29</f>
        <v>3062</v>
      </c>
      <c r="H25" s="81">
        <f>Gen!AK31</f>
        <v>0</v>
      </c>
      <c r="I25" s="81">
        <f t="shared" si="1"/>
        <v>3062</v>
      </c>
      <c r="J25" s="425">
        <f>Gen!C31</f>
        <v>31378.28999999999</v>
      </c>
      <c r="K25" s="280" t="str">
        <f>'Water-Meter'!E26</f>
        <v>0</v>
      </c>
      <c r="L25" s="621">
        <f>'Lpg (2)'!G30</f>
        <v>77.043999999976961</v>
      </c>
      <c r="M25" s="75" t="e">
        <f>SUM(#REF!-#REF!)</f>
        <v>#REF!</v>
      </c>
    </row>
    <row r="26" spans="1:13">
      <c r="A26" s="630">
        <f>Gen!A32</f>
        <v>44369</v>
      </c>
      <c r="B26" s="620">
        <f>'Daily report Gen'!Z27</f>
        <v>0</v>
      </c>
      <c r="C26" s="83">
        <f>Gen!B32</f>
        <v>0</v>
      </c>
      <c r="D26" s="414">
        <f t="shared" si="0"/>
        <v>0</v>
      </c>
      <c r="E26" s="70"/>
      <c r="F26" s="68" t="e">
        <f>Gen!U32</f>
        <v>#DIV/0!</v>
      </c>
      <c r="G26" s="81">
        <f>Gen!T30</f>
        <v>3078</v>
      </c>
      <c r="H26" s="81">
        <f>Gen!AK32</f>
        <v>0</v>
      </c>
      <c r="I26" s="81">
        <f t="shared" si="1"/>
        <v>3078</v>
      </c>
      <c r="J26" s="425">
        <f>Gen!C32</f>
        <v>31378.28999999999</v>
      </c>
      <c r="K26" s="280">
        <f>'Water-Meter'!E27</f>
        <v>0</v>
      </c>
      <c r="L26" s="621">
        <f>'Lpg (2)'!G31</f>
        <v>-339889.17599999998</v>
      </c>
      <c r="M26" s="75" t="e">
        <f>SUM(#REF!-#REF!)</f>
        <v>#REF!</v>
      </c>
    </row>
    <row r="27" spans="1:13">
      <c r="A27" s="630">
        <f>Gen!A33</f>
        <v>44370</v>
      </c>
      <c r="B27" s="620">
        <f>'Daily report Gen'!Z28</f>
        <v>0</v>
      </c>
      <c r="C27" s="83">
        <f>Gen!B33</f>
        <v>0</v>
      </c>
      <c r="D27" s="414">
        <f t="shared" si="0"/>
        <v>0</v>
      </c>
      <c r="E27" s="70"/>
      <c r="F27" s="68" t="e">
        <f>Gen!U33</f>
        <v>#DIV/0!</v>
      </c>
      <c r="G27" s="81">
        <f>Gen!T31</f>
        <v>0</v>
      </c>
      <c r="H27" s="81">
        <f>Gen!AK33</f>
        <v>0</v>
      </c>
      <c r="I27" s="81">
        <f t="shared" si="1"/>
        <v>0</v>
      </c>
      <c r="J27" s="425">
        <f>Gen!C33</f>
        <v>31378.28999999999</v>
      </c>
      <c r="K27" s="280">
        <f>'Water-Meter'!E28</f>
        <v>0</v>
      </c>
      <c r="L27" s="621">
        <f>'Lpg (2)'!G32</f>
        <v>0</v>
      </c>
      <c r="M27" s="75" t="e">
        <f>SUM(#REF!-#REF!)</f>
        <v>#REF!</v>
      </c>
    </row>
    <row r="28" spans="1:13">
      <c r="A28" s="630">
        <f>Gen!A34</f>
        <v>44371</v>
      </c>
      <c r="B28" s="620">
        <f>'Daily report Gen'!Z29</f>
        <v>0</v>
      </c>
      <c r="C28" s="83">
        <f>Gen!B34</f>
        <v>0</v>
      </c>
      <c r="D28" s="414">
        <f t="shared" si="0"/>
        <v>0</v>
      </c>
      <c r="E28" s="70"/>
      <c r="F28" s="68" t="e">
        <f>Gen!U34</f>
        <v>#DIV/0!</v>
      </c>
      <c r="G28" s="81">
        <f>Gen!T32</f>
        <v>0</v>
      </c>
      <c r="H28" s="81">
        <f>Gen!AK34</f>
        <v>0</v>
      </c>
      <c r="I28" s="81">
        <f t="shared" si="1"/>
        <v>0</v>
      </c>
      <c r="J28" s="425">
        <f>Gen!C34</f>
        <v>31378.28999999999</v>
      </c>
      <c r="K28" s="280">
        <f>'Water-Meter'!E29</f>
        <v>0</v>
      </c>
      <c r="L28" s="621">
        <f>'Lpg (2)'!G33</f>
        <v>0</v>
      </c>
      <c r="M28" s="75" t="e">
        <f>SUM(#REF!-#REF!)</f>
        <v>#REF!</v>
      </c>
    </row>
    <row r="29" spans="1:13">
      <c r="A29" s="630">
        <f>Gen!A35</f>
        <v>44372</v>
      </c>
      <c r="B29" s="620">
        <f>'Daily report Gen'!Z30</f>
        <v>0</v>
      </c>
      <c r="C29" s="83">
        <f>Gen!B35</f>
        <v>0</v>
      </c>
      <c r="D29" s="414">
        <f t="shared" si="0"/>
        <v>0</v>
      </c>
      <c r="E29" s="70"/>
      <c r="F29" s="68" t="e">
        <f>Gen!U35</f>
        <v>#DIV/0!</v>
      </c>
      <c r="G29" s="81">
        <f>Gen!T33</f>
        <v>0</v>
      </c>
      <c r="H29" s="81">
        <f>Gen!AK35</f>
        <v>0</v>
      </c>
      <c r="I29" s="81">
        <f t="shared" si="1"/>
        <v>0</v>
      </c>
      <c r="J29" s="425">
        <f>Gen!C35</f>
        <v>31378.28999999999</v>
      </c>
      <c r="K29" s="280">
        <f>'Water-Meter'!E30</f>
        <v>0</v>
      </c>
      <c r="L29" s="621">
        <f>'Lpg (2)'!G34</f>
        <v>0</v>
      </c>
      <c r="M29" s="75" t="e">
        <f>SUM(#REF!-#REF!)</f>
        <v>#REF!</v>
      </c>
    </row>
    <row r="30" spans="1:13">
      <c r="A30" s="630">
        <f>Gen!A36</f>
        <v>44373</v>
      </c>
      <c r="B30" s="620">
        <f>'Daily report Gen'!Z31</f>
        <v>0</v>
      </c>
      <c r="C30" s="83">
        <f>Gen!B36</f>
        <v>0</v>
      </c>
      <c r="D30" s="414">
        <f t="shared" si="0"/>
        <v>0</v>
      </c>
      <c r="E30" s="70"/>
      <c r="F30" s="68" t="e">
        <f>Gen!U36</f>
        <v>#DIV/0!</v>
      </c>
      <c r="G30" s="81">
        <f>Gen!T34</f>
        <v>0</v>
      </c>
      <c r="H30" s="81">
        <f>Gen!AK36</f>
        <v>0</v>
      </c>
      <c r="I30" s="81">
        <f t="shared" si="1"/>
        <v>0</v>
      </c>
      <c r="J30" s="425">
        <f>Gen!C36</f>
        <v>31378.28999999999</v>
      </c>
      <c r="K30" s="280">
        <f>'Water-Meter'!E31</f>
        <v>0</v>
      </c>
      <c r="L30" s="621">
        <f>'Lpg (2)'!G35</f>
        <v>0</v>
      </c>
      <c r="M30" s="75" t="e">
        <f>SUM(#REF!-#REF!)</f>
        <v>#REF!</v>
      </c>
    </row>
    <row r="31" spans="1:13">
      <c r="A31" s="630">
        <f>Gen!A37</f>
        <v>44374</v>
      </c>
      <c r="B31" s="620">
        <f>'Daily report Gen'!Z32</f>
        <v>0</v>
      </c>
      <c r="C31" s="83">
        <f>Gen!B37</f>
        <v>0</v>
      </c>
      <c r="D31" s="414">
        <f t="shared" si="0"/>
        <v>0</v>
      </c>
      <c r="E31" s="70"/>
      <c r="F31" s="68" t="e">
        <f>Gen!U37</f>
        <v>#DIV/0!</v>
      </c>
      <c r="G31" s="81">
        <f>Gen!T35</f>
        <v>0</v>
      </c>
      <c r="H31" s="81">
        <f>Gen!AK37</f>
        <v>0</v>
      </c>
      <c r="I31" s="81">
        <f t="shared" si="1"/>
        <v>0</v>
      </c>
      <c r="J31" s="425">
        <f>Gen!C37</f>
        <v>31378.28999999999</v>
      </c>
      <c r="K31" s="280">
        <f>'Water-Meter'!E32</f>
        <v>0</v>
      </c>
      <c r="L31" s="621">
        <f>'Lpg (2)'!G36</f>
        <v>0</v>
      </c>
      <c r="M31" s="75" t="e">
        <f>SUM(#REF!-#REF!)</f>
        <v>#REF!</v>
      </c>
    </row>
    <row r="32" spans="1:13">
      <c r="A32" s="630">
        <f>Gen!A38</f>
        <v>44375</v>
      </c>
      <c r="B32" s="620">
        <f>'Daily report Gen'!Z33</f>
        <v>0</v>
      </c>
      <c r="C32" s="83">
        <f>Gen!B38</f>
        <v>0</v>
      </c>
      <c r="D32" s="414">
        <f t="shared" si="0"/>
        <v>0</v>
      </c>
      <c r="E32" s="70"/>
      <c r="F32" s="68" t="e">
        <f>Gen!U38</f>
        <v>#DIV/0!</v>
      </c>
      <c r="G32" s="81">
        <f>Gen!T36</f>
        <v>0</v>
      </c>
      <c r="H32" s="81">
        <f>Gen!AK38</f>
        <v>0</v>
      </c>
      <c r="I32" s="81">
        <f t="shared" si="1"/>
        <v>0</v>
      </c>
      <c r="J32" s="425">
        <f>Gen!C38</f>
        <v>31378.28999999999</v>
      </c>
      <c r="K32" s="280">
        <f>'Water-Meter'!E33</f>
        <v>0</v>
      </c>
      <c r="L32" s="621">
        <f>'Lpg (2)'!G37</f>
        <v>0</v>
      </c>
      <c r="M32" s="75" t="e">
        <f>SUM(#REF!-#REF!)</f>
        <v>#REF!</v>
      </c>
    </row>
    <row r="33" spans="1:13">
      <c r="A33" s="630">
        <f>Gen!A39</f>
        <v>44376</v>
      </c>
      <c r="B33" s="620" t="e">
        <f>'Daily report Gen'!Z34</f>
        <v>#REF!</v>
      </c>
      <c r="C33" s="83">
        <f>Gen!B39</f>
        <v>0</v>
      </c>
      <c r="D33" s="414">
        <f t="shared" si="0"/>
        <v>0</v>
      </c>
      <c r="E33" s="70"/>
      <c r="F33" s="68" t="e">
        <f>Gen!U39</f>
        <v>#DIV/0!</v>
      </c>
      <c r="G33" s="81">
        <f>Gen!T37</f>
        <v>0</v>
      </c>
      <c r="H33" s="81">
        <f>Gen!AK39</f>
        <v>0</v>
      </c>
      <c r="I33" s="81">
        <f t="shared" si="1"/>
        <v>0</v>
      </c>
      <c r="J33" s="425">
        <f>Gen!C39</f>
        <v>31378.28999999999</v>
      </c>
      <c r="K33" s="280">
        <f>'Water-Meter'!E34</f>
        <v>0</v>
      </c>
      <c r="L33" s="621">
        <f>'Lpg (2)'!G38</f>
        <v>0</v>
      </c>
      <c r="M33" s="75" t="e">
        <f>SUM(#REF!-#REF!)</f>
        <v>#REF!</v>
      </c>
    </row>
    <row r="34" spans="1:13">
      <c r="A34" s="630">
        <f>Gen!A40</f>
        <v>44377</v>
      </c>
      <c r="B34" s="620" t="e">
        <f>'Daily report Gen'!Z35</f>
        <v>#REF!</v>
      </c>
      <c r="C34" s="83">
        <f>Gen!B40</f>
        <v>0</v>
      </c>
      <c r="D34" s="414">
        <f t="shared" si="0"/>
        <v>0</v>
      </c>
      <c r="E34" s="70"/>
      <c r="F34" s="68" t="e">
        <f>Gen!U40</f>
        <v>#DIV/0!</v>
      </c>
      <c r="G34" s="81">
        <f>Gen!T38</f>
        <v>0</v>
      </c>
      <c r="H34" s="81">
        <f>Gen!AK40</f>
        <v>0</v>
      </c>
      <c r="I34" s="81">
        <f t="shared" si="1"/>
        <v>0</v>
      </c>
      <c r="J34" s="425">
        <f>Gen!C40</f>
        <v>31378.28999999999</v>
      </c>
      <c r="K34" s="280">
        <f>'Water-Meter'!E35</f>
        <v>0</v>
      </c>
      <c r="L34" s="621">
        <f>'Lpg (2)'!G39</f>
        <v>0</v>
      </c>
      <c r="M34" s="75" t="e">
        <f>SUM(#REF!-#REF!)</f>
        <v>#REF!</v>
      </c>
    </row>
    <row r="35" spans="1:13">
      <c r="A35" s="630">
        <f>Gen!A41</f>
        <v>0</v>
      </c>
      <c r="B35" s="620">
        <f>'Daily report Gen'!Z36</f>
        <v>0</v>
      </c>
      <c r="C35" s="83">
        <f>Gen!B41</f>
        <v>0</v>
      </c>
      <c r="D35" s="414">
        <f t="shared" si="0"/>
        <v>0</v>
      </c>
      <c r="E35" s="70"/>
      <c r="F35" s="68" t="e">
        <f>Gen!U39</f>
        <v>#DIV/0!</v>
      </c>
      <c r="G35" s="81">
        <f>Gen!T39</f>
        <v>0</v>
      </c>
      <c r="H35" s="81">
        <f>Gen!AK41</f>
        <v>0</v>
      </c>
      <c r="I35" s="81">
        <f t="shared" si="1"/>
        <v>0</v>
      </c>
      <c r="J35" s="425">
        <f>Gen!C41</f>
        <v>31378.28999999999</v>
      </c>
      <c r="K35" s="280">
        <f>'Water-Meter'!E36</f>
        <v>0</v>
      </c>
      <c r="L35" s="621">
        <f>'Lpg (2)'!G40</f>
        <v>0</v>
      </c>
      <c r="M35" s="75" t="e">
        <f>SUM(#REF!-#REF!)</f>
        <v>#REF!</v>
      </c>
    </row>
    <row r="36" spans="1:13" ht="13.5" thickBot="1">
      <c r="A36" s="631">
        <f>Gen!A42</f>
        <v>0</v>
      </c>
      <c r="B36" s="622">
        <f>'Daily report Gen'!Z37</f>
        <v>0</v>
      </c>
      <c r="C36" s="623">
        <f>Gen!B42</f>
        <v>0</v>
      </c>
      <c r="D36" s="624">
        <f t="shared" si="0"/>
        <v>0</v>
      </c>
      <c r="E36" s="625"/>
      <c r="F36" s="69" t="e">
        <f>Gen!U40</f>
        <v>#DIV/0!</v>
      </c>
      <c r="G36" s="82">
        <f>Gen!T40</f>
        <v>0</v>
      </c>
      <c r="H36" s="82">
        <f>Gen!AK42</f>
        <v>0</v>
      </c>
      <c r="I36" s="82">
        <f t="shared" si="1"/>
        <v>0</v>
      </c>
      <c r="J36" s="626">
        <f>Gen!C42</f>
        <v>31378.28999999999</v>
      </c>
      <c r="K36" s="627">
        <f>'Water-Meter'!E37</f>
        <v>0</v>
      </c>
      <c r="L36" s="628">
        <f>'Lpg (2)'!G41</f>
        <v>0</v>
      </c>
    </row>
    <row r="38" spans="1:13">
      <c r="B38" s="79"/>
    </row>
    <row r="39" spans="1:13">
      <c r="B39" s="79"/>
      <c r="C39" s="79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38"/>
  <sheetViews>
    <sheetView workbookViewId="0">
      <pane xSplit="1" topLeftCell="B10" activePane="topRight" state="frozen"/>
      <selection pane="topRight" activeCell="AB29" sqref="AB29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51">
        <f>A6</f>
        <v>44348</v>
      </c>
      <c r="B1" s="852"/>
      <c r="C1" s="852"/>
      <c r="D1" s="852"/>
      <c r="E1" s="852"/>
      <c r="F1" s="852"/>
      <c r="G1" s="852"/>
      <c r="H1" s="852"/>
      <c r="I1" s="852"/>
      <c r="J1" s="852"/>
      <c r="K1" s="852"/>
      <c r="L1" s="852"/>
      <c r="M1" s="852"/>
      <c r="N1" s="852"/>
      <c r="O1" s="852"/>
      <c r="P1" s="852"/>
      <c r="Q1" s="852"/>
      <c r="R1" s="852"/>
      <c r="S1" s="852"/>
      <c r="T1" s="852"/>
      <c r="U1" s="852"/>
      <c r="V1" s="852"/>
      <c r="W1" s="852"/>
      <c r="X1" s="852"/>
      <c r="Y1" s="852"/>
      <c r="Z1" s="852"/>
      <c r="AA1" s="852"/>
      <c r="AB1" s="852"/>
    </row>
    <row r="2" spans="1:29" ht="12" customHeight="1" thickBot="1">
      <c r="A2" s="852"/>
      <c r="B2" s="852"/>
      <c r="C2" s="852"/>
      <c r="D2" s="852"/>
      <c r="E2" s="852"/>
      <c r="F2" s="852"/>
      <c r="G2" s="852"/>
      <c r="H2" s="852"/>
      <c r="I2" s="852"/>
      <c r="J2" s="852"/>
      <c r="K2" s="852"/>
      <c r="L2" s="852"/>
      <c r="M2" s="852"/>
      <c r="N2" s="852"/>
      <c r="O2" s="852"/>
      <c r="P2" s="852"/>
      <c r="Q2" s="852"/>
      <c r="R2" s="852"/>
      <c r="S2" s="852"/>
      <c r="T2" s="852"/>
      <c r="U2" s="852"/>
      <c r="V2" s="852"/>
      <c r="W2" s="852"/>
      <c r="X2" s="852"/>
      <c r="Y2" s="852"/>
      <c r="Z2" s="852"/>
      <c r="AA2" s="852"/>
      <c r="AB2" s="852"/>
    </row>
    <row r="3" spans="1:29" ht="27.75" customHeight="1" thickBot="1">
      <c r="I3" s="36"/>
      <c r="K3" s="853" t="s">
        <v>133</v>
      </c>
      <c r="L3" s="854"/>
      <c r="M3" s="855"/>
      <c r="N3" s="853" t="s">
        <v>134</v>
      </c>
      <c r="O3" s="854"/>
      <c r="P3" s="855"/>
      <c r="Q3" s="853" t="s">
        <v>135</v>
      </c>
      <c r="R3" s="854"/>
      <c r="S3" s="855"/>
      <c r="T3" s="853" t="s">
        <v>136</v>
      </c>
      <c r="U3" s="854"/>
      <c r="V3" s="855"/>
      <c r="W3" s="853" t="s">
        <v>137</v>
      </c>
      <c r="X3" s="854"/>
      <c r="Y3" s="855"/>
      <c r="Z3" s="10"/>
    </row>
    <row r="4" spans="1:29" ht="35.25" customHeight="1" thickBot="1">
      <c r="A4" s="248" t="s">
        <v>138</v>
      </c>
      <c r="B4" s="804" t="s">
        <v>139</v>
      </c>
      <c r="C4" s="804" t="s">
        <v>140</v>
      </c>
      <c r="D4" s="804" t="s">
        <v>141</v>
      </c>
      <c r="E4" s="804" t="s">
        <v>142</v>
      </c>
      <c r="F4" s="804" t="s">
        <v>143</v>
      </c>
      <c r="G4" s="807" t="s">
        <v>144</v>
      </c>
      <c r="H4" s="804" t="s">
        <v>145</v>
      </c>
      <c r="I4" s="807" t="s">
        <v>146</v>
      </c>
      <c r="J4" s="812" t="s">
        <v>147</v>
      </c>
      <c r="K4" s="319" t="s">
        <v>148</v>
      </c>
      <c r="L4" s="317" t="s">
        <v>149</v>
      </c>
      <c r="M4" s="317" t="s">
        <v>150</v>
      </c>
      <c r="N4" s="319" t="s">
        <v>148</v>
      </c>
      <c r="O4" s="317" t="s">
        <v>149</v>
      </c>
      <c r="P4" s="317" t="s">
        <v>150</v>
      </c>
      <c r="Q4" s="779" t="s">
        <v>148</v>
      </c>
      <c r="R4" s="322" t="s">
        <v>149</v>
      </c>
      <c r="S4" s="780" t="s">
        <v>150</v>
      </c>
      <c r="T4" s="319" t="s">
        <v>148</v>
      </c>
      <c r="U4" s="317" t="s">
        <v>149</v>
      </c>
      <c r="V4" s="317" t="s">
        <v>150</v>
      </c>
      <c r="W4" s="319" t="s">
        <v>148</v>
      </c>
      <c r="X4" s="317" t="s">
        <v>149</v>
      </c>
      <c r="Y4" s="318" t="s">
        <v>150</v>
      </c>
      <c r="Z4" s="320" t="s">
        <v>151</v>
      </c>
      <c r="AA4" s="316" t="s">
        <v>152</v>
      </c>
      <c r="AB4" s="321" t="s">
        <v>153</v>
      </c>
      <c r="AC4" s="322" t="s">
        <v>154</v>
      </c>
    </row>
    <row r="5" spans="1:29" ht="18.75" customHeight="1" thickBot="1">
      <c r="A5" s="808"/>
      <c r="B5" s="806"/>
      <c r="C5" s="642">
        <v>9229.34</v>
      </c>
      <c r="D5" s="642">
        <v>22273</v>
      </c>
      <c r="E5" s="806"/>
      <c r="F5" s="806"/>
      <c r="G5" s="806"/>
      <c r="H5" s="806"/>
      <c r="I5" s="289">
        <v>32141.7</v>
      </c>
      <c r="J5" s="641">
        <v>21428.7</v>
      </c>
      <c r="K5" s="810"/>
      <c r="L5" s="289">
        <v>36455</v>
      </c>
      <c r="M5" s="646"/>
      <c r="N5" s="58"/>
      <c r="O5" s="737">
        <v>31370</v>
      </c>
      <c r="P5" s="647"/>
      <c r="Q5" s="58"/>
      <c r="R5" s="289">
        <v>36664</v>
      </c>
      <c r="S5" s="647"/>
      <c r="T5" s="58"/>
      <c r="U5" s="289">
        <v>33879</v>
      </c>
      <c r="V5" s="647"/>
      <c r="W5" s="58"/>
      <c r="X5" s="58">
        <v>22034</v>
      </c>
      <c r="Y5" s="647"/>
      <c r="Z5" s="647"/>
      <c r="AA5" s="6">
        <v>245</v>
      </c>
      <c r="AB5" s="6">
        <v>130</v>
      </c>
      <c r="AC5" s="648"/>
    </row>
    <row r="6" spans="1:29" ht="20.100000000000001" customHeight="1" thickBot="1">
      <c r="A6" s="809">
        <f>Gen!A11</f>
        <v>44348</v>
      </c>
      <c r="B6" s="806"/>
      <c r="C6" s="805">
        <v>24205.35</v>
      </c>
      <c r="D6">
        <v>22273</v>
      </c>
      <c r="E6" s="497"/>
      <c r="G6">
        <v>21</v>
      </c>
      <c r="I6">
        <v>32147.7</v>
      </c>
      <c r="J6" s="16">
        <v>21432.6</v>
      </c>
      <c r="K6" s="811">
        <f>L5</f>
        <v>36455</v>
      </c>
      <c r="L6" s="289">
        <v>36455</v>
      </c>
      <c r="M6" s="288">
        <f>L6-K6</f>
        <v>0</v>
      </c>
      <c r="N6" s="290">
        <f>O5</f>
        <v>31370</v>
      </c>
      <c r="O6" s="737">
        <v>31390</v>
      </c>
      <c r="P6" s="288">
        <f>O6-N6</f>
        <v>20</v>
      </c>
      <c r="Q6" s="288">
        <f>R5</f>
        <v>36664</v>
      </c>
      <c r="R6" s="289">
        <v>36664</v>
      </c>
      <c r="S6" s="288">
        <f>R6-Q6</f>
        <v>0</v>
      </c>
      <c r="T6" s="288">
        <f>U5</f>
        <v>33879</v>
      </c>
      <c r="U6" s="737">
        <v>33879</v>
      </c>
      <c r="V6" s="288">
        <f>U6-T6</f>
        <v>0</v>
      </c>
      <c r="W6" s="290">
        <f>X5</f>
        <v>22034</v>
      </c>
      <c r="X6" s="58">
        <v>22034</v>
      </c>
      <c r="Y6" s="288">
        <f>X6-W6</f>
        <v>0</v>
      </c>
      <c r="Z6" s="291">
        <f>Y6+V6+S6+P6+M6</f>
        <v>20</v>
      </c>
      <c r="AA6" s="6">
        <v>255</v>
      </c>
      <c r="AB6" s="6">
        <v>135</v>
      </c>
      <c r="AC6" s="650">
        <f>Gen!AR11</f>
        <v>1185.5999999999999</v>
      </c>
    </row>
    <row r="7" spans="1:29" ht="20.100000000000001" customHeight="1" thickBot="1">
      <c r="A7" s="809">
        <f>Gen!A12</f>
        <v>44349</v>
      </c>
      <c r="B7" s="806"/>
      <c r="C7" s="805">
        <v>23019.75</v>
      </c>
      <c r="D7">
        <v>22273</v>
      </c>
      <c r="E7" s="497"/>
      <c r="G7">
        <v>70.680000000000007</v>
      </c>
      <c r="I7">
        <v>32153.599999999999</v>
      </c>
      <c r="J7" s="803">
        <v>21436.3</v>
      </c>
      <c r="K7" s="811">
        <f t="shared" ref="K7:K37" si="0">L6</f>
        <v>36455</v>
      </c>
      <c r="L7" s="289">
        <v>36472</v>
      </c>
      <c r="M7" s="288">
        <f t="shared" ref="M7:M37" si="1">L7-K7</f>
        <v>17</v>
      </c>
      <c r="N7" s="290">
        <f t="shared" ref="N7:N37" si="2">O6</f>
        <v>31390</v>
      </c>
      <c r="O7" s="737">
        <v>31390</v>
      </c>
      <c r="P7" s="288">
        <f t="shared" ref="P7:P37" si="3">O7-N7</f>
        <v>0</v>
      </c>
      <c r="Q7" s="288">
        <f t="shared" ref="Q7:Q37" si="4">R6</f>
        <v>36664</v>
      </c>
      <c r="R7" s="289">
        <v>36675</v>
      </c>
      <c r="S7" s="288">
        <f t="shared" ref="S7:S37" si="5">R7-Q7</f>
        <v>11</v>
      </c>
      <c r="T7" s="288">
        <f t="shared" ref="T7:T37" si="6">U6</f>
        <v>33879</v>
      </c>
      <c r="U7" s="737">
        <v>33894</v>
      </c>
      <c r="V7" s="288">
        <f t="shared" ref="V7:V37" si="7">U7-T7</f>
        <v>15</v>
      </c>
      <c r="W7" s="290">
        <f t="shared" ref="W7:W37" si="8">X6</f>
        <v>22034</v>
      </c>
      <c r="X7" s="58">
        <v>22034</v>
      </c>
      <c r="Y7" s="288">
        <f t="shared" ref="Y7:Y37" si="9">X7-W7</f>
        <v>0</v>
      </c>
      <c r="Z7" s="291">
        <f t="shared" ref="Z7:Z25" si="10">Y7+V7+S7+P7+M7</f>
        <v>43</v>
      </c>
      <c r="AA7" s="6">
        <v>265</v>
      </c>
      <c r="AB7" s="6">
        <v>175</v>
      </c>
      <c r="AC7" s="650">
        <f>Gen!AR12</f>
        <v>1732.3600000000004</v>
      </c>
    </row>
    <row r="8" spans="1:29" ht="20.100000000000001" customHeight="1" thickBot="1">
      <c r="A8" s="809">
        <f>Gen!A13</f>
        <v>44350</v>
      </c>
      <c r="B8" s="806"/>
      <c r="C8" s="805">
        <v>21287.39</v>
      </c>
      <c r="D8">
        <v>22273</v>
      </c>
      <c r="E8" s="497"/>
      <c r="F8" s="805"/>
      <c r="G8">
        <v>266.02999999999997</v>
      </c>
      <c r="I8">
        <v>32159.5</v>
      </c>
      <c r="J8" s="803">
        <v>21440.2</v>
      </c>
      <c r="K8" s="811">
        <f t="shared" si="0"/>
        <v>36472</v>
      </c>
      <c r="L8" s="289">
        <v>36486</v>
      </c>
      <c r="M8" s="288">
        <f t="shared" si="1"/>
        <v>14</v>
      </c>
      <c r="N8" s="290">
        <f t="shared" si="2"/>
        <v>31390</v>
      </c>
      <c r="O8" s="737">
        <v>31401</v>
      </c>
      <c r="P8" s="288">
        <f t="shared" si="3"/>
        <v>11</v>
      </c>
      <c r="Q8" s="288">
        <f t="shared" si="4"/>
        <v>36675</v>
      </c>
      <c r="R8" s="289">
        <v>36675</v>
      </c>
      <c r="S8" s="288">
        <f t="shared" si="5"/>
        <v>0</v>
      </c>
      <c r="T8" s="288">
        <f t="shared" si="6"/>
        <v>33894</v>
      </c>
      <c r="U8" s="737">
        <v>33894</v>
      </c>
      <c r="V8" s="288">
        <f t="shared" si="7"/>
        <v>0</v>
      </c>
      <c r="W8" s="290">
        <f t="shared" si="8"/>
        <v>22034</v>
      </c>
      <c r="X8" s="58">
        <v>22034</v>
      </c>
      <c r="Y8" s="288">
        <f t="shared" si="9"/>
        <v>0</v>
      </c>
      <c r="Z8" s="291">
        <f t="shared" si="10"/>
        <v>25</v>
      </c>
      <c r="AA8" s="6">
        <v>280</v>
      </c>
      <c r="AB8" s="6">
        <v>150</v>
      </c>
      <c r="AC8" s="650">
        <f>Gen!AR13</f>
        <v>1644.81</v>
      </c>
    </row>
    <row r="9" spans="1:29" ht="20.100000000000001" customHeight="1" thickBot="1">
      <c r="A9" s="809">
        <f>Gen!A14</f>
        <v>44351</v>
      </c>
      <c r="B9" s="806"/>
      <c r="C9" s="805">
        <v>19642.580000000002</v>
      </c>
      <c r="D9">
        <v>22273</v>
      </c>
      <c r="E9" s="497"/>
      <c r="G9">
        <v>123.11</v>
      </c>
      <c r="I9">
        <v>32165.7</v>
      </c>
      <c r="J9" s="803">
        <v>21444.2</v>
      </c>
      <c r="K9" s="811">
        <f t="shared" si="0"/>
        <v>36486</v>
      </c>
      <c r="L9" s="289">
        <v>36486</v>
      </c>
      <c r="M9" s="288">
        <f t="shared" si="1"/>
        <v>0</v>
      </c>
      <c r="N9" s="290">
        <f t="shared" si="2"/>
        <v>31401</v>
      </c>
      <c r="O9" s="737">
        <v>31401</v>
      </c>
      <c r="P9" s="288">
        <f t="shared" si="3"/>
        <v>0</v>
      </c>
      <c r="Q9" s="288">
        <f t="shared" si="4"/>
        <v>36675</v>
      </c>
      <c r="R9" s="289">
        <v>36675</v>
      </c>
      <c r="S9" s="288">
        <f t="shared" si="5"/>
        <v>0</v>
      </c>
      <c r="T9" s="288">
        <f t="shared" si="6"/>
        <v>33894</v>
      </c>
      <c r="U9" s="737">
        <v>33908</v>
      </c>
      <c r="V9" s="288">
        <f t="shared" si="7"/>
        <v>14</v>
      </c>
      <c r="W9" s="290">
        <f t="shared" si="8"/>
        <v>22034</v>
      </c>
      <c r="X9" s="58">
        <v>22045</v>
      </c>
      <c r="Y9" s="288">
        <f t="shared" si="9"/>
        <v>11</v>
      </c>
      <c r="Z9" s="291">
        <f t="shared" si="10"/>
        <v>25</v>
      </c>
      <c r="AA9" s="6">
        <v>290</v>
      </c>
      <c r="AB9" s="6">
        <v>160</v>
      </c>
      <c r="AC9" s="650">
        <f>Gen!AR14</f>
        <v>1506.23</v>
      </c>
    </row>
    <row r="10" spans="1:29" ht="20.100000000000001" customHeight="1" thickBot="1">
      <c r="A10" s="809">
        <f>Gen!A15</f>
        <v>44352</v>
      </c>
      <c r="B10" s="806"/>
      <c r="C10" s="805">
        <v>18136.349999999999</v>
      </c>
      <c r="D10">
        <v>22273</v>
      </c>
      <c r="E10" s="497"/>
      <c r="G10">
        <v>79.11</v>
      </c>
      <c r="I10">
        <v>32171.9</v>
      </c>
      <c r="J10" s="803">
        <v>21448.1</v>
      </c>
      <c r="K10" s="811">
        <f t="shared" si="0"/>
        <v>36486</v>
      </c>
      <c r="L10" s="289">
        <v>36486</v>
      </c>
      <c r="M10" s="288">
        <f t="shared" si="1"/>
        <v>0</v>
      </c>
      <c r="N10" s="290">
        <f t="shared" si="2"/>
        <v>31401</v>
      </c>
      <c r="O10" s="6">
        <v>31401</v>
      </c>
      <c r="P10" s="288">
        <f t="shared" si="3"/>
        <v>0</v>
      </c>
      <c r="Q10" s="288">
        <f t="shared" si="4"/>
        <v>36675</v>
      </c>
      <c r="R10" s="289">
        <v>36690</v>
      </c>
      <c r="S10" s="288">
        <f t="shared" si="5"/>
        <v>15</v>
      </c>
      <c r="T10" s="288">
        <f t="shared" si="6"/>
        <v>33908</v>
      </c>
      <c r="U10" s="737">
        <v>33908</v>
      </c>
      <c r="V10" s="288">
        <f t="shared" si="7"/>
        <v>0</v>
      </c>
      <c r="W10" s="290">
        <f t="shared" si="8"/>
        <v>22045</v>
      </c>
      <c r="X10" s="58">
        <v>22055</v>
      </c>
      <c r="Y10" s="288">
        <f t="shared" si="9"/>
        <v>10</v>
      </c>
      <c r="Z10" s="291">
        <f t="shared" si="10"/>
        <v>25</v>
      </c>
      <c r="AA10" s="6">
        <v>285</v>
      </c>
      <c r="AB10" s="6">
        <v>150</v>
      </c>
      <c r="AC10" s="650">
        <f>Gen!AR15</f>
        <v>1549.1499999999999</v>
      </c>
    </row>
    <row r="11" spans="1:29" ht="20.100000000000001" customHeight="1" thickBot="1">
      <c r="A11" s="809">
        <f>Gen!A16</f>
        <v>44353</v>
      </c>
      <c r="B11" s="806"/>
      <c r="C11" s="805">
        <v>16587.2</v>
      </c>
      <c r="D11">
        <v>22273</v>
      </c>
      <c r="E11" s="497"/>
      <c r="G11">
        <v>183.75</v>
      </c>
      <c r="I11">
        <v>32177.8</v>
      </c>
      <c r="J11" s="803">
        <v>21451.1</v>
      </c>
      <c r="K11" s="811">
        <f t="shared" si="0"/>
        <v>36486</v>
      </c>
      <c r="L11" s="289">
        <v>36500</v>
      </c>
      <c r="M11" s="288">
        <f t="shared" si="1"/>
        <v>14</v>
      </c>
      <c r="N11" s="290">
        <f t="shared" si="2"/>
        <v>31401</v>
      </c>
      <c r="O11" s="6">
        <v>31401</v>
      </c>
      <c r="P11" s="288">
        <f t="shared" si="3"/>
        <v>0</v>
      </c>
      <c r="Q11" s="288">
        <f t="shared" si="4"/>
        <v>36690</v>
      </c>
      <c r="R11" s="289">
        <v>36690</v>
      </c>
      <c r="S11" s="288">
        <f t="shared" si="5"/>
        <v>0</v>
      </c>
      <c r="T11" s="288">
        <f t="shared" si="6"/>
        <v>33908</v>
      </c>
      <c r="U11" s="737">
        <v>33908</v>
      </c>
      <c r="V11" s="288">
        <f t="shared" si="7"/>
        <v>0</v>
      </c>
      <c r="W11" s="290">
        <f t="shared" si="8"/>
        <v>22055</v>
      </c>
      <c r="X11" s="58">
        <v>22065</v>
      </c>
      <c r="Y11" s="288">
        <f t="shared" si="9"/>
        <v>10</v>
      </c>
      <c r="Z11" s="291">
        <f t="shared" si="10"/>
        <v>24</v>
      </c>
      <c r="AA11" s="6">
        <v>295</v>
      </c>
      <c r="AB11" s="6">
        <v>160</v>
      </c>
      <c r="AC11" s="650">
        <f>Gen!AR16</f>
        <v>1522.71</v>
      </c>
    </row>
    <row r="12" spans="1:29" ht="20.100000000000001" customHeight="1" thickBot="1">
      <c r="A12" s="809">
        <f>Gen!A17</f>
        <v>44354</v>
      </c>
      <c r="B12" s="806"/>
      <c r="C12" s="805">
        <v>15064.49</v>
      </c>
      <c r="D12">
        <v>22273</v>
      </c>
      <c r="E12" s="497"/>
      <c r="G12">
        <v>104.57</v>
      </c>
      <c r="I12">
        <v>32184.3</v>
      </c>
      <c r="J12" s="803">
        <v>21455.3</v>
      </c>
      <c r="K12" s="811">
        <f t="shared" si="0"/>
        <v>36500</v>
      </c>
      <c r="L12" s="289">
        <v>36500</v>
      </c>
      <c r="M12" s="288">
        <f t="shared" si="1"/>
        <v>0</v>
      </c>
      <c r="N12" s="290">
        <f t="shared" si="2"/>
        <v>31401</v>
      </c>
      <c r="O12" s="6">
        <v>31425</v>
      </c>
      <c r="P12" s="288">
        <f t="shared" si="3"/>
        <v>24</v>
      </c>
      <c r="Q12" s="288">
        <f t="shared" si="4"/>
        <v>36690</v>
      </c>
      <c r="R12" s="289">
        <v>36690</v>
      </c>
      <c r="S12" s="288">
        <f t="shared" si="5"/>
        <v>0</v>
      </c>
      <c r="T12" s="288">
        <f t="shared" si="6"/>
        <v>33908</v>
      </c>
      <c r="U12" s="6">
        <v>33908</v>
      </c>
      <c r="V12" s="288">
        <f t="shared" si="7"/>
        <v>0</v>
      </c>
      <c r="W12" s="290">
        <f t="shared" si="8"/>
        <v>22065</v>
      </c>
      <c r="X12" s="58">
        <v>22065</v>
      </c>
      <c r="Y12" s="288">
        <f t="shared" si="9"/>
        <v>0</v>
      </c>
      <c r="Z12" s="291">
        <f t="shared" si="10"/>
        <v>24</v>
      </c>
      <c r="AA12" s="6">
        <v>290</v>
      </c>
      <c r="AB12" s="6">
        <v>145</v>
      </c>
      <c r="AC12" s="650">
        <f>Gen!AR17</f>
        <v>1472.77</v>
      </c>
    </row>
    <row r="13" spans="1:29" ht="20.100000000000001" customHeight="1" thickBot="1">
      <c r="A13" s="809">
        <f>Gen!A18</f>
        <v>44355</v>
      </c>
      <c r="B13" s="806"/>
      <c r="C13" s="805">
        <v>13591.72</v>
      </c>
      <c r="D13">
        <v>22273</v>
      </c>
      <c r="E13" s="497"/>
      <c r="I13">
        <v>32190.6</v>
      </c>
      <c r="J13" s="803">
        <v>21458.5</v>
      </c>
      <c r="K13" s="811">
        <f t="shared" si="0"/>
        <v>36500</v>
      </c>
      <c r="L13" s="289">
        <v>36500</v>
      </c>
      <c r="M13" s="288">
        <f t="shared" si="1"/>
        <v>0</v>
      </c>
      <c r="N13" s="290">
        <f t="shared" si="2"/>
        <v>31425</v>
      </c>
      <c r="O13" s="6">
        <v>31425</v>
      </c>
      <c r="P13" s="288">
        <f>O14-N13</f>
        <v>0</v>
      </c>
      <c r="Q13" s="288">
        <f t="shared" si="4"/>
        <v>36690</v>
      </c>
      <c r="R13" s="6">
        <v>36704</v>
      </c>
      <c r="S13" s="288">
        <f t="shared" si="5"/>
        <v>14</v>
      </c>
      <c r="T13" s="288">
        <f t="shared" si="6"/>
        <v>33908</v>
      </c>
      <c r="U13" s="6">
        <v>33908</v>
      </c>
      <c r="V13" s="288">
        <f t="shared" si="7"/>
        <v>0</v>
      </c>
      <c r="W13" s="290">
        <f t="shared" si="8"/>
        <v>22065</v>
      </c>
      <c r="X13" s="58">
        <v>22075</v>
      </c>
      <c r="Y13" s="288">
        <f t="shared" si="9"/>
        <v>10</v>
      </c>
      <c r="Z13" s="291">
        <f t="shared" si="10"/>
        <v>24</v>
      </c>
      <c r="AA13" s="6">
        <v>285</v>
      </c>
      <c r="AB13" s="6">
        <v>140</v>
      </c>
      <c r="AC13" s="650">
        <f>Gen!AR18</f>
        <v>1347.61</v>
      </c>
    </row>
    <row r="14" spans="1:29" ht="20.100000000000001" customHeight="1" thickBot="1">
      <c r="A14" s="809">
        <f>Gen!A19</f>
        <v>44356</v>
      </c>
      <c r="B14" s="806"/>
      <c r="C14" s="805">
        <v>12244.11</v>
      </c>
      <c r="D14">
        <v>22273</v>
      </c>
      <c r="E14" s="497"/>
      <c r="G14">
        <v>146.75</v>
      </c>
      <c r="I14">
        <v>32196.6</v>
      </c>
      <c r="J14" s="803">
        <v>21461.599999999999</v>
      </c>
      <c r="K14" s="811">
        <f t="shared" si="0"/>
        <v>36500</v>
      </c>
      <c r="L14" s="289">
        <v>36500</v>
      </c>
      <c r="M14" s="288">
        <f t="shared" si="1"/>
        <v>0</v>
      </c>
      <c r="N14" s="290">
        <f>O14</f>
        <v>31425</v>
      </c>
      <c r="O14" s="6">
        <v>31425</v>
      </c>
      <c r="P14" s="288">
        <f t="shared" ref="P14:P15" si="11">O15-N14</f>
        <v>16</v>
      </c>
      <c r="Q14" s="288">
        <f t="shared" si="4"/>
        <v>36704</v>
      </c>
      <c r="R14" s="6">
        <v>36704</v>
      </c>
      <c r="S14" s="288">
        <f t="shared" si="5"/>
        <v>0</v>
      </c>
      <c r="T14" s="288">
        <f>U13</f>
        <v>33908</v>
      </c>
      <c r="U14" s="6">
        <v>33923</v>
      </c>
      <c r="V14" s="288">
        <f t="shared" si="7"/>
        <v>15</v>
      </c>
      <c r="W14" s="290">
        <f t="shared" si="8"/>
        <v>22075</v>
      </c>
      <c r="X14" s="58">
        <v>22085</v>
      </c>
      <c r="Y14" s="288">
        <f t="shared" si="9"/>
        <v>10</v>
      </c>
      <c r="Z14" s="291">
        <f t="shared" si="10"/>
        <v>41</v>
      </c>
      <c r="AA14" s="6">
        <v>290</v>
      </c>
      <c r="AB14" s="6">
        <v>130</v>
      </c>
      <c r="AC14" s="650">
        <f>Gen!AR19</f>
        <v>1410.3</v>
      </c>
    </row>
    <row r="15" spans="1:29" ht="20.100000000000001" customHeight="1" thickBot="1">
      <c r="A15" s="809">
        <f>Gen!A20</f>
        <v>44357</v>
      </c>
      <c r="B15" s="806"/>
      <c r="C15" s="805">
        <v>10833.81</v>
      </c>
      <c r="D15">
        <v>22273</v>
      </c>
      <c r="E15" s="497"/>
      <c r="G15" s="401">
        <v>45.94</v>
      </c>
      <c r="I15">
        <v>32202.6</v>
      </c>
      <c r="J15" s="803">
        <v>21465.200000000001</v>
      </c>
      <c r="K15" s="811">
        <f t="shared" si="0"/>
        <v>36500</v>
      </c>
      <c r="L15" s="289">
        <v>36509</v>
      </c>
      <c r="M15" s="288">
        <f t="shared" si="1"/>
        <v>9</v>
      </c>
      <c r="N15" s="290">
        <f t="shared" ref="N15:N16" si="12">O15</f>
        <v>31441</v>
      </c>
      <c r="O15" s="6">
        <v>31441</v>
      </c>
      <c r="P15" s="288">
        <f t="shared" si="11"/>
        <v>14</v>
      </c>
      <c r="Q15" s="288">
        <f t="shared" si="4"/>
        <v>36704</v>
      </c>
      <c r="R15" s="6">
        <v>36704</v>
      </c>
      <c r="S15" s="288">
        <f t="shared" si="5"/>
        <v>0</v>
      </c>
      <c r="T15" s="288">
        <f>U14</f>
        <v>33923</v>
      </c>
      <c r="U15" s="6">
        <v>33923</v>
      </c>
      <c r="V15" s="288">
        <f t="shared" si="7"/>
        <v>0</v>
      </c>
      <c r="W15" s="290">
        <f t="shared" si="8"/>
        <v>22085</v>
      </c>
      <c r="X15" s="58">
        <v>22085</v>
      </c>
      <c r="Y15" s="288">
        <f t="shared" si="9"/>
        <v>0</v>
      </c>
      <c r="Z15" s="291">
        <f t="shared" si="10"/>
        <v>23</v>
      </c>
      <c r="AA15" s="6">
        <v>280</v>
      </c>
      <c r="AB15" s="6">
        <v>145</v>
      </c>
      <c r="AC15" s="650">
        <f>Gen!AR20</f>
        <v>1371.78</v>
      </c>
    </row>
    <row r="16" spans="1:29" ht="20.100000000000001" customHeight="1" thickBot="1">
      <c r="A16" s="809">
        <f>Gen!A21</f>
        <v>44358</v>
      </c>
      <c r="B16" s="806"/>
      <c r="C16" s="805">
        <v>9462.0300000000007</v>
      </c>
      <c r="D16">
        <v>22273</v>
      </c>
      <c r="E16" s="497"/>
      <c r="I16">
        <v>32280.799999999999</v>
      </c>
      <c r="J16" s="803">
        <v>21469.200000000001</v>
      </c>
      <c r="K16" s="811">
        <f t="shared" si="0"/>
        <v>36509</v>
      </c>
      <c r="L16" s="289">
        <v>36509</v>
      </c>
      <c r="M16" s="288">
        <f>L16-K16</f>
        <v>0</v>
      </c>
      <c r="N16" s="290">
        <f t="shared" si="12"/>
        <v>31455</v>
      </c>
      <c r="O16" s="6">
        <v>31455</v>
      </c>
      <c r="P16" s="288">
        <f t="shared" si="3"/>
        <v>0</v>
      </c>
      <c r="Q16" s="288">
        <f t="shared" si="4"/>
        <v>36704</v>
      </c>
      <c r="R16" s="6">
        <v>36714</v>
      </c>
      <c r="S16" s="288">
        <f t="shared" si="5"/>
        <v>10</v>
      </c>
      <c r="T16" s="288">
        <f>U14</f>
        <v>33923</v>
      </c>
      <c r="U16" s="6">
        <v>33923</v>
      </c>
      <c r="V16" s="288">
        <f t="shared" si="7"/>
        <v>0</v>
      </c>
      <c r="W16" s="290">
        <f t="shared" si="8"/>
        <v>22085</v>
      </c>
      <c r="X16" s="58">
        <v>22085</v>
      </c>
      <c r="Y16" s="288">
        <f t="shared" si="9"/>
        <v>0</v>
      </c>
      <c r="Z16" s="291">
        <f t="shared" si="10"/>
        <v>10</v>
      </c>
      <c r="AA16" s="6">
        <v>270</v>
      </c>
      <c r="AB16" s="6">
        <v>150</v>
      </c>
      <c r="AC16" s="650">
        <f>Gen!AR21</f>
        <v>1436.84</v>
      </c>
    </row>
    <row r="17" spans="1:29" ht="20.100000000000001" customHeight="1" thickBot="1">
      <c r="A17" s="809">
        <f>Gen!A22</f>
        <v>44359</v>
      </c>
      <c r="B17" s="806"/>
      <c r="C17" s="805">
        <v>8025.19</v>
      </c>
      <c r="D17">
        <v>22273</v>
      </c>
      <c r="E17" s="497"/>
      <c r="G17">
        <v>317.36</v>
      </c>
      <c r="I17">
        <v>32215.1</v>
      </c>
      <c r="J17" s="803">
        <v>21475.9</v>
      </c>
      <c r="K17" s="811">
        <f>L16</f>
        <v>36509</v>
      </c>
      <c r="L17" s="289">
        <v>36520</v>
      </c>
      <c r="M17" s="288">
        <f>L17-K17</f>
        <v>11</v>
      </c>
      <c r="N17" s="290">
        <f t="shared" si="2"/>
        <v>31455</v>
      </c>
      <c r="O17" s="6">
        <v>31455</v>
      </c>
      <c r="P17" s="288">
        <f t="shared" si="3"/>
        <v>0</v>
      </c>
      <c r="Q17" s="288">
        <f t="shared" si="4"/>
        <v>36714</v>
      </c>
      <c r="R17" s="6">
        <v>36714</v>
      </c>
      <c r="S17" s="288">
        <f t="shared" si="5"/>
        <v>0</v>
      </c>
      <c r="T17" s="288">
        <f t="shared" si="6"/>
        <v>33923</v>
      </c>
      <c r="U17" s="6">
        <v>33923</v>
      </c>
      <c r="V17" s="288">
        <f t="shared" si="7"/>
        <v>0</v>
      </c>
      <c r="W17" s="290">
        <f t="shared" si="8"/>
        <v>22085</v>
      </c>
      <c r="X17" s="58">
        <v>22100</v>
      </c>
      <c r="Y17" s="288">
        <f t="shared" si="9"/>
        <v>15</v>
      </c>
      <c r="Z17" s="291">
        <f t="shared" si="10"/>
        <v>26</v>
      </c>
      <c r="AA17" s="6">
        <v>280</v>
      </c>
      <c r="AB17" s="6">
        <v>145</v>
      </c>
      <c r="AC17" s="650">
        <f>Gen!AR22</f>
        <v>1851.8200000000002</v>
      </c>
    </row>
    <row r="18" spans="1:29" ht="20.100000000000001" customHeight="1" thickBot="1">
      <c r="A18" s="809">
        <f>Gen!A23</f>
        <v>44360</v>
      </c>
      <c r="B18" s="806"/>
      <c r="C18" s="805">
        <v>6173.37</v>
      </c>
      <c r="D18">
        <v>22273</v>
      </c>
      <c r="G18">
        <v>258.22000000000003</v>
      </c>
      <c r="I18">
        <v>32221.4</v>
      </c>
      <c r="J18" s="803">
        <v>21478</v>
      </c>
      <c r="K18" s="811">
        <f>L17</f>
        <v>36520</v>
      </c>
      <c r="L18" s="289">
        <v>36520</v>
      </c>
      <c r="M18" s="288">
        <f t="shared" si="1"/>
        <v>0</v>
      </c>
      <c r="N18" s="290">
        <f t="shared" si="2"/>
        <v>31455</v>
      </c>
      <c r="O18" s="6">
        <v>31470</v>
      </c>
      <c r="P18" s="288">
        <f t="shared" si="3"/>
        <v>15</v>
      </c>
      <c r="Q18" s="288">
        <f t="shared" si="4"/>
        <v>36714</v>
      </c>
      <c r="R18" s="6">
        <v>36714</v>
      </c>
      <c r="S18" s="288">
        <f t="shared" si="5"/>
        <v>0</v>
      </c>
      <c r="T18" s="288">
        <f t="shared" si="6"/>
        <v>33923</v>
      </c>
      <c r="U18" s="6">
        <v>33923</v>
      </c>
      <c r="V18" s="288">
        <f t="shared" si="7"/>
        <v>0</v>
      </c>
      <c r="W18" s="290">
        <f t="shared" si="8"/>
        <v>22100</v>
      </c>
      <c r="X18" s="58">
        <v>22109</v>
      </c>
      <c r="Y18" s="288">
        <f t="shared" si="9"/>
        <v>9</v>
      </c>
      <c r="Z18" s="291">
        <f t="shared" si="10"/>
        <v>24</v>
      </c>
      <c r="AA18" s="6">
        <v>285</v>
      </c>
      <c r="AB18" s="6">
        <v>140</v>
      </c>
      <c r="AC18" s="650">
        <f>Gen!AR23</f>
        <v>1730.53</v>
      </c>
    </row>
    <row r="19" spans="1:29" ht="20.100000000000001" customHeight="1" thickBot="1">
      <c r="A19" s="809">
        <f>Gen!A24</f>
        <v>44361</v>
      </c>
      <c r="B19" s="806"/>
      <c r="C19" s="805">
        <v>4442.84</v>
      </c>
      <c r="D19">
        <v>22273</v>
      </c>
      <c r="G19">
        <v>262.43</v>
      </c>
      <c r="I19">
        <v>32227.5</v>
      </c>
      <c r="J19" s="803">
        <v>21483.3</v>
      </c>
      <c r="K19" s="811">
        <f t="shared" si="0"/>
        <v>36520</v>
      </c>
      <c r="L19" s="289">
        <v>36531</v>
      </c>
      <c r="M19" s="288">
        <f t="shared" si="1"/>
        <v>11</v>
      </c>
      <c r="N19" s="290">
        <f t="shared" si="2"/>
        <v>31470</v>
      </c>
      <c r="O19" s="6">
        <v>31470</v>
      </c>
      <c r="P19" s="288">
        <f t="shared" si="3"/>
        <v>0</v>
      </c>
      <c r="Q19" s="288">
        <f t="shared" si="4"/>
        <v>36714</v>
      </c>
      <c r="R19" s="6">
        <v>36714</v>
      </c>
      <c r="S19" s="288">
        <f t="shared" si="5"/>
        <v>0</v>
      </c>
      <c r="T19" s="288">
        <f t="shared" si="6"/>
        <v>33923</v>
      </c>
      <c r="U19" s="289">
        <v>33937</v>
      </c>
      <c r="V19" s="288">
        <f t="shared" si="7"/>
        <v>14</v>
      </c>
      <c r="W19" s="290">
        <f t="shared" si="8"/>
        <v>22109</v>
      </c>
      <c r="X19" s="58">
        <v>22109</v>
      </c>
      <c r="Y19" s="288">
        <f t="shared" si="9"/>
        <v>0</v>
      </c>
      <c r="Z19" s="291">
        <f t="shared" si="10"/>
        <v>25</v>
      </c>
      <c r="AA19" s="6">
        <v>310</v>
      </c>
      <c r="AB19" s="6">
        <v>165</v>
      </c>
      <c r="AC19" s="650">
        <f>Gen!AR24</f>
        <v>1837.49</v>
      </c>
    </row>
    <row r="20" spans="1:29" ht="20.100000000000001" customHeight="1">
      <c r="A20" s="809">
        <f>Gen!A25</f>
        <v>44362</v>
      </c>
      <c r="B20" s="806"/>
      <c r="C20" s="805">
        <v>17605.349999999999</v>
      </c>
      <c r="D20">
        <v>22273</v>
      </c>
      <c r="G20">
        <v>98.19</v>
      </c>
      <c r="I20">
        <v>32233.8</v>
      </c>
      <c r="J20" s="803">
        <v>21487.7</v>
      </c>
      <c r="K20" s="811">
        <f t="shared" si="0"/>
        <v>36531</v>
      </c>
      <c r="L20" s="289">
        <v>36531</v>
      </c>
      <c r="M20" s="288">
        <f t="shared" si="1"/>
        <v>0</v>
      </c>
      <c r="N20" s="290">
        <f t="shared" si="2"/>
        <v>31470</v>
      </c>
      <c r="O20" s="6">
        <v>31470</v>
      </c>
      <c r="P20" s="288">
        <f t="shared" si="3"/>
        <v>0</v>
      </c>
      <c r="Q20" s="288">
        <f t="shared" si="4"/>
        <v>36714</v>
      </c>
      <c r="R20" s="6">
        <v>36723</v>
      </c>
      <c r="S20" s="288">
        <f t="shared" si="5"/>
        <v>9</v>
      </c>
      <c r="T20" s="288">
        <f t="shared" si="6"/>
        <v>33937</v>
      </c>
      <c r="U20" s="289">
        <v>33937</v>
      </c>
      <c r="V20" s="288">
        <f t="shared" si="7"/>
        <v>0</v>
      </c>
      <c r="W20" s="290">
        <f t="shared" si="8"/>
        <v>22109</v>
      </c>
      <c r="X20" s="58">
        <v>22125</v>
      </c>
      <c r="Y20" s="288">
        <f t="shared" si="9"/>
        <v>16</v>
      </c>
      <c r="Z20" s="291">
        <f t="shared" si="10"/>
        <v>25</v>
      </c>
      <c r="AA20" s="6">
        <v>320</v>
      </c>
      <c r="AB20" s="6">
        <v>160</v>
      </c>
      <c r="AC20" s="650">
        <f>Gen!AR25</f>
        <v>1576.64</v>
      </c>
    </row>
    <row r="21" spans="1:29" ht="20.100000000000001" customHeight="1">
      <c r="A21" s="809">
        <f>Gen!A26</f>
        <v>44363</v>
      </c>
      <c r="B21" s="806"/>
      <c r="C21" s="805">
        <v>16028.71</v>
      </c>
      <c r="D21">
        <v>22273</v>
      </c>
      <c r="I21">
        <v>32240.2</v>
      </c>
      <c r="J21" s="803">
        <v>21491.5</v>
      </c>
      <c r="K21" s="811">
        <f t="shared" si="0"/>
        <v>36531</v>
      </c>
      <c r="L21" s="289">
        <v>36531</v>
      </c>
      <c r="M21" s="288">
        <f t="shared" si="1"/>
        <v>0</v>
      </c>
      <c r="N21" s="290">
        <f t="shared" si="2"/>
        <v>31470</v>
      </c>
      <c r="O21" s="6">
        <v>31485</v>
      </c>
      <c r="P21" s="288">
        <f t="shared" si="3"/>
        <v>15</v>
      </c>
      <c r="Q21" s="288">
        <f t="shared" si="4"/>
        <v>36723</v>
      </c>
      <c r="R21" s="6">
        <v>36733</v>
      </c>
      <c r="S21" s="288">
        <f t="shared" si="5"/>
        <v>10</v>
      </c>
      <c r="T21" s="288">
        <f t="shared" si="6"/>
        <v>33937</v>
      </c>
      <c r="U21" s="289">
        <v>33937</v>
      </c>
      <c r="V21" s="288">
        <f t="shared" si="7"/>
        <v>0</v>
      </c>
      <c r="W21" s="290">
        <f t="shared" si="8"/>
        <v>22125</v>
      </c>
      <c r="X21" s="58">
        <v>22125</v>
      </c>
      <c r="Y21" s="288">
        <f t="shared" si="9"/>
        <v>0</v>
      </c>
      <c r="Z21" s="291">
        <f t="shared" si="10"/>
        <v>25</v>
      </c>
      <c r="AA21" s="6">
        <v>315</v>
      </c>
      <c r="AB21" s="6">
        <v>155</v>
      </c>
      <c r="AC21" s="650">
        <f>Gen!AR26</f>
        <v>1354.83</v>
      </c>
    </row>
    <row r="22" spans="1:29" ht="18.75" customHeight="1">
      <c r="A22" s="809">
        <f>Gen!A27</f>
        <v>44364</v>
      </c>
      <c r="B22" s="806"/>
      <c r="C22" s="805">
        <v>14673.88</v>
      </c>
      <c r="D22">
        <v>22273</v>
      </c>
      <c r="G22">
        <v>28.75</v>
      </c>
      <c r="I22">
        <v>32246.2</v>
      </c>
      <c r="J22" s="803">
        <v>21494.9</v>
      </c>
      <c r="K22" s="811">
        <f t="shared" si="0"/>
        <v>36531</v>
      </c>
      <c r="L22" s="289">
        <v>36546</v>
      </c>
      <c r="M22" s="288">
        <f t="shared" si="1"/>
        <v>15</v>
      </c>
      <c r="N22" s="290">
        <f t="shared" si="2"/>
        <v>31485</v>
      </c>
      <c r="O22" s="6">
        <v>31485</v>
      </c>
      <c r="P22" s="288">
        <f t="shared" si="3"/>
        <v>0</v>
      </c>
      <c r="Q22" s="288">
        <f t="shared" si="4"/>
        <v>36733</v>
      </c>
      <c r="R22" s="6">
        <v>36733</v>
      </c>
      <c r="S22" s="288">
        <f t="shared" si="5"/>
        <v>0</v>
      </c>
      <c r="T22" s="288">
        <f t="shared" si="6"/>
        <v>33937</v>
      </c>
      <c r="U22" s="289">
        <v>33937</v>
      </c>
      <c r="V22" s="288">
        <f t="shared" si="7"/>
        <v>0</v>
      </c>
      <c r="W22" s="290">
        <f t="shared" si="8"/>
        <v>22125</v>
      </c>
      <c r="X22" s="289">
        <v>22135</v>
      </c>
      <c r="Y22" s="288">
        <f t="shared" si="9"/>
        <v>10</v>
      </c>
      <c r="Z22" s="291">
        <f t="shared" si="10"/>
        <v>25</v>
      </c>
      <c r="AA22" s="6">
        <v>295</v>
      </c>
      <c r="AB22" s="6">
        <v>160</v>
      </c>
      <c r="AC22" s="650">
        <f>Gen!AR27</f>
        <v>1352</v>
      </c>
    </row>
    <row r="23" spans="1:29" ht="20.100000000000001" customHeight="1">
      <c r="A23" s="809">
        <f>Gen!A28</f>
        <v>44365</v>
      </c>
      <c r="B23" s="806"/>
      <c r="C23" s="805">
        <v>13321.88</v>
      </c>
      <c r="D23">
        <v>22273</v>
      </c>
      <c r="E23" s="497"/>
      <c r="G23">
        <v>193.39</v>
      </c>
      <c r="I23">
        <v>32252.400000000001</v>
      </c>
      <c r="J23" s="803">
        <v>21498.7</v>
      </c>
      <c r="K23" s="811">
        <f t="shared" si="0"/>
        <v>36546</v>
      </c>
      <c r="L23" s="289">
        <v>36546</v>
      </c>
      <c r="M23" s="288">
        <f t="shared" si="1"/>
        <v>0</v>
      </c>
      <c r="N23" s="290">
        <f t="shared" si="2"/>
        <v>31485</v>
      </c>
      <c r="O23" s="6">
        <v>31504</v>
      </c>
      <c r="P23" s="288">
        <f t="shared" si="3"/>
        <v>19</v>
      </c>
      <c r="Q23" s="288">
        <f t="shared" si="4"/>
        <v>36733</v>
      </c>
      <c r="R23" s="6">
        <v>36739</v>
      </c>
      <c r="S23" s="288">
        <f t="shared" si="5"/>
        <v>6</v>
      </c>
      <c r="T23" s="288">
        <f t="shared" si="6"/>
        <v>33937</v>
      </c>
      <c r="U23" s="289">
        <v>33937</v>
      </c>
      <c r="V23" s="288">
        <f t="shared" si="7"/>
        <v>0</v>
      </c>
      <c r="W23" s="290">
        <f t="shared" si="8"/>
        <v>22135</v>
      </c>
      <c r="X23" s="289">
        <v>22135</v>
      </c>
      <c r="Y23" s="288">
        <f t="shared" si="9"/>
        <v>0</v>
      </c>
      <c r="Z23" s="291">
        <f t="shared" si="10"/>
        <v>25</v>
      </c>
      <c r="AA23" s="6">
        <v>290</v>
      </c>
      <c r="AB23" s="6">
        <v>155</v>
      </c>
      <c r="AC23" s="650">
        <f>Gen!AR28</f>
        <v>1640.29</v>
      </c>
    </row>
    <row r="24" spans="1:29" ht="20.100000000000001" customHeight="1">
      <c r="A24" s="809">
        <f>Gen!A29</f>
        <v>44366</v>
      </c>
      <c r="B24" s="806"/>
      <c r="C24" s="805">
        <v>11681.59</v>
      </c>
      <c r="D24">
        <v>22273</v>
      </c>
      <c r="G24">
        <v>30</v>
      </c>
      <c r="I24">
        <v>32257.9</v>
      </c>
      <c r="J24" s="803">
        <v>21502.400000000001</v>
      </c>
      <c r="K24" s="811">
        <f t="shared" si="0"/>
        <v>36546</v>
      </c>
      <c r="L24" s="289">
        <v>36546</v>
      </c>
      <c r="M24" s="288">
        <f t="shared" si="1"/>
        <v>0</v>
      </c>
      <c r="N24" s="290">
        <f t="shared" si="2"/>
        <v>31504</v>
      </c>
      <c r="O24" s="6">
        <v>31504</v>
      </c>
      <c r="P24" s="288">
        <f t="shared" si="3"/>
        <v>0</v>
      </c>
      <c r="Q24" s="288">
        <f t="shared" si="4"/>
        <v>36739</v>
      </c>
      <c r="R24" s="6">
        <v>36748</v>
      </c>
      <c r="S24" s="288">
        <f t="shared" si="5"/>
        <v>9</v>
      </c>
      <c r="T24" s="288">
        <f t="shared" si="6"/>
        <v>33937</v>
      </c>
      <c r="U24" s="289">
        <v>33937</v>
      </c>
      <c r="V24" s="288">
        <f t="shared" si="7"/>
        <v>0</v>
      </c>
      <c r="W24" s="290">
        <f t="shared" si="8"/>
        <v>22135</v>
      </c>
      <c r="X24" s="289">
        <v>22150</v>
      </c>
      <c r="Y24" s="288">
        <f t="shared" si="9"/>
        <v>15</v>
      </c>
      <c r="Z24" s="291">
        <f t="shared" si="10"/>
        <v>24</v>
      </c>
      <c r="AA24" s="6">
        <v>280</v>
      </c>
      <c r="AB24" s="6">
        <v>130</v>
      </c>
      <c r="AC24" s="650">
        <f>Gen!AR29</f>
        <v>1319.51</v>
      </c>
    </row>
    <row r="25" spans="1:29" ht="18.75" customHeight="1">
      <c r="A25" s="809">
        <f>Gen!A30</f>
        <v>44367</v>
      </c>
      <c r="B25" s="806"/>
      <c r="C25" s="805">
        <v>10362.08</v>
      </c>
      <c r="D25">
        <v>22273</v>
      </c>
      <c r="I25">
        <v>32263.1</v>
      </c>
      <c r="J25" s="803">
        <v>21506.1</v>
      </c>
      <c r="K25" s="811">
        <f t="shared" si="0"/>
        <v>36546</v>
      </c>
      <c r="L25" s="289">
        <v>36546</v>
      </c>
      <c r="M25" s="288">
        <f t="shared" si="1"/>
        <v>0</v>
      </c>
      <c r="N25" s="290">
        <f t="shared" si="2"/>
        <v>31504</v>
      </c>
      <c r="O25" s="6">
        <v>31504</v>
      </c>
      <c r="P25" s="288">
        <f t="shared" si="3"/>
        <v>0</v>
      </c>
      <c r="Q25" s="288">
        <f t="shared" si="4"/>
        <v>36748</v>
      </c>
      <c r="R25" s="289">
        <v>36758</v>
      </c>
      <c r="S25" s="288">
        <f t="shared" si="5"/>
        <v>10</v>
      </c>
      <c r="T25" s="288">
        <f t="shared" si="6"/>
        <v>33937</v>
      </c>
      <c r="U25" s="289">
        <v>33937</v>
      </c>
      <c r="V25" s="288">
        <f t="shared" si="7"/>
        <v>0</v>
      </c>
      <c r="W25" s="290">
        <f t="shared" si="8"/>
        <v>22150</v>
      </c>
      <c r="X25" s="289">
        <v>22164</v>
      </c>
      <c r="Y25" s="288">
        <f t="shared" si="9"/>
        <v>14</v>
      </c>
      <c r="Z25" s="291">
        <f t="shared" si="10"/>
        <v>24</v>
      </c>
      <c r="AA25" s="6">
        <v>285</v>
      </c>
      <c r="AB25" s="6">
        <v>125</v>
      </c>
      <c r="AC25" s="650">
        <f>Gen!AR30</f>
        <v>1256.79</v>
      </c>
    </row>
    <row r="26" spans="1:29" ht="20.100000000000001" customHeight="1">
      <c r="A26" s="809">
        <f>Gen!A31</f>
        <v>44368</v>
      </c>
      <c r="B26" s="806"/>
      <c r="C26" s="805">
        <v>9105.2900000000009</v>
      </c>
      <c r="D26">
        <v>22273</v>
      </c>
      <c r="J26" s="803"/>
      <c r="K26" s="811">
        <f t="shared" si="0"/>
        <v>36546</v>
      </c>
      <c r="L26" s="289"/>
      <c r="M26" s="288">
        <f t="shared" si="1"/>
        <v>-36546</v>
      </c>
      <c r="N26" s="290">
        <f t="shared" si="2"/>
        <v>31504</v>
      </c>
      <c r="O26" s="6"/>
      <c r="P26" s="288">
        <f t="shared" si="3"/>
        <v>-31504</v>
      </c>
      <c r="Q26" s="288">
        <f t="shared" si="4"/>
        <v>36758</v>
      </c>
      <c r="R26" s="289"/>
      <c r="S26" s="288">
        <f t="shared" si="5"/>
        <v>-36758</v>
      </c>
      <c r="T26" s="288">
        <f t="shared" si="6"/>
        <v>33937</v>
      </c>
      <c r="U26" s="289"/>
      <c r="V26" s="288">
        <f t="shared" si="7"/>
        <v>-33937</v>
      </c>
      <c r="W26" s="290">
        <f t="shared" si="8"/>
        <v>22164</v>
      </c>
      <c r="X26" s="289"/>
      <c r="Y26" s="288">
        <f t="shared" si="9"/>
        <v>-22164</v>
      </c>
      <c r="Z26" s="291">
        <f t="shared" ref="Z26:Z37" si="13">Y26+V26+S26+P26+M26</f>
        <v>-160909</v>
      </c>
      <c r="AA26" s="6"/>
      <c r="AB26" s="6"/>
      <c r="AC26" s="650">
        <f>Gen!AR31</f>
        <v>0</v>
      </c>
    </row>
    <row r="27" spans="1:29" ht="20.100000000000001" customHeight="1">
      <c r="A27" s="809">
        <f>Gen!A32</f>
        <v>44369</v>
      </c>
      <c r="B27" s="806"/>
      <c r="C27" s="805"/>
      <c r="J27" s="803"/>
      <c r="K27" s="811">
        <f t="shared" si="0"/>
        <v>0</v>
      </c>
      <c r="L27" s="289"/>
      <c r="M27" s="288">
        <f t="shared" si="1"/>
        <v>0</v>
      </c>
      <c r="N27" s="290">
        <f t="shared" si="2"/>
        <v>0</v>
      </c>
      <c r="O27" s="6"/>
      <c r="P27" s="288">
        <f t="shared" si="3"/>
        <v>0</v>
      </c>
      <c r="Q27" s="288">
        <f t="shared" si="4"/>
        <v>0</v>
      </c>
      <c r="R27" s="289"/>
      <c r="S27" s="288">
        <f t="shared" si="5"/>
        <v>0</v>
      </c>
      <c r="T27" s="288">
        <f t="shared" si="6"/>
        <v>0</v>
      </c>
      <c r="U27" s="289"/>
      <c r="V27" s="288">
        <f t="shared" si="7"/>
        <v>0</v>
      </c>
      <c r="W27" s="290">
        <f t="shared" si="8"/>
        <v>0</v>
      </c>
      <c r="X27" s="289"/>
      <c r="Y27" s="288">
        <f t="shared" si="9"/>
        <v>0</v>
      </c>
      <c r="Z27" s="291">
        <f t="shared" si="13"/>
        <v>0</v>
      </c>
      <c r="AA27" s="6"/>
      <c r="AB27" s="6"/>
      <c r="AC27" s="650">
        <f>Gen!AR32</f>
        <v>0</v>
      </c>
    </row>
    <row r="28" spans="1:29" ht="20.100000000000001" customHeight="1">
      <c r="A28" s="809">
        <f>Gen!A33</f>
        <v>44370</v>
      </c>
      <c r="B28" s="813"/>
      <c r="C28" s="751"/>
      <c r="D28" s="289"/>
      <c r="E28" s="289"/>
      <c r="F28" s="289"/>
      <c r="G28" s="289"/>
      <c r="H28" s="289"/>
      <c r="I28" s="289"/>
      <c r="J28" s="289"/>
      <c r="K28" s="811">
        <f t="shared" si="0"/>
        <v>0</v>
      </c>
      <c r="L28" s="289"/>
      <c r="M28" s="288">
        <f t="shared" si="1"/>
        <v>0</v>
      </c>
      <c r="N28" s="290">
        <f t="shared" si="2"/>
        <v>0</v>
      </c>
      <c r="O28" s="289"/>
      <c r="P28" s="288">
        <f t="shared" si="3"/>
        <v>0</v>
      </c>
      <c r="Q28" s="288">
        <f t="shared" si="4"/>
        <v>0</v>
      </c>
      <c r="R28" s="289"/>
      <c r="S28" s="288">
        <f t="shared" si="5"/>
        <v>0</v>
      </c>
      <c r="T28" s="288">
        <f t="shared" si="6"/>
        <v>0</v>
      </c>
      <c r="U28" s="289"/>
      <c r="V28" s="288">
        <f t="shared" si="7"/>
        <v>0</v>
      </c>
      <c r="W28" s="290">
        <f t="shared" si="8"/>
        <v>0</v>
      </c>
      <c r="X28" s="289"/>
      <c r="Y28" s="288">
        <f t="shared" si="9"/>
        <v>0</v>
      </c>
      <c r="Z28" s="291">
        <f t="shared" si="13"/>
        <v>0</v>
      </c>
      <c r="AA28" s="6"/>
      <c r="AB28" s="6"/>
      <c r="AC28" s="650">
        <f>Gen!AR33</f>
        <v>0</v>
      </c>
    </row>
    <row r="29" spans="1:29" ht="20.100000000000001" customHeight="1">
      <c r="A29" s="644">
        <f>Gen!A34</f>
        <v>44371</v>
      </c>
      <c r="B29" s="640"/>
      <c r="C29" s="751"/>
      <c r="D29" s="289"/>
      <c r="E29" s="289"/>
      <c r="F29" s="289"/>
      <c r="G29" s="289"/>
      <c r="H29" s="289"/>
      <c r="I29" s="289"/>
      <c r="J29" s="641"/>
      <c r="K29" s="649">
        <f t="shared" si="0"/>
        <v>0</v>
      </c>
      <c r="L29" s="289"/>
      <c r="M29" s="288">
        <f t="shared" si="1"/>
        <v>0</v>
      </c>
      <c r="N29" s="290">
        <f t="shared" si="2"/>
        <v>0</v>
      </c>
      <c r="O29" s="289"/>
      <c r="P29" s="288">
        <f t="shared" si="3"/>
        <v>0</v>
      </c>
      <c r="Q29" s="288">
        <f t="shared" si="4"/>
        <v>0</v>
      </c>
      <c r="R29" s="289"/>
      <c r="S29" s="288">
        <f t="shared" si="5"/>
        <v>0</v>
      </c>
      <c r="T29" s="288">
        <f t="shared" si="6"/>
        <v>0</v>
      </c>
      <c r="U29" s="289"/>
      <c r="V29" s="288">
        <f t="shared" si="7"/>
        <v>0</v>
      </c>
      <c r="W29" s="290">
        <f t="shared" si="8"/>
        <v>0</v>
      </c>
      <c r="X29" s="289"/>
      <c r="Y29" s="288">
        <f t="shared" si="9"/>
        <v>0</v>
      </c>
      <c r="Z29" s="291">
        <f t="shared" si="13"/>
        <v>0</v>
      </c>
      <c r="AA29" s="6"/>
      <c r="AB29" s="6"/>
      <c r="AC29" s="650">
        <f>Gen!AR34</f>
        <v>0</v>
      </c>
    </row>
    <row r="30" spans="1:29" ht="20.100000000000001" customHeight="1">
      <c r="A30" s="644">
        <f>Gen!A35</f>
        <v>44372</v>
      </c>
      <c r="B30" s="640"/>
      <c r="C30" s="751"/>
      <c r="D30" s="289"/>
      <c r="E30" s="289"/>
      <c r="F30" s="289"/>
      <c r="G30" s="289"/>
      <c r="H30" s="289"/>
      <c r="I30" s="289"/>
      <c r="J30" s="641"/>
      <c r="K30" s="649">
        <f t="shared" si="0"/>
        <v>0</v>
      </c>
      <c r="L30" s="289"/>
      <c r="M30" s="288">
        <f t="shared" si="1"/>
        <v>0</v>
      </c>
      <c r="N30" s="290">
        <f t="shared" si="2"/>
        <v>0</v>
      </c>
      <c r="O30" s="289"/>
      <c r="P30" s="288">
        <f t="shared" si="3"/>
        <v>0</v>
      </c>
      <c r="Q30" s="288">
        <f t="shared" si="4"/>
        <v>0</v>
      </c>
      <c r="R30" s="289"/>
      <c r="S30" s="288">
        <f t="shared" si="5"/>
        <v>0</v>
      </c>
      <c r="T30" s="288">
        <f t="shared" si="6"/>
        <v>0</v>
      </c>
      <c r="U30" s="289"/>
      <c r="V30" s="288">
        <f t="shared" si="7"/>
        <v>0</v>
      </c>
      <c r="W30" s="290">
        <f t="shared" si="8"/>
        <v>0</v>
      </c>
      <c r="X30" s="289"/>
      <c r="Y30" s="288">
        <f t="shared" si="9"/>
        <v>0</v>
      </c>
      <c r="Z30" s="291">
        <f t="shared" si="13"/>
        <v>0</v>
      </c>
      <c r="AA30" s="6"/>
      <c r="AB30" s="6"/>
      <c r="AC30" s="650">
        <f>Gen!AR35</f>
        <v>0</v>
      </c>
    </row>
    <row r="31" spans="1:29" ht="20.100000000000001" customHeight="1">
      <c r="A31" s="644">
        <f>Gen!A36</f>
        <v>44373</v>
      </c>
      <c r="B31" s="640"/>
      <c r="C31" s="751"/>
      <c r="D31" s="289"/>
      <c r="E31" s="289"/>
      <c r="F31" s="289"/>
      <c r="G31" s="289"/>
      <c r="H31" s="289"/>
      <c r="I31" s="289"/>
      <c r="J31" s="641"/>
      <c r="K31" s="649">
        <f t="shared" si="0"/>
        <v>0</v>
      </c>
      <c r="L31" s="289"/>
      <c r="M31" s="288">
        <f t="shared" si="1"/>
        <v>0</v>
      </c>
      <c r="N31" s="290">
        <f t="shared" si="2"/>
        <v>0</v>
      </c>
      <c r="O31" s="289"/>
      <c r="P31" s="288">
        <f t="shared" si="3"/>
        <v>0</v>
      </c>
      <c r="Q31" s="288">
        <f t="shared" si="4"/>
        <v>0</v>
      </c>
      <c r="R31" s="289"/>
      <c r="S31" s="288">
        <f t="shared" si="5"/>
        <v>0</v>
      </c>
      <c r="T31" s="288">
        <f t="shared" si="6"/>
        <v>0</v>
      </c>
      <c r="U31" s="289"/>
      <c r="V31" s="288">
        <f t="shared" si="7"/>
        <v>0</v>
      </c>
      <c r="W31" s="290">
        <f t="shared" si="8"/>
        <v>0</v>
      </c>
      <c r="X31" s="289"/>
      <c r="Y31" s="288">
        <f t="shared" si="9"/>
        <v>0</v>
      </c>
      <c r="Z31" s="291">
        <f t="shared" si="13"/>
        <v>0</v>
      </c>
      <c r="AA31" s="6"/>
      <c r="AB31" s="6"/>
      <c r="AC31" s="650">
        <f>Gen!AR36</f>
        <v>0</v>
      </c>
    </row>
    <row r="32" spans="1:29" ht="20.100000000000001" customHeight="1">
      <c r="A32" s="644">
        <f>Gen!A37</f>
        <v>44374</v>
      </c>
      <c r="B32" s="640"/>
      <c r="C32" s="751"/>
      <c r="D32" s="289"/>
      <c r="E32" s="289"/>
      <c r="F32" s="289"/>
      <c r="G32" s="289"/>
      <c r="H32" s="289"/>
      <c r="I32" s="289"/>
      <c r="J32" s="641"/>
      <c r="K32" s="649">
        <f t="shared" si="0"/>
        <v>0</v>
      </c>
      <c r="L32" s="289"/>
      <c r="M32" s="288">
        <f t="shared" si="1"/>
        <v>0</v>
      </c>
      <c r="N32" s="290">
        <f t="shared" si="2"/>
        <v>0</v>
      </c>
      <c r="O32" s="289"/>
      <c r="P32" s="288">
        <f t="shared" si="3"/>
        <v>0</v>
      </c>
      <c r="Q32" s="288">
        <f t="shared" si="4"/>
        <v>0</v>
      </c>
      <c r="R32" s="289"/>
      <c r="S32" s="288">
        <f t="shared" si="5"/>
        <v>0</v>
      </c>
      <c r="T32" s="288">
        <f t="shared" si="6"/>
        <v>0</v>
      </c>
      <c r="U32" s="289"/>
      <c r="V32" s="288">
        <f t="shared" si="7"/>
        <v>0</v>
      </c>
      <c r="W32" s="290">
        <f t="shared" si="8"/>
        <v>0</v>
      </c>
      <c r="X32" s="289"/>
      <c r="Y32" s="288">
        <f t="shared" si="9"/>
        <v>0</v>
      </c>
      <c r="Z32" s="291">
        <f t="shared" si="13"/>
        <v>0</v>
      </c>
      <c r="AA32" s="6"/>
      <c r="AB32" s="6"/>
      <c r="AC32" s="650">
        <f>Gen!AR37</f>
        <v>0</v>
      </c>
    </row>
    <row r="33" spans="1:29" ht="20.100000000000001" customHeight="1">
      <c r="A33" s="644">
        <f>Gen!A38</f>
        <v>44375</v>
      </c>
      <c r="B33" s="640"/>
      <c r="C33" s="751"/>
      <c r="D33" s="289"/>
      <c r="E33" s="289"/>
      <c r="F33" s="289"/>
      <c r="G33" s="289"/>
      <c r="H33" s="289"/>
      <c r="I33" s="289"/>
      <c r="J33" s="641"/>
      <c r="K33" s="649">
        <f t="shared" si="0"/>
        <v>0</v>
      </c>
      <c r="L33" s="289"/>
      <c r="M33" s="288">
        <f t="shared" si="1"/>
        <v>0</v>
      </c>
      <c r="N33" s="290">
        <f t="shared" si="2"/>
        <v>0</v>
      </c>
      <c r="O33" s="289"/>
      <c r="P33" s="288">
        <f t="shared" si="3"/>
        <v>0</v>
      </c>
      <c r="Q33" s="288">
        <f t="shared" si="4"/>
        <v>0</v>
      </c>
      <c r="R33" s="289"/>
      <c r="S33" s="288">
        <f>R34-Q33</f>
        <v>0</v>
      </c>
      <c r="T33" s="288">
        <f t="shared" si="6"/>
        <v>0</v>
      </c>
      <c r="U33" s="289"/>
      <c r="V33" s="288">
        <f t="shared" si="7"/>
        <v>0</v>
      </c>
      <c r="W33" s="290">
        <f t="shared" si="8"/>
        <v>0</v>
      </c>
      <c r="X33" s="289"/>
      <c r="Y33" s="288">
        <f t="shared" si="9"/>
        <v>0</v>
      </c>
      <c r="Z33" s="291">
        <f t="shared" si="13"/>
        <v>0</v>
      </c>
      <c r="AA33" s="6"/>
      <c r="AB33" s="6"/>
      <c r="AC33" s="650">
        <f>Gen!AR38</f>
        <v>0</v>
      </c>
    </row>
    <row r="34" spans="1:29" ht="20.100000000000001" customHeight="1">
      <c r="A34" s="644">
        <f>Gen!A39</f>
        <v>44376</v>
      </c>
      <c r="B34" s="640"/>
      <c r="C34" s="751"/>
      <c r="D34" s="289"/>
      <c r="E34" s="289"/>
      <c r="F34" s="289"/>
      <c r="G34" s="289"/>
      <c r="H34" s="289"/>
      <c r="I34" s="289"/>
      <c r="J34" s="641"/>
      <c r="K34" s="649">
        <f t="shared" si="0"/>
        <v>0</v>
      </c>
      <c r="L34" s="289"/>
      <c r="M34" s="288">
        <f t="shared" si="1"/>
        <v>0</v>
      </c>
      <c r="N34" s="290">
        <f t="shared" si="2"/>
        <v>0</v>
      </c>
      <c r="O34" s="289"/>
      <c r="P34" s="288">
        <f t="shared" si="3"/>
        <v>0</v>
      </c>
      <c r="Q34" s="288">
        <f>R34</f>
        <v>0</v>
      </c>
      <c r="R34" s="289"/>
      <c r="S34" s="288" t="e">
        <f>#REF!-Q34</f>
        <v>#REF!</v>
      </c>
      <c r="T34" s="288">
        <f t="shared" si="6"/>
        <v>0</v>
      </c>
      <c r="U34" s="289"/>
      <c r="V34" s="288">
        <f t="shared" si="7"/>
        <v>0</v>
      </c>
      <c r="W34" s="290">
        <f t="shared" si="8"/>
        <v>0</v>
      </c>
      <c r="X34" s="289"/>
      <c r="Y34" s="288">
        <f t="shared" si="9"/>
        <v>0</v>
      </c>
      <c r="Z34" s="291" t="e">
        <f t="shared" si="13"/>
        <v>#REF!</v>
      </c>
      <c r="AA34" s="6"/>
      <c r="AB34" s="6"/>
      <c r="AC34" s="650">
        <f>Gen!AR39</f>
        <v>0</v>
      </c>
    </row>
    <row r="35" spans="1:29" ht="20.100000000000001" customHeight="1">
      <c r="A35" s="644">
        <f>Gen!A40</f>
        <v>44377</v>
      </c>
      <c r="B35" s="640"/>
      <c r="C35" s="751"/>
      <c r="D35" s="289"/>
      <c r="E35" s="289"/>
      <c r="F35" s="289"/>
      <c r="G35" s="289"/>
      <c r="H35" s="289"/>
      <c r="I35" s="289"/>
      <c r="J35" s="641"/>
      <c r="K35" s="649">
        <f t="shared" si="0"/>
        <v>0</v>
      </c>
      <c r="L35" s="289"/>
      <c r="M35" s="288">
        <f t="shared" si="1"/>
        <v>0</v>
      </c>
      <c r="N35" s="290">
        <f t="shared" si="2"/>
        <v>0</v>
      </c>
      <c r="O35" s="289"/>
      <c r="P35" s="288">
        <f t="shared" si="3"/>
        <v>0</v>
      </c>
      <c r="Q35" s="288" t="e">
        <f>#REF!</f>
        <v>#REF!</v>
      </c>
      <c r="R35" s="289"/>
      <c r="S35" s="288" t="e">
        <f t="shared" si="5"/>
        <v>#REF!</v>
      </c>
      <c r="T35" s="288">
        <f t="shared" si="6"/>
        <v>0</v>
      </c>
      <c r="U35" s="289"/>
      <c r="V35" s="288">
        <f t="shared" si="7"/>
        <v>0</v>
      </c>
      <c r="W35" s="290">
        <f t="shared" si="8"/>
        <v>0</v>
      </c>
      <c r="X35" s="289"/>
      <c r="Y35" s="288">
        <f t="shared" si="9"/>
        <v>0</v>
      </c>
      <c r="Z35" s="291" t="e">
        <f t="shared" si="13"/>
        <v>#REF!</v>
      </c>
      <c r="AA35" s="6"/>
      <c r="AB35" s="6"/>
      <c r="AC35" s="650">
        <f>Gen!AR40</f>
        <v>0</v>
      </c>
    </row>
    <row r="36" spans="1:29" ht="20.100000000000001" customHeight="1" thickBot="1">
      <c r="A36" s="645">
        <f>Gen!A41</f>
        <v>0</v>
      </c>
      <c r="B36" s="640"/>
      <c r="C36" s="751"/>
      <c r="D36" s="289"/>
      <c r="E36" s="289"/>
      <c r="F36" s="289"/>
      <c r="G36" s="289"/>
      <c r="H36" s="289"/>
      <c r="I36" s="289"/>
      <c r="J36" s="641"/>
      <c r="K36" s="649">
        <f t="shared" si="0"/>
        <v>0</v>
      </c>
      <c r="L36" s="289"/>
      <c r="M36" s="288">
        <f t="shared" si="1"/>
        <v>0</v>
      </c>
      <c r="N36" s="290">
        <f t="shared" si="2"/>
        <v>0</v>
      </c>
      <c r="O36" s="289"/>
      <c r="P36" s="288">
        <f t="shared" si="3"/>
        <v>0</v>
      </c>
      <c r="Q36" s="288">
        <f t="shared" si="4"/>
        <v>0</v>
      </c>
      <c r="R36" s="289"/>
      <c r="S36" s="288">
        <f t="shared" si="5"/>
        <v>0</v>
      </c>
      <c r="T36" s="288">
        <f t="shared" si="6"/>
        <v>0</v>
      </c>
      <c r="U36" s="289"/>
      <c r="V36" s="288">
        <f t="shared" si="7"/>
        <v>0</v>
      </c>
      <c r="W36" s="290">
        <f t="shared" si="8"/>
        <v>0</v>
      </c>
      <c r="X36" s="289"/>
      <c r="Y36" s="288">
        <f t="shared" si="9"/>
        <v>0</v>
      </c>
      <c r="Z36" s="291">
        <f t="shared" si="13"/>
        <v>0</v>
      </c>
      <c r="AA36" s="6"/>
      <c r="AB36" s="6"/>
      <c r="AC36" s="650">
        <f>Gen!AR41</f>
        <v>0</v>
      </c>
    </row>
    <row r="37" spans="1:29" ht="21" customHeight="1" thickBot="1">
      <c r="A37" s="645">
        <f>Gen!A42</f>
        <v>0</v>
      </c>
      <c r="B37" s="640">
        <f>Gen!B42</f>
        <v>0</v>
      </c>
      <c r="C37" s="642"/>
      <c r="D37" s="642"/>
      <c r="E37" s="642"/>
      <c r="F37" s="642"/>
      <c r="G37" s="642"/>
      <c r="H37" s="642"/>
      <c r="I37" s="642"/>
      <c r="J37" s="643"/>
      <c r="K37" s="651">
        <f t="shared" si="0"/>
        <v>0</v>
      </c>
      <c r="L37" s="642"/>
      <c r="M37" s="652">
        <f t="shared" si="1"/>
        <v>0</v>
      </c>
      <c r="N37" s="653">
        <f t="shared" si="2"/>
        <v>0</v>
      </c>
      <c r="O37" s="642"/>
      <c r="P37" s="652">
        <f t="shared" si="3"/>
        <v>0</v>
      </c>
      <c r="Q37" s="652">
        <f t="shared" si="4"/>
        <v>0</v>
      </c>
      <c r="R37" s="642"/>
      <c r="S37" s="652">
        <f t="shared" si="5"/>
        <v>0</v>
      </c>
      <c r="T37" s="652">
        <f t="shared" si="6"/>
        <v>0</v>
      </c>
      <c r="U37" s="642"/>
      <c r="V37" s="652">
        <f t="shared" si="7"/>
        <v>0</v>
      </c>
      <c r="W37" s="653">
        <f t="shared" si="8"/>
        <v>0</v>
      </c>
      <c r="X37" s="289"/>
      <c r="Y37" s="652">
        <f t="shared" si="9"/>
        <v>0</v>
      </c>
      <c r="Z37" s="654">
        <f t="shared" si="13"/>
        <v>0</v>
      </c>
      <c r="AA37" s="7"/>
      <c r="AB37" s="7"/>
      <c r="AC37" s="650">
        <f>Gen!AR42</f>
        <v>0</v>
      </c>
    </row>
    <row r="38" spans="1:29">
      <c r="A38" s="247"/>
      <c r="B38" s="247"/>
      <c r="C38" s="247"/>
      <c r="D38" s="247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AT98"/>
  <sheetViews>
    <sheetView topLeftCell="A22" workbookViewId="0">
      <pane xSplit="1" topLeftCell="B19" activePane="topRight" state="frozen"/>
      <selection pane="topRight" activeCell="L35" sqref="L35"/>
    </sheetView>
  </sheetViews>
  <sheetFormatPr defaultColWidth="9.140625" defaultRowHeight="11.25"/>
  <cols>
    <col min="1" max="1" width="8.5703125" style="174" bestFit="1" customWidth="1"/>
    <col min="2" max="2" width="8.7109375" style="174" bestFit="1" customWidth="1"/>
    <col min="3" max="3" width="9" style="174" bestFit="1" customWidth="1"/>
    <col min="4" max="4" width="9.140625" style="174" customWidth="1"/>
    <col min="5" max="5" width="10.140625" style="174" customWidth="1"/>
    <col min="6" max="6" width="10.7109375" style="174" customWidth="1"/>
    <col min="7" max="7" width="11.28515625" style="174" customWidth="1"/>
    <col min="8" max="8" width="9.7109375" style="174" customWidth="1"/>
    <col min="9" max="9" width="8" style="174" customWidth="1"/>
    <col min="10" max="10" width="8.7109375" style="174" customWidth="1"/>
    <col min="11" max="11" width="8.85546875" style="174" bestFit="1" customWidth="1"/>
    <col min="12" max="12" width="10.140625" style="174" customWidth="1"/>
    <col min="13" max="13" width="10.85546875" style="174" customWidth="1"/>
    <col min="14" max="14" width="11.42578125" style="174" customWidth="1"/>
    <col min="15" max="15" width="10.140625" style="174" customWidth="1"/>
    <col min="16" max="16" width="11.140625" style="174" customWidth="1"/>
    <col min="17" max="17" width="10.7109375" style="174" customWidth="1"/>
    <col min="18" max="18" width="13.140625" style="174" customWidth="1"/>
    <col min="19" max="19" width="11.7109375" style="174" customWidth="1"/>
    <col min="20" max="20" width="13" style="174" customWidth="1"/>
    <col min="21" max="21" width="13.140625" style="174" customWidth="1"/>
    <col min="22" max="22" width="13.5703125" style="174" bestFit="1" customWidth="1"/>
    <col min="23" max="23" width="13" style="174" customWidth="1"/>
    <col min="24" max="24" width="15.7109375" style="174" customWidth="1"/>
    <col min="25" max="25" width="13.7109375" style="174" customWidth="1"/>
    <col min="26" max="26" width="12" style="174" bestFit="1" customWidth="1"/>
    <col min="27" max="27" width="9.5703125" style="174" bestFit="1" customWidth="1"/>
    <col min="28" max="28" width="8.28515625" style="174" bestFit="1" customWidth="1"/>
    <col min="29" max="29" width="9.42578125" style="174" bestFit="1" customWidth="1"/>
    <col min="30" max="30" width="8.140625" style="174" bestFit="1" customWidth="1"/>
    <col min="31" max="31" width="8" style="174" bestFit="1" customWidth="1"/>
    <col min="32" max="32" width="9.28515625" style="174" bestFit="1" customWidth="1"/>
    <col min="33" max="33" width="11.42578125" style="174" customWidth="1"/>
    <col min="34" max="34" width="9.85546875" style="174" bestFit="1" customWidth="1"/>
    <col min="35" max="35" width="9.5703125" style="174" bestFit="1" customWidth="1"/>
    <col min="36" max="36" width="12" style="174" bestFit="1" customWidth="1"/>
    <col min="37" max="42" width="9.140625" style="174" hidden="1" customWidth="1"/>
    <col min="43" max="43" width="5.42578125" style="174" customWidth="1"/>
    <col min="44" max="44" width="15" style="174" bestFit="1" customWidth="1"/>
    <col min="45" max="45" width="10.7109375" style="174" bestFit="1" customWidth="1"/>
    <col min="46" max="46" width="9.7109375" style="174" bestFit="1" customWidth="1"/>
    <col min="47" max="47" width="8" style="172" bestFit="1" customWidth="1"/>
    <col min="48" max="16384" width="9.140625" style="172"/>
  </cols>
  <sheetData>
    <row r="1" spans="1:46">
      <c r="A1" s="865"/>
      <c r="B1" s="865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822"/>
      <c r="Z1" s="822"/>
      <c r="AA1" s="822"/>
      <c r="AB1" s="822"/>
      <c r="AC1" s="822"/>
      <c r="AD1" s="822"/>
      <c r="AE1" s="822"/>
      <c r="AF1" s="822"/>
      <c r="AG1" s="822"/>
      <c r="AH1" s="822"/>
      <c r="AI1" s="822"/>
      <c r="AJ1" s="822"/>
      <c r="AK1" s="822"/>
      <c r="AL1" s="822"/>
      <c r="AM1" s="822"/>
      <c r="AN1" s="822"/>
      <c r="AO1" s="822"/>
      <c r="AP1" s="822"/>
      <c r="AQ1" s="822"/>
      <c r="AR1" s="822"/>
      <c r="AS1" s="822"/>
      <c r="AT1" s="822"/>
    </row>
    <row r="2" spans="1:46" ht="26.25">
      <c r="A2" s="865"/>
      <c r="B2" s="865"/>
      <c r="C2" s="822"/>
      <c r="D2" s="866">
        <f>A11</f>
        <v>44348</v>
      </c>
      <c r="E2" s="866"/>
      <c r="F2" s="867"/>
      <c r="G2" s="867"/>
      <c r="H2" s="867"/>
      <c r="I2" s="867"/>
      <c r="J2" s="867"/>
      <c r="K2" s="867"/>
      <c r="L2" s="867"/>
      <c r="M2" s="867"/>
      <c r="N2" s="867"/>
      <c r="O2" s="867"/>
      <c r="P2" s="867"/>
      <c r="Q2" s="867"/>
      <c r="R2" s="867"/>
      <c r="S2" s="867"/>
      <c r="T2" s="867"/>
      <c r="U2" s="867"/>
      <c r="V2" s="867"/>
      <c r="W2" s="867"/>
      <c r="X2" s="867"/>
      <c r="Y2" s="867"/>
      <c r="Z2" s="867"/>
      <c r="AA2" s="867"/>
      <c r="AB2" s="867"/>
      <c r="AC2" s="867"/>
      <c r="AD2" s="867"/>
      <c r="AE2" s="867"/>
      <c r="AF2" s="867"/>
      <c r="AG2" s="867"/>
      <c r="AH2" s="867"/>
      <c r="AI2" s="867"/>
      <c r="AJ2" s="867"/>
      <c r="AK2" s="867"/>
      <c r="AL2" s="867"/>
      <c r="AM2" s="867"/>
      <c r="AN2" s="867"/>
      <c r="AO2" s="867"/>
      <c r="AP2" s="867"/>
      <c r="AQ2" s="867"/>
      <c r="AR2" s="867"/>
      <c r="AS2" s="867"/>
      <c r="AT2" s="867"/>
    </row>
    <row r="3" spans="1:46" ht="12.75" customHeight="1">
      <c r="A3" s="865"/>
      <c r="B3" s="865"/>
      <c r="C3" s="822"/>
      <c r="D3" s="822"/>
      <c r="E3" s="822"/>
      <c r="F3" s="822"/>
      <c r="G3" s="822"/>
      <c r="H3" s="868"/>
      <c r="I3" s="868"/>
      <c r="J3" s="868"/>
      <c r="K3" s="173"/>
      <c r="L3" s="822"/>
      <c r="M3" s="822"/>
      <c r="N3" s="822"/>
      <c r="O3" s="822"/>
      <c r="P3" s="822"/>
      <c r="Q3" s="173"/>
      <c r="R3" s="822"/>
      <c r="S3" s="822"/>
      <c r="T3" s="822"/>
      <c r="U3" s="822"/>
      <c r="V3" s="822"/>
      <c r="W3" s="822"/>
      <c r="X3" s="822"/>
      <c r="Y3" s="822"/>
      <c r="Z3" s="822"/>
      <c r="AA3" s="822"/>
      <c r="AB3" s="822"/>
      <c r="AC3" s="822"/>
      <c r="AD3" s="822"/>
      <c r="AE3" s="822"/>
      <c r="AF3" s="822"/>
      <c r="AG3" s="822"/>
      <c r="AH3" s="822"/>
      <c r="AI3" s="822"/>
      <c r="AJ3" s="822"/>
      <c r="AK3" s="822"/>
      <c r="AL3" s="822"/>
      <c r="AM3" s="822"/>
      <c r="AN3" s="822"/>
      <c r="AO3" s="822"/>
      <c r="AP3" s="822"/>
      <c r="AQ3" s="822"/>
      <c r="AR3" s="822"/>
      <c r="AS3" s="822"/>
      <c r="AT3" s="822"/>
    </row>
    <row r="4" spans="1:46" ht="11.25" customHeight="1">
      <c r="A4" s="865"/>
      <c r="B4" s="865"/>
      <c r="C4" s="822"/>
      <c r="D4" s="822"/>
      <c r="E4" s="822"/>
      <c r="F4" s="822"/>
      <c r="G4" s="822"/>
      <c r="H4" s="868"/>
      <c r="I4" s="868"/>
      <c r="J4" s="868"/>
      <c r="K4" s="173"/>
      <c r="L4" s="822"/>
      <c r="M4" s="822"/>
      <c r="N4" s="822"/>
      <c r="O4" s="822"/>
      <c r="P4" s="822"/>
      <c r="Q4" s="173"/>
      <c r="R4" s="822"/>
      <c r="S4" s="822"/>
      <c r="T4" s="822"/>
      <c r="U4" s="822"/>
      <c r="V4" s="822"/>
      <c r="W4" s="822"/>
      <c r="X4" s="822"/>
      <c r="Y4" s="822"/>
      <c r="Z4" s="822"/>
      <c r="AA4" s="822"/>
      <c r="AB4" s="822"/>
      <c r="AC4" s="822"/>
      <c r="AD4" s="822"/>
      <c r="AE4" s="822"/>
      <c r="AF4" s="822"/>
      <c r="AG4" s="822"/>
      <c r="AH4" s="822"/>
      <c r="AI4" s="822"/>
      <c r="AJ4" s="822"/>
      <c r="AK4" s="822"/>
      <c r="AL4" s="822"/>
      <c r="AM4" s="822"/>
      <c r="AN4" s="822"/>
      <c r="AO4" s="822"/>
      <c r="AP4" s="822"/>
      <c r="AQ4" s="822"/>
      <c r="AR4" s="822"/>
      <c r="AS4" s="822"/>
      <c r="AT4" s="822"/>
    </row>
    <row r="5" spans="1:46" ht="12" thickBot="1">
      <c r="A5" s="865"/>
      <c r="B5" s="865"/>
      <c r="C5" s="822"/>
      <c r="D5" s="822"/>
      <c r="E5" s="822"/>
      <c r="F5" s="822"/>
      <c r="G5" s="822"/>
      <c r="H5" s="822"/>
      <c r="I5" s="822"/>
      <c r="J5" s="822"/>
      <c r="K5" s="822"/>
      <c r="L5" s="822"/>
      <c r="M5" s="822"/>
      <c r="N5" s="822"/>
      <c r="O5" s="822"/>
      <c r="P5" s="822"/>
      <c r="Q5" s="822"/>
      <c r="R5" s="822"/>
      <c r="S5" s="822"/>
      <c r="T5" s="822"/>
      <c r="U5" s="822"/>
      <c r="V5" s="175"/>
      <c r="W5" s="175"/>
      <c r="X5" s="175"/>
      <c r="Y5" s="175"/>
      <c r="Z5" s="175"/>
      <c r="AA5" s="175"/>
      <c r="AB5" s="175"/>
      <c r="AC5" s="175"/>
      <c r="AD5" s="175"/>
      <c r="AE5" s="175"/>
      <c r="AF5" s="175"/>
      <c r="AG5" s="175"/>
      <c r="AH5" s="175"/>
      <c r="AI5" s="175"/>
      <c r="AJ5" s="175"/>
      <c r="AK5" s="175"/>
      <c r="AL5" s="175"/>
      <c r="AM5" s="175"/>
      <c r="AN5" s="175"/>
      <c r="AO5" s="175"/>
      <c r="AP5" s="175"/>
      <c r="AQ5" s="175"/>
      <c r="AR5" s="175"/>
      <c r="AS5" s="175"/>
      <c r="AT5" s="175"/>
    </row>
    <row r="6" spans="1:46" ht="21" thickBot="1">
      <c r="A6" s="865"/>
      <c r="B6" s="865"/>
      <c r="C6" s="176"/>
      <c r="D6" s="822"/>
      <c r="E6" s="822"/>
      <c r="F6" s="869" t="s">
        <v>155</v>
      </c>
      <c r="G6" s="870"/>
      <c r="H6" s="870"/>
      <c r="I6" s="870"/>
      <c r="J6" s="870"/>
      <c r="K6" s="870"/>
      <c r="L6" s="871"/>
      <c r="M6" s="822"/>
      <c r="N6" s="822"/>
      <c r="O6" s="822"/>
      <c r="P6" s="822"/>
      <c r="Q6" s="822"/>
      <c r="R6" s="822"/>
      <c r="S6" s="822"/>
      <c r="T6" s="822"/>
      <c r="U6" s="822"/>
      <c r="V6" s="177">
        <v>1</v>
      </c>
      <c r="W6" s="177">
        <v>2</v>
      </c>
      <c r="X6" s="177">
        <v>3</v>
      </c>
      <c r="Y6" s="177">
        <v>4</v>
      </c>
      <c r="Z6" s="177">
        <v>5</v>
      </c>
      <c r="AA6" s="177">
        <v>6</v>
      </c>
      <c r="AB6" s="177">
        <v>7</v>
      </c>
      <c r="AC6" s="177">
        <v>8</v>
      </c>
      <c r="AD6" s="177">
        <v>9</v>
      </c>
      <c r="AE6" s="177">
        <v>10</v>
      </c>
      <c r="AF6" s="177">
        <v>11</v>
      </c>
      <c r="AG6" s="177"/>
      <c r="AH6" s="177"/>
      <c r="AI6" s="177"/>
      <c r="AJ6" s="822"/>
      <c r="AK6" s="822"/>
      <c r="AL6" s="822"/>
      <c r="AM6" s="822"/>
      <c r="AN6" s="822"/>
      <c r="AO6" s="822"/>
      <c r="AP6" s="822"/>
      <c r="AQ6" s="822"/>
      <c r="AR6" s="177"/>
      <c r="AS6" s="795"/>
      <c r="AT6" s="796"/>
    </row>
    <row r="7" spans="1:46" ht="21" thickBot="1">
      <c r="A7" s="822"/>
      <c r="B7" s="822"/>
      <c r="C7" s="178"/>
      <c r="D7" s="178"/>
      <c r="E7" s="178"/>
      <c r="F7" s="872" t="s">
        <v>156</v>
      </c>
      <c r="G7" s="873"/>
      <c r="H7" s="873"/>
      <c r="I7" s="873"/>
      <c r="J7" s="873"/>
      <c r="K7" s="873"/>
      <c r="L7" s="874"/>
      <c r="M7" s="875" t="s">
        <v>157</v>
      </c>
      <c r="N7" s="876"/>
      <c r="O7" s="876"/>
      <c r="P7" s="876"/>
      <c r="Q7" s="876"/>
      <c r="R7" s="877"/>
      <c r="S7" s="332"/>
      <c r="T7" s="333"/>
      <c r="U7" s="334"/>
      <c r="V7" s="335" t="s">
        <v>158</v>
      </c>
      <c r="W7" s="336" t="s">
        <v>158</v>
      </c>
      <c r="X7" s="336" t="s">
        <v>159</v>
      </c>
      <c r="Y7" s="336" t="s">
        <v>160</v>
      </c>
      <c r="Z7" s="336" t="s">
        <v>161</v>
      </c>
      <c r="AA7" s="336" t="s">
        <v>162</v>
      </c>
      <c r="AB7" s="336" t="s">
        <v>162</v>
      </c>
      <c r="AC7" s="337" t="s">
        <v>163</v>
      </c>
      <c r="AD7" s="336" t="s">
        <v>164</v>
      </c>
      <c r="AE7" s="336" t="s">
        <v>165</v>
      </c>
      <c r="AF7" s="338" t="s">
        <v>166</v>
      </c>
      <c r="AG7" s="339" t="s">
        <v>167</v>
      </c>
      <c r="AH7" s="336" t="s">
        <v>168</v>
      </c>
      <c r="AI7" s="340" t="s">
        <v>169</v>
      </c>
      <c r="AJ7" s="351" t="s">
        <v>170</v>
      </c>
      <c r="AK7" s="178"/>
      <c r="AL7" s="178"/>
      <c r="AM7" s="178"/>
      <c r="AN7" s="178"/>
      <c r="AO7" s="178"/>
      <c r="AP7" s="178"/>
      <c r="AQ7" s="178"/>
      <c r="AR7" s="179"/>
      <c r="AS7" s="797"/>
      <c r="AT7" s="798"/>
    </row>
    <row r="8" spans="1:46" s="181" customFormat="1" ht="30" customHeight="1" thickBot="1">
      <c r="A8" s="363" t="s">
        <v>32</v>
      </c>
      <c r="B8" s="364" t="s">
        <v>171</v>
      </c>
      <c r="C8" s="752" t="s">
        <v>172</v>
      </c>
      <c r="D8" s="753" t="s">
        <v>173</v>
      </c>
      <c r="E8" s="753" t="s">
        <v>174</v>
      </c>
      <c r="F8" s="754" t="s">
        <v>175</v>
      </c>
      <c r="G8" s="468">
        <v>1</v>
      </c>
      <c r="H8" s="357">
        <v>2</v>
      </c>
      <c r="I8" s="357">
        <v>3</v>
      </c>
      <c r="J8" s="357">
        <v>4</v>
      </c>
      <c r="K8" s="357">
        <v>5</v>
      </c>
      <c r="L8" s="358">
        <v>6</v>
      </c>
      <c r="M8" s="359">
        <v>1</v>
      </c>
      <c r="N8" s="360">
        <v>2</v>
      </c>
      <c r="O8" s="360">
        <v>3</v>
      </c>
      <c r="P8" s="360">
        <v>4</v>
      </c>
      <c r="Q8" s="360">
        <v>5</v>
      </c>
      <c r="R8" s="360">
        <v>6</v>
      </c>
      <c r="S8" s="361" t="s">
        <v>176</v>
      </c>
      <c r="T8" s="361" t="s">
        <v>177</v>
      </c>
      <c r="U8" s="362" t="s">
        <v>178</v>
      </c>
      <c r="V8" s="342" t="s">
        <v>179</v>
      </c>
      <c r="W8" s="343" t="s">
        <v>180</v>
      </c>
      <c r="X8" s="343" t="s">
        <v>181</v>
      </c>
      <c r="Y8" s="344" t="s">
        <v>182</v>
      </c>
      <c r="Z8" s="344" t="s">
        <v>183</v>
      </c>
      <c r="AA8" s="344" t="s">
        <v>184</v>
      </c>
      <c r="AB8" s="343" t="s">
        <v>185</v>
      </c>
      <c r="AC8" s="345" t="s">
        <v>186</v>
      </c>
      <c r="AD8" s="343" t="s">
        <v>187</v>
      </c>
      <c r="AE8" s="343" t="s">
        <v>188</v>
      </c>
      <c r="AF8" s="343" t="s">
        <v>189</v>
      </c>
      <c r="AG8" s="346" t="s">
        <v>190</v>
      </c>
      <c r="AH8" s="347" t="s">
        <v>191</v>
      </c>
      <c r="AI8" s="348" t="s">
        <v>191</v>
      </c>
      <c r="AJ8" s="350"/>
      <c r="AK8" s="258"/>
      <c r="AL8" s="49"/>
      <c r="AM8" s="49"/>
      <c r="AN8" s="49"/>
      <c r="AO8" s="49"/>
      <c r="AP8" s="180"/>
      <c r="AQ8" s="353"/>
      <c r="AR8" s="354" t="s">
        <v>192</v>
      </c>
      <c r="AS8" s="354" t="s">
        <v>193</v>
      </c>
      <c r="AT8" s="353" t="s">
        <v>194</v>
      </c>
    </row>
    <row r="9" spans="1:46" ht="15" thickBot="1">
      <c r="A9" s="469"/>
      <c r="B9" s="182"/>
      <c r="C9" s="781">
        <f>[4]Gen!$C$43</f>
        <v>31478.349999999988</v>
      </c>
      <c r="D9" s="755"/>
      <c r="E9" s="756"/>
      <c r="F9" s="757"/>
      <c r="G9" s="758"/>
      <c r="H9" s="526"/>
      <c r="I9" s="527"/>
      <c r="J9" s="528"/>
      <c r="K9" s="529"/>
      <c r="L9" s="530"/>
      <c r="M9" s="355"/>
      <c r="N9" s="356"/>
      <c r="O9" s="356"/>
      <c r="P9" s="356"/>
      <c r="Q9" s="356"/>
      <c r="R9" s="533"/>
      <c r="S9" s="538">
        <f t="shared" ref="S9:S44" si="0">SUM(F9:L9)</f>
        <v>0</v>
      </c>
      <c r="T9" s="539">
        <f t="shared" ref="T9:T44" si="1">SUM(M9:R9)</f>
        <v>0</v>
      </c>
      <c r="U9" s="540" t="e">
        <f t="shared" ref="U9:U40" si="2">S9/T9</f>
        <v>#DIV/0!</v>
      </c>
      <c r="V9" s="536"/>
      <c r="W9" s="186"/>
      <c r="X9" s="341"/>
      <c r="Y9" s="341"/>
      <c r="Z9" s="341"/>
      <c r="AA9" s="186"/>
      <c r="AB9" s="184"/>
      <c r="AC9" s="186"/>
      <c r="AD9" s="187"/>
      <c r="AE9" s="187"/>
      <c r="AF9" s="188"/>
      <c r="AG9" s="184"/>
      <c r="AH9" s="186"/>
      <c r="AI9" s="369"/>
      <c r="AJ9" s="349"/>
      <c r="AK9" s="189"/>
      <c r="AL9" s="189"/>
      <c r="AM9" s="189"/>
      <c r="AN9" s="189"/>
      <c r="AO9" s="189"/>
      <c r="AP9" s="189"/>
      <c r="AQ9" s="189"/>
      <c r="AR9" s="352">
        <f t="shared" ref="AR9:AR43" si="3">SUM(AJ9+S9)</f>
        <v>0</v>
      </c>
      <c r="AS9" s="190"/>
      <c r="AT9" s="191">
        <v>38784.699999999997</v>
      </c>
    </row>
    <row r="10" spans="1:46" ht="13.5" customHeight="1" thickBot="1">
      <c r="A10" s="470"/>
      <c r="B10" s="544"/>
      <c r="C10" s="759"/>
      <c r="D10" s="760"/>
      <c r="E10" s="761"/>
      <c r="F10" s="284"/>
      <c r="G10" s="762"/>
      <c r="H10" s="192"/>
      <c r="I10" s="193"/>
      <c r="J10" s="192"/>
      <c r="K10" s="192"/>
      <c r="L10" s="284"/>
      <c r="M10" s="283"/>
      <c r="N10" s="195"/>
      <c r="O10" s="194"/>
      <c r="P10" s="194"/>
      <c r="Q10" s="194"/>
      <c r="R10" s="534"/>
      <c r="S10" s="541">
        <f t="shared" si="0"/>
        <v>0</v>
      </c>
      <c r="T10" s="206">
        <f t="shared" si="1"/>
        <v>0</v>
      </c>
      <c r="U10" s="540" t="e">
        <f t="shared" si="2"/>
        <v>#DIV/0!</v>
      </c>
      <c r="V10" s="199"/>
      <c r="W10" s="207"/>
      <c r="X10" s="185"/>
      <c r="Y10" s="197"/>
      <c r="Z10" s="192"/>
      <c r="AA10" s="197"/>
      <c r="AB10" s="198"/>
      <c r="AC10" s="197"/>
      <c r="AD10" s="199"/>
      <c r="AE10" s="199"/>
      <c r="AF10" s="197"/>
      <c r="AG10" s="200"/>
      <c r="AH10" s="207"/>
      <c r="AI10" s="369"/>
      <c r="AJ10" s="257">
        <f t="shared" ref="AJ10:AJ44" si="4">SUM(V10:AI10)</f>
        <v>0</v>
      </c>
      <c r="AK10" s="201"/>
      <c r="AL10" s="201"/>
      <c r="AM10" s="201"/>
      <c r="AN10" s="201"/>
      <c r="AO10" s="201"/>
      <c r="AP10" s="201"/>
      <c r="AQ10" s="202"/>
      <c r="AR10" s="203">
        <f t="shared" si="3"/>
        <v>0</v>
      </c>
      <c r="AS10" s="204"/>
      <c r="AT10" s="268"/>
    </row>
    <row r="11" spans="1:46" ht="13.5" customHeight="1" thickBot="1">
      <c r="A11" s="546">
        <v>44348</v>
      </c>
      <c r="B11" s="782">
        <v>0.2</v>
      </c>
      <c r="C11" s="763">
        <f>SUM(C9+D11)</f>
        <v>46478.349999999991</v>
      </c>
      <c r="D11" s="764">
        <v>15000</v>
      </c>
      <c r="E11" s="761"/>
      <c r="F11" s="284"/>
      <c r="G11" s="762"/>
      <c r="H11" s="192">
        <v>1164.5999999999999</v>
      </c>
      <c r="I11" s="210"/>
      <c r="J11" s="192"/>
      <c r="K11" s="192"/>
      <c r="L11" s="284"/>
      <c r="M11" s="283"/>
      <c r="N11" s="194">
        <v>2783</v>
      </c>
      <c r="O11" s="194"/>
      <c r="P11" s="194"/>
      <c r="Q11" s="194"/>
      <c r="R11" s="534"/>
      <c r="S11" s="541">
        <f t="shared" si="0"/>
        <v>1164.5999999999999</v>
      </c>
      <c r="T11" s="206">
        <f t="shared" si="1"/>
        <v>2783</v>
      </c>
      <c r="U11" s="540">
        <f t="shared" si="2"/>
        <v>0.41846927775781528</v>
      </c>
      <c r="V11" s="199">
        <v>21</v>
      </c>
      <c r="W11" s="207"/>
      <c r="X11" s="185"/>
      <c r="Y11" s="207"/>
      <c r="Z11" s="192"/>
      <c r="AA11" s="251"/>
      <c r="AB11" s="207"/>
      <c r="AC11" s="207"/>
      <c r="AD11" s="207"/>
      <c r="AE11" s="207"/>
      <c r="AF11" s="207"/>
      <c r="AG11" s="207"/>
      <c r="AH11" s="207"/>
      <c r="AI11" s="369"/>
      <c r="AJ11" s="257">
        <f t="shared" si="4"/>
        <v>21</v>
      </c>
      <c r="AK11" s="208"/>
      <c r="AL11" s="208"/>
      <c r="AM11" s="208"/>
      <c r="AN11" s="208"/>
      <c r="AO11" s="208"/>
      <c r="AP11" s="208"/>
      <c r="AQ11" s="208"/>
      <c r="AR11" s="203">
        <f t="shared" si="3"/>
        <v>1185.5999999999999</v>
      </c>
      <c r="AS11" s="209">
        <f>AR11*AU11</f>
        <v>0</v>
      </c>
      <c r="AT11" s="268">
        <f t="shared" ref="AT11:AT43" si="5">C11</f>
        <v>46478.349999999991</v>
      </c>
    </row>
    <row r="12" spans="1:46" ht="13.5" customHeight="1" thickBot="1">
      <c r="A12" s="546">
        <v>44349</v>
      </c>
      <c r="B12" s="783">
        <v>0.12</v>
      </c>
      <c r="C12" s="763">
        <f t="shared" ref="C12:C43" si="6">SUM(C11-AR11+D12)</f>
        <v>45292.749999999993</v>
      </c>
      <c r="D12" s="764"/>
      <c r="E12" s="761"/>
      <c r="F12" s="284"/>
      <c r="G12" s="762">
        <v>578.98</v>
      </c>
      <c r="H12" s="192"/>
      <c r="I12" s="210"/>
      <c r="J12" s="192">
        <v>461.61</v>
      </c>
      <c r="K12" s="192">
        <v>621.09</v>
      </c>
      <c r="L12" s="284"/>
      <c r="M12" s="283">
        <v>1365</v>
      </c>
      <c r="N12" s="194"/>
      <c r="O12" s="194"/>
      <c r="P12" s="194">
        <v>1115</v>
      </c>
      <c r="Q12" s="194">
        <v>1335</v>
      </c>
      <c r="R12" s="534"/>
      <c r="S12" s="541">
        <f t="shared" si="0"/>
        <v>1661.6800000000003</v>
      </c>
      <c r="T12" s="206">
        <f t="shared" si="1"/>
        <v>3815</v>
      </c>
      <c r="U12" s="540">
        <f t="shared" si="2"/>
        <v>0.4355648754914811</v>
      </c>
      <c r="V12" s="199"/>
      <c r="W12" s="207"/>
      <c r="X12" s="185"/>
      <c r="Y12" s="207">
        <v>70.680000000000007</v>
      </c>
      <c r="Z12" s="192"/>
      <c r="AA12" s="251"/>
      <c r="AB12" s="207"/>
      <c r="AC12" s="207"/>
      <c r="AD12" s="207"/>
      <c r="AE12" s="207"/>
      <c r="AF12" s="207"/>
      <c r="AG12" s="207"/>
      <c r="AH12" s="207"/>
      <c r="AI12" s="369"/>
      <c r="AJ12" s="257">
        <f>SUM(V12:AI12)</f>
        <v>70.680000000000007</v>
      </c>
      <c r="AK12" s="201"/>
      <c r="AL12" s="201"/>
      <c r="AM12" s="201"/>
      <c r="AN12" s="201"/>
      <c r="AO12" s="201"/>
      <c r="AP12" s="201"/>
      <c r="AQ12" s="201"/>
      <c r="AR12" s="203">
        <f t="shared" si="3"/>
        <v>1732.3600000000004</v>
      </c>
      <c r="AS12" s="209">
        <f t="shared" ref="AS12:AS44" si="7">AR12*AU12</f>
        <v>0</v>
      </c>
      <c r="AT12" s="268">
        <f t="shared" si="5"/>
        <v>45292.749999999993</v>
      </c>
    </row>
    <row r="13" spans="1:46" ht="13.5" customHeight="1" thickBot="1">
      <c r="A13" s="546">
        <v>44350</v>
      </c>
      <c r="B13" s="784">
        <v>0.12</v>
      </c>
      <c r="C13" s="763">
        <f t="shared" si="6"/>
        <v>43560.389999999992</v>
      </c>
      <c r="D13" s="764"/>
      <c r="E13" s="761">
        <v>15000</v>
      </c>
      <c r="F13" s="802" t="s">
        <v>195</v>
      </c>
      <c r="G13" s="762">
        <v>895.17</v>
      </c>
      <c r="H13" s="192">
        <v>483.61</v>
      </c>
      <c r="I13" s="210"/>
      <c r="J13" s="192"/>
      <c r="K13" s="192"/>
      <c r="L13" s="284"/>
      <c r="M13" s="283">
        <v>2196</v>
      </c>
      <c r="N13" s="194">
        <v>1170</v>
      </c>
      <c r="O13" s="194"/>
      <c r="P13" s="194"/>
      <c r="Q13" s="194"/>
      <c r="R13" s="534"/>
      <c r="S13" s="541">
        <f t="shared" si="0"/>
        <v>1378.78</v>
      </c>
      <c r="T13" s="206">
        <f t="shared" si="1"/>
        <v>3366</v>
      </c>
      <c r="U13" s="540">
        <f t="shared" si="2"/>
        <v>0.40961972667855018</v>
      </c>
      <c r="V13" s="199">
        <v>26.89</v>
      </c>
      <c r="W13" s="207"/>
      <c r="X13" s="185">
        <v>10.37</v>
      </c>
      <c r="Y13" s="207"/>
      <c r="Z13" s="192">
        <v>22.98</v>
      </c>
      <c r="AA13" s="251">
        <v>92.63</v>
      </c>
      <c r="AB13" s="207">
        <v>113.16</v>
      </c>
      <c r="AC13" s="207"/>
      <c r="AD13" s="207"/>
      <c r="AE13" s="207"/>
      <c r="AF13" s="207"/>
      <c r="AG13" s="207"/>
      <c r="AH13" s="207"/>
      <c r="AI13" s="369"/>
      <c r="AJ13" s="257">
        <f t="shared" si="4"/>
        <v>266.02999999999997</v>
      </c>
      <c r="AK13" s="211"/>
      <c r="AL13" s="211"/>
      <c r="AM13" s="211"/>
      <c r="AN13" s="211"/>
      <c r="AO13" s="211"/>
      <c r="AP13" s="211"/>
      <c r="AQ13" s="211"/>
      <c r="AR13" s="203">
        <f t="shared" si="3"/>
        <v>1644.81</v>
      </c>
      <c r="AS13" s="209">
        <f t="shared" si="7"/>
        <v>0</v>
      </c>
      <c r="AT13" s="268">
        <f t="shared" si="5"/>
        <v>43560.389999999992</v>
      </c>
    </row>
    <row r="14" spans="1:46" ht="13.5" customHeight="1" thickBot="1">
      <c r="A14" s="546">
        <v>44351</v>
      </c>
      <c r="B14" s="784">
        <v>0.17</v>
      </c>
      <c r="C14" s="763">
        <f t="shared" si="6"/>
        <v>41915.579999999994</v>
      </c>
      <c r="D14" s="764"/>
      <c r="E14" s="761"/>
      <c r="F14" s="765"/>
      <c r="G14" s="762"/>
      <c r="H14" s="192"/>
      <c r="I14" s="210"/>
      <c r="J14" s="192"/>
      <c r="K14" s="192">
        <v>891.33</v>
      </c>
      <c r="L14" s="284">
        <v>492.13</v>
      </c>
      <c r="M14" s="283"/>
      <c r="N14" s="194"/>
      <c r="O14" s="194"/>
      <c r="P14" s="194"/>
      <c r="Q14" s="194">
        <v>2169</v>
      </c>
      <c r="R14" s="534">
        <v>1290</v>
      </c>
      <c r="S14" s="541">
        <f t="shared" si="0"/>
        <v>1383.46</v>
      </c>
      <c r="T14" s="206">
        <f t="shared" si="1"/>
        <v>3459</v>
      </c>
      <c r="U14" s="540">
        <f t="shared" si="2"/>
        <v>0.39995952587453021</v>
      </c>
      <c r="V14" s="199"/>
      <c r="W14" s="207"/>
      <c r="X14" s="185">
        <v>62.77</v>
      </c>
      <c r="Y14" s="207"/>
      <c r="Z14" s="192"/>
      <c r="AA14" s="251"/>
      <c r="AB14" s="207"/>
      <c r="AC14" s="207"/>
      <c r="AD14" s="207"/>
      <c r="AE14" s="207"/>
      <c r="AF14" s="207"/>
      <c r="AG14" s="207"/>
      <c r="AH14" s="207"/>
      <c r="AI14" s="369">
        <v>60</v>
      </c>
      <c r="AJ14" s="257">
        <f t="shared" si="4"/>
        <v>122.77000000000001</v>
      </c>
      <c r="AK14" s="208"/>
      <c r="AL14" s="208"/>
      <c r="AM14" s="208"/>
      <c r="AN14" s="208"/>
      <c r="AO14" s="208"/>
      <c r="AP14" s="208"/>
      <c r="AQ14" s="208"/>
      <c r="AR14" s="203">
        <f t="shared" si="3"/>
        <v>1506.23</v>
      </c>
      <c r="AS14" s="209">
        <f t="shared" si="7"/>
        <v>0</v>
      </c>
      <c r="AT14" s="268">
        <f t="shared" si="5"/>
        <v>41915.579999999994</v>
      </c>
    </row>
    <row r="15" spans="1:46" ht="13.5" customHeight="1" thickBot="1">
      <c r="A15" s="546">
        <v>44352</v>
      </c>
      <c r="B15" s="784">
        <v>0.2</v>
      </c>
      <c r="C15" s="763">
        <f t="shared" si="6"/>
        <v>40409.349999999991</v>
      </c>
      <c r="D15" s="764"/>
      <c r="E15" s="761"/>
      <c r="F15" s="765"/>
      <c r="G15" s="762"/>
      <c r="H15" s="192"/>
      <c r="I15" s="210"/>
      <c r="J15" s="192">
        <v>939.12</v>
      </c>
      <c r="K15" s="192"/>
      <c r="L15" s="284">
        <v>530.91999999999996</v>
      </c>
      <c r="M15" s="283"/>
      <c r="N15" s="194"/>
      <c r="O15" s="194"/>
      <c r="P15" s="194">
        <v>2291</v>
      </c>
      <c r="Q15" s="194"/>
      <c r="R15" s="534">
        <v>1172</v>
      </c>
      <c r="S15" s="541">
        <f t="shared" si="0"/>
        <v>1470.04</v>
      </c>
      <c r="T15" s="206">
        <f t="shared" si="1"/>
        <v>3463</v>
      </c>
      <c r="U15" s="540">
        <f t="shared" si="2"/>
        <v>0.4244989893156223</v>
      </c>
      <c r="V15" s="199"/>
      <c r="W15" s="207"/>
      <c r="X15" s="185">
        <v>10.28</v>
      </c>
      <c r="Y15" s="207"/>
      <c r="Z15" s="192">
        <v>68.83</v>
      </c>
      <c r="AA15" s="251"/>
      <c r="AB15" s="207"/>
      <c r="AC15" s="207"/>
      <c r="AD15" s="207"/>
      <c r="AE15" s="207"/>
      <c r="AF15" s="207"/>
      <c r="AG15" s="207"/>
      <c r="AH15" s="207"/>
      <c r="AI15" s="369"/>
      <c r="AJ15" s="257">
        <f t="shared" si="4"/>
        <v>79.11</v>
      </c>
      <c r="AK15" s="208"/>
      <c r="AL15" s="208"/>
      <c r="AM15" s="208"/>
      <c r="AN15" s="208"/>
      <c r="AO15" s="208"/>
      <c r="AP15" s="208"/>
      <c r="AQ15" s="208"/>
      <c r="AR15" s="203">
        <f t="shared" si="3"/>
        <v>1549.1499999999999</v>
      </c>
      <c r="AS15" s="209">
        <f t="shared" si="7"/>
        <v>0</v>
      </c>
      <c r="AT15" s="268">
        <f t="shared" si="5"/>
        <v>40409.349999999991</v>
      </c>
    </row>
    <row r="16" spans="1:46" ht="13.5" customHeight="1" thickBot="1">
      <c r="A16" s="546">
        <v>44353</v>
      </c>
      <c r="B16" s="784">
        <v>0.2</v>
      </c>
      <c r="C16" s="763">
        <f t="shared" si="6"/>
        <v>38860.19999999999</v>
      </c>
      <c r="D16" s="764"/>
      <c r="E16" s="761"/>
      <c r="F16" s="765"/>
      <c r="G16" s="762">
        <v>889.06</v>
      </c>
      <c r="H16" s="192"/>
      <c r="I16" s="210"/>
      <c r="J16" s="192"/>
      <c r="K16" s="192"/>
      <c r="L16" s="284">
        <v>449.9</v>
      </c>
      <c r="M16" s="283">
        <v>2195</v>
      </c>
      <c r="N16" s="194"/>
      <c r="O16" s="194"/>
      <c r="P16" s="194"/>
      <c r="Q16" s="194"/>
      <c r="R16" s="534">
        <v>1118</v>
      </c>
      <c r="S16" s="541">
        <f t="shared" si="0"/>
        <v>1338.96</v>
      </c>
      <c r="T16" s="206">
        <f t="shared" si="1"/>
        <v>3313</v>
      </c>
      <c r="U16" s="540">
        <f t="shared" si="2"/>
        <v>0.40415333534560821</v>
      </c>
      <c r="V16" s="199"/>
      <c r="W16" s="207"/>
      <c r="X16" s="185"/>
      <c r="Y16" s="207"/>
      <c r="Z16" s="192"/>
      <c r="AA16" s="251">
        <v>45.75</v>
      </c>
      <c r="AB16" s="207"/>
      <c r="AC16" s="207"/>
      <c r="AD16" s="207"/>
      <c r="AE16" s="207"/>
      <c r="AF16" s="207"/>
      <c r="AG16" s="207"/>
      <c r="AH16" s="207">
        <v>138</v>
      </c>
      <c r="AI16" s="369"/>
      <c r="AJ16" s="257">
        <f t="shared" si="4"/>
        <v>183.75</v>
      </c>
      <c r="AK16" s="208"/>
      <c r="AL16" s="208"/>
      <c r="AM16" s="208"/>
      <c r="AN16" s="208"/>
      <c r="AO16" s="208"/>
      <c r="AP16" s="208"/>
      <c r="AQ16" s="208"/>
      <c r="AR16" s="203">
        <f t="shared" si="3"/>
        <v>1522.71</v>
      </c>
      <c r="AS16" s="209">
        <f t="shared" si="7"/>
        <v>0</v>
      </c>
      <c r="AT16" s="268">
        <f t="shared" si="5"/>
        <v>38860.19999999999</v>
      </c>
    </row>
    <row r="17" spans="1:46" ht="13.5" customHeight="1" thickBot="1">
      <c r="A17" s="546">
        <v>44354</v>
      </c>
      <c r="B17" s="784">
        <v>0.18</v>
      </c>
      <c r="C17" s="763">
        <f t="shared" si="6"/>
        <v>37337.489999999991</v>
      </c>
      <c r="D17" s="764"/>
      <c r="E17" s="761"/>
      <c r="F17" s="765"/>
      <c r="G17" s="762"/>
      <c r="H17" s="192">
        <v>1368.2</v>
      </c>
      <c r="I17" s="210"/>
      <c r="J17" s="192"/>
      <c r="K17" s="192"/>
      <c r="L17" s="284"/>
      <c r="M17" s="283"/>
      <c r="N17" s="194">
        <v>3517</v>
      </c>
      <c r="O17" s="194"/>
      <c r="P17" s="194"/>
      <c r="Q17" s="194"/>
      <c r="R17" s="534"/>
      <c r="S17" s="541">
        <f t="shared" si="0"/>
        <v>1368.2</v>
      </c>
      <c r="T17" s="206">
        <f t="shared" si="1"/>
        <v>3517</v>
      </c>
      <c r="U17" s="540">
        <f t="shared" si="2"/>
        <v>0.38902473699175433</v>
      </c>
      <c r="V17" s="199">
        <v>71.81</v>
      </c>
      <c r="W17" s="207"/>
      <c r="X17" s="185"/>
      <c r="Y17" s="207"/>
      <c r="Z17" s="192">
        <v>32.76</v>
      </c>
      <c r="AA17" s="251"/>
      <c r="AB17" s="207"/>
      <c r="AC17" s="207"/>
      <c r="AD17" s="207"/>
      <c r="AE17" s="207"/>
      <c r="AF17" s="207"/>
      <c r="AG17" s="207"/>
      <c r="AH17" s="207"/>
      <c r="AI17" s="369"/>
      <c r="AJ17" s="257">
        <f t="shared" si="4"/>
        <v>104.57</v>
      </c>
      <c r="AK17" s="208"/>
      <c r="AL17" s="208"/>
      <c r="AM17" s="208"/>
      <c r="AN17" s="208"/>
      <c r="AO17" s="208"/>
      <c r="AP17" s="208"/>
      <c r="AQ17" s="208"/>
      <c r="AR17" s="203">
        <f t="shared" si="3"/>
        <v>1472.77</v>
      </c>
      <c r="AS17" s="209">
        <f t="shared" si="7"/>
        <v>0</v>
      </c>
      <c r="AT17" s="268">
        <f t="shared" si="5"/>
        <v>37337.489999999991</v>
      </c>
    </row>
    <row r="18" spans="1:46" ht="13.5" customHeight="1" thickBot="1">
      <c r="A18" s="546">
        <v>44355</v>
      </c>
      <c r="B18" s="784">
        <v>0.21</v>
      </c>
      <c r="C18" s="763">
        <f t="shared" si="6"/>
        <v>35864.719999999994</v>
      </c>
      <c r="D18" s="764"/>
      <c r="E18" s="761"/>
      <c r="F18" s="765"/>
      <c r="G18" s="762"/>
      <c r="H18" s="192"/>
      <c r="I18" s="210"/>
      <c r="J18" s="192">
        <v>877.92</v>
      </c>
      <c r="K18" s="192"/>
      <c r="L18" s="284">
        <v>469.69</v>
      </c>
      <c r="M18" s="283"/>
      <c r="N18" s="194"/>
      <c r="O18" s="194"/>
      <c r="P18" s="194">
        <v>2206</v>
      </c>
      <c r="Q18" s="194"/>
      <c r="R18" s="534">
        <v>1172</v>
      </c>
      <c r="S18" s="541">
        <f t="shared" si="0"/>
        <v>1347.61</v>
      </c>
      <c r="T18" s="206">
        <f t="shared" si="1"/>
        <v>3378</v>
      </c>
      <c r="U18" s="540">
        <f t="shared" si="2"/>
        <v>0.3989372409709887</v>
      </c>
      <c r="V18" s="199"/>
      <c r="W18" s="207"/>
      <c r="X18" s="185"/>
      <c r="Y18" s="207"/>
      <c r="Z18" s="192"/>
      <c r="AA18" s="251"/>
      <c r="AB18" s="207"/>
      <c r="AC18" s="207"/>
      <c r="AD18" s="207"/>
      <c r="AE18" s="207"/>
      <c r="AF18" s="207"/>
      <c r="AG18" s="207"/>
      <c r="AH18" s="207"/>
      <c r="AI18" s="369"/>
      <c r="AJ18" s="257">
        <f t="shared" si="4"/>
        <v>0</v>
      </c>
      <c r="AK18" s="208"/>
      <c r="AL18" s="208"/>
      <c r="AM18" s="208"/>
      <c r="AN18" s="208"/>
      <c r="AO18" s="208"/>
      <c r="AP18" s="208"/>
      <c r="AQ18" s="208"/>
      <c r="AR18" s="203">
        <f t="shared" si="3"/>
        <v>1347.61</v>
      </c>
      <c r="AS18" s="209">
        <f t="shared" si="7"/>
        <v>0</v>
      </c>
      <c r="AT18" s="268">
        <f t="shared" si="5"/>
        <v>35864.719999999994</v>
      </c>
    </row>
    <row r="19" spans="1:46" ht="13.5" customHeight="1" thickBot="1">
      <c r="A19" s="546">
        <v>44356</v>
      </c>
      <c r="B19" s="784">
        <v>0.17</v>
      </c>
      <c r="C19" s="763">
        <f t="shared" si="6"/>
        <v>34517.109999999993</v>
      </c>
      <c r="D19" s="764"/>
      <c r="E19" s="761"/>
      <c r="F19" s="765"/>
      <c r="G19" s="762"/>
      <c r="H19" s="192"/>
      <c r="I19" s="210"/>
      <c r="J19" s="192"/>
      <c r="K19" s="192">
        <v>868.4</v>
      </c>
      <c r="L19" s="284">
        <v>395.15</v>
      </c>
      <c r="M19" s="283"/>
      <c r="N19" s="194"/>
      <c r="O19" s="194"/>
      <c r="P19" s="194"/>
      <c r="Q19" s="194">
        <v>2182</v>
      </c>
      <c r="R19" s="534">
        <v>981</v>
      </c>
      <c r="S19" s="541">
        <f t="shared" si="0"/>
        <v>1263.55</v>
      </c>
      <c r="T19" s="206">
        <f t="shared" si="1"/>
        <v>3163</v>
      </c>
      <c r="U19" s="540">
        <f t="shared" si="2"/>
        <v>0.39947834334492571</v>
      </c>
      <c r="V19" s="199"/>
      <c r="W19" s="207"/>
      <c r="X19" s="185"/>
      <c r="Y19" s="207"/>
      <c r="Z19" s="192"/>
      <c r="AA19" s="251">
        <v>51.75</v>
      </c>
      <c r="AB19" s="207"/>
      <c r="AC19" s="207"/>
      <c r="AD19" s="207"/>
      <c r="AE19" s="207"/>
      <c r="AF19" s="207"/>
      <c r="AG19" s="207"/>
      <c r="AH19" s="207">
        <v>95</v>
      </c>
      <c r="AI19" s="369"/>
      <c r="AJ19" s="257">
        <f t="shared" si="4"/>
        <v>146.75</v>
      </c>
      <c r="AK19" s="208"/>
      <c r="AL19" s="202"/>
      <c r="AM19" s="208"/>
      <c r="AN19" s="212"/>
      <c r="AO19" s="212"/>
      <c r="AP19" s="212"/>
      <c r="AQ19" s="213"/>
      <c r="AR19" s="203">
        <f t="shared" si="3"/>
        <v>1410.3</v>
      </c>
      <c r="AS19" s="209">
        <f t="shared" si="7"/>
        <v>0</v>
      </c>
      <c r="AT19" s="268">
        <f t="shared" si="5"/>
        <v>34517.109999999993</v>
      </c>
    </row>
    <row r="20" spans="1:46" ht="16.5" thickBot="1">
      <c r="A20" s="546">
        <v>44357</v>
      </c>
      <c r="B20" s="784">
        <v>0.08</v>
      </c>
      <c r="C20" s="763">
        <f t="shared" si="6"/>
        <v>33106.80999999999</v>
      </c>
      <c r="D20" s="764"/>
      <c r="E20" s="761"/>
      <c r="F20" s="765"/>
      <c r="G20" s="762">
        <v>433.21</v>
      </c>
      <c r="H20" s="207">
        <v>892.63</v>
      </c>
      <c r="I20" s="210"/>
      <c r="J20" s="192"/>
      <c r="K20" s="192"/>
      <c r="L20" s="502"/>
      <c r="M20" s="283">
        <v>1046</v>
      </c>
      <c r="N20" s="194">
        <v>2319</v>
      </c>
      <c r="O20" s="194"/>
      <c r="P20" s="194"/>
      <c r="Q20" s="194"/>
      <c r="R20" s="534"/>
      <c r="S20" s="541">
        <f t="shared" si="0"/>
        <v>1325.84</v>
      </c>
      <c r="T20" s="206">
        <f t="shared" si="1"/>
        <v>3365</v>
      </c>
      <c r="U20" s="540">
        <f t="shared" si="2"/>
        <v>0.39400891530460619</v>
      </c>
      <c r="V20" s="199"/>
      <c r="W20" s="207">
        <v>4.9400000000000004</v>
      </c>
      <c r="X20" s="185"/>
      <c r="Y20" s="207"/>
      <c r="Z20" s="192"/>
      <c r="AA20" s="251"/>
      <c r="AB20" s="207"/>
      <c r="AC20" s="207"/>
      <c r="AD20" s="207"/>
      <c r="AE20" s="207"/>
      <c r="AF20" s="207"/>
      <c r="AG20" s="207"/>
      <c r="AH20" s="207">
        <v>41</v>
      </c>
      <c r="AI20" s="369"/>
      <c r="AJ20" s="257">
        <f t="shared" si="4"/>
        <v>45.94</v>
      </c>
      <c r="AK20" s="208"/>
      <c r="AL20" s="202"/>
      <c r="AM20" s="208"/>
      <c r="AN20" s="212"/>
      <c r="AO20" s="212"/>
      <c r="AP20" s="212"/>
      <c r="AQ20" s="213"/>
      <c r="AR20" s="203">
        <f t="shared" si="3"/>
        <v>1371.78</v>
      </c>
      <c r="AS20" s="209">
        <f t="shared" si="7"/>
        <v>0</v>
      </c>
      <c r="AT20" s="268">
        <f t="shared" si="5"/>
        <v>33106.80999999999</v>
      </c>
    </row>
    <row r="21" spans="1:46" ht="16.5" thickBot="1">
      <c r="A21" s="546">
        <v>44358</v>
      </c>
      <c r="B21" s="784">
        <v>0.13</v>
      </c>
      <c r="C21" s="763">
        <f t="shared" si="6"/>
        <v>31735.029999999992</v>
      </c>
      <c r="D21" s="764"/>
      <c r="E21" s="761"/>
      <c r="F21" s="765"/>
      <c r="G21" s="762"/>
      <c r="H21" s="207">
        <v>924.45</v>
      </c>
      <c r="I21" s="210"/>
      <c r="J21" s="192">
        <v>460.53</v>
      </c>
      <c r="K21" s="192"/>
      <c r="L21" s="471"/>
      <c r="M21" s="283"/>
      <c r="N21" s="283">
        <v>2419</v>
      </c>
      <c r="O21" s="194"/>
      <c r="P21" s="194">
        <v>1136</v>
      </c>
      <c r="Q21" s="194"/>
      <c r="R21" s="534"/>
      <c r="S21" s="541">
        <f t="shared" si="0"/>
        <v>1384.98</v>
      </c>
      <c r="T21" s="206">
        <f t="shared" si="1"/>
        <v>3555</v>
      </c>
      <c r="U21" s="540">
        <f t="shared" si="2"/>
        <v>0.38958649789029537</v>
      </c>
      <c r="V21" s="199"/>
      <c r="W21" s="207"/>
      <c r="X21" s="185"/>
      <c r="Y21" s="207"/>
      <c r="Z21" s="192">
        <v>51.86</v>
      </c>
      <c r="AA21" s="251"/>
      <c r="AB21" s="207"/>
      <c r="AC21" s="207"/>
      <c r="AD21" s="207"/>
      <c r="AE21" s="207"/>
      <c r="AF21" s="207"/>
      <c r="AG21" s="207"/>
      <c r="AH21" s="207"/>
      <c r="AI21" s="369"/>
      <c r="AJ21" s="257">
        <f t="shared" si="4"/>
        <v>51.86</v>
      </c>
      <c r="AK21" s="201"/>
      <c r="AL21" s="202"/>
      <c r="AM21" s="208"/>
      <c r="AN21" s="212"/>
      <c r="AO21" s="212"/>
      <c r="AP21" s="212"/>
      <c r="AQ21" s="213"/>
      <c r="AR21" s="203">
        <f>SUM(AJ21+S21)</f>
        <v>1436.84</v>
      </c>
      <c r="AS21" s="209">
        <f t="shared" si="7"/>
        <v>0</v>
      </c>
      <c r="AT21" s="268">
        <f t="shared" si="5"/>
        <v>31735.029999999992</v>
      </c>
    </row>
    <row r="22" spans="1:46" ht="16.5" thickBot="1">
      <c r="A22" s="546">
        <v>44359</v>
      </c>
      <c r="B22" s="784">
        <v>0.13</v>
      </c>
      <c r="C22" s="763">
        <f t="shared" si="6"/>
        <v>30298.189999999991</v>
      </c>
      <c r="D22" s="764"/>
      <c r="E22" s="761"/>
      <c r="F22" s="766"/>
      <c r="G22" s="762">
        <v>572.49</v>
      </c>
      <c r="H22" s="192"/>
      <c r="I22" s="210"/>
      <c r="J22" s="192"/>
      <c r="K22" s="192"/>
      <c r="L22" s="502">
        <v>961.97</v>
      </c>
      <c r="M22" s="283">
        <v>1399</v>
      </c>
      <c r="N22" s="283"/>
      <c r="O22" s="194"/>
      <c r="P22" s="194"/>
      <c r="Q22" s="194"/>
      <c r="R22" s="534">
        <v>2481</v>
      </c>
      <c r="S22" s="541">
        <f t="shared" si="0"/>
        <v>1534.46</v>
      </c>
      <c r="T22" s="206">
        <f t="shared" si="1"/>
        <v>3880</v>
      </c>
      <c r="U22" s="540">
        <f t="shared" si="2"/>
        <v>0.39547938144329897</v>
      </c>
      <c r="V22" s="199">
        <v>86.4</v>
      </c>
      <c r="W22" s="207"/>
      <c r="X22" s="185"/>
      <c r="Y22" s="207"/>
      <c r="Z22" s="192">
        <v>52.91</v>
      </c>
      <c r="AA22" s="251"/>
      <c r="AB22" s="207">
        <v>33.049999999999997</v>
      </c>
      <c r="AC22" s="207"/>
      <c r="AD22" s="207"/>
      <c r="AE22" s="207"/>
      <c r="AF22" s="207"/>
      <c r="AG22" s="207"/>
      <c r="AH22" s="207">
        <v>145</v>
      </c>
      <c r="AI22" s="369"/>
      <c r="AJ22" s="257">
        <f t="shared" si="4"/>
        <v>317.36</v>
      </c>
      <c r="AK22" s="201"/>
      <c r="AL22" s="202"/>
      <c r="AM22" s="208"/>
      <c r="AN22" s="212"/>
      <c r="AO22" s="212"/>
      <c r="AP22" s="212"/>
      <c r="AQ22" s="213"/>
      <c r="AR22" s="203">
        <f t="shared" si="3"/>
        <v>1851.8200000000002</v>
      </c>
      <c r="AS22" s="209">
        <f t="shared" si="7"/>
        <v>0</v>
      </c>
      <c r="AT22" s="268">
        <f t="shared" si="5"/>
        <v>30298.189999999991</v>
      </c>
    </row>
    <row r="23" spans="1:46" ht="13.5" customHeight="1" thickBot="1">
      <c r="A23" s="546">
        <v>44360</v>
      </c>
      <c r="B23" s="784">
        <v>0.22</v>
      </c>
      <c r="C23" s="763">
        <f t="shared" si="6"/>
        <v>28446.369999999992</v>
      </c>
      <c r="D23" s="764"/>
      <c r="E23" s="761">
        <v>15000</v>
      </c>
      <c r="F23" s="802" t="s">
        <v>195</v>
      </c>
      <c r="G23" s="762"/>
      <c r="H23" s="207">
        <v>999.57</v>
      </c>
      <c r="I23" s="210"/>
      <c r="J23" s="192"/>
      <c r="K23" s="192"/>
      <c r="L23" s="502">
        <v>472.74</v>
      </c>
      <c r="M23" s="283"/>
      <c r="N23" s="194">
        <v>2443</v>
      </c>
      <c r="O23" s="194"/>
      <c r="P23" s="194"/>
      <c r="Q23" s="194"/>
      <c r="R23" s="534">
        <v>1158</v>
      </c>
      <c r="S23" s="541">
        <f t="shared" si="0"/>
        <v>1472.31</v>
      </c>
      <c r="T23" s="206">
        <f t="shared" si="1"/>
        <v>3601</v>
      </c>
      <c r="U23" s="540">
        <f t="shared" si="2"/>
        <v>0.40886142738128295</v>
      </c>
      <c r="V23" s="199">
        <v>27.12</v>
      </c>
      <c r="W23" s="207"/>
      <c r="X23" s="185"/>
      <c r="Y23" s="207"/>
      <c r="Z23" s="192"/>
      <c r="AA23" s="251">
        <v>29.81</v>
      </c>
      <c r="AB23" s="207"/>
      <c r="AC23" s="207">
        <v>61.29</v>
      </c>
      <c r="AD23" s="207"/>
      <c r="AE23" s="207"/>
      <c r="AF23" s="207"/>
      <c r="AG23" s="207"/>
      <c r="AH23" s="207">
        <v>140</v>
      </c>
      <c r="AI23" s="369"/>
      <c r="AJ23" s="257">
        <f t="shared" si="4"/>
        <v>258.22000000000003</v>
      </c>
      <c r="AK23" s="201"/>
      <c r="AL23" s="201"/>
      <c r="AM23" s="201"/>
      <c r="AN23" s="201"/>
      <c r="AO23" s="201"/>
      <c r="AP23" s="201"/>
      <c r="AQ23" s="201"/>
      <c r="AR23" s="203">
        <f t="shared" si="3"/>
        <v>1730.53</v>
      </c>
      <c r="AS23" s="209">
        <f t="shared" si="7"/>
        <v>0</v>
      </c>
      <c r="AT23" s="268">
        <f t="shared" si="5"/>
        <v>28446.369999999992</v>
      </c>
    </row>
    <row r="24" spans="1:46" ht="16.5" thickBot="1">
      <c r="A24" s="546">
        <v>44361</v>
      </c>
      <c r="B24" s="784">
        <v>0.15</v>
      </c>
      <c r="C24" s="763">
        <f t="shared" si="6"/>
        <v>26715.839999999993</v>
      </c>
      <c r="D24" s="767"/>
      <c r="E24" s="761"/>
      <c r="F24" s="766"/>
      <c r="G24" s="762">
        <v>573.35</v>
      </c>
      <c r="H24" s="192"/>
      <c r="I24" s="210"/>
      <c r="J24" s="192"/>
      <c r="K24" s="192">
        <v>1001.71</v>
      </c>
      <c r="L24" s="502"/>
      <c r="M24" s="283">
        <v>1418</v>
      </c>
      <c r="N24" s="283"/>
      <c r="O24" s="194"/>
      <c r="P24" s="194"/>
      <c r="Q24" s="194">
        <v>2556</v>
      </c>
      <c r="R24" s="534"/>
      <c r="S24" s="541">
        <f>SUM(F24:L24)</f>
        <v>1575.06</v>
      </c>
      <c r="T24" s="206">
        <f t="shared" si="1"/>
        <v>3974</v>
      </c>
      <c r="U24" s="540">
        <f t="shared" si="2"/>
        <v>0.39634121791645693</v>
      </c>
      <c r="V24" s="199"/>
      <c r="W24" s="207"/>
      <c r="X24" s="185"/>
      <c r="Y24" s="207"/>
      <c r="Z24" s="192">
        <v>33.43</v>
      </c>
      <c r="AA24" s="251"/>
      <c r="AB24" s="207"/>
      <c r="AC24" s="207"/>
      <c r="AD24" s="207"/>
      <c r="AE24" s="207"/>
      <c r="AF24" s="207"/>
      <c r="AG24" s="207"/>
      <c r="AH24" s="207">
        <v>229</v>
      </c>
      <c r="AI24" s="369"/>
      <c r="AJ24" s="257">
        <f t="shared" si="4"/>
        <v>262.43</v>
      </c>
      <c r="AK24" s="201"/>
      <c r="AL24" s="201"/>
      <c r="AM24" s="201"/>
      <c r="AN24" s="201"/>
      <c r="AO24" s="201"/>
      <c r="AP24" s="201"/>
      <c r="AQ24" s="201"/>
      <c r="AR24" s="203">
        <f>SUM(AJ24+S24)</f>
        <v>1837.49</v>
      </c>
      <c r="AS24" s="209">
        <f t="shared" si="7"/>
        <v>0</v>
      </c>
      <c r="AT24" s="268">
        <f t="shared" si="5"/>
        <v>26715.839999999993</v>
      </c>
    </row>
    <row r="25" spans="1:46" ht="16.5" thickBot="1">
      <c r="A25" s="546">
        <v>44362</v>
      </c>
      <c r="B25" s="784">
        <v>0.18</v>
      </c>
      <c r="C25" s="763">
        <f t="shared" si="6"/>
        <v>39878.349999999991</v>
      </c>
      <c r="D25" s="764">
        <v>15000</v>
      </c>
      <c r="E25" s="761"/>
      <c r="F25" s="765"/>
      <c r="G25" s="762"/>
      <c r="H25" s="207"/>
      <c r="I25" s="210"/>
      <c r="J25" s="192">
        <v>432.8</v>
      </c>
      <c r="K25" s="192"/>
      <c r="L25" s="502">
        <v>1045.6500000000001</v>
      </c>
      <c r="M25" s="283"/>
      <c r="N25" s="194"/>
      <c r="O25" s="194"/>
      <c r="P25" s="194">
        <v>1010</v>
      </c>
      <c r="Q25" s="194"/>
      <c r="R25" s="534">
        <v>2573</v>
      </c>
      <c r="S25" s="541">
        <f t="shared" si="0"/>
        <v>1478.45</v>
      </c>
      <c r="T25" s="206">
        <f>SUM(M25:R25)</f>
        <v>3583</v>
      </c>
      <c r="U25" s="540">
        <f t="shared" si="2"/>
        <v>0.41262908177504887</v>
      </c>
      <c r="V25" s="199"/>
      <c r="W25" s="207">
        <v>80</v>
      </c>
      <c r="X25" s="185"/>
      <c r="Y25" s="207"/>
      <c r="Z25" s="192"/>
      <c r="AA25" s="251">
        <v>18.190000000000001</v>
      </c>
      <c r="AB25" s="207"/>
      <c r="AC25" s="207"/>
      <c r="AD25" s="207"/>
      <c r="AE25" s="207"/>
      <c r="AF25" s="207"/>
      <c r="AG25" s="207"/>
      <c r="AH25" s="207"/>
      <c r="AI25" s="369"/>
      <c r="AJ25" s="257">
        <f t="shared" si="4"/>
        <v>98.19</v>
      </c>
      <c r="AK25" s="201"/>
      <c r="AL25" s="201"/>
      <c r="AM25" s="201"/>
      <c r="AN25" s="201"/>
      <c r="AO25" s="201"/>
      <c r="AP25" s="201"/>
      <c r="AQ25" s="201"/>
      <c r="AR25" s="203">
        <f t="shared" si="3"/>
        <v>1576.64</v>
      </c>
      <c r="AS25" s="209">
        <f t="shared" si="7"/>
        <v>0</v>
      </c>
      <c r="AT25" s="268">
        <f t="shared" si="5"/>
        <v>39878.349999999991</v>
      </c>
    </row>
    <row r="26" spans="1:46" ht="16.5" thickBot="1">
      <c r="A26" s="546">
        <v>44363</v>
      </c>
      <c r="B26" s="784">
        <v>0.17</v>
      </c>
      <c r="C26" s="763">
        <f t="shared" si="6"/>
        <v>38301.709999999992</v>
      </c>
      <c r="D26" s="764"/>
      <c r="E26" s="761"/>
      <c r="F26" s="766"/>
      <c r="G26" s="762"/>
      <c r="H26" s="207">
        <v>882.75</v>
      </c>
      <c r="I26" s="193"/>
      <c r="J26" s="192">
        <v>472.08</v>
      </c>
      <c r="K26" s="192"/>
      <c r="L26" s="502"/>
      <c r="M26" s="283"/>
      <c r="N26" s="194">
        <v>2388</v>
      </c>
      <c r="O26" s="194"/>
      <c r="P26" s="194">
        <v>1135</v>
      </c>
      <c r="Q26" s="194"/>
      <c r="R26" s="534"/>
      <c r="S26" s="541">
        <f t="shared" si="0"/>
        <v>1354.83</v>
      </c>
      <c r="T26" s="206">
        <f>SUM(M26:R26)</f>
        <v>3523</v>
      </c>
      <c r="U26" s="540">
        <f t="shared" si="2"/>
        <v>0.38456713028668749</v>
      </c>
      <c r="V26" s="199"/>
      <c r="W26" s="207"/>
      <c r="X26" s="185"/>
      <c r="Y26" s="207"/>
      <c r="Z26" s="207"/>
      <c r="AA26" s="251"/>
      <c r="AB26" s="207"/>
      <c r="AC26" s="207"/>
      <c r="AD26" s="207"/>
      <c r="AE26" s="207"/>
      <c r="AF26" s="207"/>
      <c r="AG26" s="207"/>
      <c r="AH26" s="207"/>
      <c r="AI26" s="369"/>
      <c r="AJ26" s="257">
        <f t="shared" si="4"/>
        <v>0</v>
      </c>
      <c r="AK26" s="201"/>
      <c r="AL26" s="201"/>
      <c r="AM26" s="201"/>
      <c r="AN26" s="201"/>
      <c r="AO26" s="201"/>
      <c r="AP26" s="201"/>
      <c r="AQ26" s="201"/>
      <c r="AR26" s="203">
        <f t="shared" si="3"/>
        <v>1354.83</v>
      </c>
      <c r="AS26" s="209">
        <f t="shared" si="7"/>
        <v>0</v>
      </c>
      <c r="AT26" s="268">
        <f t="shared" si="5"/>
        <v>38301.709999999992</v>
      </c>
    </row>
    <row r="27" spans="1:46" ht="16.5" thickBot="1">
      <c r="A27" s="546">
        <v>44364</v>
      </c>
      <c r="B27" s="784">
        <v>0.16</v>
      </c>
      <c r="C27" s="763">
        <f t="shared" si="6"/>
        <v>36946.87999999999</v>
      </c>
      <c r="D27" s="764"/>
      <c r="E27" s="761"/>
      <c r="F27" s="765"/>
      <c r="G27" s="762">
        <v>908.27</v>
      </c>
      <c r="H27" s="207"/>
      <c r="I27" s="193"/>
      <c r="J27" s="192"/>
      <c r="K27" s="192"/>
      <c r="L27" s="502">
        <v>414.98</v>
      </c>
      <c r="M27" s="283">
        <v>2279</v>
      </c>
      <c r="N27" s="194"/>
      <c r="O27" s="194"/>
      <c r="P27" s="194"/>
      <c r="Q27" s="194"/>
      <c r="R27" s="534">
        <v>1029</v>
      </c>
      <c r="S27" s="541">
        <f t="shared" si="0"/>
        <v>1323.25</v>
      </c>
      <c r="T27" s="206">
        <f t="shared" si="1"/>
        <v>3308</v>
      </c>
      <c r="U27" s="540">
        <f t="shared" si="2"/>
        <v>0.40001511487303509</v>
      </c>
      <c r="V27" s="199"/>
      <c r="W27" s="207">
        <v>28.75</v>
      </c>
      <c r="X27" s="185"/>
      <c r="Y27" s="207"/>
      <c r="Z27" s="192"/>
      <c r="AA27" s="251"/>
      <c r="AB27" s="207"/>
      <c r="AC27" s="207"/>
      <c r="AD27" s="207"/>
      <c r="AE27" s="207"/>
      <c r="AF27" s="207"/>
      <c r="AG27" s="207"/>
      <c r="AH27" s="207"/>
      <c r="AI27" s="369"/>
      <c r="AJ27" s="257">
        <f t="shared" si="4"/>
        <v>28.75</v>
      </c>
      <c r="AK27" s="201"/>
      <c r="AL27" s="201"/>
      <c r="AM27" s="201"/>
      <c r="AN27" s="201"/>
      <c r="AO27" s="201"/>
      <c r="AP27" s="201"/>
      <c r="AQ27" s="201"/>
      <c r="AR27" s="203">
        <f t="shared" si="3"/>
        <v>1352</v>
      </c>
      <c r="AS27" s="209">
        <f t="shared" si="7"/>
        <v>0</v>
      </c>
      <c r="AT27" s="268">
        <f t="shared" si="5"/>
        <v>36946.87999999999</v>
      </c>
    </row>
    <row r="28" spans="1:46" ht="16.5" thickBot="1">
      <c r="A28" s="546">
        <v>44365</v>
      </c>
      <c r="B28" s="784">
        <v>0.16</v>
      </c>
      <c r="C28" s="763">
        <f t="shared" si="6"/>
        <v>35594.87999999999</v>
      </c>
      <c r="D28" s="764"/>
      <c r="E28" s="761"/>
      <c r="F28" s="765"/>
      <c r="G28" s="762"/>
      <c r="H28" s="207">
        <v>1109.19</v>
      </c>
      <c r="I28" s="193"/>
      <c r="J28" s="192">
        <v>337.71</v>
      </c>
      <c r="K28" s="192"/>
      <c r="L28" s="502"/>
      <c r="M28" s="283"/>
      <c r="N28" s="194">
        <v>2589</v>
      </c>
      <c r="O28" s="194"/>
      <c r="P28" s="194">
        <v>819</v>
      </c>
      <c r="Q28" s="194"/>
      <c r="R28" s="534"/>
      <c r="S28" s="541">
        <f t="shared" si="0"/>
        <v>1446.9</v>
      </c>
      <c r="T28" s="206">
        <f t="shared" si="1"/>
        <v>3408</v>
      </c>
      <c r="U28" s="540">
        <f t="shared" si="2"/>
        <v>0.42455985915492961</v>
      </c>
      <c r="V28" s="199"/>
      <c r="W28" s="207"/>
      <c r="X28" s="185"/>
      <c r="Y28" s="207"/>
      <c r="Z28" s="192">
        <v>79.39</v>
      </c>
      <c r="AA28" s="251"/>
      <c r="AB28" s="207"/>
      <c r="AC28" s="207"/>
      <c r="AD28" s="207"/>
      <c r="AE28" s="207"/>
      <c r="AF28" s="207"/>
      <c r="AG28" s="207"/>
      <c r="AH28" s="207">
        <v>114</v>
      </c>
      <c r="AI28" s="369"/>
      <c r="AJ28" s="257">
        <f>SUM(V28:AI28)</f>
        <v>193.39</v>
      </c>
      <c r="AK28" s="201"/>
      <c r="AL28" s="201"/>
      <c r="AM28" s="201"/>
      <c r="AN28" s="201"/>
      <c r="AO28" s="201"/>
      <c r="AP28" s="201"/>
      <c r="AQ28" s="201"/>
      <c r="AR28" s="203">
        <f t="shared" si="3"/>
        <v>1640.29</v>
      </c>
      <c r="AS28" s="209">
        <f t="shared" si="7"/>
        <v>0</v>
      </c>
      <c r="AT28" s="268">
        <f>C28</f>
        <v>35594.87999999999</v>
      </c>
    </row>
    <row r="29" spans="1:46" ht="16.5" thickBot="1">
      <c r="A29" s="546">
        <v>44366</v>
      </c>
      <c r="B29" s="784">
        <v>0.11</v>
      </c>
      <c r="C29" s="763">
        <f t="shared" si="6"/>
        <v>33954.589999999989</v>
      </c>
      <c r="D29" s="764"/>
      <c r="E29" s="761"/>
      <c r="F29" s="765"/>
      <c r="G29" s="762"/>
      <c r="H29" s="207"/>
      <c r="I29" s="193"/>
      <c r="J29" s="192">
        <v>412.6</v>
      </c>
      <c r="K29" s="192"/>
      <c r="L29" s="502">
        <v>876.91</v>
      </c>
      <c r="M29" s="283"/>
      <c r="N29" s="194"/>
      <c r="O29" s="194"/>
      <c r="P29" s="194">
        <v>897</v>
      </c>
      <c r="Q29" s="194"/>
      <c r="R29" s="534">
        <v>2165</v>
      </c>
      <c r="S29" s="541">
        <f t="shared" si="0"/>
        <v>1289.51</v>
      </c>
      <c r="T29" s="206">
        <f t="shared" si="1"/>
        <v>3062</v>
      </c>
      <c r="U29" s="540">
        <f t="shared" si="2"/>
        <v>0.42113324624428478</v>
      </c>
      <c r="V29" s="199"/>
      <c r="W29" s="207">
        <v>30</v>
      </c>
      <c r="X29" s="185"/>
      <c r="Y29" s="207"/>
      <c r="Z29" s="192"/>
      <c r="AA29" s="251"/>
      <c r="AB29" s="207"/>
      <c r="AC29" s="207"/>
      <c r="AD29" s="207"/>
      <c r="AE29" s="207"/>
      <c r="AF29" s="207"/>
      <c r="AG29" s="207"/>
      <c r="AH29" s="207"/>
      <c r="AI29" s="369"/>
      <c r="AJ29" s="257">
        <f t="shared" si="4"/>
        <v>30</v>
      </c>
      <c r="AK29" s="201"/>
      <c r="AL29" s="201"/>
      <c r="AM29" s="201"/>
      <c r="AN29" s="201"/>
      <c r="AO29" s="201"/>
      <c r="AP29" s="201"/>
      <c r="AQ29" s="201"/>
      <c r="AR29" s="203">
        <f t="shared" si="3"/>
        <v>1319.51</v>
      </c>
      <c r="AS29" s="209">
        <f t="shared" si="7"/>
        <v>0</v>
      </c>
      <c r="AT29" s="268">
        <f t="shared" si="5"/>
        <v>33954.589999999989</v>
      </c>
    </row>
    <row r="30" spans="1:46" ht="16.5" thickBot="1">
      <c r="A30" s="546">
        <v>44367</v>
      </c>
      <c r="B30" s="784">
        <v>0.05</v>
      </c>
      <c r="C30" s="763">
        <f t="shared" si="6"/>
        <v>32635.079999999991</v>
      </c>
      <c r="D30" s="764"/>
      <c r="E30" s="761"/>
      <c r="F30" s="765"/>
      <c r="G30" s="762"/>
      <c r="H30" s="207"/>
      <c r="I30" s="193"/>
      <c r="J30" s="192">
        <v>429.55</v>
      </c>
      <c r="K30" s="192"/>
      <c r="L30" s="502">
        <v>827.24</v>
      </c>
      <c r="M30" s="283"/>
      <c r="N30" s="194"/>
      <c r="O30" s="194"/>
      <c r="P30" s="194">
        <v>1046</v>
      </c>
      <c r="Q30" s="194"/>
      <c r="R30" s="534">
        <v>2032</v>
      </c>
      <c r="S30" s="541">
        <f t="shared" si="0"/>
        <v>1256.79</v>
      </c>
      <c r="T30" s="206">
        <f t="shared" si="1"/>
        <v>3078</v>
      </c>
      <c r="U30" s="540">
        <f t="shared" si="2"/>
        <v>0.40831384015594541</v>
      </c>
      <c r="V30" s="199"/>
      <c r="W30" s="207"/>
      <c r="X30" s="185"/>
      <c r="Y30" s="207"/>
      <c r="Z30" s="192"/>
      <c r="AA30" s="251"/>
      <c r="AB30" s="207"/>
      <c r="AC30" s="207"/>
      <c r="AD30" s="207"/>
      <c r="AE30" s="207"/>
      <c r="AF30" s="207"/>
      <c r="AG30" s="207"/>
      <c r="AH30" s="207"/>
      <c r="AI30" s="369"/>
      <c r="AJ30" s="257">
        <f t="shared" si="4"/>
        <v>0</v>
      </c>
      <c r="AK30" s="201"/>
      <c r="AL30" s="201"/>
      <c r="AM30" s="201"/>
      <c r="AN30" s="201"/>
      <c r="AO30" s="201"/>
      <c r="AP30" s="201"/>
      <c r="AQ30" s="201"/>
      <c r="AR30" s="203">
        <f t="shared" si="3"/>
        <v>1256.79</v>
      </c>
      <c r="AS30" s="209">
        <f t="shared" si="7"/>
        <v>0</v>
      </c>
      <c r="AT30" s="268">
        <f t="shared" si="5"/>
        <v>32635.079999999991</v>
      </c>
    </row>
    <row r="31" spans="1:46" ht="16.5" thickBot="1">
      <c r="A31" s="546">
        <v>44368</v>
      </c>
      <c r="B31" s="784"/>
      <c r="C31" s="763">
        <f t="shared" si="6"/>
        <v>31378.28999999999</v>
      </c>
      <c r="D31" s="764"/>
      <c r="E31" s="761"/>
      <c r="F31" s="765"/>
      <c r="G31" s="762"/>
      <c r="H31" s="207"/>
      <c r="I31" s="193"/>
      <c r="J31" s="192"/>
      <c r="K31" s="192"/>
      <c r="L31" s="502"/>
      <c r="M31" s="283"/>
      <c r="N31" s="194"/>
      <c r="O31" s="194"/>
      <c r="P31" s="194"/>
      <c r="Q31" s="194"/>
      <c r="R31" s="534"/>
      <c r="S31" s="541">
        <f t="shared" si="0"/>
        <v>0</v>
      </c>
      <c r="T31" s="206">
        <f t="shared" si="1"/>
        <v>0</v>
      </c>
      <c r="U31" s="540" t="e">
        <f t="shared" si="2"/>
        <v>#DIV/0!</v>
      </c>
      <c r="V31" s="199"/>
      <c r="W31" s="207"/>
      <c r="X31" s="185"/>
      <c r="Y31" s="207"/>
      <c r="Z31" s="192"/>
      <c r="AA31" s="251"/>
      <c r="AB31" s="207"/>
      <c r="AC31" s="207"/>
      <c r="AD31" s="207"/>
      <c r="AE31" s="207"/>
      <c r="AF31" s="207"/>
      <c r="AG31" s="207"/>
      <c r="AH31" s="207"/>
      <c r="AI31" s="369"/>
      <c r="AJ31" s="257">
        <f t="shared" si="4"/>
        <v>0</v>
      </c>
      <c r="AK31" s="201"/>
      <c r="AL31" s="201"/>
      <c r="AM31" s="201"/>
      <c r="AN31" s="201"/>
      <c r="AO31" s="201"/>
      <c r="AP31" s="201"/>
      <c r="AQ31" s="201"/>
      <c r="AR31" s="203">
        <f t="shared" si="3"/>
        <v>0</v>
      </c>
      <c r="AS31" s="209">
        <f t="shared" si="7"/>
        <v>0</v>
      </c>
      <c r="AT31" s="268">
        <f t="shared" si="5"/>
        <v>31378.28999999999</v>
      </c>
    </row>
    <row r="32" spans="1:46" ht="16.5" thickBot="1">
      <c r="A32" s="546">
        <v>44369</v>
      </c>
      <c r="B32" s="784"/>
      <c r="C32" s="763">
        <f t="shared" si="6"/>
        <v>31378.28999999999</v>
      </c>
      <c r="D32" s="764"/>
      <c r="E32" s="761"/>
      <c r="F32" s="765"/>
      <c r="G32" s="762"/>
      <c r="H32" s="192"/>
      <c r="I32" s="192"/>
      <c r="J32" s="192"/>
      <c r="K32" s="192"/>
      <c r="L32" s="502"/>
      <c r="M32" s="283"/>
      <c r="N32" s="194"/>
      <c r="O32" s="194"/>
      <c r="P32" s="194"/>
      <c r="Q32" s="194"/>
      <c r="R32" s="534"/>
      <c r="S32" s="541">
        <f t="shared" si="0"/>
        <v>0</v>
      </c>
      <c r="T32" s="206">
        <f t="shared" si="1"/>
        <v>0</v>
      </c>
      <c r="U32" s="540" t="e">
        <f t="shared" si="2"/>
        <v>#DIV/0!</v>
      </c>
      <c r="V32" s="199"/>
      <c r="W32" s="207"/>
      <c r="X32" s="185"/>
      <c r="Y32" s="207"/>
      <c r="Z32" s="192"/>
      <c r="AA32" s="251"/>
      <c r="AB32" s="207"/>
      <c r="AC32" s="207"/>
      <c r="AD32" s="207"/>
      <c r="AE32" s="207"/>
      <c r="AF32" s="207"/>
      <c r="AG32" s="207"/>
      <c r="AH32" s="207"/>
      <c r="AI32" s="369"/>
      <c r="AJ32" s="257">
        <f t="shared" si="4"/>
        <v>0</v>
      </c>
      <c r="AK32" s="201"/>
      <c r="AL32" s="201"/>
      <c r="AM32" s="201"/>
      <c r="AN32" s="201"/>
      <c r="AO32" s="201"/>
      <c r="AP32" s="201"/>
      <c r="AQ32" s="201"/>
      <c r="AR32" s="203">
        <f t="shared" si="3"/>
        <v>0</v>
      </c>
      <c r="AS32" s="209">
        <f t="shared" si="7"/>
        <v>0</v>
      </c>
      <c r="AT32" s="268">
        <f t="shared" si="5"/>
        <v>31378.28999999999</v>
      </c>
    </row>
    <row r="33" spans="1:46" ht="16.5" thickBot="1">
      <c r="A33" s="546">
        <v>44370</v>
      </c>
      <c r="B33" s="784"/>
      <c r="C33" s="763">
        <f t="shared" si="6"/>
        <v>31378.28999999999</v>
      </c>
      <c r="D33" s="764"/>
      <c r="E33" s="761"/>
      <c r="F33" s="765"/>
      <c r="G33" s="762"/>
      <c r="H33" s="192"/>
      <c r="I33" s="192"/>
      <c r="J33" s="192"/>
      <c r="K33" s="192"/>
      <c r="L33" s="502"/>
      <c r="M33" s="283"/>
      <c r="N33" s="194"/>
      <c r="O33" s="194"/>
      <c r="P33" s="194"/>
      <c r="Q33" s="194"/>
      <c r="R33" s="534"/>
      <c r="S33" s="541">
        <f t="shared" si="0"/>
        <v>0</v>
      </c>
      <c r="T33" s="206">
        <f t="shared" si="1"/>
        <v>0</v>
      </c>
      <c r="U33" s="540" t="e">
        <f t="shared" si="2"/>
        <v>#DIV/0!</v>
      </c>
      <c r="V33" s="199"/>
      <c r="W33" s="207"/>
      <c r="X33" s="185"/>
      <c r="Y33" s="207"/>
      <c r="Z33" s="192"/>
      <c r="AA33" s="251"/>
      <c r="AB33" s="207"/>
      <c r="AC33" s="207"/>
      <c r="AD33" s="207"/>
      <c r="AE33" s="207"/>
      <c r="AF33" s="207"/>
      <c r="AG33" s="207"/>
      <c r="AH33" s="207"/>
      <c r="AI33" s="369"/>
      <c r="AJ33" s="257">
        <f t="shared" si="4"/>
        <v>0</v>
      </c>
      <c r="AK33" s="201"/>
      <c r="AL33" s="201"/>
      <c r="AM33" s="201"/>
      <c r="AN33" s="201"/>
      <c r="AO33" s="201"/>
      <c r="AP33" s="201"/>
      <c r="AQ33" s="201"/>
      <c r="AR33" s="203">
        <f t="shared" si="3"/>
        <v>0</v>
      </c>
      <c r="AS33" s="209">
        <f t="shared" si="7"/>
        <v>0</v>
      </c>
      <c r="AT33" s="268">
        <f t="shared" si="5"/>
        <v>31378.28999999999</v>
      </c>
    </row>
    <row r="34" spans="1:46" ht="16.5" thickBot="1">
      <c r="A34" s="546">
        <v>44371</v>
      </c>
      <c r="B34" s="784"/>
      <c r="C34" s="763">
        <f t="shared" si="6"/>
        <v>31378.28999999999</v>
      </c>
      <c r="D34" s="764"/>
      <c r="E34" s="761"/>
      <c r="F34" s="765"/>
      <c r="G34" s="762"/>
      <c r="H34" s="207"/>
      <c r="I34" s="193"/>
      <c r="J34" s="192"/>
      <c r="K34" s="192"/>
      <c r="L34" s="502"/>
      <c r="M34" s="283"/>
      <c r="N34" s="194"/>
      <c r="O34" s="194"/>
      <c r="P34" s="194"/>
      <c r="Q34" s="194"/>
      <c r="R34" s="534"/>
      <c r="S34" s="541">
        <f t="shared" si="0"/>
        <v>0</v>
      </c>
      <c r="T34" s="206">
        <f t="shared" si="1"/>
        <v>0</v>
      </c>
      <c r="U34" s="540" t="e">
        <f t="shared" si="2"/>
        <v>#DIV/0!</v>
      </c>
      <c r="V34" s="199"/>
      <c r="W34" s="207"/>
      <c r="X34" s="185"/>
      <c r="Y34" s="207"/>
      <c r="Z34" s="192"/>
      <c r="AA34" s="251"/>
      <c r="AB34" s="207"/>
      <c r="AC34" s="207"/>
      <c r="AD34" s="207"/>
      <c r="AE34" s="207"/>
      <c r="AF34" s="207"/>
      <c r="AG34" s="207"/>
      <c r="AH34" s="207"/>
      <c r="AI34" s="369"/>
      <c r="AJ34" s="257">
        <f t="shared" si="4"/>
        <v>0</v>
      </c>
      <c r="AK34" s="201"/>
      <c r="AL34" s="201"/>
      <c r="AM34" s="201"/>
      <c r="AN34" s="201"/>
      <c r="AO34" s="201"/>
      <c r="AP34" s="201"/>
      <c r="AQ34" s="201"/>
      <c r="AR34" s="203">
        <f t="shared" si="3"/>
        <v>0</v>
      </c>
      <c r="AS34" s="209">
        <f t="shared" si="7"/>
        <v>0</v>
      </c>
      <c r="AT34" s="268">
        <f t="shared" si="5"/>
        <v>31378.28999999999</v>
      </c>
    </row>
    <row r="35" spans="1:46" ht="16.5" thickBot="1">
      <c r="A35" s="546">
        <v>44372</v>
      </c>
      <c r="B35" s="784"/>
      <c r="C35" s="763">
        <f t="shared" si="6"/>
        <v>31378.28999999999</v>
      </c>
      <c r="D35" s="764"/>
      <c r="E35" s="761">
        <v>15000</v>
      </c>
      <c r="F35" s="802" t="s">
        <v>195</v>
      </c>
      <c r="G35" s="762"/>
      <c r="H35" s="207"/>
      <c r="I35" s="193"/>
      <c r="J35" s="192"/>
      <c r="K35" s="192"/>
      <c r="L35" s="502"/>
      <c r="M35" s="283"/>
      <c r="N35" s="194"/>
      <c r="O35" s="194"/>
      <c r="P35" s="194"/>
      <c r="Q35" s="194"/>
      <c r="R35" s="534"/>
      <c r="S35" s="541">
        <f t="shared" si="0"/>
        <v>0</v>
      </c>
      <c r="T35" s="206">
        <f t="shared" si="1"/>
        <v>0</v>
      </c>
      <c r="U35" s="540" t="e">
        <f t="shared" si="2"/>
        <v>#DIV/0!</v>
      </c>
      <c r="V35" s="199"/>
      <c r="W35" s="207"/>
      <c r="X35" s="185"/>
      <c r="Y35" s="207"/>
      <c r="Z35" s="192"/>
      <c r="AA35" s="251"/>
      <c r="AB35" s="207"/>
      <c r="AC35" s="207"/>
      <c r="AD35" s="207"/>
      <c r="AE35" s="207"/>
      <c r="AF35" s="207"/>
      <c r="AG35" s="207"/>
      <c r="AH35" s="207"/>
      <c r="AI35" s="369"/>
      <c r="AJ35" s="257">
        <f t="shared" si="4"/>
        <v>0</v>
      </c>
      <c r="AK35" s="201"/>
      <c r="AL35" s="201"/>
      <c r="AM35" s="201"/>
      <c r="AN35" s="201"/>
      <c r="AO35" s="201"/>
      <c r="AP35" s="201"/>
      <c r="AQ35" s="201"/>
      <c r="AR35" s="203">
        <f t="shared" si="3"/>
        <v>0</v>
      </c>
      <c r="AS35" s="209">
        <f t="shared" si="7"/>
        <v>0</v>
      </c>
      <c r="AT35" s="268">
        <f t="shared" si="5"/>
        <v>31378.28999999999</v>
      </c>
    </row>
    <row r="36" spans="1:46" ht="16.5" thickBot="1">
      <c r="A36" s="546">
        <v>44373</v>
      </c>
      <c r="B36" s="784"/>
      <c r="C36" s="763">
        <f t="shared" si="6"/>
        <v>31378.28999999999</v>
      </c>
      <c r="D36" s="764"/>
      <c r="E36" s="761"/>
      <c r="F36" s="765"/>
      <c r="G36" s="762"/>
      <c r="H36" s="207"/>
      <c r="I36" s="193"/>
      <c r="J36" s="192"/>
      <c r="K36" s="192"/>
      <c r="L36" s="502"/>
      <c r="M36" s="283"/>
      <c r="N36" s="194"/>
      <c r="O36" s="194"/>
      <c r="P36" s="194"/>
      <c r="Q36" s="194"/>
      <c r="R36" s="534"/>
      <c r="S36" s="541">
        <f t="shared" si="0"/>
        <v>0</v>
      </c>
      <c r="T36" s="206">
        <f t="shared" si="1"/>
        <v>0</v>
      </c>
      <c r="U36" s="540" t="e">
        <f t="shared" si="2"/>
        <v>#DIV/0!</v>
      </c>
      <c r="V36" s="199"/>
      <c r="W36" s="207"/>
      <c r="X36" s="185"/>
      <c r="Y36" s="207"/>
      <c r="Z36" s="192"/>
      <c r="AA36" s="251"/>
      <c r="AB36" s="207"/>
      <c r="AC36" s="207"/>
      <c r="AD36" s="207"/>
      <c r="AE36" s="207"/>
      <c r="AF36" s="207"/>
      <c r="AG36" s="207"/>
      <c r="AH36" s="207"/>
      <c r="AI36" s="369"/>
      <c r="AJ36" s="257">
        <f t="shared" si="4"/>
        <v>0</v>
      </c>
      <c r="AK36" s="201"/>
      <c r="AL36" s="201"/>
      <c r="AM36" s="201"/>
      <c r="AN36" s="201"/>
      <c r="AO36" s="201"/>
      <c r="AP36" s="201"/>
      <c r="AQ36" s="201"/>
      <c r="AR36" s="203">
        <f t="shared" si="3"/>
        <v>0</v>
      </c>
      <c r="AS36" s="209">
        <f t="shared" si="7"/>
        <v>0</v>
      </c>
      <c r="AT36" s="268">
        <f t="shared" si="5"/>
        <v>31378.28999999999</v>
      </c>
    </row>
    <row r="37" spans="1:46" ht="16.5" thickBot="1">
      <c r="A37" s="546">
        <v>44374</v>
      </c>
      <c r="B37" s="784"/>
      <c r="C37" s="763">
        <f t="shared" si="6"/>
        <v>31378.28999999999</v>
      </c>
      <c r="D37" s="764"/>
      <c r="E37" s="761"/>
      <c r="F37" s="765"/>
      <c r="G37" s="762"/>
      <c r="H37" s="207"/>
      <c r="I37" s="193"/>
      <c r="J37" s="192"/>
      <c r="K37" s="192"/>
      <c r="L37" s="502"/>
      <c r="M37" s="283"/>
      <c r="N37" s="194"/>
      <c r="O37" s="194"/>
      <c r="P37" s="194"/>
      <c r="Q37" s="194"/>
      <c r="R37" s="194"/>
      <c r="S37" s="541">
        <f t="shared" si="0"/>
        <v>0</v>
      </c>
      <c r="T37" s="206">
        <f t="shared" si="1"/>
        <v>0</v>
      </c>
      <c r="U37" s="540" t="e">
        <f t="shared" si="2"/>
        <v>#DIV/0!</v>
      </c>
      <c r="V37" s="199"/>
      <c r="W37" s="207"/>
      <c r="X37" s="185"/>
      <c r="Y37" s="207"/>
      <c r="Z37" s="192"/>
      <c r="AA37" s="251"/>
      <c r="AB37" s="207"/>
      <c r="AC37" s="207"/>
      <c r="AD37" s="207"/>
      <c r="AE37" s="207"/>
      <c r="AF37" s="207"/>
      <c r="AG37" s="421"/>
      <c r="AH37" s="207"/>
      <c r="AI37" s="369"/>
      <c r="AJ37" s="257">
        <f t="shared" si="4"/>
        <v>0</v>
      </c>
      <c r="AK37" s="201"/>
      <c r="AL37" s="201"/>
      <c r="AM37" s="201"/>
      <c r="AN37" s="201"/>
      <c r="AO37" s="201"/>
      <c r="AP37" s="201"/>
      <c r="AQ37" s="201"/>
      <c r="AR37" s="203">
        <f t="shared" si="3"/>
        <v>0</v>
      </c>
      <c r="AS37" s="209">
        <f t="shared" si="7"/>
        <v>0</v>
      </c>
      <c r="AT37" s="268">
        <f t="shared" si="5"/>
        <v>31378.28999999999</v>
      </c>
    </row>
    <row r="38" spans="1:46" ht="16.5" thickBot="1">
      <c r="A38" s="546">
        <v>44375</v>
      </c>
      <c r="B38" s="784"/>
      <c r="C38" s="763">
        <f t="shared" si="6"/>
        <v>31378.28999999999</v>
      </c>
      <c r="D38" s="764"/>
      <c r="E38" s="761"/>
      <c r="F38" s="765"/>
      <c r="G38" s="762"/>
      <c r="H38" s="207"/>
      <c r="I38" s="193"/>
      <c r="J38" s="192"/>
      <c r="K38" s="192"/>
      <c r="L38" s="502"/>
      <c r="M38" s="283"/>
      <c r="N38" s="194"/>
      <c r="O38" s="194"/>
      <c r="P38" s="194"/>
      <c r="Q38" s="194"/>
      <c r="R38" s="194"/>
      <c r="S38" s="541">
        <f t="shared" si="0"/>
        <v>0</v>
      </c>
      <c r="T38" s="206">
        <f t="shared" si="1"/>
        <v>0</v>
      </c>
      <c r="U38" s="540" t="e">
        <f t="shared" si="2"/>
        <v>#DIV/0!</v>
      </c>
      <c r="V38" s="199"/>
      <c r="W38" s="207"/>
      <c r="X38" s="185"/>
      <c r="Y38" s="207"/>
      <c r="Z38" s="192"/>
      <c r="AA38" s="251"/>
      <c r="AB38" s="207"/>
      <c r="AC38" s="207"/>
      <c r="AD38" s="207"/>
      <c r="AE38" s="207"/>
      <c r="AF38" s="207"/>
      <c r="AG38" s="421"/>
      <c r="AH38" s="207"/>
      <c r="AI38" s="369"/>
      <c r="AJ38" s="257">
        <f t="shared" si="4"/>
        <v>0</v>
      </c>
      <c r="AK38" s="201"/>
      <c r="AL38" s="201"/>
      <c r="AM38" s="201"/>
      <c r="AN38" s="201"/>
      <c r="AO38" s="201"/>
      <c r="AP38" s="201"/>
      <c r="AQ38" s="201"/>
      <c r="AR38" s="203">
        <f t="shared" si="3"/>
        <v>0</v>
      </c>
      <c r="AS38" s="209">
        <f t="shared" si="7"/>
        <v>0</v>
      </c>
      <c r="AT38" s="268">
        <f t="shared" si="5"/>
        <v>31378.28999999999</v>
      </c>
    </row>
    <row r="39" spans="1:46" ht="16.5" thickBot="1">
      <c r="A39" s="546">
        <v>44376</v>
      </c>
      <c r="B39" s="784"/>
      <c r="C39" s="763">
        <f t="shared" si="6"/>
        <v>31378.28999999999</v>
      </c>
      <c r="D39" s="764"/>
      <c r="E39" s="761"/>
      <c r="F39" s="765"/>
      <c r="G39" s="762"/>
      <c r="H39" s="207"/>
      <c r="I39" s="214"/>
      <c r="J39" s="192"/>
      <c r="K39" s="192"/>
      <c r="L39" s="502"/>
      <c r="M39" s="283"/>
      <c r="N39" s="194"/>
      <c r="O39" s="215"/>
      <c r="P39" s="194"/>
      <c r="Q39" s="194"/>
      <c r="R39" s="534"/>
      <c r="S39" s="541">
        <f t="shared" si="0"/>
        <v>0</v>
      </c>
      <c r="T39" s="206">
        <f t="shared" si="1"/>
        <v>0</v>
      </c>
      <c r="U39" s="540" t="e">
        <f t="shared" si="2"/>
        <v>#DIV/0!</v>
      </c>
      <c r="V39" s="199"/>
      <c r="W39" s="207"/>
      <c r="X39" s="185"/>
      <c r="Y39" s="207"/>
      <c r="Z39" s="192"/>
      <c r="AA39" s="251"/>
      <c r="AB39" s="207"/>
      <c r="AC39" s="207"/>
      <c r="AD39" s="207"/>
      <c r="AE39" s="207"/>
      <c r="AF39" s="207"/>
      <c r="AG39" s="421"/>
      <c r="AH39" s="207"/>
      <c r="AI39" s="369"/>
      <c r="AJ39" s="257">
        <f t="shared" si="4"/>
        <v>0</v>
      </c>
      <c r="AK39" s="201"/>
      <c r="AL39" s="201"/>
      <c r="AM39" s="201"/>
      <c r="AN39" s="201"/>
      <c r="AO39" s="201"/>
      <c r="AP39" s="201"/>
      <c r="AQ39" s="201"/>
      <c r="AR39" s="203">
        <f t="shared" si="3"/>
        <v>0</v>
      </c>
      <c r="AS39" s="209">
        <f t="shared" si="7"/>
        <v>0</v>
      </c>
      <c r="AT39" s="268">
        <f t="shared" si="5"/>
        <v>31378.28999999999</v>
      </c>
    </row>
    <row r="40" spans="1:46" ht="15.75">
      <c r="A40" s="546">
        <v>44377</v>
      </c>
      <c r="B40" s="784"/>
      <c r="C40" s="763">
        <f t="shared" si="6"/>
        <v>31378.28999999999</v>
      </c>
      <c r="D40" s="764"/>
      <c r="E40" s="761"/>
      <c r="F40" s="765"/>
      <c r="G40" s="762"/>
      <c r="H40" s="207"/>
      <c r="I40" s="193"/>
      <c r="J40" s="192"/>
      <c r="K40" s="192"/>
      <c r="L40" s="502"/>
      <c r="M40" s="283"/>
      <c r="N40" s="194"/>
      <c r="O40" s="194"/>
      <c r="P40" s="194"/>
      <c r="Q40" s="194"/>
      <c r="R40" s="534"/>
      <c r="S40" s="541">
        <f t="shared" si="0"/>
        <v>0</v>
      </c>
      <c r="T40" s="206">
        <f t="shared" si="1"/>
        <v>0</v>
      </c>
      <c r="U40" s="540" t="e">
        <f t="shared" si="2"/>
        <v>#DIV/0!</v>
      </c>
      <c r="V40" s="199"/>
      <c r="W40" s="207"/>
      <c r="X40" s="185"/>
      <c r="Y40" s="207"/>
      <c r="Z40" s="192"/>
      <c r="AA40" s="251"/>
      <c r="AB40" s="207"/>
      <c r="AC40" s="207"/>
      <c r="AD40" s="207"/>
      <c r="AE40" s="207"/>
      <c r="AF40" s="207"/>
      <c r="AG40" s="421"/>
      <c r="AH40" s="207"/>
      <c r="AI40" s="369"/>
      <c r="AJ40" s="257">
        <f t="shared" si="4"/>
        <v>0</v>
      </c>
      <c r="AK40" s="201"/>
      <c r="AL40" s="201"/>
      <c r="AM40" s="201"/>
      <c r="AN40" s="201"/>
      <c r="AO40" s="201"/>
      <c r="AP40" s="201"/>
      <c r="AQ40" s="201"/>
      <c r="AR40" s="203">
        <f t="shared" si="3"/>
        <v>0</v>
      </c>
      <c r="AS40" s="209">
        <f t="shared" si="7"/>
        <v>0</v>
      </c>
      <c r="AT40" s="268">
        <f t="shared" si="5"/>
        <v>31378.28999999999</v>
      </c>
    </row>
    <row r="41" spans="1:46" ht="15.75">
      <c r="A41" s="546"/>
      <c r="B41" s="784"/>
      <c r="C41" s="763">
        <f t="shared" si="6"/>
        <v>31378.28999999999</v>
      </c>
      <c r="D41" s="764"/>
      <c r="E41" s="761"/>
      <c r="F41" s="765"/>
      <c r="G41" s="762"/>
      <c r="H41" s="192"/>
      <c r="I41" s="192"/>
      <c r="J41" s="192"/>
      <c r="K41" s="192"/>
      <c r="L41" s="502"/>
      <c r="M41" s="283"/>
      <c r="N41" s="194"/>
      <c r="O41" s="194"/>
      <c r="P41" s="194"/>
      <c r="Q41" s="194"/>
      <c r="R41" s="534"/>
      <c r="S41" s="541">
        <f t="shared" si="0"/>
        <v>0</v>
      </c>
      <c r="T41" s="206">
        <f t="shared" si="1"/>
        <v>0</v>
      </c>
      <c r="U41" s="814">
        <f t="shared" ref="U41" si="8">AVERAGE(S41:T41)</f>
        <v>0</v>
      </c>
      <c r="V41" s="199"/>
      <c r="W41" s="207"/>
      <c r="X41" s="185"/>
      <c r="Y41" s="207"/>
      <c r="Z41" s="192"/>
      <c r="AA41" s="251"/>
      <c r="AB41" s="207"/>
      <c r="AC41" s="207"/>
      <c r="AD41" s="207"/>
      <c r="AE41" s="207"/>
      <c r="AF41" s="207"/>
      <c r="AG41" s="421"/>
      <c r="AH41" s="207"/>
      <c r="AI41" s="369"/>
      <c r="AJ41" s="257">
        <f t="shared" si="4"/>
        <v>0</v>
      </c>
      <c r="AK41" s="201"/>
      <c r="AL41" s="201"/>
      <c r="AM41" s="201"/>
      <c r="AN41" s="201"/>
      <c r="AO41" s="201"/>
      <c r="AP41" s="201"/>
      <c r="AQ41" s="201"/>
      <c r="AR41" s="203">
        <f t="shared" si="3"/>
        <v>0</v>
      </c>
      <c r="AS41" s="209">
        <f t="shared" si="7"/>
        <v>0</v>
      </c>
      <c r="AT41" s="268">
        <f t="shared" si="5"/>
        <v>31378.28999999999</v>
      </c>
    </row>
    <row r="42" spans="1:46" ht="14.25">
      <c r="A42" s="546"/>
      <c r="B42" s="545"/>
      <c r="C42" s="763">
        <f t="shared" si="6"/>
        <v>31378.28999999999</v>
      </c>
      <c r="D42" s="768"/>
      <c r="E42" s="761"/>
      <c r="F42" s="284"/>
      <c r="G42" s="762"/>
      <c r="H42" s="192"/>
      <c r="I42" s="192"/>
      <c r="J42" s="192"/>
      <c r="K42" s="192"/>
      <c r="L42" s="502"/>
      <c r="M42" s="283"/>
      <c r="N42" s="194"/>
      <c r="O42" s="194"/>
      <c r="P42" s="194"/>
      <c r="Q42" s="194"/>
      <c r="R42" s="534"/>
      <c r="S42" s="541">
        <f t="shared" si="0"/>
        <v>0</v>
      </c>
      <c r="T42" s="206">
        <f t="shared" si="1"/>
        <v>0</v>
      </c>
      <c r="U42" s="542"/>
      <c r="V42" s="199"/>
      <c r="W42" s="207"/>
      <c r="X42" s="185"/>
      <c r="Y42" s="207"/>
      <c r="Z42" s="192"/>
      <c r="AA42" s="251"/>
      <c r="AB42" s="207"/>
      <c r="AC42" s="196"/>
      <c r="AD42" s="207"/>
      <c r="AE42" s="207"/>
      <c r="AF42" s="207"/>
      <c r="AG42" s="421"/>
      <c r="AH42" s="207"/>
      <c r="AI42" s="369"/>
      <c r="AJ42" s="257">
        <f t="shared" si="4"/>
        <v>0</v>
      </c>
      <c r="AK42" s="216"/>
      <c r="AL42" s="216"/>
      <c r="AM42" s="216"/>
      <c r="AN42" s="216"/>
      <c r="AO42" s="216"/>
      <c r="AP42" s="216"/>
      <c r="AQ42" s="216"/>
      <c r="AR42" s="203">
        <f t="shared" si="3"/>
        <v>0</v>
      </c>
      <c r="AS42" s="209">
        <f t="shared" si="7"/>
        <v>0</v>
      </c>
      <c r="AT42" s="268">
        <f t="shared" si="5"/>
        <v>31378.28999999999</v>
      </c>
    </row>
    <row r="43" spans="1:46" ht="14.25">
      <c r="A43" s="472" t="s">
        <v>196</v>
      </c>
      <c r="B43" s="447">
        <f>AVERAGE(B11:B42)</f>
        <v>0.1555</v>
      </c>
      <c r="C43" s="759">
        <f t="shared" si="6"/>
        <v>31378.28999999999</v>
      </c>
      <c r="D43" s="768"/>
      <c r="E43" s="761"/>
      <c r="F43" s="284"/>
      <c r="G43" s="490"/>
      <c r="H43" s="192"/>
      <c r="I43" s="192"/>
      <c r="J43" s="192"/>
      <c r="K43" s="192"/>
      <c r="L43" s="502"/>
      <c r="M43" s="283"/>
      <c r="N43" s="194"/>
      <c r="O43" s="194"/>
      <c r="P43" s="194"/>
      <c r="Q43" s="194"/>
      <c r="R43" s="534"/>
      <c r="S43" s="541">
        <f t="shared" si="0"/>
        <v>0</v>
      </c>
      <c r="T43" s="206">
        <f t="shared" si="1"/>
        <v>0</v>
      </c>
      <c r="U43" s="542"/>
      <c r="V43" s="199"/>
      <c r="W43" s="207"/>
      <c r="X43" s="192"/>
      <c r="Y43" s="196"/>
      <c r="Z43" s="196"/>
      <c r="AA43" s="251"/>
      <c r="AB43" s="196"/>
      <c r="AC43" s="218"/>
      <c r="AD43" s="218"/>
      <c r="AE43" s="207"/>
      <c r="AF43" s="207"/>
      <c r="AG43" s="421"/>
      <c r="AH43" s="196"/>
      <c r="AI43" s="369"/>
      <c r="AJ43" s="257">
        <f t="shared" si="4"/>
        <v>0</v>
      </c>
      <c r="AK43" s="217"/>
      <c r="AL43" s="217"/>
      <c r="AM43" s="217"/>
      <c r="AN43" s="217"/>
      <c r="AO43" s="217"/>
      <c r="AP43" s="217"/>
      <c r="AQ43" s="217"/>
      <c r="AR43" s="203">
        <f t="shared" si="3"/>
        <v>0</v>
      </c>
      <c r="AS43" s="209">
        <f t="shared" si="7"/>
        <v>0</v>
      </c>
      <c r="AT43" s="268">
        <f t="shared" si="5"/>
        <v>31378.28999999999</v>
      </c>
    </row>
    <row r="44" spans="1:46" ht="15" thickBot="1">
      <c r="A44" s="473"/>
      <c r="B44" s="474"/>
      <c r="C44" s="769"/>
      <c r="D44" s="770"/>
      <c r="E44" s="771"/>
      <c r="F44" s="772"/>
      <c r="G44" s="773"/>
      <c r="H44" s="531"/>
      <c r="I44" s="531"/>
      <c r="J44" s="531"/>
      <c r="K44" s="531"/>
      <c r="L44" s="532"/>
      <c r="M44" s="282"/>
      <c r="N44" s="183"/>
      <c r="O44" s="183"/>
      <c r="P44" s="183"/>
      <c r="Q44" s="183"/>
      <c r="R44" s="535"/>
      <c r="S44" s="541">
        <f t="shared" si="0"/>
        <v>0</v>
      </c>
      <c r="T44" s="206">
        <f t="shared" si="1"/>
        <v>0</v>
      </c>
      <c r="U44" s="543"/>
      <c r="V44" s="537"/>
      <c r="W44" s="177"/>
      <c r="X44" s="218"/>
      <c r="Y44" s="218"/>
      <c r="Z44" s="218"/>
      <c r="AA44" s="219"/>
      <c r="AB44" s="218"/>
      <c r="AC44" s="218"/>
      <c r="AD44" s="218"/>
      <c r="AE44" s="218"/>
      <c r="AF44" s="218"/>
      <c r="AG44" s="220"/>
      <c r="AH44" s="177"/>
      <c r="AI44" s="177"/>
      <c r="AJ44" s="518">
        <f t="shared" si="4"/>
        <v>0</v>
      </c>
      <c r="AK44" s="293"/>
      <c r="AL44" s="293"/>
      <c r="AM44" s="293"/>
      <c r="AN44" s="293"/>
      <c r="AO44" s="293"/>
      <c r="AP44" s="293"/>
      <c r="AQ44" s="293"/>
      <c r="AR44" s="294">
        <f>S44+AJ44</f>
        <v>0</v>
      </c>
      <c r="AS44" s="295">
        <f t="shared" si="7"/>
        <v>0</v>
      </c>
      <c r="AT44" s="296"/>
    </row>
    <row r="45" spans="1:46" s="222" customFormat="1" ht="13.5" thickBot="1">
      <c r="A45" s="525"/>
      <c r="B45" s="525"/>
      <c r="C45" s="221"/>
      <c r="D45" s="292">
        <f>SUM(D11:D44)</f>
        <v>30000</v>
      </c>
      <c r="E45" s="297">
        <f>SUM(E11:E42)</f>
        <v>45000</v>
      </c>
      <c r="F45" s="774">
        <f t="shared" ref="F45:O45" si="9">SUM(F11:F44)</f>
        <v>0</v>
      </c>
      <c r="G45" s="297">
        <f t="shared" si="9"/>
        <v>4850.53</v>
      </c>
      <c r="H45" s="292">
        <f t="shared" si="9"/>
        <v>7825</v>
      </c>
      <c r="I45" s="297">
        <f t="shared" si="9"/>
        <v>0</v>
      </c>
      <c r="J45" s="292">
        <f t="shared" si="9"/>
        <v>4823.920000000001</v>
      </c>
      <c r="K45" s="297">
        <f t="shared" si="9"/>
        <v>3382.53</v>
      </c>
      <c r="L45" s="292">
        <f t="shared" si="9"/>
        <v>6937.2799999999988</v>
      </c>
      <c r="M45" s="297">
        <f t="shared" si="9"/>
        <v>11898</v>
      </c>
      <c r="N45" s="519">
        <f t="shared" si="9"/>
        <v>19628</v>
      </c>
      <c r="O45" s="297">
        <f t="shared" si="9"/>
        <v>0</v>
      </c>
      <c r="P45" s="292">
        <f>SUM(P11:P43)</f>
        <v>11655</v>
      </c>
      <c r="Q45" s="297">
        <f>SUM(Q11:Q44)</f>
        <v>8242</v>
      </c>
      <c r="R45" s="292">
        <f>SUM(R11:R44)</f>
        <v>17171</v>
      </c>
      <c r="S45" s="524">
        <f>SUM(G45:L45)</f>
        <v>27819.26</v>
      </c>
      <c r="T45" s="292">
        <f>SUM(M45:R45)</f>
        <v>68594</v>
      </c>
      <c r="U45" s="221" t="e">
        <f>SUM(U11:U42)</f>
        <v>#DIV/0!</v>
      </c>
      <c r="V45" s="519">
        <f t="shared" ref="V45:AB45" si="10">SUM(V9:V44)</f>
        <v>233.22000000000003</v>
      </c>
      <c r="W45" s="221">
        <f t="shared" si="10"/>
        <v>143.69</v>
      </c>
      <c r="X45" s="519">
        <f t="shared" si="10"/>
        <v>83.42</v>
      </c>
      <c r="Y45" s="221">
        <f t="shared" si="10"/>
        <v>70.680000000000007</v>
      </c>
      <c r="Z45" s="519">
        <f t="shared" si="10"/>
        <v>342.15999999999997</v>
      </c>
      <c r="AA45" s="221">
        <f t="shared" si="10"/>
        <v>238.13</v>
      </c>
      <c r="AB45" s="519">
        <f t="shared" si="10"/>
        <v>146.20999999999998</v>
      </c>
      <c r="AC45" s="221">
        <f>SUM(AC10:AC44)</f>
        <v>61.29</v>
      </c>
      <c r="AD45" s="519">
        <f>SUM(AD10:AD44)</f>
        <v>0</v>
      </c>
      <c r="AE45" s="221">
        <f>SUM(AE9:AE44)</f>
        <v>0</v>
      </c>
      <c r="AF45" s="519">
        <f>SUM(AF9:AF44)</f>
        <v>0</v>
      </c>
      <c r="AG45" s="221">
        <f>SUM(AG9:AG44)</f>
        <v>0</v>
      </c>
      <c r="AH45" s="519">
        <f>SUM(AH9:AH43)</f>
        <v>902</v>
      </c>
      <c r="AI45" s="221">
        <f>SUM(AI9:AI39)</f>
        <v>60</v>
      </c>
      <c r="AJ45" s="519">
        <f>SUM(AJ9:AJ44)</f>
        <v>2280.8000000000002</v>
      </c>
      <c r="AK45" s="221"/>
      <c r="AL45" s="221"/>
      <c r="AM45" s="221"/>
      <c r="AN45" s="221"/>
      <c r="AO45" s="221"/>
      <c r="AP45" s="221"/>
      <c r="AQ45" s="520"/>
      <c r="AR45" s="521">
        <f>SUM(AR11:AR43)</f>
        <v>30100.06</v>
      </c>
      <c r="AS45" s="522">
        <f>SUM(AS11:AS44)</f>
        <v>0</v>
      </c>
      <c r="AT45" s="523"/>
    </row>
    <row r="46" spans="1:46" ht="14.25" thickBot="1">
      <c r="A46" s="822" t="s">
        <v>197</v>
      </c>
      <c r="B46" s="822"/>
      <c r="C46" s="822"/>
      <c r="D46" s="822"/>
      <c r="E46" s="822"/>
      <c r="F46" s="822"/>
      <c r="G46" s="822"/>
      <c r="H46" s="822"/>
      <c r="I46" s="822"/>
      <c r="J46" s="822"/>
      <c r="K46" s="822"/>
      <c r="L46" s="822"/>
      <c r="M46" s="822"/>
      <c r="N46" s="822"/>
      <c r="O46" s="822"/>
      <c r="P46" s="822"/>
      <c r="Q46" s="822"/>
      <c r="R46" s="822"/>
      <c r="S46" s="573"/>
      <c r="T46" s="822"/>
      <c r="U46" s="822"/>
      <c r="V46" s="822"/>
      <c r="W46" s="178"/>
      <c r="X46" s="178"/>
      <c r="Y46" s="178"/>
      <c r="Z46" s="178"/>
      <c r="AA46" s="178"/>
      <c r="AB46" s="822"/>
      <c r="AC46" s="822"/>
      <c r="AD46" s="822"/>
      <c r="AE46" s="822"/>
      <c r="AF46" s="822"/>
      <c r="AG46" s="822"/>
      <c r="AH46" s="822"/>
      <c r="AI46" s="822"/>
      <c r="AJ46" s="822"/>
      <c r="AK46" s="822"/>
      <c r="AL46" s="822"/>
      <c r="AM46" s="822"/>
      <c r="AN46" s="822"/>
      <c r="AO46" s="822"/>
      <c r="AP46" s="822"/>
      <c r="AQ46" s="822"/>
      <c r="AR46" s="173"/>
      <c r="AS46" s="223"/>
      <c r="AT46" s="172"/>
    </row>
    <row r="47" spans="1:46" ht="14.25" thickBot="1">
      <c r="A47" s="306"/>
      <c r="B47" s="822"/>
      <c r="C47" s="822"/>
      <c r="D47" s="822"/>
      <c r="E47" s="822"/>
      <c r="F47" s="176"/>
      <c r="G47" s="822"/>
      <c r="H47" s="822"/>
      <c r="I47" s="822"/>
      <c r="J47" s="822"/>
      <c r="K47" s="822"/>
      <c r="L47" s="822"/>
      <c r="M47" s="822"/>
      <c r="N47" s="822"/>
      <c r="O47" s="822"/>
      <c r="P47" s="822"/>
      <c r="Q47" s="822"/>
      <c r="R47" s="173"/>
      <c r="S47" s="775">
        <f>AVERAGE(S11:S41)</f>
        <v>897.39548387096795</v>
      </c>
      <c r="T47" s="299">
        <f>S45*2315</f>
        <v>64401586.899999999</v>
      </c>
      <c r="U47" s="300" t="s">
        <v>198</v>
      </c>
      <c r="V47" s="822"/>
      <c r="W47" s="822"/>
      <c r="X47" s="822"/>
      <c r="Y47" s="822"/>
      <c r="Z47" s="822"/>
      <c r="AA47" s="822"/>
      <c r="AB47" s="822"/>
      <c r="AC47" s="822"/>
      <c r="AD47" s="822"/>
      <c r="AE47" s="822"/>
      <c r="AF47" s="822"/>
      <c r="AG47" s="822"/>
      <c r="AH47" s="822"/>
      <c r="AI47" s="822"/>
      <c r="AJ47" s="822"/>
      <c r="AK47" s="822"/>
      <c r="AL47" s="822"/>
      <c r="AM47" s="822"/>
      <c r="AN47" s="822"/>
      <c r="AO47" s="822"/>
      <c r="AP47" s="822"/>
      <c r="AQ47" s="822"/>
      <c r="AR47" s="499">
        <f>AR45*2143</f>
        <v>64504428.580000006</v>
      </c>
      <c r="AS47" s="498" t="s">
        <v>198</v>
      </c>
      <c r="AT47" s="172"/>
    </row>
    <row r="48" spans="1:46" ht="14.25" thickBot="1">
      <c r="A48" s="307" t="s">
        <v>199</v>
      </c>
      <c r="B48" s="224"/>
      <c r="C48" s="822"/>
      <c r="D48" s="822"/>
      <c r="E48" s="822"/>
      <c r="F48" s="822" t="s">
        <v>13</v>
      </c>
      <c r="G48" s="822"/>
      <c r="H48" s="822"/>
      <c r="I48" s="822"/>
      <c r="J48" s="822"/>
      <c r="K48" s="822"/>
      <c r="L48" s="822"/>
      <c r="M48" s="822"/>
      <c r="N48" s="822"/>
      <c r="O48" s="822"/>
      <c r="P48" s="822"/>
      <c r="Q48" s="822"/>
      <c r="R48" s="822"/>
      <c r="S48" s="822"/>
      <c r="T48" s="299">
        <f>T47/2289</f>
        <v>28135.249847094801</v>
      </c>
      <c r="U48" s="300" t="s">
        <v>200</v>
      </c>
      <c r="V48" s="822"/>
      <c r="W48" s="178"/>
      <c r="X48" s="178"/>
      <c r="Y48" s="178"/>
      <c r="Z48" s="178"/>
      <c r="AA48" s="178"/>
      <c r="AB48" s="822"/>
      <c r="AC48" s="822"/>
      <c r="AD48" s="822"/>
      <c r="AE48" s="822"/>
      <c r="AF48" s="822"/>
      <c r="AG48" s="822"/>
      <c r="AH48" s="822"/>
      <c r="AI48" s="822"/>
      <c r="AJ48" s="822"/>
      <c r="AK48" s="822"/>
      <c r="AL48" s="822"/>
      <c r="AM48" s="822"/>
      <c r="AN48" s="822"/>
      <c r="AO48" s="822"/>
      <c r="AP48" s="822"/>
      <c r="AQ48" s="822"/>
      <c r="AR48" s="299">
        <f>AR47/2289</f>
        <v>28180.178497160334</v>
      </c>
      <c r="AS48" s="500" t="s">
        <v>200</v>
      </c>
      <c r="AT48" s="223"/>
    </row>
    <row r="49" spans="2:46" ht="14.25" thickBot="1">
      <c r="B49" s="822"/>
      <c r="C49" s="822"/>
      <c r="D49" s="822"/>
      <c r="E49" s="822"/>
      <c r="F49" s="822"/>
      <c r="G49" s="822"/>
      <c r="H49" s="822"/>
      <c r="I49" s="822"/>
      <c r="J49" s="822"/>
      <c r="K49" s="822"/>
      <c r="L49" s="822"/>
      <c r="M49" s="822"/>
      <c r="N49" s="822"/>
      <c r="O49" s="822"/>
      <c r="P49" s="822"/>
      <c r="Q49" s="822"/>
      <c r="R49" s="822"/>
      <c r="S49" s="822"/>
      <c r="T49" s="822"/>
      <c r="U49" s="225"/>
      <c r="V49" s="822"/>
      <c r="W49" s="178"/>
      <c r="X49" s="178"/>
      <c r="Y49" s="178"/>
      <c r="Z49" s="178"/>
      <c r="AA49" s="178"/>
      <c r="AB49" s="822"/>
      <c r="AC49" s="822"/>
      <c r="AD49" s="822"/>
      <c r="AE49" s="822"/>
      <c r="AF49" s="822"/>
      <c r="AG49" s="822"/>
      <c r="AH49" s="822"/>
      <c r="AI49" s="822"/>
      <c r="AJ49" s="822"/>
      <c r="AK49" s="822"/>
      <c r="AL49" s="822"/>
      <c r="AM49" s="822"/>
      <c r="AN49" s="822"/>
      <c r="AO49" s="822"/>
      <c r="AP49" s="822"/>
      <c r="AQ49" s="822"/>
      <c r="AR49" s="225"/>
      <c r="AS49" s="822"/>
      <c r="AT49" s="223"/>
    </row>
    <row r="50" spans="2:46" ht="13.5" customHeight="1" thickBot="1">
      <c r="B50" s="878" t="s">
        <v>201</v>
      </c>
      <c r="C50" s="879"/>
      <c r="D50" s="879"/>
      <c r="E50" s="879"/>
      <c r="F50" s="880"/>
      <c r="G50" s="822"/>
      <c r="H50" s="856" t="s">
        <v>202</v>
      </c>
      <c r="I50" s="857"/>
      <c r="J50" s="857"/>
      <c r="K50" s="857"/>
      <c r="L50" s="858"/>
      <c r="M50" s="822"/>
      <c r="N50" s="859" t="s">
        <v>203</v>
      </c>
      <c r="O50" s="860"/>
      <c r="P50" s="860"/>
      <c r="Q50" s="860"/>
      <c r="R50" s="861"/>
      <c r="S50" s="822"/>
      <c r="T50" s="862" t="s">
        <v>204</v>
      </c>
      <c r="U50" s="863"/>
      <c r="V50" s="863"/>
      <c r="W50" s="863"/>
      <c r="X50" s="863"/>
      <c r="Y50" s="864"/>
      <c r="Z50" s="822"/>
      <c r="AA50" s="822"/>
      <c r="AB50" s="822"/>
      <c r="AC50" s="822"/>
      <c r="AD50" s="822"/>
      <c r="AE50" s="822"/>
      <c r="AF50" s="822"/>
      <c r="AG50" s="822"/>
      <c r="AH50" s="822"/>
      <c r="AI50" s="822"/>
      <c r="AJ50" s="822"/>
      <c r="AK50" s="822"/>
      <c r="AL50" s="822"/>
      <c r="AM50" s="822"/>
      <c r="AN50" s="822"/>
      <c r="AO50" s="822"/>
      <c r="AP50" s="822"/>
      <c r="AQ50" s="822"/>
      <c r="AR50" s="822"/>
      <c r="AS50" s="822"/>
      <c r="AT50" s="822"/>
    </row>
    <row r="51" spans="2:46" ht="25.5" customHeight="1" thickBot="1">
      <c r="B51" s="478" t="s">
        <v>62</v>
      </c>
      <c r="C51" s="402" t="s">
        <v>205</v>
      </c>
      <c r="D51" s="479" t="s">
        <v>206</v>
      </c>
      <c r="E51" s="479" t="s">
        <v>207</v>
      </c>
      <c r="F51" s="480" t="s">
        <v>208</v>
      </c>
      <c r="G51" s="822"/>
      <c r="H51" s="478" t="s">
        <v>62</v>
      </c>
      <c r="I51" s="402" t="s">
        <v>205</v>
      </c>
      <c r="J51" s="517" t="s">
        <v>206</v>
      </c>
      <c r="K51" s="482" t="s">
        <v>207</v>
      </c>
      <c r="L51" s="480" t="s">
        <v>208</v>
      </c>
      <c r="M51" s="822"/>
      <c r="N51" s="515" t="s">
        <v>62</v>
      </c>
      <c r="O51" s="509" t="s">
        <v>205</v>
      </c>
      <c r="P51" s="516" t="s">
        <v>206</v>
      </c>
      <c r="Q51" s="510" t="s">
        <v>207</v>
      </c>
      <c r="R51" s="511" t="s">
        <v>209</v>
      </c>
      <c r="S51" s="822"/>
      <c r="T51" s="328" t="s">
        <v>32</v>
      </c>
      <c r="U51" s="585" t="s">
        <v>205</v>
      </c>
      <c r="V51" s="587" t="s">
        <v>210</v>
      </c>
      <c r="W51" s="586" t="s">
        <v>207</v>
      </c>
      <c r="X51" s="329" t="s">
        <v>211</v>
      </c>
      <c r="Y51" s="330" t="s">
        <v>212</v>
      </c>
      <c r="Z51" s="822"/>
      <c r="AA51" s="822"/>
      <c r="AB51" s="822"/>
      <c r="AC51" s="822"/>
      <c r="AD51" s="822"/>
      <c r="AE51" s="822"/>
      <c r="AF51" s="822"/>
      <c r="AG51" s="822"/>
      <c r="AH51" s="822"/>
      <c r="AI51" s="822"/>
      <c r="AJ51" s="822"/>
      <c r="AK51" s="822"/>
      <c r="AL51" s="822"/>
      <c r="AM51" s="822"/>
      <c r="AN51" s="822"/>
      <c r="AO51" s="822"/>
      <c r="AP51" s="822"/>
      <c r="AQ51" s="822"/>
      <c r="AR51" s="822"/>
      <c r="AS51" s="822"/>
      <c r="AT51" s="822"/>
    </row>
    <row r="52" spans="2:46" ht="11.25" customHeight="1" thickBot="1">
      <c r="B52" s="475">
        <v>44353</v>
      </c>
      <c r="C52" s="475" t="s">
        <v>213</v>
      </c>
      <c r="D52" s="477">
        <v>138</v>
      </c>
      <c r="E52" s="476" t="s">
        <v>214</v>
      </c>
      <c r="F52" s="503" t="s">
        <v>215</v>
      </c>
      <c r="G52" s="822"/>
      <c r="H52" s="506"/>
      <c r="I52" s="483"/>
      <c r="J52" s="483"/>
      <c r="K52" s="483"/>
      <c r="L52" s="507"/>
      <c r="M52" s="822"/>
      <c r="N52" s="331"/>
      <c r="O52" s="483"/>
      <c r="P52" s="501"/>
      <c r="Q52" s="501"/>
      <c r="R52" s="487"/>
      <c r="S52" s="822"/>
      <c r="T52" s="331">
        <v>44292</v>
      </c>
      <c r="U52" s="501" t="s">
        <v>216</v>
      </c>
      <c r="V52" s="583">
        <v>60</v>
      </c>
      <c r="W52" s="508" t="s">
        <v>217</v>
      </c>
      <c r="X52" s="508" t="s">
        <v>215</v>
      </c>
      <c r="Y52" s="487" t="s">
        <v>218</v>
      </c>
      <c r="Z52" s="822"/>
      <c r="AA52" s="822"/>
      <c r="AB52" s="822"/>
      <c r="AC52" s="822"/>
      <c r="AD52" s="822"/>
      <c r="AE52" s="822"/>
      <c r="AF52" s="822"/>
      <c r="AG52" s="822"/>
      <c r="AH52" s="822"/>
      <c r="AI52" s="822"/>
      <c r="AJ52" s="822"/>
      <c r="AK52" s="822"/>
      <c r="AL52" s="822"/>
      <c r="AM52" s="822"/>
      <c r="AN52" s="822"/>
      <c r="AO52" s="822"/>
      <c r="AP52" s="822"/>
      <c r="AQ52" s="822"/>
      <c r="AR52" s="822"/>
      <c r="AS52" s="822"/>
      <c r="AT52" s="822"/>
    </row>
    <row r="53" spans="2:46" ht="11.25" customHeight="1">
      <c r="B53" s="475">
        <v>44445</v>
      </c>
      <c r="C53" s="475" t="s">
        <v>219</v>
      </c>
      <c r="D53" s="477">
        <v>95</v>
      </c>
      <c r="E53" s="476" t="s">
        <v>220</v>
      </c>
      <c r="F53" s="503" t="s">
        <v>215</v>
      </c>
      <c r="G53" s="822"/>
      <c r="H53" s="776"/>
      <c r="I53" s="777"/>
      <c r="J53" s="777"/>
      <c r="K53" s="777"/>
      <c r="L53" s="503"/>
      <c r="M53" s="822"/>
      <c r="N53" s="475"/>
      <c r="O53" s="777"/>
      <c r="P53" s="188"/>
      <c r="Q53" s="188"/>
      <c r="R53" s="487"/>
      <c r="S53" s="822"/>
      <c r="T53" s="475"/>
      <c r="U53" s="188"/>
      <c r="V53" s="583"/>
      <c r="W53" s="476"/>
      <c r="X53" s="476"/>
      <c r="Y53" s="778"/>
      <c r="Z53" s="822"/>
      <c r="AA53" s="822"/>
      <c r="AB53" s="822"/>
      <c r="AC53" s="822"/>
      <c r="AD53" s="822"/>
      <c r="AE53" s="822"/>
      <c r="AF53" s="822"/>
      <c r="AG53" s="822"/>
      <c r="AH53" s="822"/>
      <c r="AI53" s="822"/>
      <c r="AJ53" s="822"/>
      <c r="AK53" s="822"/>
      <c r="AL53" s="822"/>
      <c r="AM53" s="822"/>
      <c r="AN53" s="822"/>
      <c r="AO53" s="822"/>
      <c r="AP53" s="822"/>
      <c r="AQ53" s="822"/>
      <c r="AR53" s="822"/>
      <c r="AS53" s="822"/>
      <c r="AT53" s="822"/>
    </row>
    <row r="54" spans="2:46" ht="11.25" customHeight="1">
      <c r="B54" s="475">
        <v>44475</v>
      </c>
      <c r="C54" s="475" t="s">
        <v>221</v>
      </c>
      <c r="D54" s="477">
        <v>41</v>
      </c>
      <c r="E54" s="476" t="s">
        <v>222</v>
      </c>
      <c r="F54" s="503" t="s">
        <v>215</v>
      </c>
      <c r="G54" s="822"/>
      <c r="H54" s="492"/>
      <c r="I54" s="251"/>
      <c r="J54" s="251"/>
      <c r="K54" s="251"/>
      <c r="L54" s="503"/>
      <c r="M54" s="822"/>
      <c r="N54" s="324"/>
      <c r="O54" s="251"/>
      <c r="P54" s="369"/>
      <c r="Q54" s="369"/>
      <c r="R54" s="488"/>
      <c r="S54" s="822"/>
      <c r="T54" s="324"/>
      <c r="U54" s="369"/>
      <c r="V54" s="584"/>
      <c r="W54" s="287"/>
      <c r="X54" s="287"/>
      <c r="Y54" s="488"/>
      <c r="Z54" s="822"/>
      <c r="AA54" s="822"/>
      <c r="AB54" s="822"/>
      <c r="AC54" s="822"/>
      <c r="AD54" s="822"/>
      <c r="AE54" s="822"/>
      <c r="AF54" s="822"/>
      <c r="AG54" s="822"/>
      <c r="AH54" s="822"/>
      <c r="AI54" s="822"/>
      <c r="AJ54" s="822"/>
      <c r="AK54" s="822"/>
      <c r="AL54" s="822"/>
      <c r="AM54" s="822"/>
      <c r="AN54" s="822"/>
      <c r="AO54" s="822"/>
      <c r="AP54" s="822"/>
      <c r="AQ54" s="822"/>
      <c r="AR54" s="822"/>
      <c r="AS54" s="822"/>
      <c r="AT54" s="822"/>
    </row>
    <row r="55" spans="2:46" ht="11.25" customHeight="1">
      <c r="B55" s="324">
        <v>44536</v>
      </c>
      <c r="C55" s="287" t="s">
        <v>223</v>
      </c>
      <c r="D55" s="365">
        <v>145</v>
      </c>
      <c r="E55" s="287" t="s">
        <v>222</v>
      </c>
      <c r="F55" s="503" t="s">
        <v>224</v>
      </c>
      <c r="G55" s="822"/>
      <c r="H55" s="492"/>
      <c r="I55" s="251"/>
      <c r="J55" s="251"/>
      <c r="K55" s="251"/>
      <c r="L55" s="504"/>
      <c r="M55" s="822"/>
      <c r="N55" s="324"/>
      <c r="O55" s="251"/>
      <c r="P55" s="369"/>
      <c r="Q55" s="369"/>
      <c r="R55" s="488"/>
      <c r="S55" s="822"/>
      <c r="T55" s="324"/>
      <c r="U55" s="369"/>
      <c r="V55" s="584"/>
      <c r="W55" s="287"/>
      <c r="X55" s="287"/>
      <c r="Y55" s="488"/>
      <c r="Z55" s="822"/>
      <c r="AA55" s="822"/>
      <c r="AB55" s="822"/>
      <c r="AC55" s="822"/>
      <c r="AD55" s="822"/>
      <c r="AE55" s="822"/>
      <c r="AF55" s="822"/>
      <c r="AG55" s="822"/>
      <c r="AH55" s="822"/>
      <c r="AI55" s="822"/>
      <c r="AJ55" s="822"/>
      <c r="AK55" s="822"/>
      <c r="AL55" s="822"/>
      <c r="AM55" s="822"/>
      <c r="AN55" s="822"/>
      <c r="AO55" s="822"/>
      <c r="AP55" s="822"/>
      <c r="AQ55" s="822"/>
      <c r="AR55" s="822"/>
      <c r="AS55" s="822"/>
      <c r="AT55" s="822"/>
    </row>
    <row r="56" spans="2:46" ht="11.25" customHeight="1">
      <c r="B56" s="324" t="s">
        <v>225</v>
      </c>
      <c r="C56" s="287" t="s">
        <v>226</v>
      </c>
      <c r="D56" s="365">
        <v>140</v>
      </c>
      <c r="E56" s="287" t="s">
        <v>227</v>
      </c>
      <c r="F56" s="503" t="s">
        <v>215</v>
      </c>
      <c r="G56" s="822"/>
      <c r="H56" s="484"/>
      <c r="I56" s="251"/>
      <c r="J56" s="251"/>
      <c r="K56" s="251"/>
      <c r="L56" s="504"/>
      <c r="M56" s="822"/>
      <c r="N56" s="490"/>
      <c r="O56" s="251"/>
      <c r="P56" s="369"/>
      <c r="Q56" s="369"/>
      <c r="R56" s="488"/>
      <c r="S56" s="822"/>
      <c r="T56" s="324"/>
      <c r="U56" s="369"/>
      <c r="V56" s="584"/>
      <c r="W56" s="287"/>
      <c r="X56" s="287"/>
      <c r="Y56" s="488"/>
      <c r="Z56" s="822"/>
      <c r="AA56" s="822"/>
      <c r="AB56" s="822"/>
      <c r="AC56" s="822"/>
      <c r="AD56" s="822"/>
      <c r="AE56" s="822"/>
      <c r="AF56" s="822"/>
      <c r="AG56" s="822"/>
      <c r="AH56" s="822"/>
      <c r="AI56" s="822"/>
      <c r="AJ56" s="822"/>
      <c r="AK56" s="822"/>
      <c r="AL56" s="822"/>
      <c r="AM56" s="822"/>
      <c r="AN56" s="822"/>
      <c r="AO56" s="822"/>
      <c r="AP56" s="822"/>
      <c r="AQ56" s="822"/>
      <c r="AR56" s="822"/>
      <c r="AS56" s="822"/>
      <c r="AT56" s="822"/>
    </row>
    <row r="57" spans="2:46" ht="11.25" customHeight="1">
      <c r="B57" s="324" t="s">
        <v>228</v>
      </c>
      <c r="C57" s="287" t="s">
        <v>213</v>
      </c>
      <c r="D57" s="365">
        <v>56</v>
      </c>
      <c r="E57" s="287" t="s">
        <v>214</v>
      </c>
      <c r="F57" s="503" t="s">
        <v>215</v>
      </c>
      <c r="G57" s="822"/>
      <c r="H57" s="484"/>
      <c r="I57" s="251"/>
      <c r="J57" s="251"/>
      <c r="K57" s="251"/>
      <c r="L57" s="504"/>
      <c r="M57" s="822"/>
      <c r="N57" s="490"/>
      <c r="O57" s="251"/>
      <c r="P57" s="369"/>
      <c r="Q57" s="369"/>
      <c r="R57" s="488"/>
      <c r="S57" s="822"/>
      <c r="T57" s="324"/>
      <c r="U57" s="369"/>
      <c r="V57" s="584"/>
      <c r="W57" s="287"/>
      <c r="X57" s="287"/>
      <c r="Y57" s="488"/>
      <c r="Z57" s="822"/>
      <c r="AA57" s="822"/>
      <c r="AB57" s="822"/>
      <c r="AC57" s="822"/>
      <c r="AD57" s="822"/>
      <c r="AE57" s="822"/>
      <c r="AF57" s="822"/>
      <c r="AG57" s="822"/>
      <c r="AH57" s="822"/>
      <c r="AI57" s="822"/>
      <c r="AJ57" s="822"/>
      <c r="AK57" s="822"/>
      <c r="AL57" s="822"/>
      <c r="AM57" s="822"/>
      <c r="AN57" s="822"/>
      <c r="AO57" s="822"/>
      <c r="AP57" s="822"/>
      <c r="AQ57" s="822"/>
      <c r="AR57" s="822"/>
      <c r="AS57" s="822"/>
      <c r="AT57" s="822"/>
    </row>
    <row r="58" spans="2:46" ht="11.25" customHeight="1">
      <c r="B58" s="324" t="s">
        <v>228</v>
      </c>
      <c r="C58" s="287" t="s">
        <v>229</v>
      </c>
      <c r="D58" s="365">
        <v>41</v>
      </c>
      <c r="E58" s="287" t="s">
        <v>214</v>
      </c>
      <c r="F58" s="503" t="s">
        <v>215</v>
      </c>
      <c r="G58" s="822"/>
      <c r="H58" s="484"/>
      <c r="I58" s="251"/>
      <c r="J58" s="251"/>
      <c r="K58" s="251"/>
      <c r="L58" s="504"/>
      <c r="M58" s="822"/>
      <c r="N58" s="490"/>
      <c r="O58" s="251"/>
      <c r="P58" s="369"/>
      <c r="Q58" s="369"/>
      <c r="R58" s="488"/>
      <c r="S58" s="822"/>
      <c r="T58" s="324"/>
      <c r="U58" s="369"/>
      <c r="V58" s="584"/>
      <c r="W58" s="287"/>
      <c r="X58" s="287"/>
      <c r="Y58" s="488"/>
      <c r="Z58" s="822"/>
      <c r="AA58" s="822"/>
      <c r="AB58" s="822"/>
      <c r="AC58" s="822"/>
      <c r="AD58" s="822"/>
      <c r="AE58" s="822"/>
      <c r="AF58" s="822"/>
      <c r="AG58" s="822"/>
      <c r="AH58" s="822"/>
      <c r="AI58" s="822"/>
      <c r="AJ58" s="822"/>
      <c r="AK58" s="822"/>
      <c r="AL58" s="822"/>
      <c r="AM58" s="822"/>
      <c r="AN58" s="822"/>
      <c r="AO58" s="822"/>
      <c r="AP58" s="822"/>
      <c r="AQ58" s="822"/>
      <c r="AR58" s="822"/>
      <c r="AS58" s="822"/>
      <c r="AT58" s="822"/>
    </row>
    <row r="59" spans="2:46" ht="11.25" customHeight="1">
      <c r="B59" s="324" t="s">
        <v>228</v>
      </c>
      <c r="C59" s="287" t="s">
        <v>230</v>
      </c>
      <c r="D59" s="365">
        <v>132</v>
      </c>
      <c r="E59" s="287" t="s">
        <v>231</v>
      </c>
      <c r="F59" s="503" t="s">
        <v>215</v>
      </c>
      <c r="G59" s="822"/>
      <c r="H59" s="484"/>
      <c r="I59" s="251"/>
      <c r="J59" s="251"/>
      <c r="K59" s="251"/>
      <c r="L59" s="504"/>
      <c r="M59" s="822"/>
      <c r="N59" s="490"/>
      <c r="O59" s="251"/>
      <c r="P59" s="369"/>
      <c r="Q59" s="369"/>
      <c r="R59" s="488"/>
      <c r="S59" s="822"/>
      <c r="T59" s="324"/>
      <c r="U59" s="369"/>
      <c r="V59" s="584"/>
      <c r="W59" s="287"/>
      <c r="X59" s="287"/>
      <c r="Y59" s="488"/>
      <c r="Z59" s="822"/>
      <c r="AA59" s="822"/>
      <c r="AB59" s="822"/>
      <c r="AC59" s="822"/>
      <c r="AD59" s="822"/>
      <c r="AE59" s="822"/>
      <c r="AF59" s="822"/>
      <c r="AG59" s="822"/>
      <c r="AH59" s="822"/>
      <c r="AI59" s="822"/>
      <c r="AJ59" s="822"/>
      <c r="AK59" s="822"/>
      <c r="AL59" s="822"/>
      <c r="AM59" s="822"/>
      <c r="AN59" s="822"/>
      <c r="AO59" s="822"/>
      <c r="AP59" s="822"/>
      <c r="AQ59" s="822"/>
      <c r="AR59" s="822"/>
      <c r="AS59" s="822"/>
      <c r="AT59" s="822"/>
    </row>
    <row r="60" spans="2:46" ht="11.25" customHeight="1">
      <c r="B60" s="324"/>
      <c r="C60" s="475"/>
      <c r="D60" s="365"/>
      <c r="E60" s="287"/>
      <c r="F60" s="503"/>
      <c r="G60" s="822"/>
      <c r="H60" s="484"/>
      <c r="I60" s="251"/>
      <c r="J60" s="251"/>
      <c r="K60" s="251"/>
      <c r="L60" s="504"/>
      <c r="M60" s="822"/>
      <c r="N60" s="490"/>
      <c r="O60" s="251"/>
      <c r="P60" s="369"/>
      <c r="Q60" s="369"/>
      <c r="R60" s="488"/>
      <c r="S60" s="822"/>
      <c r="T60" s="324"/>
      <c r="U60" s="369"/>
      <c r="V60" s="584"/>
      <c r="W60" s="287"/>
      <c r="X60" s="287"/>
      <c r="Y60" s="488"/>
      <c r="Z60" s="822"/>
      <c r="AA60" s="822"/>
      <c r="AB60" s="822"/>
      <c r="AC60" s="822"/>
      <c r="AD60" s="822"/>
      <c r="AE60" s="822"/>
      <c r="AF60" s="822"/>
      <c r="AG60" s="822"/>
      <c r="AH60" s="822"/>
      <c r="AI60" s="822"/>
      <c r="AJ60" s="822"/>
      <c r="AK60" s="822"/>
      <c r="AL60" s="822"/>
      <c r="AM60" s="822"/>
      <c r="AN60" s="822"/>
      <c r="AO60" s="822"/>
      <c r="AP60" s="822"/>
      <c r="AQ60" s="822"/>
      <c r="AR60" s="822"/>
      <c r="AS60" s="822"/>
      <c r="AT60" s="822"/>
    </row>
    <row r="61" spans="2:46" ht="11.25" customHeight="1">
      <c r="B61" s="324"/>
      <c r="C61" s="287"/>
      <c r="D61" s="365"/>
      <c r="E61" s="287"/>
      <c r="F61" s="503"/>
      <c r="G61" s="822"/>
      <c r="H61" s="484"/>
      <c r="I61" s="251"/>
      <c r="J61" s="251"/>
      <c r="K61" s="251"/>
      <c r="L61" s="504"/>
      <c r="M61" s="822"/>
      <c r="N61" s="490"/>
      <c r="O61" s="251"/>
      <c r="P61" s="369"/>
      <c r="Q61" s="369"/>
      <c r="R61" s="488"/>
      <c r="S61" s="822"/>
      <c r="T61" s="324"/>
      <c r="U61" s="369"/>
      <c r="V61" s="584"/>
      <c r="W61" s="287"/>
      <c r="X61" s="287"/>
      <c r="Y61" s="488"/>
      <c r="Z61" s="822"/>
      <c r="AA61" s="822"/>
      <c r="AB61" s="822"/>
      <c r="AC61" s="822"/>
      <c r="AD61" s="822"/>
      <c r="AE61" s="822"/>
      <c r="AF61" s="822"/>
      <c r="AG61" s="822"/>
      <c r="AH61" s="822"/>
      <c r="AI61" s="822"/>
      <c r="AJ61" s="822"/>
      <c r="AK61" s="822"/>
      <c r="AL61" s="822"/>
      <c r="AM61" s="822"/>
      <c r="AN61" s="822"/>
      <c r="AO61" s="822"/>
      <c r="AP61" s="822"/>
      <c r="AQ61" s="822"/>
      <c r="AR61" s="822"/>
      <c r="AS61" s="822"/>
      <c r="AT61" s="822"/>
    </row>
    <row r="62" spans="2:46" ht="11.25" customHeight="1">
      <c r="B62" s="324"/>
      <c r="C62" s="287"/>
      <c r="D62" s="365"/>
      <c r="E62" s="287"/>
      <c r="F62" s="503"/>
      <c r="G62" s="822"/>
      <c r="H62" s="484"/>
      <c r="I62" s="251"/>
      <c r="J62" s="251"/>
      <c r="K62" s="251"/>
      <c r="L62" s="504"/>
      <c r="M62" s="822"/>
      <c r="N62" s="490"/>
      <c r="O62" s="251"/>
      <c r="P62" s="369"/>
      <c r="Q62" s="369"/>
      <c r="R62" s="488"/>
      <c r="S62" s="822"/>
      <c r="T62" s="324"/>
      <c r="U62" s="369"/>
      <c r="V62" s="584"/>
      <c r="W62" s="287"/>
      <c r="X62" s="287"/>
      <c r="Y62" s="488"/>
      <c r="Z62" s="822"/>
      <c r="AA62" s="822"/>
      <c r="AB62" s="822"/>
      <c r="AC62" s="822"/>
      <c r="AD62" s="822"/>
      <c r="AE62" s="822"/>
      <c r="AF62" s="822"/>
      <c r="AG62" s="822"/>
      <c r="AH62" s="822"/>
      <c r="AI62" s="822"/>
      <c r="AJ62" s="822"/>
      <c r="AK62" s="822"/>
      <c r="AL62" s="822"/>
      <c r="AM62" s="822"/>
      <c r="AN62" s="822"/>
      <c r="AO62" s="822"/>
      <c r="AP62" s="822"/>
      <c r="AQ62" s="822"/>
      <c r="AR62" s="822"/>
      <c r="AS62" s="822"/>
      <c r="AT62" s="822"/>
    </row>
    <row r="63" spans="2:46" ht="11.25" customHeight="1">
      <c r="B63" s="324"/>
      <c r="C63" s="287"/>
      <c r="D63" s="365"/>
      <c r="E63" s="287"/>
      <c r="F63" s="503"/>
      <c r="G63" s="822"/>
      <c r="H63" s="484"/>
      <c r="I63" s="251"/>
      <c r="J63" s="251"/>
      <c r="K63" s="251"/>
      <c r="L63" s="504"/>
      <c r="M63" s="822"/>
      <c r="N63" s="490"/>
      <c r="O63" s="251"/>
      <c r="P63" s="369"/>
      <c r="Q63" s="369"/>
      <c r="R63" s="488"/>
      <c r="S63" s="822"/>
      <c r="T63" s="324"/>
      <c r="U63" s="369"/>
      <c r="V63" s="584"/>
      <c r="W63" s="287"/>
      <c r="X63" s="287"/>
      <c r="Y63" s="488"/>
      <c r="Z63" s="822"/>
      <c r="AA63" s="822"/>
      <c r="AB63" s="822"/>
      <c r="AC63" s="822"/>
      <c r="AD63" s="822"/>
      <c r="AE63" s="822"/>
      <c r="AF63" s="822"/>
      <c r="AG63" s="822"/>
      <c r="AH63" s="822"/>
      <c r="AI63" s="822"/>
      <c r="AJ63" s="822"/>
      <c r="AK63" s="822"/>
      <c r="AL63" s="822"/>
      <c r="AM63" s="822"/>
      <c r="AN63" s="822"/>
      <c r="AO63" s="822"/>
      <c r="AP63" s="822"/>
      <c r="AQ63" s="822"/>
      <c r="AR63" s="822"/>
      <c r="AS63" s="822"/>
      <c r="AT63" s="822"/>
    </row>
    <row r="64" spans="2:46" ht="11.25" customHeight="1">
      <c r="B64" s="324"/>
      <c r="C64" s="475"/>
      <c r="D64" s="365"/>
      <c r="E64" s="287"/>
      <c r="F64" s="503"/>
      <c r="G64" s="822"/>
      <c r="H64" s="484"/>
      <c r="I64" s="251"/>
      <c r="J64" s="251"/>
      <c r="K64" s="251"/>
      <c r="L64" s="504"/>
      <c r="M64" s="822"/>
      <c r="N64" s="490"/>
      <c r="O64" s="251"/>
      <c r="P64" s="369"/>
      <c r="Q64" s="369"/>
      <c r="R64" s="488"/>
      <c r="S64" s="822"/>
      <c r="T64" s="324"/>
      <c r="U64" s="369"/>
      <c r="V64" s="584"/>
      <c r="W64" s="287"/>
      <c r="X64" s="287"/>
      <c r="Y64" s="488"/>
      <c r="Z64" s="822"/>
      <c r="AA64" s="822"/>
      <c r="AB64" s="822"/>
      <c r="AC64" s="822"/>
      <c r="AD64" s="822"/>
      <c r="AE64" s="822"/>
      <c r="AF64" s="822"/>
      <c r="AG64" s="822"/>
      <c r="AH64" s="822"/>
      <c r="AI64" s="822"/>
      <c r="AJ64" s="822"/>
      <c r="AK64" s="822"/>
      <c r="AL64" s="822"/>
      <c r="AM64" s="822"/>
      <c r="AN64" s="822"/>
      <c r="AO64" s="822"/>
      <c r="AP64" s="822"/>
      <c r="AQ64" s="822"/>
      <c r="AR64" s="822"/>
      <c r="AS64" s="822"/>
      <c r="AT64" s="822"/>
    </row>
    <row r="65" spans="2:25" ht="11.25" customHeight="1">
      <c r="B65" s="324"/>
      <c r="C65" s="287"/>
      <c r="D65" s="365"/>
      <c r="E65" s="287"/>
      <c r="F65" s="503"/>
      <c r="G65" s="822"/>
      <c r="H65" s="484"/>
      <c r="I65" s="251"/>
      <c r="J65" s="251"/>
      <c r="K65" s="251"/>
      <c r="L65" s="504"/>
      <c r="M65" s="822"/>
      <c r="N65" s="490"/>
      <c r="O65" s="251"/>
      <c r="P65" s="369"/>
      <c r="Q65" s="369"/>
      <c r="R65" s="488"/>
      <c r="S65" s="822"/>
      <c r="T65" s="324"/>
      <c r="U65" s="369"/>
      <c r="V65" s="584"/>
      <c r="W65" s="287"/>
      <c r="X65" s="287"/>
      <c r="Y65" s="488"/>
    </row>
    <row r="66" spans="2:25" ht="11.25" customHeight="1">
      <c r="B66" s="324"/>
      <c r="C66" s="287"/>
      <c r="D66" s="365"/>
      <c r="E66" s="287"/>
      <c r="F66" s="503"/>
      <c r="G66" s="822"/>
      <c r="H66" s="484"/>
      <c r="I66" s="251"/>
      <c r="J66" s="251"/>
      <c r="K66" s="251"/>
      <c r="L66" s="504"/>
      <c r="M66" s="822"/>
      <c r="N66" s="490"/>
      <c r="O66" s="251"/>
      <c r="P66" s="369"/>
      <c r="Q66" s="369"/>
      <c r="R66" s="488"/>
      <c r="S66" s="822"/>
      <c r="T66" s="324"/>
      <c r="U66" s="369"/>
      <c r="V66" s="584"/>
      <c r="W66" s="287"/>
      <c r="X66" s="287"/>
      <c r="Y66" s="488"/>
    </row>
    <row r="67" spans="2:25" ht="11.25" customHeight="1">
      <c r="B67" s="324"/>
      <c r="C67" s="287"/>
      <c r="D67" s="365"/>
      <c r="E67" s="287"/>
      <c r="F67" s="503"/>
      <c r="G67" s="822"/>
      <c r="H67" s="484"/>
      <c r="I67" s="251"/>
      <c r="J67" s="251"/>
      <c r="K67" s="251"/>
      <c r="L67" s="504"/>
      <c r="M67" s="822"/>
      <c r="N67" s="490"/>
      <c r="O67" s="251"/>
      <c r="P67" s="251"/>
      <c r="Q67" s="512"/>
      <c r="R67" s="488"/>
      <c r="S67" s="822"/>
      <c r="T67" s="324"/>
      <c r="U67" s="369"/>
      <c r="V67" s="584"/>
      <c r="W67" s="287"/>
      <c r="X67" s="287"/>
      <c r="Y67" s="488"/>
    </row>
    <row r="68" spans="2:25" ht="11.25" customHeight="1">
      <c r="B68" s="324"/>
      <c r="C68" s="287"/>
      <c r="D68" s="365"/>
      <c r="E68" s="287"/>
      <c r="F68" s="503"/>
      <c r="G68" s="822"/>
      <c r="H68" s="484"/>
      <c r="I68" s="251"/>
      <c r="J68" s="251"/>
      <c r="K68" s="251"/>
      <c r="L68" s="504"/>
      <c r="M68" s="822"/>
      <c r="N68" s="490"/>
      <c r="O68" s="251"/>
      <c r="P68" s="251"/>
      <c r="Q68" s="512"/>
      <c r="R68" s="488"/>
      <c r="S68" s="822"/>
      <c r="T68" s="324"/>
      <c r="U68" s="369"/>
      <c r="V68" s="584"/>
      <c r="W68" s="287"/>
      <c r="X68" s="287"/>
      <c r="Y68" s="488"/>
    </row>
    <row r="69" spans="2:25" ht="11.25" customHeight="1">
      <c r="B69" s="324"/>
      <c r="C69" s="475"/>
      <c r="D69" s="365"/>
      <c r="E69" s="287"/>
      <c r="F69" s="503"/>
      <c r="G69" s="822"/>
      <c r="H69" s="484"/>
      <c r="I69" s="251"/>
      <c r="J69" s="251"/>
      <c r="K69" s="251"/>
      <c r="L69" s="504"/>
      <c r="M69" s="822"/>
      <c r="N69" s="490"/>
      <c r="O69" s="251"/>
      <c r="P69" s="251"/>
      <c r="Q69" s="369"/>
      <c r="R69" s="488"/>
      <c r="S69" s="822"/>
      <c r="T69" s="324"/>
      <c r="U69" s="369"/>
      <c r="V69" s="584"/>
      <c r="W69" s="287"/>
      <c r="X69" s="287"/>
      <c r="Y69" s="488"/>
    </row>
    <row r="70" spans="2:25" ht="11.25" customHeight="1">
      <c r="B70" s="324"/>
      <c r="C70" s="287"/>
      <c r="D70" s="365"/>
      <c r="E70" s="287"/>
      <c r="F70" s="503"/>
      <c r="G70" s="822"/>
      <c r="H70" s="484"/>
      <c r="I70" s="251"/>
      <c r="J70" s="251"/>
      <c r="K70" s="251"/>
      <c r="L70" s="504"/>
      <c r="M70" s="822"/>
      <c r="N70" s="490"/>
      <c r="O70" s="251"/>
      <c r="P70" s="251"/>
      <c r="Q70" s="369"/>
      <c r="R70" s="488"/>
      <c r="S70" s="822"/>
      <c r="T70" s="324"/>
      <c r="U70" s="369"/>
      <c r="V70" s="584"/>
      <c r="W70" s="287"/>
      <c r="X70" s="287"/>
      <c r="Y70" s="488"/>
    </row>
    <row r="71" spans="2:25" ht="11.25" customHeight="1">
      <c r="B71" s="324"/>
      <c r="C71" s="287"/>
      <c r="D71" s="365"/>
      <c r="E71" s="287"/>
      <c r="F71" s="504"/>
      <c r="G71" s="822"/>
      <c r="H71" s="484"/>
      <c r="I71" s="251"/>
      <c r="J71" s="251"/>
      <c r="K71" s="251"/>
      <c r="L71" s="504"/>
      <c r="M71" s="822"/>
      <c r="N71" s="490"/>
      <c r="O71" s="251"/>
      <c r="P71" s="251"/>
      <c r="Q71" s="369"/>
      <c r="R71" s="488"/>
      <c r="S71" s="822"/>
      <c r="T71" s="324"/>
      <c r="U71" s="369"/>
      <c r="V71" s="584"/>
      <c r="W71" s="287"/>
      <c r="X71" s="287"/>
      <c r="Y71" s="488"/>
    </row>
    <row r="72" spans="2:25" ht="11.25" customHeight="1">
      <c r="B72" s="324"/>
      <c r="C72" s="287"/>
      <c r="D72" s="365"/>
      <c r="E72" s="287"/>
      <c r="F72" s="504"/>
      <c r="G72" s="822"/>
      <c r="H72" s="484"/>
      <c r="I72" s="251"/>
      <c r="J72" s="251"/>
      <c r="K72" s="251"/>
      <c r="L72" s="504"/>
      <c r="M72" s="822"/>
      <c r="N72" s="490"/>
      <c r="O72" s="251"/>
      <c r="P72" s="251"/>
      <c r="Q72" s="369"/>
      <c r="R72" s="488"/>
      <c r="S72" s="822"/>
      <c r="T72" s="324"/>
      <c r="U72" s="369"/>
      <c r="V72" s="584"/>
      <c r="W72" s="287"/>
      <c r="X72" s="287"/>
      <c r="Y72" s="488"/>
    </row>
    <row r="73" spans="2:25" ht="11.25" customHeight="1">
      <c r="B73" s="324"/>
      <c r="C73" s="287"/>
      <c r="D73" s="365"/>
      <c r="E73" s="287"/>
      <c r="F73" s="504"/>
      <c r="G73" s="822"/>
      <c r="H73" s="485"/>
      <c r="I73" s="253"/>
      <c r="J73" s="253"/>
      <c r="K73" s="253"/>
      <c r="L73" s="504"/>
      <c r="M73" s="822"/>
      <c r="N73" s="490"/>
      <c r="O73" s="251"/>
      <c r="P73" s="251"/>
      <c r="Q73" s="513"/>
      <c r="R73" s="488"/>
      <c r="S73" s="822"/>
      <c r="T73" s="324"/>
      <c r="U73" s="369"/>
      <c r="V73" s="584"/>
      <c r="W73" s="287"/>
      <c r="X73" s="287"/>
      <c r="Y73" s="488"/>
    </row>
    <row r="74" spans="2:25" ht="11.25" customHeight="1">
      <c r="B74" s="324"/>
      <c r="C74" s="287"/>
      <c r="D74" s="365"/>
      <c r="E74" s="287"/>
      <c r="F74" s="504"/>
      <c r="G74" s="822"/>
      <c r="H74" s="484"/>
      <c r="I74" s="251"/>
      <c r="J74" s="251"/>
      <c r="K74" s="251"/>
      <c r="L74" s="504"/>
      <c r="M74" s="822"/>
      <c r="N74" s="490"/>
      <c r="O74" s="251"/>
      <c r="P74" s="251"/>
      <c r="Q74" s="369"/>
      <c r="R74" s="488"/>
      <c r="S74" s="822"/>
      <c r="T74" s="324"/>
      <c r="U74" s="369"/>
      <c r="V74" s="584"/>
      <c r="W74" s="287"/>
      <c r="X74" s="287"/>
      <c r="Y74" s="488"/>
    </row>
    <row r="75" spans="2:25" ht="11.25" customHeight="1">
      <c r="B75" s="324"/>
      <c r="C75" s="287"/>
      <c r="D75" s="365"/>
      <c r="E75" s="287"/>
      <c r="F75" s="504"/>
      <c r="G75" s="822"/>
      <c r="H75" s="484"/>
      <c r="I75" s="251"/>
      <c r="J75" s="251"/>
      <c r="K75" s="251"/>
      <c r="L75" s="504"/>
      <c r="M75" s="822"/>
      <c r="N75" s="490"/>
      <c r="O75" s="251"/>
      <c r="P75" s="251"/>
      <c r="Q75" s="369"/>
      <c r="R75" s="488"/>
      <c r="S75" s="822"/>
      <c r="T75" s="324"/>
      <c r="U75" s="369"/>
      <c r="V75" s="584"/>
      <c r="W75" s="287"/>
      <c r="X75" s="287"/>
      <c r="Y75" s="488"/>
    </row>
    <row r="76" spans="2:25" ht="9.75" customHeight="1">
      <c r="B76" s="324"/>
      <c r="C76" s="287"/>
      <c r="D76" s="365"/>
      <c r="E76" s="287"/>
      <c r="F76" s="504"/>
      <c r="G76" s="822"/>
      <c r="H76" s="484"/>
      <c r="I76" s="251"/>
      <c r="J76" s="251"/>
      <c r="K76" s="251"/>
      <c r="L76" s="504"/>
      <c r="M76" s="822"/>
      <c r="N76" s="490"/>
      <c r="O76" s="251"/>
      <c r="P76" s="251"/>
      <c r="Q76" s="369"/>
      <c r="R76" s="488"/>
      <c r="S76" s="822"/>
      <c r="T76" s="324"/>
      <c r="U76" s="369"/>
      <c r="V76" s="584"/>
      <c r="W76" s="287"/>
      <c r="X76" s="287"/>
      <c r="Y76" s="488"/>
    </row>
    <row r="77" spans="2:25" ht="11.25" hidden="1" customHeight="1">
      <c r="B77" s="324"/>
      <c r="C77" s="287"/>
      <c r="D77" s="365"/>
      <c r="E77" s="287"/>
      <c r="F77" s="504"/>
      <c r="G77" s="822"/>
      <c r="H77" s="484"/>
      <c r="I77" s="251"/>
      <c r="J77" s="251"/>
      <c r="K77" s="251"/>
      <c r="L77" s="504"/>
      <c r="M77" s="822"/>
      <c r="N77" s="490"/>
      <c r="O77" s="251"/>
      <c r="P77" s="251"/>
      <c r="Q77" s="369"/>
      <c r="R77" s="488"/>
      <c r="S77" s="822"/>
      <c r="T77" s="324"/>
      <c r="U77" s="369"/>
      <c r="V77" s="583"/>
      <c r="W77" s="287"/>
      <c r="X77" s="287"/>
      <c r="Y77" s="488"/>
    </row>
    <row r="78" spans="2:25" ht="11.25" customHeight="1">
      <c r="B78" s="324"/>
      <c r="C78" s="287"/>
      <c r="D78" s="365"/>
      <c r="E78" s="287"/>
      <c r="F78" s="504"/>
      <c r="G78" s="822"/>
      <c r="H78" s="484"/>
      <c r="I78" s="369"/>
      <c r="J78" s="369"/>
      <c r="K78" s="251"/>
      <c r="L78" s="504"/>
      <c r="M78" s="822"/>
      <c r="N78" s="490"/>
      <c r="O78" s="251"/>
      <c r="P78" s="251"/>
      <c r="Q78" s="369"/>
      <c r="R78" s="488"/>
      <c r="S78" s="822"/>
      <c r="T78" s="324"/>
      <c r="U78" s="369"/>
      <c r="V78" s="287"/>
      <c r="W78" s="287"/>
      <c r="X78" s="287"/>
      <c r="Y78" s="488"/>
    </row>
    <row r="79" spans="2:25" ht="11.25" customHeight="1">
      <c r="B79" s="324"/>
      <c r="C79" s="287"/>
      <c r="D79" s="365"/>
      <c r="E79" s="287"/>
      <c r="F79" s="504"/>
      <c r="G79" s="822"/>
      <c r="H79" s="484"/>
      <c r="I79" s="251"/>
      <c r="J79" s="251"/>
      <c r="K79" s="251"/>
      <c r="L79" s="504"/>
      <c r="M79" s="822"/>
      <c r="N79" s="490"/>
      <c r="O79" s="251"/>
      <c r="P79" s="251"/>
      <c r="Q79" s="369"/>
      <c r="R79" s="488"/>
      <c r="S79" s="822"/>
      <c r="T79" s="324"/>
      <c r="U79" s="369"/>
      <c r="V79" s="287"/>
      <c r="W79" s="287"/>
      <c r="X79" s="287"/>
      <c r="Y79" s="488"/>
    </row>
    <row r="80" spans="2:25" ht="11.25" customHeight="1">
      <c r="B80" s="324"/>
      <c r="C80" s="287"/>
      <c r="D80" s="365"/>
      <c r="E80" s="287"/>
      <c r="F80" s="504"/>
      <c r="G80" s="822"/>
      <c r="H80" s="484"/>
      <c r="I80" s="251"/>
      <c r="J80" s="251"/>
      <c r="K80" s="251"/>
      <c r="L80" s="504"/>
      <c r="M80" s="822"/>
      <c r="N80" s="490"/>
      <c r="O80" s="251"/>
      <c r="P80" s="251"/>
      <c r="Q80" s="369"/>
      <c r="R80" s="488"/>
      <c r="S80" s="822"/>
      <c r="T80" s="324"/>
      <c r="U80" s="369"/>
      <c r="V80" s="287"/>
      <c r="W80" s="287"/>
      <c r="X80" s="287"/>
      <c r="Y80" s="488"/>
    </row>
    <row r="81" spans="2:25" ht="11.25" customHeight="1">
      <c r="B81" s="324"/>
      <c r="C81" s="287"/>
      <c r="D81" s="365"/>
      <c r="E81" s="287"/>
      <c r="F81" s="504"/>
      <c r="G81" s="822"/>
      <c r="H81" s="484"/>
      <c r="I81" s="251"/>
      <c r="J81" s="251"/>
      <c r="K81" s="251"/>
      <c r="L81" s="504"/>
      <c r="M81" s="822"/>
      <c r="N81" s="490"/>
      <c r="O81" s="251"/>
      <c r="P81" s="251"/>
      <c r="Q81" s="369"/>
      <c r="R81" s="488"/>
      <c r="S81" s="822"/>
      <c r="T81" s="324"/>
      <c r="U81" s="369"/>
      <c r="V81" s="287"/>
      <c r="W81" s="287"/>
      <c r="X81" s="287"/>
      <c r="Y81" s="488"/>
    </row>
    <row r="82" spans="2:25" ht="11.25" customHeight="1">
      <c r="B82" s="324"/>
      <c r="C82" s="287"/>
      <c r="D82" s="365"/>
      <c r="E82" s="287"/>
      <c r="F82" s="504"/>
      <c r="G82" s="822"/>
      <c r="H82" s="484"/>
      <c r="I82" s="251"/>
      <c r="J82" s="251"/>
      <c r="K82" s="251"/>
      <c r="L82" s="504"/>
      <c r="M82" s="822"/>
      <c r="N82" s="490"/>
      <c r="O82" s="251"/>
      <c r="P82" s="251"/>
      <c r="Q82" s="369"/>
      <c r="R82" s="488"/>
      <c r="S82" s="822"/>
      <c r="T82" s="324"/>
      <c r="U82" s="369"/>
      <c r="V82" s="287"/>
      <c r="W82" s="287"/>
      <c r="X82" s="287"/>
      <c r="Y82" s="488"/>
    </row>
    <row r="83" spans="2:25" ht="11.25" customHeight="1">
      <c r="B83" s="324"/>
      <c r="C83" s="287"/>
      <c r="D83" s="365"/>
      <c r="E83" s="287"/>
      <c r="F83" s="504"/>
      <c r="G83" s="822"/>
      <c r="H83" s="484"/>
      <c r="I83" s="251"/>
      <c r="J83" s="251"/>
      <c r="K83" s="251"/>
      <c r="L83" s="504"/>
      <c r="M83" s="822"/>
      <c r="N83" s="490"/>
      <c r="O83" s="251"/>
      <c r="P83" s="251"/>
      <c r="Q83" s="369"/>
      <c r="R83" s="488"/>
      <c r="S83" s="822"/>
      <c r="T83" s="324"/>
      <c r="U83" s="369"/>
      <c r="V83" s="287"/>
      <c r="W83" s="287"/>
      <c r="X83" s="287"/>
      <c r="Y83" s="488"/>
    </row>
    <row r="84" spans="2:25" ht="11.25" customHeight="1">
      <c r="B84" s="324"/>
      <c r="C84" s="287"/>
      <c r="D84" s="365"/>
      <c r="E84" s="287"/>
      <c r="F84" s="504"/>
      <c r="G84" s="822"/>
      <c r="H84" s="484"/>
      <c r="I84" s="251"/>
      <c r="J84" s="251"/>
      <c r="K84" s="251"/>
      <c r="L84" s="504"/>
      <c r="M84" s="822"/>
      <c r="N84" s="490"/>
      <c r="O84" s="251"/>
      <c r="P84" s="251"/>
      <c r="Q84" s="369"/>
      <c r="R84" s="488"/>
      <c r="S84" s="822"/>
      <c r="T84" s="324"/>
      <c r="U84" s="369"/>
      <c r="V84" s="287"/>
      <c r="W84" s="287"/>
      <c r="X84" s="287"/>
      <c r="Y84" s="488"/>
    </row>
    <row r="85" spans="2:25" ht="11.25" customHeight="1">
      <c r="B85" s="324"/>
      <c r="C85" s="287"/>
      <c r="D85" s="365"/>
      <c r="E85" s="287"/>
      <c r="F85" s="504"/>
      <c r="G85" s="822"/>
      <c r="H85" s="484"/>
      <c r="I85" s="251"/>
      <c r="J85" s="251"/>
      <c r="K85" s="251"/>
      <c r="L85" s="504"/>
      <c r="M85" s="822"/>
      <c r="N85" s="490"/>
      <c r="O85" s="251"/>
      <c r="P85" s="251"/>
      <c r="Q85" s="369"/>
      <c r="R85" s="488"/>
      <c r="S85" s="822"/>
      <c r="T85" s="324"/>
      <c r="U85" s="287"/>
      <c r="V85" s="287"/>
      <c r="W85" s="287"/>
      <c r="X85" s="287"/>
      <c r="Y85" s="488"/>
    </row>
    <row r="86" spans="2:25" ht="11.25" customHeight="1">
      <c r="B86" s="324"/>
      <c r="C86" s="287"/>
      <c r="D86" s="365"/>
      <c r="E86" s="287"/>
      <c r="F86" s="504"/>
      <c r="G86" s="822"/>
      <c r="H86" s="484"/>
      <c r="I86" s="251"/>
      <c r="J86" s="251"/>
      <c r="K86" s="251"/>
      <c r="L86" s="504"/>
      <c r="M86" s="822"/>
      <c r="N86" s="490"/>
      <c r="O86" s="251"/>
      <c r="P86" s="251"/>
      <c r="Q86" s="369"/>
      <c r="R86" s="488"/>
      <c r="S86" s="822"/>
      <c r="T86" s="324"/>
      <c r="U86" s="287"/>
      <c r="V86" s="287"/>
      <c r="W86" s="287"/>
      <c r="X86" s="287"/>
      <c r="Y86" s="488"/>
    </row>
    <row r="87" spans="2:25" ht="11.25" customHeight="1">
      <c r="B87" s="324"/>
      <c r="C87" s="287"/>
      <c r="D87" s="365"/>
      <c r="E87" s="287"/>
      <c r="F87" s="504"/>
      <c r="G87" s="822"/>
      <c r="H87" s="484"/>
      <c r="I87" s="251"/>
      <c r="J87" s="251"/>
      <c r="K87" s="251"/>
      <c r="L87" s="504"/>
      <c r="M87" s="822"/>
      <c r="N87" s="490"/>
      <c r="O87" s="251"/>
      <c r="P87" s="251"/>
      <c r="Q87" s="369"/>
      <c r="R87" s="488"/>
      <c r="S87" s="822"/>
      <c r="T87" s="324"/>
      <c r="U87" s="287"/>
      <c r="V87" s="287"/>
      <c r="W87" s="287"/>
      <c r="X87" s="287"/>
      <c r="Y87" s="488"/>
    </row>
    <row r="88" spans="2:25" ht="11.25" customHeight="1">
      <c r="B88" s="324"/>
      <c r="C88" s="287"/>
      <c r="D88" s="365"/>
      <c r="E88" s="287"/>
      <c r="F88" s="504"/>
      <c r="G88" s="822"/>
      <c r="H88" s="484"/>
      <c r="I88" s="251"/>
      <c r="J88" s="251"/>
      <c r="K88" s="251"/>
      <c r="L88" s="504"/>
      <c r="M88" s="822"/>
      <c r="N88" s="490"/>
      <c r="O88" s="251"/>
      <c r="P88" s="251"/>
      <c r="Q88" s="369"/>
      <c r="R88" s="488"/>
      <c r="S88" s="822"/>
      <c r="T88" s="324"/>
      <c r="U88" s="287"/>
      <c r="V88" s="287"/>
      <c r="W88" s="287"/>
      <c r="X88" s="287"/>
      <c r="Y88" s="488"/>
    </row>
    <row r="89" spans="2:25" ht="11.25" customHeight="1">
      <c r="B89" s="324"/>
      <c r="C89" s="287"/>
      <c r="D89" s="365"/>
      <c r="E89" s="287"/>
      <c r="F89" s="504"/>
      <c r="G89" s="822"/>
      <c r="H89" s="484"/>
      <c r="I89" s="251"/>
      <c r="J89" s="251"/>
      <c r="K89" s="251"/>
      <c r="L89" s="504"/>
      <c r="M89" s="822"/>
      <c r="N89" s="490"/>
      <c r="O89" s="251"/>
      <c r="P89" s="251"/>
      <c r="Q89" s="369"/>
      <c r="R89" s="488"/>
      <c r="S89" s="822"/>
      <c r="T89" s="324"/>
      <c r="U89" s="287"/>
      <c r="V89" s="287"/>
      <c r="W89" s="287"/>
      <c r="X89" s="287"/>
      <c r="Y89" s="488"/>
    </row>
    <row r="90" spans="2:25" ht="11.25" customHeight="1">
      <c r="B90" s="324"/>
      <c r="C90" s="287"/>
      <c r="D90" s="365"/>
      <c r="E90" s="287"/>
      <c r="F90" s="504"/>
      <c r="G90" s="822"/>
      <c r="H90" s="484"/>
      <c r="I90" s="251"/>
      <c r="J90" s="251"/>
      <c r="K90" s="251"/>
      <c r="L90" s="504"/>
      <c r="M90" s="822"/>
      <c r="N90" s="490"/>
      <c r="O90" s="251"/>
      <c r="P90" s="251"/>
      <c r="Q90" s="369"/>
      <c r="R90" s="488"/>
      <c r="S90" s="822"/>
      <c r="T90" s="324"/>
      <c r="U90" s="287"/>
      <c r="V90" s="287"/>
      <c r="W90" s="287"/>
      <c r="X90" s="287"/>
      <c r="Y90" s="488"/>
    </row>
    <row r="91" spans="2:25">
      <c r="B91" s="324"/>
      <c r="C91" s="287"/>
      <c r="D91" s="365"/>
      <c r="E91" s="287"/>
      <c r="F91" s="504"/>
      <c r="G91" s="822"/>
      <c r="H91" s="484"/>
      <c r="I91" s="251"/>
      <c r="J91" s="251"/>
      <c r="K91" s="251"/>
      <c r="L91" s="504"/>
      <c r="M91" s="822"/>
      <c r="N91" s="490"/>
      <c r="O91" s="251"/>
      <c r="P91" s="251"/>
      <c r="Q91" s="369"/>
      <c r="R91" s="488"/>
      <c r="S91" s="822"/>
      <c r="T91" s="324"/>
      <c r="U91" s="287"/>
      <c r="V91" s="287"/>
      <c r="W91" s="287"/>
      <c r="X91" s="287"/>
      <c r="Y91" s="488"/>
    </row>
    <row r="92" spans="2:25">
      <c r="B92" s="324"/>
      <c r="C92" s="287"/>
      <c r="D92" s="365"/>
      <c r="E92" s="287"/>
      <c r="F92" s="504"/>
      <c r="G92" s="822"/>
      <c r="H92" s="484"/>
      <c r="I92" s="251"/>
      <c r="J92" s="251"/>
      <c r="K92" s="251"/>
      <c r="L92" s="504"/>
      <c r="M92" s="822"/>
      <c r="N92" s="490"/>
      <c r="O92" s="251"/>
      <c r="P92" s="251"/>
      <c r="Q92" s="369"/>
      <c r="R92" s="488"/>
      <c r="S92" s="822"/>
      <c r="T92" s="324"/>
      <c r="U92" s="287"/>
      <c r="V92" s="287"/>
      <c r="W92" s="287"/>
      <c r="X92" s="287"/>
      <c r="Y92" s="488"/>
    </row>
    <row r="93" spans="2:25">
      <c r="B93" s="324"/>
      <c r="C93" s="287"/>
      <c r="D93" s="365"/>
      <c r="E93" s="287"/>
      <c r="F93" s="504"/>
      <c r="G93" s="822"/>
      <c r="H93" s="484"/>
      <c r="I93" s="251"/>
      <c r="J93" s="251"/>
      <c r="K93" s="251"/>
      <c r="L93" s="504"/>
      <c r="M93" s="822"/>
      <c r="N93" s="490"/>
      <c r="O93" s="251"/>
      <c r="P93" s="251"/>
      <c r="Q93" s="369"/>
      <c r="R93" s="488"/>
      <c r="S93" s="822"/>
      <c r="T93" s="324"/>
      <c r="U93" s="287"/>
      <c r="V93" s="287"/>
      <c r="W93" s="287"/>
      <c r="X93" s="287"/>
      <c r="Y93" s="488"/>
    </row>
    <row r="94" spans="2:25">
      <c r="B94" s="324"/>
      <c r="C94" s="287"/>
      <c r="D94" s="365"/>
      <c r="E94" s="287"/>
      <c r="F94" s="504"/>
      <c r="G94" s="822"/>
      <c r="H94" s="484"/>
      <c r="I94" s="251"/>
      <c r="J94" s="251"/>
      <c r="K94" s="251"/>
      <c r="L94" s="504"/>
      <c r="M94" s="822"/>
      <c r="N94" s="490"/>
      <c r="O94" s="251"/>
      <c r="P94" s="251"/>
      <c r="Q94" s="369"/>
      <c r="R94" s="488"/>
      <c r="S94" s="822"/>
      <c r="T94" s="324"/>
      <c r="U94" s="287"/>
      <c r="V94" s="287"/>
      <c r="W94" s="287"/>
      <c r="X94" s="287"/>
      <c r="Y94" s="488"/>
    </row>
    <row r="95" spans="2:25">
      <c r="B95" s="324"/>
      <c r="C95" s="287"/>
      <c r="D95" s="365"/>
      <c r="E95" s="287"/>
      <c r="F95" s="504"/>
      <c r="G95" s="822"/>
      <c r="H95" s="484"/>
      <c r="I95" s="251"/>
      <c r="J95" s="251"/>
      <c r="K95" s="251"/>
      <c r="L95" s="504"/>
      <c r="M95" s="822"/>
      <c r="N95" s="490"/>
      <c r="O95" s="251"/>
      <c r="P95" s="251"/>
      <c r="Q95" s="369"/>
      <c r="R95" s="488"/>
      <c r="S95" s="822"/>
      <c r="T95" s="324"/>
      <c r="U95" s="287"/>
      <c r="V95" s="287"/>
      <c r="W95" s="287"/>
      <c r="X95" s="287"/>
      <c r="Y95" s="488"/>
    </row>
    <row r="96" spans="2:25">
      <c r="B96" s="324"/>
      <c r="C96" s="287"/>
      <c r="D96" s="365"/>
      <c r="E96" s="287"/>
      <c r="F96" s="504"/>
      <c r="G96" s="822"/>
      <c r="H96" s="484"/>
      <c r="I96" s="251"/>
      <c r="J96" s="251"/>
      <c r="K96" s="251"/>
      <c r="L96" s="504"/>
      <c r="M96" s="822"/>
      <c r="N96" s="490"/>
      <c r="O96" s="251"/>
      <c r="P96" s="251"/>
      <c r="Q96" s="369"/>
      <c r="R96" s="488"/>
      <c r="S96" s="822"/>
      <c r="T96" s="324"/>
      <c r="U96" s="287"/>
      <c r="V96" s="287"/>
      <c r="W96" s="287"/>
      <c r="X96" s="287"/>
      <c r="Y96" s="488"/>
    </row>
    <row r="97" spans="2:25">
      <c r="B97" s="324"/>
      <c r="C97" s="287"/>
      <c r="D97" s="365"/>
      <c r="E97" s="287"/>
      <c r="F97" s="504"/>
      <c r="G97" s="822"/>
      <c r="H97" s="484"/>
      <c r="I97" s="251"/>
      <c r="J97" s="251"/>
      <c r="K97" s="251"/>
      <c r="L97" s="504"/>
      <c r="M97" s="822"/>
      <c r="N97" s="490"/>
      <c r="O97" s="251"/>
      <c r="P97" s="251"/>
      <c r="Q97" s="369"/>
      <c r="R97" s="488"/>
      <c r="S97" s="822"/>
      <c r="T97" s="324"/>
      <c r="U97" s="287"/>
      <c r="V97" s="287"/>
      <c r="W97" s="287"/>
      <c r="X97" s="287"/>
      <c r="Y97" s="488"/>
    </row>
    <row r="98" spans="2:25" ht="12" thickBot="1">
      <c r="B98" s="325"/>
      <c r="C98" s="326"/>
      <c r="D98" s="327"/>
      <c r="E98" s="326"/>
      <c r="F98" s="505"/>
      <c r="G98" s="822"/>
      <c r="H98" s="486"/>
      <c r="I98" s="481"/>
      <c r="J98" s="481"/>
      <c r="K98" s="481"/>
      <c r="L98" s="505"/>
      <c r="M98" s="822"/>
      <c r="N98" s="491"/>
      <c r="O98" s="481"/>
      <c r="P98" s="481"/>
      <c r="Q98" s="514"/>
      <c r="R98" s="489"/>
      <c r="S98" s="822"/>
      <c r="T98" s="325"/>
      <c r="U98" s="326"/>
      <c r="V98" s="326"/>
      <c r="W98" s="326"/>
      <c r="X98" s="326"/>
      <c r="Y98" s="489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6" s="14" customFormat="1" ht="51">
      <c r="A1" s="10" t="s">
        <v>32</v>
      </c>
      <c r="B1" s="13" t="s">
        <v>232</v>
      </c>
      <c r="C1" s="10" t="s">
        <v>107</v>
      </c>
      <c r="D1" s="73" t="s">
        <v>233</v>
      </c>
      <c r="E1" s="73" t="s">
        <v>234</v>
      </c>
    </row>
    <row r="2" spans="1:6">
      <c r="A2" s="89">
        <f>Gen!A11</f>
        <v>44348</v>
      </c>
      <c r="B2" s="12">
        <f>SUM('[1]Summery Report'!F5)</f>
        <v>5669</v>
      </c>
      <c r="C2" s="113">
        <f>SUM('[1]Summery Report'!C5)</f>
        <v>0.623</v>
      </c>
      <c r="D2" s="74" t="e">
        <f>SUM('[1]Summery Report'!#REF!)</f>
        <v>#REF!</v>
      </c>
      <c r="E2" s="74" t="e">
        <f>SUM('[1]Summery Report'!#REF!)</f>
        <v>#REF!</v>
      </c>
      <c r="F2" s="18">
        <v>0.1</v>
      </c>
    </row>
    <row r="3" spans="1:6">
      <c r="A3" s="89">
        <f>Gen!A12</f>
        <v>44349</v>
      </c>
      <c r="B3" s="12">
        <f>SUM('[1]Summery Report'!F6)</f>
        <v>6159</v>
      </c>
      <c r="C3" s="113">
        <f>SUM('[1]Summery Report'!C6)</f>
        <v>0.77900000000000003</v>
      </c>
      <c r="D3" s="74" t="e">
        <f>SUM('[1]Summery Report'!#REF!)</f>
        <v>#REF!</v>
      </c>
      <c r="E3" s="74" t="e">
        <f>SUM('[1]Summery Report'!#REF!)</f>
        <v>#REF!</v>
      </c>
      <c r="F3" s="18">
        <v>0.13750000000000001</v>
      </c>
    </row>
    <row r="4" spans="1:6">
      <c r="A4" s="89">
        <f>Gen!A13</f>
        <v>44350</v>
      </c>
      <c r="B4" s="12">
        <f>SUM('[1]Summery Report'!F7)</f>
        <v>6580</v>
      </c>
      <c r="C4" s="113">
        <f>SUM('[1]Summery Report'!C7)</f>
        <v>0.53200000000000003</v>
      </c>
      <c r="D4" s="74" t="e">
        <f>SUM('[1]Summery Report'!#REF!)</f>
        <v>#REF!</v>
      </c>
      <c r="E4" s="74" t="e">
        <f>SUM('[1]Summery Report'!#REF!)</f>
        <v>#REF!</v>
      </c>
      <c r="F4" s="18">
        <v>8.7499999999999994E-2</v>
      </c>
    </row>
    <row r="5" spans="1:6">
      <c r="A5" s="89">
        <f>Gen!A14</f>
        <v>44351</v>
      </c>
      <c r="B5" s="12">
        <f>SUM('[1]Summery Report'!F8)</f>
        <v>6223</v>
      </c>
      <c r="C5" s="113">
        <f>SUM('[1]Summery Report'!C8)</f>
        <v>0.61</v>
      </c>
      <c r="D5" s="74" t="e">
        <f>SUM('[1]Summery Report'!#REF!)</f>
        <v>#REF!</v>
      </c>
      <c r="E5" s="74" t="e">
        <f>SUM('[1]Summery Report'!#REF!)</f>
        <v>#REF!</v>
      </c>
      <c r="F5" s="18">
        <v>0.22500000000000001</v>
      </c>
    </row>
    <row r="6" spans="1:6">
      <c r="A6" s="89">
        <f>Gen!A15</f>
        <v>44352</v>
      </c>
      <c r="B6" s="12">
        <f>SUM('[1]Summery Report'!F9)</f>
        <v>5984</v>
      </c>
      <c r="C6" s="113">
        <f>SUM('[1]Summery Report'!C9)</f>
        <v>0.68799999999999994</v>
      </c>
      <c r="D6" s="74" t="e">
        <f>SUM('[1]Summery Report'!#REF!)</f>
        <v>#REF!</v>
      </c>
      <c r="E6" s="74" t="e">
        <f>SUM('[1]Summery Report'!#REF!)</f>
        <v>#REF!</v>
      </c>
      <c r="F6" s="18">
        <v>0.2</v>
      </c>
    </row>
    <row r="7" spans="1:6">
      <c r="A7" s="89">
        <f>Gen!A16</f>
        <v>44353</v>
      </c>
      <c r="B7" s="12">
        <f>SUM('[1]Summery Report'!F10)</f>
        <v>6103</v>
      </c>
      <c r="C7" s="113">
        <f>SUM('[1]Summery Report'!C10)</f>
        <v>0.53200000000000003</v>
      </c>
      <c r="D7" s="74" t="e">
        <f>SUM('[1]Summery Report'!#REF!)</f>
        <v>#REF!</v>
      </c>
      <c r="E7" s="74" t="e">
        <f>SUM('[1]Summery Report'!#REF!)</f>
        <v>#REF!</v>
      </c>
      <c r="F7" s="18">
        <v>0.35</v>
      </c>
    </row>
    <row r="8" spans="1:6">
      <c r="A8" s="89">
        <f>Gen!A17</f>
        <v>44354</v>
      </c>
      <c r="B8" s="12">
        <f>SUM('[1]Summery Report'!F11)</f>
        <v>5576</v>
      </c>
      <c r="C8" s="113">
        <f>SUM('[1]Summery Report'!C11)</f>
        <v>0.753</v>
      </c>
      <c r="D8" s="74" t="e">
        <f>SUM('[1]Summery Report'!#REF!)</f>
        <v>#REF!</v>
      </c>
      <c r="E8" s="74" t="e">
        <f>SUM('[1]Summery Report'!#REF!)</f>
        <v>#REF!</v>
      </c>
      <c r="F8" s="18">
        <v>0.375</v>
      </c>
    </row>
    <row r="9" spans="1:6">
      <c r="A9" s="89">
        <f>Gen!A18</f>
        <v>44355</v>
      </c>
      <c r="B9" s="12">
        <f>SUM('[1]Summery Report'!F12)</f>
        <v>5532</v>
      </c>
      <c r="C9" s="113">
        <f>SUM('[1]Summery Report'!C12)</f>
        <v>0.156</v>
      </c>
      <c r="D9" s="74" t="e">
        <f>SUM('[1]Summery Report'!#REF!)</f>
        <v>#REF!</v>
      </c>
      <c r="E9" s="74" t="e">
        <f>SUM('[1]Summery Report'!#REF!)</f>
        <v>#REF!</v>
      </c>
      <c r="F9" s="18">
        <v>0.32500000000000001</v>
      </c>
    </row>
    <row r="10" spans="1:6">
      <c r="A10" s="89">
        <f>Gen!A19</f>
        <v>44356</v>
      </c>
      <c r="B10" s="12">
        <f>SUM('[1]Summery Report'!F13)</f>
        <v>6233</v>
      </c>
      <c r="C10" s="113">
        <f>SUM('[1]Summery Report'!C13)</f>
        <v>0.442</v>
      </c>
      <c r="D10" s="74" t="e">
        <f>SUM('[1]Summery Report'!#REF!)</f>
        <v>#REF!</v>
      </c>
      <c r="E10" s="74" t="e">
        <f>SUM('[1]Summery Report'!#REF!)</f>
        <v>#REF!</v>
      </c>
      <c r="F10" s="18">
        <v>0.75</v>
      </c>
    </row>
    <row r="11" spans="1:6">
      <c r="A11" s="89">
        <f>Gen!A20</f>
        <v>44357</v>
      </c>
      <c r="B11" s="12">
        <f>SUM('[1]Summery Report'!F14)</f>
        <v>6063</v>
      </c>
      <c r="C11" s="113">
        <f>SUM('[1]Summery Report'!C14)</f>
        <v>0.32500000000000001</v>
      </c>
      <c r="D11" s="74" t="e">
        <f>SUM('[1]Summery Report'!#REF!)</f>
        <v>#REF!</v>
      </c>
      <c r="E11" s="74" t="e">
        <f>SUM('[1]Summery Report'!#REF!)</f>
        <v>#REF!</v>
      </c>
      <c r="F11" s="18">
        <v>0.76249999999999996</v>
      </c>
    </row>
    <row r="12" spans="1:6">
      <c r="A12" s="89">
        <f>Gen!A21</f>
        <v>44358</v>
      </c>
      <c r="B12" s="12">
        <f>SUM('[1]Summery Report'!F15)</f>
        <v>5967</v>
      </c>
      <c r="C12" s="113">
        <f>SUM('[1]Summery Report'!C15)</f>
        <v>0.45500000000000002</v>
      </c>
      <c r="D12" s="74" t="e">
        <f>SUM('[1]Summery Report'!#REF!)</f>
        <v>#REF!</v>
      </c>
      <c r="E12" s="74" t="e">
        <f>SUM('[1]Summery Report'!#REF!)</f>
        <v>#REF!</v>
      </c>
      <c r="F12" s="18">
        <v>0.16250000000000001</v>
      </c>
    </row>
    <row r="13" spans="1:6">
      <c r="A13" s="89">
        <f>Gen!A22</f>
        <v>44359</v>
      </c>
      <c r="B13" s="12">
        <f>SUM('[1]Summery Report'!F16)</f>
        <v>5863</v>
      </c>
      <c r="C13" s="113">
        <f>SUM('[1]Summery Report'!C16)</f>
        <v>0.41599999999999998</v>
      </c>
      <c r="D13" s="74" t="e">
        <f>SUM('[1]Summery Report'!#REF!)</f>
        <v>#REF!</v>
      </c>
      <c r="E13" s="74" t="e">
        <f>SUM('[1]Summery Report'!#REF!)</f>
        <v>#REF!</v>
      </c>
      <c r="F13" s="18">
        <v>0.1125</v>
      </c>
    </row>
    <row r="14" spans="1:6">
      <c r="A14" s="89">
        <f>Gen!A23</f>
        <v>44360</v>
      </c>
      <c r="B14" s="12">
        <f>SUM('[1]Summery Report'!F17)</f>
        <v>5720</v>
      </c>
      <c r="C14" s="113">
        <f>SUM('[1]Summery Report'!C17)</f>
        <v>0.39</v>
      </c>
      <c r="D14" s="74" t="e">
        <f>SUM('[1]Summery Report'!#REF!)</f>
        <v>#REF!</v>
      </c>
      <c r="E14" s="74" t="e">
        <f>SUM('[1]Summery Report'!#REF!)</f>
        <v>#REF!</v>
      </c>
      <c r="F14" s="18">
        <v>3.7499999999999999E-2</v>
      </c>
    </row>
    <row r="15" spans="1:6">
      <c r="A15" s="89">
        <f>Gen!A24</f>
        <v>44361</v>
      </c>
      <c r="B15" s="12">
        <f>SUM('[1]Summery Report'!F18)</f>
        <v>6195</v>
      </c>
      <c r="C15" s="113">
        <f>SUM('[1]Summery Report'!C18)</f>
        <v>0.63600000000000001</v>
      </c>
      <c r="D15" s="74" t="e">
        <f>SUM('[1]Summery Report'!#REF!)</f>
        <v>#REF!</v>
      </c>
      <c r="E15" s="74" t="e">
        <f>SUM('[1]Summery Report'!#REF!)</f>
        <v>#REF!</v>
      </c>
      <c r="F15" s="18">
        <v>0.125</v>
      </c>
    </row>
    <row r="16" spans="1:6">
      <c r="A16" s="89">
        <f>Gen!A25</f>
        <v>44362</v>
      </c>
      <c r="B16" s="12">
        <f>SUM('[1]Summery Report'!F19)</f>
        <v>6450</v>
      </c>
      <c r="C16" s="113">
        <f>SUM('[1]Summery Report'!C19)</f>
        <v>0.84399999999999997</v>
      </c>
      <c r="D16" s="74" t="e">
        <f>SUM('[1]Summery Report'!#REF!)</f>
        <v>#REF!</v>
      </c>
      <c r="E16" s="74" t="e">
        <f>SUM('[1]Summery Report'!#REF!)</f>
        <v>#REF!</v>
      </c>
      <c r="F16" s="18">
        <v>0.125</v>
      </c>
    </row>
    <row r="17" spans="1:6">
      <c r="A17" s="89">
        <f>Gen!A26</f>
        <v>44363</v>
      </c>
      <c r="B17" s="12">
        <f>SUM('[1]Summery Report'!F20)</f>
        <v>6915</v>
      </c>
      <c r="C17" s="113">
        <f>SUM('[1]Summery Report'!C20)</f>
        <v>0.81799999999999995</v>
      </c>
      <c r="D17" s="74" t="e">
        <f>SUM('[1]Summery Report'!#REF!)</f>
        <v>#REF!</v>
      </c>
      <c r="E17" s="74" t="e">
        <f>SUM('[1]Summery Report'!#REF!)</f>
        <v>#REF!</v>
      </c>
      <c r="F17" s="18">
        <v>0.05</v>
      </c>
    </row>
    <row r="18" spans="1:6">
      <c r="A18" s="89">
        <f>Gen!A27</f>
        <v>44364</v>
      </c>
      <c r="B18" s="12">
        <f>SUM('[1]Summery Report'!F21)</f>
        <v>5962</v>
      </c>
      <c r="C18" s="113">
        <f>SUM('[1]Summery Report'!C21)</f>
        <v>0.20799999999999999</v>
      </c>
      <c r="D18" s="74" t="e">
        <f>SUM('[1]Summery Report'!#REF!)</f>
        <v>#REF!</v>
      </c>
      <c r="E18" s="74" t="e">
        <f>SUM('[1]Summery Report'!#REF!)</f>
        <v>#REF!</v>
      </c>
      <c r="F18" s="18">
        <v>0.21249999999999999</v>
      </c>
    </row>
    <row r="19" spans="1:6">
      <c r="A19" s="89">
        <f>Gen!A28</f>
        <v>44365</v>
      </c>
      <c r="B19" s="12">
        <f>SUM('[1]Summery Report'!F22)</f>
        <v>5257</v>
      </c>
      <c r="C19" s="113">
        <f>SUM('[1]Summery Report'!C22)</f>
        <v>0.221</v>
      </c>
      <c r="D19" s="74" t="e">
        <f>SUM('[1]Summery Report'!#REF!)</f>
        <v>#REF!</v>
      </c>
      <c r="E19" s="74" t="e">
        <f>SUM('[1]Summery Report'!#REF!)</f>
        <v>#REF!</v>
      </c>
      <c r="F19" s="18">
        <v>0.1125</v>
      </c>
    </row>
    <row r="20" spans="1:6">
      <c r="A20" s="89">
        <f>Gen!A29</f>
        <v>44366</v>
      </c>
      <c r="B20" s="12">
        <f>SUM('[1]Summery Report'!F23)</f>
        <v>4691</v>
      </c>
      <c r="C20" s="113">
        <f>SUM('[1]Summery Report'!C23)</f>
        <v>0.11700000000000001</v>
      </c>
      <c r="D20" s="74" t="e">
        <f>SUM('[1]Summery Report'!#REF!)</f>
        <v>#REF!</v>
      </c>
      <c r="E20" s="74" t="e">
        <f>SUM('[1]Summery Report'!#REF!)</f>
        <v>#REF!</v>
      </c>
      <c r="F20" s="18">
        <v>0.13750000000000001</v>
      </c>
    </row>
    <row r="21" spans="1:6">
      <c r="A21" s="89">
        <f>Gen!A30</f>
        <v>44367</v>
      </c>
      <c r="B21" s="12">
        <f>SUM('[1]Summery Report'!F24)</f>
        <v>5712</v>
      </c>
      <c r="C21" s="113">
        <f>SUM('[1]Summery Report'!C24)</f>
        <v>0.57099999999999995</v>
      </c>
      <c r="D21" s="74" t="e">
        <f>SUM('[1]Summery Report'!#REF!)</f>
        <v>#REF!</v>
      </c>
      <c r="E21" s="74" t="e">
        <f>SUM('[1]Summery Report'!#REF!)</f>
        <v>#REF!</v>
      </c>
      <c r="F21" s="18">
        <v>0.15</v>
      </c>
    </row>
    <row r="22" spans="1:6">
      <c r="A22" s="89">
        <f>Gen!A31</f>
        <v>44368</v>
      </c>
      <c r="B22" s="12">
        <f>SUM('[1]Summery Report'!F25)</f>
        <v>5941</v>
      </c>
      <c r="C22" s="113">
        <f>SUM('[1]Summery Report'!C25)</f>
        <v>0.55800000000000005</v>
      </c>
      <c r="D22" s="74" t="e">
        <f>SUM('[1]Summery Report'!#REF!)</f>
        <v>#REF!</v>
      </c>
      <c r="E22" s="74" t="e">
        <f>SUM('[1]Summery Report'!#REF!)</f>
        <v>#REF!</v>
      </c>
      <c r="F22" s="18">
        <v>0.13750000000000001</v>
      </c>
    </row>
    <row r="23" spans="1:6">
      <c r="A23" s="89">
        <f>Gen!A32</f>
        <v>44369</v>
      </c>
      <c r="B23" s="12">
        <f>SUM('[1]Summery Report'!F26)</f>
        <v>5400</v>
      </c>
      <c r="C23" s="113">
        <f>SUM('[1]Summery Report'!C26)</f>
        <v>0.40300000000000002</v>
      </c>
      <c r="D23" s="74" t="e">
        <f>SUM('[1]Summery Report'!#REF!)</f>
        <v>#REF!</v>
      </c>
      <c r="E23" s="74" t="e">
        <f>SUM('[1]Summery Report'!#REF!)</f>
        <v>#REF!</v>
      </c>
      <c r="F23" s="18">
        <v>0</v>
      </c>
    </row>
    <row r="24" spans="1:6">
      <c r="A24" s="89">
        <f>Gen!A33</f>
        <v>44370</v>
      </c>
      <c r="B24" s="12">
        <f>SUM('[1]Summery Report'!F27)</f>
        <v>5371</v>
      </c>
      <c r="C24" s="113">
        <f>SUM('[1]Summery Report'!C27)</f>
        <v>0.24</v>
      </c>
      <c r="D24" s="74" t="e">
        <f>SUM('[1]Summery Report'!#REF!)</f>
        <v>#REF!</v>
      </c>
      <c r="E24" s="74" t="e">
        <f>SUM('[1]Summery Report'!#REF!)</f>
        <v>#REF!</v>
      </c>
      <c r="F24" s="18">
        <v>0.05</v>
      </c>
    </row>
    <row r="25" spans="1:6">
      <c r="A25" s="89">
        <f>Gen!A34</f>
        <v>44371</v>
      </c>
      <c r="B25" s="12">
        <f>SUM('[1]Summery Report'!F28)</f>
        <v>5296</v>
      </c>
      <c r="C25" s="113">
        <f>SUM('[1]Summery Report'!C28)</f>
        <v>0.09</v>
      </c>
      <c r="D25" s="74" t="e">
        <f>SUM('[1]Summery Report'!#REF!)</f>
        <v>#REF!</v>
      </c>
      <c r="E25" s="74" t="e">
        <f>SUM('[1]Summery Report'!#REF!)</f>
        <v>#REF!</v>
      </c>
      <c r="F25" s="18">
        <v>0.1125</v>
      </c>
    </row>
    <row r="26" spans="1:6">
      <c r="A26" s="89">
        <f>Gen!A35</f>
        <v>44372</v>
      </c>
      <c r="B26" s="12">
        <f>SUM('[1]Summery Report'!F29)</f>
        <v>5221</v>
      </c>
      <c r="C26" s="113">
        <f>SUM('[1]Summery Report'!C29)</f>
        <v>0.28599999999999998</v>
      </c>
      <c r="D26" s="74" t="e">
        <f>SUM('[1]Summery Report'!#REF!)</f>
        <v>#REF!</v>
      </c>
      <c r="E26" s="74" t="e">
        <f>SUM('[1]Summery Report'!#REF!)</f>
        <v>#REF!</v>
      </c>
      <c r="F26" s="18">
        <v>0.125</v>
      </c>
    </row>
    <row r="27" spans="1:6">
      <c r="A27" s="89">
        <f>Gen!A36</f>
        <v>44373</v>
      </c>
      <c r="B27" s="12">
        <f>SUM('[1]Summery Report'!F30)</f>
        <v>5665</v>
      </c>
      <c r="C27" s="113">
        <f>SUM('[1]Summery Report'!C30)</f>
        <v>0.54500000000000004</v>
      </c>
      <c r="D27" s="74" t="e">
        <f>SUM('[1]Summery Report'!#REF!)</f>
        <v>#REF!</v>
      </c>
      <c r="E27" s="74" t="e">
        <f>SUM('[1]Summery Report'!#REF!)</f>
        <v>#REF!</v>
      </c>
      <c r="F27" s="18">
        <v>0.17499999999999999</v>
      </c>
    </row>
    <row r="28" spans="1:6">
      <c r="A28" s="89">
        <f>Gen!A37</f>
        <v>44374</v>
      </c>
      <c r="B28" s="12">
        <f>SUM('[1]Summery Report'!F31)</f>
        <v>6109</v>
      </c>
      <c r="C28" s="113">
        <f>SUM('[1]Summery Report'!C31)</f>
        <v>0.67500000000000004</v>
      </c>
      <c r="D28" s="74" t="e">
        <f>SUM('[1]Summery Report'!#REF!)</f>
        <v>#REF!</v>
      </c>
      <c r="E28" s="74" t="e">
        <f>SUM('[1]Summery Report'!#REF!)</f>
        <v>#REF!</v>
      </c>
      <c r="F28" s="18">
        <v>0.125</v>
      </c>
    </row>
    <row r="29" spans="1:6">
      <c r="A29" s="89">
        <f>Gen!A38</f>
        <v>44375</v>
      </c>
      <c r="B29" s="12">
        <f>SUM('[1]Summery Report'!F32)</f>
        <v>0</v>
      </c>
      <c r="C29" s="113">
        <f>SUM('[1]Summery Report'!C32)</f>
        <v>0.27300000000000002</v>
      </c>
      <c r="D29" s="74" t="e">
        <f>SUM('[1]Summery Report'!#REF!)</f>
        <v>#REF!</v>
      </c>
      <c r="E29" s="74" t="e">
        <f>SUM('[1]Summery Report'!#REF!)</f>
        <v>#REF!</v>
      </c>
      <c r="F29" s="18">
        <v>7.4999999999999997E-2</v>
      </c>
    </row>
    <row r="30" spans="1:6">
      <c r="A30" s="89">
        <f>Gen!A39</f>
        <v>44376</v>
      </c>
      <c r="B30" s="12">
        <f>SUM('[1]Summery Report'!F33)</f>
        <v>0</v>
      </c>
      <c r="C30" s="113">
        <f>SUM('[1]Summery Report'!C33)</f>
        <v>0</v>
      </c>
      <c r="D30" s="74" t="e">
        <f>SUM('[1]Summery Report'!#REF!)</f>
        <v>#REF!</v>
      </c>
      <c r="E30" s="74" t="e">
        <f>SUM('[1]Summery Report'!#REF!)</f>
        <v>#REF!</v>
      </c>
      <c r="F30" s="18">
        <v>0.1125</v>
      </c>
    </row>
    <row r="31" spans="1:6">
      <c r="A31" s="89">
        <f>Gen!A40</f>
        <v>44377</v>
      </c>
      <c r="B31" s="12">
        <f>SUM('[1]Summery Report'!F34)</f>
        <v>0</v>
      </c>
      <c r="C31" s="113">
        <f>SUM('[1]Summery Report'!C34)</f>
        <v>0</v>
      </c>
      <c r="D31" s="74" t="e">
        <f>SUM('[1]Summery Report'!#REF!)</f>
        <v>#REF!</v>
      </c>
      <c r="E31" s="74" t="e">
        <f>SUM('[1]Summery Report'!#REF!)</f>
        <v>#REF!</v>
      </c>
      <c r="F31" s="18">
        <v>0.15</v>
      </c>
    </row>
    <row r="32" spans="1:6">
      <c r="A32" s="89">
        <f>Gen!A41</f>
        <v>0</v>
      </c>
      <c r="B32" s="12">
        <f>SUM('[1]Summery Report'!F35)</f>
        <v>0</v>
      </c>
      <c r="C32" s="113">
        <f>SUM('[1]Summery Report'!C35)</f>
        <v>0</v>
      </c>
      <c r="D32" s="74" t="e">
        <f>SUM('[1]Summery Report'!#REF!)</f>
        <v>#REF!</v>
      </c>
      <c r="E32" s="74" t="e">
        <f>SUM('[1]Summery Report'!#REF!)</f>
        <v>#REF!</v>
      </c>
      <c r="F32" s="18">
        <v>0.17499999999999999</v>
      </c>
    </row>
    <row r="33" spans="1:2">
      <c r="A33" s="89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  <c r="B35" s="823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  <pageSetUpPr fitToPage="1"/>
  </sheetPr>
  <dimension ref="A1:O63"/>
  <sheetViews>
    <sheetView tabSelected="1" topLeftCell="A18" zoomScale="70" zoomScaleNormal="70" workbookViewId="0">
      <selection activeCell="J10" sqref="J10:J30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87" customWidth="1"/>
  </cols>
  <sheetData>
    <row r="1" spans="1:15" ht="15">
      <c r="A1" s="30"/>
      <c r="B1" s="33"/>
      <c r="C1" s="34"/>
      <c r="D1" s="33"/>
      <c r="E1" s="33"/>
      <c r="F1" s="35"/>
      <c r="G1" s="92"/>
      <c r="H1" s="33"/>
      <c r="I1" s="33"/>
      <c r="J1" s="108"/>
    </row>
    <row r="2" spans="1:15" ht="15">
      <c r="A2" s="31"/>
      <c r="B2" s="36"/>
      <c r="C2" s="37"/>
      <c r="D2" s="36"/>
      <c r="E2" s="36"/>
      <c r="F2" s="38"/>
      <c r="G2" s="96"/>
      <c r="H2" s="36"/>
      <c r="I2" s="36"/>
      <c r="J2" s="109"/>
    </row>
    <row r="3" spans="1:15" ht="22.5">
      <c r="A3" s="31"/>
      <c r="B3" s="36"/>
      <c r="C3" s="493" t="s">
        <v>235</v>
      </c>
      <c r="D3" s="494"/>
      <c r="E3" s="494"/>
      <c r="F3" s="495"/>
      <c r="G3" s="496"/>
      <c r="H3" s="39"/>
      <c r="I3" s="39"/>
      <c r="J3" s="110"/>
    </row>
    <row r="4" spans="1:15" ht="15">
      <c r="A4" s="31"/>
      <c r="B4" s="36"/>
      <c r="C4" s="37"/>
      <c r="D4" s="36"/>
      <c r="E4" s="36"/>
      <c r="F4" s="47"/>
      <c r="G4" s="96"/>
      <c r="H4" s="36"/>
      <c r="I4" s="36"/>
      <c r="J4" s="109"/>
    </row>
    <row r="5" spans="1:15" ht="15">
      <c r="A5" s="29"/>
      <c r="B5" s="40"/>
      <c r="C5" s="41"/>
      <c r="D5" s="40"/>
      <c r="E5" s="40"/>
      <c r="F5" s="42"/>
      <c r="G5" s="96"/>
      <c r="H5" s="36"/>
      <c r="I5" s="36"/>
      <c r="J5" s="111"/>
    </row>
    <row r="6" spans="1:15" ht="13.5" customHeight="1">
      <c r="A6" s="5"/>
      <c r="B6" s="43"/>
      <c r="C6" s="883"/>
      <c r="D6" s="884"/>
      <c r="E6" s="885"/>
      <c r="F6" s="885"/>
      <c r="G6" s="46" t="s">
        <v>236</v>
      </c>
      <c r="H6" s="44" t="s">
        <v>237</v>
      </c>
      <c r="I6" s="39"/>
      <c r="J6" s="109"/>
    </row>
    <row r="7" spans="1:15" ht="18" customHeight="1">
      <c r="A7" s="886" t="s">
        <v>238</v>
      </c>
      <c r="B7" s="94" t="s">
        <v>239</v>
      </c>
      <c r="C7" s="93" t="s">
        <v>240</v>
      </c>
      <c r="D7" s="94" t="s">
        <v>241</v>
      </c>
      <c r="E7" s="98"/>
      <c r="F7" s="99" t="s">
        <v>242</v>
      </c>
      <c r="G7" s="100" t="s">
        <v>61</v>
      </c>
      <c r="H7" s="148" t="s">
        <v>243</v>
      </c>
      <c r="I7" s="101" t="s">
        <v>244</v>
      </c>
      <c r="J7" s="45" t="s">
        <v>100</v>
      </c>
    </row>
    <row r="8" spans="1:15" ht="18" customHeight="1">
      <c r="A8" s="887"/>
      <c r="B8" s="279" t="s">
        <v>245</v>
      </c>
      <c r="C8" s="94" t="s">
        <v>246</v>
      </c>
      <c r="D8" s="95" t="s">
        <v>247</v>
      </c>
      <c r="E8" s="103"/>
      <c r="F8" s="106" t="s">
        <v>248</v>
      </c>
      <c r="G8" s="104" t="s">
        <v>249</v>
      </c>
      <c r="H8" s="102" t="s">
        <v>33</v>
      </c>
      <c r="I8" s="105" t="s">
        <v>250</v>
      </c>
      <c r="J8" s="45" t="s">
        <v>251</v>
      </c>
    </row>
    <row r="9" spans="1:15" ht="18.75">
      <c r="A9" s="229"/>
      <c r="B9" s="254">
        <v>85</v>
      </c>
      <c r="C9" s="254">
        <v>29</v>
      </c>
      <c r="D9" s="254">
        <v>85</v>
      </c>
      <c r="E9" s="254"/>
      <c r="F9" s="254">
        <v>76674.92</v>
      </c>
      <c r="G9" s="254"/>
      <c r="H9" s="32"/>
      <c r="I9" s="19"/>
      <c r="J9" s="112" t="e">
        <f>G9/I9</f>
        <v>#DIV/0!</v>
      </c>
      <c r="N9" s="149"/>
      <c r="O9" s="149"/>
    </row>
    <row r="10" spans="1:15" ht="18.75">
      <c r="A10" s="90">
        <f>Gen!A11</f>
        <v>44348</v>
      </c>
      <c r="B10" s="254">
        <v>85</v>
      </c>
      <c r="C10" s="254">
        <v>25</v>
      </c>
      <c r="D10" s="254">
        <v>85</v>
      </c>
      <c r="E10" s="254"/>
      <c r="F10" s="254">
        <v>76712</v>
      </c>
      <c r="G10" s="254">
        <f t="shared" ref="G10:G41" si="0">(F10-F9)*4.4</f>
        <v>163.15200000000769</v>
      </c>
      <c r="H10" s="107">
        <f>[5]Gen!B11</f>
        <v>7.6999999999999999E-2</v>
      </c>
      <c r="I10" s="799">
        <f>SUM(F10/H10)</f>
        <v>996259.74025974027</v>
      </c>
      <c r="J10" s="112">
        <f>G10/I10</f>
        <v>1.6376452184795848E-4</v>
      </c>
      <c r="N10" s="149"/>
      <c r="O10" s="149"/>
    </row>
    <row r="11" spans="1:15" ht="18.75">
      <c r="A11" s="90">
        <f>Gen!A12</f>
        <v>44349</v>
      </c>
      <c r="B11" s="254">
        <v>85</v>
      </c>
      <c r="C11" s="254">
        <v>20</v>
      </c>
      <c r="D11" s="254">
        <v>85</v>
      </c>
      <c r="E11" s="254"/>
      <c r="F11" s="254">
        <v>76725.919999999998</v>
      </c>
      <c r="G11" s="254">
        <f t="shared" si="0"/>
        <v>61.247999999992324</v>
      </c>
      <c r="H11" s="107">
        <f>[5]Gen!B12</f>
        <v>9.0999999999999998E-2</v>
      </c>
      <c r="I11" s="799">
        <f t="shared" ref="I11:I41" si="1">SUM(F11/H11)</f>
        <v>843141.97802197805</v>
      </c>
      <c r="J11" s="112">
        <f t="shared" ref="J11:J30" si="2">G11/I11</f>
        <v>7.2642569812122183E-5</v>
      </c>
      <c r="M11" s="149"/>
      <c r="N11" s="149"/>
    </row>
    <row r="12" spans="1:15" ht="18.75">
      <c r="A12" s="90">
        <f>Gen!A13</f>
        <v>44350</v>
      </c>
      <c r="B12" s="254">
        <v>85</v>
      </c>
      <c r="C12" s="254">
        <v>19</v>
      </c>
      <c r="D12" s="254">
        <v>85</v>
      </c>
      <c r="E12" s="254"/>
      <c r="F12" s="254">
        <v>76742.240000000005</v>
      </c>
      <c r="G12" s="254">
        <f t="shared" si="0"/>
        <v>71.808000000030745</v>
      </c>
      <c r="H12" s="107">
        <f>[5]Gen!B13</f>
        <v>1.2999999999999999E-2</v>
      </c>
      <c r="I12" s="799">
        <f t="shared" si="1"/>
        <v>5903249.230769231</v>
      </c>
      <c r="J12" s="112">
        <f t="shared" si="2"/>
        <v>1.2164148453321139E-5</v>
      </c>
      <c r="M12" s="149"/>
      <c r="N12" s="149"/>
    </row>
    <row r="13" spans="1:15" ht="18.75">
      <c r="A13" s="90">
        <f>Gen!A14</f>
        <v>44351</v>
      </c>
      <c r="B13" s="254">
        <v>85</v>
      </c>
      <c r="C13" s="254">
        <v>15</v>
      </c>
      <c r="D13" s="254">
        <v>85</v>
      </c>
      <c r="E13" s="254"/>
      <c r="F13" s="254">
        <v>76758.42</v>
      </c>
      <c r="G13" s="254">
        <f t="shared" ref="G13" si="3">(F13-F12)*4.4</f>
        <v>71.191999999969269</v>
      </c>
      <c r="H13" s="107">
        <f>[5]Gen!B14</f>
        <v>1.2999999999999999E-2</v>
      </c>
      <c r="I13" s="799">
        <f t="shared" si="1"/>
        <v>5904493.846153846</v>
      </c>
      <c r="J13" s="112">
        <f t="shared" si="2"/>
        <v>1.2057257040981309E-5</v>
      </c>
      <c r="M13" s="149"/>
      <c r="N13" s="149"/>
    </row>
    <row r="14" spans="1:15" ht="18.75">
      <c r="A14" s="90">
        <f>Gen!A15</f>
        <v>44352</v>
      </c>
      <c r="B14" s="254">
        <v>85</v>
      </c>
      <c r="C14" s="254">
        <v>10</v>
      </c>
      <c r="D14" s="254">
        <v>85</v>
      </c>
      <c r="E14" s="254"/>
      <c r="F14" s="254">
        <v>76775</v>
      </c>
      <c r="G14" s="254">
        <f t="shared" si="0"/>
        <v>72.952000000007686</v>
      </c>
      <c r="H14" s="107">
        <f>[5]Gen!B15</f>
        <v>0.01</v>
      </c>
      <c r="I14" s="799">
        <f t="shared" si="1"/>
        <v>7677500</v>
      </c>
      <c r="J14" s="112">
        <f t="shared" si="2"/>
        <v>9.5020514490404014E-6</v>
      </c>
      <c r="M14" s="149"/>
      <c r="N14" s="149"/>
    </row>
    <row r="15" spans="1:15" ht="18.75">
      <c r="A15" s="90">
        <f>Gen!A16</f>
        <v>44353</v>
      </c>
      <c r="B15" s="254">
        <v>85</v>
      </c>
      <c r="C15" s="254">
        <v>5</v>
      </c>
      <c r="D15" s="254">
        <v>85</v>
      </c>
      <c r="E15" s="254"/>
      <c r="F15" s="254">
        <v>76805.119999999995</v>
      </c>
      <c r="G15" s="254">
        <f t="shared" si="0"/>
        <v>132.52799999997953</v>
      </c>
      <c r="H15" s="107">
        <f>[5]Gen!B16</f>
        <v>0.01</v>
      </c>
      <c r="I15" s="799">
        <f t="shared" si="1"/>
        <v>7680511.9999999991</v>
      </c>
      <c r="J15" s="112">
        <f t="shared" si="2"/>
        <v>1.7255099660020003E-5</v>
      </c>
      <c r="M15" s="149"/>
      <c r="N15" s="149"/>
    </row>
    <row r="16" spans="1:15" ht="18.75">
      <c r="A16" s="90">
        <f>Gen!A17</f>
        <v>44354</v>
      </c>
      <c r="B16" s="254">
        <v>85</v>
      </c>
      <c r="C16" s="254">
        <v>2</v>
      </c>
      <c r="D16" s="254">
        <v>85</v>
      </c>
      <c r="E16" s="254"/>
      <c r="F16" s="254">
        <v>76835.259999999995</v>
      </c>
      <c r="G16" s="254">
        <f t="shared" si="0"/>
        <v>132.61599999999746</v>
      </c>
      <c r="H16" s="107">
        <f>[5]Gen!B17</f>
        <v>0.01</v>
      </c>
      <c r="I16" s="799">
        <f t="shared" si="1"/>
        <v>7683525.9999999991</v>
      </c>
      <c r="J16" s="112">
        <f t="shared" si="2"/>
        <v>1.7259784114740743E-5</v>
      </c>
      <c r="M16" s="149"/>
      <c r="N16" s="149"/>
    </row>
    <row r="17" spans="1:14" ht="18.75">
      <c r="A17" s="90">
        <f>Gen!A18</f>
        <v>44355</v>
      </c>
      <c r="B17" s="254">
        <v>85</v>
      </c>
      <c r="C17" s="254">
        <v>0</v>
      </c>
      <c r="D17" s="254">
        <v>85</v>
      </c>
      <c r="E17" s="254"/>
      <c r="F17" s="254">
        <v>76870.33</v>
      </c>
      <c r="G17" s="254">
        <f t="shared" si="0"/>
        <v>154.30800000003075</v>
      </c>
      <c r="H17" s="107">
        <f>[5]Gen!B18</f>
        <v>0.01</v>
      </c>
      <c r="I17" s="799">
        <f t="shared" si="1"/>
        <v>7687033</v>
      </c>
      <c r="J17" s="112">
        <f t="shared" si="2"/>
        <v>2.0073804808699368E-5</v>
      </c>
      <c r="M17" s="149"/>
      <c r="N17" s="149"/>
    </row>
    <row r="18" spans="1:14" ht="18.75">
      <c r="A18" s="90">
        <f>Gen!A19</f>
        <v>44356</v>
      </c>
      <c r="B18" s="254">
        <v>85</v>
      </c>
      <c r="C18" s="254">
        <v>0</v>
      </c>
      <c r="D18" s="254">
        <v>70</v>
      </c>
      <c r="E18" s="254"/>
      <c r="F18" s="254">
        <v>76904.98</v>
      </c>
      <c r="G18" s="254">
        <f t="shared" si="0"/>
        <v>152.4599999999744</v>
      </c>
      <c r="H18" s="107">
        <f>[5]Gen!B19</f>
        <v>0.01</v>
      </c>
      <c r="I18" s="799">
        <f t="shared" si="1"/>
        <v>7690497.9999999991</v>
      </c>
      <c r="J18" s="112">
        <f t="shared" si="2"/>
        <v>1.9824463903374582E-5</v>
      </c>
      <c r="M18" s="149"/>
      <c r="N18" s="149"/>
    </row>
    <row r="19" spans="1:14" ht="18.75">
      <c r="A19" s="90">
        <f>Gen!A20</f>
        <v>44357</v>
      </c>
      <c r="B19" s="254">
        <v>85</v>
      </c>
      <c r="C19" s="254">
        <v>0</v>
      </c>
      <c r="D19" s="254">
        <v>60</v>
      </c>
      <c r="E19" s="254"/>
      <c r="F19" s="254">
        <v>76938.86</v>
      </c>
      <c r="G19" s="254">
        <f t="shared" si="0"/>
        <v>149.07200000002049</v>
      </c>
      <c r="H19" s="107">
        <f>[5]Gen!B20</f>
        <v>0.01</v>
      </c>
      <c r="I19" s="799">
        <f t="shared" si="1"/>
        <v>7693886</v>
      </c>
      <c r="J19" s="112">
        <f t="shared" si="2"/>
        <v>1.937538455859893E-5</v>
      </c>
      <c r="M19" s="149"/>
      <c r="N19" s="149"/>
    </row>
    <row r="20" spans="1:14" ht="18.75">
      <c r="A20" s="90">
        <f>Gen!A21</f>
        <v>44358</v>
      </c>
      <c r="B20" s="254">
        <v>85</v>
      </c>
      <c r="C20" s="254">
        <v>0</v>
      </c>
      <c r="D20" s="254">
        <v>53</v>
      </c>
      <c r="E20" s="254"/>
      <c r="F20" s="254">
        <v>76972.62</v>
      </c>
      <c r="G20" s="254">
        <f t="shared" si="0"/>
        <v>148.54399999997696</v>
      </c>
      <c r="H20" s="107">
        <f>[5]Gen!B21</f>
        <v>0.01</v>
      </c>
      <c r="I20" s="799">
        <f t="shared" si="1"/>
        <v>7697261.9999999991</v>
      </c>
      <c r="J20" s="112">
        <f t="shared" si="2"/>
        <v>1.929829074286116E-5</v>
      </c>
    </row>
    <row r="21" spans="1:14" ht="18.75">
      <c r="A21" s="90">
        <f>Gen!A22</f>
        <v>44359</v>
      </c>
      <c r="B21" s="254">
        <v>85</v>
      </c>
      <c r="C21" s="254">
        <v>0</v>
      </c>
      <c r="D21" s="254">
        <v>40</v>
      </c>
      <c r="E21" s="254"/>
      <c r="F21" s="254">
        <v>77007.06</v>
      </c>
      <c r="G21" s="254">
        <f t="shared" si="0"/>
        <v>151.53600000001026</v>
      </c>
      <c r="H21" s="107">
        <f>[5]Gen!B22</f>
        <v>0.03</v>
      </c>
      <c r="I21" s="799">
        <f t="shared" si="1"/>
        <v>2566902</v>
      </c>
      <c r="J21" s="112">
        <f t="shared" si="2"/>
        <v>5.9034587218370728E-5</v>
      </c>
    </row>
    <row r="22" spans="1:14" ht="18.75">
      <c r="A22" s="90">
        <f>Gen!A23</f>
        <v>44360</v>
      </c>
      <c r="B22" s="254">
        <v>85</v>
      </c>
      <c r="C22" s="254">
        <v>0</v>
      </c>
      <c r="D22" s="254">
        <v>35</v>
      </c>
      <c r="E22" s="254"/>
      <c r="F22" s="254">
        <v>77041.679999999993</v>
      </c>
      <c r="G22" s="254">
        <f t="shared" si="0"/>
        <v>152.32799999997951</v>
      </c>
      <c r="H22" s="107">
        <f>[5]Gen!B23</f>
        <v>0.22</v>
      </c>
      <c r="I22" s="799">
        <f t="shared" si="1"/>
        <v>350189.45454545453</v>
      </c>
      <c r="J22" s="112">
        <f t="shared" si="2"/>
        <v>4.3498739902862315E-4</v>
      </c>
    </row>
    <row r="23" spans="1:14" ht="18.75">
      <c r="A23" s="90">
        <f>Gen!A24</f>
        <v>44361</v>
      </c>
      <c r="B23" s="254">
        <v>85</v>
      </c>
      <c r="C23" s="254">
        <v>0</v>
      </c>
      <c r="D23" s="254">
        <v>27</v>
      </c>
      <c r="E23" s="254"/>
      <c r="F23" s="254">
        <v>77074.3</v>
      </c>
      <c r="G23" s="254">
        <f>(F23-F22)*4.4</f>
        <v>143.52800000004356</v>
      </c>
      <c r="H23" s="107">
        <f>[5]Gen!B24</f>
        <v>0.23</v>
      </c>
      <c r="I23" s="799">
        <f t="shared" si="1"/>
        <v>335105.65217391303</v>
      </c>
      <c r="J23" s="112">
        <f t="shared" si="2"/>
        <v>4.2830671183533318E-4</v>
      </c>
    </row>
    <row r="24" spans="1:14" ht="18.75">
      <c r="A24" s="90">
        <f>Gen!A25</f>
        <v>44362</v>
      </c>
      <c r="B24" s="254">
        <v>85</v>
      </c>
      <c r="C24" s="254">
        <v>0</v>
      </c>
      <c r="D24" s="254">
        <v>20</v>
      </c>
      <c r="E24" s="254"/>
      <c r="F24" s="254">
        <v>77101.009999999995</v>
      </c>
      <c r="G24" s="254">
        <f t="shared" si="0"/>
        <v>117.52399999996415</v>
      </c>
      <c r="H24" s="107">
        <f>[5]Gen!B25</f>
        <v>0.21</v>
      </c>
      <c r="I24" s="799">
        <f t="shared" si="1"/>
        <v>367147.66666666663</v>
      </c>
      <c r="J24" s="112">
        <f t="shared" si="2"/>
        <v>3.2010008688592372E-4</v>
      </c>
    </row>
    <row r="25" spans="1:14" ht="18.75">
      <c r="A25" s="90">
        <f>Gen!A26</f>
        <v>44363</v>
      </c>
      <c r="B25" s="254">
        <v>85</v>
      </c>
      <c r="C25" s="254">
        <v>0</v>
      </c>
      <c r="D25" s="254">
        <v>15</v>
      </c>
      <c r="E25" s="254"/>
      <c r="F25" s="254">
        <v>77126.47</v>
      </c>
      <c r="G25" s="254">
        <f t="shared" si="0"/>
        <v>112.02400000002818</v>
      </c>
      <c r="H25" s="107">
        <f>[5]Gen!B26</f>
        <v>0.03</v>
      </c>
      <c r="I25" s="799">
        <f t="shared" si="1"/>
        <v>2570882.3333333335</v>
      </c>
      <c r="J25" s="112">
        <f t="shared" si="2"/>
        <v>4.3574145167033383E-5</v>
      </c>
    </row>
    <row r="26" spans="1:14" ht="18.75">
      <c r="A26" s="90">
        <f>Gen!A27</f>
        <v>44364</v>
      </c>
      <c r="B26" s="254">
        <v>85</v>
      </c>
      <c r="C26" s="254">
        <v>0</v>
      </c>
      <c r="D26" s="254">
        <v>8</v>
      </c>
      <c r="E26" s="254"/>
      <c r="F26" s="254">
        <v>77155.789999999994</v>
      </c>
      <c r="G26" s="254">
        <f t="shared" si="0"/>
        <v>129.00799999996673</v>
      </c>
      <c r="H26" s="107">
        <f>[5]Gen!B27</f>
        <v>0.06</v>
      </c>
      <c r="I26" s="799">
        <f t="shared" si="1"/>
        <v>1285929.8333333333</v>
      </c>
      <c r="J26" s="112">
        <f t="shared" si="2"/>
        <v>1.0032273663451575E-4</v>
      </c>
    </row>
    <row r="27" spans="1:14" ht="18.75">
      <c r="A27" s="90">
        <f>Gen!A28</f>
        <v>44365</v>
      </c>
      <c r="B27" s="254">
        <v>85</v>
      </c>
      <c r="C27" s="254">
        <v>0</v>
      </c>
      <c r="D27" s="254">
        <v>4</v>
      </c>
      <c r="E27" s="254"/>
      <c r="F27" s="254">
        <v>77178.490000000005</v>
      </c>
      <c r="G27" s="254">
        <f t="shared" si="0"/>
        <v>99.880000000051226</v>
      </c>
      <c r="H27" s="107">
        <f>[5]Gen!B28</f>
        <v>0.05</v>
      </c>
      <c r="I27" s="799">
        <f t="shared" si="1"/>
        <v>1543569.8</v>
      </c>
      <c r="J27" s="112">
        <f t="shared" si="2"/>
        <v>6.4707148325946268E-5</v>
      </c>
    </row>
    <row r="28" spans="1:14" ht="18.75">
      <c r="A28" s="90">
        <f>Gen!A29</f>
        <v>44366</v>
      </c>
      <c r="B28" s="254">
        <v>85</v>
      </c>
      <c r="C28" s="254">
        <v>0</v>
      </c>
      <c r="D28" s="254">
        <v>2</v>
      </c>
      <c r="E28" s="254"/>
      <c r="F28" s="254">
        <v>77202.7</v>
      </c>
      <c r="G28" s="254">
        <f t="shared" si="0"/>
        <v>106.52399999996415</v>
      </c>
      <c r="H28" s="107">
        <f>[5]Gen!B29</f>
        <v>7.7899999999999997E-2</v>
      </c>
      <c r="I28" s="799">
        <f t="shared" si="1"/>
        <v>991048.78048780491</v>
      </c>
      <c r="J28" s="112">
        <f t="shared" si="2"/>
        <v>1.0748613196166982E-4</v>
      </c>
    </row>
    <row r="29" spans="1:14" ht="18.75">
      <c r="A29" s="90">
        <f>Gen!A30</f>
        <v>44367</v>
      </c>
      <c r="B29" s="254">
        <v>85</v>
      </c>
      <c r="C29" s="254">
        <v>0</v>
      </c>
      <c r="D29" s="254">
        <v>1</v>
      </c>
      <c r="E29" s="254"/>
      <c r="F29" s="254">
        <v>77230.03</v>
      </c>
      <c r="G29" s="254">
        <f t="shared" si="0"/>
        <v>120.2520000000077</v>
      </c>
      <c r="H29" s="107">
        <f>[5]Gen!B30</f>
        <v>0.12989999999999999</v>
      </c>
      <c r="I29" s="799">
        <f t="shared" si="1"/>
        <v>594534.48806774442</v>
      </c>
      <c r="J29" s="112">
        <f t="shared" si="2"/>
        <v>2.022624463566957E-4</v>
      </c>
    </row>
    <row r="30" spans="1:14" ht="18.75">
      <c r="A30" s="90">
        <f>Gen!A31</f>
        <v>44368</v>
      </c>
      <c r="B30" s="254">
        <v>85</v>
      </c>
      <c r="C30" s="254">
        <v>0</v>
      </c>
      <c r="D30" s="254">
        <v>1</v>
      </c>
      <c r="E30" s="254"/>
      <c r="F30" s="254">
        <v>77247.539999999994</v>
      </c>
      <c r="G30" s="254">
        <f t="shared" si="0"/>
        <v>77.043999999976961</v>
      </c>
      <c r="H30" s="107">
        <f>[5]Gen!B31</f>
        <v>0.18179999999999999</v>
      </c>
      <c r="I30" s="799">
        <f t="shared" si="1"/>
        <v>424903.96039603959</v>
      </c>
      <c r="J30" s="112">
        <f t="shared" si="2"/>
        <v>1.8132097410475222E-4</v>
      </c>
    </row>
    <row r="31" spans="1:14" ht="18.75">
      <c r="A31" s="90">
        <f>Gen!A32</f>
        <v>44369</v>
      </c>
      <c r="B31" s="254"/>
      <c r="C31" s="254"/>
      <c r="D31" s="254"/>
      <c r="E31" s="254"/>
      <c r="F31" s="254"/>
      <c r="G31" s="254">
        <f t="shared" si="0"/>
        <v>-339889.17599999998</v>
      </c>
      <c r="H31" s="107">
        <f>[5]Gen!B32</f>
        <v>0.31169999999999998</v>
      </c>
      <c r="I31" s="799">
        <f t="shared" si="1"/>
        <v>0</v>
      </c>
      <c r="J31" s="800" t="e">
        <f t="shared" ref="J10:J40" si="4">SUM(G31/I31)</f>
        <v>#DIV/0!</v>
      </c>
    </row>
    <row r="32" spans="1:14" ht="18.75">
      <c r="A32" s="90">
        <f>Gen!A33</f>
        <v>44370</v>
      </c>
      <c r="B32" s="254"/>
      <c r="C32" s="254"/>
      <c r="D32" s="254"/>
      <c r="E32" s="254"/>
      <c r="F32" s="254"/>
      <c r="G32" s="254">
        <f t="shared" si="0"/>
        <v>0</v>
      </c>
      <c r="H32" s="107">
        <f>[5]Gen!B33</f>
        <v>0.41560000000000002</v>
      </c>
      <c r="I32" s="799">
        <f t="shared" si="1"/>
        <v>0</v>
      </c>
      <c r="J32" s="800" t="e">
        <f t="shared" si="4"/>
        <v>#DIV/0!</v>
      </c>
    </row>
    <row r="33" spans="1:10" ht="18.75">
      <c r="A33" s="90">
        <f>Gen!A34</f>
        <v>44371</v>
      </c>
      <c r="B33" s="254"/>
      <c r="C33" s="254"/>
      <c r="D33" s="254"/>
      <c r="E33" s="254"/>
      <c r="F33" s="254"/>
      <c r="G33" s="254">
        <f t="shared" si="0"/>
        <v>0</v>
      </c>
      <c r="H33" s="107">
        <f>[5]Gen!B34</f>
        <v>0.37659999999999999</v>
      </c>
      <c r="I33" s="799">
        <f t="shared" si="1"/>
        <v>0</v>
      </c>
      <c r="J33" s="800" t="e">
        <f t="shared" si="4"/>
        <v>#DIV/0!</v>
      </c>
    </row>
    <row r="34" spans="1:10" ht="18.75">
      <c r="A34" s="90">
        <f>Gen!A35</f>
        <v>44372</v>
      </c>
      <c r="B34" s="254"/>
      <c r="C34" s="254"/>
      <c r="D34" s="254"/>
      <c r="E34" s="254"/>
      <c r="F34" s="254"/>
      <c r="G34" s="254">
        <f t="shared" si="0"/>
        <v>0</v>
      </c>
      <c r="H34" s="107">
        <f>[5]Gen!B35</f>
        <v>0.37</v>
      </c>
      <c r="I34" s="799">
        <f t="shared" si="1"/>
        <v>0</v>
      </c>
      <c r="J34" s="800" t="e">
        <f t="shared" si="4"/>
        <v>#DIV/0!</v>
      </c>
    </row>
    <row r="35" spans="1:10" ht="18.75">
      <c r="A35" s="90">
        <f>Gen!A36</f>
        <v>44373</v>
      </c>
      <c r="B35" s="254"/>
      <c r="C35" s="254"/>
      <c r="D35" s="254"/>
      <c r="E35" s="254"/>
      <c r="F35" s="254"/>
      <c r="G35" s="254">
        <f t="shared" si="0"/>
        <v>0</v>
      </c>
      <c r="H35" s="107">
        <f>[5]Gen!B36</f>
        <v>0.29870000000000002</v>
      </c>
      <c r="I35" s="799">
        <f t="shared" si="1"/>
        <v>0</v>
      </c>
      <c r="J35" s="800" t="e">
        <f t="shared" si="4"/>
        <v>#DIV/0!</v>
      </c>
    </row>
    <row r="36" spans="1:10" ht="18.75">
      <c r="A36" s="90">
        <f>Gen!A37</f>
        <v>44374</v>
      </c>
      <c r="B36" s="254"/>
      <c r="C36" s="254"/>
      <c r="D36" s="254"/>
      <c r="E36" s="254"/>
      <c r="F36" s="254"/>
      <c r="G36" s="254">
        <f t="shared" si="0"/>
        <v>0</v>
      </c>
      <c r="H36" s="107">
        <f>[5]Gen!B37</f>
        <v>0.28570000000000001</v>
      </c>
      <c r="I36" s="799">
        <f t="shared" si="1"/>
        <v>0</v>
      </c>
      <c r="J36" s="800" t="e">
        <f t="shared" si="4"/>
        <v>#DIV/0!</v>
      </c>
    </row>
    <row r="37" spans="1:10" ht="18.75">
      <c r="A37" s="90">
        <f>Gen!A38</f>
        <v>44375</v>
      </c>
      <c r="B37" s="254"/>
      <c r="C37" s="254"/>
      <c r="D37" s="254"/>
      <c r="E37" s="254"/>
      <c r="F37" s="254"/>
      <c r="G37" s="254">
        <f t="shared" si="0"/>
        <v>0</v>
      </c>
      <c r="H37" s="107">
        <f>[5]Gen!B38</f>
        <v>0.42859999999999998</v>
      </c>
      <c r="I37" s="799">
        <f t="shared" si="1"/>
        <v>0</v>
      </c>
      <c r="J37" s="800" t="e">
        <f t="shared" si="4"/>
        <v>#DIV/0!</v>
      </c>
    </row>
    <row r="38" spans="1:10" ht="18.75">
      <c r="A38" s="90">
        <f>Gen!A39</f>
        <v>44376</v>
      </c>
      <c r="B38" s="254"/>
      <c r="C38" s="254"/>
      <c r="D38" s="254"/>
      <c r="E38" s="254"/>
      <c r="F38" s="254"/>
      <c r="G38" s="254">
        <f t="shared" si="0"/>
        <v>0</v>
      </c>
      <c r="H38" s="107">
        <f>[5]Gen!B39</f>
        <v>0.55800000000000005</v>
      </c>
      <c r="I38" s="799">
        <f t="shared" si="1"/>
        <v>0</v>
      </c>
      <c r="J38" s="800" t="e">
        <f t="shared" si="4"/>
        <v>#DIV/0!</v>
      </c>
    </row>
    <row r="39" spans="1:10" ht="18.75">
      <c r="A39" s="90">
        <f>Gen!A40</f>
        <v>44377</v>
      </c>
      <c r="B39" s="254"/>
      <c r="C39" s="254"/>
      <c r="D39" s="254"/>
      <c r="E39" s="254"/>
      <c r="F39" s="254"/>
      <c r="G39" s="254">
        <f t="shared" si="0"/>
        <v>0</v>
      </c>
      <c r="H39" s="107">
        <f>[5]Gen!B40</f>
        <v>0.6</v>
      </c>
      <c r="I39" s="799">
        <f t="shared" si="1"/>
        <v>0</v>
      </c>
      <c r="J39" s="800" t="e">
        <f t="shared" si="4"/>
        <v>#DIV/0!</v>
      </c>
    </row>
    <row r="40" spans="1:10" ht="18.75">
      <c r="A40" s="90">
        <f>Gen!A41</f>
        <v>0</v>
      </c>
      <c r="B40" s="254"/>
      <c r="C40" s="254"/>
      <c r="D40" s="254"/>
      <c r="E40" s="254"/>
      <c r="F40" s="254"/>
      <c r="G40" s="254">
        <f t="shared" si="0"/>
        <v>0</v>
      </c>
      <c r="H40" s="107">
        <f>[5]Gen!B41</f>
        <v>0.63690000000000002</v>
      </c>
      <c r="I40" s="799">
        <f t="shared" si="1"/>
        <v>0</v>
      </c>
      <c r="J40" s="800" t="e">
        <f t="shared" si="4"/>
        <v>#DIV/0!</v>
      </c>
    </row>
    <row r="41" spans="1:10" ht="18.75">
      <c r="A41" s="90"/>
      <c r="B41" s="254"/>
      <c r="C41" s="254"/>
      <c r="D41" s="254"/>
      <c r="E41" s="254"/>
      <c r="F41" s="254"/>
      <c r="G41" s="254">
        <f t="shared" si="0"/>
        <v>0</v>
      </c>
      <c r="H41" s="107">
        <f>[5]Gen!B42</f>
        <v>0</v>
      </c>
      <c r="I41" s="799" t="e">
        <f t="shared" si="1"/>
        <v>#DIV/0!</v>
      </c>
      <c r="J41" s="801"/>
    </row>
    <row r="42" spans="1:10" ht="17.25">
      <c r="A42" s="90"/>
      <c r="B42" s="5"/>
      <c r="C42" s="882" t="s">
        <v>252</v>
      </c>
      <c r="D42" s="882"/>
      <c r="E42" s="2">
        <f t="shared" ref="E42" si="5">SUM(E10:E40)</f>
        <v>0</v>
      </c>
      <c r="F42" s="2">
        <f>SUM(F10:F41)</f>
        <v>1616405.8199999998</v>
      </c>
      <c r="G42" s="97">
        <f>SUM(G10:G40)</f>
        <v>-337369.64799999999</v>
      </c>
      <c r="H42" s="107">
        <f>[5]Gen!B43</f>
        <v>0.18598064516129031</v>
      </c>
      <c r="I42" s="799"/>
      <c r="J42" s="800"/>
    </row>
    <row r="44" spans="1:10">
      <c r="G44"/>
    </row>
    <row r="45" spans="1:10">
      <c r="B45" s="881"/>
      <c r="C45" s="881"/>
      <c r="D45" s="881"/>
      <c r="E45" s="881"/>
      <c r="F45" s="881"/>
      <c r="G45" s="881"/>
      <c r="H45" s="881"/>
      <c r="J45" s="794"/>
    </row>
    <row r="46" spans="1:10">
      <c r="B46" s="881"/>
      <c r="C46" s="881"/>
      <c r="D46" s="881"/>
      <c r="E46" s="881"/>
      <c r="F46" s="881"/>
      <c r="G46" s="881"/>
      <c r="H46" s="881"/>
      <c r="J46" s="794"/>
    </row>
    <row r="47" spans="1:10">
      <c r="G47"/>
      <c r="J47" s="794"/>
    </row>
    <row r="48" spans="1:10">
      <c r="G48"/>
      <c r="J48" s="794"/>
    </row>
    <row r="49" spans="7:10">
      <c r="G49"/>
      <c r="J49" s="794"/>
    </row>
    <row r="50" spans="7:10">
      <c r="G50"/>
      <c r="J50" s="794"/>
    </row>
    <row r="51" spans="7:10">
      <c r="G51"/>
      <c r="J51" s="794"/>
    </row>
    <row r="52" spans="7:10">
      <c r="G52"/>
      <c r="J52" s="794"/>
    </row>
    <row r="53" spans="7:10">
      <c r="G53"/>
      <c r="J53" s="794"/>
    </row>
    <row r="54" spans="7:10">
      <c r="G54"/>
      <c r="J54" s="794"/>
    </row>
    <row r="55" spans="7:10">
      <c r="G55"/>
    </row>
    <row r="56" spans="7:10">
      <c r="G56"/>
    </row>
    <row r="57" spans="7:10">
      <c r="G57"/>
    </row>
    <row r="58" spans="7:10">
      <c r="G58"/>
    </row>
    <row r="59" spans="7:10">
      <c r="G59"/>
    </row>
    <row r="60" spans="7:10">
      <c r="G60"/>
    </row>
    <row r="61" spans="7:10">
      <c r="G61"/>
    </row>
    <row r="62" spans="7:10">
      <c r="G62"/>
    </row>
    <row r="63" spans="7:10">
      <c r="G63"/>
    </row>
  </sheetData>
  <mergeCells count="7">
    <mergeCell ref="G45:H46"/>
    <mergeCell ref="C42:D42"/>
    <mergeCell ref="C6:D6"/>
    <mergeCell ref="E6:F6"/>
    <mergeCell ref="A7:A8"/>
    <mergeCell ref="B45:C46"/>
    <mergeCell ref="D45:F46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32</v>
      </c>
      <c r="B1" s="13" t="s">
        <v>253</v>
      </c>
      <c r="C1" s="13" t="s">
        <v>107</v>
      </c>
    </row>
    <row r="2" spans="1:3">
      <c r="A2" s="89">
        <f>Gen!A11</f>
        <v>44348</v>
      </c>
      <c r="B2" s="12">
        <f>'[1]Lpg (2)'!G10</f>
        <v>197.55999999997439</v>
      </c>
      <c r="C2" s="88">
        <f>SUM([1]Gen!B11)</f>
        <v>0.623</v>
      </c>
    </row>
    <row r="3" spans="1:3">
      <c r="A3" s="89">
        <f>Gen!A12</f>
        <v>44349</v>
      </c>
      <c r="B3" s="12">
        <f>'[1]Lpg (2)'!G11</f>
        <v>131.95600000002307</v>
      </c>
      <c r="C3" s="88">
        <f>SUM([1]Gen!B12)</f>
        <v>0.77900000000000003</v>
      </c>
    </row>
    <row r="4" spans="1:3">
      <c r="A4" s="89">
        <f>Gen!A13</f>
        <v>44350</v>
      </c>
      <c r="B4" s="12">
        <f>'[1]Lpg (2)'!G12</f>
        <v>117.4799999999872</v>
      </c>
      <c r="C4" s="88">
        <f>SUM([1]Gen!B13)</f>
        <v>0.53200000000000003</v>
      </c>
    </row>
    <row r="5" spans="1:3">
      <c r="A5" s="89">
        <f>Gen!A14</f>
        <v>44351</v>
      </c>
      <c r="B5" s="12">
        <f>'[1]Lpg (2)'!G13</f>
        <v>102.9599999999744</v>
      </c>
      <c r="C5" s="88">
        <f>SUM([1]Gen!B14)</f>
        <v>0.61</v>
      </c>
    </row>
    <row r="6" spans="1:3">
      <c r="A6" s="89">
        <f>Gen!A15</f>
        <v>44352</v>
      </c>
      <c r="B6" s="12">
        <f>'[1]Lpg (2)'!G14</f>
        <v>101.81599999999744</v>
      </c>
      <c r="C6" s="88">
        <f>SUM([1]Gen!B15)</f>
        <v>0.68799999999999994</v>
      </c>
    </row>
    <row r="7" spans="1:3">
      <c r="A7" s="89">
        <f>Gen!A16</f>
        <v>44353</v>
      </c>
      <c r="B7" s="12">
        <f>'[1]Lpg (2)'!G15</f>
        <v>106.92000000001282</v>
      </c>
      <c r="C7" s="88">
        <f>SUM([1]Gen!B16)</f>
        <v>0.53200000000000003</v>
      </c>
    </row>
    <row r="8" spans="1:3">
      <c r="A8" s="89">
        <f>Gen!A17</f>
        <v>44354</v>
      </c>
      <c r="B8" s="12">
        <f>'[1]Lpg (2)'!G16</f>
        <v>116.73199999999488</v>
      </c>
      <c r="C8" s="88">
        <f>SUM([1]Gen!B17)</f>
        <v>0.753</v>
      </c>
    </row>
    <row r="9" spans="1:3">
      <c r="A9" s="89">
        <f>Gen!A18</f>
        <v>44355</v>
      </c>
      <c r="B9" s="12">
        <f>'[1]Lpg (2)'!G17</f>
        <v>105.73199999999488</v>
      </c>
      <c r="C9" s="88">
        <f>SUM([1]Gen!B18)</f>
        <v>0.156</v>
      </c>
    </row>
    <row r="10" spans="1:3">
      <c r="A10" s="89">
        <f>Gen!A19</f>
        <v>44356</v>
      </c>
      <c r="B10" s="12">
        <f>'[1]Lpg (2)'!G18</f>
        <v>114.4</v>
      </c>
      <c r="C10" s="88">
        <f>SUM([1]Gen!B19)</f>
        <v>0.442</v>
      </c>
    </row>
    <row r="11" spans="1:3">
      <c r="A11" s="89">
        <f>Gen!A20</f>
        <v>44357</v>
      </c>
      <c r="B11" s="12">
        <f>'[1]Lpg (2)'!G19</f>
        <v>102.08000000005123</v>
      </c>
      <c r="C11" s="88">
        <f>SUM([1]Gen!B20)</f>
        <v>0.32500000000000001</v>
      </c>
    </row>
    <row r="12" spans="1:3">
      <c r="A12" s="89">
        <f>Gen!A21</f>
        <v>44358</v>
      </c>
      <c r="B12" s="12">
        <f>'[1]Lpg (2)'!G20</f>
        <v>105.29199999996928</v>
      </c>
      <c r="C12" s="88">
        <f>SUM([1]Gen!B21)</f>
        <v>0.45500000000000002</v>
      </c>
    </row>
    <row r="13" spans="1:3">
      <c r="A13" s="89">
        <f>Gen!A22</f>
        <v>44359</v>
      </c>
      <c r="B13" s="12">
        <f>'[1]Lpg (2)'!G21</f>
        <v>114.66399999998977</v>
      </c>
      <c r="C13" s="88">
        <f>SUM([1]Gen!B22)</f>
        <v>0.41599999999999998</v>
      </c>
    </row>
    <row r="14" spans="1:3">
      <c r="A14" s="89">
        <f>Gen!A23</f>
        <v>44360</v>
      </c>
      <c r="B14" s="12">
        <f>'[1]Lpg (2)'!G22</f>
        <v>113.78400000000256</v>
      </c>
      <c r="C14" s="88">
        <f>SUM([1]Gen!B23)</f>
        <v>0.39</v>
      </c>
    </row>
    <row r="15" spans="1:3">
      <c r="A15" s="89">
        <f>Gen!A24</f>
        <v>44361</v>
      </c>
      <c r="B15" s="12">
        <f>'[1]Lpg (2)'!G23</f>
        <v>114.62000000001281</v>
      </c>
      <c r="C15" s="88">
        <f>SUM([1]Gen!B24)</f>
        <v>0.63600000000000001</v>
      </c>
    </row>
    <row r="16" spans="1:3">
      <c r="A16" s="89">
        <f>Gen!A25</f>
        <v>44362</v>
      </c>
      <c r="B16" s="12">
        <f>'[1]Lpg (2)'!G24</f>
        <v>107.49199999996928</v>
      </c>
      <c r="C16" s="88">
        <f>SUM([1]Gen!B25)</f>
        <v>0.84399999999999997</v>
      </c>
    </row>
    <row r="17" spans="1:3">
      <c r="A17" s="89">
        <f>Gen!A26</f>
        <v>44363</v>
      </c>
      <c r="B17" s="12">
        <f>'[1]Lpg (2)'!G25</f>
        <v>106.78800000001793</v>
      </c>
      <c r="C17" s="88">
        <f>SUM([1]Gen!B26)</f>
        <v>0.81799999999999995</v>
      </c>
    </row>
    <row r="18" spans="1:3">
      <c r="A18" s="89">
        <f>Gen!A27</f>
        <v>44364</v>
      </c>
      <c r="B18" s="12">
        <f>'[1]Lpg (2)'!G26</f>
        <v>100.76000000003843</v>
      </c>
      <c r="C18" s="88">
        <f>SUM([1]Gen!B27)</f>
        <v>0.20799999999999999</v>
      </c>
    </row>
    <row r="19" spans="1:3">
      <c r="A19" s="89">
        <f>Gen!A28</f>
        <v>44365</v>
      </c>
      <c r="B19" s="12">
        <f>'[1]Lpg (2)'!G27</f>
        <v>108.6799999999872</v>
      </c>
      <c r="C19" s="88">
        <f>SUM([1]Gen!B28)</f>
        <v>0.221</v>
      </c>
    </row>
    <row r="20" spans="1:3">
      <c r="A20" s="89">
        <f>Gen!A29</f>
        <v>44366</v>
      </c>
      <c r="B20" s="12">
        <f>'[1]Lpg (2)'!G28</f>
        <v>92.795999999984645</v>
      </c>
      <c r="C20" s="88">
        <f>SUM([1]Gen!B29)</f>
        <v>0.11700000000000001</v>
      </c>
    </row>
    <row r="21" spans="1:3">
      <c r="A21" s="89">
        <f>Gen!A30</f>
        <v>44367</v>
      </c>
      <c r="B21" s="12">
        <f>'[1]Lpg (2)'!G29</f>
        <v>137.80800000003075</v>
      </c>
      <c r="C21" s="88">
        <f>SUM([1]Gen!B30)</f>
        <v>0.57099999999999995</v>
      </c>
    </row>
    <row r="22" spans="1:3">
      <c r="A22" s="89">
        <f>Gen!A31</f>
        <v>44368</v>
      </c>
      <c r="B22" s="12">
        <f>'[1]Lpg (2)'!G30</f>
        <v>103.79599999998464</v>
      </c>
      <c r="C22" s="88">
        <f>SUM([1]Gen!B31)</f>
        <v>0.55800000000000005</v>
      </c>
    </row>
    <row r="23" spans="1:3">
      <c r="A23" s="89">
        <f>Gen!A32</f>
        <v>44369</v>
      </c>
      <c r="B23" s="12">
        <f>'[1]Lpg (2)'!G31</f>
        <v>20.415999999997439</v>
      </c>
      <c r="C23" s="88">
        <f>SUM([1]Gen!B32)</f>
        <v>0.40300000000000002</v>
      </c>
    </row>
    <row r="24" spans="1:3">
      <c r="A24" s="89">
        <f>Gen!A33</f>
        <v>44370</v>
      </c>
      <c r="B24" s="12">
        <f>'[1]Lpg (2)'!G32</f>
        <v>197.69199999996928</v>
      </c>
      <c r="C24" s="88">
        <f>SUM([1]Gen!B33)</f>
        <v>0.24</v>
      </c>
    </row>
    <row r="25" spans="1:3">
      <c r="A25" s="89">
        <f>Gen!A34</f>
        <v>44371</v>
      </c>
      <c r="B25" s="12">
        <f>'[1]Lpg (2)'!G33</f>
        <v>101.11200000004611</v>
      </c>
      <c r="C25" s="88">
        <f>SUM([1]Gen!B34)</f>
        <v>0.09</v>
      </c>
    </row>
    <row r="26" spans="1:3">
      <c r="A26" s="89">
        <f>Gen!A35</f>
        <v>44372</v>
      </c>
      <c r="B26" s="12">
        <f>'[1]Lpg (2)'!G34</f>
        <v>95.303999999951344</v>
      </c>
      <c r="C26" s="88">
        <f>SUM([1]Gen!B35)</f>
        <v>0.28599999999999998</v>
      </c>
    </row>
    <row r="27" spans="1:3">
      <c r="A27" s="89">
        <f>Gen!A36</f>
        <v>44373</v>
      </c>
      <c r="B27" s="12">
        <f>'[1]Lpg (2)'!G35</f>
        <v>104.80800000003075</v>
      </c>
      <c r="C27" s="88">
        <f>SUM([1]Gen!B36)</f>
        <v>0.54500000000000004</v>
      </c>
    </row>
    <row r="28" spans="1:3">
      <c r="A28" s="89">
        <f>Gen!A37</f>
        <v>44374</v>
      </c>
      <c r="B28" s="12">
        <f>'[1]Lpg (2)'!G36</f>
        <v>102.43199999999489</v>
      </c>
      <c r="C28" s="88">
        <f>SUM([1]Gen!B37)</f>
        <v>0.67500000000000004</v>
      </c>
    </row>
    <row r="29" spans="1:3">
      <c r="A29" s="89">
        <f>Gen!A38</f>
        <v>44375</v>
      </c>
      <c r="B29" s="12">
        <f>'[1]Lpg (2)'!G37</f>
        <v>-295728.88400000002</v>
      </c>
      <c r="C29" s="88">
        <f>SUM([1]Gen!B38)</f>
        <v>0.27300000000000002</v>
      </c>
    </row>
    <row r="30" spans="1:3">
      <c r="A30" s="89">
        <f>Gen!A39</f>
        <v>44376</v>
      </c>
      <c r="B30" s="12">
        <f>'[1]Lpg (2)'!G38</f>
        <v>0</v>
      </c>
      <c r="C30" s="88" t="e">
        <f>SUM([1]Gen!B39)</f>
        <v>#REF!</v>
      </c>
    </row>
    <row r="31" spans="1:3">
      <c r="A31" s="89">
        <f>Gen!A40</f>
        <v>44377</v>
      </c>
      <c r="B31" s="12">
        <f>'[1]Lpg (2)'!G39</f>
        <v>0</v>
      </c>
      <c r="C31" s="88" t="e">
        <f>SUM([1]Gen!B40)</f>
        <v>#REF!</v>
      </c>
    </row>
    <row r="32" spans="1:3">
      <c r="A32" s="89">
        <f>Gen!A41</f>
        <v>0</v>
      </c>
      <c r="B32" s="12">
        <f>'[1]Lpg (2)'!G40</f>
        <v>0</v>
      </c>
      <c r="C32" s="88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  <c r="B35" s="823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70C0"/>
    <pageSetUpPr fitToPage="1"/>
  </sheetPr>
  <dimension ref="A1:AN78"/>
  <sheetViews>
    <sheetView topLeftCell="A37" zoomScale="94" zoomScaleNormal="94" workbookViewId="0">
      <pane xSplit="1" topLeftCell="B7" activePane="topRight" state="frozen"/>
      <selection pane="topRight" activeCell="AI27" sqref="AI27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5.5703125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5.140625" customWidth="1"/>
  </cols>
  <sheetData>
    <row r="1" spans="1:40" ht="23.25" thickBot="1">
      <c r="A1" s="907" t="s">
        <v>254</v>
      </c>
      <c r="B1" s="908"/>
      <c r="C1" s="908"/>
      <c r="D1" s="908"/>
      <c r="E1" s="908"/>
      <c r="F1" s="908"/>
      <c r="G1" s="908"/>
      <c r="H1" s="908"/>
      <c r="I1" s="908"/>
      <c r="J1" s="908"/>
      <c r="K1" s="908"/>
      <c r="L1" s="908"/>
      <c r="M1" s="908"/>
      <c r="N1" s="908"/>
      <c r="O1" s="908"/>
      <c r="P1" s="908"/>
      <c r="Q1" s="908"/>
      <c r="R1" s="908"/>
      <c r="S1" s="908"/>
      <c r="T1" s="908"/>
      <c r="U1" s="908"/>
      <c r="V1" s="908"/>
      <c r="W1" s="908"/>
      <c r="X1" s="908"/>
      <c r="Y1" s="908"/>
      <c r="Z1" s="908"/>
      <c r="AA1" s="908"/>
      <c r="AB1" s="908"/>
      <c r="AC1" s="908"/>
      <c r="AD1" s="908"/>
      <c r="AE1" s="908"/>
      <c r="AF1" s="908"/>
      <c r="AG1" s="908"/>
      <c r="AH1" s="908"/>
      <c r="AI1" s="908"/>
      <c r="AJ1" s="908"/>
      <c r="AK1" s="908"/>
      <c r="AL1" s="908"/>
      <c r="AM1" s="908"/>
      <c r="AN1" s="908"/>
    </row>
    <row r="2" spans="1:40" ht="13.5" customHeight="1" thickTop="1">
      <c r="A2" s="28"/>
      <c r="B2" s="28"/>
      <c r="C2" s="906" t="s">
        <v>255</v>
      </c>
      <c r="D2" s="906"/>
      <c r="E2" s="906"/>
      <c r="F2" s="906" t="s">
        <v>256</v>
      </c>
      <c r="G2" s="906"/>
      <c r="H2" s="906"/>
      <c r="I2" s="906" t="s">
        <v>257</v>
      </c>
      <c r="J2" s="906"/>
      <c r="K2" s="906"/>
      <c r="L2" s="906" t="s">
        <v>258</v>
      </c>
      <c r="M2" s="906"/>
      <c r="N2" s="906"/>
      <c r="O2" s="906" t="s">
        <v>259</v>
      </c>
      <c r="P2" s="906"/>
      <c r="Q2" s="906"/>
      <c r="R2" s="238"/>
      <c r="S2" s="915" t="s">
        <v>260</v>
      </c>
      <c r="T2" s="916"/>
      <c r="U2" s="917"/>
      <c r="V2" s="915" t="s">
        <v>261</v>
      </c>
      <c r="W2" s="916"/>
      <c r="X2" s="917"/>
      <c r="Y2" s="915" t="s">
        <v>262</v>
      </c>
      <c r="Z2" s="916"/>
      <c r="AA2" s="917"/>
      <c r="AB2" s="915" t="s">
        <v>263</v>
      </c>
      <c r="AC2" s="916"/>
      <c r="AD2" s="917"/>
      <c r="AE2" s="909" t="s">
        <v>264</v>
      </c>
      <c r="AF2" s="910"/>
      <c r="AG2" s="921"/>
      <c r="AH2" s="909" t="s">
        <v>265</v>
      </c>
      <c r="AI2" s="910"/>
      <c r="AJ2" s="921"/>
      <c r="AK2" s="909" t="s">
        <v>266</v>
      </c>
      <c r="AL2" s="910"/>
      <c r="AM2" s="910"/>
      <c r="AN2" s="913" t="s">
        <v>267</v>
      </c>
    </row>
    <row r="3" spans="1:40" ht="21.75" customHeight="1" thickBot="1">
      <c r="A3" s="904" t="s">
        <v>238</v>
      </c>
      <c r="B3" s="28"/>
      <c r="C3" s="906" t="s">
        <v>268</v>
      </c>
      <c r="D3" s="906" t="s">
        <v>269</v>
      </c>
      <c r="E3" s="906" t="s">
        <v>248</v>
      </c>
      <c r="F3" s="906" t="s">
        <v>268</v>
      </c>
      <c r="G3" s="906" t="s">
        <v>269</v>
      </c>
      <c r="H3" s="906" t="s">
        <v>248</v>
      </c>
      <c r="I3" s="906" t="s">
        <v>268</v>
      </c>
      <c r="J3" s="906" t="s">
        <v>269</v>
      </c>
      <c r="K3" s="906" t="s">
        <v>248</v>
      </c>
      <c r="L3" s="906" t="s">
        <v>268</v>
      </c>
      <c r="M3" s="906" t="s">
        <v>269</v>
      </c>
      <c r="N3" s="906" t="s">
        <v>248</v>
      </c>
      <c r="O3" s="906" t="s">
        <v>268</v>
      </c>
      <c r="P3" s="906" t="s">
        <v>269</v>
      </c>
      <c r="Q3" s="906" t="s">
        <v>248</v>
      </c>
      <c r="R3" s="923" t="s">
        <v>270</v>
      </c>
      <c r="S3" s="918"/>
      <c r="T3" s="919"/>
      <c r="U3" s="920"/>
      <c r="V3" s="918"/>
      <c r="W3" s="919"/>
      <c r="X3" s="920"/>
      <c r="Y3" s="918"/>
      <c r="Z3" s="919"/>
      <c r="AA3" s="920"/>
      <c r="AB3" s="918"/>
      <c r="AC3" s="919"/>
      <c r="AD3" s="920"/>
      <c r="AE3" s="911"/>
      <c r="AF3" s="912"/>
      <c r="AG3" s="922"/>
      <c r="AH3" s="911"/>
      <c r="AI3" s="912"/>
      <c r="AJ3" s="922"/>
      <c r="AK3" s="911"/>
      <c r="AL3" s="912"/>
      <c r="AM3" s="912"/>
      <c r="AN3" s="914"/>
    </row>
    <row r="4" spans="1:40" ht="15.75" thickTop="1">
      <c r="A4" s="905"/>
      <c r="B4" s="230"/>
      <c r="C4" s="906"/>
      <c r="D4" s="906"/>
      <c r="E4" s="906"/>
      <c r="F4" s="906"/>
      <c r="G4" s="906"/>
      <c r="H4" s="906"/>
      <c r="I4" s="906"/>
      <c r="J4" s="906"/>
      <c r="K4" s="906"/>
      <c r="L4" s="906"/>
      <c r="M4" s="906"/>
      <c r="N4" s="906"/>
      <c r="O4" s="906"/>
      <c r="P4" s="906"/>
      <c r="Q4" s="906"/>
      <c r="R4" s="923"/>
      <c r="S4" s="244" t="s">
        <v>271</v>
      </c>
      <c r="T4" s="245" t="s">
        <v>272</v>
      </c>
      <c r="U4" s="242" t="s">
        <v>273</v>
      </c>
      <c r="V4" s="240" t="s">
        <v>271</v>
      </c>
      <c r="W4" s="241" t="s">
        <v>272</v>
      </c>
      <c r="X4" s="242" t="s">
        <v>273</v>
      </c>
      <c r="Y4" s="240" t="s">
        <v>271</v>
      </c>
      <c r="Z4" s="241" t="s">
        <v>272</v>
      </c>
      <c r="AA4" s="242" t="s">
        <v>273</v>
      </c>
      <c r="AB4" s="574" t="s">
        <v>271</v>
      </c>
      <c r="AC4" s="575" t="s">
        <v>272</v>
      </c>
      <c r="AD4" s="576" t="s">
        <v>99</v>
      </c>
      <c r="AE4" s="240" t="s">
        <v>271</v>
      </c>
      <c r="AF4" s="241" t="s">
        <v>272</v>
      </c>
      <c r="AG4" s="276" t="s">
        <v>99</v>
      </c>
      <c r="AH4" s="240" t="s">
        <v>271</v>
      </c>
      <c r="AI4" s="241" t="s">
        <v>272</v>
      </c>
      <c r="AJ4" s="276" t="s">
        <v>99</v>
      </c>
      <c r="AK4" s="240" t="s">
        <v>271</v>
      </c>
      <c r="AL4" s="241" t="s">
        <v>272</v>
      </c>
      <c r="AM4" s="276" t="s">
        <v>99</v>
      </c>
      <c r="AN4" s="277"/>
    </row>
    <row r="5" spans="1:40" ht="20.25">
      <c r="A5" s="4"/>
      <c r="B5" s="4"/>
      <c r="C5" s="91">
        <f t="shared" ref="C5:C24" si="0">D4</f>
        <v>0</v>
      </c>
      <c r="D5" s="1">
        <v>256416</v>
      </c>
      <c r="E5" s="56">
        <f t="shared" ref="E5:E15" si="1">IF((D5-D4)&lt;0,"0",(D5-D4))</f>
        <v>256416</v>
      </c>
      <c r="F5" s="91">
        <f t="shared" ref="F5:F37" si="2">G4</f>
        <v>0</v>
      </c>
      <c r="G5" s="370">
        <v>75790</v>
      </c>
      <c r="H5" s="452">
        <v>0</v>
      </c>
      <c r="I5" s="91">
        <f t="shared" ref="I5:I24" si="3">J4</f>
        <v>0</v>
      </c>
      <c r="J5" s="1">
        <v>8459</v>
      </c>
      <c r="K5" s="452">
        <f t="shared" ref="K5:K6" si="4">J5-J4</f>
        <v>8459</v>
      </c>
      <c r="L5" s="91">
        <f t="shared" ref="L5:L24" si="5">M4</f>
        <v>0</v>
      </c>
      <c r="M5" s="1"/>
      <c r="N5" s="452">
        <v>0</v>
      </c>
      <c r="O5" s="91">
        <f t="shared" ref="O5:O25" si="6">P4</f>
        <v>0</v>
      </c>
      <c r="P5" s="366">
        <v>21361</v>
      </c>
      <c r="Q5" s="452">
        <f t="shared" ref="Q5:Q27" si="7">IF((P5-P4)&lt;0,"0",(P5-P4))</f>
        <v>21361</v>
      </c>
      <c r="R5" s="232"/>
      <c r="S5" s="231"/>
      <c r="T5" s="367">
        <v>69934</v>
      </c>
      <c r="U5" s="231"/>
      <c r="V5" s="231" t="str">
        <f t="shared" ref="V5:V20" si="8">W4</f>
        <v>FINAL</v>
      </c>
      <c r="W5" s="367">
        <v>73031</v>
      </c>
      <c r="X5" s="232">
        <v>0</v>
      </c>
      <c r="Y5" s="231" t="str">
        <f t="shared" ref="Y5:Y37" si="9">Z4</f>
        <v>FINAL</v>
      </c>
      <c r="Z5" s="367">
        <v>90422</v>
      </c>
      <c r="AA5" s="232">
        <v>0</v>
      </c>
      <c r="AB5" s="577" t="str">
        <f>AC4</f>
        <v>FINAL</v>
      </c>
      <c r="AC5" s="232">
        <v>19775</v>
      </c>
      <c r="AD5" s="579"/>
      <c r="AE5" s="231" t="str">
        <f t="shared" ref="AE5:AE37" si="10">AF4</f>
        <v>FINAL</v>
      </c>
      <c r="AF5" s="368">
        <v>8300</v>
      </c>
      <c r="AG5" s="246">
        <v>0</v>
      </c>
      <c r="AH5" s="231" t="str">
        <f t="shared" ref="AH5:AH37" si="11">AI4</f>
        <v>FINAL</v>
      </c>
      <c r="AI5" s="368">
        <v>32084</v>
      </c>
      <c r="AJ5" s="246"/>
      <c r="AK5" s="231" t="str">
        <f t="shared" ref="AK5:AK37" si="12">AL4</f>
        <v>FINAL</v>
      </c>
      <c r="AL5" s="367"/>
      <c r="AM5" s="246"/>
      <c r="AN5" s="372"/>
    </row>
    <row r="6" spans="1:40" ht="23.1" customHeight="1">
      <c r="A6" s="55">
        <f>Gen!A11</f>
        <v>44348</v>
      </c>
      <c r="B6" s="4"/>
      <c r="C6" s="91">
        <f t="shared" si="0"/>
        <v>256416</v>
      </c>
      <c r="D6" s="1">
        <v>256504</v>
      </c>
      <c r="E6" s="56">
        <f t="shared" si="1"/>
        <v>88</v>
      </c>
      <c r="F6" s="91">
        <f t="shared" si="2"/>
        <v>75790</v>
      </c>
      <c r="G6" s="370">
        <v>75790</v>
      </c>
      <c r="H6" s="452">
        <f t="shared" ref="H6:H24" si="13">IF((G6-G5)&lt;0,"0",(G6-G5))</f>
        <v>0</v>
      </c>
      <c r="I6" s="91">
        <f t="shared" si="3"/>
        <v>8459</v>
      </c>
      <c r="J6" s="1">
        <v>8461</v>
      </c>
      <c r="K6" s="452">
        <f t="shared" si="4"/>
        <v>2</v>
      </c>
      <c r="L6" s="91">
        <f t="shared" si="5"/>
        <v>0</v>
      </c>
      <c r="M6" s="1"/>
      <c r="N6" s="452">
        <f t="shared" ref="N6:N24" si="14">IF((M6-M5)&lt;0,"0",(M6-M5))</f>
        <v>0</v>
      </c>
      <c r="O6" s="91">
        <f t="shared" si="6"/>
        <v>21361</v>
      </c>
      <c r="P6" s="366">
        <v>21368</v>
      </c>
      <c r="Q6" s="452">
        <f t="shared" si="7"/>
        <v>7</v>
      </c>
      <c r="R6" s="236"/>
      <c r="S6" s="231">
        <f t="shared" ref="S6:S24" si="15">T5</f>
        <v>69934</v>
      </c>
      <c r="T6" s="367">
        <v>69934</v>
      </c>
      <c r="U6" s="453">
        <f t="shared" ref="U6:U24" si="16">IF((T6-T5)&lt;0,"0",(T6-T5))</f>
        <v>0</v>
      </c>
      <c r="V6" s="231">
        <f t="shared" si="8"/>
        <v>73031</v>
      </c>
      <c r="W6" s="367">
        <v>73031</v>
      </c>
      <c r="X6" s="453">
        <f t="shared" ref="X6:X34" si="17">IF((W6-W5)&lt;0,"0",(W6-W5))</f>
        <v>0</v>
      </c>
      <c r="Y6" s="231">
        <f t="shared" si="9"/>
        <v>90422</v>
      </c>
      <c r="Z6" s="367">
        <v>90422</v>
      </c>
      <c r="AA6" s="453">
        <f t="shared" ref="AA6:AA37" si="18">IF((Z6-Z5)&lt;0,"0",(Z6-Z5))</f>
        <v>0</v>
      </c>
      <c r="AB6" s="577">
        <f>AC5</f>
        <v>19775</v>
      </c>
      <c r="AC6" s="588">
        <v>19792</v>
      </c>
      <c r="AD6" s="580">
        <f>IF((AC6-AC5)&lt;0,"0",(AC6-AC5))</f>
        <v>17</v>
      </c>
      <c r="AE6" s="231">
        <f t="shared" si="10"/>
        <v>8300</v>
      </c>
      <c r="AF6" s="368">
        <v>8300</v>
      </c>
      <c r="AG6" s="453">
        <f t="shared" ref="AG6:AG37" si="19">IF((AF6-AF5)&lt;0,"0",(AF6-AF5))</f>
        <v>0</v>
      </c>
      <c r="AH6" s="231">
        <f t="shared" si="11"/>
        <v>32084</v>
      </c>
      <c r="AI6" s="368">
        <v>32126</v>
      </c>
      <c r="AJ6" s="453">
        <f t="shared" ref="AJ6:AJ37" si="20">IF((AI6-AI5)&lt;0,"0",(AI6-AI5))</f>
        <v>42</v>
      </c>
      <c r="AK6" s="231">
        <f t="shared" si="12"/>
        <v>0</v>
      </c>
      <c r="AL6" s="367"/>
      <c r="AM6" s="453">
        <f t="shared" ref="AM6:AM37" si="21">IF((AL6-AL5)&lt;0,"0",(AL6-AL5))</f>
        <v>0</v>
      </c>
      <c r="AN6" s="372">
        <f>U6+X6+AA6+AD6+AG6+AJ6+AM6</f>
        <v>59</v>
      </c>
    </row>
    <row r="7" spans="1:40" ht="23.1" customHeight="1">
      <c r="A7" s="55">
        <f>Gen!A12</f>
        <v>44349</v>
      </c>
      <c r="B7" s="4"/>
      <c r="C7" s="91">
        <f t="shared" si="0"/>
        <v>256504</v>
      </c>
      <c r="D7" s="1">
        <v>256582</v>
      </c>
      <c r="E7" s="56">
        <f t="shared" si="1"/>
        <v>78</v>
      </c>
      <c r="F7" s="91">
        <f t="shared" si="2"/>
        <v>75790</v>
      </c>
      <c r="G7" s="370">
        <v>75790</v>
      </c>
      <c r="H7" s="452">
        <f t="shared" si="13"/>
        <v>0</v>
      </c>
      <c r="I7" s="91">
        <f t="shared" si="3"/>
        <v>8461</v>
      </c>
      <c r="J7" s="1">
        <v>8463</v>
      </c>
      <c r="K7" s="452">
        <f>J7-J6</f>
        <v>2</v>
      </c>
      <c r="L7" s="91">
        <f t="shared" si="5"/>
        <v>0</v>
      </c>
      <c r="M7" s="1"/>
      <c r="N7" s="452">
        <f t="shared" si="14"/>
        <v>0</v>
      </c>
      <c r="O7" s="91">
        <f t="shared" si="6"/>
        <v>21368</v>
      </c>
      <c r="P7" s="366">
        <v>21373</v>
      </c>
      <c r="Q7" s="452">
        <f t="shared" si="7"/>
        <v>5</v>
      </c>
      <c r="R7" s="236"/>
      <c r="S7" s="231">
        <f t="shared" si="15"/>
        <v>69934</v>
      </c>
      <c r="T7" s="367">
        <v>70018</v>
      </c>
      <c r="U7" s="453">
        <f t="shared" si="16"/>
        <v>84</v>
      </c>
      <c r="V7" s="231">
        <f t="shared" si="8"/>
        <v>73031</v>
      </c>
      <c r="W7" s="367">
        <v>73031</v>
      </c>
      <c r="X7" s="453">
        <f t="shared" si="17"/>
        <v>0</v>
      </c>
      <c r="Y7" s="231">
        <f t="shared" si="9"/>
        <v>90422</v>
      </c>
      <c r="Z7" s="367">
        <v>90461</v>
      </c>
      <c r="AA7" s="453">
        <f t="shared" si="18"/>
        <v>39</v>
      </c>
      <c r="AB7" s="577">
        <f t="shared" ref="AB7:AB37" si="22">AC6</f>
        <v>19792</v>
      </c>
      <c r="AC7" s="578">
        <v>19809</v>
      </c>
      <c r="AD7" s="580">
        <f t="shared" ref="AD7:AD37" si="23">IF((AC7-AC6)&lt;0,"0",(AC7-AC6))</f>
        <v>17</v>
      </c>
      <c r="AE7" s="231">
        <f t="shared" si="10"/>
        <v>8300</v>
      </c>
      <c r="AF7" s="368">
        <v>8300</v>
      </c>
      <c r="AG7" s="453">
        <f t="shared" si="19"/>
        <v>0</v>
      </c>
      <c r="AH7" s="231">
        <f t="shared" si="11"/>
        <v>32126</v>
      </c>
      <c r="AI7" s="368">
        <v>32158</v>
      </c>
      <c r="AJ7" s="453">
        <f t="shared" si="20"/>
        <v>32</v>
      </c>
      <c r="AK7" s="231">
        <f t="shared" si="12"/>
        <v>0</v>
      </c>
      <c r="AL7" s="367"/>
      <c r="AM7" s="453">
        <f t="shared" si="21"/>
        <v>0</v>
      </c>
      <c r="AN7" s="372">
        <f t="shared" ref="AN7:AN36" si="24">U7+X7+AA7+AD7+AG7+AJ7+AM7</f>
        <v>172</v>
      </c>
    </row>
    <row r="8" spans="1:40" ht="23.1" customHeight="1">
      <c r="A8" s="55">
        <f>Gen!A13</f>
        <v>44350</v>
      </c>
      <c r="B8" s="4"/>
      <c r="C8" s="91">
        <f t="shared" si="0"/>
        <v>256582</v>
      </c>
      <c r="D8" s="1">
        <v>256653</v>
      </c>
      <c r="E8" s="56">
        <f t="shared" si="1"/>
        <v>71</v>
      </c>
      <c r="F8" s="91">
        <f t="shared" si="2"/>
        <v>75790</v>
      </c>
      <c r="G8" s="370">
        <v>75790</v>
      </c>
      <c r="H8" s="452">
        <f t="shared" si="13"/>
        <v>0</v>
      </c>
      <c r="I8" s="91">
        <f t="shared" si="3"/>
        <v>8463</v>
      </c>
      <c r="J8" s="1">
        <v>8466</v>
      </c>
      <c r="K8" s="452">
        <f>J8-J7</f>
        <v>3</v>
      </c>
      <c r="L8" s="91">
        <f t="shared" si="5"/>
        <v>0</v>
      </c>
      <c r="M8" s="1"/>
      <c r="N8" s="452">
        <f t="shared" si="14"/>
        <v>0</v>
      </c>
      <c r="O8" s="91">
        <f t="shared" si="6"/>
        <v>21373</v>
      </c>
      <c r="P8" s="366">
        <v>21379</v>
      </c>
      <c r="Q8" s="452">
        <f t="shared" si="7"/>
        <v>6</v>
      </c>
      <c r="R8" s="236"/>
      <c r="S8" s="231">
        <f t="shared" si="15"/>
        <v>70018</v>
      </c>
      <c r="T8" s="367">
        <v>70101</v>
      </c>
      <c r="U8" s="453">
        <f t="shared" si="16"/>
        <v>83</v>
      </c>
      <c r="V8" s="231">
        <f t="shared" si="8"/>
        <v>73031</v>
      </c>
      <c r="W8" s="367">
        <v>73031</v>
      </c>
      <c r="X8" s="453">
        <f t="shared" si="17"/>
        <v>0</v>
      </c>
      <c r="Y8" s="231">
        <f t="shared" si="9"/>
        <v>90461</v>
      </c>
      <c r="Z8" s="367">
        <v>90461</v>
      </c>
      <c r="AA8" s="453">
        <f t="shared" si="18"/>
        <v>0</v>
      </c>
      <c r="AB8" s="577">
        <f t="shared" si="22"/>
        <v>19809</v>
      </c>
      <c r="AC8" s="578">
        <v>19824</v>
      </c>
      <c r="AD8" s="580">
        <f t="shared" si="23"/>
        <v>15</v>
      </c>
      <c r="AE8" s="231">
        <f t="shared" si="10"/>
        <v>8300</v>
      </c>
      <c r="AF8" s="368">
        <v>8300</v>
      </c>
      <c r="AG8" s="453">
        <f t="shared" si="19"/>
        <v>0</v>
      </c>
      <c r="AH8" s="231">
        <f t="shared" si="11"/>
        <v>32158</v>
      </c>
      <c r="AI8" s="368">
        <v>32188</v>
      </c>
      <c r="AJ8" s="453">
        <f t="shared" si="20"/>
        <v>30</v>
      </c>
      <c r="AK8" s="231">
        <f t="shared" si="12"/>
        <v>0</v>
      </c>
      <c r="AL8" s="367"/>
      <c r="AM8" s="453">
        <f t="shared" si="21"/>
        <v>0</v>
      </c>
      <c r="AN8" s="372">
        <f t="shared" si="24"/>
        <v>128</v>
      </c>
    </row>
    <row r="9" spans="1:40" ht="23.1" customHeight="1">
      <c r="A9" s="55">
        <f>Gen!A14</f>
        <v>44351</v>
      </c>
      <c r="B9" s="4"/>
      <c r="C9" s="91">
        <f t="shared" si="0"/>
        <v>256653</v>
      </c>
      <c r="D9" s="1">
        <v>256736</v>
      </c>
      <c r="E9" s="56">
        <f t="shared" si="1"/>
        <v>83</v>
      </c>
      <c r="F9" s="91">
        <f t="shared" si="2"/>
        <v>75790</v>
      </c>
      <c r="G9" s="370">
        <v>75790</v>
      </c>
      <c r="H9" s="452">
        <f t="shared" si="13"/>
        <v>0</v>
      </c>
      <c r="I9" s="91">
        <f t="shared" si="3"/>
        <v>8466</v>
      </c>
      <c r="J9" s="1">
        <v>8469</v>
      </c>
      <c r="K9" s="452">
        <f>J9-J8</f>
        <v>3</v>
      </c>
      <c r="L9" s="91">
        <f t="shared" si="5"/>
        <v>0</v>
      </c>
      <c r="M9" s="1"/>
      <c r="N9" s="452">
        <f t="shared" si="14"/>
        <v>0</v>
      </c>
      <c r="O9" s="91">
        <f t="shared" si="6"/>
        <v>21379</v>
      </c>
      <c r="P9" s="366">
        <v>21384</v>
      </c>
      <c r="Q9" s="452">
        <f t="shared" si="7"/>
        <v>5</v>
      </c>
      <c r="R9" s="236"/>
      <c r="S9" s="231">
        <f t="shared" si="15"/>
        <v>70101</v>
      </c>
      <c r="T9" s="367">
        <v>70181</v>
      </c>
      <c r="U9" s="453">
        <f t="shared" si="16"/>
        <v>80</v>
      </c>
      <c r="V9" s="231">
        <f t="shared" si="8"/>
        <v>73031</v>
      </c>
      <c r="W9" s="367">
        <v>73031</v>
      </c>
      <c r="X9" s="453">
        <f t="shared" si="17"/>
        <v>0</v>
      </c>
      <c r="Y9" s="231">
        <f t="shared" si="9"/>
        <v>90461</v>
      </c>
      <c r="Z9" s="367">
        <v>90461</v>
      </c>
      <c r="AA9" s="453">
        <f t="shared" si="18"/>
        <v>0</v>
      </c>
      <c r="AB9" s="577">
        <f t="shared" si="22"/>
        <v>19824</v>
      </c>
      <c r="AC9" s="578">
        <v>19841</v>
      </c>
      <c r="AD9" s="580">
        <f t="shared" si="23"/>
        <v>17</v>
      </c>
      <c r="AE9" s="231">
        <f t="shared" si="10"/>
        <v>8300</v>
      </c>
      <c r="AF9" s="368">
        <v>8300</v>
      </c>
      <c r="AG9" s="453">
        <f t="shared" si="19"/>
        <v>0</v>
      </c>
      <c r="AH9" s="231">
        <f t="shared" ref="AH9" si="25">AI9</f>
        <v>32219</v>
      </c>
      <c r="AI9" s="368">
        <v>32219</v>
      </c>
      <c r="AJ9" s="453">
        <f t="shared" si="20"/>
        <v>31</v>
      </c>
      <c r="AK9" s="231">
        <f t="shared" si="12"/>
        <v>0</v>
      </c>
      <c r="AL9" s="367"/>
      <c r="AM9" s="453">
        <f t="shared" si="21"/>
        <v>0</v>
      </c>
      <c r="AN9" s="372">
        <f t="shared" si="24"/>
        <v>128</v>
      </c>
    </row>
    <row r="10" spans="1:40" ht="23.1" customHeight="1">
      <c r="A10" s="55">
        <f>Gen!A15</f>
        <v>44352</v>
      </c>
      <c r="B10" s="4"/>
      <c r="C10" s="91">
        <f t="shared" si="0"/>
        <v>256736</v>
      </c>
      <c r="D10" s="1">
        <v>256815</v>
      </c>
      <c r="E10" s="56">
        <f t="shared" si="1"/>
        <v>79</v>
      </c>
      <c r="F10" s="91">
        <f t="shared" si="2"/>
        <v>75790</v>
      </c>
      <c r="G10" s="370">
        <v>75790</v>
      </c>
      <c r="H10" s="452">
        <f t="shared" si="13"/>
        <v>0</v>
      </c>
      <c r="I10" s="91">
        <f t="shared" si="3"/>
        <v>8469</v>
      </c>
      <c r="J10" s="1">
        <v>8471</v>
      </c>
      <c r="K10" s="452">
        <f t="shared" ref="K10:K13" si="26">J10-J9</f>
        <v>2</v>
      </c>
      <c r="L10" s="91">
        <f t="shared" si="5"/>
        <v>0</v>
      </c>
      <c r="M10" s="1"/>
      <c r="N10" s="452">
        <f t="shared" si="14"/>
        <v>0</v>
      </c>
      <c r="O10" s="91">
        <f t="shared" si="6"/>
        <v>21384</v>
      </c>
      <c r="P10" s="366">
        <v>21390</v>
      </c>
      <c r="Q10" s="452">
        <f t="shared" si="7"/>
        <v>6</v>
      </c>
      <c r="R10" s="236"/>
      <c r="S10" s="231">
        <f t="shared" si="15"/>
        <v>70181</v>
      </c>
      <c r="T10" s="367">
        <v>70200</v>
      </c>
      <c r="U10" s="453">
        <f t="shared" si="16"/>
        <v>19</v>
      </c>
      <c r="V10" s="231">
        <f t="shared" si="8"/>
        <v>73031</v>
      </c>
      <c r="W10" s="367">
        <v>73031</v>
      </c>
      <c r="X10" s="453">
        <f t="shared" si="17"/>
        <v>0</v>
      </c>
      <c r="Y10" s="231">
        <f t="shared" si="9"/>
        <v>90461</v>
      </c>
      <c r="Z10" s="367">
        <v>90495</v>
      </c>
      <c r="AA10" s="453">
        <f t="shared" si="18"/>
        <v>34</v>
      </c>
      <c r="AB10" s="577">
        <f t="shared" si="22"/>
        <v>19841</v>
      </c>
      <c r="AC10" s="578">
        <v>19857</v>
      </c>
      <c r="AD10" s="580">
        <f t="shared" si="23"/>
        <v>16</v>
      </c>
      <c r="AE10" s="231">
        <f t="shared" si="10"/>
        <v>8300</v>
      </c>
      <c r="AF10" s="368">
        <v>8300</v>
      </c>
      <c r="AG10" s="453">
        <f t="shared" si="19"/>
        <v>0</v>
      </c>
      <c r="AH10" s="231">
        <f t="shared" si="11"/>
        <v>32219</v>
      </c>
      <c r="AI10" s="368">
        <v>32251</v>
      </c>
      <c r="AJ10" s="453">
        <f t="shared" si="20"/>
        <v>32</v>
      </c>
      <c r="AK10" s="231">
        <f t="shared" si="12"/>
        <v>0</v>
      </c>
      <c r="AL10" s="367"/>
      <c r="AM10" s="453">
        <f t="shared" si="21"/>
        <v>0</v>
      </c>
      <c r="AN10" s="372">
        <f t="shared" si="24"/>
        <v>101</v>
      </c>
    </row>
    <row r="11" spans="1:40" ht="23.1" customHeight="1">
      <c r="A11" s="55">
        <f>Gen!A16</f>
        <v>44353</v>
      </c>
      <c r="B11" s="4"/>
      <c r="C11" s="91">
        <f t="shared" si="0"/>
        <v>256815</v>
      </c>
      <c r="D11" s="1">
        <v>256904</v>
      </c>
      <c r="E11" s="56">
        <f t="shared" si="1"/>
        <v>89</v>
      </c>
      <c r="F11" s="91">
        <f t="shared" si="2"/>
        <v>75790</v>
      </c>
      <c r="G11" s="370">
        <v>75790</v>
      </c>
      <c r="H11" s="452">
        <f t="shared" si="13"/>
        <v>0</v>
      </c>
      <c r="I11" s="91">
        <f t="shared" si="3"/>
        <v>8471</v>
      </c>
      <c r="J11" s="1">
        <v>8473</v>
      </c>
      <c r="K11" s="452">
        <f t="shared" si="26"/>
        <v>2</v>
      </c>
      <c r="L11" s="91">
        <f t="shared" si="5"/>
        <v>0</v>
      </c>
      <c r="M11" s="1"/>
      <c r="N11" s="452">
        <f t="shared" si="14"/>
        <v>0</v>
      </c>
      <c r="O11" s="91">
        <f t="shared" si="6"/>
        <v>21390</v>
      </c>
      <c r="P11" s="366">
        <v>21397</v>
      </c>
      <c r="Q11" s="452">
        <f t="shared" si="7"/>
        <v>7</v>
      </c>
      <c r="R11" s="236"/>
      <c r="S11" s="231">
        <f t="shared" si="15"/>
        <v>70200</v>
      </c>
      <c r="T11" s="367">
        <v>70200</v>
      </c>
      <c r="U11" s="453">
        <f t="shared" si="16"/>
        <v>0</v>
      </c>
      <c r="V11" s="231">
        <f t="shared" si="8"/>
        <v>73031</v>
      </c>
      <c r="W11" s="367">
        <v>73031</v>
      </c>
      <c r="X11" s="453">
        <f>IF((W12-W10)&lt;0,"0",(W12-W10))</f>
        <v>0</v>
      </c>
      <c r="Y11" s="231">
        <f t="shared" si="9"/>
        <v>90495</v>
      </c>
      <c r="Z11" s="367">
        <v>90495</v>
      </c>
      <c r="AA11" s="453">
        <f t="shared" si="18"/>
        <v>0</v>
      </c>
      <c r="AB11" s="577">
        <f t="shared" si="22"/>
        <v>19857</v>
      </c>
      <c r="AC11" s="578">
        <v>19874</v>
      </c>
      <c r="AD11" s="580">
        <f t="shared" si="23"/>
        <v>17</v>
      </c>
      <c r="AE11" s="231">
        <f>AF11</f>
        <v>8300</v>
      </c>
      <c r="AF11" s="368">
        <v>8300</v>
      </c>
      <c r="AG11" s="453">
        <f>IF((AF11-AF10)&lt;0,"0",(AF11-AF10))</f>
        <v>0</v>
      </c>
      <c r="AH11" s="231">
        <f t="shared" si="11"/>
        <v>32251</v>
      </c>
      <c r="AI11" s="368">
        <v>32283</v>
      </c>
      <c r="AJ11" s="453">
        <f t="shared" si="20"/>
        <v>32</v>
      </c>
      <c r="AK11" s="231">
        <f t="shared" si="12"/>
        <v>0</v>
      </c>
      <c r="AL11" s="367"/>
      <c r="AM11" s="453">
        <f t="shared" si="21"/>
        <v>0</v>
      </c>
      <c r="AN11" s="372">
        <f t="shared" si="24"/>
        <v>49</v>
      </c>
    </row>
    <row r="12" spans="1:40" ht="23.1" customHeight="1">
      <c r="A12" s="55">
        <f>Gen!A17</f>
        <v>44354</v>
      </c>
      <c r="B12" s="4"/>
      <c r="C12" s="91">
        <f t="shared" si="0"/>
        <v>256904</v>
      </c>
      <c r="D12" s="1">
        <v>256974</v>
      </c>
      <c r="E12" s="56">
        <f t="shared" si="1"/>
        <v>70</v>
      </c>
      <c r="F12" s="91">
        <f t="shared" si="2"/>
        <v>75790</v>
      </c>
      <c r="G12" s="370">
        <v>75790</v>
      </c>
      <c r="H12" s="452">
        <f t="shared" si="13"/>
        <v>0</v>
      </c>
      <c r="I12" s="91">
        <f t="shared" si="3"/>
        <v>8473</v>
      </c>
      <c r="J12" s="1">
        <v>8475</v>
      </c>
      <c r="K12" s="452">
        <f t="shared" si="26"/>
        <v>2</v>
      </c>
      <c r="L12" s="91">
        <f t="shared" si="5"/>
        <v>0</v>
      </c>
      <c r="M12" s="1"/>
      <c r="N12" s="452">
        <f t="shared" si="14"/>
        <v>0</v>
      </c>
      <c r="O12" s="91">
        <f t="shared" si="6"/>
        <v>21397</v>
      </c>
      <c r="P12" s="366">
        <v>21403</v>
      </c>
      <c r="Q12" s="452">
        <f t="shared" si="7"/>
        <v>6</v>
      </c>
      <c r="R12" s="236"/>
      <c r="S12" s="231">
        <f t="shared" si="15"/>
        <v>70200</v>
      </c>
      <c r="T12" s="367">
        <v>70200</v>
      </c>
      <c r="U12" s="453">
        <f t="shared" si="16"/>
        <v>0</v>
      </c>
      <c r="V12" s="231">
        <f>W12</f>
        <v>73031</v>
      </c>
      <c r="W12" s="367">
        <v>73031</v>
      </c>
      <c r="X12" s="453">
        <f>IF((W13-W11)&lt;0,"0",(W13-W11))</f>
        <v>0</v>
      </c>
      <c r="Y12" s="231">
        <f t="shared" si="9"/>
        <v>90495</v>
      </c>
      <c r="Z12" s="367">
        <v>90520</v>
      </c>
      <c r="AA12" s="453">
        <f t="shared" si="18"/>
        <v>25</v>
      </c>
      <c r="AB12" s="577">
        <f t="shared" si="22"/>
        <v>19874</v>
      </c>
      <c r="AC12" s="578">
        <v>19890</v>
      </c>
      <c r="AD12" s="580">
        <f t="shared" si="23"/>
        <v>16</v>
      </c>
      <c r="AE12" s="231">
        <f t="shared" ref="AE12:AE20" si="27">AF12</f>
        <v>8300</v>
      </c>
      <c r="AF12" s="368">
        <v>8300</v>
      </c>
      <c r="AG12" s="453">
        <f t="shared" si="19"/>
        <v>0</v>
      </c>
      <c r="AH12" s="231">
        <f t="shared" si="11"/>
        <v>32283</v>
      </c>
      <c r="AI12" s="368">
        <v>32314</v>
      </c>
      <c r="AJ12" s="453">
        <f t="shared" si="20"/>
        <v>31</v>
      </c>
      <c r="AK12" s="231">
        <f t="shared" si="12"/>
        <v>0</v>
      </c>
      <c r="AL12" s="367"/>
      <c r="AM12" s="453">
        <f t="shared" si="21"/>
        <v>0</v>
      </c>
      <c r="AN12" s="372">
        <f t="shared" si="24"/>
        <v>72</v>
      </c>
    </row>
    <row r="13" spans="1:40" ht="23.1" customHeight="1">
      <c r="A13" s="55">
        <f>Gen!A18</f>
        <v>44355</v>
      </c>
      <c r="B13" s="4"/>
      <c r="C13" s="91">
        <f t="shared" si="0"/>
        <v>256974</v>
      </c>
      <c r="D13" s="1">
        <v>257044</v>
      </c>
      <c r="E13" s="56">
        <f t="shared" si="1"/>
        <v>70</v>
      </c>
      <c r="F13" s="91">
        <f t="shared" si="2"/>
        <v>75790</v>
      </c>
      <c r="G13" s="370">
        <v>75790</v>
      </c>
      <c r="H13" s="452">
        <f t="shared" si="13"/>
        <v>0</v>
      </c>
      <c r="I13" s="91">
        <f t="shared" si="3"/>
        <v>8475</v>
      </c>
      <c r="J13" s="1">
        <v>8477</v>
      </c>
      <c r="K13" s="452">
        <f t="shared" si="26"/>
        <v>2</v>
      </c>
      <c r="L13" s="91">
        <f t="shared" si="5"/>
        <v>0</v>
      </c>
      <c r="M13" s="1"/>
      <c r="N13" s="452">
        <f t="shared" si="14"/>
        <v>0</v>
      </c>
      <c r="O13" s="91">
        <f t="shared" si="6"/>
        <v>21403</v>
      </c>
      <c r="P13" s="366">
        <v>21406</v>
      </c>
      <c r="Q13" s="452">
        <f t="shared" si="7"/>
        <v>3</v>
      </c>
      <c r="R13" s="236"/>
      <c r="S13" s="231">
        <f t="shared" si="15"/>
        <v>70200</v>
      </c>
      <c r="T13" s="367">
        <v>70287</v>
      </c>
      <c r="U13" s="453">
        <f t="shared" si="16"/>
        <v>87</v>
      </c>
      <c r="V13" s="231">
        <f>W13</f>
        <v>73031</v>
      </c>
      <c r="W13" s="367">
        <v>73031</v>
      </c>
      <c r="X13" s="453">
        <f>IF((W14-W12)&lt;0,"0",(W14-W12))</f>
        <v>0</v>
      </c>
      <c r="Y13" s="231">
        <f t="shared" si="9"/>
        <v>90520</v>
      </c>
      <c r="Z13" s="367">
        <v>90520</v>
      </c>
      <c r="AA13" s="453">
        <f t="shared" si="18"/>
        <v>0</v>
      </c>
      <c r="AB13" s="577">
        <f t="shared" si="22"/>
        <v>19890</v>
      </c>
      <c r="AC13" s="578">
        <v>19906</v>
      </c>
      <c r="AD13" s="580">
        <f t="shared" si="23"/>
        <v>16</v>
      </c>
      <c r="AE13" s="231">
        <f t="shared" si="27"/>
        <v>8300</v>
      </c>
      <c r="AF13" s="368">
        <v>8300</v>
      </c>
      <c r="AG13" s="453">
        <f t="shared" si="19"/>
        <v>0</v>
      </c>
      <c r="AH13" s="231">
        <f t="shared" si="11"/>
        <v>32314</v>
      </c>
      <c r="AI13" s="368">
        <v>32342</v>
      </c>
      <c r="AJ13" s="453">
        <f t="shared" si="20"/>
        <v>28</v>
      </c>
      <c r="AK13" s="231">
        <f t="shared" si="12"/>
        <v>0</v>
      </c>
      <c r="AL13" s="367"/>
      <c r="AM13" s="453">
        <f t="shared" si="21"/>
        <v>0</v>
      </c>
      <c r="AN13" s="372">
        <f t="shared" si="24"/>
        <v>131</v>
      </c>
    </row>
    <row r="14" spans="1:40" ht="23.1" customHeight="1">
      <c r="A14" s="55">
        <f>Gen!A19</f>
        <v>44356</v>
      </c>
      <c r="B14" s="4"/>
      <c r="C14" s="91">
        <f t="shared" si="0"/>
        <v>257044</v>
      </c>
      <c r="D14" s="1">
        <v>257108</v>
      </c>
      <c r="E14" s="56">
        <f t="shared" si="1"/>
        <v>64</v>
      </c>
      <c r="F14" s="91">
        <f t="shared" si="2"/>
        <v>75790</v>
      </c>
      <c r="G14" s="370">
        <v>75790</v>
      </c>
      <c r="H14" s="452">
        <f>IF((G14-G13)&lt;0,"0",(G14-G13))</f>
        <v>0</v>
      </c>
      <c r="I14" s="91">
        <f t="shared" si="3"/>
        <v>8477</v>
      </c>
      <c r="J14" s="1">
        <v>8479</v>
      </c>
      <c r="K14" s="452">
        <f t="shared" ref="K14:K27" si="28">IF((J14-J13)&lt;0,"0",(J14-J13))</f>
        <v>2</v>
      </c>
      <c r="L14" s="91">
        <f t="shared" si="5"/>
        <v>0</v>
      </c>
      <c r="M14" s="1"/>
      <c r="N14" s="452">
        <f t="shared" si="14"/>
        <v>0</v>
      </c>
      <c r="O14" s="91">
        <f t="shared" si="6"/>
        <v>21406</v>
      </c>
      <c r="P14" s="366">
        <v>21413</v>
      </c>
      <c r="Q14" s="452">
        <f t="shared" si="7"/>
        <v>7</v>
      </c>
      <c r="R14" s="236"/>
      <c r="S14" s="231">
        <f t="shared" si="15"/>
        <v>70287</v>
      </c>
      <c r="T14" s="367">
        <v>70369</v>
      </c>
      <c r="U14" s="453">
        <f t="shared" si="16"/>
        <v>82</v>
      </c>
      <c r="V14" s="231">
        <f>W14</f>
        <v>73031</v>
      </c>
      <c r="W14" s="367">
        <v>73031</v>
      </c>
      <c r="X14" s="453">
        <f>IF((W15-W13)&lt;0,"0",(W15-W13))</f>
        <v>0</v>
      </c>
      <c r="Y14" s="231">
        <f t="shared" si="9"/>
        <v>90520</v>
      </c>
      <c r="Z14" s="367">
        <v>90520</v>
      </c>
      <c r="AA14" s="453">
        <f>IF((Z14-Z13)&lt;0,"0",(Z14-Z13))</f>
        <v>0</v>
      </c>
      <c r="AB14" s="577">
        <f t="shared" si="22"/>
        <v>19906</v>
      </c>
      <c r="AC14" s="581">
        <v>19922</v>
      </c>
      <c r="AD14" s="580">
        <f t="shared" si="23"/>
        <v>16</v>
      </c>
      <c r="AE14" s="231">
        <f t="shared" si="27"/>
        <v>8300</v>
      </c>
      <c r="AF14" s="368">
        <v>8300</v>
      </c>
      <c r="AG14" s="453">
        <f t="shared" si="19"/>
        <v>0</v>
      </c>
      <c r="AH14" s="231">
        <f t="shared" si="11"/>
        <v>32342</v>
      </c>
      <c r="AI14" s="368">
        <v>32366</v>
      </c>
      <c r="AJ14" s="453">
        <f t="shared" si="20"/>
        <v>24</v>
      </c>
      <c r="AK14" s="231">
        <f t="shared" si="12"/>
        <v>0</v>
      </c>
      <c r="AL14" s="367"/>
      <c r="AM14" s="453">
        <f t="shared" si="21"/>
        <v>0</v>
      </c>
      <c r="AN14" s="372">
        <f t="shared" si="24"/>
        <v>122</v>
      </c>
    </row>
    <row r="15" spans="1:40" ht="23.1" customHeight="1">
      <c r="A15" s="55">
        <f>Gen!A20</f>
        <v>44357</v>
      </c>
      <c r="B15" s="4"/>
      <c r="C15" s="91">
        <f t="shared" si="0"/>
        <v>257108</v>
      </c>
      <c r="D15" s="1">
        <v>257182</v>
      </c>
      <c r="E15" s="56">
        <f t="shared" si="1"/>
        <v>74</v>
      </c>
      <c r="F15" s="91">
        <f t="shared" si="2"/>
        <v>75790</v>
      </c>
      <c r="G15" s="370">
        <v>75790</v>
      </c>
      <c r="H15" s="452">
        <f t="shared" ref="H15:H17" si="29">IF((G15-G14)&lt;0,"0",(G15-G14))</f>
        <v>0</v>
      </c>
      <c r="I15" s="91">
        <f t="shared" si="3"/>
        <v>8479</v>
      </c>
      <c r="J15" s="1">
        <v>8481</v>
      </c>
      <c r="K15" s="452">
        <f t="shared" si="28"/>
        <v>2</v>
      </c>
      <c r="L15" s="91">
        <f t="shared" si="5"/>
        <v>0</v>
      </c>
      <c r="M15" s="1"/>
      <c r="N15" s="452">
        <f t="shared" si="14"/>
        <v>0</v>
      </c>
      <c r="O15" s="91">
        <f t="shared" si="6"/>
        <v>21413</v>
      </c>
      <c r="P15" s="366">
        <v>21416</v>
      </c>
      <c r="Q15" s="452">
        <f t="shared" si="7"/>
        <v>3</v>
      </c>
      <c r="R15" s="236"/>
      <c r="S15" s="231">
        <f t="shared" si="15"/>
        <v>70369</v>
      </c>
      <c r="T15" s="367">
        <v>70462</v>
      </c>
      <c r="U15" s="453">
        <f t="shared" si="16"/>
        <v>93</v>
      </c>
      <c r="V15" s="231">
        <f t="shared" si="8"/>
        <v>73031</v>
      </c>
      <c r="W15" s="367">
        <v>73031</v>
      </c>
      <c r="X15" s="453">
        <f t="shared" si="17"/>
        <v>0</v>
      </c>
      <c r="Y15" s="231">
        <f t="shared" si="9"/>
        <v>90520</v>
      </c>
      <c r="Z15" s="367">
        <v>90520</v>
      </c>
      <c r="AA15" s="453">
        <f t="shared" si="18"/>
        <v>0</v>
      </c>
      <c r="AB15" s="577">
        <f t="shared" si="22"/>
        <v>19922</v>
      </c>
      <c r="AC15" s="581">
        <v>19938</v>
      </c>
      <c r="AD15" s="580">
        <f t="shared" si="23"/>
        <v>16</v>
      </c>
      <c r="AE15" s="231">
        <f t="shared" si="27"/>
        <v>8300</v>
      </c>
      <c r="AF15" s="368">
        <v>8300</v>
      </c>
      <c r="AG15" s="453">
        <f t="shared" si="19"/>
        <v>0</v>
      </c>
      <c r="AH15" s="231">
        <f t="shared" si="11"/>
        <v>32366</v>
      </c>
      <c r="AI15" s="368">
        <v>32394</v>
      </c>
      <c r="AJ15" s="453">
        <f t="shared" si="20"/>
        <v>28</v>
      </c>
      <c r="AK15" s="231">
        <f t="shared" si="12"/>
        <v>0</v>
      </c>
      <c r="AL15" s="367"/>
      <c r="AM15" s="453">
        <f t="shared" si="21"/>
        <v>0</v>
      </c>
      <c r="AN15" s="372">
        <f t="shared" si="24"/>
        <v>137</v>
      </c>
    </row>
    <row r="16" spans="1:40" ht="23.1" customHeight="1">
      <c r="A16" s="55">
        <f>Gen!A21</f>
        <v>44358</v>
      </c>
      <c r="B16" s="4"/>
      <c r="C16" s="91">
        <f t="shared" si="0"/>
        <v>257182</v>
      </c>
      <c r="D16" s="1">
        <v>257283</v>
      </c>
      <c r="E16" s="56">
        <f>IF((D16-D15)&lt;0,"0",(D16-D15))</f>
        <v>101</v>
      </c>
      <c r="F16" s="91" t="e">
        <f>#REF!</f>
        <v>#REF!</v>
      </c>
      <c r="G16" s="370">
        <v>75790</v>
      </c>
      <c r="H16" s="452">
        <f t="shared" si="29"/>
        <v>0</v>
      </c>
      <c r="I16" s="91">
        <f t="shared" si="3"/>
        <v>8481</v>
      </c>
      <c r="J16" s="1">
        <v>8482</v>
      </c>
      <c r="K16" s="452">
        <f t="shared" si="28"/>
        <v>1</v>
      </c>
      <c r="L16" s="91">
        <f t="shared" si="5"/>
        <v>0</v>
      </c>
      <c r="M16" s="1"/>
      <c r="N16" s="452">
        <f t="shared" si="14"/>
        <v>0</v>
      </c>
      <c r="O16" s="91">
        <f t="shared" si="6"/>
        <v>21416</v>
      </c>
      <c r="P16" s="366">
        <v>21420</v>
      </c>
      <c r="Q16" s="452">
        <f t="shared" si="7"/>
        <v>4</v>
      </c>
      <c r="R16" s="236"/>
      <c r="S16" s="231">
        <f t="shared" si="15"/>
        <v>70462</v>
      </c>
      <c r="T16" s="367">
        <v>70532</v>
      </c>
      <c r="U16" s="453">
        <f t="shared" si="16"/>
        <v>70</v>
      </c>
      <c r="V16" s="231">
        <f t="shared" si="8"/>
        <v>73031</v>
      </c>
      <c r="W16" s="367">
        <v>73031</v>
      </c>
      <c r="X16" s="453">
        <f t="shared" si="17"/>
        <v>0</v>
      </c>
      <c r="Y16" s="231">
        <f t="shared" si="9"/>
        <v>90520</v>
      </c>
      <c r="Z16" s="367">
        <v>90537</v>
      </c>
      <c r="AA16" s="453">
        <f t="shared" si="18"/>
        <v>17</v>
      </c>
      <c r="AB16" s="577">
        <f t="shared" si="22"/>
        <v>19938</v>
      </c>
      <c r="AC16" s="581">
        <v>19954</v>
      </c>
      <c r="AD16" s="580">
        <f t="shared" si="23"/>
        <v>16</v>
      </c>
      <c r="AE16" s="231">
        <f t="shared" si="27"/>
        <v>8300</v>
      </c>
      <c r="AF16" s="368">
        <v>8300</v>
      </c>
      <c r="AG16" s="453">
        <f t="shared" si="19"/>
        <v>0</v>
      </c>
      <c r="AH16" s="231">
        <f t="shared" si="11"/>
        <v>32394</v>
      </c>
      <c r="AI16" s="368">
        <v>32437</v>
      </c>
      <c r="AJ16" s="453">
        <f t="shared" si="20"/>
        <v>43</v>
      </c>
      <c r="AK16" s="231">
        <f t="shared" si="12"/>
        <v>0</v>
      </c>
      <c r="AL16" s="367"/>
      <c r="AM16" s="453">
        <f t="shared" si="21"/>
        <v>0</v>
      </c>
      <c r="AN16" s="372">
        <f>U16+X16+AA16+AD16+AG16+AJ16+AM16</f>
        <v>146</v>
      </c>
    </row>
    <row r="17" spans="1:40" ht="23.1" customHeight="1">
      <c r="A17" s="55">
        <f>Gen!A22</f>
        <v>44359</v>
      </c>
      <c r="B17" s="4"/>
      <c r="C17" s="91">
        <f t="shared" si="0"/>
        <v>257283</v>
      </c>
      <c r="D17" s="1">
        <v>257370</v>
      </c>
      <c r="E17" s="452">
        <f>IF((D17-D16)&lt;0,"0",(D17-D16))</f>
        <v>87</v>
      </c>
      <c r="F17" s="91">
        <f>G15</f>
        <v>75790</v>
      </c>
      <c r="G17" s="370">
        <v>75790</v>
      </c>
      <c r="H17" s="452">
        <f t="shared" si="29"/>
        <v>0</v>
      </c>
      <c r="I17" s="91">
        <f t="shared" si="3"/>
        <v>8482</v>
      </c>
      <c r="J17" s="1">
        <v>8484</v>
      </c>
      <c r="K17" s="452">
        <f t="shared" si="28"/>
        <v>2</v>
      </c>
      <c r="L17" s="91">
        <f t="shared" si="5"/>
        <v>0</v>
      </c>
      <c r="M17" s="1"/>
      <c r="N17" s="452">
        <f t="shared" si="14"/>
        <v>0</v>
      </c>
      <c r="O17" s="91">
        <f t="shared" si="6"/>
        <v>21420</v>
      </c>
      <c r="P17" s="366">
        <v>21426</v>
      </c>
      <c r="Q17" s="452">
        <f t="shared" si="7"/>
        <v>6</v>
      </c>
      <c r="R17" s="236"/>
      <c r="S17" s="231">
        <f t="shared" si="15"/>
        <v>70532</v>
      </c>
      <c r="T17" s="367">
        <v>70602</v>
      </c>
      <c r="U17" s="453">
        <f>IF((T17-T16)&lt;0,"0",(T17-T16))</f>
        <v>70</v>
      </c>
      <c r="V17" s="231">
        <f t="shared" si="8"/>
        <v>73031</v>
      </c>
      <c r="W17" s="367">
        <v>73031</v>
      </c>
      <c r="X17" s="453">
        <f>IF((W17-W16)&lt;0,"0",(W17-W16))</f>
        <v>0</v>
      </c>
      <c r="Y17" s="231">
        <f t="shared" si="9"/>
        <v>90537</v>
      </c>
      <c r="Z17" s="367">
        <v>90554</v>
      </c>
      <c r="AA17" s="453">
        <f t="shared" si="18"/>
        <v>17</v>
      </c>
      <c r="AB17" s="577">
        <f t="shared" si="22"/>
        <v>19954</v>
      </c>
      <c r="AC17" s="581">
        <v>19971</v>
      </c>
      <c r="AD17" s="580">
        <f t="shared" si="23"/>
        <v>17</v>
      </c>
      <c r="AE17" s="231">
        <f t="shared" si="27"/>
        <v>8300</v>
      </c>
      <c r="AF17" s="368">
        <v>8300</v>
      </c>
      <c r="AG17" s="453">
        <f t="shared" si="19"/>
        <v>0</v>
      </c>
      <c r="AH17" s="231">
        <f t="shared" si="11"/>
        <v>32437</v>
      </c>
      <c r="AI17" s="368">
        <v>32474</v>
      </c>
      <c r="AJ17" s="453">
        <f t="shared" si="20"/>
        <v>37</v>
      </c>
      <c r="AK17" s="231">
        <f t="shared" si="12"/>
        <v>0</v>
      </c>
      <c r="AL17" s="367"/>
      <c r="AM17" s="453">
        <f>IF((AL17-AL16)&lt;0,"0",(AL17-AL16))</f>
        <v>0</v>
      </c>
      <c r="AN17" s="372">
        <f t="shared" si="24"/>
        <v>141</v>
      </c>
    </row>
    <row r="18" spans="1:40" ht="23.1" customHeight="1">
      <c r="A18" s="55">
        <f>Gen!A23</f>
        <v>44360</v>
      </c>
      <c r="B18" s="4"/>
      <c r="C18" s="91">
        <f t="shared" si="0"/>
        <v>257370</v>
      </c>
      <c r="D18" s="1">
        <v>257441</v>
      </c>
      <c r="E18" s="452">
        <f t="shared" ref="E18:E37" si="30">IF((D18-D17)&lt;0,"0",(D18-D17))</f>
        <v>71</v>
      </c>
      <c r="F18" s="91">
        <f t="shared" si="2"/>
        <v>75790</v>
      </c>
      <c r="G18" s="370">
        <v>75790</v>
      </c>
      <c r="H18" s="452">
        <f t="shared" si="13"/>
        <v>0</v>
      </c>
      <c r="I18" s="91"/>
      <c r="J18" s="1">
        <v>8486</v>
      </c>
      <c r="K18" s="452">
        <f t="shared" si="28"/>
        <v>2</v>
      </c>
      <c r="L18" s="91">
        <f t="shared" si="5"/>
        <v>0</v>
      </c>
      <c r="M18" s="1"/>
      <c r="N18" s="452">
        <f t="shared" si="14"/>
        <v>0</v>
      </c>
      <c r="O18" s="91">
        <f t="shared" si="6"/>
        <v>21426</v>
      </c>
      <c r="P18" s="366">
        <v>21432</v>
      </c>
      <c r="Q18" s="452">
        <f t="shared" si="7"/>
        <v>6</v>
      </c>
      <c r="R18" s="236"/>
      <c r="S18" s="231">
        <f t="shared" si="15"/>
        <v>70602</v>
      </c>
      <c r="T18" s="367">
        <v>70700</v>
      </c>
      <c r="U18" s="453">
        <f>IF((T18-T17)&lt;0,"0",(T18-T17))</f>
        <v>98</v>
      </c>
      <c r="V18" s="231">
        <f t="shared" si="8"/>
        <v>73031</v>
      </c>
      <c r="W18" s="367">
        <v>73031</v>
      </c>
      <c r="X18" s="453">
        <f t="shared" si="17"/>
        <v>0</v>
      </c>
      <c r="Y18" s="231">
        <f t="shared" si="9"/>
        <v>90554</v>
      </c>
      <c r="Z18" s="367">
        <v>90554</v>
      </c>
      <c r="AA18" s="453">
        <f t="shared" si="18"/>
        <v>0</v>
      </c>
      <c r="AB18" s="577">
        <f t="shared" si="22"/>
        <v>19971</v>
      </c>
      <c r="AC18" s="581">
        <v>19985</v>
      </c>
      <c r="AD18" s="580">
        <f t="shared" si="23"/>
        <v>14</v>
      </c>
      <c r="AE18" s="231">
        <f t="shared" si="27"/>
        <v>8300</v>
      </c>
      <c r="AF18" s="368">
        <v>8300</v>
      </c>
      <c r="AG18" s="453">
        <f t="shared" si="19"/>
        <v>0</v>
      </c>
      <c r="AH18" s="231">
        <f>AI17</f>
        <v>32474</v>
      </c>
      <c r="AI18" s="368">
        <v>32498</v>
      </c>
      <c r="AJ18" s="453">
        <f t="shared" si="20"/>
        <v>24</v>
      </c>
      <c r="AK18" s="231">
        <f t="shared" si="12"/>
        <v>0</v>
      </c>
      <c r="AL18" s="367"/>
      <c r="AM18" s="453">
        <f t="shared" ref="AM18:AM26" si="31">IF((AL18-AL17)&lt;0,"0",(AL18-AL17))</f>
        <v>0</v>
      </c>
      <c r="AN18" s="372">
        <f t="shared" si="24"/>
        <v>136</v>
      </c>
    </row>
    <row r="19" spans="1:40" ht="23.1" customHeight="1">
      <c r="A19" s="55">
        <f>Gen!A24</f>
        <v>44361</v>
      </c>
      <c r="B19" s="4"/>
      <c r="C19" s="91">
        <f t="shared" si="0"/>
        <v>257441</v>
      </c>
      <c r="D19" s="1">
        <v>257648</v>
      </c>
      <c r="E19" s="452">
        <f t="shared" si="30"/>
        <v>207</v>
      </c>
      <c r="F19" s="91">
        <f t="shared" si="2"/>
        <v>75790</v>
      </c>
      <c r="G19" s="370">
        <v>75790</v>
      </c>
      <c r="H19" s="452">
        <f t="shared" si="13"/>
        <v>0</v>
      </c>
      <c r="I19" s="91">
        <f t="shared" si="3"/>
        <v>8486</v>
      </c>
      <c r="J19" s="1">
        <v>8488</v>
      </c>
      <c r="K19" s="452">
        <f t="shared" si="28"/>
        <v>2</v>
      </c>
      <c r="L19" s="91">
        <f t="shared" si="5"/>
        <v>0</v>
      </c>
      <c r="M19" s="1"/>
      <c r="N19" s="452">
        <f t="shared" si="14"/>
        <v>0</v>
      </c>
      <c r="O19" s="91">
        <f t="shared" si="6"/>
        <v>21432</v>
      </c>
      <c r="P19" s="366">
        <v>21438</v>
      </c>
      <c r="Q19" s="452">
        <f t="shared" si="7"/>
        <v>6</v>
      </c>
      <c r="R19" s="236"/>
      <c r="S19" s="231">
        <f t="shared" si="15"/>
        <v>70700</v>
      </c>
      <c r="T19" s="367">
        <v>70779</v>
      </c>
      <c r="U19" s="453">
        <f t="shared" ref="U19:U22" si="32">IF((T19-T18)&lt;0,"0",(T19-T18))</f>
        <v>79</v>
      </c>
      <c r="V19" s="231">
        <f t="shared" si="8"/>
        <v>73031</v>
      </c>
      <c r="W19" s="367">
        <v>73031</v>
      </c>
      <c r="X19" s="453">
        <f t="shared" si="17"/>
        <v>0</v>
      </c>
      <c r="Y19" s="231">
        <f t="shared" si="9"/>
        <v>90554</v>
      </c>
      <c r="Z19" s="367">
        <v>90554</v>
      </c>
      <c r="AA19" s="453">
        <f t="shared" si="18"/>
        <v>0</v>
      </c>
      <c r="AB19" s="577">
        <f t="shared" si="22"/>
        <v>19985</v>
      </c>
      <c r="AC19" s="581">
        <v>20002</v>
      </c>
      <c r="AD19" s="580">
        <f t="shared" si="23"/>
        <v>17</v>
      </c>
      <c r="AE19" s="231">
        <f t="shared" si="27"/>
        <v>8300</v>
      </c>
      <c r="AF19" s="368">
        <v>8300</v>
      </c>
      <c r="AG19" s="453">
        <f t="shared" si="19"/>
        <v>0</v>
      </c>
      <c r="AH19" s="231">
        <f>AI18</f>
        <v>32498</v>
      </c>
      <c r="AI19" s="368">
        <v>32531</v>
      </c>
      <c r="AJ19" s="453">
        <f t="shared" si="20"/>
        <v>33</v>
      </c>
      <c r="AK19" s="231">
        <f t="shared" si="12"/>
        <v>0</v>
      </c>
      <c r="AL19" s="367"/>
      <c r="AM19" s="453">
        <f t="shared" si="31"/>
        <v>0</v>
      </c>
      <c r="AN19" s="372">
        <f t="shared" si="24"/>
        <v>129</v>
      </c>
    </row>
    <row r="20" spans="1:40" ht="23.1" customHeight="1">
      <c r="A20" s="55">
        <f>Gen!A25</f>
        <v>44362</v>
      </c>
      <c r="B20" s="4"/>
      <c r="C20" s="91">
        <f t="shared" si="0"/>
        <v>257648</v>
      </c>
      <c r="D20" s="1">
        <v>257870</v>
      </c>
      <c r="E20" s="452">
        <f t="shared" si="30"/>
        <v>222</v>
      </c>
      <c r="F20" s="91">
        <f t="shared" si="2"/>
        <v>75790</v>
      </c>
      <c r="G20" s="370">
        <v>75790</v>
      </c>
      <c r="H20" s="452">
        <f t="shared" si="13"/>
        <v>0</v>
      </c>
      <c r="I20" s="91">
        <f t="shared" si="3"/>
        <v>8488</v>
      </c>
      <c r="J20" s="1">
        <v>8490</v>
      </c>
      <c r="K20" s="452">
        <f t="shared" si="28"/>
        <v>2</v>
      </c>
      <c r="L20" s="91">
        <f t="shared" si="5"/>
        <v>0</v>
      </c>
      <c r="M20" s="1"/>
      <c r="N20" s="452">
        <f t="shared" si="14"/>
        <v>0</v>
      </c>
      <c r="O20" s="91">
        <f t="shared" si="6"/>
        <v>21438</v>
      </c>
      <c r="P20" s="366">
        <v>21443</v>
      </c>
      <c r="Q20" s="452">
        <f t="shared" si="7"/>
        <v>5</v>
      </c>
      <c r="R20" s="236"/>
      <c r="S20" s="231">
        <f>T20</f>
        <v>70862</v>
      </c>
      <c r="T20" s="367">
        <v>70862</v>
      </c>
      <c r="U20" s="453">
        <f t="shared" si="32"/>
        <v>83</v>
      </c>
      <c r="V20" s="231">
        <f t="shared" si="8"/>
        <v>73031</v>
      </c>
      <c r="W20" s="367">
        <v>73031</v>
      </c>
      <c r="X20" s="453">
        <f t="shared" si="17"/>
        <v>0</v>
      </c>
      <c r="Y20" s="231">
        <f t="shared" si="9"/>
        <v>90554</v>
      </c>
      <c r="Z20" s="367">
        <v>90554</v>
      </c>
      <c r="AA20" s="453">
        <f>IF((Z20-Z19)&lt;0,"0",(Z20-Z19))</f>
        <v>0</v>
      </c>
      <c r="AB20" s="577">
        <f t="shared" si="22"/>
        <v>20002</v>
      </c>
      <c r="AC20" s="581">
        <v>20016</v>
      </c>
      <c r="AD20" s="580">
        <f t="shared" si="23"/>
        <v>14</v>
      </c>
      <c r="AE20" s="231">
        <f t="shared" si="27"/>
        <v>8300</v>
      </c>
      <c r="AF20" s="368">
        <v>8300</v>
      </c>
      <c r="AG20" s="453">
        <f t="shared" si="19"/>
        <v>0</v>
      </c>
      <c r="AH20" s="231">
        <f t="shared" si="11"/>
        <v>32531</v>
      </c>
      <c r="AI20" s="368">
        <v>32561</v>
      </c>
      <c r="AJ20" s="453">
        <f t="shared" si="20"/>
        <v>30</v>
      </c>
      <c r="AK20" s="231">
        <f t="shared" si="12"/>
        <v>0</v>
      </c>
      <c r="AL20" s="367"/>
      <c r="AM20" s="453">
        <f t="shared" si="31"/>
        <v>0</v>
      </c>
      <c r="AN20" s="372">
        <v>56</v>
      </c>
    </row>
    <row r="21" spans="1:40" ht="23.1" customHeight="1">
      <c r="A21" s="55">
        <f>Gen!A26</f>
        <v>44363</v>
      </c>
      <c r="B21" s="4"/>
      <c r="C21" s="91">
        <f t="shared" si="0"/>
        <v>257870</v>
      </c>
      <c r="D21" s="1">
        <v>258086</v>
      </c>
      <c r="E21" s="452">
        <f t="shared" si="30"/>
        <v>216</v>
      </c>
      <c r="F21" s="91">
        <f t="shared" si="2"/>
        <v>75790</v>
      </c>
      <c r="G21" s="370">
        <v>75790</v>
      </c>
      <c r="H21" s="452">
        <f t="shared" si="13"/>
        <v>0</v>
      </c>
      <c r="I21" s="91">
        <f t="shared" si="3"/>
        <v>8490</v>
      </c>
      <c r="J21" s="1">
        <v>8493</v>
      </c>
      <c r="K21" s="452">
        <f t="shared" si="28"/>
        <v>3</v>
      </c>
      <c r="L21" s="91">
        <f t="shared" si="5"/>
        <v>0</v>
      </c>
      <c r="M21" s="1"/>
      <c r="N21" s="452">
        <f t="shared" si="14"/>
        <v>0</v>
      </c>
      <c r="O21" s="91">
        <f t="shared" si="6"/>
        <v>21443</v>
      </c>
      <c r="P21" s="366">
        <v>21447</v>
      </c>
      <c r="Q21" s="452">
        <f t="shared" si="7"/>
        <v>4</v>
      </c>
      <c r="R21" s="236"/>
      <c r="S21" s="231">
        <f t="shared" ref="S21:S22" si="33">T21</f>
        <v>70945</v>
      </c>
      <c r="T21" s="367">
        <v>70945</v>
      </c>
      <c r="U21" s="453">
        <f t="shared" si="32"/>
        <v>83</v>
      </c>
      <c r="V21" s="231">
        <f t="shared" ref="V21:V35" si="34">W20</f>
        <v>73031</v>
      </c>
      <c r="W21" s="367">
        <v>73031</v>
      </c>
      <c r="X21" s="453">
        <f t="shared" si="17"/>
        <v>0</v>
      </c>
      <c r="Y21" s="231">
        <f t="shared" si="9"/>
        <v>90554</v>
      </c>
      <c r="Z21" s="367">
        <v>90554</v>
      </c>
      <c r="AA21" s="453">
        <f t="shared" si="18"/>
        <v>0</v>
      </c>
      <c r="AB21" s="577">
        <f t="shared" si="22"/>
        <v>20016</v>
      </c>
      <c r="AC21" s="581">
        <v>20033</v>
      </c>
      <c r="AD21" s="580">
        <f t="shared" si="23"/>
        <v>17</v>
      </c>
      <c r="AE21" s="231">
        <f t="shared" si="10"/>
        <v>8300</v>
      </c>
      <c r="AF21" s="368">
        <v>8300</v>
      </c>
      <c r="AG21" s="453">
        <f t="shared" si="19"/>
        <v>0</v>
      </c>
      <c r="AH21" s="231">
        <f t="shared" si="11"/>
        <v>32561</v>
      </c>
      <c r="AI21" s="368">
        <v>32591</v>
      </c>
      <c r="AJ21" s="453">
        <f t="shared" si="20"/>
        <v>30</v>
      </c>
      <c r="AK21" s="231">
        <f t="shared" si="12"/>
        <v>0</v>
      </c>
      <c r="AL21" s="367"/>
      <c r="AM21" s="453">
        <f t="shared" si="31"/>
        <v>0</v>
      </c>
      <c r="AN21" s="372">
        <f t="shared" si="24"/>
        <v>130</v>
      </c>
    </row>
    <row r="22" spans="1:40" ht="23.1" customHeight="1">
      <c r="A22" s="55">
        <f>Gen!A27</f>
        <v>44364</v>
      </c>
      <c r="B22" s="4"/>
      <c r="C22" s="91">
        <f t="shared" si="0"/>
        <v>258086</v>
      </c>
      <c r="D22" s="1">
        <v>258165</v>
      </c>
      <c r="E22" s="452">
        <f t="shared" si="30"/>
        <v>79</v>
      </c>
      <c r="F22" s="91">
        <f t="shared" si="2"/>
        <v>75790</v>
      </c>
      <c r="G22" s="370">
        <v>75790</v>
      </c>
      <c r="H22" s="452">
        <f t="shared" si="13"/>
        <v>0</v>
      </c>
      <c r="I22" s="91">
        <f t="shared" si="3"/>
        <v>8493</v>
      </c>
      <c r="J22" s="1">
        <v>8495</v>
      </c>
      <c r="K22" s="452">
        <f t="shared" si="28"/>
        <v>2</v>
      </c>
      <c r="L22" s="91">
        <f t="shared" si="5"/>
        <v>0</v>
      </c>
      <c r="M22" s="1"/>
      <c r="N22" s="452">
        <f t="shared" si="14"/>
        <v>0</v>
      </c>
      <c r="O22" s="91">
        <f>P21</f>
        <v>21447</v>
      </c>
      <c r="P22" s="366">
        <v>21455</v>
      </c>
      <c r="Q22" s="452">
        <f t="shared" si="7"/>
        <v>8</v>
      </c>
      <c r="R22" s="236"/>
      <c r="S22" s="231">
        <f t="shared" si="33"/>
        <v>71027</v>
      </c>
      <c r="T22" s="367">
        <v>71027</v>
      </c>
      <c r="U22" s="453">
        <f t="shared" si="32"/>
        <v>82</v>
      </c>
      <c r="V22" s="231">
        <f t="shared" si="34"/>
        <v>73031</v>
      </c>
      <c r="W22" s="367">
        <v>73031</v>
      </c>
      <c r="X22" s="453">
        <f t="shared" si="17"/>
        <v>0</v>
      </c>
      <c r="Y22" s="231">
        <f t="shared" si="9"/>
        <v>90554</v>
      </c>
      <c r="Z22" s="367">
        <v>90554</v>
      </c>
      <c r="AA22" s="453">
        <f t="shared" si="18"/>
        <v>0</v>
      </c>
      <c r="AB22" s="577">
        <f t="shared" si="22"/>
        <v>20033</v>
      </c>
      <c r="AC22" s="581">
        <v>20048</v>
      </c>
      <c r="AD22" s="580">
        <f t="shared" si="23"/>
        <v>15</v>
      </c>
      <c r="AE22" s="231">
        <f t="shared" si="10"/>
        <v>8300</v>
      </c>
      <c r="AF22" s="368">
        <v>8300</v>
      </c>
      <c r="AG22" s="453">
        <f t="shared" si="19"/>
        <v>0</v>
      </c>
      <c r="AH22" s="231">
        <f t="shared" si="11"/>
        <v>32591</v>
      </c>
      <c r="AI22" s="368">
        <v>32621</v>
      </c>
      <c r="AJ22" s="453">
        <f t="shared" si="20"/>
        <v>30</v>
      </c>
      <c r="AK22" s="231">
        <f t="shared" si="12"/>
        <v>0</v>
      </c>
      <c r="AL22" s="367"/>
      <c r="AM22" s="453">
        <f t="shared" si="31"/>
        <v>0</v>
      </c>
      <c r="AN22" s="372">
        <f>U22+X22+AA22+AD22+AG22+AJ22+AM22</f>
        <v>127</v>
      </c>
    </row>
    <row r="23" spans="1:40" ht="23.1" customHeight="1">
      <c r="A23" s="55">
        <f>Gen!A28</f>
        <v>44365</v>
      </c>
      <c r="B23" s="4"/>
      <c r="C23" s="91">
        <f t="shared" si="0"/>
        <v>258165</v>
      </c>
      <c r="D23" s="1">
        <v>258242</v>
      </c>
      <c r="E23" s="452">
        <f t="shared" si="30"/>
        <v>77</v>
      </c>
      <c r="F23" s="91">
        <f t="shared" si="2"/>
        <v>75790</v>
      </c>
      <c r="G23" s="370">
        <v>75790</v>
      </c>
      <c r="H23" s="452">
        <f t="shared" si="13"/>
        <v>0</v>
      </c>
      <c r="I23" s="91">
        <f t="shared" si="3"/>
        <v>8495</v>
      </c>
      <c r="J23" s="1">
        <v>8497</v>
      </c>
      <c r="K23" s="452">
        <f t="shared" si="28"/>
        <v>2</v>
      </c>
      <c r="L23" s="91">
        <f t="shared" si="5"/>
        <v>0</v>
      </c>
      <c r="M23" s="1"/>
      <c r="N23" s="452">
        <f t="shared" si="14"/>
        <v>0</v>
      </c>
      <c r="O23" s="91">
        <f t="shared" si="6"/>
        <v>21455</v>
      </c>
      <c r="P23" s="366">
        <v>21464</v>
      </c>
      <c r="Q23" s="452">
        <f t="shared" si="7"/>
        <v>9</v>
      </c>
      <c r="R23" s="236"/>
      <c r="S23" s="231">
        <f t="shared" si="15"/>
        <v>71027</v>
      </c>
      <c r="T23" s="367">
        <v>71108</v>
      </c>
      <c r="U23" s="453">
        <f t="shared" si="16"/>
        <v>81</v>
      </c>
      <c r="V23" s="231" t="e">
        <f>#REF!</f>
        <v>#REF!</v>
      </c>
      <c r="W23" s="367">
        <v>73031</v>
      </c>
      <c r="X23" s="453">
        <f t="shared" si="17"/>
        <v>0</v>
      </c>
      <c r="Y23" s="231">
        <f t="shared" si="9"/>
        <v>90554</v>
      </c>
      <c r="Z23" s="367">
        <v>90574</v>
      </c>
      <c r="AA23" s="453">
        <f t="shared" si="18"/>
        <v>20</v>
      </c>
      <c r="AB23" s="577">
        <f t="shared" si="22"/>
        <v>20048</v>
      </c>
      <c r="AC23" s="578">
        <v>20066</v>
      </c>
      <c r="AD23" s="580">
        <f t="shared" si="23"/>
        <v>18</v>
      </c>
      <c r="AE23" s="231">
        <f t="shared" si="10"/>
        <v>8300</v>
      </c>
      <c r="AF23" s="368">
        <v>8305</v>
      </c>
      <c r="AG23" s="453">
        <f t="shared" si="19"/>
        <v>5</v>
      </c>
      <c r="AH23" s="231">
        <f t="shared" si="11"/>
        <v>32621</v>
      </c>
      <c r="AI23" s="368">
        <v>32655</v>
      </c>
      <c r="AJ23" s="453">
        <f t="shared" si="20"/>
        <v>34</v>
      </c>
      <c r="AK23" s="231">
        <f t="shared" si="12"/>
        <v>0</v>
      </c>
      <c r="AL23" s="367"/>
      <c r="AM23" s="453">
        <f t="shared" si="31"/>
        <v>0</v>
      </c>
      <c r="AN23" s="372">
        <f t="shared" si="24"/>
        <v>158</v>
      </c>
    </row>
    <row r="24" spans="1:40" ht="23.1" customHeight="1">
      <c r="A24" s="55">
        <f>Gen!A29</f>
        <v>44366</v>
      </c>
      <c r="B24" s="4"/>
      <c r="C24" s="91">
        <f t="shared" si="0"/>
        <v>258242</v>
      </c>
      <c r="D24" s="1">
        <v>258322</v>
      </c>
      <c r="E24" s="452">
        <f t="shared" si="30"/>
        <v>80</v>
      </c>
      <c r="F24" s="91">
        <f t="shared" si="2"/>
        <v>75790</v>
      </c>
      <c r="G24" s="370">
        <v>75790</v>
      </c>
      <c r="H24" s="452">
        <f t="shared" si="13"/>
        <v>0</v>
      </c>
      <c r="I24" s="91">
        <f t="shared" si="3"/>
        <v>8497</v>
      </c>
      <c r="J24" s="1">
        <v>8498</v>
      </c>
      <c r="K24" s="452">
        <f t="shared" si="28"/>
        <v>1</v>
      </c>
      <c r="L24" s="91">
        <f t="shared" si="5"/>
        <v>0</v>
      </c>
      <c r="M24" s="1"/>
      <c r="N24" s="452">
        <f t="shared" si="14"/>
        <v>0</v>
      </c>
      <c r="O24" s="91">
        <f t="shared" si="6"/>
        <v>21464</v>
      </c>
      <c r="P24" s="366">
        <v>21480</v>
      </c>
      <c r="Q24" s="452">
        <f t="shared" si="7"/>
        <v>16</v>
      </c>
      <c r="R24" s="236"/>
      <c r="S24" s="231">
        <f t="shared" si="15"/>
        <v>71108</v>
      </c>
      <c r="T24" s="367">
        <v>71190</v>
      </c>
      <c r="U24" s="453">
        <f t="shared" si="16"/>
        <v>82</v>
      </c>
      <c r="V24" s="231">
        <f>W22</f>
        <v>73031</v>
      </c>
      <c r="W24" s="367">
        <v>73031</v>
      </c>
      <c r="X24" s="453">
        <f>IF((W24-W22)&lt;0,"0",(W24-W22))</f>
        <v>0</v>
      </c>
      <c r="Y24" s="231">
        <f t="shared" si="9"/>
        <v>90574</v>
      </c>
      <c r="Z24" s="367">
        <v>90611</v>
      </c>
      <c r="AA24" s="453">
        <f t="shared" si="18"/>
        <v>37</v>
      </c>
      <c r="AB24" s="577">
        <f t="shared" si="22"/>
        <v>20066</v>
      </c>
      <c r="AC24" s="578">
        <v>20082</v>
      </c>
      <c r="AD24" s="580">
        <f t="shared" si="23"/>
        <v>16</v>
      </c>
      <c r="AE24" s="231">
        <f t="shared" si="10"/>
        <v>8305</v>
      </c>
      <c r="AF24" s="368">
        <v>8305</v>
      </c>
      <c r="AG24" s="453">
        <f t="shared" si="19"/>
        <v>0</v>
      </c>
      <c r="AH24" s="231">
        <f t="shared" si="11"/>
        <v>32655</v>
      </c>
      <c r="AI24" s="368">
        <v>32686</v>
      </c>
      <c r="AJ24" s="453">
        <f t="shared" si="20"/>
        <v>31</v>
      </c>
      <c r="AK24" s="231">
        <f t="shared" si="12"/>
        <v>0</v>
      </c>
      <c r="AL24" s="367"/>
      <c r="AM24" s="453">
        <f t="shared" si="31"/>
        <v>0</v>
      </c>
      <c r="AN24" s="372">
        <f t="shared" si="24"/>
        <v>166</v>
      </c>
    </row>
    <row r="25" spans="1:40" ht="23.1" customHeight="1">
      <c r="A25" s="55">
        <f>Gen!A30</f>
        <v>44367</v>
      </c>
      <c r="B25" s="4"/>
      <c r="C25" s="91">
        <f>D24</f>
        <v>258322</v>
      </c>
      <c r="D25" s="1">
        <v>258387</v>
      </c>
      <c r="E25" s="452">
        <f t="shared" si="30"/>
        <v>65</v>
      </c>
      <c r="F25" s="91">
        <f t="shared" si="2"/>
        <v>75790</v>
      </c>
      <c r="G25" s="370">
        <v>75790</v>
      </c>
      <c r="H25" s="452" t="str">
        <f>IF((G26-G24)&lt;0,"0",(G26-G24))</f>
        <v>0</v>
      </c>
      <c r="I25" s="91">
        <f t="shared" ref="I25:I37" si="35">J24</f>
        <v>8498</v>
      </c>
      <c r="J25" s="1">
        <v>8500</v>
      </c>
      <c r="K25" s="452">
        <f t="shared" si="28"/>
        <v>2</v>
      </c>
      <c r="L25" s="91">
        <f t="shared" ref="L25:L37" si="36">M24</f>
        <v>0</v>
      </c>
      <c r="M25" s="1"/>
      <c r="N25" s="452">
        <f t="shared" ref="N25:N37" si="37">IF((M25-M24)&lt;0,"0",(M25-M24))</f>
        <v>0</v>
      </c>
      <c r="O25" s="91">
        <f t="shared" si="6"/>
        <v>21480</v>
      </c>
      <c r="P25" s="366">
        <v>21488</v>
      </c>
      <c r="Q25" s="452">
        <f t="shared" si="7"/>
        <v>8</v>
      </c>
      <c r="R25" s="236"/>
      <c r="S25" s="231">
        <f t="shared" ref="S25:S37" si="38">T24</f>
        <v>71190</v>
      </c>
      <c r="T25" s="367">
        <v>71270</v>
      </c>
      <c r="U25" s="453">
        <f t="shared" ref="U25:U37" si="39">IF((T25-T24)&lt;0,"0",(T25-T24))</f>
        <v>80</v>
      </c>
      <c r="V25" s="231">
        <f t="shared" si="34"/>
        <v>73031</v>
      </c>
      <c r="W25" s="367">
        <v>73031</v>
      </c>
      <c r="X25" s="453">
        <f t="shared" si="17"/>
        <v>0</v>
      </c>
      <c r="Y25" s="231">
        <f t="shared" si="9"/>
        <v>90611</v>
      </c>
      <c r="Z25" s="367">
        <v>90647</v>
      </c>
      <c r="AA25" s="453">
        <f t="shared" si="18"/>
        <v>36</v>
      </c>
      <c r="AB25" s="577">
        <f t="shared" si="22"/>
        <v>20082</v>
      </c>
      <c r="AC25" s="578">
        <v>20098</v>
      </c>
      <c r="AD25" s="580">
        <f t="shared" si="23"/>
        <v>16</v>
      </c>
      <c r="AE25" s="231">
        <f t="shared" si="10"/>
        <v>8305</v>
      </c>
      <c r="AF25" s="368">
        <v>8305</v>
      </c>
      <c r="AG25" s="453">
        <f t="shared" si="19"/>
        <v>0</v>
      </c>
      <c r="AH25" s="231">
        <f t="shared" si="11"/>
        <v>32686</v>
      </c>
      <c r="AI25" s="368">
        <v>32717</v>
      </c>
      <c r="AJ25" s="453">
        <f t="shared" si="20"/>
        <v>31</v>
      </c>
      <c r="AK25" s="231">
        <f t="shared" si="12"/>
        <v>0</v>
      </c>
      <c r="AL25" s="367"/>
      <c r="AM25" s="453">
        <f t="shared" si="31"/>
        <v>0</v>
      </c>
      <c r="AN25" s="372">
        <f t="shared" si="24"/>
        <v>163</v>
      </c>
    </row>
    <row r="26" spans="1:40" ht="23.1" customHeight="1">
      <c r="A26" s="55">
        <f>Gen!A31</f>
        <v>44368</v>
      </c>
      <c r="B26" s="4"/>
      <c r="C26" s="91">
        <f>D25</f>
        <v>258387</v>
      </c>
      <c r="D26" s="1"/>
      <c r="E26" s="452" t="str">
        <f t="shared" si="30"/>
        <v>0</v>
      </c>
      <c r="F26" s="91">
        <f>G26</f>
        <v>0</v>
      </c>
      <c r="G26" s="370"/>
      <c r="H26" s="452" t="str">
        <f t="shared" ref="H26:H27" si="40">IF((G27-G25)&lt;0,"0",(G27-G25))</f>
        <v>0</v>
      </c>
      <c r="I26" s="91">
        <f t="shared" si="35"/>
        <v>8500</v>
      </c>
      <c r="J26" s="1"/>
      <c r="K26" s="452" t="str">
        <f t="shared" si="28"/>
        <v>0</v>
      </c>
      <c r="L26" s="91">
        <f t="shared" si="36"/>
        <v>0</v>
      </c>
      <c r="M26" s="1"/>
      <c r="N26" s="452">
        <f t="shared" si="37"/>
        <v>0</v>
      </c>
      <c r="O26" s="91">
        <f t="shared" ref="O26:O37" si="41">P25</f>
        <v>21488</v>
      </c>
      <c r="P26" s="366"/>
      <c r="Q26" s="452" t="str">
        <f t="shared" si="7"/>
        <v>0</v>
      </c>
      <c r="R26" s="236"/>
      <c r="S26" s="231">
        <f t="shared" si="38"/>
        <v>71270</v>
      </c>
      <c r="T26" s="367"/>
      <c r="U26" s="453" t="str">
        <f t="shared" si="39"/>
        <v>0</v>
      </c>
      <c r="V26" s="231">
        <f t="shared" si="34"/>
        <v>73031</v>
      </c>
      <c r="W26" s="367"/>
      <c r="X26" s="453" t="str">
        <f t="shared" si="17"/>
        <v>0</v>
      </c>
      <c r="Y26" s="231">
        <f t="shared" si="9"/>
        <v>90647</v>
      </c>
      <c r="Z26" s="367"/>
      <c r="AA26" s="453" t="str">
        <f t="shared" si="18"/>
        <v>0</v>
      </c>
      <c r="AB26" s="577">
        <f t="shared" si="22"/>
        <v>20098</v>
      </c>
      <c r="AC26" s="578"/>
      <c r="AD26" s="580" t="str">
        <f t="shared" si="23"/>
        <v>0</v>
      </c>
      <c r="AE26" s="231">
        <f t="shared" si="10"/>
        <v>8305</v>
      </c>
      <c r="AF26" s="368"/>
      <c r="AG26" s="453" t="str">
        <f t="shared" si="19"/>
        <v>0</v>
      </c>
      <c r="AH26" s="231">
        <f t="shared" si="11"/>
        <v>32717</v>
      </c>
      <c r="AI26" s="368"/>
      <c r="AJ26" s="453" t="str">
        <f t="shared" si="20"/>
        <v>0</v>
      </c>
      <c r="AK26" s="231">
        <f t="shared" si="12"/>
        <v>0</v>
      </c>
      <c r="AL26" s="367"/>
      <c r="AM26" s="453">
        <f t="shared" si="31"/>
        <v>0</v>
      </c>
      <c r="AN26" s="372">
        <f t="shared" si="24"/>
        <v>0</v>
      </c>
    </row>
    <row r="27" spans="1:40" ht="23.1" customHeight="1">
      <c r="A27" s="55">
        <f>Gen!A32</f>
        <v>44369</v>
      </c>
      <c r="B27" s="4"/>
      <c r="C27" s="91">
        <f>D26</f>
        <v>0</v>
      </c>
      <c r="D27" s="1"/>
      <c r="E27" s="452">
        <f t="shared" si="30"/>
        <v>0</v>
      </c>
      <c r="F27" s="91">
        <f t="shared" ref="F27:F31" si="42">G27</f>
        <v>0</v>
      </c>
      <c r="G27" s="370"/>
      <c r="H27" s="452">
        <f t="shared" si="40"/>
        <v>0</v>
      </c>
      <c r="I27" s="91">
        <f t="shared" si="35"/>
        <v>0</v>
      </c>
      <c r="J27" s="1"/>
      <c r="K27" s="452">
        <f t="shared" si="28"/>
        <v>0</v>
      </c>
      <c r="L27" s="91">
        <f t="shared" si="36"/>
        <v>0</v>
      </c>
      <c r="M27" s="1"/>
      <c r="N27" s="452">
        <f t="shared" si="37"/>
        <v>0</v>
      </c>
      <c r="O27" s="91">
        <f t="shared" si="41"/>
        <v>0</v>
      </c>
      <c r="P27" s="366"/>
      <c r="Q27" s="452">
        <f t="shared" si="7"/>
        <v>0</v>
      </c>
      <c r="R27" s="236"/>
      <c r="S27" s="231">
        <f t="shared" si="38"/>
        <v>0</v>
      </c>
      <c r="T27" s="367"/>
      <c r="U27" s="453">
        <f t="shared" si="39"/>
        <v>0</v>
      </c>
      <c r="V27" s="231">
        <f t="shared" si="34"/>
        <v>0</v>
      </c>
      <c r="W27" s="367"/>
      <c r="X27" s="453">
        <f t="shared" si="17"/>
        <v>0</v>
      </c>
      <c r="Y27" s="231">
        <f t="shared" si="9"/>
        <v>0</v>
      </c>
      <c r="Z27" s="367"/>
      <c r="AA27" s="453">
        <f t="shared" si="18"/>
        <v>0</v>
      </c>
      <c r="AB27" s="577">
        <f t="shared" si="22"/>
        <v>0</v>
      </c>
      <c r="AC27" s="578"/>
      <c r="AD27" s="580">
        <f t="shared" si="23"/>
        <v>0</v>
      </c>
      <c r="AE27" s="231">
        <f t="shared" si="10"/>
        <v>0</v>
      </c>
      <c r="AF27" s="368"/>
      <c r="AG27" s="453">
        <f t="shared" si="19"/>
        <v>0</v>
      </c>
      <c r="AH27" s="231">
        <f t="shared" si="11"/>
        <v>0</v>
      </c>
      <c r="AI27" s="368" t="s">
        <v>13</v>
      </c>
      <c r="AJ27" s="453" t="e">
        <f t="shared" si="20"/>
        <v>#VALUE!</v>
      </c>
      <c r="AK27" s="231">
        <f t="shared" si="12"/>
        <v>0</v>
      </c>
      <c r="AL27" s="367"/>
      <c r="AM27" s="453">
        <f t="shared" si="21"/>
        <v>0</v>
      </c>
      <c r="AN27" s="372" t="e">
        <f t="shared" si="24"/>
        <v>#VALUE!</v>
      </c>
    </row>
    <row r="28" spans="1:40" ht="23.1" customHeight="1">
      <c r="A28" s="55">
        <f>Gen!A33</f>
        <v>44370</v>
      </c>
      <c r="B28" s="4"/>
      <c r="C28" s="91">
        <f t="shared" ref="C28:C37" si="43">D27</f>
        <v>0</v>
      </c>
      <c r="D28" s="1"/>
      <c r="E28" s="452">
        <f t="shared" si="30"/>
        <v>0</v>
      </c>
      <c r="F28" s="91">
        <f t="shared" si="42"/>
        <v>0</v>
      </c>
      <c r="G28" s="370"/>
      <c r="H28" s="452">
        <f t="shared" ref="H28:H37" si="44">IF((G28-G27)&lt;0,"0",(G28-G27))</f>
        <v>0</v>
      </c>
      <c r="I28" s="91">
        <f t="shared" si="35"/>
        <v>0</v>
      </c>
      <c r="J28" s="1"/>
      <c r="K28" s="452">
        <f>IF((J28-J27)&lt;0,"0",(J28-J27))</f>
        <v>0</v>
      </c>
      <c r="L28" s="91">
        <f t="shared" si="36"/>
        <v>0</v>
      </c>
      <c r="M28" s="1"/>
      <c r="N28" s="452">
        <f t="shared" si="37"/>
        <v>0</v>
      </c>
      <c r="O28" s="91">
        <f t="shared" si="41"/>
        <v>0</v>
      </c>
      <c r="P28" s="366"/>
      <c r="Q28" s="452">
        <f t="shared" ref="Q28:Q37" si="45">IF((P28-P27)&lt;0,"0",(P28-P27))</f>
        <v>0</v>
      </c>
      <c r="R28" s="236"/>
      <c r="S28" s="231">
        <f t="shared" si="38"/>
        <v>0</v>
      </c>
      <c r="T28" s="367"/>
      <c r="U28" s="453">
        <f t="shared" si="39"/>
        <v>0</v>
      </c>
      <c r="V28" s="231">
        <f t="shared" si="34"/>
        <v>0</v>
      </c>
      <c r="W28" s="367"/>
      <c r="X28" s="453">
        <f t="shared" si="17"/>
        <v>0</v>
      </c>
      <c r="Y28" s="231">
        <f t="shared" si="9"/>
        <v>0</v>
      </c>
      <c r="Z28" s="367"/>
      <c r="AA28" s="453">
        <f t="shared" si="18"/>
        <v>0</v>
      </c>
      <c r="AB28" s="577">
        <f t="shared" si="22"/>
        <v>0</v>
      </c>
      <c r="AC28" s="578"/>
      <c r="AD28" s="580">
        <f t="shared" si="23"/>
        <v>0</v>
      </c>
      <c r="AE28" s="231">
        <f t="shared" si="10"/>
        <v>0</v>
      </c>
      <c r="AF28" s="368"/>
      <c r="AG28" s="453">
        <f t="shared" si="19"/>
        <v>0</v>
      </c>
      <c r="AH28" s="231" t="str">
        <f t="shared" si="11"/>
        <v xml:space="preserve"> </v>
      </c>
      <c r="AI28" s="368"/>
      <c r="AJ28" s="453" t="e">
        <f t="shared" si="20"/>
        <v>#VALUE!</v>
      </c>
      <c r="AK28" s="231">
        <f t="shared" si="12"/>
        <v>0</v>
      </c>
      <c r="AL28" s="367"/>
      <c r="AM28" s="453">
        <f t="shared" si="21"/>
        <v>0</v>
      </c>
      <c r="AN28" s="372" t="e">
        <f t="shared" si="24"/>
        <v>#VALUE!</v>
      </c>
    </row>
    <row r="29" spans="1:40" ht="23.1" customHeight="1">
      <c r="A29" s="55">
        <f>Gen!A34</f>
        <v>44371</v>
      </c>
      <c r="B29" s="4"/>
      <c r="C29" s="91">
        <f t="shared" si="43"/>
        <v>0</v>
      </c>
      <c r="D29" s="1"/>
      <c r="E29" s="452">
        <f t="shared" si="30"/>
        <v>0</v>
      </c>
      <c r="F29" s="91">
        <f t="shared" si="42"/>
        <v>0</v>
      </c>
      <c r="G29" s="370"/>
      <c r="H29" s="452">
        <f t="shared" si="44"/>
        <v>0</v>
      </c>
      <c r="I29" s="91">
        <f t="shared" si="35"/>
        <v>0</v>
      </c>
      <c r="J29" s="1"/>
      <c r="K29" s="452">
        <f t="shared" ref="K29:K37" si="46">IF((J29-J28)&lt;0,"0",(J29-J28))</f>
        <v>0</v>
      </c>
      <c r="L29" s="91">
        <f t="shared" si="36"/>
        <v>0</v>
      </c>
      <c r="M29" s="1"/>
      <c r="N29" s="452">
        <f t="shared" si="37"/>
        <v>0</v>
      </c>
      <c r="O29" s="91">
        <f t="shared" si="41"/>
        <v>0</v>
      </c>
      <c r="P29" s="366"/>
      <c r="Q29" s="452">
        <f t="shared" si="45"/>
        <v>0</v>
      </c>
      <c r="R29" s="236"/>
      <c r="S29" s="231">
        <f t="shared" si="38"/>
        <v>0</v>
      </c>
      <c r="T29" s="367"/>
      <c r="U29" s="453">
        <f t="shared" si="39"/>
        <v>0</v>
      </c>
      <c r="V29" s="231">
        <f t="shared" si="34"/>
        <v>0</v>
      </c>
      <c r="W29" s="367"/>
      <c r="X29" s="453">
        <f t="shared" si="17"/>
        <v>0</v>
      </c>
      <c r="Y29" s="231">
        <f t="shared" si="9"/>
        <v>0</v>
      </c>
      <c r="Z29" s="367"/>
      <c r="AA29" s="453">
        <f t="shared" si="18"/>
        <v>0</v>
      </c>
      <c r="AB29" s="577">
        <f t="shared" si="22"/>
        <v>0</v>
      </c>
      <c r="AC29" s="578"/>
      <c r="AD29" s="580">
        <f t="shared" si="23"/>
        <v>0</v>
      </c>
      <c r="AE29" s="231">
        <f t="shared" si="10"/>
        <v>0</v>
      </c>
      <c r="AF29" s="368"/>
      <c r="AG29" s="453">
        <f t="shared" si="19"/>
        <v>0</v>
      </c>
      <c r="AH29" s="231">
        <f t="shared" si="11"/>
        <v>0</v>
      </c>
      <c r="AI29" s="368"/>
      <c r="AJ29" s="453">
        <f t="shared" si="20"/>
        <v>0</v>
      </c>
      <c r="AK29" s="231">
        <f t="shared" si="12"/>
        <v>0</v>
      </c>
      <c r="AL29" s="367"/>
      <c r="AM29" s="453">
        <f t="shared" si="21"/>
        <v>0</v>
      </c>
      <c r="AN29" s="372">
        <f t="shared" si="24"/>
        <v>0</v>
      </c>
    </row>
    <row r="30" spans="1:40" ht="23.1" customHeight="1">
      <c r="A30" s="55">
        <f>Gen!A35</f>
        <v>44372</v>
      </c>
      <c r="B30" s="4"/>
      <c r="C30" s="91">
        <f t="shared" si="43"/>
        <v>0</v>
      </c>
      <c r="D30" s="1"/>
      <c r="E30" s="452">
        <f t="shared" si="30"/>
        <v>0</v>
      </c>
      <c r="F30" s="91">
        <f t="shared" si="42"/>
        <v>0</v>
      </c>
      <c r="G30" s="370"/>
      <c r="H30" s="452">
        <f t="shared" si="44"/>
        <v>0</v>
      </c>
      <c r="I30" s="91">
        <f t="shared" si="35"/>
        <v>0</v>
      </c>
      <c r="J30" s="1"/>
      <c r="K30" s="452">
        <f t="shared" si="46"/>
        <v>0</v>
      </c>
      <c r="L30" s="91">
        <f t="shared" si="36"/>
        <v>0</v>
      </c>
      <c r="M30" s="1"/>
      <c r="N30" s="452">
        <f t="shared" si="37"/>
        <v>0</v>
      </c>
      <c r="O30" s="91">
        <f t="shared" si="41"/>
        <v>0</v>
      </c>
      <c r="P30" s="366"/>
      <c r="Q30" s="452">
        <f t="shared" si="45"/>
        <v>0</v>
      </c>
      <c r="R30" s="236"/>
      <c r="S30" s="231">
        <f t="shared" si="38"/>
        <v>0</v>
      </c>
      <c r="T30" s="367"/>
      <c r="U30" s="453">
        <f t="shared" si="39"/>
        <v>0</v>
      </c>
      <c r="V30" s="231">
        <f t="shared" si="34"/>
        <v>0</v>
      </c>
      <c r="W30" s="367"/>
      <c r="X30" s="453">
        <f t="shared" si="17"/>
        <v>0</v>
      </c>
      <c r="Y30" s="231">
        <f t="shared" si="9"/>
        <v>0</v>
      </c>
      <c r="Z30" s="367"/>
      <c r="AA30" s="453">
        <f t="shared" si="18"/>
        <v>0</v>
      </c>
      <c r="AB30" s="577">
        <f t="shared" si="22"/>
        <v>0</v>
      </c>
      <c r="AC30" s="578"/>
      <c r="AD30" s="580">
        <f t="shared" si="23"/>
        <v>0</v>
      </c>
      <c r="AE30" s="231">
        <f t="shared" si="10"/>
        <v>0</v>
      </c>
      <c r="AF30" s="368"/>
      <c r="AG30" s="453">
        <f t="shared" si="19"/>
        <v>0</v>
      </c>
      <c r="AH30" s="231">
        <f t="shared" si="11"/>
        <v>0</v>
      </c>
      <c r="AI30" s="368"/>
      <c r="AJ30" s="453">
        <f t="shared" si="20"/>
        <v>0</v>
      </c>
      <c r="AK30" s="231">
        <f t="shared" si="12"/>
        <v>0</v>
      </c>
      <c r="AL30" s="367"/>
      <c r="AM30" s="453">
        <f t="shared" si="21"/>
        <v>0</v>
      </c>
      <c r="AN30" s="372">
        <f t="shared" si="24"/>
        <v>0</v>
      </c>
    </row>
    <row r="31" spans="1:40" ht="23.1" customHeight="1">
      <c r="A31" s="55">
        <f>Gen!A36</f>
        <v>44373</v>
      </c>
      <c r="B31" s="4"/>
      <c r="C31" s="91">
        <f t="shared" si="43"/>
        <v>0</v>
      </c>
      <c r="D31" s="1"/>
      <c r="E31" s="452">
        <f t="shared" si="30"/>
        <v>0</v>
      </c>
      <c r="F31" s="91">
        <f t="shared" si="42"/>
        <v>0</v>
      </c>
      <c r="G31" s="370"/>
      <c r="H31" s="452">
        <f t="shared" si="44"/>
        <v>0</v>
      </c>
      <c r="I31" s="91">
        <f t="shared" si="35"/>
        <v>0</v>
      </c>
      <c r="J31" s="1"/>
      <c r="K31" s="452">
        <f t="shared" si="46"/>
        <v>0</v>
      </c>
      <c r="L31" s="91">
        <f t="shared" si="36"/>
        <v>0</v>
      </c>
      <c r="M31" s="1"/>
      <c r="N31" s="452">
        <f t="shared" si="37"/>
        <v>0</v>
      </c>
      <c r="O31" s="91">
        <f t="shared" si="41"/>
        <v>0</v>
      </c>
      <c r="P31" s="366"/>
      <c r="Q31" s="452">
        <f t="shared" si="45"/>
        <v>0</v>
      </c>
      <c r="R31" s="236"/>
      <c r="S31" s="231">
        <f t="shared" si="38"/>
        <v>0</v>
      </c>
      <c r="T31" s="367"/>
      <c r="U31" s="453">
        <f t="shared" si="39"/>
        <v>0</v>
      </c>
      <c r="V31" s="231">
        <f t="shared" si="34"/>
        <v>0</v>
      </c>
      <c r="W31" s="367"/>
      <c r="X31" s="453">
        <f t="shared" si="17"/>
        <v>0</v>
      </c>
      <c r="Y31" s="231">
        <f t="shared" si="9"/>
        <v>0</v>
      </c>
      <c r="Z31" s="367"/>
      <c r="AA31" s="453">
        <f t="shared" si="18"/>
        <v>0</v>
      </c>
      <c r="AB31" s="577">
        <f t="shared" si="22"/>
        <v>0</v>
      </c>
      <c r="AC31" s="578"/>
      <c r="AD31" s="580">
        <f t="shared" si="23"/>
        <v>0</v>
      </c>
      <c r="AE31" s="231">
        <f t="shared" si="10"/>
        <v>0</v>
      </c>
      <c r="AF31" s="368"/>
      <c r="AG31" s="453">
        <f t="shared" si="19"/>
        <v>0</v>
      </c>
      <c r="AH31" s="231">
        <f t="shared" si="11"/>
        <v>0</v>
      </c>
      <c r="AI31" s="368"/>
      <c r="AJ31" s="453">
        <f t="shared" si="20"/>
        <v>0</v>
      </c>
      <c r="AK31" s="231">
        <f t="shared" si="12"/>
        <v>0</v>
      </c>
      <c r="AL31" s="367"/>
      <c r="AM31" s="453">
        <f t="shared" si="21"/>
        <v>0</v>
      </c>
      <c r="AN31" s="372">
        <f t="shared" si="24"/>
        <v>0</v>
      </c>
    </row>
    <row r="32" spans="1:40" ht="23.1" customHeight="1">
      <c r="A32" s="55">
        <f>Gen!A37</f>
        <v>44374</v>
      </c>
      <c r="B32" s="4" t="s">
        <v>274</v>
      </c>
      <c r="C32" s="91">
        <f t="shared" si="43"/>
        <v>0</v>
      </c>
      <c r="D32" s="1"/>
      <c r="E32" s="452">
        <f t="shared" si="30"/>
        <v>0</v>
      </c>
      <c r="F32" s="91">
        <f t="shared" si="2"/>
        <v>0</v>
      </c>
      <c r="G32" s="370"/>
      <c r="H32" s="452">
        <f t="shared" si="44"/>
        <v>0</v>
      </c>
      <c r="I32" s="91">
        <f t="shared" si="35"/>
        <v>0</v>
      </c>
      <c r="J32" s="1"/>
      <c r="K32" s="452">
        <f t="shared" si="46"/>
        <v>0</v>
      </c>
      <c r="L32" s="91">
        <f t="shared" si="36"/>
        <v>0</v>
      </c>
      <c r="M32" s="1"/>
      <c r="N32" s="452">
        <f t="shared" si="37"/>
        <v>0</v>
      </c>
      <c r="O32" s="91">
        <f t="shared" si="41"/>
        <v>0</v>
      </c>
      <c r="P32" s="366"/>
      <c r="Q32" s="452">
        <f t="shared" si="45"/>
        <v>0</v>
      </c>
      <c r="R32" s="236"/>
      <c r="S32" s="231">
        <f t="shared" si="38"/>
        <v>0</v>
      </c>
      <c r="T32" s="367"/>
      <c r="U32" s="453">
        <f t="shared" si="39"/>
        <v>0</v>
      </c>
      <c r="V32" s="231">
        <f t="shared" si="34"/>
        <v>0</v>
      </c>
      <c r="W32" s="367"/>
      <c r="X32" s="453">
        <f t="shared" si="17"/>
        <v>0</v>
      </c>
      <c r="Y32" s="231">
        <f t="shared" si="9"/>
        <v>0</v>
      </c>
      <c r="Z32" s="367"/>
      <c r="AA32" s="453">
        <f t="shared" si="18"/>
        <v>0</v>
      </c>
      <c r="AB32" s="577">
        <f t="shared" si="22"/>
        <v>0</v>
      </c>
      <c r="AC32" s="578"/>
      <c r="AD32" s="580">
        <f t="shared" si="23"/>
        <v>0</v>
      </c>
      <c r="AE32" s="231">
        <f t="shared" si="10"/>
        <v>0</v>
      </c>
      <c r="AF32" s="368"/>
      <c r="AG32" s="453">
        <f t="shared" si="19"/>
        <v>0</v>
      </c>
      <c r="AH32" s="231">
        <f t="shared" si="11"/>
        <v>0</v>
      </c>
      <c r="AI32" s="368"/>
      <c r="AJ32" s="453">
        <f t="shared" si="20"/>
        <v>0</v>
      </c>
      <c r="AK32" s="231">
        <f t="shared" si="12"/>
        <v>0</v>
      </c>
      <c r="AL32" s="367"/>
      <c r="AM32" s="453">
        <f t="shared" si="21"/>
        <v>0</v>
      </c>
      <c r="AN32" s="372">
        <f t="shared" si="24"/>
        <v>0</v>
      </c>
    </row>
    <row r="33" spans="1:40" ht="23.1" customHeight="1">
      <c r="A33" s="55">
        <f>Gen!A38</f>
        <v>44375</v>
      </c>
      <c r="B33" s="4"/>
      <c r="C33" s="91">
        <f t="shared" si="43"/>
        <v>0</v>
      </c>
      <c r="D33" s="1"/>
      <c r="E33" s="452">
        <f t="shared" si="30"/>
        <v>0</v>
      </c>
      <c r="F33" s="91">
        <f t="shared" si="2"/>
        <v>0</v>
      </c>
      <c r="G33" s="370"/>
      <c r="H33" s="452">
        <f t="shared" si="44"/>
        <v>0</v>
      </c>
      <c r="I33" s="91">
        <f t="shared" si="35"/>
        <v>0</v>
      </c>
      <c r="J33" s="1"/>
      <c r="K33" s="452">
        <f t="shared" si="46"/>
        <v>0</v>
      </c>
      <c r="L33" s="91">
        <f t="shared" si="36"/>
        <v>0</v>
      </c>
      <c r="M33" s="1"/>
      <c r="N33" s="452">
        <f t="shared" si="37"/>
        <v>0</v>
      </c>
      <c r="O33" s="91">
        <f t="shared" si="41"/>
        <v>0</v>
      </c>
      <c r="P33" s="366"/>
      <c r="Q33" s="452">
        <f t="shared" si="45"/>
        <v>0</v>
      </c>
      <c r="R33" s="236"/>
      <c r="S33" s="231">
        <f t="shared" si="38"/>
        <v>0</v>
      </c>
      <c r="T33" s="367"/>
      <c r="U33" s="453">
        <f t="shared" si="39"/>
        <v>0</v>
      </c>
      <c r="V33" s="231">
        <f t="shared" si="34"/>
        <v>0</v>
      </c>
      <c r="W33" s="367"/>
      <c r="X33" s="453">
        <f t="shared" si="17"/>
        <v>0</v>
      </c>
      <c r="Y33" s="231">
        <f t="shared" si="9"/>
        <v>0</v>
      </c>
      <c r="Z33" s="367"/>
      <c r="AA33" s="453">
        <f t="shared" si="18"/>
        <v>0</v>
      </c>
      <c r="AB33" s="577">
        <f t="shared" si="22"/>
        <v>0</v>
      </c>
      <c r="AC33" s="232"/>
      <c r="AD33" s="580">
        <f t="shared" si="23"/>
        <v>0</v>
      </c>
      <c r="AE33" s="231">
        <f t="shared" si="10"/>
        <v>0</v>
      </c>
      <c r="AF33" s="368"/>
      <c r="AG33" s="453">
        <f t="shared" si="19"/>
        <v>0</v>
      </c>
      <c r="AH33" s="231">
        <f t="shared" si="11"/>
        <v>0</v>
      </c>
      <c r="AI33" s="368"/>
      <c r="AJ33" s="453">
        <f t="shared" si="20"/>
        <v>0</v>
      </c>
      <c r="AK33" s="231">
        <f t="shared" si="12"/>
        <v>0</v>
      </c>
      <c r="AL33" s="367"/>
      <c r="AM33" s="453">
        <f t="shared" si="21"/>
        <v>0</v>
      </c>
      <c r="AN33" s="372">
        <f t="shared" si="24"/>
        <v>0</v>
      </c>
    </row>
    <row r="34" spans="1:40" ht="23.1" customHeight="1">
      <c r="A34" s="55">
        <f>Gen!A39</f>
        <v>44376</v>
      </c>
      <c r="B34" s="141"/>
      <c r="C34" s="91">
        <f t="shared" si="43"/>
        <v>0</v>
      </c>
      <c r="D34" s="1"/>
      <c r="E34" s="452">
        <f t="shared" si="30"/>
        <v>0</v>
      </c>
      <c r="F34" s="91">
        <f t="shared" si="2"/>
        <v>0</v>
      </c>
      <c r="G34" s="370"/>
      <c r="H34" s="452">
        <f t="shared" si="44"/>
        <v>0</v>
      </c>
      <c r="I34" s="91">
        <f t="shared" si="35"/>
        <v>0</v>
      </c>
      <c r="J34" s="1"/>
      <c r="K34" s="452">
        <f t="shared" si="46"/>
        <v>0</v>
      </c>
      <c r="L34" s="91">
        <f t="shared" si="36"/>
        <v>0</v>
      </c>
      <c r="M34" s="1"/>
      <c r="N34" s="452">
        <f t="shared" si="37"/>
        <v>0</v>
      </c>
      <c r="O34" s="91">
        <f t="shared" si="41"/>
        <v>0</v>
      </c>
      <c r="P34" s="366"/>
      <c r="Q34" s="452">
        <f t="shared" si="45"/>
        <v>0</v>
      </c>
      <c r="R34" s="236"/>
      <c r="S34" s="231">
        <f t="shared" si="38"/>
        <v>0</v>
      </c>
      <c r="T34" s="367"/>
      <c r="U34" s="453">
        <f t="shared" si="39"/>
        <v>0</v>
      </c>
      <c r="V34" s="231">
        <f t="shared" si="34"/>
        <v>0</v>
      </c>
      <c r="W34" s="367"/>
      <c r="X34" s="453">
        <f t="shared" si="17"/>
        <v>0</v>
      </c>
      <c r="Y34" s="231">
        <f t="shared" si="9"/>
        <v>0</v>
      </c>
      <c r="Z34" s="367"/>
      <c r="AA34" s="453">
        <f t="shared" si="18"/>
        <v>0</v>
      </c>
      <c r="AB34" s="577">
        <f t="shared" si="22"/>
        <v>0</v>
      </c>
      <c r="AC34" s="232"/>
      <c r="AD34" s="580">
        <f t="shared" si="23"/>
        <v>0</v>
      </c>
      <c r="AE34" s="231">
        <f t="shared" si="10"/>
        <v>0</v>
      </c>
      <c r="AF34" s="368"/>
      <c r="AG34" s="453">
        <f t="shared" si="19"/>
        <v>0</v>
      </c>
      <c r="AH34" s="231">
        <f t="shared" si="11"/>
        <v>0</v>
      </c>
      <c r="AI34" s="368"/>
      <c r="AJ34" s="453">
        <f t="shared" si="20"/>
        <v>0</v>
      </c>
      <c r="AK34" s="231">
        <f t="shared" si="12"/>
        <v>0</v>
      </c>
      <c r="AL34" s="367"/>
      <c r="AM34" s="453">
        <f t="shared" si="21"/>
        <v>0</v>
      </c>
      <c r="AN34" s="372">
        <f t="shared" si="24"/>
        <v>0</v>
      </c>
    </row>
    <row r="35" spans="1:40" ht="23.1" customHeight="1">
      <c r="A35" s="55">
        <f>Gen!A40</f>
        <v>44377</v>
      </c>
      <c r="B35" s="141"/>
      <c r="C35" s="91">
        <f t="shared" si="43"/>
        <v>0</v>
      </c>
      <c r="D35" s="1"/>
      <c r="E35" s="452">
        <f t="shared" si="30"/>
        <v>0</v>
      </c>
      <c r="F35" s="91">
        <f t="shared" si="2"/>
        <v>0</v>
      </c>
      <c r="G35" s="370"/>
      <c r="H35" s="452">
        <f t="shared" si="44"/>
        <v>0</v>
      </c>
      <c r="I35" s="91">
        <f t="shared" si="35"/>
        <v>0</v>
      </c>
      <c r="J35" s="1"/>
      <c r="K35" s="452">
        <f t="shared" si="46"/>
        <v>0</v>
      </c>
      <c r="L35" s="91">
        <f t="shared" si="36"/>
        <v>0</v>
      </c>
      <c r="M35" s="1"/>
      <c r="N35" s="452">
        <f t="shared" si="37"/>
        <v>0</v>
      </c>
      <c r="O35" s="91">
        <f t="shared" si="41"/>
        <v>0</v>
      </c>
      <c r="P35" s="366"/>
      <c r="Q35" s="452">
        <f t="shared" si="45"/>
        <v>0</v>
      </c>
      <c r="R35" s="236"/>
      <c r="S35" s="231">
        <f t="shared" si="38"/>
        <v>0</v>
      </c>
      <c r="T35" s="367"/>
      <c r="U35" s="453">
        <f t="shared" si="39"/>
        <v>0</v>
      </c>
      <c r="V35" s="231">
        <f t="shared" si="34"/>
        <v>0</v>
      </c>
      <c r="W35" s="367"/>
      <c r="X35" s="453">
        <f>IF((W36-W34)&lt;0,"0",(W36-W34))</f>
        <v>0</v>
      </c>
      <c r="Y35" s="231">
        <f t="shared" si="9"/>
        <v>0</v>
      </c>
      <c r="Z35" s="367"/>
      <c r="AA35" s="453">
        <f t="shared" si="18"/>
        <v>0</v>
      </c>
      <c r="AB35" s="577">
        <f t="shared" si="22"/>
        <v>0</v>
      </c>
      <c r="AC35" s="232"/>
      <c r="AD35" s="580">
        <f t="shared" si="23"/>
        <v>0</v>
      </c>
      <c r="AE35" s="231">
        <f t="shared" si="10"/>
        <v>0</v>
      </c>
      <c r="AF35" s="368"/>
      <c r="AG35" s="453">
        <f t="shared" si="19"/>
        <v>0</v>
      </c>
      <c r="AH35" s="231">
        <f t="shared" si="11"/>
        <v>0</v>
      </c>
      <c r="AI35" s="368"/>
      <c r="AJ35" s="453">
        <f t="shared" si="20"/>
        <v>0</v>
      </c>
      <c r="AK35" s="231">
        <f t="shared" si="12"/>
        <v>0</v>
      </c>
      <c r="AL35" s="367"/>
      <c r="AM35" s="453">
        <f t="shared" si="21"/>
        <v>0</v>
      </c>
      <c r="AN35" s="372">
        <f t="shared" si="24"/>
        <v>0</v>
      </c>
    </row>
    <row r="36" spans="1:40" ht="23.1" customHeight="1">
      <c r="A36" s="55">
        <f>Gen!A41</f>
        <v>0</v>
      </c>
      <c r="B36" s="142"/>
      <c r="C36" s="91">
        <f t="shared" si="43"/>
        <v>0</v>
      </c>
      <c r="D36" s="1"/>
      <c r="E36" s="452">
        <f t="shared" si="30"/>
        <v>0</v>
      </c>
      <c r="F36" s="91">
        <f t="shared" si="2"/>
        <v>0</v>
      </c>
      <c r="G36" s="370"/>
      <c r="H36" s="452">
        <f t="shared" si="44"/>
        <v>0</v>
      </c>
      <c r="I36" s="91">
        <f t="shared" si="35"/>
        <v>0</v>
      </c>
      <c r="J36" s="1"/>
      <c r="K36" s="452">
        <f t="shared" si="46"/>
        <v>0</v>
      </c>
      <c r="L36" s="91">
        <f t="shared" si="36"/>
        <v>0</v>
      </c>
      <c r="M36" s="1"/>
      <c r="N36" s="452">
        <f t="shared" si="37"/>
        <v>0</v>
      </c>
      <c r="O36" s="91">
        <f t="shared" si="41"/>
        <v>0</v>
      </c>
      <c r="P36" s="366"/>
      <c r="Q36" s="452">
        <f t="shared" si="45"/>
        <v>0</v>
      </c>
      <c r="R36" s="236"/>
      <c r="S36" s="231">
        <f t="shared" si="38"/>
        <v>0</v>
      </c>
      <c r="T36" s="367"/>
      <c r="U36" s="453">
        <f t="shared" si="39"/>
        <v>0</v>
      </c>
      <c r="V36" s="231">
        <f>W36</f>
        <v>0</v>
      </c>
      <c r="W36" s="367"/>
      <c r="X36" s="453">
        <f>IF((W37-W35)&lt;0,"0",(W37-W35))</f>
        <v>0</v>
      </c>
      <c r="Y36" s="231">
        <f t="shared" si="9"/>
        <v>0</v>
      </c>
      <c r="Z36" s="367"/>
      <c r="AA36" s="453">
        <f t="shared" si="18"/>
        <v>0</v>
      </c>
      <c r="AB36" s="577">
        <f t="shared" si="22"/>
        <v>0</v>
      </c>
      <c r="AC36" s="232"/>
      <c r="AD36" s="580">
        <f t="shared" si="23"/>
        <v>0</v>
      </c>
      <c r="AE36" s="231">
        <f t="shared" si="10"/>
        <v>0</v>
      </c>
      <c r="AF36" s="368"/>
      <c r="AG36" s="453">
        <f t="shared" si="19"/>
        <v>0</v>
      </c>
      <c r="AH36" s="231">
        <f t="shared" si="11"/>
        <v>0</v>
      </c>
      <c r="AI36" s="368"/>
      <c r="AJ36" s="453">
        <f t="shared" si="20"/>
        <v>0</v>
      </c>
      <c r="AK36" s="231">
        <f t="shared" si="12"/>
        <v>0</v>
      </c>
      <c r="AL36" s="367"/>
      <c r="AM36" s="453">
        <f t="shared" si="21"/>
        <v>0</v>
      </c>
      <c r="AN36" s="372">
        <f t="shared" si="24"/>
        <v>0</v>
      </c>
    </row>
    <row r="37" spans="1:40" ht="24" customHeight="1">
      <c r="A37" s="55"/>
      <c r="B37" s="3"/>
      <c r="C37" s="91">
        <f t="shared" si="43"/>
        <v>0</v>
      </c>
      <c r="D37" s="1"/>
      <c r="E37" s="452">
        <f t="shared" si="30"/>
        <v>0</v>
      </c>
      <c r="F37" s="91">
        <f t="shared" si="2"/>
        <v>0</v>
      </c>
      <c r="G37" s="370"/>
      <c r="H37" s="452">
        <f t="shared" si="44"/>
        <v>0</v>
      </c>
      <c r="I37" s="91">
        <f t="shared" si="35"/>
        <v>0</v>
      </c>
      <c r="J37" s="1"/>
      <c r="K37" s="452">
        <f t="shared" si="46"/>
        <v>0</v>
      </c>
      <c r="L37" s="91">
        <f t="shared" si="36"/>
        <v>0</v>
      </c>
      <c r="M37" s="1"/>
      <c r="N37" s="452">
        <f t="shared" si="37"/>
        <v>0</v>
      </c>
      <c r="O37" s="91">
        <f t="shared" si="41"/>
        <v>0</v>
      </c>
      <c r="P37" s="366"/>
      <c r="Q37" s="452">
        <f t="shared" si="45"/>
        <v>0</v>
      </c>
      <c r="R37" s="236"/>
      <c r="S37" s="231">
        <f t="shared" si="38"/>
        <v>0</v>
      </c>
      <c r="T37" s="367"/>
      <c r="U37" s="453">
        <f t="shared" si="39"/>
        <v>0</v>
      </c>
      <c r="V37" s="231" t="e">
        <f>#REF!</f>
        <v>#REF!</v>
      </c>
      <c r="W37" s="367"/>
      <c r="X37" s="453" t="e">
        <f>IF((W37-#REF!)&lt;0,"0",(W37-#REF!))</f>
        <v>#REF!</v>
      </c>
      <c r="Y37" s="231">
        <f t="shared" si="9"/>
        <v>0</v>
      </c>
      <c r="Z37" s="367"/>
      <c r="AA37" s="453">
        <f t="shared" si="18"/>
        <v>0</v>
      </c>
      <c r="AB37" s="577">
        <f t="shared" si="22"/>
        <v>0</v>
      </c>
      <c r="AC37" s="232"/>
      <c r="AD37" s="580">
        <f t="shared" si="23"/>
        <v>0</v>
      </c>
      <c r="AE37" s="231">
        <f t="shared" si="10"/>
        <v>0</v>
      </c>
      <c r="AF37" s="368"/>
      <c r="AG37" s="453">
        <f t="shared" si="19"/>
        <v>0</v>
      </c>
      <c r="AH37" s="231">
        <f t="shared" si="11"/>
        <v>0</v>
      </c>
      <c r="AI37" s="368"/>
      <c r="AJ37" s="453">
        <f t="shared" si="20"/>
        <v>0</v>
      </c>
      <c r="AK37" s="231">
        <f t="shared" si="12"/>
        <v>0</v>
      </c>
      <c r="AL37" s="367"/>
      <c r="AM37" s="453">
        <f t="shared" si="21"/>
        <v>0</v>
      </c>
      <c r="AN37" s="372">
        <f t="shared" ref="AN37" si="47">U38+X38+AA38+AD38+AG38+AJ38+AM38</f>
        <v>1336</v>
      </c>
    </row>
    <row r="38" spans="1:40" ht="18.75">
      <c r="A38" s="55"/>
      <c r="B38" s="20"/>
      <c r="C38" s="924" t="s">
        <v>252</v>
      </c>
      <c r="D38" s="924"/>
      <c r="E38" s="21">
        <f>SUM(E6:E36)</f>
        <v>1971</v>
      </c>
      <c r="F38" s="22" t="s">
        <v>275</v>
      </c>
      <c r="G38" s="23"/>
      <c r="H38" s="24">
        <f>SUM(H6:H37)</f>
        <v>0</v>
      </c>
      <c r="I38" s="25"/>
      <c r="J38" s="22"/>
      <c r="K38" s="26">
        <f>SUM(K6:K37)</f>
        <v>41</v>
      </c>
      <c r="L38" s="140"/>
      <c r="M38" s="140"/>
      <c r="N38" s="27">
        <f t="shared" ref="N38" si="48">M38-M37</f>
        <v>0</v>
      </c>
      <c r="O38" s="25"/>
      <c r="P38" s="233"/>
      <c r="Q38" s="234">
        <f t="shared" ref="Q38" si="49">P38-O38</f>
        <v>0</v>
      </c>
      <c r="R38" s="235">
        <f>E38</f>
        <v>1971</v>
      </c>
      <c r="S38" s="233"/>
      <c r="T38" s="233"/>
      <c r="U38" s="243">
        <f>SUM(U6:U37)</f>
        <v>1336</v>
      </c>
      <c r="V38" s="233"/>
      <c r="W38" s="233"/>
      <c r="X38" s="233"/>
      <c r="Y38" s="233"/>
      <c r="Z38" s="233"/>
      <c r="AA38" s="233"/>
      <c r="AB38" s="233"/>
      <c r="AC38" s="233"/>
      <c r="AD38" s="233"/>
      <c r="AE38" s="233"/>
      <c r="AF38" s="233"/>
      <c r="AG38" s="233"/>
      <c r="AH38" s="233"/>
      <c r="AI38" s="233"/>
      <c r="AJ38" s="453">
        <f t="shared" ref="AJ38" si="50">IF((AI39-AI37)&lt;0,"0",(AI39-AI37))</f>
        <v>0</v>
      </c>
      <c r="AK38" s="233"/>
      <c r="AL38" s="233"/>
      <c r="AM38" s="233"/>
      <c r="AN38" s="239">
        <f t="shared" ref="AN38" si="51">U38+X38+AA38+AD38+AG38+AJ38+AM38</f>
        <v>1336</v>
      </c>
    </row>
    <row r="40" spans="1:40">
      <c r="AF40" t="s">
        <v>13</v>
      </c>
    </row>
    <row r="41" spans="1:40" ht="13.5" thickBot="1"/>
    <row r="42" spans="1:40" ht="18.75" thickBot="1">
      <c r="A42" s="893"/>
      <c r="B42" s="262"/>
      <c r="C42" s="890" t="s">
        <v>276</v>
      </c>
      <c r="D42" s="891"/>
      <c r="E42" s="891"/>
      <c r="F42" s="891"/>
      <c r="G42" s="891"/>
      <c r="H42" s="891"/>
      <c r="I42" s="891"/>
      <c r="J42" s="891"/>
      <c r="K42" s="892"/>
    </row>
    <row r="43" spans="1:40" ht="24.75" customHeight="1">
      <c r="A43" s="894"/>
      <c r="C43" s="896" t="s">
        <v>277</v>
      </c>
      <c r="D43" s="897"/>
      <c r="E43" s="898" t="s">
        <v>278</v>
      </c>
      <c r="F43" s="899"/>
      <c r="G43" s="900" t="s">
        <v>279</v>
      </c>
      <c r="H43" s="901"/>
      <c r="I43" s="900" t="s">
        <v>280</v>
      </c>
      <c r="J43" s="901"/>
      <c r="K43" s="888" t="s">
        <v>281</v>
      </c>
    </row>
    <row r="44" spans="1:40" ht="21" customHeight="1" thickBot="1">
      <c r="A44" s="894"/>
      <c r="C44" s="902" t="s">
        <v>282</v>
      </c>
      <c r="D44" s="903"/>
      <c r="E44" s="902" t="s">
        <v>283</v>
      </c>
      <c r="F44" s="903"/>
      <c r="G44" s="902" t="s">
        <v>284</v>
      </c>
      <c r="H44" s="903"/>
      <c r="I44" s="902" t="s">
        <v>285</v>
      </c>
      <c r="J44" s="903"/>
      <c r="K44" s="889"/>
    </row>
    <row r="45" spans="1:40" ht="21" customHeight="1" thickBot="1">
      <c r="A45" s="895"/>
      <c r="C45" s="309" t="s">
        <v>286</v>
      </c>
      <c r="D45" s="310" t="s">
        <v>287</v>
      </c>
      <c r="E45" s="311" t="s">
        <v>286</v>
      </c>
      <c r="F45" s="312" t="s">
        <v>287</v>
      </c>
      <c r="G45" s="454"/>
      <c r="H45" s="312" t="s">
        <v>287</v>
      </c>
      <c r="I45" s="311"/>
      <c r="J45" s="312" t="s">
        <v>287</v>
      </c>
      <c r="K45" s="313" t="s">
        <v>287</v>
      </c>
    </row>
    <row r="46" spans="1:40" ht="20.25" customHeight="1">
      <c r="A46" s="278">
        <f>Gen!A11</f>
        <v>44348</v>
      </c>
      <c r="C46" s="60">
        <v>187</v>
      </c>
      <c r="D46" s="308">
        <f t="shared" ref="D46:D77" si="52">C46*217/300</f>
        <v>135.26333333333332</v>
      </c>
      <c r="E46" s="6">
        <v>152</v>
      </c>
      <c r="F46" s="308">
        <f t="shared" ref="F46:F77" si="53">E46*92/305</f>
        <v>45.849180327868851</v>
      </c>
      <c r="G46" s="589">
        <v>225</v>
      </c>
      <c r="H46" s="308">
        <f t="shared" ref="H46:H77" si="54">G46*146/383</f>
        <v>85.770234986945169</v>
      </c>
      <c r="I46" s="6">
        <v>288</v>
      </c>
      <c r="J46" s="308">
        <f t="shared" ref="J46:J77" si="55">I46*213/308</f>
        <v>199.16883116883116</v>
      </c>
      <c r="K46" s="314">
        <f>D46+F46+H46+J46</f>
        <v>466.05157981697852</v>
      </c>
    </row>
    <row r="47" spans="1:40">
      <c r="A47" s="278">
        <f>Gen!A12</f>
        <v>44349</v>
      </c>
      <c r="C47" s="60">
        <v>160</v>
      </c>
      <c r="D47" s="308">
        <f t="shared" si="52"/>
        <v>115.73333333333333</v>
      </c>
      <c r="E47" s="6">
        <v>125</v>
      </c>
      <c r="F47" s="308">
        <f t="shared" si="53"/>
        <v>37.704918032786885</v>
      </c>
      <c r="G47" s="589">
        <v>93</v>
      </c>
      <c r="H47" s="308">
        <f t="shared" si="54"/>
        <v>35.451697127937337</v>
      </c>
      <c r="I47" s="6">
        <v>290</v>
      </c>
      <c r="J47" s="308">
        <f t="shared" si="55"/>
        <v>200.55194805194805</v>
      </c>
      <c r="K47" s="314">
        <f t="shared" ref="K47:K77" si="56">D47+F47+H47+J47</f>
        <v>389.44189654600564</v>
      </c>
    </row>
    <row r="48" spans="1:40">
      <c r="A48" s="278">
        <f>Gen!A13</f>
        <v>44350</v>
      </c>
      <c r="C48" s="60">
        <v>225</v>
      </c>
      <c r="D48" s="308">
        <f t="shared" si="52"/>
        <v>162.75</v>
      </c>
      <c r="E48" s="6">
        <v>185</v>
      </c>
      <c r="F48" s="308">
        <f t="shared" si="53"/>
        <v>55.803278688524593</v>
      </c>
      <c r="G48" s="589">
        <v>115</v>
      </c>
      <c r="H48" s="308">
        <f t="shared" si="54"/>
        <v>43.838120104438644</v>
      </c>
      <c r="I48" s="6">
        <v>290</v>
      </c>
      <c r="J48" s="308">
        <f t="shared" si="55"/>
        <v>200.55194805194805</v>
      </c>
      <c r="K48" s="314">
        <f t="shared" si="56"/>
        <v>462.94334684491128</v>
      </c>
    </row>
    <row r="49" spans="1:15">
      <c r="A49" s="278">
        <f>Gen!A14</f>
        <v>44351</v>
      </c>
      <c r="C49" s="60">
        <v>159</v>
      </c>
      <c r="D49" s="308">
        <f t="shared" si="52"/>
        <v>115.01</v>
      </c>
      <c r="E49" s="6">
        <v>124</v>
      </c>
      <c r="F49" s="308">
        <f t="shared" si="53"/>
        <v>37.403278688524587</v>
      </c>
      <c r="G49" s="589">
        <v>300</v>
      </c>
      <c r="H49" s="308">
        <f t="shared" si="54"/>
        <v>114.36031331592689</v>
      </c>
      <c r="I49" s="6">
        <v>290</v>
      </c>
      <c r="J49" s="308">
        <f t="shared" si="55"/>
        <v>200.55194805194805</v>
      </c>
      <c r="K49" s="314">
        <f t="shared" si="56"/>
        <v>467.32554005639952</v>
      </c>
    </row>
    <row r="50" spans="1:15">
      <c r="A50" s="278">
        <f>Gen!A15</f>
        <v>44352</v>
      </c>
      <c r="C50" s="60">
        <v>290</v>
      </c>
      <c r="D50" s="308">
        <f t="shared" si="52"/>
        <v>209.76666666666668</v>
      </c>
      <c r="E50" s="6">
        <v>265</v>
      </c>
      <c r="F50" s="308">
        <f t="shared" si="53"/>
        <v>79.93442622950819</v>
      </c>
      <c r="G50" s="589">
        <v>185</v>
      </c>
      <c r="H50" s="308">
        <f t="shared" si="54"/>
        <v>70.522193211488258</v>
      </c>
      <c r="I50" s="6">
        <v>286</v>
      </c>
      <c r="J50" s="308">
        <f t="shared" si="55"/>
        <v>197.78571428571428</v>
      </c>
      <c r="K50" s="314">
        <f t="shared" si="56"/>
        <v>558.00900039337739</v>
      </c>
    </row>
    <row r="51" spans="1:15">
      <c r="A51" s="278">
        <f>Gen!A16</f>
        <v>44353</v>
      </c>
      <c r="C51" s="60">
        <v>285</v>
      </c>
      <c r="D51" s="308">
        <f t="shared" si="52"/>
        <v>206.15</v>
      </c>
      <c r="E51" s="6">
        <v>245</v>
      </c>
      <c r="F51" s="308">
        <f t="shared" si="53"/>
        <v>73.901639344262293</v>
      </c>
      <c r="G51" s="589">
        <v>85</v>
      </c>
      <c r="H51" s="308">
        <f t="shared" si="54"/>
        <v>32.40208877284595</v>
      </c>
      <c r="I51" s="6">
        <v>285</v>
      </c>
      <c r="J51" s="308">
        <f t="shared" si="55"/>
        <v>197.09415584415584</v>
      </c>
      <c r="K51" s="314">
        <f t="shared" si="56"/>
        <v>509.54788396126412</v>
      </c>
    </row>
    <row r="52" spans="1:15">
      <c r="A52" s="278">
        <f>Gen!A17</f>
        <v>44354</v>
      </c>
      <c r="C52" s="60">
        <v>210</v>
      </c>
      <c r="D52" s="308">
        <f t="shared" si="52"/>
        <v>151.9</v>
      </c>
      <c r="E52" s="6">
        <v>175</v>
      </c>
      <c r="F52" s="308">
        <f t="shared" si="53"/>
        <v>52.786885245901637</v>
      </c>
      <c r="G52" s="589">
        <v>197</v>
      </c>
      <c r="H52" s="308">
        <f t="shared" si="54"/>
        <v>75.096605744125327</v>
      </c>
      <c r="I52" s="6">
        <v>255</v>
      </c>
      <c r="J52" s="308">
        <f t="shared" si="55"/>
        <v>176.34740259740261</v>
      </c>
      <c r="K52" s="314">
        <f t="shared" si="56"/>
        <v>456.13089358742957</v>
      </c>
    </row>
    <row r="53" spans="1:15">
      <c r="A53" s="278">
        <f>Gen!A18</f>
        <v>44355</v>
      </c>
      <c r="C53" s="60">
        <v>145</v>
      </c>
      <c r="D53" s="308">
        <f t="shared" si="52"/>
        <v>104.88333333333334</v>
      </c>
      <c r="E53" s="6">
        <v>110</v>
      </c>
      <c r="F53" s="308">
        <f t="shared" si="53"/>
        <v>33.180327868852459</v>
      </c>
      <c r="G53" s="589">
        <v>170</v>
      </c>
      <c r="H53" s="308">
        <f t="shared" si="54"/>
        <v>64.8041775456919</v>
      </c>
      <c r="I53" s="6">
        <v>260</v>
      </c>
      <c r="J53" s="308">
        <f t="shared" si="55"/>
        <v>179.80519480519482</v>
      </c>
      <c r="K53" s="314">
        <f t="shared" si="56"/>
        <v>382.67303355307251</v>
      </c>
    </row>
    <row r="54" spans="1:15">
      <c r="A54" s="278">
        <f>Gen!A19</f>
        <v>44356</v>
      </c>
      <c r="C54" s="60">
        <v>148</v>
      </c>
      <c r="D54" s="308">
        <f t="shared" si="52"/>
        <v>107.05333333333333</v>
      </c>
      <c r="E54" s="6">
        <v>113</v>
      </c>
      <c r="F54" s="308">
        <f t="shared" si="53"/>
        <v>34.085245901639347</v>
      </c>
      <c r="G54" s="589">
        <v>285</v>
      </c>
      <c r="H54" s="308">
        <f t="shared" si="54"/>
        <v>108.64229765013054</v>
      </c>
      <c r="I54" s="6">
        <v>281</v>
      </c>
      <c r="J54" s="308">
        <f t="shared" si="55"/>
        <v>194.32792207792207</v>
      </c>
      <c r="K54" s="314">
        <f t="shared" si="56"/>
        <v>444.10879896302527</v>
      </c>
    </row>
    <row r="55" spans="1:15">
      <c r="A55" s="278">
        <f>Gen!A20</f>
        <v>44357</v>
      </c>
      <c r="C55" s="60">
        <v>225</v>
      </c>
      <c r="D55" s="308">
        <f t="shared" si="52"/>
        <v>162.75</v>
      </c>
      <c r="E55" s="6">
        <v>190</v>
      </c>
      <c r="F55" s="308">
        <f t="shared" si="53"/>
        <v>57.311475409836063</v>
      </c>
      <c r="G55" s="589">
        <v>151</v>
      </c>
      <c r="H55" s="308">
        <f t="shared" si="54"/>
        <v>57.561357702349866</v>
      </c>
      <c r="I55" s="6">
        <v>278</v>
      </c>
      <c r="J55" s="308">
        <f t="shared" si="55"/>
        <v>192.25324675324674</v>
      </c>
      <c r="K55" s="314">
        <f t="shared" si="56"/>
        <v>469.8760798654327</v>
      </c>
    </row>
    <row r="56" spans="1:15">
      <c r="A56" s="278">
        <f>Gen!A21</f>
        <v>44358</v>
      </c>
      <c r="C56" s="60">
        <v>235</v>
      </c>
      <c r="D56" s="308">
        <f t="shared" si="52"/>
        <v>169.98333333333332</v>
      </c>
      <c r="E56" s="6">
        <v>200</v>
      </c>
      <c r="F56" s="308">
        <f t="shared" si="53"/>
        <v>60.327868852459019</v>
      </c>
      <c r="G56" s="589">
        <v>300</v>
      </c>
      <c r="H56" s="308">
        <f t="shared" si="54"/>
        <v>114.36031331592689</v>
      </c>
      <c r="I56" s="6">
        <v>280</v>
      </c>
      <c r="J56" s="308">
        <f t="shared" si="55"/>
        <v>193.63636363636363</v>
      </c>
      <c r="K56" s="314">
        <f t="shared" si="56"/>
        <v>538.30787913808285</v>
      </c>
    </row>
    <row r="57" spans="1:15">
      <c r="A57" s="278">
        <f>Gen!A22</f>
        <v>44359</v>
      </c>
      <c r="C57" s="60">
        <v>223</v>
      </c>
      <c r="D57" s="308">
        <f t="shared" si="52"/>
        <v>161.30333333333334</v>
      </c>
      <c r="E57" s="6">
        <v>198</v>
      </c>
      <c r="F57" s="308">
        <f t="shared" si="53"/>
        <v>59.72459016393443</v>
      </c>
      <c r="G57" s="589">
        <v>300</v>
      </c>
      <c r="H57" s="308">
        <f t="shared" si="54"/>
        <v>114.36031331592689</v>
      </c>
      <c r="I57" s="6">
        <v>268</v>
      </c>
      <c r="J57" s="308">
        <f t="shared" si="55"/>
        <v>185.33766233766235</v>
      </c>
      <c r="K57" s="314">
        <f t="shared" si="56"/>
        <v>520.725899150857</v>
      </c>
    </row>
    <row r="58" spans="1:15">
      <c r="A58" s="278">
        <f>Gen!A23</f>
        <v>44360</v>
      </c>
      <c r="C58" s="60">
        <v>245</v>
      </c>
      <c r="D58" s="308">
        <f t="shared" si="52"/>
        <v>177.21666666666667</v>
      </c>
      <c r="E58" s="6">
        <v>215</v>
      </c>
      <c r="F58" s="308">
        <f t="shared" si="53"/>
        <v>64.852459016393439</v>
      </c>
      <c r="G58" s="589">
        <v>300</v>
      </c>
      <c r="H58" s="308">
        <f t="shared" si="54"/>
        <v>114.36031331592689</v>
      </c>
      <c r="I58" s="6">
        <v>270</v>
      </c>
      <c r="J58" s="308">
        <f t="shared" si="55"/>
        <v>186.72077922077921</v>
      </c>
      <c r="K58" s="314">
        <f t="shared" si="56"/>
        <v>543.1502182197662</v>
      </c>
    </row>
    <row r="59" spans="1:15">
      <c r="A59" s="278">
        <f>Gen!A24</f>
        <v>44361</v>
      </c>
      <c r="C59" s="60">
        <v>300</v>
      </c>
      <c r="D59" s="308">
        <f t="shared" si="52"/>
        <v>217</v>
      </c>
      <c r="E59" s="6">
        <v>300</v>
      </c>
      <c r="F59" s="308">
        <f t="shared" si="53"/>
        <v>90.491803278688522</v>
      </c>
      <c r="G59" s="589">
        <v>160</v>
      </c>
      <c r="H59" s="308">
        <f t="shared" si="54"/>
        <v>60.992167101827675</v>
      </c>
      <c r="I59" s="6">
        <v>280</v>
      </c>
      <c r="J59" s="308">
        <f t="shared" si="55"/>
        <v>193.63636363636363</v>
      </c>
      <c r="K59" s="314">
        <f t="shared" si="56"/>
        <v>562.12033401687984</v>
      </c>
    </row>
    <row r="60" spans="1:15">
      <c r="A60" s="278">
        <f>Gen!A25</f>
        <v>44362</v>
      </c>
      <c r="C60" s="60">
        <v>240</v>
      </c>
      <c r="D60" s="308">
        <f t="shared" si="52"/>
        <v>173.6</v>
      </c>
      <c r="E60" s="6">
        <v>205</v>
      </c>
      <c r="F60" s="308">
        <f t="shared" si="53"/>
        <v>61.83606557377049</v>
      </c>
      <c r="G60" s="589">
        <v>135</v>
      </c>
      <c r="H60" s="308">
        <f t="shared" si="54"/>
        <v>51.4621409921671</v>
      </c>
      <c r="I60" s="6">
        <v>275</v>
      </c>
      <c r="J60" s="308">
        <f t="shared" si="55"/>
        <v>190.17857142857142</v>
      </c>
      <c r="K60" s="314">
        <f t="shared" si="56"/>
        <v>477.07677799450903</v>
      </c>
      <c r="L60" t="s">
        <v>288</v>
      </c>
      <c r="O60" t="s">
        <v>289</v>
      </c>
    </row>
    <row r="61" spans="1:15">
      <c r="A61" s="278">
        <f>Gen!A26</f>
        <v>44363</v>
      </c>
      <c r="C61" s="60">
        <v>155</v>
      </c>
      <c r="D61" s="308">
        <f t="shared" si="52"/>
        <v>112.11666666666666</v>
      </c>
      <c r="E61" s="6">
        <v>120</v>
      </c>
      <c r="F61" s="308">
        <f t="shared" si="53"/>
        <v>36.196721311475407</v>
      </c>
      <c r="G61" s="589">
        <v>60</v>
      </c>
      <c r="H61" s="308">
        <f t="shared" si="54"/>
        <v>22.872062663185378</v>
      </c>
      <c r="I61" s="6">
        <v>290</v>
      </c>
      <c r="J61" s="308">
        <f t="shared" si="55"/>
        <v>200.55194805194805</v>
      </c>
      <c r="K61" s="314">
        <f t="shared" si="56"/>
        <v>371.73739869327551</v>
      </c>
      <c r="L61" t="s">
        <v>290</v>
      </c>
      <c r="N61" t="s">
        <v>291</v>
      </c>
    </row>
    <row r="62" spans="1:15">
      <c r="A62" s="278">
        <f>Gen!A27</f>
        <v>44364</v>
      </c>
      <c r="C62" s="60">
        <v>130</v>
      </c>
      <c r="D62" s="308">
        <f t="shared" si="52"/>
        <v>94.033333333333331</v>
      </c>
      <c r="E62" s="6">
        <v>100</v>
      </c>
      <c r="F62" s="308">
        <f t="shared" si="53"/>
        <v>30.16393442622951</v>
      </c>
      <c r="G62" s="589">
        <v>30</v>
      </c>
      <c r="H62" s="308">
        <f t="shared" si="54"/>
        <v>11.436031331592689</v>
      </c>
      <c r="I62" s="6">
        <v>155</v>
      </c>
      <c r="J62" s="308">
        <f t="shared" si="55"/>
        <v>107.19155844155844</v>
      </c>
      <c r="K62" s="314">
        <f t="shared" si="56"/>
        <v>242.82485753271396</v>
      </c>
    </row>
    <row r="63" spans="1:15">
      <c r="A63" s="278">
        <f>Gen!A28</f>
        <v>44365</v>
      </c>
      <c r="C63" s="60">
        <v>165</v>
      </c>
      <c r="D63" s="308">
        <f t="shared" si="52"/>
        <v>119.35</v>
      </c>
      <c r="E63" s="6">
        <v>130</v>
      </c>
      <c r="F63" s="308">
        <f t="shared" si="53"/>
        <v>39.213114754098363</v>
      </c>
      <c r="G63" s="455">
        <v>20</v>
      </c>
      <c r="H63" s="308">
        <f t="shared" si="54"/>
        <v>7.6240208877284594</v>
      </c>
      <c r="I63" s="6">
        <v>170</v>
      </c>
      <c r="J63" s="308">
        <f t="shared" si="55"/>
        <v>117.56493506493507</v>
      </c>
      <c r="K63" s="314">
        <f t="shared" si="56"/>
        <v>283.75207070676186</v>
      </c>
    </row>
    <row r="64" spans="1:15">
      <c r="A64" s="278">
        <f>Gen!A29</f>
        <v>44366</v>
      </c>
      <c r="C64" s="60">
        <v>185</v>
      </c>
      <c r="D64" s="308">
        <f t="shared" si="52"/>
        <v>133.81666666666666</v>
      </c>
      <c r="E64" s="6">
        <v>150</v>
      </c>
      <c r="F64" s="308">
        <f t="shared" si="53"/>
        <v>45.245901639344261</v>
      </c>
      <c r="G64" s="455">
        <v>150</v>
      </c>
      <c r="H64" s="308">
        <f t="shared" si="54"/>
        <v>57.180156657963444</v>
      </c>
      <c r="I64" s="6">
        <v>185</v>
      </c>
      <c r="J64" s="308">
        <f t="shared" si="55"/>
        <v>127.93831168831169</v>
      </c>
      <c r="K64" s="314">
        <f t="shared" si="56"/>
        <v>364.18103665228602</v>
      </c>
    </row>
    <row r="65" spans="1:11">
      <c r="A65" s="278">
        <f>Gen!A30</f>
        <v>44367</v>
      </c>
      <c r="C65" s="60">
        <v>210</v>
      </c>
      <c r="D65" s="308">
        <f t="shared" si="52"/>
        <v>151.9</v>
      </c>
      <c r="E65" s="6">
        <v>185</v>
      </c>
      <c r="F65" s="308">
        <f t="shared" si="53"/>
        <v>55.803278688524593</v>
      </c>
      <c r="G65" s="455">
        <v>135</v>
      </c>
      <c r="H65" s="308">
        <f t="shared" si="54"/>
        <v>51.4621409921671</v>
      </c>
      <c r="I65" s="6">
        <v>180</v>
      </c>
      <c r="J65" s="308">
        <f t="shared" si="55"/>
        <v>124.48051948051948</v>
      </c>
      <c r="K65" s="314">
        <f t="shared" si="56"/>
        <v>383.64593916121117</v>
      </c>
    </row>
    <row r="66" spans="1:11">
      <c r="A66" s="278">
        <f>Gen!A31</f>
        <v>44368</v>
      </c>
      <c r="C66" s="60">
        <v>145</v>
      </c>
      <c r="D66" s="308">
        <f t="shared" si="52"/>
        <v>104.88333333333334</v>
      </c>
      <c r="E66" s="6">
        <v>110</v>
      </c>
      <c r="F66" s="308">
        <f t="shared" si="53"/>
        <v>33.180327868852459</v>
      </c>
      <c r="G66" s="455">
        <v>300</v>
      </c>
      <c r="H66" s="308">
        <f t="shared" si="54"/>
        <v>114.36031331592689</v>
      </c>
      <c r="I66" s="6">
        <v>280</v>
      </c>
      <c r="J66" s="308">
        <f t="shared" si="55"/>
        <v>193.63636363636363</v>
      </c>
      <c r="K66" s="314">
        <f t="shared" si="56"/>
        <v>446.06033815447631</v>
      </c>
    </row>
    <row r="67" spans="1:11" ht="13.5">
      <c r="A67" s="278">
        <f>Gen!A32</f>
        <v>44369</v>
      </c>
      <c r="C67" s="60"/>
      <c r="D67" s="308">
        <f t="shared" si="52"/>
        <v>0</v>
      </c>
      <c r="E67" s="6"/>
      <c r="F67" s="308">
        <f t="shared" si="53"/>
        <v>0</v>
      </c>
      <c r="G67" s="455"/>
      <c r="H67" s="308">
        <f t="shared" si="54"/>
        <v>0</v>
      </c>
      <c r="I67" s="6"/>
      <c r="J67" s="308">
        <f t="shared" si="55"/>
        <v>0</v>
      </c>
      <c r="K67" s="314">
        <f t="shared" si="56"/>
        <v>0</v>
      </c>
    </row>
    <row r="68" spans="1:11" ht="13.5">
      <c r="A68" s="278">
        <f>Gen!A33</f>
        <v>44370</v>
      </c>
      <c r="C68" s="60"/>
      <c r="D68" s="308">
        <f t="shared" si="52"/>
        <v>0</v>
      </c>
      <c r="E68" s="6"/>
      <c r="F68" s="308">
        <f t="shared" si="53"/>
        <v>0</v>
      </c>
      <c r="G68" s="455"/>
      <c r="H68" s="308">
        <f t="shared" si="54"/>
        <v>0</v>
      </c>
      <c r="I68" s="6"/>
      <c r="J68" s="308">
        <f t="shared" si="55"/>
        <v>0</v>
      </c>
      <c r="K68" s="314">
        <f t="shared" si="56"/>
        <v>0</v>
      </c>
    </row>
    <row r="69" spans="1:11" ht="13.5">
      <c r="A69" s="278">
        <f>Gen!A34</f>
        <v>44371</v>
      </c>
      <c r="C69" s="60"/>
      <c r="D69" s="308">
        <f t="shared" si="52"/>
        <v>0</v>
      </c>
      <c r="E69" s="6"/>
      <c r="F69" s="308">
        <f t="shared" si="53"/>
        <v>0</v>
      </c>
      <c r="G69" s="455"/>
      <c r="H69" s="308">
        <f t="shared" si="54"/>
        <v>0</v>
      </c>
      <c r="I69" s="6"/>
      <c r="J69" s="308">
        <f t="shared" si="55"/>
        <v>0</v>
      </c>
      <c r="K69" s="314">
        <f t="shared" si="56"/>
        <v>0</v>
      </c>
    </row>
    <row r="70" spans="1:11" ht="13.5">
      <c r="A70" s="278">
        <f>Gen!A35</f>
        <v>44372</v>
      </c>
      <c r="C70" s="60"/>
      <c r="D70" s="308">
        <f t="shared" si="52"/>
        <v>0</v>
      </c>
      <c r="E70" s="6"/>
      <c r="F70" s="308">
        <f t="shared" si="53"/>
        <v>0</v>
      </c>
      <c r="G70" s="455"/>
      <c r="H70" s="308">
        <f t="shared" si="54"/>
        <v>0</v>
      </c>
      <c r="I70" s="6"/>
      <c r="J70" s="308">
        <f t="shared" si="55"/>
        <v>0</v>
      </c>
      <c r="K70" s="314">
        <f t="shared" si="56"/>
        <v>0</v>
      </c>
    </row>
    <row r="71" spans="1:11" ht="13.5">
      <c r="A71" s="278">
        <f>Gen!A36</f>
        <v>44373</v>
      </c>
      <c r="C71" s="60"/>
      <c r="D71" s="308">
        <f t="shared" si="52"/>
        <v>0</v>
      </c>
      <c r="E71" s="6"/>
      <c r="F71" s="308">
        <f t="shared" si="53"/>
        <v>0</v>
      </c>
      <c r="G71" s="455"/>
      <c r="H71" s="308">
        <f t="shared" si="54"/>
        <v>0</v>
      </c>
      <c r="I71" s="6"/>
      <c r="J71" s="308">
        <f t="shared" si="55"/>
        <v>0</v>
      </c>
      <c r="K71" s="314">
        <f t="shared" si="56"/>
        <v>0</v>
      </c>
    </row>
    <row r="72" spans="1:11" ht="13.5">
      <c r="A72" s="278">
        <f>Gen!A37</f>
        <v>44374</v>
      </c>
      <c r="C72" s="60"/>
      <c r="D72" s="308">
        <f t="shared" si="52"/>
        <v>0</v>
      </c>
      <c r="E72" s="6"/>
      <c r="F72" s="308">
        <f t="shared" si="53"/>
        <v>0</v>
      </c>
      <c r="G72" s="455"/>
      <c r="H72" s="308">
        <f t="shared" si="54"/>
        <v>0</v>
      </c>
      <c r="I72" s="6"/>
      <c r="J72" s="308">
        <f t="shared" si="55"/>
        <v>0</v>
      </c>
      <c r="K72" s="314">
        <f t="shared" si="56"/>
        <v>0</v>
      </c>
    </row>
    <row r="73" spans="1:11" ht="13.5">
      <c r="A73" s="278">
        <f>Gen!A38</f>
        <v>44375</v>
      </c>
      <c r="C73" s="60"/>
      <c r="D73" s="308">
        <f t="shared" si="52"/>
        <v>0</v>
      </c>
      <c r="E73" s="6"/>
      <c r="F73" s="308">
        <f t="shared" si="53"/>
        <v>0</v>
      </c>
      <c r="G73" s="455"/>
      <c r="H73" s="308">
        <f t="shared" si="54"/>
        <v>0</v>
      </c>
      <c r="I73" s="6"/>
      <c r="J73" s="308">
        <f t="shared" si="55"/>
        <v>0</v>
      </c>
      <c r="K73" s="314">
        <f t="shared" si="56"/>
        <v>0</v>
      </c>
    </row>
    <row r="74" spans="1:11" ht="13.5">
      <c r="A74" s="278">
        <f>Gen!A39</f>
        <v>44376</v>
      </c>
      <c r="C74" s="60"/>
      <c r="D74" s="308">
        <f t="shared" si="52"/>
        <v>0</v>
      </c>
      <c r="E74" s="6"/>
      <c r="F74" s="308">
        <f t="shared" si="53"/>
        <v>0</v>
      </c>
      <c r="G74" s="455"/>
      <c r="H74" s="308">
        <f t="shared" si="54"/>
        <v>0</v>
      </c>
      <c r="I74" s="6"/>
      <c r="J74" s="308">
        <f t="shared" si="55"/>
        <v>0</v>
      </c>
      <c r="K74" s="314">
        <f t="shared" si="56"/>
        <v>0</v>
      </c>
    </row>
    <row r="75" spans="1:11" ht="14.25" thickBot="1">
      <c r="A75" s="278">
        <f>Gen!A40</f>
        <v>44377</v>
      </c>
      <c r="B75" s="237"/>
      <c r="C75" s="60"/>
      <c r="D75" s="308">
        <f t="shared" si="52"/>
        <v>0</v>
      </c>
      <c r="E75" s="6"/>
      <c r="F75" s="308">
        <f t="shared" si="53"/>
        <v>0</v>
      </c>
      <c r="G75" s="455"/>
      <c r="H75" s="308">
        <f t="shared" si="54"/>
        <v>0</v>
      </c>
      <c r="I75" s="6"/>
      <c r="J75" s="308">
        <f t="shared" si="55"/>
        <v>0</v>
      </c>
      <c r="K75" s="314">
        <f t="shared" si="56"/>
        <v>0</v>
      </c>
    </row>
    <row r="76" spans="1:11" ht="13.5">
      <c r="A76" s="278">
        <f>Gen!A41</f>
        <v>0</v>
      </c>
      <c r="C76" s="60"/>
      <c r="D76" s="308">
        <f t="shared" si="52"/>
        <v>0</v>
      </c>
      <c r="E76" s="6"/>
      <c r="F76" s="308">
        <f t="shared" si="53"/>
        <v>0</v>
      </c>
      <c r="G76" s="455"/>
      <c r="H76" s="308">
        <f t="shared" si="54"/>
        <v>0</v>
      </c>
      <c r="I76" s="6"/>
      <c r="J76" s="308">
        <f t="shared" si="55"/>
        <v>0</v>
      </c>
      <c r="K76" s="314">
        <f t="shared" si="56"/>
        <v>0</v>
      </c>
    </row>
    <row r="77" spans="1:11" ht="14.25" thickBot="1">
      <c r="A77" s="278">
        <f>Gen!A42</f>
        <v>0</v>
      </c>
      <c r="C77" s="60"/>
      <c r="D77" s="308">
        <f t="shared" si="52"/>
        <v>0</v>
      </c>
      <c r="E77" s="6"/>
      <c r="F77" s="308">
        <f t="shared" si="53"/>
        <v>0</v>
      </c>
      <c r="G77" s="455"/>
      <c r="H77" s="308">
        <f t="shared" si="54"/>
        <v>0</v>
      </c>
      <c r="I77" s="6"/>
      <c r="J77" s="308">
        <f t="shared" si="55"/>
        <v>0</v>
      </c>
      <c r="K77" s="315">
        <f t="shared" si="56"/>
        <v>0</v>
      </c>
    </row>
    <row r="78" spans="1:11" ht="13.5">
      <c r="A78" s="278" t="str">
        <f>Gen!A43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9.28515625" style="11" bestFit="1" customWidth="1"/>
  </cols>
  <sheetData>
    <row r="1" spans="1:3" s="15" customFormat="1">
      <c r="A1" s="13" t="s">
        <v>32</v>
      </c>
      <c r="B1" s="13" t="s">
        <v>292</v>
      </c>
      <c r="C1" s="13" t="s">
        <v>107</v>
      </c>
    </row>
    <row r="2" spans="1:3">
      <c r="A2" s="89">
        <f>Gen!A11</f>
        <v>44348</v>
      </c>
      <c r="B2" s="12" t="e">
        <f>SUM('[1]Water-Meter'!R10)</f>
        <v>#REF!</v>
      </c>
      <c r="C2" s="88">
        <f>SUM([1]Gen!B11)</f>
        <v>0.623</v>
      </c>
    </row>
    <row r="3" spans="1:3">
      <c r="A3" s="89">
        <f>Gen!A12</f>
        <v>44349</v>
      </c>
      <c r="B3" s="12" t="e">
        <f>SUM('[1]Water-Meter'!R11)</f>
        <v>#REF!</v>
      </c>
      <c r="C3" s="88">
        <f>SUM([1]Gen!B12)</f>
        <v>0.77900000000000003</v>
      </c>
    </row>
    <row r="4" spans="1:3">
      <c r="A4" s="89">
        <f>Gen!A13</f>
        <v>44350</v>
      </c>
      <c r="B4" s="12" t="e">
        <f>SUM('[1]Water-Meter'!R12)</f>
        <v>#REF!</v>
      </c>
      <c r="C4" s="88">
        <f>SUM([1]Gen!B13)</f>
        <v>0.53200000000000003</v>
      </c>
    </row>
    <row r="5" spans="1:3">
      <c r="A5" s="89">
        <f>Gen!A14</f>
        <v>44351</v>
      </c>
      <c r="B5" s="12" t="e">
        <f>SUM('[1]Water-Meter'!R13)</f>
        <v>#REF!</v>
      </c>
      <c r="C5" s="88">
        <f>SUM([1]Gen!B14)</f>
        <v>0.61</v>
      </c>
    </row>
    <row r="6" spans="1:3">
      <c r="A6" s="89">
        <f>Gen!A15</f>
        <v>44352</v>
      </c>
      <c r="B6" s="12" t="e">
        <f>SUM('[1]Water-Meter'!R14)</f>
        <v>#REF!</v>
      </c>
      <c r="C6" s="88">
        <f>SUM([1]Gen!B15)</f>
        <v>0.68799999999999994</v>
      </c>
    </row>
    <row r="7" spans="1:3">
      <c r="A7" s="89">
        <f>Gen!A16</f>
        <v>44353</v>
      </c>
      <c r="B7" s="12" t="e">
        <f>SUM('[1]Water-Meter'!R15)</f>
        <v>#REF!</v>
      </c>
      <c r="C7" s="88">
        <f>SUM([1]Gen!B16)</f>
        <v>0.53200000000000003</v>
      </c>
    </row>
    <row r="8" spans="1:3">
      <c r="A8" s="89">
        <f>Gen!A17</f>
        <v>44354</v>
      </c>
      <c r="B8" s="12" t="e">
        <f>SUM('[1]Water-Meter'!R16)</f>
        <v>#REF!</v>
      </c>
      <c r="C8" s="88">
        <f>SUM([1]Gen!B17)</f>
        <v>0.753</v>
      </c>
    </row>
    <row r="9" spans="1:3">
      <c r="A9" s="89">
        <f>Gen!A18</f>
        <v>44355</v>
      </c>
      <c r="B9" s="12" t="e">
        <f>SUM('[1]Water-Meter'!R17)</f>
        <v>#REF!</v>
      </c>
      <c r="C9" s="88">
        <f>SUM([1]Gen!B18)</f>
        <v>0.156</v>
      </c>
    </row>
    <row r="10" spans="1:3">
      <c r="A10" s="89">
        <f>Gen!A19</f>
        <v>44356</v>
      </c>
      <c r="B10" s="12" t="e">
        <f>SUM('[1]Water-Meter'!R18)</f>
        <v>#REF!</v>
      </c>
      <c r="C10" s="88">
        <f>SUM([1]Gen!B19)</f>
        <v>0.442</v>
      </c>
    </row>
    <row r="11" spans="1:3">
      <c r="A11" s="89">
        <f>Gen!A20</f>
        <v>44357</v>
      </c>
      <c r="B11" s="12" t="e">
        <f>SUM('[1]Water-Meter'!R19)</f>
        <v>#REF!</v>
      </c>
      <c r="C11" s="88">
        <f>SUM([1]Gen!B20)</f>
        <v>0.32500000000000001</v>
      </c>
    </row>
    <row r="12" spans="1:3">
      <c r="A12" s="89">
        <f>Gen!A21</f>
        <v>44358</v>
      </c>
      <c r="B12" s="12" t="e">
        <f>SUM('[1]Water-Meter'!R20)</f>
        <v>#REF!</v>
      </c>
      <c r="C12" s="88">
        <f>SUM([1]Gen!B21)</f>
        <v>0.45500000000000002</v>
      </c>
    </row>
    <row r="13" spans="1:3">
      <c r="A13" s="89">
        <f>Gen!A22</f>
        <v>44359</v>
      </c>
      <c r="B13" s="12" t="e">
        <f>SUM('[1]Water-Meter'!R21)</f>
        <v>#REF!</v>
      </c>
      <c r="C13" s="88">
        <f>SUM([1]Gen!B22)</f>
        <v>0.41599999999999998</v>
      </c>
    </row>
    <row r="14" spans="1:3">
      <c r="A14" s="89">
        <f>Gen!A23</f>
        <v>44360</v>
      </c>
      <c r="B14" s="12" t="e">
        <f>SUM('[1]Water-Meter'!R22)</f>
        <v>#REF!</v>
      </c>
      <c r="C14" s="88">
        <f>SUM([1]Gen!B23)</f>
        <v>0.39</v>
      </c>
    </row>
    <row r="15" spans="1:3">
      <c r="A15" s="89">
        <f>Gen!A24</f>
        <v>44361</v>
      </c>
      <c r="B15" s="12" t="e">
        <f>SUM('[1]Water-Meter'!R23)</f>
        <v>#REF!</v>
      </c>
      <c r="C15" s="88">
        <f>SUM([1]Gen!B24)</f>
        <v>0.63600000000000001</v>
      </c>
    </row>
    <row r="16" spans="1:3">
      <c r="A16" s="89">
        <f>Gen!A25</f>
        <v>44362</v>
      </c>
      <c r="B16" s="12" t="e">
        <f>SUM('[1]Water-Meter'!R24)</f>
        <v>#REF!</v>
      </c>
      <c r="C16" s="88">
        <f>SUM([1]Gen!B25)</f>
        <v>0.84399999999999997</v>
      </c>
    </row>
    <row r="17" spans="1:3">
      <c r="A17" s="89">
        <f>Gen!A26</f>
        <v>44363</v>
      </c>
      <c r="B17" s="12" t="e">
        <f>SUM('[1]Water-Meter'!R25)</f>
        <v>#REF!</v>
      </c>
      <c r="C17" s="88">
        <f>SUM([1]Gen!B26)</f>
        <v>0.81799999999999995</v>
      </c>
    </row>
    <row r="18" spans="1:3">
      <c r="A18" s="89">
        <f>Gen!A27</f>
        <v>44364</v>
      </c>
      <c r="B18" s="12" t="e">
        <f>SUM('[1]Water-Meter'!R26)</f>
        <v>#REF!</v>
      </c>
      <c r="C18" s="88">
        <f>SUM([1]Gen!B27)</f>
        <v>0.20799999999999999</v>
      </c>
    </row>
    <row r="19" spans="1:3">
      <c r="A19" s="89">
        <f>Gen!A28</f>
        <v>44365</v>
      </c>
      <c r="B19" s="12" t="e">
        <f>SUM('[1]Water-Meter'!R27)</f>
        <v>#REF!</v>
      </c>
      <c r="C19" s="88">
        <f>SUM([1]Gen!B28)</f>
        <v>0.221</v>
      </c>
    </row>
    <row r="20" spans="1:3">
      <c r="A20" s="89">
        <f>Gen!A29</f>
        <v>44366</v>
      </c>
      <c r="B20" s="12" t="e">
        <f>SUM('[1]Water-Meter'!R28)</f>
        <v>#REF!</v>
      </c>
      <c r="C20" s="88">
        <f>SUM([1]Gen!B29)</f>
        <v>0.11700000000000001</v>
      </c>
    </row>
    <row r="21" spans="1:3">
      <c r="A21" s="89">
        <f>Gen!A30</f>
        <v>44367</v>
      </c>
      <c r="B21" s="12" t="e">
        <f>SUM('[1]Water-Meter'!R29)</f>
        <v>#REF!</v>
      </c>
      <c r="C21" s="88">
        <f>SUM([1]Gen!B30)</f>
        <v>0.57099999999999995</v>
      </c>
    </row>
    <row r="22" spans="1:3">
      <c r="A22" s="89">
        <f>Gen!A31</f>
        <v>44368</v>
      </c>
      <c r="B22" s="12" t="e">
        <f>SUM('[1]Water-Meter'!R30)</f>
        <v>#REF!</v>
      </c>
      <c r="C22" s="88">
        <f>SUM([1]Gen!B31)</f>
        <v>0.55800000000000005</v>
      </c>
    </row>
    <row r="23" spans="1:3">
      <c r="A23" s="89">
        <f>Gen!A32</f>
        <v>44369</v>
      </c>
      <c r="B23" s="12" t="e">
        <f>SUM('[1]Water-Meter'!R31)</f>
        <v>#REF!</v>
      </c>
      <c r="C23" s="88">
        <f>SUM([1]Gen!B32)</f>
        <v>0.40300000000000002</v>
      </c>
    </row>
    <row r="24" spans="1:3">
      <c r="A24" s="89">
        <f>Gen!A33</f>
        <v>44370</v>
      </c>
      <c r="B24" s="12" t="e">
        <f>SUM('[1]Water-Meter'!R32)</f>
        <v>#REF!</v>
      </c>
      <c r="C24" s="88">
        <f>SUM([1]Gen!B33)</f>
        <v>0.24</v>
      </c>
    </row>
    <row r="25" spans="1:3">
      <c r="A25" s="89">
        <f>Gen!A34</f>
        <v>44371</v>
      </c>
      <c r="B25" s="12" t="e">
        <f>SUM('[1]Water-Meter'!R33)</f>
        <v>#REF!</v>
      </c>
      <c r="C25" s="88">
        <f>SUM([1]Gen!B34)</f>
        <v>0.09</v>
      </c>
    </row>
    <row r="26" spans="1:3">
      <c r="A26" s="89">
        <f>Gen!A35</f>
        <v>44372</v>
      </c>
      <c r="B26" s="12" t="e">
        <f>SUM('[1]Water-Meter'!R34)</f>
        <v>#REF!</v>
      </c>
      <c r="C26" s="88">
        <f>SUM([1]Gen!B35)</f>
        <v>0.28599999999999998</v>
      </c>
    </row>
    <row r="27" spans="1:3">
      <c r="A27" s="89">
        <f>Gen!A36</f>
        <v>44373</v>
      </c>
      <c r="B27" s="12" t="e">
        <f>SUM('[1]Water-Meter'!R35)</f>
        <v>#REF!</v>
      </c>
      <c r="C27" s="88">
        <f>SUM([1]Gen!B36)</f>
        <v>0.54500000000000004</v>
      </c>
    </row>
    <row r="28" spans="1:3">
      <c r="A28" s="89">
        <f>Gen!A37</f>
        <v>44374</v>
      </c>
      <c r="B28" s="12" t="e">
        <f>SUM('[1]Water-Meter'!R36)</f>
        <v>#REF!</v>
      </c>
      <c r="C28" s="88">
        <f>SUM([1]Gen!B37)</f>
        <v>0.67500000000000004</v>
      </c>
    </row>
    <row r="29" spans="1:3">
      <c r="A29" s="89">
        <f>Gen!A38</f>
        <v>44375</v>
      </c>
      <c r="B29" s="12" t="e">
        <f>SUM('[1]Water-Meter'!R37)</f>
        <v>#REF!</v>
      </c>
      <c r="C29" s="88">
        <f>SUM([1]Gen!B38)</f>
        <v>0.27300000000000002</v>
      </c>
    </row>
    <row r="30" spans="1:3">
      <c r="A30" s="89">
        <f>Gen!A39</f>
        <v>44376</v>
      </c>
      <c r="B30" s="12">
        <f>SUM('[1]Water-Meter'!R38)</f>
        <v>-212333</v>
      </c>
      <c r="C30" s="88" t="e">
        <f>SUM([1]Gen!B39)</f>
        <v>#REF!</v>
      </c>
    </row>
    <row r="31" spans="1:3">
      <c r="A31" s="89">
        <f>Gen!A40</f>
        <v>44377</v>
      </c>
      <c r="B31" s="12" t="e">
        <f>SUM('[1]Water-Meter'!R39)</f>
        <v>#REF!</v>
      </c>
      <c r="C31" s="88" t="e">
        <f>SUM([1]Gen!B40)</f>
        <v>#REF!</v>
      </c>
    </row>
    <row r="32" spans="1:3">
      <c r="A32" s="89">
        <f>Gen!A41</f>
        <v>0</v>
      </c>
      <c r="B32" s="12" t="e">
        <f>SUM('[1]Water-Meter'!R40)</f>
        <v>#REF!</v>
      </c>
      <c r="C32" s="88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40"/>
  <sheetViews>
    <sheetView topLeftCell="B54" workbookViewId="0">
      <selection activeCell="S12" sqref="S12"/>
    </sheetView>
  </sheetViews>
  <sheetFormatPr defaultRowHeight="12.75"/>
  <cols>
    <col min="1" max="1" width="9.7109375" bestFit="1" customWidth="1"/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7" max="17" width="14.7109375" bestFit="1" customWidth="1"/>
    <col min="18" max="18" width="11.42578125" bestFit="1" customWidth="1"/>
    <col min="19" max="19" width="11.28515625" customWidth="1"/>
    <col min="20" max="20" width="11.28515625" bestFit="1" customWidth="1"/>
    <col min="21" max="21" width="12.8554687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25" t="s">
        <v>293</v>
      </c>
      <c r="B2" s="926"/>
      <c r="C2" s="926"/>
      <c r="D2" s="926"/>
      <c r="E2" s="927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86">
        <v>2209.85</v>
      </c>
      <c r="R2" s="415" t="s">
        <v>294</v>
      </c>
      <c r="S2" s="415" t="s">
        <v>295</v>
      </c>
      <c r="T2" s="86">
        <v>1584</v>
      </c>
      <c r="U2" s="59"/>
      <c r="V2" s="63"/>
      <c r="W2" s="58"/>
    </row>
    <row r="3" spans="1:27" ht="38.25" customHeight="1">
      <c r="A3" s="60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5" t="s">
        <v>296</v>
      </c>
      <c r="N3" s="115"/>
      <c r="O3" s="115"/>
      <c r="P3" s="115" t="s">
        <v>297</v>
      </c>
      <c r="Q3" s="116" t="s">
        <v>298</v>
      </c>
      <c r="R3" s="116"/>
      <c r="S3" s="116"/>
      <c r="T3" s="416"/>
      <c r="U3" s="417"/>
      <c r="V3" s="65" t="s">
        <v>299</v>
      </c>
      <c r="W3" s="115" t="s">
        <v>300</v>
      </c>
      <c r="AA3" s="135" t="s">
        <v>301</v>
      </c>
    </row>
    <row r="4" spans="1:27" s="48" customFormat="1" ht="50.25" customHeight="1">
      <c r="A4" s="61" t="s">
        <v>32</v>
      </c>
      <c r="B4" s="76" t="s">
        <v>122</v>
      </c>
      <c r="C4" s="50" t="s">
        <v>123</v>
      </c>
      <c r="D4" s="50" t="s">
        <v>124</v>
      </c>
      <c r="E4" s="50" t="s">
        <v>125</v>
      </c>
      <c r="F4" s="50" t="s">
        <v>126</v>
      </c>
      <c r="G4" s="50" t="s">
        <v>302</v>
      </c>
      <c r="H4" s="50" t="s">
        <v>303</v>
      </c>
      <c r="I4" s="50" t="s">
        <v>304</v>
      </c>
      <c r="J4" s="50" t="s">
        <v>305</v>
      </c>
      <c r="K4" s="50" t="s">
        <v>131</v>
      </c>
      <c r="L4" s="50" t="s">
        <v>132</v>
      </c>
      <c r="M4" s="50">
        <v>3</v>
      </c>
      <c r="N4" s="50">
        <v>2</v>
      </c>
      <c r="O4" s="50">
        <v>1</v>
      </c>
      <c r="P4" s="54"/>
      <c r="Q4" s="57" t="s">
        <v>306</v>
      </c>
      <c r="R4" s="57" t="s">
        <v>307</v>
      </c>
      <c r="S4" s="57" t="s">
        <v>308</v>
      </c>
      <c r="T4" s="57" t="s">
        <v>43</v>
      </c>
      <c r="U4" s="62" t="s">
        <v>44</v>
      </c>
      <c r="V4" s="64"/>
      <c r="W4" s="53"/>
      <c r="X4" s="821"/>
      <c r="Y4" s="821"/>
      <c r="Z4" s="821"/>
      <c r="AA4" s="821"/>
    </row>
    <row r="5" spans="1:27">
      <c r="A5" s="51">
        <f>Gen!A11</f>
        <v>44348</v>
      </c>
      <c r="B5" s="78">
        <v>0</v>
      </c>
      <c r="C5" s="83">
        <f>Gen!B11</f>
        <v>0.2</v>
      </c>
      <c r="D5" s="414">
        <f>SUM(77*C5)</f>
        <v>15.4</v>
      </c>
      <c r="E5" s="70"/>
      <c r="F5" s="68">
        <f>Gen!U11</f>
        <v>0.41846927775781528</v>
      </c>
      <c r="G5" s="81">
        <f>Gen!T11</f>
        <v>2783</v>
      </c>
      <c r="H5" s="81" t="e">
        <f>[1]Gen!#REF!</f>
        <v>#REF!</v>
      </c>
      <c r="I5" s="81" t="e">
        <f t="shared" ref="I5:I35" si="0">SUM(G5:H5)</f>
        <v>#REF!</v>
      </c>
      <c r="J5" s="81">
        <f>[1]Gen!AT11</f>
        <v>47806.650000000031</v>
      </c>
      <c r="K5" s="67">
        <f>'Water-Meter'!E6</f>
        <v>88</v>
      </c>
      <c r="L5" s="426">
        <f>'Lpg (2)'!G10</f>
        <v>163.15200000000769</v>
      </c>
      <c r="M5" s="84" t="e">
        <f>#REF!</f>
        <v>#REF!</v>
      </c>
      <c r="N5" s="84" t="e">
        <f>#REF!</f>
        <v>#REF!</v>
      </c>
      <c r="O5" s="84" t="e">
        <f>#REF!</f>
        <v>#REF!</v>
      </c>
      <c r="P5" s="85">
        <f t="shared" ref="P5:P35" si="1">J5/52000</f>
        <v>0.91935865384615445</v>
      </c>
      <c r="Q5" s="6" t="e">
        <f>I5*Q2</f>
        <v>#REF!</v>
      </c>
      <c r="R5" s="72" t="e">
        <f>SUM(Q5/D5)/X5</f>
        <v>#REF!</v>
      </c>
      <c r="S5" s="418" t="e">
        <f>SUM(Q5/E5)/X5</f>
        <v>#REF!</v>
      </c>
      <c r="T5" s="72">
        <f>(K5*102)/X5</f>
        <v>5.666666666666667</v>
      </c>
      <c r="U5" s="118">
        <f>SUM(L5*1963)/X5</f>
        <v>202.18900000000951</v>
      </c>
      <c r="V5" s="17" t="e">
        <f>SUM(Q5+T5+U5)</f>
        <v>#REF!</v>
      </c>
      <c r="W5" s="120" t="e">
        <f>SUM(V5/E5)/T2</f>
        <v>#REF!</v>
      </c>
      <c r="X5">
        <f>SUM(T2)</f>
        <v>1584</v>
      </c>
      <c r="Y5" s="419">
        <v>106</v>
      </c>
      <c r="Z5" s="75" t="e">
        <f>SUM(Y5-S5)</f>
        <v>#REF!</v>
      </c>
      <c r="AA5">
        <v>106</v>
      </c>
    </row>
    <row r="6" spans="1:27">
      <c r="A6" s="51">
        <f>Gen!A12</f>
        <v>44349</v>
      </c>
      <c r="B6" s="78">
        <v>0</v>
      </c>
      <c r="C6" s="83">
        <f>Gen!B12</f>
        <v>0.12</v>
      </c>
      <c r="D6" s="414">
        <f t="shared" ref="D6:D35" si="2">SUM(77*C6)</f>
        <v>9.24</v>
      </c>
      <c r="E6" s="70"/>
      <c r="F6" s="68">
        <f>Gen!U12</f>
        <v>0.4355648754914811</v>
      </c>
      <c r="G6" s="81">
        <f>Gen!T12</f>
        <v>3815</v>
      </c>
      <c r="H6" s="81" t="e">
        <f>[1]Gen!#REF!</f>
        <v>#REF!</v>
      </c>
      <c r="I6" s="81" t="e">
        <f t="shared" si="0"/>
        <v>#REF!</v>
      </c>
      <c r="J6" s="81">
        <f>[1]Gen!AT12</f>
        <v>45423.890000000029</v>
      </c>
      <c r="K6" s="67">
        <f>'Water-Meter'!E7</f>
        <v>78</v>
      </c>
      <c r="L6" s="426">
        <f>'Lpg (2)'!G11</f>
        <v>61.247999999992324</v>
      </c>
      <c r="M6" s="84" t="e">
        <f>#REF!</f>
        <v>#REF!</v>
      </c>
      <c r="N6" s="84" t="e">
        <f>#REF!</f>
        <v>#REF!</v>
      </c>
      <c r="O6" s="84" t="e">
        <f>#REF!</f>
        <v>#REF!</v>
      </c>
      <c r="P6" s="85">
        <f t="shared" si="1"/>
        <v>0.87353634615384668</v>
      </c>
      <c r="Q6" s="6" t="e">
        <f>I6*Q2</f>
        <v>#REF!</v>
      </c>
      <c r="R6" s="72" t="e">
        <f t="shared" ref="R6:R35" si="3">SUM(Q6/D6)/X6</f>
        <v>#REF!</v>
      </c>
      <c r="S6" s="418" t="e">
        <f t="shared" ref="S6:S35" si="4">SUM(Q6/E6)/X6</f>
        <v>#REF!</v>
      </c>
      <c r="T6" s="72">
        <f t="shared" ref="T6:T35" si="5">(K6*102)/X6</f>
        <v>5.0227272727272725</v>
      </c>
      <c r="U6" s="118">
        <f t="shared" ref="U6:U35" si="6">SUM(L6*1963)/X6</f>
        <v>75.902666666657154</v>
      </c>
      <c r="V6" s="17" t="e">
        <f t="shared" ref="V6:V36" si="7">SUM(Q6+T6+U6)</f>
        <v>#REF!</v>
      </c>
      <c r="W6" s="120" t="e">
        <f>SUM(V6/E6)/T2</f>
        <v>#REF!</v>
      </c>
      <c r="X6">
        <f>SUM(X5)</f>
        <v>1584</v>
      </c>
      <c r="Y6" s="419">
        <v>106</v>
      </c>
      <c r="Z6" s="75" t="e">
        <f t="shared" ref="Z6:Z35" si="8">SUM(Y6-S6)</f>
        <v>#REF!</v>
      </c>
    </row>
    <row r="7" spans="1:27">
      <c r="A7" s="51">
        <f>Gen!A13</f>
        <v>44350</v>
      </c>
      <c r="B7" s="78">
        <v>0</v>
      </c>
      <c r="C7" s="83">
        <f>Gen!B13</f>
        <v>0.12</v>
      </c>
      <c r="D7" s="414">
        <f t="shared" si="2"/>
        <v>9.24</v>
      </c>
      <c r="E7" s="70"/>
      <c r="F7" s="68">
        <f>Gen!U13</f>
        <v>0.40961972667855018</v>
      </c>
      <c r="G7" s="81">
        <f>Gen!T13</f>
        <v>3366</v>
      </c>
      <c r="H7" s="81" t="e">
        <f>[1]Gen!#REF!</f>
        <v>#REF!</v>
      </c>
      <c r="I7" s="81" t="e">
        <f t="shared" si="0"/>
        <v>#REF!</v>
      </c>
      <c r="J7" s="81">
        <f>[1]Gen!AT13</f>
        <v>42919.590000000026</v>
      </c>
      <c r="K7" s="67">
        <f>'Water-Meter'!E8</f>
        <v>71</v>
      </c>
      <c r="L7" s="426">
        <f>'Lpg (2)'!G12</f>
        <v>71.808000000030745</v>
      </c>
      <c r="M7" s="84" t="e">
        <f>#REF!</f>
        <v>#REF!</v>
      </c>
      <c r="N7" s="84" t="e">
        <f>#REF!</f>
        <v>#REF!</v>
      </c>
      <c r="O7" s="84" t="e">
        <f>#REF!</f>
        <v>#REF!</v>
      </c>
      <c r="P7" s="85">
        <f t="shared" si="1"/>
        <v>0.82537673076923124</v>
      </c>
      <c r="Q7" s="6" t="e">
        <f>I7*Q2</f>
        <v>#REF!</v>
      </c>
      <c r="R7" s="72" t="e">
        <f t="shared" si="3"/>
        <v>#REF!</v>
      </c>
      <c r="S7" s="418" t="e">
        <f t="shared" si="4"/>
        <v>#REF!</v>
      </c>
      <c r="T7" s="72">
        <f t="shared" si="5"/>
        <v>4.5719696969696972</v>
      </c>
      <c r="U7" s="118">
        <f t="shared" si="6"/>
        <v>88.989333333371434</v>
      </c>
      <c r="V7" s="17" t="e">
        <f t="shared" si="7"/>
        <v>#REF!</v>
      </c>
      <c r="W7" s="120" t="e">
        <f>SUM(V7/E7)/T2</f>
        <v>#REF!</v>
      </c>
      <c r="X7">
        <f t="shared" ref="X7:X35" si="9">SUM(X6)</f>
        <v>1584</v>
      </c>
      <c r="Y7" s="419">
        <v>106</v>
      </c>
      <c r="Z7" s="75" t="e">
        <f t="shared" si="8"/>
        <v>#REF!</v>
      </c>
    </row>
    <row r="8" spans="1:27">
      <c r="A8" s="51">
        <f>Gen!A14</f>
        <v>44351</v>
      </c>
      <c r="B8" s="78">
        <v>0</v>
      </c>
      <c r="C8" s="83">
        <f>Gen!B14</f>
        <v>0.17</v>
      </c>
      <c r="D8" s="414">
        <f t="shared" si="2"/>
        <v>13.090000000000002</v>
      </c>
      <c r="E8" s="70"/>
      <c r="F8" s="68">
        <f>Gen!U14</f>
        <v>0.39995952587453021</v>
      </c>
      <c r="G8" s="81">
        <f>Gen!T14</f>
        <v>3459</v>
      </c>
      <c r="H8" s="81" t="e">
        <f>[1]Gen!AJ9</f>
        <v>#REF!</v>
      </c>
      <c r="I8" s="81" t="e">
        <f t="shared" si="0"/>
        <v>#REF!</v>
      </c>
      <c r="J8" s="81">
        <f>[1]Gen!AT14</f>
        <v>40258.940000000024</v>
      </c>
      <c r="K8" s="67">
        <f>'Water-Meter'!E9</f>
        <v>83</v>
      </c>
      <c r="L8" s="426">
        <f>'Lpg (2)'!G13</f>
        <v>71.191999999969269</v>
      </c>
      <c r="M8" s="84" t="e">
        <f>#REF!</f>
        <v>#REF!</v>
      </c>
      <c r="N8" s="84" t="e">
        <f>#REF!</f>
        <v>#REF!</v>
      </c>
      <c r="O8" s="84" t="e">
        <f>#REF!</f>
        <v>#REF!</v>
      </c>
      <c r="P8" s="85">
        <f t="shared" si="1"/>
        <v>0.77421038461538505</v>
      </c>
      <c r="Q8" s="6" t="e">
        <f>I8*Q2</f>
        <v>#REF!</v>
      </c>
      <c r="R8" s="72" t="e">
        <f t="shared" si="3"/>
        <v>#REF!</v>
      </c>
      <c r="S8" s="418" t="e">
        <f t="shared" si="4"/>
        <v>#REF!</v>
      </c>
      <c r="T8" s="72">
        <f t="shared" si="5"/>
        <v>5.3446969696969697</v>
      </c>
      <c r="U8" s="118">
        <f t="shared" si="6"/>
        <v>88.225944444406366</v>
      </c>
      <c r="V8" s="17" t="e">
        <f t="shared" si="7"/>
        <v>#REF!</v>
      </c>
      <c r="W8" s="120" t="e">
        <f>SUM(V8/E8)/T2</f>
        <v>#REF!</v>
      </c>
      <c r="X8">
        <f t="shared" si="9"/>
        <v>1584</v>
      </c>
      <c r="Y8" s="419">
        <v>106</v>
      </c>
      <c r="Z8" s="75" t="e">
        <f t="shared" si="8"/>
        <v>#REF!</v>
      </c>
    </row>
    <row r="9" spans="1:27">
      <c r="A9" s="51">
        <f>Gen!A15</f>
        <v>44352</v>
      </c>
      <c r="B9" s="78">
        <v>0</v>
      </c>
      <c r="C9" s="83">
        <f>Gen!B15</f>
        <v>0.2</v>
      </c>
      <c r="D9" s="414">
        <f t="shared" si="2"/>
        <v>15.4</v>
      </c>
      <c r="E9" s="70"/>
      <c r="F9" s="68">
        <f>Gen!U15</f>
        <v>0.4244989893156223</v>
      </c>
      <c r="G9" s="81">
        <f>Gen!T15</f>
        <v>3463</v>
      </c>
      <c r="H9" s="81">
        <f>[1]Gen!AJ10</f>
        <v>0</v>
      </c>
      <c r="I9" s="81">
        <f t="shared" si="0"/>
        <v>3463</v>
      </c>
      <c r="J9" s="81">
        <f>[1]Gen!AT15</f>
        <v>37525.210000000021</v>
      </c>
      <c r="K9" s="67">
        <f>'Water-Meter'!E10</f>
        <v>79</v>
      </c>
      <c r="L9" s="426">
        <f>'Lpg (2)'!G14</f>
        <v>72.952000000007686</v>
      </c>
      <c r="M9" s="84" t="e">
        <f>#REF!</f>
        <v>#REF!</v>
      </c>
      <c r="N9" s="84" t="e">
        <f>#REF!</f>
        <v>#REF!</v>
      </c>
      <c r="O9" s="84" t="e">
        <f>#REF!</f>
        <v>#REF!</v>
      </c>
      <c r="P9" s="85">
        <f t="shared" si="1"/>
        <v>0.72163865384615422</v>
      </c>
      <c r="Q9" s="6">
        <f>I9*Q2</f>
        <v>7652710.5499999998</v>
      </c>
      <c r="R9" s="72">
        <f t="shared" si="3"/>
        <v>313.71796495802175</v>
      </c>
      <c r="S9" s="418" t="e">
        <f t="shared" si="4"/>
        <v>#DIV/0!</v>
      </c>
      <c r="T9" s="72">
        <f t="shared" si="5"/>
        <v>5.0871212121212119</v>
      </c>
      <c r="U9" s="118">
        <f t="shared" si="6"/>
        <v>90.40705555556508</v>
      </c>
      <c r="V9" s="17">
        <f t="shared" si="7"/>
        <v>7652806.0441767676</v>
      </c>
      <c r="W9" s="120" t="e">
        <f>SUM(V9/E9)/T2</f>
        <v>#DIV/0!</v>
      </c>
      <c r="X9">
        <f t="shared" si="9"/>
        <v>1584</v>
      </c>
      <c r="Y9" s="419">
        <v>106</v>
      </c>
      <c r="Z9" s="75" t="e">
        <f t="shared" si="8"/>
        <v>#DIV/0!</v>
      </c>
    </row>
    <row r="10" spans="1:27">
      <c r="A10" s="51">
        <f>Gen!A16</f>
        <v>44353</v>
      </c>
      <c r="B10" s="78">
        <v>0</v>
      </c>
      <c r="C10" s="83">
        <f>Gen!B16</f>
        <v>0.2</v>
      </c>
      <c r="D10" s="414">
        <f t="shared" si="2"/>
        <v>15.4</v>
      </c>
      <c r="E10" s="70"/>
      <c r="F10" s="68">
        <f>Gen!U16</f>
        <v>0.40415333534560821</v>
      </c>
      <c r="G10" s="81">
        <f>Gen!T16</f>
        <v>3313</v>
      </c>
      <c r="H10" s="81" t="e">
        <f>[1]Gen!#REF!</f>
        <v>#REF!</v>
      </c>
      <c r="I10" s="81" t="e">
        <f t="shared" si="0"/>
        <v>#REF!</v>
      </c>
      <c r="J10" s="81">
        <f>[1]Gen!AT16</f>
        <v>35107.690000000024</v>
      </c>
      <c r="K10" s="67">
        <f>'Water-Meter'!E11</f>
        <v>89</v>
      </c>
      <c r="L10" s="426">
        <f>'Lpg (2)'!G15</f>
        <v>132.52799999997953</v>
      </c>
      <c r="M10" s="84" t="e">
        <f>#REF!</f>
        <v>#REF!</v>
      </c>
      <c r="N10" s="84" t="e">
        <f>#REF!</f>
        <v>#REF!</v>
      </c>
      <c r="O10" s="84" t="e">
        <f>#REF!</f>
        <v>#REF!</v>
      </c>
      <c r="P10" s="85">
        <f t="shared" si="1"/>
        <v>0.67514788461538511</v>
      </c>
      <c r="Q10" s="6" t="e">
        <f>I10*Q2</f>
        <v>#REF!</v>
      </c>
      <c r="R10" s="72" t="e">
        <f t="shared" si="3"/>
        <v>#REF!</v>
      </c>
      <c r="S10" s="418" t="e">
        <f t="shared" si="4"/>
        <v>#REF!</v>
      </c>
      <c r="T10" s="72">
        <f t="shared" si="5"/>
        <v>5.7310606060606064</v>
      </c>
      <c r="U10" s="118">
        <f t="shared" si="6"/>
        <v>164.2376666666413</v>
      </c>
      <c r="V10" s="17" t="e">
        <f t="shared" si="7"/>
        <v>#REF!</v>
      </c>
      <c r="W10" s="120" t="e">
        <f>SUM(V10/E10)/T2</f>
        <v>#REF!</v>
      </c>
      <c r="X10">
        <f t="shared" si="9"/>
        <v>1584</v>
      </c>
      <c r="Y10" s="419">
        <v>106</v>
      </c>
      <c r="Z10" s="75" t="e">
        <f t="shared" si="8"/>
        <v>#REF!</v>
      </c>
    </row>
    <row r="11" spans="1:27">
      <c r="A11" s="51">
        <f>Gen!A17</f>
        <v>44354</v>
      </c>
      <c r="B11" s="78">
        <v>0</v>
      </c>
      <c r="C11" s="83">
        <f>Gen!B17</f>
        <v>0.18</v>
      </c>
      <c r="D11" s="414">
        <f t="shared" si="2"/>
        <v>13.86</v>
      </c>
      <c r="E11" s="70"/>
      <c r="F11" s="68">
        <f>Gen!U17</f>
        <v>0.38902473699175433</v>
      </c>
      <c r="G11" s="81">
        <f>Gen!T17</f>
        <v>3517</v>
      </c>
      <c r="H11" s="81">
        <f>[1]Gen!AJ25</f>
        <v>80.56</v>
      </c>
      <c r="I11" s="81">
        <f t="shared" si="0"/>
        <v>3597.56</v>
      </c>
      <c r="J11" s="81">
        <f>[1]Gen!AT17</f>
        <v>47513.140000000029</v>
      </c>
      <c r="K11" s="67">
        <f>'Water-Meter'!E12</f>
        <v>70</v>
      </c>
      <c r="L11" s="426">
        <f>'Lpg (2)'!G16</f>
        <v>132.61599999999746</v>
      </c>
      <c r="M11" s="84" t="e">
        <f>#REF!</f>
        <v>#REF!</v>
      </c>
      <c r="N11" s="84" t="e">
        <f>#REF!</f>
        <v>#REF!</v>
      </c>
      <c r="O11" s="84" t="e">
        <f>#REF!</f>
        <v>#REF!</v>
      </c>
      <c r="P11" s="85">
        <f t="shared" si="1"/>
        <v>0.91371423076923131</v>
      </c>
      <c r="Q11" s="6">
        <f>I11*Q2</f>
        <v>7950067.966</v>
      </c>
      <c r="R11" s="72">
        <f t="shared" si="3"/>
        <v>362.11993519247306</v>
      </c>
      <c r="S11" s="418" t="e">
        <f t="shared" si="4"/>
        <v>#DIV/0!</v>
      </c>
      <c r="T11" s="72">
        <f t="shared" si="5"/>
        <v>4.5075757575757578</v>
      </c>
      <c r="U11" s="118">
        <f t="shared" si="6"/>
        <v>164.34672222221906</v>
      </c>
      <c r="V11" s="17">
        <f t="shared" si="7"/>
        <v>7950236.8202979797</v>
      </c>
      <c r="W11" s="120" t="e">
        <f>SUM(V11/E11)/T2</f>
        <v>#DIV/0!</v>
      </c>
      <c r="X11">
        <f t="shared" si="9"/>
        <v>1584</v>
      </c>
      <c r="Y11" s="419">
        <v>106</v>
      </c>
      <c r="Z11" s="75" t="e">
        <f t="shared" si="8"/>
        <v>#DIV/0!</v>
      </c>
    </row>
    <row r="12" spans="1:27">
      <c r="A12" s="51">
        <f>Gen!A18</f>
        <v>44355</v>
      </c>
      <c r="B12" s="78">
        <v>0</v>
      </c>
      <c r="C12" s="83">
        <f>Gen!B18</f>
        <v>0.21</v>
      </c>
      <c r="D12" s="414">
        <f t="shared" si="2"/>
        <v>16.169999999999998</v>
      </c>
      <c r="E12" s="70"/>
      <c r="F12" s="68">
        <f>Gen!U18</f>
        <v>0.3989372409709887</v>
      </c>
      <c r="G12" s="81">
        <f>Gen!T18</f>
        <v>3378</v>
      </c>
      <c r="H12" s="81" t="e">
        <f>[1]Gen!#REF!</f>
        <v>#REF!</v>
      </c>
      <c r="I12" s="81" t="e">
        <f t="shared" si="0"/>
        <v>#REF!</v>
      </c>
      <c r="J12" s="81">
        <f>[1]Gen!AT18</f>
        <v>45161.890000000029</v>
      </c>
      <c r="K12" s="67">
        <f>'Water-Meter'!E13</f>
        <v>70</v>
      </c>
      <c r="L12" s="426">
        <f>'Lpg (2)'!G17</f>
        <v>154.30800000003075</v>
      </c>
      <c r="M12" s="84" t="e">
        <f>#REF!</f>
        <v>#REF!</v>
      </c>
      <c r="N12" s="84" t="e">
        <f>#REF!</f>
        <v>#REF!</v>
      </c>
      <c r="O12" s="84" t="e">
        <f>#REF!</f>
        <v>#REF!</v>
      </c>
      <c r="P12" s="85">
        <f t="shared" si="1"/>
        <v>0.86849788461538513</v>
      </c>
      <c r="Q12" s="6" t="e">
        <f>I12*Q2</f>
        <v>#REF!</v>
      </c>
      <c r="R12" s="72" t="e">
        <f t="shared" si="3"/>
        <v>#REF!</v>
      </c>
      <c r="S12" s="418" t="e">
        <f t="shared" si="4"/>
        <v>#REF!</v>
      </c>
      <c r="T12" s="72">
        <f t="shared" si="5"/>
        <v>4.5075757575757578</v>
      </c>
      <c r="U12" s="118">
        <f t="shared" si="6"/>
        <v>191.22891666670478</v>
      </c>
      <c r="V12" s="17" t="e">
        <f t="shared" si="7"/>
        <v>#REF!</v>
      </c>
      <c r="W12" s="120" t="e">
        <f>SUM(V12/E12)/T2</f>
        <v>#REF!</v>
      </c>
      <c r="X12">
        <f t="shared" si="9"/>
        <v>1584</v>
      </c>
      <c r="Y12" s="419">
        <v>106</v>
      </c>
      <c r="Z12" s="75" t="e">
        <f t="shared" si="8"/>
        <v>#REF!</v>
      </c>
    </row>
    <row r="13" spans="1:27">
      <c r="A13" s="51">
        <f>Gen!A19</f>
        <v>44356</v>
      </c>
      <c r="B13" s="78">
        <v>0</v>
      </c>
      <c r="C13" s="83">
        <f>Gen!B19</f>
        <v>0.17</v>
      </c>
      <c r="D13" s="414">
        <f t="shared" si="2"/>
        <v>13.090000000000002</v>
      </c>
      <c r="E13" s="70"/>
      <c r="F13" s="68">
        <f>Gen!U19</f>
        <v>0.39947834334492571</v>
      </c>
      <c r="G13" s="81">
        <f>Gen!T19</f>
        <v>3163</v>
      </c>
      <c r="H13" s="81" t="e">
        <f>[1]Gen!#REF!</f>
        <v>#REF!</v>
      </c>
      <c r="I13" s="81" t="e">
        <f t="shared" si="0"/>
        <v>#REF!</v>
      </c>
      <c r="J13" s="81">
        <f>[1]Gen!AT19</f>
        <v>42825.480000000025</v>
      </c>
      <c r="K13" s="67">
        <f>'Water-Meter'!E14</f>
        <v>64</v>
      </c>
      <c r="L13" s="426">
        <f>'Lpg (2)'!G18</f>
        <v>152.4599999999744</v>
      </c>
      <c r="M13" s="84" t="e">
        <f>#REF!</f>
        <v>#REF!</v>
      </c>
      <c r="N13" s="84" t="e">
        <f>#REF!</f>
        <v>#REF!</v>
      </c>
      <c r="O13" s="84" t="e">
        <f>#REF!</f>
        <v>#REF!</v>
      </c>
      <c r="P13" s="85">
        <f t="shared" si="1"/>
        <v>0.82356692307692358</v>
      </c>
      <c r="Q13" s="6" t="e">
        <f>I13*Q2</f>
        <v>#REF!</v>
      </c>
      <c r="R13" s="72" t="e">
        <f t="shared" si="3"/>
        <v>#REF!</v>
      </c>
      <c r="S13" s="418" t="e">
        <f t="shared" si="4"/>
        <v>#REF!</v>
      </c>
      <c r="T13" s="72">
        <f t="shared" si="5"/>
        <v>4.1212121212121211</v>
      </c>
      <c r="U13" s="118">
        <f t="shared" si="6"/>
        <v>188.93874999996828</v>
      </c>
      <c r="V13" s="17" t="e">
        <f t="shared" si="7"/>
        <v>#REF!</v>
      </c>
      <c r="W13" s="120" t="e">
        <f>SUM(V13/E13)/T2</f>
        <v>#REF!</v>
      </c>
      <c r="X13">
        <f t="shared" si="9"/>
        <v>1584</v>
      </c>
      <c r="Y13" s="419">
        <v>106</v>
      </c>
      <c r="Z13" s="75" t="e">
        <f t="shared" si="8"/>
        <v>#REF!</v>
      </c>
    </row>
    <row r="14" spans="1:27">
      <c r="A14" s="51">
        <f>Gen!A20</f>
        <v>44357</v>
      </c>
      <c r="B14" s="78">
        <v>0</v>
      </c>
      <c r="C14" s="83">
        <f>Gen!B20</f>
        <v>0.08</v>
      </c>
      <c r="D14" s="414">
        <f t="shared" si="2"/>
        <v>6.16</v>
      </c>
      <c r="E14" s="70"/>
      <c r="F14" s="68">
        <f>Gen!U20</f>
        <v>0.39400891530460619</v>
      </c>
      <c r="G14" s="81">
        <f>Gen!T20</f>
        <v>3365</v>
      </c>
      <c r="H14" s="81" t="e">
        <f>[1]Gen!#REF!</f>
        <v>#REF!</v>
      </c>
      <c r="I14" s="81" t="e">
        <f t="shared" si="0"/>
        <v>#REF!</v>
      </c>
      <c r="J14" s="81">
        <f>[1]Gen!AT20</f>
        <v>40110.380000000026</v>
      </c>
      <c r="K14" s="67">
        <f>'Water-Meter'!E15</f>
        <v>74</v>
      </c>
      <c r="L14" s="426">
        <f>'Lpg (2)'!G19</f>
        <v>149.07200000002049</v>
      </c>
      <c r="M14" s="84" t="e">
        <f>#REF!</f>
        <v>#REF!</v>
      </c>
      <c r="N14" s="84" t="e">
        <f>#REF!</f>
        <v>#REF!</v>
      </c>
      <c r="O14" s="84" t="e">
        <f>#REF!</f>
        <v>#REF!</v>
      </c>
      <c r="P14" s="85">
        <f t="shared" si="1"/>
        <v>0.77135346153846207</v>
      </c>
      <c r="Q14" s="6" t="e">
        <f>I14*Q2</f>
        <v>#REF!</v>
      </c>
      <c r="R14" s="72" t="e">
        <f t="shared" si="3"/>
        <v>#REF!</v>
      </c>
      <c r="S14" s="418" t="e">
        <f t="shared" si="4"/>
        <v>#REF!</v>
      </c>
      <c r="T14" s="72">
        <f t="shared" si="5"/>
        <v>4.7651515151515156</v>
      </c>
      <c r="U14" s="118">
        <f t="shared" si="6"/>
        <v>184.74011111113651</v>
      </c>
      <c r="V14" s="17" t="e">
        <f t="shared" si="7"/>
        <v>#REF!</v>
      </c>
      <c r="W14" s="120" t="e">
        <f>SUM(V14/E14)/T2</f>
        <v>#REF!</v>
      </c>
      <c r="X14">
        <f t="shared" si="9"/>
        <v>1584</v>
      </c>
      <c r="Y14" s="419">
        <v>106</v>
      </c>
      <c r="Z14" s="75" t="e">
        <f t="shared" si="8"/>
        <v>#REF!</v>
      </c>
    </row>
    <row r="15" spans="1:27">
      <c r="A15" s="51">
        <f>Gen!A21</f>
        <v>44358</v>
      </c>
      <c r="B15" s="78">
        <v>0</v>
      </c>
      <c r="C15" s="83">
        <f>Gen!B21</f>
        <v>0.13</v>
      </c>
      <c r="D15" s="414">
        <f t="shared" si="2"/>
        <v>10.01</v>
      </c>
      <c r="E15" s="70"/>
      <c r="F15" s="68">
        <f>Gen!U21</f>
        <v>0.38958649789029537</v>
      </c>
      <c r="G15" s="81">
        <f>Gen!T21</f>
        <v>3555</v>
      </c>
      <c r="H15" s="81" t="e">
        <f>[1]Gen!#REF!</f>
        <v>#REF!</v>
      </c>
      <c r="I15" s="81" t="e">
        <f t="shared" si="0"/>
        <v>#REF!</v>
      </c>
      <c r="J15" s="81">
        <f>[1]Gen!AT21</f>
        <v>37540.570000000029</v>
      </c>
      <c r="K15" s="67">
        <f>'Water-Meter'!E16</f>
        <v>101</v>
      </c>
      <c r="L15" s="426">
        <f>'Lpg (2)'!G20</f>
        <v>148.54399999997696</v>
      </c>
      <c r="M15" s="84" t="e">
        <f>#REF!</f>
        <v>#REF!</v>
      </c>
      <c r="N15" s="84" t="e">
        <f>#REF!</f>
        <v>#REF!</v>
      </c>
      <c r="O15" s="84" t="e">
        <f>#REF!</f>
        <v>#REF!</v>
      </c>
      <c r="P15" s="85">
        <f t="shared" si="1"/>
        <v>0.72193403846153903</v>
      </c>
      <c r="Q15" s="6" t="e">
        <f>I15*Q2</f>
        <v>#REF!</v>
      </c>
      <c r="R15" s="72" t="e">
        <f t="shared" si="3"/>
        <v>#REF!</v>
      </c>
      <c r="S15" s="418" t="e">
        <f t="shared" si="4"/>
        <v>#REF!</v>
      </c>
      <c r="T15" s="72">
        <f t="shared" si="5"/>
        <v>6.5037878787878789</v>
      </c>
      <c r="U15" s="118">
        <f t="shared" si="6"/>
        <v>184.0857777777492</v>
      </c>
      <c r="V15" s="17" t="e">
        <f t="shared" si="7"/>
        <v>#REF!</v>
      </c>
      <c r="W15" s="120" t="e">
        <f>SUM(V15/E15)/T2</f>
        <v>#REF!</v>
      </c>
      <c r="X15">
        <f t="shared" si="9"/>
        <v>1584</v>
      </c>
      <c r="Y15" s="419">
        <v>106</v>
      </c>
      <c r="Z15" s="75" t="e">
        <f t="shared" si="8"/>
        <v>#REF!</v>
      </c>
    </row>
    <row r="16" spans="1:27">
      <c r="A16" s="51">
        <f>Gen!A22</f>
        <v>44359</v>
      </c>
      <c r="B16" s="78">
        <v>0</v>
      </c>
      <c r="C16" s="83">
        <f>Gen!B22</f>
        <v>0.13</v>
      </c>
      <c r="D16" s="414">
        <f t="shared" si="2"/>
        <v>10.01</v>
      </c>
      <c r="E16" s="70"/>
      <c r="F16" s="68">
        <f>Gen!U22</f>
        <v>0.39547938144329897</v>
      </c>
      <c r="G16" s="81">
        <f>Gen!T22</f>
        <v>3880</v>
      </c>
      <c r="H16" s="81" t="e">
        <f>[1]Gen!#REF!</f>
        <v>#REF!</v>
      </c>
      <c r="I16" s="81" t="e">
        <f t="shared" si="0"/>
        <v>#REF!</v>
      </c>
      <c r="J16" s="81">
        <f>[1]Gen!AT22</f>
        <v>34967.29000000003</v>
      </c>
      <c r="K16" s="67">
        <f>'Water-Meter'!E17</f>
        <v>87</v>
      </c>
      <c r="L16" s="426">
        <f>'Lpg (2)'!G21</f>
        <v>151.53600000001026</v>
      </c>
      <c r="M16" s="84" t="e">
        <f>#REF!</f>
        <v>#REF!</v>
      </c>
      <c r="N16" s="84" t="e">
        <f>#REF!</f>
        <v>#REF!</v>
      </c>
      <c r="O16" s="84" t="e">
        <f>#REF!</f>
        <v>#REF!</v>
      </c>
      <c r="P16" s="85">
        <f t="shared" si="1"/>
        <v>0.67244788461538518</v>
      </c>
      <c r="Q16" s="6" t="e">
        <f>I16*Q2</f>
        <v>#REF!</v>
      </c>
      <c r="R16" s="72" t="e">
        <f t="shared" si="3"/>
        <v>#REF!</v>
      </c>
      <c r="S16" s="418" t="e">
        <f t="shared" si="4"/>
        <v>#REF!</v>
      </c>
      <c r="T16" s="72">
        <f t="shared" si="5"/>
        <v>5.6022727272727275</v>
      </c>
      <c r="U16" s="118">
        <f t="shared" si="6"/>
        <v>187.79366666667937</v>
      </c>
      <c r="V16" s="17" t="e">
        <f t="shared" si="7"/>
        <v>#REF!</v>
      </c>
      <c r="W16" s="120" t="e">
        <f>SUM(V16/E16)/T2</f>
        <v>#REF!</v>
      </c>
      <c r="X16">
        <f t="shared" si="9"/>
        <v>1584</v>
      </c>
      <c r="Y16" s="419">
        <v>106</v>
      </c>
      <c r="Z16" s="75" t="e">
        <f t="shared" si="8"/>
        <v>#REF!</v>
      </c>
    </row>
    <row r="17" spans="1:26">
      <c r="A17" s="51">
        <f>Gen!A23</f>
        <v>44360</v>
      </c>
      <c r="B17" s="78">
        <v>0</v>
      </c>
      <c r="C17" s="83">
        <f>Gen!B23</f>
        <v>0.22</v>
      </c>
      <c r="D17" s="414">
        <f t="shared" si="2"/>
        <v>16.940000000000001</v>
      </c>
      <c r="E17" s="70"/>
      <c r="F17" s="68">
        <f>Gen!U23</f>
        <v>0.40886142738128295</v>
      </c>
      <c r="G17" s="81">
        <f>Gen!T23</f>
        <v>3601</v>
      </c>
      <c r="H17" s="81" t="e">
        <f>[1]Gen!#REF!</f>
        <v>#REF!</v>
      </c>
      <c r="I17" s="81" t="e">
        <f t="shared" si="0"/>
        <v>#REF!</v>
      </c>
      <c r="J17" s="81">
        <f>[1]Gen!AT23</f>
        <v>32228.760000000031</v>
      </c>
      <c r="K17" s="67">
        <f>'Water-Meter'!E18</f>
        <v>71</v>
      </c>
      <c r="L17" s="426">
        <f>'Lpg (2)'!G22</f>
        <v>152.32799999997951</v>
      </c>
      <c r="M17" s="84" t="e">
        <f>#REF!</f>
        <v>#REF!</v>
      </c>
      <c r="N17" s="84" t="e">
        <f>#REF!</f>
        <v>#REF!</v>
      </c>
      <c r="O17" s="84" t="e">
        <f>#REF!</f>
        <v>#REF!</v>
      </c>
      <c r="P17" s="85">
        <f t="shared" si="1"/>
        <v>0.61978384615384674</v>
      </c>
      <c r="Q17" s="6" t="e">
        <f>I17*Q2</f>
        <v>#REF!</v>
      </c>
      <c r="R17" s="72" t="e">
        <f t="shared" si="3"/>
        <v>#REF!</v>
      </c>
      <c r="S17" s="418" t="e">
        <f t="shared" si="4"/>
        <v>#REF!</v>
      </c>
      <c r="T17" s="72">
        <f t="shared" si="5"/>
        <v>4.5719696969696972</v>
      </c>
      <c r="U17" s="118">
        <f t="shared" si="6"/>
        <v>188.77516666664127</v>
      </c>
      <c r="V17" s="17" t="e">
        <f t="shared" si="7"/>
        <v>#REF!</v>
      </c>
      <c r="W17" s="120" t="e">
        <f>SUM(V17/E17)/T2</f>
        <v>#REF!</v>
      </c>
      <c r="X17">
        <f t="shared" si="9"/>
        <v>1584</v>
      </c>
      <c r="Y17" s="419">
        <v>106</v>
      </c>
      <c r="Z17" s="75" t="e">
        <f t="shared" si="8"/>
        <v>#REF!</v>
      </c>
    </row>
    <row r="18" spans="1:26">
      <c r="A18" s="51">
        <f>Gen!A24</f>
        <v>44361</v>
      </c>
      <c r="B18" s="78">
        <v>0</v>
      </c>
      <c r="C18" s="83">
        <f>Gen!B24</f>
        <v>0.15</v>
      </c>
      <c r="D18" s="414">
        <f t="shared" si="2"/>
        <v>11.549999999999999</v>
      </c>
      <c r="E18" s="70"/>
      <c r="F18" s="68">
        <f>Gen!U24</f>
        <v>0.39634121791645693</v>
      </c>
      <c r="G18" s="81">
        <f>Gen!T24</f>
        <v>3974</v>
      </c>
      <c r="H18" s="81">
        <f>[1]Gen!AJ27</f>
        <v>597.9</v>
      </c>
      <c r="I18" s="81">
        <f t="shared" si="0"/>
        <v>4571.8999999999996</v>
      </c>
      <c r="J18" s="81">
        <f>[1]Gen!AT24</f>
        <v>29915.45000000003</v>
      </c>
      <c r="K18" s="67">
        <f>'Water-Meter'!E19</f>
        <v>207</v>
      </c>
      <c r="L18" s="426">
        <f>'Lpg (2)'!G23</f>
        <v>143.52800000004356</v>
      </c>
      <c r="M18" s="84" t="e">
        <f>#REF!</f>
        <v>#REF!</v>
      </c>
      <c r="N18" s="84" t="e">
        <f>#REF!</f>
        <v>#REF!</v>
      </c>
      <c r="O18" s="84" t="e">
        <f>#REF!</f>
        <v>#REF!</v>
      </c>
      <c r="P18" s="85">
        <f t="shared" si="1"/>
        <v>0.57529711538461592</v>
      </c>
      <c r="Q18" s="6">
        <f>I18*Q2</f>
        <v>10103213.214999998</v>
      </c>
      <c r="R18" s="72">
        <f t="shared" si="3"/>
        <v>552.23300182561536</v>
      </c>
      <c r="S18" s="418" t="e">
        <f t="shared" si="4"/>
        <v>#DIV/0!</v>
      </c>
      <c r="T18" s="72">
        <f t="shared" si="5"/>
        <v>13.329545454545455</v>
      </c>
      <c r="U18" s="118">
        <f t="shared" si="6"/>
        <v>177.86961111116509</v>
      </c>
      <c r="V18" s="17">
        <f t="shared" si="7"/>
        <v>10103404.414156564</v>
      </c>
      <c r="W18" s="120" t="e">
        <f>SUM(V18/E18)/T2</f>
        <v>#DIV/0!</v>
      </c>
      <c r="X18">
        <f t="shared" si="9"/>
        <v>1584</v>
      </c>
      <c r="Y18" s="419">
        <v>106</v>
      </c>
      <c r="Z18" s="75" t="e">
        <f t="shared" si="8"/>
        <v>#DIV/0!</v>
      </c>
    </row>
    <row r="19" spans="1:26">
      <c r="A19" s="51">
        <f>Gen!A25</f>
        <v>44362</v>
      </c>
      <c r="B19" s="78">
        <v>0</v>
      </c>
      <c r="C19" s="83">
        <f>Gen!B25</f>
        <v>0.18</v>
      </c>
      <c r="D19" s="414">
        <f t="shared" si="2"/>
        <v>13.86</v>
      </c>
      <c r="E19" s="70"/>
      <c r="F19" s="68">
        <f>Gen!U25</f>
        <v>0.41262908177504887</v>
      </c>
      <c r="G19" s="81">
        <f>Gen!T25</f>
        <v>3583</v>
      </c>
      <c r="H19" s="81">
        <f>[1]Gen!AJ28</f>
        <v>227.73000000000002</v>
      </c>
      <c r="I19" s="81">
        <f t="shared" si="0"/>
        <v>3810.73</v>
      </c>
      <c r="J19" s="81">
        <f>[1]Gen!AT25</f>
        <v>42248.240000000034</v>
      </c>
      <c r="K19" s="67">
        <f>'Water-Meter'!E20</f>
        <v>222</v>
      </c>
      <c r="L19" s="426">
        <f>'Lpg (2)'!G24</f>
        <v>117.52399999996415</v>
      </c>
      <c r="M19" s="84" t="e">
        <f>#REF!</f>
        <v>#REF!</v>
      </c>
      <c r="N19" s="84" t="e">
        <f>#REF!</f>
        <v>#REF!</v>
      </c>
      <c r="O19" s="84" t="e">
        <f>#REF!</f>
        <v>#REF!</v>
      </c>
      <c r="P19" s="85">
        <f t="shared" si="1"/>
        <v>0.8124661538461545</v>
      </c>
      <c r="Q19" s="6">
        <f>I19*Q2</f>
        <v>8421141.6905000005</v>
      </c>
      <c r="R19" s="72">
        <f t="shared" si="3"/>
        <v>383.57700792648717</v>
      </c>
      <c r="S19" s="418" t="e">
        <f t="shared" si="4"/>
        <v>#DIV/0!</v>
      </c>
      <c r="T19" s="72">
        <f t="shared" si="5"/>
        <v>14.295454545454545</v>
      </c>
      <c r="U19" s="118">
        <f t="shared" si="6"/>
        <v>145.64369444440001</v>
      </c>
      <c r="V19" s="17">
        <f t="shared" si="7"/>
        <v>8421301.6296489891</v>
      </c>
      <c r="W19" s="72" t="e">
        <f>SUM(V19/E19)/T2</f>
        <v>#DIV/0!</v>
      </c>
      <c r="X19">
        <f t="shared" si="9"/>
        <v>1584</v>
      </c>
      <c r="Y19" s="419">
        <v>106</v>
      </c>
      <c r="Z19" s="75" t="e">
        <f t="shared" si="8"/>
        <v>#DIV/0!</v>
      </c>
    </row>
    <row r="20" spans="1:26">
      <c r="A20" s="51">
        <f>Gen!A26</f>
        <v>44363</v>
      </c>
      <c r="B20" s="78">
        <v>0</v>
      </c>
      <c r="C20" s="83">
        <f>Gen!B26</f>
        <v>0.17</v>
      </c>
      <c r="D20" s="414">
        <f t="shared" si="2"/>
        <v>13.090000000000002</v>
      </c>
      <c r="E20" s="70"/>
      <c r="F20" s="68">
        <f>Gen!U26</f>
        <v>0.38456713028668749</v>
      </c>
      <c r="G20" s="81">
        <f>Gen!T26</f>
        <v>3523</v>
      </c>
      <c r="H20" s="81">
        <f>[1]Gen!AJ29</f>
        <v>88.289999999999992</v>
      </c>
      <c r="I20" s="81">
        <f t="shared" si="0"/>
        <v>3611.29</v>
      </c>
      <c r="J20" s="81">
        <f>[1]Gen!AT26</f>
        <v>39497.370000000032</v>
      </c>
      <c r="K20" s="67">
        <f>'Water-Meter'!E21</f>
        <v>216</v>
      </c>
      <c r="L20" s="426">
        <f>'Lpg (2)'!G25</f>
        <v>112.02400000002818</v>
      </c>
      <c r="M20" s="84" t="e">
        <f>#REF!</f>
        <v>#REF!</v>
      </c>
      <c r="N20" s="84" t="e">
        <f>#REF!</f>
        <v>#REF!</v>
      </c>
      <c r="O20" s="84" t="e">
        <f>#REF!</f>
        <v>#REF!</v>
      </c>
      <c r="P20" s="85">
        <f t="shared" si="1"/>
        <v>0.75956480769230827</v>
      </c>
      <c r="Q20" s="6">
        <f>I20*Q2</f>
        <v>7980409.2064999994</v>
      </c>
      <c r="R20" s="72">
        <f t="shared" si="3"/>
        <v>384.88442515780406</v>
      </c>
      <c r="S20" s="418" t="e">
        <f t="shared" si="4"/>
        <v>#DIV/0!</v>
      </c>
      <c r="T20" s="72">
        <f t="shared" si="5"/>
        <v>13.909090909090908</v>
      </c>
      <c r="U20" s="118">
        <f t="shared" si="6"/>
        <v>138.82772222225714</v>
      </c>
      <c r="V20" s="17">
        <f t="shared" si="7"/>
        <v>7980561.9433131311</v>
      </c>
      <c r="W20" s="72" t="e">
        <f>SUM(V20/E20)/T2</f>
        <v>#DIV/0!</v>
      </c>
      <c r="X20">
        <f t="shared" si="9"/>
        <v>1584</v>
      </c>
      <c r="Y20" s="419">
        <v>106</v>
      </c>
      <c r="Z20" s="75" t="e">
        <f t="shared" si="8"/>
        <v>#DIV/0!</v>
      </c>
    </row>
    <row r="21" spans="1:26">
      <c r="A21" s="51">
        <f>Gen!A27</f>
        <v>44364</v>
      </c>
      <c r="B21" s="78">
        <v>0</v>
      </c>
      <c r="C21" s="83">
        <f>Gen!B27</f>
        <v>0.16</v>
      </c>
      <c r="D21" s="414">
        <f t="shared" si="2"/>
        <v>12.32</v>
      </c>
      <c r="E21" s="70"/>
      <c r="F21" s="68">
        <f>Gen!U27</f>
        <v>0.40001511487303509</v>
      </c>
      <c r="G21" s="81">
        <f>Gen!T27</f>
        <v>3308</v>
      </c>
      <c r="H21" s="81">
        <f>[1]Gen!AJ30</f>
        <v>783.92</v>
      </c>
      <c r="I21" s="81">
        <f t="shared" si="0"/>
        <v>4091.92</v>
      </c>
      <c r="J21" s="81">
        <f>[1]Gen!AT27</f>
        <v>36688.350000000035</v>
      </c>
      <c r="K21" s="67">
        <f>'Water-Meter'!E22</f>
        <v>79</v>
      </c>
      <c r="L21" s="426">
        <f>'Lpg (2)'!G26</f>
        <v>129.00799999996673</v>
      </c>
      <c r="M21" s="84" t="e">
        <f>#REF!</f>
        <v>#REF!</v>
      </c>
      <c r="N21" s="84" t="e">
        <f>#REF!</f>
        <v>#REF!</v>
      </c>
      <c r="O21" s="84" t="e">
        <f>#REF!</f>
        <v>#REF!</v>
      </c>
      <c r="P21" s="85">
        <f t="shared" si="1"/>
        <v>0.70554519230769297</v>
      </c>
      <c r="Q21" s="6">
        <f>I21*Q2</f>
        <v>9042529.4120000005</v>
      </c>
      <c r="R21" s="72">
        <f t="shared" si="3"/>
        <v>463.36587322084483</v>
      </c>
      <c r="S21" s="418" t="e">
        <f t="shared" si="4"/>
        <v>#DIV/0!</v>
      </c>
      <c r="T21" s="72">
        <f t="shared" si="5"/>
        <v>5.0871212121212119</v>
      </c>
      <c r="U21" s="118">
        <f t="shared" si="6"/>
        <v>159.8754444444032</v>
      </c>
      <c r="V21" s="17">
        <f t="shared" si="7"/>
        <v>9042694.3745656572</v>
      </c>
      <c r="W21" s="72" t="e">
        <f>SUM(V21/E21)/T2</f>
        <v>#DIV/0!</v>
      </c>
      <c r="X21">
        <f t="shared" si="9"/>
        <v>1584</v>
      </c>
      <c r="Y21" s="419">
        <v>106</v>
      </c>
      <c r="Z21" s="75" t="e">
        <f t="shared" si="8"/>
        <v>#DIV/0!</v>
      </c>
    </row>
    <row r="22" spans="1:26">
      <c r="A22" s="51">
        <f>Gen!A28</f>
        <v>44365</v>
      </c>
      <c r="B22" s="78">
        <v>0</v>
      </c>
      <c r="C22" s="83">
        <f>Gen!B28</f>
        <v>0.16</v>
      </c>
      <c r="D22" s="414">
        <f t="shared" si="2"/>
        <v>12.32</v>
      </c>
      <c r="E22" s="70"/>
      <c r="F22" s="68">
        <f>Gen!U28</f>
        <v>0.42455985915492961</v>
      </c>
      <c r="G22" s="81">
        <f>Gen!T28</f>
        <v>3408</v>
      </c>
      <c r="H22" s="81" t="e">
        <f>[1]Gen!#REF!</f>
        <v>#REF!</v>
      </c>
      <c r="I22" s="81" t="e">
        <f t="shared" si="0"/>
        <v>#REF!</v>
      </c>
      <c r="J22" s="81">
        <f>[1]Gen!AT28</f>
        <v>33769.340000000033</v>
      </c>
      <c r="K22" s="67">
        <f>'Water-Meter'!E23</f>
        <v>77</v>
      </c>
      <c r="L22" s="426">
        <f>'Lpg (2)'!G27</f>
        <v>99.880000000051226</v>
      </c>
      <c r="M22" s="84" t="e">
        <f>#REF!</f>
        <v>#REF!</v>
      </c>
      <c r="N22" s="84" t="e">
        <f>#REF!</f>
        <v>#REF!</v>
      </c>
      <c r="O22" s="84" t="e">
        <f>#REF!</f>
        <v>#REF!</v>
      </c>
      <c r="P22" s="85">
        <f t="shared" si="1"/>
        <v>0.64941038461538525</v>
      </c>
      <c r="Q22" s="6" t="e">
        <f>I22*Q2</f>
        <v>#REF!</v>
      </c>
      <c r="R22" s="72" t="e">
        <f t="shared" si="3"/>
        <v>#REF!</v>
      </c>
      <c r="S22" s="418" t="e">
        <f t="shared" si="4"/>
        <v>#REF!</v>
      </c>
      <c r="T22" s="72">
        <f t="shared" si="5"/>
        <v>4.958333333333333</v>
      </c>
      <c r="U22" s="118">
        <f t="shared" si="6"/>
        <v>123.77805555561903</v>
      </c>
      <c r="V22" s="17" t="e">
        <f t="shared" si="7"/>
        <v>#REF!</v>
      </c>
      <c r="W22" s="72" t="e">
        <f>SUM(V22/E22)/T2</f>
        <v>#REF!</v>
      </c>
      <c r="X22">
        <f t="shared" si="9"/>
        <v>1584</v>
      </c>
      <c r="Y22" s="419">
        <v>106</v>
      </c>
      <c r="Z22" s="75" t="e">
        <f t="shared" si="8"/>
        <v>#REF!</v>
      </c>
    </row>
    <row r="23" spans="1:26">
      <c r="A23" s="51">
        <f>Gen!A29</f>
        <v>44366</v>
      </c>
      <c r="B23" s="78">
        <v>0</v>
      </c>
      <c r="C23" s="83">
        <f>Gen!B29</f>
        <v>0.11</v>
      </c>
      <c r="D23" s="414">
        <f t="shared" si="2"/>
        <v>8.4700000000000006</v>
      </c>
      <c r="E23" s="70"/>
      <c r="F23" s="68">
        <f>Gen!U29</f>
        <v>0.42113324624428478</v>
      </c>
      <c r="G23" s="81">
        <f>Gen!T29</f>
        <v>3062</v>
      </c>
      <c r="H23" s="81" t="e">
        <f>[1]Gen!#REF!</f>
        <v>#REF!</v>
      </c>
      <c r="I23" s="81" t="e">
        <f t="shared" si="0"/>
        <v>#REF!</v>
      </c>
      <c r="J23" s="81">
        <f>[1]Gen!AT29</f>
        <v>31336.770000000033</v>
      </c>
      <c r="K23" s="67">
        <f>'Water-Meter'!E24</f>
        <v>80</v>
      </c>
      <c r="L23" s="426">
        <f>'Lpg (2)'!G28</f>
        <v>106.52399999996415</v>
      </c>
      <c r="M23" s="84" t="e">
        <f>#REF!</f>
        <v>#REF!</v>
      </c>
      <c r="N23" s="84" t="e">
        <f>#REF!</f>
        <v>#REF!</v>
      </c>
      <c r="O23" s="84" t="e">
        <f>#REF!</f>
        <v>#REF!</v>
      </c>
      <c r="P23" s="85">
        <f t="shared" si="1"/>
        <v>0.60263019230769299</v>
      </c>
      <c r="Q23" s="6" t="e">
        <f>I23*Q2</f>
        <v>#REF!</v>
      </c>
      <c r="R23" s="72" t="e">
        <f t="shared" si="3"/>
        <v>#REF!</v>
      </c>
      <c r="S23" s="418" t="e">
        <f t="shared" si="4"/>
        <v>#REF!</v>
      </c>
      <c r="T23" s="72">
        <f t="shared" si="5"/>
        <v>5.1515151515151514</v>
      </c>
      <c r="U23" s="118">
        <f t="shared" si="6"/>
        <v>132.01174999995555</v>
      </c>
      <c r="V23" s="17" t="e">
        <f t="shared" si="7"/>
        <v>#REF!</v>
      </c>
      <c r="W23" s="72" t="e">
        <f>SUM(V23/E23)/T2</f>
        <v>#REF!</v>
      </c>
      <c r="X23">
        <f t="shared" si="9"/>
        <v>1584</v>
      </c>
      <c r="Y23" s="419">
        <v>106</v>
      </c>
      <c r="Z23" s="75" t="e">
        <f t="shared" si="8"/>
        <v>#REF!</v>
      </c>
    </row>
    <row r="24" spans="1:26">
      <c r="A24" s="51">
        <f>Gen!A30</f>
        <v>44367</v>
      </c>
      <c r="B24" s="78">
        <v>0</v>
      </c>
      <c r="C24" s="83">
        <f>Gen!B30</f>
        <v>0.05</v>
      </c>
      <c r="D24" s="414">
        <f t="shared" si="2"/>
        <v>3.85</v>
      </c>
      <c r="E24" s="70"/>
      <c r="F24" s="68">
        <f>Gen!U30</f>
        <v>0.40831384015594541</v>
      </c>
      <c r="G24" s="81">
        <f>Gen!T30</f>
        <v>3078</v>
      </c>
      <c r="H24" s="81" t="e">
        <f>[1]Gen!#REF!</f>
        <v>#REF!</v>
      </c>
      <c r="I24" s="81" t="e">
        <f t="shared" si="0"/>
        <v>#REF!</v>
      </c>
      <c r="J24" s="81">
        <f>[1]Gen!AT30</f>
        <v>29403.300000000032</v>
      </c>
      <c r="K24" s="67">
        <f>'Water-Meter'!E25</f>
        <v>65</v>
      </c>
      <c r="L24" s="426">
        <f>'Lpg (2)'!G29</f>
        <v>120.2520000000077</v>
      </c>
      <c r="M24" s="84" t="e">
        <f>#REF!</f>
        <v>#REF!</v>
      </c>
      <c r="N24" s="84" t="e">
        <f>#REF!</f>
        <v>#REF!</v>
      </c>
      <c r="O24" s="84" t="e">
        <f>#REF!</f>
        <v>#REF!</v>
      </c>
      <c r="P24" s="85">
        <f t="shared" si="1"/>
        <v>0.56544807692307753</v>
      </c>
      <c r="Q24" s="6" t="e">
        <f>I24*Q2</f>
        <v>#REF!</v>
      </c>
      <c r="R24" s="72" t="e">
        <f t="shared" si="3"/>
        <v>#REF!</v>
      </c>
      <c r="S24" s="418" t="e">
        <f t="shared" si="4"/>
        <v>#REF!</v>
      </c>
      <c r="T24" s="72">
        <f t="shared" si="5"/>
        <v>4.1856060606060606</v>
      </c>
      <c r="U24" s="118">
        <f t="shared" si="6"/>
        <v>149.02441666667622</v>
      </c>
      <c r="V24" s="17" t="e">
        <f t="shared" si="7"/>
        <v>#REF!</v>
      </c>
      <c r="W24" s="72" t="e">
        <f>SUM(V24/E24)/T2</f>
        <v>#REF!</v>
      </c>
      <c r="X24">
        <f t="shared" si="9"/>
        <v>1584</v>
      </c>
      <c r="Y24" s="419">
        <v>106</v>
      </c>
      <c r="Z24" s="75" t="e">
        <f t="shared" si="8"/>
        <v>#REF!</v>
      </c>
    </row>
    <row r="25" spans="1:26">
      <c r="A25" s="51">
        <f>Gen!A31</f>
        <v>44368</v>
      </c>
      <c r="B25" s="78">
        <v>0</v>
      </c>
      <c r="C25" s="83">
        <f>Gen!B31</f>
        <v>0</v>
      </c>
      <c r="D25" s="414">
        <f t="shared" si="2"/>
        <v>0</v>
      </c>
      <c r="E25" s="70"/>
      <c r="F25" s="68" t="e">
        <f>Gen!U31</f>
        <v>#DIV/0!</v>
      </c>
      <c r="G25" s="81">
        <f>Gen!T31</f>
        <v>0</v>
      </c>
      <c r="H25" s="81">
        <f>[1]Gen!AJ31</f>
        <v>172.05</v>
      </c>
      <c r="I25" s="81">
        <f t="shared" si="0"/>
        <v>172.05</v>
      </c>
      <c r="J25" s="81">
        <f>[1]Gen!AT31</f>
        <v>41422.370000000032</v>
      </c>
      <c r="K25" s="67" t="str">
        <f>'Water-Meter'!E26</f>
        <v>0</v>
      </c>
      <c r="L25" s="426">
        <f>'Lpg (2)'!G30</f>
        <v>77.043999999976961</v>
      </c>
      <c r="M25" s="84" t="e">
        <f>#REF!</f>
        <v>#REF!</v>
      </c>
      <c r="N25" s="84" t="e">
        <f>#REF!</f>
        <v>#REF!</v>
      </c>
      <c r="O25" s="84" t="e">
        <f>#REF!</f>
        <v>#REF!</v>
      </c>
      <c r="P25" s="85">
        <f t="shared" si="1"/>
        <v>0.79658403846153902</v>
      </c>
      <c r="Q25" s="6">
        <f>I25*Q2</f>
        <v>380204.6925</v>
      </c>
      <c r="R25" s="72" t="e">
        <f t="shared" si="3"/>
        <v>#DIV/0!</v>
      </c>
      <c r="S25" s="418" t="e">
        <f t="shared" si="4"/>
        <v>#DIV/0!</v>
      </c>
      <c r="T25" s="72">
        <f t="shared" si="5"/>
        <v>0</v>
      </c>
      <c r="U25" s="118">
        <f t="shared" si="6"/>
        <v>95.478138888860343</v>
      </c>
      <c r="V25" s="17">
        <f t="shared" si="7"/>
        <v>380300.17063888884</v>
      </c>
      <c r="W25" s="72" t="e">
        <f>SUM(V25/E25)/T2</f>
        <v>#DIV/0!</v>
      </c>
      <c r="X25">
        <f t="shared" si="9"/>
        <v>1584</v>
      </c>
      <c r="Y25" s="419">
        <v>106</v>
      </c>
      <c r="Z25" s="75" t="e">
        <f t="shared" si="8"/>
        <v>#DIV/0!</v>
      </c>
    </row>
    <row r="26" spans="1:26">
      <c r="A26" s="51">
        <f>Gen!A32</f>
        <v>44369</v>
      </c>
      <c r="B26" s="78">
        <v>0</v>
      </c>
      <c r="C26" s="83">
        <f>Gen!B32</f>
        <v>0</v>
      </c>
      <c r="D26" s="414">
        <f t="shared" si="2"/>
        <v>0</v>
      </c>
      <c r="E26" s="70"/>
      <c r="F26" s="68" t="e">
        <f>Gen!U32</f>
        <v>#DIV/0!</v>
      </c>
      <c r="G26" s="81">
        <f>Gen!T32</f>
        <v>0</v>
      </c>
      <c r="H26" s="81">
        <f>[1]Gen!AJ32</f>
        <v>18.63</v>
      </c>
      <c r="I26" s="81">
        <f t="shared" si="0"/>
        <v>18.63</v>
      </c>
      <c r="J26" s="81">
        <f>[1]Gen!AT32</f>
        <v>38988.160000000033</v>
      </c>
      <c r="K26" s="67">
        <f>'Water-Meter'!E27</f>
        <v>0</v>
      </c>
      <c r="L26" s="426">
        <f>'Lpg (2)'!G31</f>
        <v>-339889.17599999998</v>
      </c>
      <c r="M26" s="84" t="e">
        <f>#REF!</f>
        <v>#REF!</v>
      </c>
      <c r="N26" s="84" t="e">
        <f>#REF!</f>
        <v>#REF!</v>
      </c>
      <c r="O26" s="84" t="e">
        <f>#REF!</f>
        <v>#REF!</v>
      </c>
      <c r="P26" s="85">
        <f t="shared" si="1"/>
        <v>0.74977230769230829</v>
      </c>
      <c r="Q26" s="6">
        <f>I26*Q2</f>
        <v>41169.505499999999</v>
      </c>
      <c r="R26" s="72" t="e">
        <f t="shared" si="3"/>
        <v>#DIV/0!</v>
      </c>
      <c r="S26" s="418" t="e">
        <f t="shared" si="4"/>
        <v>#DIV/0!</v>
      </c>
      <c r="T26" s="72">
        <f t="shared" si="5"/>
        <v>0</v>
      </c>
      <c r="U26" s="118">
        <f t="shared" si="6"/>
        <v>-421213.66949999996</v>
      </c>
      <c r="V26" s="17">
        <f t="shared" si="7"/>
        <v>-380044.16399999999</v>
      </c>
      <c r="W26" s="72" t="e">
        <f>SUM(V26/E26)/T2</f>
        <v>#DIV/0!</v>
      </c>
      <c r="X26">
        <f t="shared" si="9"/>
        <v>1584</v>
      </c>
      <c r="Y26" s="419">
        <v>106</v>
      </c>
      <c r="Z26" s="75" t="e">
        <f t="shared" si="8"/>
        <v>#DIV/0!</v>
      </c>
    </row>
    <row r="27" spans="1:26">
      <c r="A27" s="51">
        <f>Gen!A33</f>
        <v>44370</v>
      </c>
      <c r="B27" s="78">
        <v>0</v>
      </c>
      <c r="C27" s="83">
        <f>Gen!B33</f>
        <v>0</v>
      </c>
      <c r="D27" s="414">
        <f t="shared" si="2"/>
        <v>0</v>
      </c>
      <c r="E27" s="70"/>
      <c r="F27" s="68" t="e">
        <f>Gen!U33</f>
        <v>#DIV/0!</v>
      </c>
      <c r="G27" s="81">
        <f>Gen!T33</f>
        <v>0</v>
      </c>
      <c r="H27" s="81">
        <f>[1]Gen!AJ33</f>
        <v>311.34000000000003</v>
      </c>
      <c r="I27" s="81">
        <f t="shared" si="0"/>
        <v>311.34000000000003</v>
      </c>
      <c r="J27" s="81">
        <f>[1]Gen!AT33</f>
        <v>36682.670000000035</v>
      </c>
      <c r="K27" s="67">
        <f>'Water-Meter'!E28</f>
        <v>0</v>
      </c>
      <c r="L27" s="426">
        <f>'Lpg (2)'!G32</f>
        <v>0</v>
      </c>
      <c r="M27" s="84" t="e">
        <f>#REF!</f>
        <v>#REF!</v>
      </c>
      <c r="N27" s="84" t="e">
        <f>#REF!</f>
        <v>#REF!</v>
      </c>
      <c r="O27" s="84" t="e">
        <f>#REF!</f>
        <v>#REF!</v>
      </c>
      <c r="P27" s="85">
        <f t="shared" si="1"/>
        <v>0.70543596153846222</v>
      </c>
      <c r="Q27" s="6">
        <f>I27*Q2</f>
        <v>688014.69900000002</v>
      </c>
      <c r="R27" s="72" t="e">
        <f t="shared" si="3"/>
        <v>#DIV/0!</v>
      </c>
      <c r="S27" s="418" t="e">
        <f t="shared" si="4"/>
        <v>#DIV/0!</v>
      </c>
      <c r="T27" s="72">
        <f t="shared" si="5"/>
        <v>0</v>
      </c>
      <c r="U27" s="118">
        <f t="shared" si="6"/>
        <v>0</v>
      </c>
      <c r="V27" s="17">
        <f t="shared" si="7"/>
        <v>688014.69900000002</v>
      </c>
      <c r="W27" s="72" t="e">
        <f>SUM(V27/E27)/T2</f>
        <v>#DIV/0!</v>
      </c>
      <c r="X27">
        <f t="shared" si="9"/>
        <v>1584</v>
      </c>
      <c r="Y27" s="419">
        <v>106</v>
      </c>
      <c r="Z27" s="75" t="e">
        <f t="shared" si="8"/>
        <v>#DIV/0!</v>
      </c>
    </row>
    <row r="28" spans="1:26">
      <c r="A28" s="51">
        <f>Gen!A34</f>
        <v>44371</v>
      </c>
      <c r="B28" s="78">
        <v>0</v>
      </c>
      <c r="C28" s="83">
        <f>Gen!B34</f>
        <v>0</v>
      </c>
      <c r="D28" s="414">
        <f t="shared" si="2"/>
        <v>0</v>
      </c>
      <c r="E28" s="70"/>
      <c r="F28" s="68" t="e">
        <f>Gen!U34</f>
        <v>#DIV/0!</v>
      </c>
      <c r="G28" s="81">
        <f>Gen!T34</f>
        <v>0</v>
      </c>
      <c r="H28" s="81">
        <f>[1]Gen!AJ34</f>
        <v>380.7</v>
      </c>
      <c r="I28" s="81">
        <f t="shared" si="0"/>
        <v>380.7</v>
      </c>
      <c r="J28" s="81">
        <f>[1]Gen!AT34</f>
        <v>44223.030000000035</v>
      </c>
      <c r="K28" s="67">
        <f>'Water-Meter'!E29</f>
        <v>0</v>
      </c>
      <c r="L28" s="426">
        <f>'Lpg (2)'!G33</f>
        <v>0</v>
      </c>
      <c r="M28" s="84" t="e">
        <f>#REF!</f>
        <v>#REF!</v>
      </c>
      <c r="N28" s="84" t="e">
        <f>#REF!</f>
        <v>#REF!</v>
      </c>
      <c r="O28" s="84" t="e">
        <f>#REF!</f>
        <v>#REF!</v>
      </c>
      <c r="P28" s="85">
        <f t="shared" si="1"/>
        <v>0.85044288461538531</v>
      </c>
      <c r="Q28" s="6">
        <f>I28*Q2</f>
        <v>841289.8949999999</v>
      </c>
      <c r="R28" s="72" t="e">
        <f t="shared" si="3"/>
        <v>#DIV/0!</v>
      </c>
      <c r="S28" s="418" t="e">
        <f t="shared" si="4"/>
        <v>#DIV/0!</v>
      </c>
      <c r="T28" s="72">
        <f t="shared" si="5"/>
        <v>0</v>
      </c>
      <c r="U28" s="118">
        <f t="shared" si="6"/>
        <v>0</v>
      </c>
      <c r="V28" s="17">
        <f t="shared" si="7"/>
        <v>841289.8949999999</v>
      </c>
      <c r="W28" s="72" t="e">
        <f>SUM(V28/E28)/T2</f>
        <v>#DIV/0!</v>
      </c>
      <c r="X28">
        <f t="shared" si="9"/>
        <v>1584</v>
      </c>
      <c r="Y28" s="419">
        <v>106</v>
      </c>
      <c r="Z28" s="75" t="e">
        <f t="shared" si="8"/>
        <v>#DIV/0!</v>
      </c>
    </row>
    <row r="29" spans="1:26">
      <c r="A29" s="51">
        <f>Gen!A35</f>
        <v>44372</v>
      </c>
      <c r="B29" s="78">
        <v>0</v>
      </c>
      <c r="C29" s="83">
        <f>Gen!B35</f>
        <v>0</v>
      </c>
      <c r="D29" s="414">
        <f t="shared" si="2"/>
        <v>0</v>
      </c>
      <c r="E29" s="70"/>
      <c r="F29" s="68" t="e">
        <f>Gen!U35</f>
        <v>#DIV/0!</v>
      </c>
      <c r="G29" s="81">
        <f>Gen!T35</f>
        <v>0</v>
      </c>
      <c r="H29" s="81">
        <f>[1]Gen!AJ35</f>
        <v>273.37</v>
      </c>
      <c r="I29" s="81">
        <f t="shared" si="0"/>
        <v>273.37</v>
      </c>
      <c r="J29" s="81">
        <f>[1]Gen!AT35</f>
        <v>41629.060000000034</v>
      </c>
      <c r="K29" s="67">
        <f>'Water-Meter'!E30</f>
        <v>0</v>
      </c>
      <c r="L29" s="426">
        <f>'Lpg (2)'!G34</f>
        <v>0</v>
      </c>
      <c r="M29" s="84" t="e">
        <f>#REF!</f>
        <v>#REF!</v>
      </c>
      <c r="N29" s="84" t="e">
        <f>#REF!</f>
        <v>#REF!</v>
      </c>
      <c r="O29" s="84" t="e">
        <f>#REF!</f>
        <v>#REF!</v>
      </c>
      <c r="P29" s="85">
        <f t="shared" si="1"/>
        <v>0.80055884615384676</v>
      </c>
      <c r="Q29" s="6">
        <f>I29*Q2</f>
        <v>604106.69449999998</v>
      </c>
      <c r="R29" s="72" t="e">
        <f t="shared" si="3"/>
        <v>#DIV/0!</v>
      </c>
      <c r="S29" s="418" t="e">
        <f t="shared" si="4"/>
        <v>#DIV/0!</v>
      </c>
      <c r="T29" s="72">
        <f t="shared" si="5"/>
        <v>0</v>
      </c>
      <c r="U29" s="118">
        <f t="shared" si="6"/>
        <v>0</v>
      </c>
      <c r="V29" s="17">
        <f t="shared" si="7"/>
        <v>604106.69449999998</v>
      </c>
      <c r="W29" s="72" t="e">
        <f>SUM(V29/E29)/T2</f>
        <v>#DIV/0!</v>
      </c>
      <c r="X29">
        <f t="shared" si="9"/>
        <v>1584</v>
      </c>
      <c r="Y29" s="419">
        <v>106</v>
      </c>
      <c r="Z29" s="75" t="e">
        <f t="shared" si="8"/>
        <v>#DIV/0!</v>
      </c>
    </row>
    <row r="30" spans="1:26">
      <c r="A30" s="51">
        <f>Gen!A36</f>
        <v>44373</v>
      </c>
      <c r="B30" s="78">
        <v>0</v>
      </c>
      <c r="C30" s="83">
        <f>Gen!B36</f>
        <v>0</v>
      </c>
      <c r="D30" s="414">
        <f t="shared" si="2"/>
        <v>0</v>
      </c>
      <c r="E30" s="70"/>
      <c r="F30" s="68" t="e">
        <f>Gen!U36</f>
        <v>#DIV/0!</v>
      </c>
      <c r="G30" s="81">
        <f>Gen!T36</f>
        <v>0</v>
      </c>
      <c r="H30" s="81">
        <f>[1]Gen!AJ36</f>
        <v>396.56</v>
      </c>
      <c r="I30" s="81">
        <f t="shared" si="0"/>
        <v>396.56</v>
      </c>
      <c r="J30" s="81">
        <f>[1]Gen!AT36</f>
        <v>39251.170000000035</v>
      </c>
      <c r="K30" s="67">
        <f>'Water-Meter'!E31</f>
        <v>0</v>
      </c>
      <c r="L30" s="426">
        <f>'Lpg (2)'!G35</f>
        <v>0</v>
      </c>
      <c r="M30" s="84" t="e">
        <f>#REF!</f>
        <v>#REF!</v>
      </c>
      <c r="N30" s="84" t="e">
        <f>#REF!</f>
        <v>#REF!</v>
      </c>
      <c r="O30" s="84" t="e">
        <f>#REF!</f>
        <v>#REF!</v>
      </c>
      <c r="P30" s="85">
        <f t="shared" si="1"/>
        <v>0.75483019230769299</v>
      </c>
      <c r="Q30" s="6">
        <f>I30*Q2</f>
        <v>876338.11599999992</v>
      </c>
      <c r="R30" s="72" t="e">
        <f t="shared" si="3"/>
        <v>#DIV/0!</v>
      </c>
      <c r="S30" s="418" t="e">
        <f t="shared" si="4"/>
        <v>#DIV/0!</v>
      </c>
      <c r="T30" s="72">
        <f t="shared" si="5"/>
        <v>0</v>
      </c>
      <c r="U30" s="118">
        <f t="shared" si="6"/>
        <v>0</v>
      </c>
      <c r="V30" s="17">
        <f t="shared" si="7"/>
        <v>876338.11599999992</v>
      </c>
      <c r="W30" s="72" t="e">
        <f>SUM(V30/E30)/T2</f>
        <v>#DIV/0!</v>
      </c>
      <c r="X30">
        <f t="shared" si="9"/>
        <v>1584</v>
      </c>
      <c r="Y30" s="419">
        <v>106</v>
      </c>
      <c r="Z30" s="75" t="e">
        <f t="shared" si="8"/>
        <v>#DIV/0!</v>
      </c>
    </row>
    <row r="31" spans="1:26">
      <c r="A31" s="51">
        <f>Gen!A37</f>
        <v>44374</v>
      </c>
      <c r="B31" s="78">
        <v>0</v>
      </c>
      <c r="C31" s="83">
        <f>Gen!B37</f>
        <v>0</v>
      </c>
      <c r="D31" s="414">
        <f t="shared" si="2"/>
        <v>0</v>
      </c>
      <c r="E31" s="70"/>
      <c r="F31" s="68" t="e">
        <f>Gen!U37</f>
        <v>#DIV/0!</v>
      </c>
      <c r="G31" s="81">
        <f>Gen!T37</f>
        <v>0</v>
      </c>
      <c r="H31" s="81">
        <f>[1]Gen!AJ37</f>
        <v>280.63</v>
      </c>
      <c r="I31" s="81">
        <f t="shared" si="0"/>
        <v>280.63</v>
      </c>
      <c r="J31" s="81">
        <f>[1]Gen!AT37</f>
        <v>36384.370000000032</v>
      </c>
      <c r="K31" s="67">
        <f>'Water-Meter'!E32</f>
        <v>0</v>
      </c>
      <c r="L31" s="426">
        <f>'Lpg (2)'!G36</f>
        <v>0</v>
      </c>
      <c r="M31" s="84" t="e">
        <f>#REF!</f>
        <v>#REF!</v>
      </c>
      <c r="N31" s="84" t="e">
        <f>#REF!</f>
        <v>#REF!</v>
      </c>
      <c r="O31" s="84" t="e">
        <f>#REF!</f>
        <v>#REF!</v>
      </c>
      <c r="P31" s="85">
        <f t="shared" si="1"/>
        <v>0.69969942307692368</v>
      </c>
      <c r="Q31" s="6">
        <f>I31*Q2</f>
        <v>620150.20549999992</v>
      </c>
      <c r="R31" s="72" t="e">
        <f t="shared" si="3"/>
        <v>#DIV/0!</v>
      </c>
      <c r="S31" s="418" t="e">
        <f t="shared" si="4"/>
        <v>#DIV/0!</v>
      </c>
      <c r="T31" s="72">
        <f t="shared" si="5"/>
        <v>0</v>
      </c>
      <c r="U31" s="118">
        <f t="shared" si="6"/>
        <v>0</v>
      </c>
      <c r="V31" s="17">
        <f t="shared" si="7"/>
        <v>620150.20549999992</v>
      </c>
      <c r="W31" s="72" t="e">
        <f>SUM(V31/E31)/T2</f>
        <v>#DIV/0!</v>
      </c>
      <c r="X31">
        <f t="shared" si="9"/>
        <v>1584</v>
      </c>
      <c r="Y31" s="419">
        <v>106</v>
      </c>
      <c r="Z31" s="75" t="e">
        <f t="shared" si="8"/>
        <v>#DIV/0!</v>
      </c>
    </row>
    <row r="32" spans="1:26">
      <c r="A32" s="51">
        <f>Gen!A38</f>
        <v>44375</v>
      </c>
      <c r="B32" s="78">
        <v>0</v>
      </c>
      <c r="C32" s="83">
        <f>Gen!B38</f>
        <v>0</v>
      </c>
      <c r="D32" s="414">
        <f t="shared" si="2"/>
        <v>0</v>
      </c>
      <c r="E32" s="70"/>
      <c r="F32" s="68" t="e">
        <f>Gen!U38</f>
        <v>#DIV/0!</v>
      </c>
      <c r="G32" s="81">
        <f>Gen!T38</f>
        <v>0</v>
      </c>
      <c r="H32" s="81">
        <f>[1]Gen!AJ38</f>
        <v>0</v>
      </c>
      <c r="I32" s="81">
        <f t="shared" si="0"/>
        <v>0</v>
      </c>
      <c r="J32" s="81">
        <f>[1]Gen!AT38</f>
        <v>33780.000000000029</v>
      </c>
      <c r="K32" s="67">
        <f>'Water-Meter'!E33</f>
        <v>0</v>
      </c>
      <c r="L32" s="426">
        <f>'Lpg (2)'!G37</f>
        <v>0</v>
      </c>
      <c r="M32" s="84" t="e">
        <f>#REF!</f>
        <v>#REF!</v>
      </c>
      <c r="N32" s="84" t="e">
        <f>#REF!</f>
        <v>#REF!</v>
      </c>
      <c r="O32" s="84" t="e">
        <f>#REF!</f>
        <v>#REF!</v>
      </c>
      <c r="P32" s="85">
        <f t="shared" si="1"/>
        <v>0.64961538461538515</v>
      </c>
      <c r="Q32" s="6">
        <f>I32*Q2</f>
        <v>0</v>
      </c>
      <c r="R32" s="72" t="e">
        <f t="shared" si="3"/>
        <v>#DIV/0!</v>
      </c>
      <c r="S32" s="418" t="e">
        <f t="shared" si="4"/>
        <v>#DIV/0!</v>
      </c>
      <c r="T32" s="72">
        <f t="shared" si="5"/>
        <v>0</v>
      </c>
      <c r="U32" s="118">
        <f t="shared" si="6"/>
        <v>0</v>
      </c>
      <c r="V32" s="17">
        <f t="shared" si="7"/>
        <v>0</v>
      </c>
      <c r="W32" s="72" t="e">
        <f>SUM(V32/E32)/T2</f>
        <v>#DIV/0!</v>
      </c>
      <c r="X32">
        <f t="shared" si="9"/>
        <v>1584</v>
      </c>
      <c r="Y32" s="419">
        <v>106</v>
      </c>
      <c r="Z32" s="75" t="e">
        <f t="shared" si="8"/>
        <v>#DIV/0!</v>
      </c>
    </row>
    <row r="33" spans="1:26">
      <c r="A33" s="51">
        <f>Gen!A39</f>
        <v>44376</v>
      </c>
      <c r="B33" s="78">
        <v>0</v>
      </c>
      <c r="C33" s="83">
        <f>Gen!B39</f>
        <v>0</v>
      </c>
      <c r="D33" s="414">
        <f t="shared" si="2"/>
        <v>0</v>
      </c>
      <c r="E33" s="70"/>
      <c r="F33" s="68" t="e">
        <f>Gen!U39</f>
        <v>#DIV/0!</v>
      </c>
      <c r="G33" s="81">
        <f>Gen!T39</f>
        <v>0</v>
      </c>
      <c r="H33" s="81">
        <f>[1]Gen!AJ39</f>
        <v>0</v>
      </c>
      <c r="I33" s="81">
        <f t="shared" si="0"/>
        <v>0</v>
      </c>
      <c r="J33" s="81">
        <f>[1]Gen!AT39</f>
        <v>33780.000000000029</v>
      </c>
      <c r="K33" s="67">
        <f>'Water-Meter'!E34</f>
        <v>0</v>
      </c>
      <c r="L33" s="426">
        <f>'Lpg (2)'!G38</f>
        <v>0</v>
      </c>
      <c r="M33" s="84" t="e">
        <f>#REF!</f>
        <v>#REF!</v>
      </c>
      <c r="N33" s="84" t="e">
        <f>#REF!</f>
        <v>#REF!</v>
      </c>
      <c r="O33" s="84" t="e">
        <f>#REF!</f>
        <v>#REF!</v>
      </c>
      <c r="P33" s="85">
        <f t="shared" si="1"/>
        <v>0.64961538461538515</v>
      </c>
      <c r="Q33" s="6">
        <f>I33*Q2</f>
        <v>0</v>
      </c>
      <c r="R33" s="72" t="e">
        <f t="shared" si="3"/>
        <v>#DIV/0!</v>
      </c>
      <c r="S33" s="418" t="e">
        <f t="shared" si="4"/>
        <v>#DIV/0!</v>
      </c>
      <c r="T33" s="72">
        <f t="shared" si="5"/>
        <v>0</v>
      </c>
      <c r="U33" s="118">
        <f t="shared" si="6"/>
        <v>0</v>
      </c>
      <c r="V33" s="17">
        <f t="shared" si="7"/>
        <v>0</v>
      </c>
      <c r="W33" s="72" t="e">
        <f>SUM(V33/E33)/T2</f>
        <v>#DIV/0!</v>
      </c>
      <c r="X33">
        <f t="shared" si="9"/>
        <v>1584</v>
      </c>
      <c r="Y33" s="419">
        <v>106</v>
      </c>
      <c r="Z33" s="75" t="e">
        <f t="shared" si="8"/>
        <v>#DIV/0!</v>
      </c>
    </row>
    <row r="34" spans="1:26">
      <c r="A34" s="51">
        <f>Gen!A40</f>
        <v>44377</v>
      </c>
      <c r="B34" s="78">
        <v>0</v>
      </c>
      <c r="C34" s="83">
        <f>Gen!B40</f>
        <v>0</v>
      </c>
      <c r="D34" s="414">
        <f t="shared" si="2"/>
        <v>0</v>
      </c>
      <c r="E34" s="70"/>
      <c r="F34" s="68" t="e">
        <f>Gen!U40</f>
        <v>#DIV/0!</v>
      </c>
      <c r="G34" s="81">
        <f>Gen!T40</f>
        <v>0</v>
      </c>
      <c r="H34" s="81">
        <f>[1]Gen!AJ40</f>
        <v>0</v>
      </c>
      <c r="I34" s="81">
        <f t="shared" si="0"/>
        <v>0</v>
      </c>
      <c r="J34" s="81">
        <f>[1]Gen!AT40</f>
        <v>33780.000000000029</v>
      </c>
      <c r="K34" s="67">
        <f>'Water-Meter'!E35</f>
        <v>0</v>
      </c>
      <c r="L34" s="426">
        <f>'Lpg (2)'!G39</f>
        <v>0</v>
      </c>
      <c r="M34" s="84" t="e">
        <f>#REF!</f>
        <v>#REF!</v>
      </c>
      <c r="N34" s="84" t="e">
        <f>#REF!</f>
        <v>#REF!</v>
      </c>
      <c r="O34" s="84" t="e">
        <f>#REF!</f>
        <v>#REF!</v>
      </c>
      <c r="P34" s="85">
        <f t="shared" si="1"/>
        <v>0.64961538461538515</v>
      </c>
      <c r="Q34" s="6">
        <f>I34*Q2</f>
        <v>0</v>
      </c>
      <c r="R34" s="72" t="e">
        <f t="shared" si="3"/>
        <v>#DIV/0!</v>
      </c>
      <c r="S34" s="418" t="e">
        <f t="shared" si="4"/>
        <v>#DIV/0!</v>
      </c>
      <c r="T34" s="72">
        <f t="shared" si="5"/>
        <v>0</v>
      </c>
      <c r="U34" s="118">
        <f t="shared" si="6"/>
        <v>0</v>
      </c>
      <c r="V34" s="17">
        <f t="shared" si="7"/>
        <v>0</v>
      </c>
      <c r="W34" s="72" t="e">
        <f>SUM(V34/E34)/T2</f>
        <v>#DIV/0!</v>
      </c>
      <c r="X34">
        <f t="shared" si="9"/>
        <v>1584</v>
      </c>
      <c r="Y34" s="419">
        <v>106</v>
      </c>
      <c r="Z34" s="75" t="e">
        <f t="shared" si="8"/>
        <v>#DIV/0!</v>
      </c>
    </row>
    <row r="35" spans="1:26">
      <c r="A35" s="51">
        <f>Gen!A41</f>
        <v>0</v>
      </c>
      <c r="B35" s="78">
        <v>0</v>
      </c>
      <c r="C35" s="83">
        <f>Gen!B41</f>
        <v>0</v>
      </c>
      <c r="D35" s="414">
        <f t="shared" si="2"/>
        <v>0</v>
      </c>
      <c r="E35" s="70"/>
      <c r="F35" s="68">
        <f>Gen!U41</f>
        <v>0</v>
      </c>
      <c r="G35" s="81">
        <f>Gen!T41</f>
        <v>0</v>
      </c>
      <c r="H35" s="81">
        <f>[1]Gen!AJ41</f>
        <v>0</v>
      </c>
      <c r="I35" s="81">
        <f t="shared" si="0"/>
        <v>0</v>
      </c>
      <c r="J35" s="81">
        <f>[1]Gen!AT41</f>
        <v>33780.000000000029</v>
      </c>
      <c r="K35" s="67">
        <f>'Water-Meter'!E36</f>
        <v>0</v>
      </c>
      <c r="L35" s="426">
        <f>'Lpg (2)'!G40</f>
        <v>0</v>
      </c>
      <c r="M35" s="84" t="e">
        <f>#REF!</f>
        <v>#REF!</v>
      </c>
      <c r="N35" s="84" t="e">
        <f>#REF!</f>
        <v>#REF!</v>
      </c>
      <c r="O35" s="84" t="e">
        <f>#REF!</f>
        <v>#REF!</v>
      </c>
      <c r="P35" s="85">
        <f t="shared" si="1"/>
        <v>0.64961538461538515</v>
      </c>
      <c r="Q35" s="6">
        <f>I35*Q2</f>
        <v>0</v>
      </c>
      <c r="R35" s="72" t="e">
        <f t="shared" si="3"/>
        <v>#DIV/0!</v>
      </c>
      <c r="S35" s="418" t="e">
        <f t="shared" si="4"/>
        <v>#DIV/0!</v>
      </c>
      <c r="T35" s="72">
        <f t="shared" si="5"/>
        <v>0</v>
      </c>
      <c r="U35" s="118">
        <f t="shared" si="6"/>
        <v>0</v>
      </c>
      <c r="V35" s="17">
        <f t="shared" si="7"/>
        <v>0</v>
      </c>
      <c r="W35" s="72" t="e">
        <f>SUM(V35/E35)/T2</f>
        <v>#DIV/0!</v>
      </c>
      <c r="X35">
        <f t="shared" si="9"/>
        <v>1584</v>
      </c>
      <c r="Y35" s="419">
        <v>106</v>
      </c>
      <c r="Z35" s="75" t="e">
        <f t="shared" si="8"/>
        <v>#DIV/0!</v>
      </c>
    </row>
    <row r="36" spans="1:26" ht="13.5" thickBot="1">
      <c r="A36" s="52"/>
      <c r="B36" s="77"/>
      <c r="C36" s="69"/>
      <c r="D36" s="80"/>
      <c r="E36" s="7"/>
      <c r="F36" s="69"/>
      <c r="G36" s="82"/>
      <c r="H36" s="82"/>
      <c r="I36" s="82"/>
      <c r="J36" s="82"/>
      <c r="K36" s="67">
        <f>'Water-Meter'!E37</f>
        <v>0</v>
      </c>
      <c r="L36" s="66"/>
      <c r="M36" s="82"/>
      <c r="N36" s="82"/>
      <c r="O36" s="82"/>
      <c r="P36" s="82"/>
      <c r="Q36" s="6">
        <f>I36*2057.79</f>
        <v>0</v>
      </c>
      <c r="R36" s="71"/>
      <c r="S36" s="71"/>
      <c r="T36" s="117"/>
      <c r="U36" s="119"/>
      <c r="V36" s="17">
        <f t="shared" si="7"/>
        <v>0</v>
      </c>
      <c r="W36" s="117"/>
    </row>
    <row r="37" spans="1:26">
      <c r="K37" s="67">
        <f>'Water-Meter'!E38</f>
        <v>1971</v>
      </c>
      <c r="S37" s="75" t="e">
        <f>SUM(S5:S16)/[1]Gen!A47</f>
        <v>#REF!</v>
      </c>
    </row>
    <row r="38" spans="1:26">
      <c r="B38" s="79" t="e">
        <f>SUM(B5:B37)/[1]Gen!A47</f>
        <v>#REF!</v>
      </c>
      <c r="M38">
        <f>0.5*2057.79</f>
        <v>1028.895</v>
      </c>
    </row>
    <row r="39" spans="1:26">
      <c r="B39" s="79" t="e">
        <f>SUM(B38*[1]Gen!A47)</f>
        <v>#REF!</v>
      </c>
      <c r="C39" s="79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309</v>
      </c>
      <c r="S39" s="75" t="e">
        <f>SUM(S37-Y35)</f>
        <v>#REF!</v>
      </c>
    </row>
    <row r="40" spans="1:26">
      <c r="P40">
        <f>P39/K5</f>
        <v>1234.8000000000002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G89"/>
  <sheetViews>
    <sheetView topLeftCell="A68" workbookViewId="0">
      <selection activeCell="F44" sqref="F44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28" t="s">
        <v>310</v>
      </c>
      <c r="B1" s="929"/>
      <c r="C1" s="929"/>
      <c r="D1" s="929"/>
      <c r="E1" s="929"/>
      <c r="F1" s="929"/>
      <c r="G1" s="930"/>
    </row>
    <row r="2" spans="1:7" ht="13.5" thickBot="1">
      <c r="A2" s="285"/>
      <c r="B2" s="931" t="s">
        <v>311</v>
      </c>
      <c r="C2" s="932"/>
      <c r="D2" s="933"/>
      <c r="E2" s="931" t="s">
        <v>312</v>
      </c>
      <c r="F2" s="932"/>
      <c r="G2" s="933"/>
    </row>
    <row r="3" spans="1:7" ht="40.5" customHeight="1">
      <c r="A3" s="301" t="s">
        <v>238</v>
      </c>
      <c r="B3" s="302" t="s">
        <v>313</v>
      </c>
      <c r="C3" s="302" t="s">
        <v>314</v>
      </c>
      <c r="D3" s="302" t="s">
        <v>315</v>
      </c>
      <c r="E3" s="302" t="s">
        <v>313</v>
      </c>
      <c r="F3" s="302" t="s">
        <v>314</v>
      </c>
      <c r="G3" s="303" t="s">
        <v>315</v>
      </c>
    </row>
    <row r="4" spans="1:7">
      <c r="A4" s="226">
        <v>43101</v>
      </c>
      <c r="B4" s="456">
        <v>46071</v>
      </c>
      <c r="C4" s="228">
        <v>48188</v>
      </c>
      <c r="D4" s="304">
        <v>2117</v>
      </c>
      <c r="E4" s="305">
        <v>216654</v>
      </c>
      <c r="F4" s="256">
        <v>218779</v>
      </c>
      <c r="G4" s="250">
        <v>2125</v>
      </c>
    </row>
    <row r="5" spans="1:7">
      <c r="A5" s="226">
        <v>43132</v>
      </c>
      <c r="B5" s="456">
        <f t="shared" ref="B5:B68" si="0">C4</f>
        <v>48188</v>
      </c>
      <c r="C5" s="228">
        <v>50066</v>
      </c>
      <c r="D5" s="304">
        <f t="shared" ref="D5:D68" si="1">C5-B5</f>
        <v>1878</v>
      </c>
      <c r="E5" s="305">
        <f t="shared" ref="E5:E68" si="2">F4</f>
        <v>218779</v>
      </c>
      <c r="F5" s="256">
        <v>220744</v>
      </c>
      <c r="G5" s="250">
        <f t="shared" ref="G5:G68" si="3">F5-E5</f>
        <v>1965</v>
      </c>
    </row>
    <row r="6" spans="1:7">
      <c r="A6" s="226">
        <v>43160</v>
      </c>
      <c r="B6" s="456">
        <f t="shared" si="0"/>
        <v>50066</v>
      </c>
      <c r="C6" s="228">
        <v>51916</v>
      </c>
      <c r="D6" s="304">
        <f t="shared" si="1"/>
        <v>1850</v>
      </c>
      <c r="E6" s="305">
        <f t="shared" si="2"/>
        <v>220744</v>
      </c>
      <c r="F6" s="256">
        <v>222873</v>
      </c>
      <c r="G6" s="250">
        <f t="shared" si="3"/>
        <v>2129</v>
      </c>
    </row>
    <row r="7" spans="1:7">
      <c r="A7" s="226">
        <v>43191</v>
      </c>
      <c r="B7" s="456">
        <f t="shared" si="0"/>
        <v>51916</v>
      </c>
      <c r="C7" s="228">
        <v>53641</v>
      </c>
      <c r="D7" s="304">
        <f t="shared" si="1"/>
        <v>1725</v>
      </c>
      <c r="E7" s="305">
        <f t="shared" si="2"/>
        <v>222873</v>
      </c>
      <c r="F7" s="256">
        <v>224922</v>
      </c>
      <c r="G7" s="250">
        <f t="shared" si="3"/>
        <v>2049</v>
      </c>
    </row>
    <row r="8" spans="1:7">
      <c r="A8" s="226">
        <v>43221</v>
      </c>
      <c r="B8" s="456">
        <f t="shared" si="0"/>
        <v>53641</v>
      </c>
      <c r="C8" s="228">
        <v>55409</v>
      </c>
      <c r="D8" s="304">
        <f t="shared" si="1"/>
        <v>1768</v>
      </c>
      <c r="E8" s="305">
        <f t="shared" si="2"/>
        <v>224922</v>
      </c>
      <c r="F8" s="256">
        <v>227063</v>
      </c>
      <c r="G8" s="250">
        <f t="shared" si="3"/>
        <v>2141</v>
      </c>
    </row>
    <row r="9" spans="1:7">
      <c r="A9" s="226">
        <v>43252</v>
      </c>
      <c r="B9" s="456">
        <f t="shared" si="0"/>
        <v>55409</v>
      </c>
      <c r="C9" s="228">
        <v>57396</v>
      </c>
      <c r="D9" s="304">
        <f t="shared" si="1"/>
        <v>1987</v>
      </c>
      <c r="E9" s="305">
        <f t="shared" si="2"/>
        <v>227063</v>
      </c>
      <c r="F9" s="256">
        <v>229163</v>
      </c>
      <c r="G9" s="250">
        <f t="shared" si="3"/>
        <v>2100</v>
      </c>
    </row>
    <row r="10" spans="1:7">
      <c r="A10" s="226">
        <v>43282</v>
      </c>
      <c r="B10" s="456">
        <f t="shared" si="0"/>
        <v>57396</v>
      </c>
      <c r="C10" s="228">
        <v>59391</v>
      </c>
      <c r="D10" s="304">
        <f t="shared" si="1"/>
        <v>1995</v>
      </c>
      <c r="E10" s="305">
        <f t="shared" si="2"/>
        <v>229163</v>
      </c>
      <c r="F10" s="256">
        <v>231359</v>
      </c>
      <c r="G10" s="250">
        <f t="shared" si="3"/>
        <v>2196</v>
      </c>
    </row>
    <row r="11" spans="1:7">
      <c r="A11" s="226">
        <v>43313</v>
      </c>
      <c r="B11" s="456">
        <f t="shared" si="0"/>
        <v>59391</v>
      </c>
      <c r="C11" s="228">
        <v>61427</v>
      </c>
      <c r="D11" s="304">
        <f t="shared" si="1"/>
        <v>2036</v>
      </c>
      <c r="E11" s="305">
        <f t="shared" si="2"/>
        <v>231359</v>
      </c>
      <c r="F11" s="256">
        <v>233548</v>
      </c>
      <c r="G11" s="250">
        <f t="shared" si="3"/>
        <v>2189</v>
      </c>
    </row>
    <row r="12" spans="1:7">
      <c r="A12" s="226">
        <v>43344</v>
      </c>
      <c r="B12" s="456">
        <f t="shared" si="0"/>
        <v>61427</v>
      </c>
      <c r="C12" s="228">
        <v>63464</v>
      </c>
      <c r="D12" s="304">
        <f t="shared" si="1"/>
        <v>2037</v>
      </c>
      <c r="E12" s="305">
        <f t="shared" si="2"/>
        <v>233548</v>
      </c>
      <c r="F12" s="256">
        <v>235653</v>
      </c>
      <c r="G12" s="250">
        <f t="shared" si="3"/>
        <v>2105</v>
      </c>
    </row>
    <row r="13" spans="1:7">
      <c r="A13" s="226">
        <v>43374</v>
      </c>
      <c r="B13" s="456">
        <f t="shared" si="0"/>
        <v>63464</v>
      </c>
      <c r="C13" s="228">
        <v>65577</v>
      </c>
      <c r="D13" s="304">
        <f t="shared" si="1"/>
        <v>2113</v>
      </c>
      <c r="E13" s="305">
        <f t="shared" si="2"/>
        <v>235653</v>
      </c>
      <c r="F13" s="256">
        <v>237802</v>
      </c>
      <c r="G13" s="250">
        <f t="shared" si="3"/>
        <v>2149</v>
      </c>
    </row>
    <row r="14" spans="1:7">
      <c r="A14" s="226">
        <v>43405</v>
      </c>
      <c r="B14" s="456">
        <f t="shared" si="0"/>
        <v>65577</v>
      </c>
      <c r="C14" s="228">
        <v>67714</v>
      </c>
      <c r="D14" s="304">
        <f t="shared" si="1"/>
        <v>2137</v>
      </c>
      <c r="E14" s="305">
        <f t="shared" si="2"/>
        <v>237802</v>
      </c>
      <c r="F14" s="256">
        <v>239883</v>
      </c>
      <c r="G14" s="250">
        <f t="shared" si="3"/>
        <v>2081</v>
      </c>
    </row>
    <row r="15" spans="1:7">
      <c r="A15" s="226">
        <v>43435</v>
      </c>
      <c r="B15" s="456">
        <f t="shared" si="0"/>
        <v>67714</v>
      </c>
      <c r="C15" s="228">
        <v>69886</v>
      </c>
      <c r="D15" s="304">
        <f t="shared" si="1"/>
        <v>2172</v>
      </c>
      <c r="E15" s="305">
        <f t="shared" si="2"/>
        <v>239883</v>
      </c>
      <c r="F15" s="256">
        <v>242023</v>
      </c>
      <c r="G15" s="250">
        <f t="shared" si="3"/>
        <v>2140</v>
      </c>
    </row>
    <row r="16" spans="1:7">
      <c r="A16" s="226">
        <v>43466</v>
      </c>
      <c r="B16" s="456">
        <f t="shared" si="0"/>
        <v>69886</v>
      </c>
      <c r="C16" s="228">
        <v>72120</v>
      </c>
      <c r="D16" s="304">
        <f t="shared" si="1"/>
        <v>2234</v>
      </c>
      <c r="E16" s="305">
        <f t="shared" si="2"/>
        <v>242023</v>
      </c>
      <c r="F16" s="256">
        <v>244252</v>
      </c>
      <c r="G16" s="250">
        <f t="shared" si="3"/>
        <v>2229</v>
      </c>
    </row>
    <row r="17" spans="1:7">
      <c r="A17" s="226">
        <v>43497</v>
      </c>
      <c r="B17" s="456">
        <f t="shared" si="0"/>
        <v>72120</v>
      </c>
      <c r="C17" s="228">
        <v>74132</v>
      </c>
      <c r="D17" s="304">
        <f t="shared" si="1"/>
        <v>2012</v>
      </c>
      <c r="E17" s="305">
        <f t="shared" si="2"/>
        <v>244252</v>
      </c>
      <c r="F17" s="256">
        <v>246272</v>
      </c>
      <c r="G17" s="250">
        <f t="shared" si="3"/>
        <v>2020</v>
      </c>
    </row>
    <row r="18" spans="1:7">
      <c r="A18" s="226">
        <v>43525</v>
      </c>
      <c r="B18" s="456">
        <f t="shared" si="0"/>
        <v>74132</v>
      </c>
      <c r="C18" s="228">
        <v>76130</v>
      </c>
      <c r="D18" s="304">
        <f t="shared" si="1"/>
        <v>1998</v>
      </c>
      <c r="E18" s="305">
        <f t="shared" si="2"/>
        <v>246272</v>
      </c>
      <c r="F18" s="256">
        <v>248562</v>
      </c>
      <c r="G18" s="250">
        <f t="shared" si="3"/>
        <v>2290</v>
      </c>
    </row>
    <row r="19" spans="1:7">
      <c r="A19" s="226">
        <v>43556</v>
      </c>
      <c r="B19" s="456">
        <f t="shared" si="0"/>
        <v>76130</v>
      </c>
      <c r="C19" s="228">
        <v>77859</v>
      </c>
      <c r="D19" s="304">
        <f t="shared" si="1"/>
        <v>1729</v>
      </c>
      <c r="E19" s="305">
        <f t="shared" si="2"/>
        <v>248562</v>
      </c>
      <c r="F19" s="256">
        <v>250789</v>
      </c>
      <c r="G19" s="250">
        <f t="shared" si="3"/>
        <v>2227</v>
      </c>
    </row>
    <row r="20" spans="1:7">
      <c r="A20" s="226">
        <v>43586</v>
      </c>
      <c r="B20" s="456">
        <f t="shared" si="0"/>
        <v>77859</v>
      </c>
      <c r="C20" s="228">
        <v>79636</v>
      </c>
      <c r="D20" s="304">
        <f t="shared" si="1"/>
        <v>1777</v>
      </c>
      <c r="E20" s="305">
        <f t="shared" si="2"/>
        <v>250789</v>
      </c>
      <c r="F20" s="256">
        <v>252878</v>
      </c>
      <c r="G20" s="250">
        <f t="shared" si="3"/>
        <v>2089</v>
      </c>
    </row>
    <row r="21" spans="1:7">
      <c r="A21" s="226">
        <v>43617</v>
      </c>
      <c r="B21" s="456">
        <f t="shared" si="0"/>
        <v>79636</v>
      </c>
      <c r="C21" s="228">
        <v>81603</v>
      </c>
      <c r="D21" s="304">
        <f t="shared" si="1"/>
        <v>1967</v>
      </c>
      <c r="E21" s="305">
        <f t="shared" si="2"/>
        <v>252878</v>
      </c>
      <c r="F21" s="256">
        <v>254783</v>
      </c>
      <c r="G21" s="250">
        <f t="shared" si="3"/>
        <v>1905</v>
      </c>
    </row>
    <row r="22" spans="1:7">
      <c r="A22" s="226">
        <v>43647</v>
      </c>
      <c r="B22" s="456">
        <f t="shared" si="0"/>
        <v>81603</v>
      </c>
      <c r="C22" s="228">
        <v>83511</v>
      </c>
      <c r="D22" s="304">
        <f t="shared" si="1"/>
        <v>1908</v>
      </c>
      <c r="E22" s="305">
        <f t="shared" si="2"/>
        <v>254783</v>
      </c>
      <c r="F22" s="228">
        <v>257138</v>
      </c>
      <c r="G22" s="250">
        <f t="shared" si="3"/>
        <v>2355</v>
      </c>
    </row>
    <row r="23" spans="1:7">
      <c r="A23" s="226">
        <v>43678</v>
      </c>
      <c r="B23" s="456">
        <f t="shared" si="0"/>
        <v>83511</v>
      </c>
      <c r="C23" s="228">
        <v>85418</v>
      </c>
      <c r="D23" s="304">
        <f t="shared" si="1"/>
        <v>1907</v>
      </c>
      <c r="E23" s="305">
        <f t="shared" si="2"/>
        <v>257138</v>
      </c>
      <c r="F23" s="228">
        <v>259453</v>
      </c>
      <c r="G23" s="250">
        <f t="shared" si="3"/>
        <v>2315</v>
      </c>
    </row>
    <row r="24" spans="1:7">
      <c r="A24" s="226">
        <v>43709</v>
      </c>
      <c r="B24" s="456">
        <f t="shared" si="0"/>
        <v>85418</v>
      </c>
      <c r="C24" s="228">
        <v>87262</v>
      </c>
      <c r="D24" s="304">
        <f t="shared" si="1"/>
        <v>1844</v>
      </c>
      <c r="E24" s="305">
        <f t="shared" si="2"/>
        <v>259453</v>
      </c>
      <c r="F24" s="228">
        <v>261652</v>
      </c>
      <c r="G24" s="250">
        <f t="shared" si="3"/>
        <v>2199</v>
      </c>
    </row>
    <row r="25" spans="1:7">
      <c r="A25" s="226">
        <v>43739</v>
      </c>
      <c r="B25" s="456">
        <f t="shared" si="0"/>
        <v>87262</v>
      </c>
      <c r="C25" s="228">
        <v>89489</v>
      </c>
      <c r="D25" s="304">
        <f t="shared" si="1"/>
        <v>2227</v>
      </c>
      <c r="E25" s="305">
        <f t="shared" si="2"/>
        <v>261652</v>
      </c>
      <c r="F25" s="228">
        <v>263905</v>
      </c>
      <c r="G25" s="250">
        <f t="shared" si="3"/>
        <v>2253</v>
      </c>
    </row>
    <row r="26" spans="1:7">
      <c r="A26" s="226">
        <v>43770</v>
      </c>
      <c r="B26" s="456">
        <f t="shared" si="0"/>
        <v>89489</v>
      </c>
      <c r="C26" s="228">
        <v>91615</v>
      </c>
      <c r="D26" s="304">
        <f t="shared" si="1"/>
        <v>2126</v>
      </c>
      <c r="E26" s="305">
        <f t="shared" si="2"/>
        <v>263905</v>
      </c>
      <c r="F26" s="228">
        <v>265969</v>
      </c>
      <c r="G26" s="250">
        <f t="shared" si="3"/>
        <v>2064</v>
      </c>
    </row>
    <row r="27" spans="1:7">
      <c r="A27" s="226">
        <v>43800</v>
      </c>
      <c r="B27" s="456">
        <f t="shared" si="0"/>
        <v>91615</v>
      </c>
      <c r="C27" s="228">
        <v>93828</v>
      </c>
      <c r="D27" s="304">
        <f t="shared" si="1"/>
        <v>2213</v>
      </c>
      <c r="E27" s="305">
        <f t="shared" si="2"/>
        <v>265969</v>
      </c>
      <c r="F27" s="228">
        <v>268212</v>
      </c>
      <c r="G27" s="250">
        <f t="shared" si="3"/>
        <v>2243</v>
      </c>
    </row>
    <row r="28" spans="1:7">
      <c r="A28" s="226">
        <v>43831</v>
      </c>
      <c r="B28" s="456">
        <f t="shared" si="0"/>
        <v>93828</v>
      </c>
      <c r="C28" s="228">
        <v>95998</v>
      </c>
      <c r="D28" s="304">
        <f t="shared" si="1"/>
        <v>2170</v>
      </c>
      <c r="E28" s="305">
        <f t="shared" si="2"/>
        <v>268212</v>
      </c>
      <c r="F28" s="228">
        <v>270443</v>
      </c>
      <c r="G28" s="250">
        <f t="shared" si="3"/>
        <v>2231</v>
      </c>
    </row>
    <row r="29" spans="1:7">
      <c r="A29" s="226">
        <v>43862</v>
      </c>
      <c r="B29" s="456">
        <f t="shared" si="0"/>
        <v>95998</v>
      </c>
      <c r="C29" s="228">
        <v>98070</v>
      </c>
      <c r="D29" s="304">
        <f t="shared" si="1"/>
        <v>2072</v>
      </c>
      <c r="E29" s="305">
        <f t="shared" si="2"/>
        <v>270443</v>
      </c>
      <c r="F29" s="228">
        <v>272554</v>
      </c>
      <c r="G29" s="250">
        <f t="shared" si="3"/>
        <v>2111</v>
      </c>
    </row>
    <row r="30" spans="1:7">
      <c r="A30" s="226">
        <v>43891</v>
      </c>
      <c r="B30" s="456">
        <f t="shared" si="0"/>
        <v>98070</v>
      </c>
      <c r="C30" s="228">
        <v>100381</v>
      </c>
      <c r="D30" s="304">
        <f t="shared" si="1"/>
        <v>2311</v>
      </c>
      <c r="E30" s="305">
        <f t="shared" si="2"/>
        <v>272554</v>
      </c>
      <c r="F30" s="228">
        <v>274788</v>
      </c>
      <c r="G30" s="250">
        <f t="shared" si="3"/>
        <v>2234</v>
      </c>
    </row>
    <row r="31" spans="1:7">
      <c r="A31" s="226">
        <v>43922</v>
      </c>
      <c r="B31" s="456">
        <f t="shared" si="0"/>
        <v>100381</v>
      </c>
      <c r="C31" s="228">
        <v>102607</v>
      </c>
      <c r="D31" s="304">
        <f t="shared" si="1"/>
        <v>2226</v>
      </c>
      <c r="E31" s="305">
        <f t="shared" si="2"/>
        <v>274788</v>
      </c>
      <c r="F31" s="228">
        <v>276874</v>
      </c>
      <c r="G31" s="250">
        <f t="shared" si="3"/>
        <v>2086</v>
      </c>
    </row>
    <row r="32" spans="1:7">
      <c r="A32" s="226">
        <v>43952</v>
      </c>
      <c r="B32" s="456">
        <f t="shared" si="0"/>
        <v>102607</v>
      </c>
      <c r="C32" s="228">
        <v>104898</v>
      </c>
      <c r="D32" s="304">
        <f t="shared" si="1"/>
        <v>2291</v>
      </c>
      <c r="E32" s="305">
        <f t="shared" si="2"/>
        <v>276874</v>
      </c>
      <c r="F32" s="228">
        <v>279093</v>
      </c>
      <c r="G32" s="250">
        <f t="shared" si="3"/>
        <v>2219</v>
      </c>
    </row>
    <row r="33" spans="1:7">
      <c r="A33" s="226">
        <v>43983</v>
      </c>
      <c r="B33" s="456">
        <f t="shared" si="0"/>
        <v>104898</v>
      </c>
      <c r="C33" s="228">
        <v>107117</v>
      </c>
      <c r="D33" s="304">
        <f t="shared" si="1"/>
        <v>2219</v>
      </c>
      <c r="E33" s="305">
        <f t="shared" si="2"/>
        <v>279093</v>
      </c>
      <c r="F33" s="228">
        <v>281240</v>
      </c>
      <c r="G33" s="250">
        <f t="shared" si="3"/>
        <v>2147</v>
      </c>
    </row>
    <row r="34" spans="1:7">
      <c r="A34" s="226">
        <v>44013</v>
      </c>
      <c r="B34" s="456">
        <f t="shared" si="0"/>
        <v>107117</v>
      </c>
      <c r="C34" s="228">
        <v>109400</v>
      </c>
      <c r="D34" s="304">
        <f t="shared" si="1"/>
        <v>2283</v>
      </c>
      <c r="E34" s="305">
        <f t="shared" si="2"/>
        <v>281240</v>
      </c>
      <c r="F34" s="228">
        <v>283452</v>
      </c>
      <c r="G34" s="250">
        <f t="shared" si="3"/>
        <v>2212</v>
      </c>
    </row>
    <row r="35" spans="1:7">
      <c r="A35" s="226">
        <v>44044</v>
      </c>
      <c r="B35" s="456">
        <f t="shared" si="0"/>
        <v>109400</v>
      </c>
      <c r="C35" s="228">
        <v>111576</v>
      </c>
      <c r="D35" s="304">
        <f t="shared" si="1"/>
        <v>2176</v>
      </c>
      <c r="E35" s="305">
        <f t="shared" si="2"/>
        <v>283452</v>
      </c>
      <c r="F35" s="228">
        <v>285683</v>
      </c>
      <c r="G35" s="250">
        <f t="shared" si="3"/>
        <v>2231</v>
      </c>
    </row>
    <row r="36" spans="1:7">
      <c r="A36" s="226">
        <v>44075</v>
      </c>
      <c r="B36" s="456">
        <f t="shared" si="0"/>
        <v>111576</v>
      </c>
      <c r="C36" s="228">
        <v>113681</v>
      </c>
      <c r="D36" s="304">
        <f t="shared" si="1"/>
        <v>2105</v>
      </c>
      <c r="E36" s="305">
        <f t="shared" si="2"/>
        <v>285683</v>
      </c>
      <c r="F36" s="228">
        <v>287829</v>
      </c>
      <c r="G36" s="250">
        <f t="shared" si="3"/>
        <v>2146</v>
      </c>
    </row>
    <row r="37" spans="1:7">
      <c r="A37" s="226">
        <v>44105</v>
      </c>
      <c r="B37" s="456">
        <f t="shared" si="0"/>
        <v>113681</v>
      </c>
      <c r="C37" s="228">
        <v>115884</v>
      </c>
      <c r="D37" s="304">
        <f t="shared" si="1"/>
        <v>2203</v>
      </c>
      <c r="E37" s="305">
        <f t="shared" si="2"/>
        <v>287829</v>
      </c>
      <c r="F37" s="228">
        <v>290035</v>
      </c>
      <c r="G37" s="250">
        <f t="shared" si="3"/>
        <v>2206</v>
      </c>
    </row>
    <row r="38" spans="1:7">
      <c r="A38" s="226">
        <v>44136</v>
      </c>
      <c r="B38" s="456">
        <f t="shared" si="0"/>
        <v>115884</v>
      </c>
      <c r="C38" s="228">
        <v>117878</v>
      </c>
      <c r="D38" s="304">
        <f t="shared" si="1"/>
        <v>1994</v>
      </c>
      <c r="E38" s="305">
        <f t="shared" si="2"/>
        <v>290035</v>
      </c>
      <c r="F38" s="228">
        <v>292096</v>
      </c>
      <c r="G38" s="250">
        <f t="shared" si="3"/>
        <v>2061</v>
      </c>
    </row>
    <row r="39" spans="1:7">
      <c r="A39" s="226">
        <v>44166</v>
      </c>
      <c r="B39" s="456">
        <f t="shared" si="0"/>
        <v>117878</v>
      </c>
      <c r="C39" s="228">
        <v>120013</v>
      </c>
      <c r="D39" s="304">
        <f t="shared" si="1"/>
        <v>2135</v>
      </c>
      <c r="E39" s="305">
        <f t="shared" si="2"/>
        <v>292096</v>
      </c>
      <c r="F39" s="228">
        <v>294243</v>
      </c>
      <c r="G39" s="250">
        <f t="shared" si="3"/>
        <v>2147</v>
      </c>
    </row>
    <row r="40" spans="1:7">
      <c r="A40" s="226">
        <v>44197</v>
      </c>
      <c r="B40" s="456">
        <f t="shared" si="0"/>
        <v>120013</v>
      </c>
      <c r="C40" s="228">
        <v>122116</v>
      </c>
      <c r="D40" s="304">
        <f t="shared" si="1"/>
        <v>2103</v>
      </c>
      <c r="E40" s="305">
        <f t="shared" si="2"/>
        <v>294243</v>
      </c>
      <c r="F40" s="228">
        <v>296404</v>
      </c>
      <c r="G40" s="250">
        <f t="shared" si="3"/>
        <v>2161</v>
      </c>
    </row>
    <row r="41" spans="1:7">
      <c r="A41" s="226">
        <v>44228</v>
      </c>
      <c r="B41" s="456">
        <f t="shared" si="0"/>
        <v>122116</v>
      </c>
      <c r="C41" s="228"/>
      <c r="D41" s="304">
        <f t="shared" si="1"/>
        <v>-122116</v>
      </c>
      <c r="E41" s="305">
        <f t="shared" si="2"/>
        <v>296404</v>
      </c>
      <c r="F41" s="228"/>
      <c r="G41" s="250">
        <f t="shared" si="3"/>
        <v>-296404</v>
      </c>
    </row>
    <row r="42" spans="1:7">
      <c r="A42" s="226">
        <v>44256</v>
      </c>
      <c r="B42" s="456">
        <f t="shared" si="0"/>
        <v>0</v>
      </c>
      <c r="C42" s="228"/>
      <c r="D42" s="304">
        <f t="shared" si="1"/>
        <v>0</v>
      </c>
      <c r="E42" s="305">
        <f t="shared" si="2"/>
        <v>0</v>
      </c>
      <c r="F42" s="228"/>
      <c r="G42" s="250">
        <f t="shared" si="3"/>
        <v>0</v>
      </c>
    </row>
    <row r="43" spans="1:7">
      <c r="A43" s="226">
        <v>44287</v>
      </c>
      <c r="B43" s="456">
        <f t="shared" si="0"/>
        <v>0</v>
      </c>
      <c r="C43" s="228"/>
      <c r="D43" s="304">
        <f t="shared" si="1"/>
        <v>0</v>
      </c>
      <c r="E43" s="305">
        <f t="shared" si="2"/>
        <v>0</v>
      </c>
      <c r="F43" s="228"/>
      <c r="G43" s="250">
        <f t="shared" si="3"/>
        <v>0</v>
      </c>
    </row>
    <row r="44" spans="1:7">
      <c r="A44" s="226">
        <v>44317</v>
      </c>
      <c r="B44" s="456">
        <f t="shared" si="0"/>
        <v>0</v>
      </c>
      <c r="C44" s="228"/>
      <c r="D44" s="304">
        <f t="shared" si="1"/>
        <v>0</v>
      </c>
      <c r="E44" s="305">
        <f t="shared" si="2"/>
        <v>0</v>
      </c>
      <c r="F44" s="228"/>
      <c r="G44" s="250">
        <f t="shared" si="3"/>
        <v>0</v>
      </c>
    </row>
    <row r="45" spans="1:7">
      <c r="A45" s="226">
        <v>44348</v>
      </c>
      <c r="B45" s="456">
        <f t="shared" si="0"/>
        <v>0</v>
      </c>
      <c r="C45" s="228"/>
      <c r="D45" s="304">
        <f t="shared" si="1"/>
        <v>0</v>
      </c>
      <c r="E45" s="305">
        <f t="shared" si="2"/>
        <v>0</v>
      </c>
      <c r="F45" s="228"/>
      <c r="G45" s="250">
        <f t="shared" si="3"/>
        <v>0</v>
      </c>
    </row>
    <row r="46" spans="1:7">
      <c r="A46" s="226">
        <v>44378</v>
      </c>
      <c r="B46" s="456">
        <f t="shared" si="0"/>
        <v>0</v>
      </c>
      <c r="C46" s="228"/>
      <c r="D46" s="304">
        <f t="shared" si="1"/>
        <v>0</v>
      </c>
      <c r="E46" s="305">
        <f t="shared" si="2"/>
        <v>0</v>
      </c>
      <c r="F46" s="228"/>
      <c r="G46" s="250">
        <f t="shared" si="3"/>
        <v>0</v>
      </c>
    </row>
    <row r="47" spans="1:7">
      <c r="A47" s="226">
        <v>44409</v>
      </c>
      <c r="B47" s="456">
        <f t="shared" si="0"/>
        <v>0</v>
      </c>
      <c r="C47" s="228"/>
      <c r="D47" s="304">
        <f t="shared" si="1"/>
        <v>0</v>
      </c>
      <c r="E47" s="305">
        <f t="shared" si="2"/>
        <v>0</v>
      </c>
      <c r="F47" s="228"/>
      <c r="G47" s="250">
        <f t="shared" si="3"/>
        <v>0</v>
      </c>
    </row>
    <row r="48" spans="1:7">
      <c r="A48" s="226">
        <v>44440</v>
      </c>
      <c r="B48" s="456">
        <f t="shared" si="0"/>
        <v>0</v>
      </c>
      <c r="C48" s="228"/>
      <c r="D48" s="304">
        <f t="shared" si="1"/>
        <v>0</v>
      </c>
      <c r="E48" s="305">
        <f t="shared" si="2"/>
        <v>0</v>
      </c>
      <c r="F48" s="228"/>
      <c r="G48" s="250">
        <f t="shared" si="3"/>
        <v>0</v>
      </c>
    </row>
    <row r="49" spans="1:7">
      <c r="A49" s="226">
        <v>44470</v>
      </c>
      <c r="B49" s="456">
        <f t="shared" si="0"/>
        <v>0</v>
      </c>
      <c r="C49" s="228"/>
      <c r="D49" s="304">
        <f t="shared" si="1"/>
        <v>0</v>
      </c>
      <c r="E49" s="305">
        <f t="shared" si="2"/>
        <v>0</v>
      </c>
      <c r="F49" s="6"/>
      <c r="G49" s="250">
        <f t="shared" si="3"/>
        <v>0</v>
      </c>
    </row>
    <row r="50" spans="1:7">
      <c r="A50" s="226">
        <v>44501</v>
      </c>
      <c r="B50" s="456">
        <f t="shared" si="0"/>
        <v>0</v>
      </c>
      <c r="C50" s="228"/>
      <c r="D50" s="304">
        <f t="shared" si="1"/>
        <v>0</v>
      </c>
      <c r="E50" s="305">
        <f t="shared" si="2"/>
        <v>0</v>
      </c>
      <c r="F50" s="6"/>
      <c r="G50" s="250">
        <f t="shared" si="3"/>
        <v>0</v>
      </c>
    </row>
    <row r="51" spans="1:7">
      <c r="A51" s="226">
        <v>44531</v>
      </c>
      <c r="B51" s="456">
        <f t="shared" si="0"/>
        <v>0</v>
      </c>
      <c r="C51" s="228"/>
      <c r="D51" s="304">
        <f t="shared" si="1"/>
        <v>0</v>
      </c>
      <c r="E51" s="305">
        <f t="shared" si="2"/>
        <v>0</v>
      </c>
      <c r="F51" s="6"/>
      <c r="G51" s="250">
        <f t="shared" si="3"/>
        <v>0</v>
      </c>
    </row>
    <row r="52" spans="1:7">
      <c r="A52" s="226">
        <v>44562</v>
      </c>
      <c r="B52" s="456">
        <f t="shared" si="0"/>
        <v>0</v>
      </c>
      <c r="C52" s="228"/>
      <c r="D52" s="304">
        <f t="shared" si="1"/>
        <v>0</v>
      </c>
      <c r="E52" s="305">
        <f t="shared" si="2"/>
        <v>0</v>
      </c>
      <c r="F52" s="6"/>
      <c r="G52" s="250">
        <f t="shared" si="3"/>
        <v>0</v>
      </c>
    </row>
    <row r="53" spans="1:7">
      <c r="A53" s="226">
        <v>44593</v>
      </c>
      <c r="B53" s="456">
        <f t="shared" si="0"/>
        <v>0</v>
      </c>
      <c r="C53" s="6"/>
      <c r="D53" s="304">
        <f t="shared" si="1"/>
        <v>0</v>
      </c>
      <c r="E53" s="305">
        <f t="shared" si="2"/>
        <v>0</v>
      </c>
      <c r="F53" s="6"/>
      <c r="G53" s="250">
        <f t="shared" si="3"/>
        <v>0</v>
      </c>
    </row>
    <row r="54" spans="1:7">
      <c r="A54" s="226">
        <v>44621</v>
      </c>
      <c r="B54" s="456">
        <f t="shared" si="0"/>
        <v>0</v>
      </c>
      <c r="C54" s="6"/>
      <c r="D54" s="304">
        <f t="shared" si="1"/>
        <v>0</v>
      </c>
      <c r="E54" s="305">
        <f t="shared" si="2"/>
        <v>0</v>
      </c>
      <c r="F54" s="6"/>
      <c r="G54" s="250">
        <f t="shared" si="3"/>
        <v>0</v>
      </c>
    </row>
    <row r="55" spans="1:7">
      <c r="A55" s="226">
        <v>44652</v>
      </c>
      <c r="B55" s="456">
        <f t="shared" si="0"/>
        <v>0</v>
      </c>
      <c r="C55" s="6"/>
      <c r="D55" s="304">
        <f t="shared" si="1"/>
        <v>0</v>
      </c>
      <c r="E55" s="305">
        <f t="shared" si="2"/>
        <v>0</v>
      </c>
      <c r="F55" s="6"/>
      <c r="G55" s="250">
        <f t="shared" si="3"/>
        <v>0</v>
      </c>
    </row>
    <row r="56" spans="1:7">
      <c r="A56" s="226">
        <v>44682</v>
      </c>
      <c r="B56" s="456">
        <f t="shared" si="0"/>
        <v>0</v>
      </c>
      <c r="C56" s="6"/>
      <c r="D56" s="304">
        <f t="shared" si="1"/>
        <v>0</v>
      </c>
      <c r="E56" s="305">
        <f t="shared" si="2"/>
        <v>0</v>
      </c>
      <c r="F56" s="6"/>
      <c r="G56" s="250">
        <f t="shared" si="3"/>
        <v>0</v>
      </c>
    </row>
    <row r="57" spans="1:7">
      <c r="A57" s="226">
        <v>44713</v>
      </c>
      <c r="B57" s="456">
        <f t="shared" si="0"/>
        <v>0</v>
      </c>
      <c r="C57" s="6"/>
      <c r="D57" s="304">
        <f t="shared" si="1"/>
        <v>0</v>
      </c>
      <c r="E57" s="305">
        <f t="shared" si="2"/>
        <v>0</v>
      </c>
      <c r="F57" s="6"/>
      <c r="G57" s="250">
        <f t="shared" si="3"/>
        <v>0</v>
      </c>
    </row>
    <row r="58" spans="1:7">
      <c r="A58" s="226">
        <v>44743</v>
      </c>
      <c r="B58" s="456">
        <f t="shared" si="0"/>
        <v>0</v>
      </c>
      <c r="C58" s="6"/>
      <c r="D58" s="304">
        <f t="shared" si="1"/>
        <v>0</v>
      </c>
      <c r="E58" s="305">
        <f t="shared" si="2"/>
        <v>0</v>
      </c>
      <c r="F58" s="6"/>
      <c r="G58" s="250">
        <f t="shared" si="3"/>
        <v>0</v>
      </c>
    </row>
    <row r="59" spans="1:7">
      <c r="A59" s="226">
        <v>44774</v>
      </c>
      <c r="B59" s="456">
        <f t="shared" si="0"/>
        <v>0</v>
      </c>
      <c r="C59" s="6"/>
      <c r="D59" s="304">
        <f t="shared" si="1"/>
        <v>0</v>
      </c>
      <c r="E59" s="305">
        <f t="shared" si="2"/>
        <v>0</v>
      </c>
      <c r="F59" s="6"/>
      <c r="G59" s="250">
        <f t="shared" si="3"/>
        <v>0</v>
      </c>
    </row>
    <row r="60" spans="1:7">
      <c r="A60" s="226">
        <v>44805</v>
      </c>
      <c r="B60" s="456">
        <f t="shared" si="0"/>
        <v>0</v>
      </c>
      <c r="C60" s="6"/>
      <c r="D60" s="304">
        <f t="shared" si="1"/>
        <v>0</v>
      </c>
      <c r="E60" s="305">
        <f t="shared" si="2"/>
        <v>0</v>
      </c>
      <c r="F60" s="6"/>
      <c r="G60" s="250">
        <f t="shared" si="3"/>
        <v>0</v>
      </c>
    </row>
    <row r="61" spans="1:7">
      <c r="A61" s="226">
        <v>44835</v>
      </c>
      <c r="B61" s="456">
        <f t="shared" si="0"/>
        <v>0</v>
      </c>
      <c r="C61" s="6"/>
      <c r="D61" s="304">
        <f t="shared" si="1"/>
        <v>0</v>
      </c>
      <c r="E61" s="305">
        <f t="shared" si="2"/>
        <v>0</v>
      </c>
      <c r="F61" s="6"/>
      <c r="G61" s="250">
        <f t="shared" si="3"/>
        <v>0</v>
      </c>
    </row>
    <row r="62" spans="1:7">
      <c r="A62" s="226">
        <v>44866</v>
      </c>
      <c r="B62" s="456">
        <f t="shared" si="0"/>
        <v>0</v>
      </c>
      <c r="C62" s="6"/>
      <c r="D62" s="304">
        <f t="shared" si="1"/>
        <v>0</v>
      </c>
      <c r="E62" s="305">
        <f t="shared" si="2"/>
        <v>0</v>
      </c>
      <c r="F62" s="6"/>
      <c r="G62" s="250">
        <f t="shared" si="3"/>
        <v>0</v>
      </c>
    </row>
    <row r="63" spans="1:7">
      <c r="A63" s="226">
        <v>44896</v>
      </c>
      <c r="B63" s="456">
        <f t="shared" si="0"/>
        <v>0</v>
      </c>
      <c r="C63" s="6"/>
      <c r="D63" s="304">
        <f t="shared" si="1"/>
        <v>0</v>
      </c>
      <c r="E63" s="305">
        <f t="shared" si="2"/>
        <v>0</v>
      </c>
      <c r="F63" s="6"/>
      <c r="G63" s="250">
        <f t="shared" si="3"/>
        <v>0</v>
      </c>
    </row>
    <row r="64" spans="1:7">
      <c r="A64" s="226">
        <v>44562</v>
      </c>
      <c r="B64" s="456">
        <f t="shared" si="0"/>
        <v>0</v>
      </c>
      <c r="C64" s="228"/>
      <c r="D64" s="304">
        <f t="shared" si="1"/>
        <v>0</v>
      </c>
      <c r="E64" s="305">
        <f t="shared" si="2"/>
        <v>0</v>
      </c>
      <c r="F64" s="6"/>
      <c r="G64" s="250">
        <f t="shared" si="3"/>
        <v>0</v>
      </c>
    </row>
    <row r="65" spans="1:7">
      <c r="A65" s="226">
        <v>44593</v>
      </c>
      <c r="B65" s="456">
        <f t="shared" si="0"/>
        <v>0</v>
      </c>
      <c r="C65" s="6"/>
      <c r="D65" s="304">
        <f t="shared" si="1"/>
        <v>0</v>
      </c>
      <c r="E65" s="305">
        <f t="shared" si="2"/>
        <v>0</v>
      </c>
      <c r="F65" s="6"/>
      <c r="G65" s="250">
        <f t="shared" si="3"/>
        <v>0</v>
      </c>
    </row>
    <row r="66" spans="1:7">
      <c r="A66" s="226">
        <v>44621</v>
      </c>
      <c r="B66" s="456">
        <f t="shared" si="0"/>
        <v>0</v>
      </c>
      <c r="C66" s="6"/>
      <c r="D66" s="304">
        <f t="shared" si="1"/>
        <v>0</v>
      </c>
      <c r="E66" s="305">
        <f t="shared" si="2"/>
        <v>0</v>
      </c>
      <c r="F66" s="6"/>
      <c r="G66" s="250">
        <f t="shared" si="3"/>
        <v>0</v>
      </c>
    </row>
    <row r="67" spans="1:7">
      <c r="A67" s="226">
        <v>44652</v>
      </c>
      <c r="B67" s="456">
        <f t="shared" si="0"/>
        <v>0</v>
      </c>
      <c r="C67" s="6"/>
      <c r="D67" s="304">
        <f t="shared" si="1"/>
        <v>0</v>
      </c>
      <c r="E67" s="305">
        <f t="shared" si="2"/>
        <v>0</v>
      </c>
      <c r="F67" s="6"/>
      <c r="G67" s="250">
        <f t="shared" si="3"/>
        <v>0</v>
      </c>
    </row>
    <row r="68" spans="1:7">
      <c r="A68" s="226">
        <v>44682</v>
      </c>
      <c r="B68" s="456">
        <f t="shared" si="0"/>
        <v>0</v>
      </c>
      <c r="C68" s="6"/>
      <c r="D68" s="304">
        <f t="shared" si="1"/>
        <v>0</v>
      </c>
      <c r="E68" s="305">
        <f t="shared" si="2"/>
        <v>0</v>
      </c>
      <c r="F68" s="6"/>
      <c r="G68" s="250">
        <f t="shared" si="3"/>
        <v>0</v>
      </c>
    </row>
    <row r="69" spans="1:7">
      <c r="A69" s="226">
        <v>44713</v>
      </c>
      <c r="B69" s="456">
        <f t="shared" ref="B69:B75" si="4">C68</f>
        <v>0</v>
      </c>
      <c r="C69" s="6"/>
      <c r="D69" s="304">
        <f t="shared" ref="D69:D75" si="5">C69-B69</f>
        <v>0</v>
      </c>
      <c r="E69" s="305">
        <f t="shared" ref="E69:E75" si="6">F68</f>
        <v>0</v>
      </c>
      <c r="F69" s="6"/>
      <c r="G69" s="250">
        <f t="shared" ref="G69:G75" si="7">F69-E69</f>
        <v>0</v>
      </c>
    </row>
    <row r="70" spans="1:7">
      <c r="A70" s="226">
        <v>44743</v>
      </c>
      <c r="B70" s="456">
        <f t="shared" si="4"/>
        <v>0</v>
      </c>
      <c r="C70" s="6"/>
      <c r="D70" s="304">
        <f t="shared" si="5"/>
        <v>0</v>
      </c>
      <c r="E70" s="305">
        <f t="shared" si="6"/>
        <v>0</v>
      </c>
      <c r="F70" s="6"/>
      <c r="G70" s="250">
        <f t="shared" si="7"/>
        <v>0</v>
      </c>
    </row>
    <row r="71" spans="1:7">
      <c r="A71" s="226">
        <v>44774</v>
      </c>
      <c r="B71" s="456">
        <f t="shared" si="4"/>
        <v>0</v>
      </c>
      <c r="C71" s="6"/>
      <c r="D71" s="304">
        <f t="shared" si="5"/>
        <v>0</v>
      </c>
      <c r="E71" s="305">
        <f t="shared" si="6"/>
        <v>0</v>
      </c>
      <c r="F71" s="6"/>
      <c r="G71" s="250">
        <f t="shared" si="7"/>
        <v>0</v>
      </c>
    </row>
    <row r="72" spans="1:7">
      <c r="A72" s="226">
        <v>44805</v>
      </c>
      <c r="B72" s="456">
        <f t="shared" si="4"/>
        <v>0</v>
      </c>
      <c r="C72" s="6"/>
      <c r="D72" s="304">
        <f t="shared" si="5"/>
        <v>0</v>
      </c>
      <c r="E72" s="305">
        <f t="shared" si="6"/>
        <v>0</v>
      </c>
      <c r="F72" s="6"/>
      <c r="G72" s="250">
        <f t="shared" si="7"/>
        <v>0</v>
      </c>
    </row>
    <row r="73" spans="1:7">
      <c r="A73" s="226">
        <v>44835</v>
      </c>
      <c r="B73" s="456">
        <f t="shared" si="4"/>
        <v>0</v>
      </c>
      <c r="C73" s="6"/>
      <c r="D73" s="304">
        <f t="shared" si="5"/>
        <v>0</v>
      </c>
      <c r="E73" s="305">
        <f t="shared" si="6"/>
        <v>0</v>
      </c>
      <c r="F73" s="6"/>
      <c r="G73" s="250">
        <f t="shared" si="7"/>
        <v>0</v>
      </c>
    </row>
    <row r="74" spans="1:7">
      <c r="A74" s="226">
        <v>44866</v>
      </c>
      <c r="B74" s="456">
        <f t="shared" si="4"/>
        <v>0</v>
      </c>
      <c r="C74" s="6"/>
      <c r="D74" s="304">
        <f t="shared" si="5"/>
        <v>0</v>
      </c>
      <c r="E74" s="305">
        <f t="shared" si="6"/>
        <v>0</v>
      </c>
      <c r="F74" s="6"/>
      <c r="G74" s="250">
        <f t="shared" si="7"/>
        <v>0</v>
      </c>
    </row>
    <row r="75" spans="1:7">
      <c r="A75" s="226">
        <v>44896</v>
      </c>
      <c r="B75" s="456">
        <f t="shared" si="4"/>
        <v>0</v>
      </c>
      <c r="C75" s="6"/>
      <c r="D75" s="304">
        <f t="shared" si="5"/>
        <v>0</v>
      </c>
      <c r="E75" s="305">
        <f t="shared" si="6"/>
        <v>0</v>
      </c>
      <c r="F75" s="6"/>
      <c r="G75" s="250">
        <f t="shared" si="7"/>
        <v>0</v>
      </c>
    </row>
    <row r="76" spans="1:7" ht="13.5" thickBot="1"/>
    <row r="77" spans="1:7">
      <c r="B77" s="789"/>
      <c r="C77" s="262"/>
      <c r="D77" s="790"/>
      <c r="E77" s="262"/>
      <c r="F77" s="262"/>
      <c r="G77" s="790"/>
    </row>
    <row r="78" spans="1:7">
      <c r="B78" s="785"/>
      <c r="D78" s="786"/>
      <c r="G78" s="786"/>
    </row>
    <row r="79" spans="1:7">
      <c r="B79" s="785"/>
      <c r="D79" s="786"/>
      <c r="G79" s="786"/>
    </row>
    <row r="80" spans="1:7">
      <c r="B80" s="785"/>
      <c r="D80" s="786"/>
      <c r="G80" s="786"/>
    </row>
    <row r="81" spans="2:7">
      <c r="B81" s="785"/>
      <c r="D81" s="786"/>
      <c r="G81" s="786"/>
    </row>
    <row r="82" spans="2:7">
      <c r="B82" s="785"/>
      <c r="D82" s="786"/>
      <c r="G82" s="786"/>
    </row>
    <row r="83" spans="2:7">
      <c r="B83" s="785"/>
      <c r="D83" s="786"/>
      <c r="G83" s="786"/>
    </row>
    <row r="84" spans="2:7">
      <c r="B84" s="785"/>
      <c r="D84" s="786"/>
      <c r="G84" s="786"/>
    </row>
    <row r="85" spans="2:7">
      <c r="B85" s="785"/>
      <c r="D85" s="786"/>
      <c r="G85" s="786"/>
    </row>
    <row r="86" spans="2:7">
      <c r="B86" s="785"/>
      <c r="D86" s="786"/>
      <c r="G86" s="786"/>
    </row>
    <row r="87" spans="2:7">
      <c r="B87" s="785"/>
      <c r="D87" s="786"/>
      <c r="G87" s="786"/>
    </row>
    <row r="88" spans="2:7" ht="13.5" thickBot="1">
      <c r="B88" s="787"/>
      <c r="C88" s="237"/>
      <c r="D88" s="788"/>
      <c r="E88" s="237"/>
      <c r="F88" s="237"/>
      <c r="G88" s="788"/>
    </row>
    <row r="89" spans="2:7" ht="13.5" thickBot="1">
      <c r="B89" s="791" t="s">
        <v>316</v>
      </c>
      <c r="C89" s="792"/>
      <c r="D89" s="793"/>
      <c r="E89" s="791" t="s">
        <v>317</v>
      </c>
      <c r="F89" s="792"/>
      <c r="G89" s="793"/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L93"/>
  <sheetViews>
    <sheetView topLeftCell="A63" workbookViewId="0">
      <selection activeCell="N92" sqref="N92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28" t="s">
        <v>318</v>
      </c>
      <c r="B1" s="929"/>
      <c r="C1" s="929"/>
      <c r="D1" s="929"/>
      <c r="G1" s="259"/>
      <c r="H1" s="260" t="s">
        <v>319</v>
      </c>
      <c r="I1" s="260"/>
      <c r="J1" s="259"/>
      <c r="K1" s="259"/>
    </row>
    <row r="2" spans="1:12" ht="39" thickBot="1">
      <c r="A2" s="457" t="s">
        <v>238</v>
      </c>
      <c r="B2" s="458" t="s">
        <v>313</v>
      </c>
      <c r="C2" s="458" t="s">
        <v>314</v>
      </c>
      <c r="D2" s="459" t="s">
        <v>320</v>
      </c>
      <c r="E2" s="459" t="s">
        <v>321</v>
      </c>
      <c r="F2" s="460" t="s">
        <v>322</v>
      </c>
      <c r="G2" s="461" t="s">
        <v>323</v>
      </c>
      <c r="H2" s="462" t="s">
        <v>324</v>
      </c>
      <c r="I2" s="463" t="s">
        <v>325</v>
      </c>
      <c r="J2" s="462" t="s">
        <v>326</v>
      </c>
      <c r="K2" s="462" t="s">
        <v>322</v>
      </c>
      <c r="L2" s="464" t="s">
        <v>154</v>
      </c>
    </row>
    <row r="3" spans="1:12">
      <c r="A3" s="226">
        <v>43101</v>
      </c>
      <c r="B3" s="298">
        <v>6476953</v>
      </c>
      <c r="C3" s="228">
        <v>6542879</v>
      </c>
      <c r="D3" s="374">
        <v>65926</v>
      </c>
      <c r="E3" s="228">
        <v>65927.77</v>
      </c>
      <c r="F3" s="465">
        <v>-1.7700000000040745</v>
      </c>
      <c r="G3" s="466">
        <v>52890</v>
      </c>
      <c r="H3" s="228">
        <v>59763</v>
      </c>
      <c r="I3" s="255">
        <v>6873</v>
      </c>
      <c r="J3" s="228">
        <v>6874.87</v>
      </c>
      <c r="K3" s="261">
        <v>-1.8699999999998909</v>
      </c>
      <c r="L3" s="467">
        <v>72799</v>
      </c>
    </row>
    <row r="4" spans="1:12">
      <c r="A4" s="226">
        <v>43132</v>
      </c>
      <c r="B4" s="298">
        <f t="shared" ref="B4:B67" si="0">C3</f>
        <v>6542879</v>
      </c>
      <c r="C4" s="228">
        <v>6604433</v>
      </c>
      <c r="D4" s="374">
        <f t="shared" ref="D4:D67" si="1">C4-B4</f>
        <v>61554</v>
      </c>
      <c r="E4" s="286">
        <v>61553.03</v>
      </c>
      <c r="F4" s="465">
        <f t="shared" ref="F4:F67" si="2">D4-E4</f>
        <v>0.97000000000116415</v>
      </c>
      <c r="G4" s="466">
        <f t="shared" ref="G4:G67" si="3">H3</f>
        <v>59763</v>
      </c>
      <c r="H4" s="228">
        <v>66652</v>
      </c>
      <c r="I4" s="255">
        <f t="shared" ref="I4:I67" si="4">H4-G4</f>
        <v>6889</v>
      </c>
      <c r="J4" s="228">
        <v>6890.89</v>
      </c>
      <c r="K4" s="261">
        <f t="shared" ref="K4:K67" si="5">I4-J4</f>
        <v>-1.8900000000003274</v>
      </c>
      <c r="L4" s="467">
        <f t="shared" ref="L4:L67" si="6">I4+D4</f>
        <v>68443</v>
      </c>
    </row>
    <row r="5" spans="1:12">
      <c r="A5" s="226">
        <v>43160</v>
      </c>
      <c r="B5" s="298">
        <f t="shared" si="0"/>
        <v>6604433</v>
      </c>
      <c r="C5" s="256">
        <v>6660226</v>
      </c>
      <c r="D5" s="374">
        <f t="shared" si="1"/>
        <v>55793</v>
      </c>
      <c r="E5" s="256">
        <v>55792.75</v>
      </c>
      <c r="F5" s="465">
        <f t="shared" si="2"/>
        <v>0.25</v>
      </c>
      <c r="G5" s="466">
        <f t="shared" si="3"/>
        <v>66652</v>
      </c>
      <c r="H5" s="256">
        <v>77607</v>
      </c>
      <c r="I5" s="255">
        <f t="shared" si="4"/>
        <v>10955</v>
      </c>
      <c r="J5" s="256">
        <v>10955.45</v>
      </c>
      <c r="K5" s="261">
        <f t="shared" si="5"/>
        <v>-0.4500000000007276</v>
      </c>
      <c r="L5" s="467">
        <f t="shared" si="6"/>
        <v>66748</v>
      </c>
    </row>
    <row r="6" spans="1:12">
      <c r="A6" s="226">
        <v>43191</v>
      </c>
      <c r="B6" s="298">
        <f t="shared" si="0"/>
        <v>6660226</v>
      </c>
      <c r="C6" s="228">
        <v>6714539</v>
      </c>
      <c r="D6" s="374">
        <f t="shared" si="1"/>
        <v>54313</v>
      </c>
      <c r="E6" s="256">
        <v>54312.28</v>
      </c>
      <c r="F6" s="465">
        <f t="shared" si="2"/>
        <v>0.72000000000116415</v>
      </c>
      <c r="G6" s="466">
        <f t="shared" si="3"/>
        <v>77607</v>
      </c>
      <c r="H6" s="228">
        <v>82271</v>
      </c>
      <c r="I6" s="255">
        <f t="shared" si="4"/>
        <v>4664</v>
      </c>
      <c r="J6" s="256">
        <v>4665.22</v>
      </c>
      <c r="K6" s="261">
        <f t="shared" si="5"/>
        <v>-1.2200000000002547</v>
      </c>
      <c r="L6" s="467">
        <f t="shared" si="6"/>
        <v>58977</v>
      </c>
    </row>
    <row r="7" spans="1:12">
      <c r="A7" s="249">
        <v>43221</v>
      </c>
      <c r="B7" s="298">
        <f t="shared" si="0"/>
        <v>6714539</v>
      </c>
      <c r="C7" s="228">
        <v>6774547</v>
      </c>
      <c r="D7" s="374">
        <f t="shared" si="1"/>
        <v>60008</v>
      </c>
      <c r="E7" s="228">
        <v>60007.47</v>
      </c>
      <c r="F7" s="465">
        <f t="shared" si="2"/>
        <v>0.52999999999883585</v>
      </c>
      <c r="G7" s="466">
        <f t="shared" si="3"/>
        <v>82271</v>
      </c>
      <c r="H7" s="228">
        <v>88664</v>
      </c>
      <c r="I7" s="255">
        <f t="shared" si="4"/>
        <v>6393</v>
      </c>
      <c r="J7" s="228">
        <v>6392.14</v>
      </c>
      <c r="K7" s="261">
        <f t="shared" si="5"/>
        <v>0.85999999999967258</v>
      </c>
      <c r="L7" s="467">
        <f t="shared" si="6"/>
        <v>66401</v>
      </c>
    </row>
    <row r="8" spans="1:12">
      <c r="A8" s="226">
        <v>43252</v>
      </c>
      <c r="B8" s="298">
        <f t="shared" si="0"/>
        <v>6774547</v>
      </c>
      <c r="C8" s="228">
        <v>6845214</v>
      </c>
      <c r="D8" s="374">
        <f t="shared" si="1"/>
        <v>70667</v>
      </c>
      <c r="E8" s="228">
        <v>70666.289999999994</v>
      </c>
      <c r="F8" s="465">
        <f t="shared" si="2"/>
        <v>0.71000000000640284</v>
      </c>
      <c r="G8" s="466">
        <f t="shared" si="3"/>
        <v>88664</v>
      </c>
      <c r="H8" s="228">
        <v>99683</v>
      </c>
      <c r="I8" s="255">
        <f t="shared" si="4"/>
        <v>11019</v>
      </c>
      <c r="J8" s="256">
        <v>11020.51</v>
      </c>
      <c r="K8" s="261">
        <f t="shared" si="5"/>
        <v>-1.5100000000002183</v>
      </c>
      <c r="L8" s="467">
        <f t="shared" si="6"/>
        <v>81686</v>
      </c>
    </row>
    <row r="9" spans="1:12">
      <c r="A9" s="226">
        <v>43282</v>
      </c>
      <c r="B9" s="298">
        <f t="shared" si="0"/>
        <v>6845214</v>
      </c>
      <c r="C9" s="256">
        <v>6921964</v>
      </c>
      <c r="D9" s="374">
        <f t="shared" si="1"/>
        <v>76750</v>
      </c>
      <c r="E9" s="256">
        <v>76750.25</v>
      </c>
      <c r="F9" s="465">
        <f t="shared" si="2"/>
        <v>-0.25</v>
      </c>
      <c r="G9" s="466">
        <f t="shared" si="3"/>
        <v>99683</v>
      </c>
      <c r="H9" s="256">
        <v>107936</v>
      </c>
      <c r="I9" s="255">
        <f t="shared" si="4"/>
        <v>8253</v>
      </c>
      <c r="J9" s="256">
        <v>8252.24</v>
      </c>
      <c r="K9" s="261">
        <f t="shared" si="5"/>
        <v>0.76000000000021828</v>
      </c>
      <c r="L9" s="467">
        <f t="shared" si="6"/>
        <v>85003</v>
      </c>
    </row>
    <row r="10" spans="1:12">
      <c r="A10" s="226">
        <v>43313</v>
      </c>
      <c r="B10" s="298">
        <f t="shared" si="0"/>
        <v>6921964</v>
      </c>
      <c r="C10" s="256">
        <v>7001142</v>
      </c>
      <c r="D10" s="374">
        <f t="shared" si="1"/>
        <v>79178</v>
      </c>
      <c r="E10" s="256">
        <v>79179.56</v>
      </c>
      <c r="F10" s="465">
        <f t="shared" si="2"/>
        <v>-1.5599999999976717</v>
      </c>
      <c r="G10" s="466">
        <f t="shared" si="3"/>
        <v>107936</v>
      </c>
      <c r="H10" s="256">
        <v>116730</v>
      </c>
      <c r="I10" s="255">
        <f t="shared" si="4"/>
        <v>8794</v>
      </c>
      <c r="J10" s="256">
        <v>8793.1200000000008</v>
      </c>
      <c r="K10" s="261">
        <f t="shared" si="5"/>
        <v>0.87999999999919964</v>
      </c>
      <c r="L10" s="467">
        <f t="shared" si="6"/>
        <v>87972</v>
      </c>
    </row>
    <row r="11" spans="1:12">
      <c r="A11" s="226">
        <v>43344</v>
      </c>
      <c r="B11" s="298">
        <f t="shared" si="0"/>
        <v>7001142</v>
      </c>
      <c r="C11" s="256">
        <v>7074217</v>
      </c>
      <c r="D11" s="374">
        <f t="shared" si="1"/>
        <v>73075</v>
      </c>
      <c r="E11" s="256">
        <v>73076.960000000006</v>
      </c>
      <c r="F11" s="465">
        <f t="shared" si="2"/>
        <v>-1.9600000000064028</v>
      </c>
      <c r="G11" s="466">
        <f t="shared" si="3"/>
        <v>116730</v>
      </c>
      <c r="H11" s="256">
        <v>127346</v>
      </c>
      <c r="I11" s="255">
        <f t="shared" si="4"/>
        <v>10616</v>
      </c>
      <c r="J11" s="256">
        <v>10615.37</v>
      </c>
      <c r="K11" s="261">
        <f t="shared" si="5"/>
        <v>0.62999999999919964</v>
      </c>
      <c r="L11" s="467">
        <f t="shared" si="6"/>
        <v>83691</v>
      </c>
    </row>
    <row r="12" spans="1:12">
      <c r="A12" s="226">
        <v>43374</v>
      </c>
      <c r="B12" s="298">
        <f t="shared" si="0"/>
        <v>7074217</v>
      </c>
      <c r="C12" s="228">
        <v>7154506</v>
      </c>
      <c r="D12" s="374">
        <f t="shared" si="1"/>
        <v>80289</v>
      </c>
      <c r="E12" s="228">
        <v>80287.839999999997</v>
      </c>
      <c r="F12" s="465">
        <f t="shared" si="2"/>
        <v>1.1600000000034925</v>
      </c>
      <c r="G12" s="466">
        <f t="shared" si="3"/>
        <v>127346</v>
      </c>
      <c r="H12" s="228">
        <v>134840</v>
      </c>
      <c r="I12" s="255">
        <f t="shared" si="4"/>
        <v>7494</v>
      </c>
      <c r="J12" s="228">
        <v>7493.99</v>
      </c>
      <c r="K12" s="261">
        <f t="shared" si="5"/>
        <v>1.0000000000218279E-2</v>
      </c>
      <c r="L12" s="467">
        <f t="shared" si="6"/>
        <v>87783</v>
      </c>
    </row>
    <row r="13" spans="1:12">
      <c r="A13" s="226">
        <v>43405</v>
      </c>
      <c r="B13" s="298">
        <f t="shared" si="0"/>
        <v>7154506</v>
      </c>
      <c r="C13" s="228">
        <v>7225359</v>
      </c>
      <c r="D13" s="374">
        <f t="shared" si="1"/>
        <v>70853</v>
      </c>
      <c r="E13" s="228">
        <v>70852.88</v>
      </c>
      <c r="F13" s="465">
        <f t="shared" si="2"/>
        <v>0.11999999999534339</v>
      </c>
      <c r="G13" s="466">
        <f t="shared" si="3"/>
        <v>134840</v>
      </c>
      <c r="H13" s="228">
        <v>145302</v>
      </c>
      <c r="I13" s="255">
        <f t="shared" si="4"/>
        <v>10462</v>
      </c>
      <c r="J13" s="228">
        <v>10462.700000000001</v>
      </c>
      <c r="K13" s="261">
        <f t="shared" si="5"/>
        <v>-0.7000000000007276</v>
      </c>
      <c r="L13" s="467">
        <f t="shared" si="6"/>
        <v>81315</v>
      </c>
    </row>
    <row r="14" spans="1:12">
      <c r="A14" s="226">
        <v>43435</v>
      </c>
      <c r="B14" s="298">
        <f t="shared" si="0"/>
        <v>7225359</v>
      </c>
      <c r="C14" s="228">
        <v>7296581</v>
      </c>
      <c r="D14" s="374">
        <f t="shared" si="1"/>
        <v>71222</v>
      </c>
      <c r="E14" s="228">
        <v>71221.22</v>
      </c>
      <c r="F14" s="465">
        <f t="shared" si="2"/>
        <v>0.77999999999883585</v>
      </c>
      <c r="G14" s="466">
        <f t="shared" si="3"/>
        <v>145302</v>
      </c>
      <c r="H14" s="228">
        <v>154999</v>
      </c>
      <c r="I14" s="255">
        <f t="shared" si="4"/>
        <v>9697</v>
      </c>
      <c r="J14" s="228">
        <v>9696.7999999999993</v>
      </c>
      <c r="K14" s="261">
        <f t="shared" si="5"/>
        <v>0.2000000000007276</v>
      </c>
      <c r="L14" s="467">
        <f t="shared" si="6"/>
        <v>80919</v>
      </c>
    </row>
    <row r="15" spans="1:12">
      <c r="A15" s="226">
        <v>43466</v>
      </c>
      <c r="B15" s="298">
        <f t="shared" si="0"/>
        <v>7296581</v>
      </c>
      <c r="C15" s="228">
        <v>7366625</v>
      </c>
      <c r="D15" s="374">
        <f t="shared" si="1"/>
        <v>70044</v>
      </c>
      <c r="E15" s="228">
        <v>70042.86</v>
      </c>
      <c r="F15" s="465">
        <f t="shared" si="2"/>
        <v>1.1399999999994179</v>
      </c>
      <c r="G15" s="466">
        <f t="shared" si="3"/>
        <v>154999</v>
      </c>
      <c r="H15" s="228">
        <v>161103</v>
      </c>
      <c r="I15" s="255">
        <f t="shared" si="4"/>
        <v>6104</v>
      </c>
      <c r="J15" s="228">
        <v>6107.32</v>
      </c>
      <c r="K15" s="261">
        <f t="shared" si="5"/>
        <v>-3.319999999999709</v>
      </c>
      <c r="L15" s="467">
        <f t="shared" si="6"/>
        <v>76148</v>
      </c>
    </row>
    <row r="16" spans="1:12">
      <c r="A16" s="226">
        <v>43497</v>
      </c>
      <c r="B16" s="298">
        <f t="shared" si="0"/>
        <v>7366625</v>
      </c>
      <c r="C16" s="228">
        <v>7427612</v>
      </c>
      <c r="D16" s="374">
        <f t="shared" si="1"/>
        <v>60987</v>
      </c>
      <c r="E16" s="228">
        <v>60986.27</v>
      </c>
      <c r="F16" s="465">
        <f t="shared" si="2"/>
        <v>0.73000000000320142</v>
      </c>
      <c r="G16" s="466">
        <f t="shared" si="3"/>
        <v>161103</v>
      </c>
      <c r="H16" s="228">
        <v>167784</v>
      </c>
      <c r="I16" s="255">
        <f t="shared" si="4"/>
        <v>6681</v>
      </c>
      <c r="J16" s="228">
        <v>6681</v>
      </c>
      <c r="K16" s="261">
        <f t="shared" si="5"/>
        <v>0</v>
      </c>
      <c r="L16" s="467">
        <f t="shared" si="6"/>
        <v>67668</v>
      </c>
    </row>
    <row r="17" spans="1:12">
      <c r="A17" s="226">
        <v>43525</v>
      </c>
      <c r="B17" s="298">
        <f t="shared" si="0"/>
        <v>7427612</v>
      </c>
      <c r="C17" s="228">
        <v>7494502</v>
      </c>
      <c r="D17" s="374">
        <f t="shared" si="1"/>
        <v>66890</v>
      </c>
      <c r="E17" s="228">
        <v>66888.649999999994</v>
      </c>
      <c r="F17" s="465">
        <f t="shared" si="2"/>
        <v>1.3500000000058208</v>
      </c>
      <c r="G17" s="466">
        <f t="shared" si="3"/>
        <v>167784</v>
      </c>
      <c r="H17" s="228">
        <v>178453</v>
      </c>
      <c r="I17" s="255">
        <f t="shared" si="4"/>
        <v>10669</v>
      </c>
      <c r="J17" s="228">
        <v>10669.59</v>
      </c>
      <c r="K17" s="261">
        <f t="shared" si="5"/>
        <v>-0.59000000000014552</v>
      </c>
      <c r="L17" s="467">
        <f t="shared" si="6"/>
        <v>77559</v>
      </c>
    </row>
    <row r="18" spans="1:12">
      <c r="A18" s="226">
        <v>43556</v>
      </c>
      <c r="B18" s="298">
        <f t="shared" si="0"/>
        <v>7494502</v>
      </c>
      <c r="C18" s="228">
        <v>7567839</v>
      </c>
      <c r="D18" s="374">
        <f t="shared" si="1"/>
        <v>73337</v>
      </c>
      <c r="E18" s="228">
        <v>73336.570000000007</v>
      </c>
      <c r="F18" s="465">
        <f t="shared" si="2"/>
        <v>0.42999999999301508</v>
      </c>
      <c r="G18" s="466">
        <f t="shared" si="3"/>
        <v>178453</v>
      </c>
      <c r="H18" s="228">
        <v>185868</v>
      </c>
      <c r="I18" s="255">
        <f t="shared" si="4"/>
        <v>7415</v>
      </c>
      <c r="J18" s="228">
        <v>7415.91</v>
      </c>
      <c r="K18" s="261">
        <f t="shared" si="5"/>
        <v>-0.90999999999985448</v>
      </c>
      <c r="L18" s="467">
        <f t="shared" si="6"/>
        <v>80752</v>
      </c>
    </row>
    <row r="19" spans="1:12">
      <c r="A19" s="226">
        <v>43586</v>
      </c>
      <c r="B19" s="298">
        <f t="shared" si="0"/>
        <v>7567839</v>
      </c>
      <c r="C19" s="228">
        <v>7635177</v>
      </c>
      <c r="D19" s="374">
        <f t="shared" si="1"/>
        <v>67338</v>
      </c>
      <c r="E19" s="228">
        <v>67338.48</v>
      </c>
      <c r="F19" s="465">
        <f t="shared" si="2"/>
        <v>-0.47999999999592546</v>
      </c>
      <c r="G19" s="466">
        <f t="shared" si="3"/>
        <v>185868</v>
      </c>
      <c r="H19" s="228">
        <v>191580</v>
      </c>
      <c r="I19" s="255">
        <f t="shared" si="4"/>
        <v>5712</v>
      </c>
      <c r="J19" s="228">
        <v>5711.08</v>
      </c>
      <c r="K19" s="261">
        <f t="shared" si="5"/>
        <v>0.92000000000007276</v>
      </c>
      <c r="L19" s="467">
        <f t="shared" si="6"/>
        <v>73050</v>
      </c>
    </row>
    <row r="20" spans="1:12">
      <c r="A20" s="226">
        <v>43617</v>
      </c>
      <c r="B20" s="298">
        <f t="shared" si="0"/>
        <v>7635177</v>
      </c>
      <c r="C20" s="228">
        <v>7705814</v>
      </c>
      <c r="D20" s="374">
        <f t="shared" si="1"/>
        <v>70637</v>
      </c>
      <c r="E20" s="228">
        <v>70631.199999999997</v>
      </c>
      <c r="F20" s="465">
        <f>D20-E20</f>
        <v>5.8000000000029104</v>
      </c>
      <c r="G20" s="466">
        <f t="shared" si="3"/>
        <v>191580</v>
      </c>
      <c r="H20" s="228">
        <v>198910</v>
      </c>
      <c r="I20" s="255">
        <f t="shared" si="4"/>
        <v>7330</v>
      </c>
      <c r="J20" s="228">
        <v>7352.54</v>
      </c>
      <c r="K20" s="261">
        <f t="shared" si="5"/>
        <v>-22.539999999999964</v>
      </c>
      <c r="L20" s="467">
        <f t="shared" si="6"/>
        <v>77967</v>
      </c>
    </row>
    <row r="21" spans="1:12">
      <c r="A21" s="226">
        <v>43647</v>
      </c>
      <c r="B21" s="298">
        <f t="shared" si="0"/>
        <v>7705814</v>
      </c>
      <c r="C21" s="228">
        <v>7789265</v>
      </c>
      <c r="D21" s="374">
        <f t="shared" si="1"/>
        <v>83451</v>
      </c>
      <c r="E21" s="228">
        <v>83450.259999999995</v>
      </c>
      <c r="F21" s="465">
        <f t="shared" si="2"/>
        <v>0.74000000000523869</v>
      </c>
      <c r="G21" s="466">
        <f t="shared" si="3"/>
        <v>198910</v>
      </c>
      <c r="H21" s="228">
        <v>208208</v>
      </c>
      <c r="I21" s="255">
        <f t="shared" si="4"/>
        <v>9298</v>
      </c>
      <c r="J21" s="228">
        <v>8921.51</v>
      </c>
      <c r="K21" s="261">
        <f t="shared" si="5"/>
        <v>376.48999999999978</v>
      </c>
      <c r="L21" s="467">
        <f t="shared" si="6"/>
        <v>92749</v>
      </c>
    </row>
    <row r="22" spans="1:12">
      <c r="A22" s="226">
        <v>43678</v>
      </c>
      <c r="B22" s="298">
        <f t="shared" si="0"/>
        <v>7789265</v>
      </c>
      <c r="C22" s="228">
        <v>7867728</v>
      </c>
      <c r="D22" s="374">
        <f t="shared" si="1"/>
        <v>78463</v>
      </c>
      <c r="E22" s="228">
        <v>78463.600000000006</v>
      </c>
      <c r="F22" s="465">
        <f>D22-E22</f>
        <v>-0.60000000000582077</v>
      </c>
      <c r="G22" s="466">
        <f t="shared" si="3"/>
        <v>208208</v>
      </c>
      <c r="H22" s="228">
        <v>216205</v>
      </c>
      <c r="I22" s="255">
        <f t="shared" si="4"/>
        <v>7997</v>
      </c>
      <c r="J22" s="228">
        <v>7870.33</v>
      </c>
      <c r="K22" s="261">
        <f t="shared" si="5"/>
        <v>126.67000000000007</v>
      </c>
      <c r="L22" s="467">
        <f t="shared" si="6"/>
        <v>86460</v>
      </c>
    </row>
    <row r="23" spans="1:12">
      <c r="A23" s="226">
        <v>43709</v>
      </c>
      <c r="B23" s="298">
        <f t="shared" si="0"/>
        <v>7867728</v>
      </c>
      <c r="C23" s="228">
        <v>7937278</v>
      </c>
      <c r="D23" s="374">
        <f t="shared" si="1"/>
        <v>69550</v>
      </c>
      <c r="E23" s="228">
        <v>69549.31</v>
      </c>
      <c r="F23" s="465">
        <f t="shared" si="2"/>
        <v>0.69000000000232831</v>
      </c>
      <c r="G23" s="466">
        <f t="shared" si="3"/>
        <v>216205</v>
      </c>
      <c r="H23" s="228">
        <v>223195</v>
      </c>
      <c r="I23" s="255">
        <f t="shared" si="4"/>
        <v>6990</v>
      </c>
      <c r="J23" s="228">
        <v>6989.22</v>
      </c>
      <c r="K23" s="261">
        <f t="shared" si="5"/>
        <v>0.77999999999974534</v>
      </c>
      <c r="L23" s="467">
        <f t="shared" si="6"/>
        <v>76540</v>
      </c>
    </row>
    <row r="24" spans="1:12">
      <c r="A24" s="226">
        <v>43739</v>
      </c>
      <c r="B24" s="298">
        <f t="shared" si="0"/>
        <v>7937278</v>
      </c>
      <c r="C24" s="228">
        <v>8009185</v>
      </c>
      <c r="D24" s="374">
        <f t="shared" si="1"/>
        <v>71907</v>
      </c>
      <c r="E24" s="228">
        <v>71906.240000000005</v>
      </c>
      <c r="F24" s="465">
        <f t="shared" si="2"/>
        <v>0.75999999999476131</v>
      </c>
      <c r="G24" s="466">
        <f t="shared" si="3"/>
        <v>223195</v>
      </c>
      <c r="H24" s="228">
        <v>229902</v>
      </c>
      <c r="I24" s="255">
        <f t="shared" si="4"/>
        <v>6707</v>
      </c>
      <c r="J24" s="228">
        <v>6706</v>
      </c>
      <c r="K24" s="261">
        <f t="shared" si="5"/>
        <v>1</v>
      </c>
      <c r="L24" s="467">
        <f t="shared" si="6"/>
        <v>78614</v>
      </c>
    </row>
    <row r="25" spans="1:12">
      <c r="A25" s="226">
        <v>43770</v>
      </c>
      <c r="B25" s="298">
        <f t="shared" si="0"/>
        <v>8009185</v>
      </c>
      <c r="C25" s="228">
        <v>8069975</v>
      </c>
      <c r="D25" s="374">
        <f t="shared" si="1"/>
        <v>60790</v>
      </c>
      <c r="E25" s="228">
        <v>60788.44</v>
      </c>
      <c r="F25" s="465">
        <f t="shared" si="2"/>
        <v>1.5599999999976717</v>
      </c>
      <c r="G25" s="466">
        <f t="shared" si="3"/>
        <v>229902</v>
      </c>
      <c r="H25" s="228">
        <v>235486</v>
      </c>
      <c r="I25" s="255">
        <f t="shared" si="4"/>
        <v>5584</v>
      </c>
      <c r="J25" s="228">
        <v>5584</v>
      </c>
      <c r="K25" s="261">
        <f t="shared" si="5"/>
        <v>0</v>
      </c>
      <c r="L25" s="467">
        <f t="shared" si="6"/>
        <v>66374</v>
      </c>
    </row>
    <row r="26" spans="1:12">
      <c r="A26" s="226">
        <v>43800</v>
      </c>
      <c r="B26" s="298">
        <f t="shared" si="0"/>
        <v>8069975</v>
      </c>
      <c r="C26" s="256">
        <v>8133966</v>
      </c>
      <c r="D26" s="374">
        <f t="shared" si="1"/>
        <v>63991</v>
      </c>
      <c r="E26" s="256">
        <v>63990.63</v>
      </c>
      <c r="F26" s="465">
        <f t="shared" si="2"/>
        <v>0.37000000000261934</v>
      </c>
      <c r="G26" s="466">
        <f t="shared" si="3"/>
        <v>235486</v>
      </c>
      <c r="H26" s="256">
        <v>245835</v>
      </c>
      <c r="I26" s="255">
        <f t="shared" si="4"/>
        <v>10349</v>
      </c>
      <c r="J26" s="256">
        <v>10348.06</v>
      </c>
      <c r="K26" s="261">
        <f t="shared" si="5"/>
        <v>0.94000000000050932</v>
      </c>
      <c r="L26" s="467">
        <f t="shared" si="6"/>
        <v>74340</v>
      </c>
    </row>
    <row r="27" spans="1:12">
      <c r="A27" s="226">
        <v>43831</v>
      </c>
      <c r="B27" s="298">
        <f t="shared" si="0"/>
        <v>8133966</v>
      </c>
      <c r="C27" s="228">
        <v>8200024</v>
      </c>
      <c r="D27" s="374">
        <f t="shared" si="1"/>
        <v>66058</v>
      </c>
      <c r="E27" s="228">
        <v>66057.75</v>
      </c>
      <c r="F27" s="465">
        <f t="shared" si="2"/>
        <v>0.25</v>
      </c>
      <c r="G27" s="466">
        <f t="shared" si="3"/>
        <v>245835</v>
      </c>
      <c r="H27" s="228">
        <v>253278</v>
      </c>
      <c r="I27" s="255">
        <f t="shared" si="4"/>
        <v>7443</v>
      </c>
      <c r="J27" s="228">
        <v>7443.22</v>
      </c>
      <c r="K27" s="261">
        <f t="shared" si="5"/>
        <v>-0.22000000000025466</v>
      </c>
      <c r="L27" s="467">
        <f t="shared" si="6"/>
        <v>73501</v>
      </c>
    </row>
    <row r="28" spans="1:12">
      <c r="A28" s="226">
        <v>43862</v>
      </c>
      <c r="B28" s="298">
        <f t="shared" si="0"/>
        <v>8200024</v>
      </c>
      <c r="C28" s="228">
        <v>8265856</v>
      </c>
      <c r="D28" s="374">
        <f t="shared" si="1"/>
        <v>65832</v>
      </c>
      <c r="E28" s="228">
        <v>65831.210000000006</v>
      </c>
      <c r="F28" s="465">
        <f t="shared" si="2"/>
        <v>0.78999999999359716</v>
      </c>
      <c r="G28" s="466">
        <f t="shared" si="3"/>
        <v>253278</v>
      </c>
      <c r="H28" s="228">
        <v>259127</v>
      </c>
      <c r="I28" s="255">
        <f t="shared" si="4"/>
        <v>5849</v>
      </c>
      <c r="J28" s="228">
        <v>5848.37</v>
      </c>
      <c r="K28" s="261">
        <f t="shared" si="5"/>
        <v>0.63000000000010914</v>
      </c>
      <c r="L28" s="467">
        <f t="shared" si="6"/>
        <v>71681</v>
      </c>
    </row>
    <row r="29" spans="1:12">
      <c r="A29" s="226">
        <v>43891</v>
      </c>
      <c r="B29" s="298">
        <f t="shared" si="0"/>
        <v>8265856</v>
      </c>
      <c r="C29" s="228">
        <v>8316467</v>
      </c>
      <c r="D29" s="374">
        <f t="shared" si="1"/>
        <v>50611</v>
      </c>
      <c r="E29" s="228">
        <v>50610.58</v>
      </c>
      <c r="F29" s="465">
        <f t="shared" si="2"/>
        <v>0.41999999999825377</v>
      </c>
      <c r="G29" s="466">
        <f t="shared" si="3"/>
        <v>259127</v>
      </c>
      <c r="H29" s="228">
        <v>262770</v>
      </c>
      <c r="I29" s="255">
        <f t="shared" si="4"/>
        <v>3643</v>
      </c>
      <c r="J29" s="228">
        <v>3643.28</v>
      </c>
      <c r="K29" s="261">
        <f t="shared" si="5"/>
        <v>-0.28000000000020009</v>
      </c>
      <c r="L29" s="467">
        <f t="shared" si="6"/>
        <v>54254</v>
      </c>
    </row>
    <row r="30" spans="1:12">
      <c r="A30" s="226">
        <v>43922</v>
      </c>
      <c r="B30" s="298">
        <f t="shared" si="0"/>
        <v>8316467</v>
      </c>
      <c r="C30" s="256">
        <v>8339290</v>
      </c>
      <c r="D30" s="374">
        <f t="shared" si="1"/>
        <v>22823</v>
      </c>
      <c r="E30" s="256">
        <v>22822.77</v>
      </c>
      <c r="F30" s="465">
        <f t="shared" si="2"/>
        <v>0.22999999999956344</v>
      </c>
      <c r="G30" s="466">
        <f t="shared" si="3"/>
        <v>262770</v>
      </c>
      <c r="H30" s="256">
        <v>264628</v>
      </c>
      <c r="I30" s="255">
        <f t="shared" si="4"/>
        <v>1858</v>
      </c>
      <c r="J30" s="256">
        <v>1858.41</v>
      </c>
      <c r="K30" s="261">
        <f t="shared" si="5"/>
        <v>-0.41000000000008185</v>
      </c>
      <c r="L30" s="467">
        <f t="shared" si="6"/>
        <v>24681</v>
      </c>
    </row>
    <row r="31" spans="1:12">
      <c r="A31" s="226">
        <v>43952</v>
      </c>
      <c r="B31" s="298">
        <f t="shared" si="0"/>
        <v>8339290</v>
      </c>
      <c r="C31" s="228">
        <v>8359648</v>
      </c>
      <c r="D31" s="374">
        <f t="shared" si="1"/>
        <v>20358</v>
      </c>
      <c r="E31" s="228">
        <v>20357.990000000002</v>
      </c>
      <c r="F31" s="465">
        <f t="shared" si="2"/>
        <v>9.9999999983992893E-3</v>
      </c>
      <c r="G31" s="466">
        <f t="shared" si="3"/>
        <v>264628</v>
      </c>
      <c r="H31" s="228">
        <v>265578</v>
      </c>
      <c r="I31" s="255">
        <f t="shared" si="4"/>
        <v>950</v>
      </c>
      <c r="J31" s="228">
        <v>949.76</v>
      </c>
      <c r="K31" s="261">
        <f t="shared" si="5"/>
        <v>0.24000000000000909</v>
      </c>
      <c r="L31" s="467">
        <f t="shared" si="6"/>
        <v>21308</v>
      </c>
    </row>
    <row r="32" spans="1:12">
      <c r="A32" s="226">
        <v>43983</v>
      </c>
      <c r="B32" s="298">
        <f t="shared" si="0"/>
        <v>8359648</v>
      </c>
      <c r="C32" s="228">
        <v>8379633</v>
      </c>
      <c r="D32" s="374">
        <f t="shared" si="1"/>
        <v>19985</v>
      </c>
      <c r="E32" s="228">
        <v>19986.830000000002</v>
      </c>
      <c r="F32" s="465">
        <f t="shared" si="2"/>
        <v>-1.8300000000017462</v>
      </c>
      <c r="G32" s="466">
        <f t="shared" si="3"/>
        <v>265578</v>
      </c>
      <c r="H32" s="228">
        <v>266245</v>
      </c>
      <c r="I32" s="255">
        <f t="shared" si="4"/>
        <v>667</v>
      </c>
      <c r="J32" s="228">
        <v>667.51</v>
      </c>
      <c r="K32" s="261">
        <f t="shared" si="5"/>
        <v>-0.50999999999999091</v>
      </c>
      <c r="L32" s="467">
        <f t="shared" si="6"/>
        <v>20652</v>
      </c>
    </row>
    <row r="33" spans="1:12">
      <c r="A33" s="226">
        <v>44013</v>
      </c>
      <c r="B33" s="298">
        <f t="shared" si="0"/>
        <v>8379633</v>
      </c>
      <c r="C33" s="228">
        <v>8401424</v>
      </c>
      <c r="D33" s="374">
        <f t="shared" si="1"/>
        <v>21791</v>
      </c>
      <c r="E33" s="228">
        <v>21791.54</v>
      </c>
      <c r="F33" s="465">
        <f t="shared" si="2"/>
        <v>-0.54000000000087311</v>
      </c>
      <c r="G33" s="466">
        <f t="shared" si="3"/>
        <v>266245</v>
      </c>
      <c r="H33" s="228">
        <v>267428</v>
      </c>
      <c r="I33" s="255">
        <f t="shared" si="4"/>
        <v>1183</v>
      </c>
      <c r="J33" s="228">
        <v>1182.19</v>
      </c>
      <c r="K33" s="261">
        <f t="shared" si="5"/>
        <v>0.80999999999994543</v>
      </c>
      <c r="L33" s="467">
        <f t="shared" si="6"/>
        <v>22974</v>
      </c>
    </row>
    <row r="34" spans="1:12">
      <c r="A34" s="226">
        <v>44044</v>
      </c>
      <c r="B34" s="298">
        <f t="shared" si="0"/>
        <v>8401424</v>
      </c>
      <c r="C34" s="256">
        <v>8425982</v>
      </c>
      <c r="D34" s="374">
        <f t="shared" si="1"/>
        <v>24558</v>
      </c>
      <c r="E34" s="256">
        <v>24556.98</v>
      </c>
      <c r="F34" s="465">
        <f t="shared" si="2"/>
        <v>1.0200000000004366</v>
      </c>
      <c r="G34" s="466">
        <f t="shared" si="3"/>
        <v>267428</v>
      </c>
      <c r="H34" s="256">
        <v>268712</v>
      </c>
      <c r="I34" s="255">
        <f t="shared" si="4"/>
        <v>1284</v>
      </c>
      <c r="J34" s="256">
        <v>1284.27</v>
      </c>
      <c r="K34" s="261">
        <f t="shared" si="5"/>
        <v>-0.26999999999998181</v>
      </c>
      <c r="L34" s="467">
        <f t="shared" si="6"/>
        <v>25842</v>
      </c>
    </row>
    <row r="35" spans="1:12">
      <c r="A35" s="226">
        <v>44075</v>
      </c>
      <c r="B35" s="298">
        <f t="shared" si="0"/>
        <v>8425982</v>
      </c>
      <c r="C35" s="256">
        <v>8454371</v>
      </c>
      <c r="D35" s="374">
        <f t="shared" si="1"/>
        <v>28389</v>
      </c>
      <c r="E35" s="256">
        <v>28390.560000000001</v>
      </c>
      <c r="F35" s="465">
        <f t="shared" si="2"/>
        <v>-1.5600000000013097</v>
      </c>
      <c r="G35" s="466">
        <f t="shared" si="3"/>
        <v>268712</v>
      </c>
      <c r="H35" s="228">
        <v>270861</v>
      </c>
      <c r="I35" s="255">
        <f t="shared" si="4"/>
        <v>2149</v>
      </c>
      <c r="J35" s="228">
        <v>2149.25</v>
      </c>
      <c r="K35" s="261">
        <f t="shared" si="5"/>
        <v>-0.25</v>
      </c>
      <c r="L35" s="467">
        <f t="shared" si="6"/>
        <v>30538</v>
      </c>
    </row>
    <row r="36" spans="1:12">
      <c r="A36" s="226">
        <v>44105</v>
      </c>
      <c r="B36" s="298">
        <f t="shared" si="0"/>
        <v>8454371</v>
      </c>
      <c r="C36" s="256">
        <v>8485990</v>
      </c>
      <c r="D36" s="374">
        <f t="shared" si="1"/>
        <v>31619</v>
      </c>
      <c r="E36" s="256">
        <v>31621.57</v>
      </c>
      <c r="F36" s="465">
        <f t="shared" si="2"/>
        <v>-2.569999999999709</v>
      </c>
      <c r="G36" s="466">
        <f t="shared" si="3"/>
        <v>270861</v>
      </c>
      <c r="H36" s="256">
        <v>273623</v>
      </c>
      <c r="I36" s="255">
        <f t="shared" si="4"/>
        <v>2762</v>
      </c>
      <c r="J36" s="256">
        <v>2761.47</v>
      </c>
      <c r="K36" s="261">
        <f t="shared" si="5"/>
        <v>0.53000000000020009</v>
      </c>
      <c r="L36" s="467">
        <f t="shared" si="6"/>
        <v>34381</v>
      </c>
    </row>
    <row r="37" spans="1:12">
      <c r="A37" s="226">
        <v>44136</v>
      </c>
      <c r="B37" s="298">
        <f t="shared" si="0"/>
        <v>8485990</v>
      </c>
      <c r="C37" s="228">
        <v>8516401</v>
      </c>
      <c r="D37" s="374">
        <f t="shared" si="1"/>
        <v>30411</v>
      </c>
      <c r="E37" s="228">
        <v>30411.599999999999</v>
      </c>
      <c r="F37" s="465">
        <f t="shared" si="2"/>
        <v>-0.59999999999854481</v>
      </c>
      <c r="G37" s="466">
        <f t="shared" si="3"/>
        <v>273623</v>
      </c>
      <c r="H37" s="228">
        <v>275204</v>
      </c>
      <c r="I37" s="255">
        <f t="shared" si="4"/>
        <v>1581</v>
      </c>
      <c r="J37" s="228">
        <v>1581.28</v>
      </c>
      <c r="K37" s="261">
        <f t="shared" si="5"/>
        <v>-0.27999999999997272</v>
      </c>
      <c r="L37" s="467">
        <f t="shared" si="6"/>
        <v>31992</v>
      </c>
    </row>
    <row r="38" spans="1:12">
      <c r="A38" s="226">
        <v>44166</v>
      </c>
      <c r="B38" s="298">
        <f t="shared" si="0"/>
        <v>8516401</v>
      </c>
      <c r="C38" s="228">
        <v>8555365</v>
      </c>
      <c r="D38" s="374">
        <f t="shared" si="1"/>
        <v>38964</v>
      </c>
      <c r="E38" s="228">
        <v>38962.93</v>
      </c>
      <c r="F38" s="465">
        <f t="shared" si="2"/>
        <v>1.069999999999709</v>
      </c>
      <c r="G38" s="466">
        <f t="shared" si="3"/>
        <v>275204</v>
      </c>
      <c r="H38" s="228">
        <v>279159</v>
      </c>
      <c r="I38" s="255">
        <f t="shared" si="4"/>
        <v>3955</v>
      </c>
      <c r="J38" s="228">
        <v>3923.84</v>
      </c>
      <c r="K38" s="261">
        <f t="shared" si="5"/>
        <v>31.159999999999854</v>
      </c>
      <c r="L38" s="467">
        <f t="shared" si="6"/>
        <v>42919</v>
      </c>
    </row>
    <row r="39" spans="1:12">
      <c r="A39" s="226">
        <v>44197</v>
      </c>
      <c r="B39" s="298">
        <f t="shared" si="0"/>
        <v>8555365</v>
      </c>
      <c r="C39" s="228">
        <v>8594661</v>
      </c>
      <c r="D39" s="374">
        <f t="shared" si="1"/>
        <v>39296</v>
      </c>
      <c r="E39" s="228">
        <v>39314.550000000003</v>
      </c>
      <c r="F39" s="465">
        <f t="shared" si="2"/>
        <v>-18.55000000000291</v>
      </c>
      <c r="G39" s="466">
        <f t="shared" si="3"/>
        <v>279159</v>
      </c>
      <c r="H39" s="228">
        <v>282519</v>
      </c>
      <c r="I39" s="255">
        <f t="shared" si="4"/>
        <v>3360</v>
      </c>
      <c r="J39" s="228">
        <v>3390.69</v>
      </c>
      <c r="K39" s="261">
        <f t="shared" si="5"/>
        <v>-30.690000000000055</v>
      </c>
      <c r="L39" s="467">
        <f t="shared" si="6"/>
        <v>42656</v>
      </c>
    </row>
    <row r="40" spans="1:12">
      <c r="A40" s="226">
        <v>44228</v>
      </c>
      <c r="B40" s="298">
        <f t="shared" si="0"/>
        <v>8594661</v>
      </c>
      <c r="C40" s="228"/>
      <c r="D40" s="374">
        <f t="shared" si="1"/>
        <v>-8594661</v>
      </c>
      <c r="E40" s="228"/>
      <c r="F40" s="465">
        <f t="shared" si="2"/>
        <v>-8594661</v>
      </c>
      <c r="G40" s="466">
        <f t="shared" si="3"/>
        <v>282519</v>
      </c>
      <c r="H40" s="228"/>
      <c r="I40" s="255">
        <f t="shared" si="4"/>
        <v>-282519</v>
      </c>
      <c r="J40" s="228"/>
      <c r="K40" s="261">
        <f t="shared" si="5"/>
        <v>-282519</v>
      </c>
      <c r="L40" s="467">
        <f t="shared" si="6"/>
        <v>-8877180</v>
      </c>
    </row>
    <row r="41" spans="1:12">
      <c r="A41" s="226">
        <v>44256</v>
      </c>
      <c r="B41" s="298">
        <f t="shared" si="0"/>
        <v>0</v>
      </c>
      <c r="C41" s="228"/>
      <c r="D41" s="374">
        <f t="shared" si="1"/>
        <v>0</v>
      </c>
      <c r="E41" s="228"/>
      <c r="F41" s="465">
        <f t="shared" si="2"/>
        <v>0</v>
      </c>
      <c r="G41" s="466">
        <f t="shared" si="3"/>
        <v>0</v>
      </c>
      <c r="H41" s="228"/>
      <c r="I41" s="255">
        <f t="shared" si="4"/>
        <v>0</v>
      </c>
      <c r="J41" s="228"/>
      <c r="K41" s="261">
        <f t="shared" si="5"/>
        <v>0</v>
      </c>
      <c r="L41" s="467">
        <f t="shared" si="6"/>
        <v>0</v>
      </c>
    </row>
    <row r="42" spans="1:12">
      <c r="A42" s="226">
        <v>44287</v>
      </c>
      <c r="B42" s="298">
        <f t="shared" si="0"/>
        <v>0</v>
      </c>
      <c r="C42" s="228"/>
      <c r="D42" s="374">
        <f t="shared" si="1"/>
        <v>0</v>
      </c>
      <c r="E42" s="228"/>
      <c r="F42" s="465">
        <f t="shared" si="2"/>
        <v>0</v>
      </c>
      <c r="G42" s="466">
        <f t="shared" si="3"/>
        <v>0</v>
      </c>
      <c r="H42" s="228"/>
      <c r="I42" s="255">
        <f t="shared" si="4"/>
        <v>0</v>
      </c>
      <c r="J42" s="228"/>
      <c r="K42" s="261">
        <f t="shared" si="5"/>
        <v>0</v>
      </c>
      <c r="L42" s="467">
        <f t="shared" si="6"/>
        <v>0</v>
      </c>
    </row>
    <row r="43" spans="1:12">
      <c r="A43" s="226">
        <v>44317</v>
      </c>
      <c r="B43" s="298">
        <f t="shared" si="0"/>
        <v>0</v>
      </c>
      <c r="C43" s="228"/>
      <c r="D43" s="374">
        <f t="shared" si="1"/>
        <v>0</v>
      </c>
      <c r="E43" s="228"/>
      <c r="F43" s="465">
        <f t="shared" si="2"/>
        <v>0</v>
      </c>
      <c r="G43" s="466">
        <f t="shared" si="3"/>
        <v>0</v>
      </c>
      <c r="H43" s="228"/>
      <c r="I43" s="255">
        <f t="shared" si="4"/>
        <v>0</v>
      </c>
      <c r="J43" s="228"/>
      <c r="K43" s="261">
        <f t="shared" si="5"/>
        <v>0</v>
      </c>
      <c r="L43" s="467">
        <f t="shared" si="6"/>
        <v>0</v>
      </c>
    </row>
    <row r="44" spans="1:12">
      <c r="A44" s="226">
        <v>44348</v>
      </c>
      <c r="B44" s="298">
        <f t="shared" si="0"/>
        <v>0</v>
      </c>
      <c r="C44" s="228"/>
      <c r="D44" s="374">
        <f t="shared" si="1"/>
        <v>0</v>
      </c>
      <c r="E44" s="228"/>
      <c r="F44" s="465">
        <f t="shared" si="2"/>
        <v>0</v>
      </c>
      <c r="G44" s="466">
        <f t="shared" si="3"/>
        <v>0</v>
      </c>
      <c r="H44" s="228"/>
      <c r="I44" s="255">
        <f t="shared" si="4"/>
        <v>0</v>
      </c>
      <c r="J44" s="228"/>
      <c r="K44" s="261">
        <f t="shared" si="5"/>
        <v>0</v>
      </c>
      <c r="L44" s="467">
        <f t="shared" si="6"/>
        <v>0</v>
      </c>
    </row>
    <row r="45" spans="1:12">
      <c r="A45" s="226">
        <v>44378</v>
      </c>
      <c r="B45" s="298">
        <f t="shared" si="0"/>
        <v>0</v>
      </c>
      <c r="C45" s="228"/>
      <c r="D45" s="374">
        <f t="shared" si="1"/>
        <v>0</v>
      </c>
      <c r="E45" s="228"/>
      <c r="F45" s="465">
        <f t="shared" si="2"/>
        <v>0</v>
      </c>
      <c r="G45" s="466">
        <f t="shared" si="3"/>
        <v>0</v>
      </c>
      <c r="H45" s="228"/>
      <c r="I45" s="255">
        <f t="shared" si="4"/>
        <v>0</v>
      </c>
      <c r="J45" s="228"/>
      <c r="K45" s="261">
        <f t="shared" si="5"/>
        <v>0</v>
      </c>
      <c r="L45" s="467">
        <f t="shared" si="6"/>
        <v>0</v>
      </c>
    </row>
    <row r="46" spans="1:12">
      <c r="A46" s="226">
        <v>44409</v>
      </c>
      <c r="B46" s="298">
        <f t="shared" si="0"/>
        <v>0</v>
      </c>
      <c r="C46" s="228"/>
      <c r="D46" s="374">
        <f t="shared" si="1"/>
        <v>0</v>
      </c>
      <c r="E46" s="228"/>
      <c r="F46" s="465">
        <f t="shared" si="2"/>
        <v>0</v>
      </c>
      <c r="G46" s="466">
        <f t="shared" si="3"/>
        <v>0</v>
      </c>
      <c r="H46" s="228"/>
      <c r="I46" s="255">
        <f t="shared" si="4"/>
        <v>0</v>
      </c>
      <c r="J46" s="228"/>
      <c r="K46" s="261">
        <f t="shared" si="5"/>
        <v>0</v>
      </c>
      <c r="L46" s="467">
        <f t="shared" si="6"/>
        <v>0</v>
      </c>
    </row>
    <row r="47" spans="1:12">
      <c r="A47" s="226">
        <v>44440</v>
      </c>
      <c r="B47" s="298">
        <f t="shared" si="0"/>
        <v>0</v>
      </c>
      <c r="C47" s="228"/>
      <c r="D47" s="374">
        <f t="shared" si="1"/>
        <v>0</v>
      </c>
      <c r="E47" s="228"/>
      <c r="F47" s="465">
        <f t="shared" si="2"/>
        <v>0</v>
      </c>
      <c r="G47" s="466">
        <f t="shared" si="3"/>
        <v>0</v>
      </c>
      <c r="H47" s="228"/>
      <c r="I47" s="255">
        <f t="shared" si="4"/>
        <v>0</v>
      </c>
      <c r="J47" s="228"/>
      <c r="K47" s="261">
        <f t="shared" si="5"/>
        <v>0</v>
      </c>
      <c r="L47" s="467">
        <f t="shared" si="6"/>
        <v>0</v>
      </c>
    </row>
    <row r="48" spans="1:12">
      <c r="A48" s="226">
        <v>44470</v>
      </c>
      <c r="B48" s="298">
        <f t="shared" si="0"/>
        <v>0</v>
      </c>
      <c r="C48" s="228"/>
      <c r="D48" s="374">
        <f t="shared" si="1"/>
        <v>0</v>
      </c>
      <c r="E48" s="228"/>
      <c r="F48" s="465">
        <f t="shared" si="2"/>
        <v>0</v>
      </c>
      <c r="G48" s="466">
        <f t="shared" si="3"/>
        <v>0</v>
      </c>
      <c r="H48" s="228"/>
      <c r="I48" s="255">
        <f t="shared" si="4"/>
        <v>0</v>
      </c>
      <c r="J48" s="228"/>
      <c r="K48" s="261">
        <f t="shared" si="5"/>
        <v>0</v>
      </c>
      <c r="L48" s="467">
        <f t="shared" si="6"/>
        <v>0</v>
      </c>
    </row>
    <row r="49" spans="1:12">
      <c r="A49" s="226">
        <v>44501</v>
      </c>
      <c r="B49" s="298">
        <f t="shared" si="0"/>
        <v>0</v>
      </c>
      <c r="C49" s="228"/>
      <c r="D49" s="374">
        <f t="shared" si="1"/>
        <v>0</v>
      </c>
      <c r="E49" s="228"/>
      <c r="F49" s="465">
        <f t="shared" si="2"/>
        <v>0</v>
      </c>
      <c r="G49" s="466">
        <f t="shared" si="3"/>
        <v>0</v>
      </c>
      <c r="H49" s="228"/>
      <c r="I49" s="255">
        <f t="shared" si="4"/>
        <v>0</v>
      </c>
      <c r="J49" s="228"/>
      <c r="K49" s="261">
        <f t="shared" si="5"/>
        <v>0</v>
      </c>
      <c r="L49" s="467">
        <f t="shared" si="6"/>
        <v>0</v>
      </c>
    </row>
    <row r="50" spans="1:12">
      <c r="A50" s="226">
        <v>44531</v>
      </c>
      <c r="B50" s="298">
        <f t="shared" si="0"/>
        <v>0</v>
      </c>
      <c r="C50" s="228"/>
      <c r="D50" s="374">
        <f t="shared" si="1"/>
        <v>0</v>
      </c>
      <c r="E50" s="228"/>
      <c r="F50" s="465">
        <f t="shared" si="2"/>
        <v>0</v>
      </c>
      <c r="G50" s="466">
        <f t="shared" si="3"/>
        <v>0</v>
      </c>
      <c r="H50" s="228"/>
      <c r="I50" s="255">
        <f t="shared" si="4"/>
        <v>0</v>
      </c>
      <c r="J50" s="228"/>
      <c r="K50" s="261">
        <f t="shared" si="5"/>
        <v>0</v>
      </c>
      <c r="L50" s="467">
        <f t="shared" si="6"/>
        <v>0</v>
      </c>
    </row>
    <row r="51" spans="1:12">
      <c r="A51" s="226">
        <v>44562</v>
      </c>
      <c r="B51" s="298">
        <f t="shared" si="0"/>
        <v>0</v>
      </c>
      <c r="C51" s="228"/>
      <c r="D51" s="374">
        <f t="shared" si="1"/>
        <v>0</v>
      </c>
      <c r="E51" s="228"/>
      <c r="F51" s="465">
        <f t="shared" si="2"/>
        <v>0</v>
      </c>
      <c r="G51" s="466">
        <f t="shared" si="3"/>
        <v>0</v>
      </c>
      <c r="H51" s="228"/>
      <c r="I51" s="255">
        <f t="shared" si="4"/>
        <v>0</v>
      </c>
      <c r="J51" s="228"/>
      <c r="K51" s="261">
        <f t="shared" si="5"/>
        <v>0</v>
      </c>
      <c r="L51" s="467">
        <f t="shared" si="6"/>
        <v>0</v>
      </c>
    </row>
    <row r="52" spans="1:12">
      <c r="A52" s="226">
        <v>44593</v>
      </c>
      <c r="B52" s="298">
        <f t="shared" si="0"/>
        <v>0</v>
      </c>
      <c r="C52" s="228"/>
      <c r="D52" s="374">
        <f t="shared" si="1"/>
        <v>0</v>
      </c>
      <c r="E52" s="228"/>
      <c r="F52" s="465">
        <f t="shared" si="2"/>
        <v>0</v>
      </c>
      <c r="G52" s="466">
        <f t="shared" si="3"/>
        <v>0</v>
      </c>
      <c r="H52" s="228"/>
      <c r="I52" s="255">
        <f t="shared" si="4"/>
        <v>0</v>
      </c>
      <c r="J52" s="228"/>
      <c r="K52" s="261">
        <f t="shared" si="5"/>
        <v>0</v>
      </c>
      <c r="L52" s="467">
        <f t="shared" si="6"/>
        <v>0</v>
      </c>
    </row>
    <row r="53" spans="1:12">
      <c r="A53" s="226">
        <v>44621</v>
      </c>
      <c r="B53" s="298">
        <f t="shared" si="0"/>
        <v>0</v>
      </c>
      <c r="C53" s="228"/>
      <c r="D53" s="374">
        <f t="shared" si="1"/>
        <v>0</v>
      </c>
      <c r="E53" s="228"/>
      <c r="F53" s="465">
        <f t="shared" si="2"/>
        <v>0</v>
      </c>
      <c r="G53" s="466">
        <f t="shared" si="3"/>
        <v>0</v>
      </c>
      <c r="H53" s="228"/>
      <c r="I53" s="255">
        <f t="shared" si="4"/>
        <v>0</v>
      </c>
      <c r="J53" s="228"/>
      <c r="K53" s="261">
        <f t="shared" si="5"/>
        <v>0</v>
      </c>
      <c r="L53" s="467">
        <f t="shared" si="6"/>
        <v>0</v>
      </c>
    </row>
    <row r="54" spans="1:12">
      <c r="A54" s="226">
        <v>44652</v>
      </c>
      <c r="B54" s="298">
        <f t="shared" si="0"/>
        <v>0</v>
      </c>
      <c r="C54" s="228"/>
      <c r="D54" s="374">
        <f t="shared" si="1"/>
        <v>0</v>
      </c>
      <c r="E54" s="228"/>
      <c r="F54" s="465">
        <f t="shared" si="2"/>
        <v>0</v>
      </c>
      <c r="G54" s="466">
        <f t="shared" si="3"/>
        <v>0</v>
      </c>
      <c r="H54" s="228"/>
      <c r="I54" s="255">
        <f t="shared" si="4"/>
        <v>0</v>
      </c>
      <c r="J54" s="228"/>
      <c r="K54" s="261">
        <f t="shared" si="5"/>
        <v>0</v>
      </c>
      <c r="L54" s="467">
        <f t="shared" si="6"/>
        <v>0</v>
      </c>
    </row>
    <row r="55" spans="1:12">
      <c r="A55" s="226">
        <v>44682</v>
      </c>
      <c r="B55" s="298">
        <f t="shared" si="0"/>
        <v>0</v>
      </c>
      <c r="C55" s="228"/>
      <c r="D55" s="374">
        <f t="shared" si="1"/>
        <v>0</v>
      </c>
      <c r="E55" s="228"/>
      <c r="F55" s="465">
        <f t="shared" si="2"/>
        <v>0</v>
      </c>
      <c r="G55" s="466">
        <f t="shared" si="3"/>
        <v>0</v>
      </c>
      <c r="H55" s="228"/>
      <c r="I55" s="255">
        <f t="shared" si="4"/>
        <v>0</v>
      </c>
      <c r="J55" s="228"/>
      <c r="K55" s="261">
        <f t="shared" si="5"/>
        <v>0</v>
      </c>
      <c r="L55" s="467">
        <f t="shared" si="6"/>
        <v>0</v>
      </c>
    </row>
    <row r="56" spans="1:12" ht="12.75" customHeight="1">
      <c r="A56" s="226">
        <v>44713</v>
      </c>
      <c r="B56" s="298">
        <f t="shared" si="0"/>
        <v>0</v>
      </c>
      <c r="C56" s="228"/>
      <c r="D56" s="374">
        <f t="shared" si="1"/>
        <v>0</v>
      </c>
      <c r="E56" s="228"/>
      <c r="F56" s="465">
        <f t="shared" si="2"/>
        <v>0</v>
      </c>
      <c r="G56" s="466">
        <f t="shared" si="3"/>
        <v>0</v>
      </c>
      <c r="H56" s="228"/>
      <c r="I56" s="255">
        <f t="shared" si="4"/>
        <v>0</v>
      </c>
      <c r="J56" s="228"/>
      <c r="K56" s="261">
        <f t="shared" si="5"/>
        <v>0</v>
      </c>
      <c r="L56" s="467">
        <f t="shared" si="6"/>
        <v>0</v>
      </c>
    </row>
    <row r="57" spans="1:12" ht="13.5" customHeight="1">
      <c r="A57" s="226">
        <v>44743</v>
      </c>
      <c r="B57" s="298">
        <f t="shared" si="0"/>
        <v>0</v>
      </c>
      <c r="C57" s="228"/>
      <c r="D57" s="374">
        <f t="shared" si="1"/>
        <v>0</v>
      </c>
      <c r="E57" s="228"/>
      <c r="F57" s="465">
        <f t="shared" si="2"/>
        <v>0</v>
      </c>
      <c r="G57" s="466">
        <f t="shared" si="3"/>
        <v>0</v>
      </c>
      <c r="H57" s="228"/>
      <c r="I57" s="255">
        <f t="shared" si="4"/>
        <v>0</v>
      </c>
      <c r="J57" s="228"/>
      <c r="K57" s="261">
        <f t="shared" si="5"/>
        <v>0</v>
      </c>
      <c r="L57" s="467">
        <f t="shared" si="6"/>
        <v>0</v>
      </c>
    </row>
    <row r="58" spans="1:12">
      <c r="A58" s="226">
        <v>44774</v>
      </c>
      <c r="B58" s="298">
        <f t="shared" si="0"/>
        <v>0</v>
      </c>
      <c r="C58" s="228"/>
      <c r="D58" s="374">
        <f t="shared" si="1"/>
        <v>0</v>
      </c>
      <c r="E58" s="228"/>
      <c r="F58" s="465">
        <f t="shared" si="2"/>
        <v>0</v>
      </c>
      <c r="G58" s="466">
        <f t="shared" si="3"/>
        <v>0</v>
      </c>
      <c r="H58" s="228"/>
      <c r="I58" s="255">
        <f t="shared" si="4"/>
        <v>0</v>
      </c>
      <c r="J58" s="228"/>
      <c r="K58" s="261">
        <f t="shared" si="5"/>
        <v>0</v>
      </c>
      <c r="L58" s="467">
        <f t="shared" si="6"/>
        <v>0</v>
      </c>
    </row>
    <row r="59" spans="1:12">
      <c r="A59" s="226">
        <v>44805</v>
      </c>
      <c r="B59" s="298">
        <f t="shared" si="0"/>
        <v>0</v>
      </c>
      <c r="C59" s="228"/>
      <c r="D59" s="374">
        <f t="shared" si="1"/>
        <v>0</v>
      </c>
      <c r="E59" s="228"/>
      <c r="F59" s="465">
        <f t="shared" si="2"/>
        <v>0</v>
      </c>
      <c r="G59" s="466">
        <f t="shared" si="3"/>
        <v>0</v>
      </c>
      <c r="H59" s="228"/>
      <c r="I59" s="255">
        <f t="shared" si="4"/>
        <v>0</v>
      </c>
      <c r="J59" s="228"/>
      <c r="K59" s="261">
        <f t="shared" si="5"/>
        <v>0</v>
      </c>
      <c r="L59" s="467">
        <f t="shared" si="6"/>
        <v>0</v>
      </c>
    </row>
    <row r="60" spans="1:12">
      <c r="A60" s="226">
        <v>44835</v>
      </c>
      <c r="B60" s="298">
        <f t="shared" si="0"/>
        <v>0</v>
      </c>
      <c r="C60" s="228"/>
      <c r="D60" s="374">
        <f t="shared" si="1"/>
        <v>0</v>
      </c>
      <c r="E60" s="228"/>
      <c r="F60" s="465">
        <f t="shared" si="2"/>
        <v>0</v>
      </c>
      <c r="G60" s="466">
        <f t="shared" si="3"/>
        <v>0</v>
      </c>
      <c r="H60" s="228"/>
      <c r="I60" s="255">
        <f t="shared" si="4"/>
        <v>0</v>
      </c>
      <c r="J60" s="228"/>
      <c r="K60" s="261">
        <f t="shared" si="5"/>
        <v>0</v>
      </c>
      <c r="L60" s="467">
        <f t="shared" si="6"/>
        <v>0</v>
      </c>
    </row>
    <row r="61" spans="1:12">
      <c r="A61" s="226">
        <v>44866</v>
      </c>
      <c r="B61" s="298">
        <f t="shared" si="0"/>
        <v>0</v>
      </c>
      <c r="C61" s="228"/>
      <c r="D61" s="374">
        <f t="shared" si="1"/>
        <v>0</v>
      </c>
      <c r="E61" s="228"/>
      <c r="F61" s="465">
        <f t="shared" si="2"/>
        <v>0</v>
      </c>
      <c r="G61" s="466">
        <f t="shared" si="3"/>
        <v>0</v>
      </c>
      <c r="H61" s="228"/>
      <c r="I61" s="255">
        <f t="shared" si="4"/>
        <v>0</v>
      </c>
      <c r="J61" s="228"/>
      <c r="K61" s="261">
        <f t="shared" si="5"/>
        <v>0</v>
      </c>
      <c r="L61" s="467">
        <f t="shared" si="6"/>
        <v>0</v>
      </c>
    </row>
    <row r="62" spans="1:12">
      <c r="A62" s="226">
        <v>44896</v>
      </c>
      <c r="B62" s="298">
        <f t="shared" si="0"/>
        <v>0</v>
      </c>
      <c r="C62" s="228"/>
      <c r="D62" s="374">
        <f t="shared" si="1"/>
        <v>0</v>
      </c>
      <c r="E62" s="228"/>
      <c r="F62" s="465">
        <f t="shared" si="2"/>
        <v>0</v>
      </c>
      <c r="G62" s="466">
        <f t="shared" si="3"/>
        <v>0</v>
      </c>
      <c r="H62" s="228"/>
      <c r="I62" s="255">
        <f t="shared" si="4"/>
        <v>0</v>
      </c>
      <c r="J62" s="228"/>
      <c r="K62" s="261">
        <f t="shared" si="5"/>
        <v>0</v>
      </c>
      <c r="L62" s="467">
        <f t="shared" si="6"/>
        <v>0</v>
      </c>
    </row>
    <row r="63" spans="1:12">
      <c r="A63" s="226">
        <v>44562</v>
      </c>
      <c r="B63" s="298">
        <f t="shared" si="0"/>
        <v>0</v>
      </c>
      <c r="C63" s="228"/>
      <c r="D63" s="374">
        <f t="shared" si="1"/>
        <v>0</v>
      </c>
      <c r="E63" s="228"/>
      <c r="F63" s="465">
        <f t="shared" si="2"/>
        <v>0</v>
      </c>
      <c r="G63" s="466">
        <f t="shared" si="3"/>
        <v>0</v>
      </c>
      <c r="H63" s="228"/>
      <c r="I63" s="255">
        <f t="shared" si="4"/>
        <v>0</v>
      </c>
      <c r="J63" s="228"/>
      <c r="K63" s="261">
        <f t="shared" si="5"/>
        <v>0</v>
      </c>
      <c r="L63" s="467">
        <f t="shared" si="6"/>
        <v>0</v>
      </c>
    </row>
    <row r="64" spans="1:12">
      <c r="A64" s="226">
        <v>44593</v>
      </c>
      <c r="B64" s="298">
        <f t="shared" si="0"/>
        <v>0</v>
      </c>
      <c r="C64" s="228"/>
      <c r="D64" s="374">
        <f t="shared" si="1"/>
        <v>0</v>
      </c>
      <c r="E64" s="228"/>
      <c r="F64" s="465">
        <f t="shared" si="2"/>
        <v>0</v>
      </c>
      <c r="G64" s="466">
        <f t="shared" si="3"/>
        <v>0</v>
      </c>
      <c r="H64" s="228"/>
      <c r="I64" s="255">
        <f t="shared" si="4"/>
        <v>0</v>
      </c>
      <c r="J64" s="228"/>
      <c r="K64" s="261">
        <f t="shared" si="5"/>
        <v>0</v>
      </c>
      <c r="L64" s="467">
        <f t="shared" si="6"/>
        <v>0</v>
      </c>
    </row>
    <row r="65" spans="1:12">
      <c r="A65" s="226">
        <v>44621</v>
      </c>
      <c r="B65" s="298">
        <f t="shared" si="0"/>
        <v>0</v>
      </c>
      <c r="C65" s="228"/>
      <c r="D65" s="374">
        <f t="shared" si="1"/>
        <v>0</v>
      </c>
      <c r="E65" s="228"/>
      <c r="F65" s="465">
        <f t="shared" si="2"/>
        <v>0</v>
      </c>
      <c r="G65" s="466">
        <f t="shared" si="3"/>
        <v>0</v>
      </c>
      <c r="H65" s="228"/>
      <c r="I65" s="255">
        <f t="shared" si="4"/>
        <v>0</v>
      </c>
      <c r="J65" s="228"/>
      <c r="K65" s="261">
        <f t="shared" si="5"/>
        <v>0</v>
      </c>
      <c r="L65" s="467">
        <f t="shared" si="6"/>
        <v>0</v>
      </c>
    </row>
    <row r="66" spans="1:12">
      <c r="A66" s="226">
        <v>44652</v>
      </c>
      <c r="B66" s="298">
        <f t="shared" si="0"/>
        <v>0</v>
      </c>
      <c r="C66" s="228"/>
      <c r="D66" s="374">
        <f t="shared" si="1"/>
        <v>0</v>
      </c>
      <c r="E66" s="228"/>
      <c r="F66" s="465">
        <f t="shared" si="2"/>
        <v>0</v>
      </c>
      <c r="G66" s="466">
        <f t="shared" si="3"/>
        <v>0</v>
      </c>
      <c r="H66" s="228"/>
      <c r="I66" s="255">
        <f t="shared" si="4"/>
        <v>0</v>
      </c>
      <c r="J66" s="228"/>
      <c r="K66" s="261">
        <f t="shared" si="5"/>
        <v>0</v>
      </c>
      <c r="L66" s="467">
        <f t="shared" si="6"/>
        <v>0</v>
      </c>
    </row>
    <row r="67" spans="1:12">
      <c r="A67" s="226">
        <v>44682</v>
      </c>
      <c r="B67" s="298">
        <f t="shared" si="0"/>
        <v>0</v>
      </c>
      <c r="C67" s="228"/>
      <c r="D67" s="374">
        <f t="shared" si="1"/>
        <v>0</v>
      </c>
      <c r="E67" s="228"/>
      <c r="F67" s="465">
        <f t="shared" si="2"/>
        <v>0</v>
      </c>
      <c r="G67" s="466">
        <f t="shared" si="3"/>
        <v>0</v>
      </c>
      <c r="H67" s="228"/>
      <c r="I67" s="255">
        <f t="shared" si="4"/>
        <v>0</v>
      </c>
      <c r="J67" s="228"/>
      <c r="K67" s="261">
        <f t="shared" si="5"/>
        <v>0</v>
      </c>
      <c r="L67" s="467">
        <f t="shared" si="6"/>
        <v>0</v>
      </c>
    </row>
    <row r="68" spans="1:12">
      <c r="A68" s="226">
        <v>44713</v>
      </c>
      <c r="B68" s="298">
        <f t="shared" ref="B68:B74" si="7">C67</f>
        <v>0</v>
      </c>
      <c r="C68" s="228"/>
      <c r="D68" s="374">
        <f t="shared" ref="D68:D74" si="8">C68-B68</f>
        <v>0</v>
      </c>
      <c r="E68" s="228"/>
      <c r="F68" s="465">
        <f t="shared" ref="F68:F74" si="9">D68-E68</f>
        <v>0</v>
      </c>
      <c r="G68" s="466">
        <f t="shared" ref="G68:G74" si="10">H67</f>
        <v>0</v>
      </c>
      <c r="H68" s="228"/>
      <c r="I68" s="255">
        <f t="shared" ref="I68:I74" si="11">H68-G68</f>
        <v>0</v>
      </c>
      <c r="J68" s="228"/>
      <c r="K68" s="261">
        <f t="shared" ref="K68:K74" si="12">I68-J68</f>
        <v>0</v>
      </c>
      <c r="L68" s="467">
        <f t="shared" ref="L68:L74" si="13">I68+D68</f>
        <v>0</v>
      </c>
    </row>
    <row r="69" spans="1:12">
      <c r="A69" s="226">
        <v>44743</v>
      </c>
      <c r="B69" s="298">
        <f t="shared" si="7"/>
        <v>0</v>
      </c>
      <c r="C69" s="228"/>
      <c r="D69" s="374">
        <f t="shared" si="8"/>
        <v>0</v>
      </c>
      <c r="E69" s="228"/>
      <c r="F69" s="465">
        <f t="shared" si="9"/>
        <v>0</v>
      </c>
      <c r="G69" s="466">
        <f t="shared" si="10"/>
        <v>0</v>
      </c>
      <c r="H69" s="228"/>
      <c r="I69" s="255">
        <f t="shared" si="11"/>
        <v>0</v>
      </c>
      <c r="J69" s="228"/>
      <c r="K69" s="261">
        <f t="shared" si="12"/>
        <v>0</v>
      </c>
      <c r="L69" s="467">
        <f t="shared" si="13"/>
        <v>0</v>
      </c>
    </row>
    <row r="70" spans="1:12">
      <c r="A70" s="226">
        <v>44774</v>
      </c>
      <c r="B70" s="298">
        <f t="shared" si="7"/>
        <v>0</v>
      </c>
      <c r="C70" s="228"/>
      <c r="D70" s="374">
        <f t="shared" si="8"/>
        <v>0</v>
      </c>
      <c r="E70" s="228"/>
      <c r="F70" s="465">
        <f t="shared" si="9"/>
        <v>0</v>
      </c>
      <c r="G70" s="466">
        <f t="shared" si="10"/>
        <v>0</v>
      </c>
      <c r="H70" s="228"/>
      <c r="I70" s="255">
        <f t="shared" si="11"/>
        <v>0</v>
      </c>
      <c r="J70" s="228"/>
      <c r="K70" s="261">
        <f t="shared" si="12"/>
        <v>0</v>
      </c>
      <c r="L70" s="467">
        <f t="shared" si="13"/>
        <v>0</v>
      </c>
    </row>
    <row r="71" spans="1:12">
      <c r="A71" s="226">
        <v>44805</v>
      </c>
      <c r="B71" s="298">
        <f t="shared" si="7"/>
        <v>0</v>
      </c>
      <c r="C71" s="228"/>
      <c r="D71" s="374">
        <f t="shared" si="8"/>
        <v>0</v>
      </c>
      <c r="E71" s="228"/>
      <c r="F71" s="465">
        <f t="shared" si="9"/>
        <v>0</v>
      </c>
      <c r="G71" s="466">
        <f t="shared" si="10"/>
        <v>0</v>
      </c>
      <c r="H71" s="228"/>
      <c r="I71" s="255">
        <f t="shared" si="11"/>
        <v>0</v>
      </c>
      <c r="J71" s="228"/>
      <c r="K71" s="261">
        <f t="shared" si="12"/>
        <v>0</v>
      </c>
      <c r="L71" s="467">
        <f t="shared" si="13"/>
        <v>0</v>
      </c>
    </row>
    <row r="72" spans="1:12">
      <c r="A72" s="226">
        <v>44835</v>
      </c>
      <c r="B72" s="298">
        <f t="shared" si="7"/>
        <v>0</v>
      </c>
      <c r="C72" s="228"/>
      <c r="D72" s="374">
        <f t="shared" si="8"/>
        <v>0</v>
      </c>
      <c r="E72" s="228"/>
      <c r="F72" s="465">
        <f t="shared" si="9"/>
        <v>0</v>
      </c>
      <c r="G72" s="466">
        <f t="shared" si="10"/>
        <v>0</v>
      </c>
      <c r="H72" s="228"/>
      <c r="I72" s="255">
        <f t="shared" si="11"/>
        <v>0</v>
      </c>
      <c r="J72" s="228"/>
      <c r="K72" s="261">
        <f t="shared" si="12"/>
        <v>0</v>
      </c>
      <c r="L72" s="467">
        <f t="shared" si="13"/>
        <v>0</v>
      </c>
    </row>
    <row r="73" spans="1:12">
      <c r="A73" s="226">
        <v>44866</v>
      </c>
      <c r="B73" s="298">
        <f t="shared" si="7"/>
        <v>0</v>
      </c>
      <c r="C73" s="228"/>
      <c r="D73" s="374">
        <f t="shared" si="8"/>
        <v>0</v>
      </c>
      <c r="E73" s="228"/>
      <c r="F73" s="465">
        <f t="shared" si="9"/>
        <v>0</v>
      </c>
      <c r="G73" s="466">
        <f t="shared" si="10"/>
        <v>0</v>
      </c>
      <c r="H73" s="228"/>
      <c r="I73" s="255">
        <f t="shared" si="11"/>
        <v>0</v>
      </c>
      <c r="J73" s="228"/>
      <c r="K73" s="261">
        <f t="shared" si="12"/>
        <v>0</v>
      </c>
      <c r="L73" s="467">
        <f t="shared" si="13"/>
        <v>0</v>
      </c>
    </row>
    <row r="74" spans="1:12">
      <c r="A74" s="226">
        <v>44896</v>
      </c>
      <c r="B74" s="298">
        <f t="shared" si="7"/>
        <v>0</v>
      </c>
      <c r="C74" s="228"/>
      <c r="D74" s="374">
        <f t="shared" si="8"/>
        <v>0</v>
      </c>
      <c r="E74" s="228"/>
      <c r="F74" s="465">
        <f t="shared" si="9"/>
        <v>0</v>
      </c>
      <c r="G74" s="466">
        <f t="shared" si="10"/>
        <v>0</v>
      </c>
      <c r="H74" s="228"/>
      <c r="I74" s="255">
        <f t="shared" si="11"/>
        <v>0</v>
      </c>
      <c r="J74" s="228"/>
      <c r="K74" s="261">
        <f t="shared" si="12"/>
        <v>0</v>
      </c>
      <c r="L74" s="467">
        <f t="shared" si="13"/>
        <v>0</v>
      </c>
    </row>
    <row r="75" spans="1:12" ht="13.5" thickBot="1"/>
    <row r="76" spans="1:12">
      <c r="B76" s="934"/>
      <c r="C76" s="935"/>
      <c r="D76" s="935"/>
      <c r="E76" s="936"/>
      <c r="H76" s="934"/>
      <c r="I76" s="935"/>
      <c r="J76" s="935"/>
      <c r="K76" s="935"/>
      <c r="L76" s="936"/>
    </row>
    <row r="77" spans="1:12">
      <c r="B77" s="937"/>
      <c r="C77" s="938"/>
      <c r="D77" s="938"/>
      <c r="E77" s="939"/>
      <c r="H77" s="937"/>
      <c r="I77" s="938"/>
      <c r="J77" s="938"/>
      <c r="K77" s="938"/>
      <c r="L77" s="939"/>
    </row>
    <row r="78" spans="1:12">
      <c r="B78" s="937"/>
      <c r="C78" s="938"/>
      <c r="D78" s="938"/>
      <c r="E78" s="939"/>
      <c r="H78" s="937"/>
      <c r="I78" s="938"/>
      <c r="J78" s="938"/>
      <c r="K78" s="938"/>
      <c r="L78" s="939"/>
    </row>
    <row r="79" spans="1:12">
      <c r="B79" s="937"/>
      <c r="C79" s="938"/>
      <c r="D79" s="938"/>
      <c r="E79" s="939"/>
      <c r="H79" s="937"/>
      <c r="I79" s="938"/>
      <c r="J79" s="938"/>
      <c r="K79" s="938"/>
      <c r="L79" s="939"/>
    </row>
    <row r="80" spans="1:12">
      <c r="B80" s="937"/>
      <c r="C80" s="938"/>
      <c r="D80" s="938"/>
      <c r="E80" s="939"/>
      <c r="H80" s="937"/>
      <c r="I80" s="938"/>
      <c r="J80" s="938"/>
      <c r="K80" s="938"/>
      <c r="L80" s="939"/>
    </row>
    <row r="81" spans="2:12">
      <c r="B81" s="937"/>
      <c r="C81" s="938"/>
      <c r="D81" s="938"/>
      <c r="E81" s="939"/>
      <c r="H81" s="937"/>
      <c r="I81" s="938"/>
      <c r="J81" s="938"/>
      <c r="K81" s="938"/>
      <c r="L81" s="939"/>
    </row>
    <row r="82" spans="2:12">
      <c r="B82" s="937"/>
      <c r="C82" s="938"/>
      <c r="D82" s="938"/>
      <c r="E82" s="939"/>
      <c r="H82" s="937"/>
      <c r="I82" s="938"/>
      <c r="J82" s="938"/>
      <c r="K82" s="938"/>
      <c r="L82" s="939"/>
    </row>
    <row r="83" spans="2:12">
      <c r="B83" s="937"/>
      <c r="C83" s="938"/>
      <c r="D83" s="938"/>
      <c r="E83" s="939"/>
      <c r="H83" s="937"/>
      <c r="I83" s="938"/>
      <c r="J83" s="938"/>
      <c r="K83" s="938"/>
      <c r="L83" s="939"/>
    </row>
    <row r="84" spans="2:12">
      <c r="B84" s="937"/>
      <c r="C84" s="938"/>
      <c r="D84" s="938"/>
      <c r="E84" s="939"/>
      <c r="H84" s="937"/>
      <c r="I84" s="938"/>
      <c r="J84" s="938"/>
      <c r="K84" s="938"/>
      <c r="L84" s="939"/>
    </row>
    <row r="85" spans="2:12">
      <c r="B85" s="937"/>
      <c r="C85" s="938"/>
      <c r="D85" s="938"/>
      <c r="E85" s="939"/>
      <c r="H85" s="937"/>
      <c r="I85" s="938"/>
      <c r="J85" s="938"/>
      <c r="K85" s="938"/>
      <c r="L85" s="939"/>
    </row>
    <row r="86" spans="2:12">
      <c r="B86" s="937"/>
      <c r="C86" s="938"/>
      <c r="D86" s="938"/>
      <c r="E86" s="939"/>
      <c r="H86" s="937"/>
      <c r="I86" s="938"/>
      <c r="J86" s="938"/>
      <c r="K86" s="938"/>
      <c r="L86" s="939"/>
    </row>
    <row r="87" spans="2:12">
      <c r="B87" s="937"/>
      <c r="C87" s="938"/>
      <c r="D87" s="938"/>
      <c r="E87" s="939"/>
      <c r="H87" s="937"/>
      <c r="I87" s="938"/>
      <c r="J87" s="938"/>
      <c r="K87" s="938"/>
      <c r="L87" s="939"/>
    </row>
    <row r="88" spans="2:12">
      <c r="B88" s="937"/>
      <c r="C88" s="938"/>
      <c r="D88" s="938"/>
      <c r="E88" s="939"/>
      <c r="H88" s="937"/>
      <c r="I88" s="938"/>
      <c r="J88" s="938"/>
      <c r="K88" s="938"/>
      <c r="L88" s="939"/>
    </row>
    <row r="89" spans="2:12">
      <c r="B89" s="937"/>
      <c r="C89" s="938"/>
      <c r="D89" s="938"/>
      <c r="E89" s="939"/>
      <c r="H89" s="937"/>
      <c r="I89" s="938"/>
      <c r="J89" s="938"/>
      <c r="K89" s="938"/>
      <c r="L89" s="939"/>
    </row>
    <row r="90" spans="2:12" ht="13.5" thickBot="1">
      <c r="B90" s="940"/>
      <c r="C90" s="941"/>
      <c r="D90" s="941"/>
      <c r="E90" s="942"/>
      <c r="H90" s="940"/>
      <c r="I90" s="941"/>
      <c r="J90" s="941"/>
      <c r="K90" s="941"/>
      <c r="L90" s="942"/>
    </row>
    <row r="91" spans="2:12">
      <c r="B91" s="943" t="s">
        <v>327</v>
      </c>
      <c r="C91" s="944"/>
      <c r="D91" s="944"/>
      <c r="E91" s="945"/>
      <c r="H91" s="943" t="s">
        <v>328</v>
      </c>
      <c r="I91" s="944"/>
      <c r="J91" s="944"/>
      <c r="K91" s="944"/>
      <c r="L91" s="945"/>
    </row>
    <row r="92" spans="2:12">
      <c r="B92" s="946"/>
      <c r="C92" s="947"/>
      <c r="D92" s="947"/>
      <c r="E92" s="948"/>
      <c r="H92" s="946"/>
      <c r="I92" s="947"/>
      <c r="J92" s="947"/>
      <c r="K92" s="947"/>
      <c r="L92" s="948"/>
    </row>
    <row r="93" spans="2:12" ht="13.5" thickBot="1">
      <c r="B93" s="949"/>
      <c r="C93" s="950"/>
      <c r="D93" s="950"/>
      <c r="E93" s="951"/>
      <c r="H93" s="949"/>
      <c r="I93" s="950"/>
      <c r="J93" s="950"/>
      <c r="K93" s="950"/>
      <c r="L93" s="951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35"/>
  <sheetViews>
    <sheetView topLeftCell="A13" workbookViewId="0">
      <selection activeCell="N23" sqref="N23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52" t="s">
        <v>329</v>
      </c>
      <c r="B1" s="952"/>
      <c r="C1" s="952"/>
      <c r="D1" s="952"/>
      <c r="E1" s="952"/>
      <c r="F1" s="952"/>
      <c r="G1" s="952"/>
      <c r="H1" s="952"/>
      <c r="I1" s="952"/>
      <c r="J1" s="952"/>
    </row>
    <row r="2" spans="1:10" ht="19.5" thickBot="1">
      <c r="A2" s="961">
        <f>A5</f>
        <v>44348</v>
      </c>
      <c r="B2" s="962"/>
      <c r="C2" s="962"/>
      <c r="D2" s="962"/>
      <c r="E2" s="962"/>
      <c r="F2" s="962"/>
      <c r="G2" s="962"/>
      <c r="H2" s="962"/>
      <c r="I2" s="962"/>
      <c r="J2" s="962"/>
    </row>
    <row r="3" spans="1:10" ht="15.75" thickBot="1">
      <c r="A3" s="953" t="s">
        <v>238</v>
      </c>
      <c r="B3" s="955" t="s">
        <v>330</v>
      </c>
      <c r="C3" s="420"/>
      <c r="D3" s="957" t="s">
        <v>331</v>
      </c>
      <c r="E3" s="958"/>
      <c r="F3" s="959" t="s">
        <v>332</v>
      </c>
      <c r="G3" s="960"/>
      <c r="H3" s="958"/>
      <c r="I3" s="959" t="s">
        <v>333</v>
      </c>
      <c r="J3" s="958"/>
    </row>
    <row r="4" spans="1:10" ht="30.75" thickBot="1">
      <c r="A4" s="954"/>
      <c r="B4" s="956"/>
      <c r="C4" s="424" t="s">
        <v>334</v>
      </c>
      <c r="D4" s="375" t="s">
        <v>335</v>
      </c>
      <c r="E4" s="380" t="s">
        <v>194</v>
      </c>
      <c r="F4" s="375" t="s">
        <v>335</v>
      </c>
      <c r="G4" s="375" t="s">
        <v>336</v>
      </c>
      <c r="H4" s="375" t="s">
        <v>337</v>
      </c>
      <c r="I4" s="375" t="s">
        <v>256</v>
      </c>
      <c r="J4" s="375" t="s">
        <v>338</v>
      </c>
    </row>
    <row r="5" spans="1:10" ht="17.100000000000001" customHeight="1" thickBot="1">
      <c r="A5" s="205">
        <f>Gen!A11</f>
        <v>44348</v>
      </c>
      <c r="B5" s="381">
        <v>0.12</v>
      </c>
      <c r="C5" s="422">
        <f>Gen!AJ11</f>
        <v>21</v>
      </c>
      <c r="D5" s="423">
        <f>Gen!S11</f>
        <v>1164.5999999999999</v>
      </c>
      <c r="E5" s="377">
        <f>Gen!C11</f>
        <v>46478.349999999991</v>
      </c>
      <c r="F5" s="378">
        <f>'Water-Meter'!E6</f>
        <v>88</v>
      </c>
      <c r="G5" s="379">
        <f>'Water-Meter'!AN6</f>
        <v>59</v>
      </c>
      <c r="H5" s="377">
        <f>'Utility report '!AC6</f>
        <v>40</v>
      </c>
      <c r="I5" s="376">
        <f>'Kit report'!F4</f>
        <v>300</v>
      </c>
      <c r="J5" s="377">
        <f>'Kit report'!X4</f>
        <v>520.00000000007276</v>
      </c>
    </row>
    <row r="6" spans="1:10" ht="17.100000000000001" customHeight="1" thickBot="1">
      <c r="A6" s="205">
        <f>Gen!A12</f>
        <v>44349</v>
      </c>
      <c r="B6" s="381">
        <v>0.12</v>
      </c>
      <c r="C6" s="422">
        <f>Gen!AJ12</f>
        <v>70.680000000000007</v>
      </c>
      <c r="D6" s="423">
        <f>Gen!S12</f>
        <v>1661.6800000000003</v>
      </c>
      <c r="E6" s="377">
        <f>Gen!C12</f>
        <v>45292.749999999993</v>
      </c>
      <c r="F6" s="378">
        <f>'Water-Meter'!E7</f>
        <v>78</v>
      </c>
      <c r="G6" s="379">
        <f>'Water-Meter'!AN7</f>
        <v>172</v>
      </c>
      <c r="H6" s="377">
        <f>'Utility report '!AC7</f>
        <v>77</v>
      </c>
      <c r="I6" s="376">
        <f>'Kit report'!F5</f>
        <v>300</v>
      </c>
      <c r="J6" s="377">
        <f>'Kit report'!X5</f>
        <v>539.99999999996362</v>
      </c>
    </row>
    <row r="7" spans="1:10" ht="17.100000000000001" customHeight="1" thickBot="1">
      <c r="A7" s="205">
        <f>Gen!A13</f>
        <v>44350</v>
      </c>
      <c r="B7" s="381">
        <v>0.17</v>
      </c>
      <c r="C7" s="422">
        <f>Gen!AJ13</f>
        <v>266.02999999999997</v>
      </c>
      <c r="D7" s="423">
        <f>Gen!S13</f>
        <v>1378.78</v>
      </c>
      <c r="E7" s="377">
        <f>Gen!C13</f>
        <v>43560.389999999992</v>
      </c>
      <c r="F7" s="378">
        <f>'Water-Meter'!E8</f>
        <v>71</v>
      </c>
      <c r="G7" s="379">
        <f>'Water-Meter'!AN8</f>
        <v>128</v>
      </c>
      <c r="H7" s="377">
        <f>'Utility report '!AC8</f>
        <v>167</v>
      </c>
      <c r="I7" s="376">
        <f>'Kit report'!F6</f>
        <v>311.99999999982538</v>
      </c>
      <c r="J7" s="377">
        <f>'Kit report'!X6</f>
        <v>520.00000000007276</v>
      </c>
    </row>
    <row r="8" spans="1:10" ht="17.100000000000001" customHeight="1" thickBot="1">
      <c r="A8" s="205">
        <f>Gen!A14</f>
        <v>44351</v>
      </c>
      <c r="B8" s="381">
        <f>Gen!B14</f>
        <v>0.17</v>
      </c>
      <c r="C8" s="422">
        <f>Gen!AJ14</f>
        <v>122.77000000000001</v>
      </c>
      <c r="D8" s="423">
        <f>Gen!S14</f>
        <v>1383.46</v>
      </c>
      <c r="E8" s="377">
        <f>Gen!C14</f>
        <v>41915.579999999994</v>
      </c>
      <c r="F8" s="378">
        <f>'Water-Meter'!E9</f>
        <v>83</v>
      </c>
      <c r="G8" s="379">
        <f>'Water-Meter'!AN9</f>
        <v>128</v>
      </c>
      <c r="H8" s="377">
        <f>'Utility report '!AC9</f>
        <v>13</v>
      </c>
      <c r="I8" s="376">
        <f>'Kit report'!F7</f>
        <v>324.00000000008731</v>
      </c>
      <c r="J8" s="377">
        <f>'Kit report'!X7</f>
        <v>400</v>
      </c>
    </row>
    <row r="9" spans="1:10" ht="17.100000000000001" customHeight="1" thickBot="1">
      <c r="A9" s="205">
        <f>Gen!A15</f>
        <v>44352</v>
      </c>
      <c r="B9" s="381">
        <f>Gen!B15</f>
        <v>0.2</v>
      </c>
      <c r="C9" s="422">
        <f>Gen!AJ15</f>
        <v>79.11</v>
      </c>
      <c r="D9" s="423">
        <f>Gen!S15</f>
        <v>1470.04</v>
      </c>
      <c r="E9" s="377">
        <f>Gen!C15</f>
        <v>40409.349999999991</v>
      </c>
      <c r="F9" s="378">
        <f>'Water-Meter'!E10</f>
        <v>79</v>
      </c>
      <c r="G9" s="379">
        <f>'Water-Meter'!AN10</f>
        <v>101</v>
      </c>
      <c r="H9" s="377">
        <f>'Utility report '!AC10</f>
        <v>35</v>
      </c>
      <c r="I9" s="376">
        <f>'Kit report'!F8</f>
        <v>252.00000000004366</v>
      </c>
      <c r="J9" s="377">
        <f>'Kit report'!X8</f>
        <v>419.99999999989086</v>
      </c>
    </row>
    <row r="10" spans="1:10" ht="17.100000000000001" customHeight="1" thickBot="1">
      <c r="A10" s="205">
        <f>Gen!A16</f>
        <v>44353</v>
      </c>
      <c r="B10" s="381">
        <f>Gen!B16</f>
        <v>0.2</v>
      </c>
      <c r="C10" s="422">
        <f>Gen!AJ16</f>
        <v>183.75</v>
      </c>
      <c r="D10" s="423">
        <f>Gen!S16</f>
        <v>1338.96</v>
      </c>
      <c r="E10" s="377">
        <f>Gen!C16</f>
        <v>38860.19999999999</v>
      </c>
      <c r="F10" s="378">
        <f>'Water-Meter'!E11</f>
        <v>89</v>
      </c>
      <c r="G10" s="379">
        <f>'Water-Meter'!AN11</f>
        <v>49</v>
      </c>
      <c r="H10" s="377">
        <f>'Utility report '!AC11</f>
        <v>99</v>
      </c>
      <c r="I10" s="376">
        <f>'Kit report'!F9</f>
        <v>227.99999999995634</v>
      </c>
      <c r="J10" s="377">
        <f>'Kit report'!X9</f>
        <v>440.00000000014552</v>
      </c>
    </row>
    <row r="11" spans="1:10" ht="17.100000000000001" customHeight="1">
      <c r="A11" s="205">
        <f>Gen!A17</f>
        <v>44354</v>
      </c>
      <c r="B11" s="381">
        <f>Gen!B17</f>
        <v>0.18</v>
      </c>
      <c r="C11" s="422">
        <f>Gen!AJ17</f>
        <v>104.57</v>
      </c>
      <c r="D11" s="423">
        <f>Gen!S17</f>
        <v>1368.2</v>
      </c>
      <c r="E11" s="377">
        <f>Gen!C17</f>
        <v>37337.489999999991</v>
      </c>
      <c r="F11" s="378">
        <f>'Water-Meter'!E12</f>
        <v>70</v>
      </c>
      <c r="G11" s="379">
        <f>'Water-Meter'!AN12</f>
        <v>72</v>
      </c>
      <c r="H11" s="377">
        <f>'Utility report '!AC12</f>
        <v>71</v>
      </c>
      <c r="I11" s="376">
        <f>'Kit report'!F10</f>
        <v>287.99999999995634</v>
      </c>
      <c r="J11" s="377">
        <f>'Kit report'!X10</f>
        <v>559.99999999985448</v>
      </c>
    </row>
    <row r="12" spans="1:10" ht="17.100000000000001" customHeight="1">
      <c r="A12" s="205">
        <f>Gen!A18</f>
        <v>44355</v>
      </c>
      <c r="B12" s="381">
        <f>Gen!B18</f>
        <v>0.21</v>
      </c>
      <c r="C12" s="422">
        <f>Gen!AJ18</f>
        <v>0</v>
      </c>
      <c r="D12" s="423">
        <f>Gen!S18</f>
        <v>1347.61</v>
      </c>
      <c r="E12" s="377">
        <f>Gen!C18</f>
        <v>35864.719999999994</v>
      </c>
      <c r="F12" s="378">
        <f>'Water-Meter'!E13</f>
        <v>70</v>
      </c>
      <c r="G12" s="379">
        <f>'Water-Meter'!AN13</f>
        <v>131</v>
      </c>
      <c r="H12" s="377">
        <f>'Utility report '!AC13</f>
        <v>114</v>
      </c>
      <c r="I12" s="376">
        <f>'Kit report'!F11</f>
        <v>240</v>
      </c>
      <c r="J12" s="377">
        <f>'Kit report'!X11</f>
        <v>440.00000000014552</v>
      </c>
    </row>
    <row r="13" spans="1:10" ht="17.100000000000001" customHeight="1">
      <c r="A13" s="205">
        <f>Gen!A19</f>
        <v>44356</v>
      </c>
      <c r="B13" s="381">
        <f>Gen!B19</f>
        <v>0.17</v>
      </c>
      <c r="C13" s="422">
        <f>Gen!AJ19</f>
        <v>146.75</v>
      </c>
      <c r="D13" s="423">
        <f>Gen!S19</f>
        <v>1263.55</v>
      </c>
      <c r="E13" s="377">
        <f>Gen!C19</f>
        <v>34517.109999999993</v>
      </c>
      <c r="F13" s="378">
        <f>'Water-Meter'!E14</f>
        <v>64</v>
      </c>
      <c r="G13" s="379">
        <f>'Water-Meter'!AN14</f>
        <v>122</v>
      </c>
      <c r="H13" s="377">
        <f>'Utility report '!AC14</f>
        <v>35</v>
      </c>
      <c r="I13" s="376">
        <f>'Kit report'!F12</f>
        <v>264.00000000008731</v>
      </c>
      <c r="J13" s="377">
        <f>'Kit report'!X12</f>
        <v>379.99999999992724</v>
      </c>
    </row>
    <row r="14" spans="1:10" ht="17.100000000000001" customHeight="1" thickBot="1">
      <c r="A14" s="205">
        <f>Gen!A20</f>
        <v>44357</v>
      </c>
      <c r="B14" s="381">
        <f>Gen!B20</f>
        <v>0.08</v>
      </c>
      <c r="C14" s="422">
        <f>Gen!AJ20</f>
        <v>45.94</v>
      </c>
      <c r="D14" s="423">
        <f>Gen!S20</f>
        <v>1325.84</v>
      </c>
      <c r="E14" s="377">
        <f>Gen!C20</f>
        <v>33106.80999999999</v>
      </c>
      <c r="F14" s="378">
        <f>'Water-Meter'!E15</f>
        <v>74</v>
      </c>
      <c r="G14" s="379">
        <f>'Water-Meter'!AN15</f>
        <v>137</v>
      </c>
      <c r="H14" s="377">
        <f>'Utility report '!AC15</f>
        <v>110</v>
      </c>
      <c r="I14" s="376">
        <f>'Kit report'!F13</f>
        <v>252.00000000004366</v>
      </c>
      <c r="J14" s="377">
        <f>'Kit report'!X13</f>
        <v>379.99999999992724</v>
      </c>
    </row>
    <row r="15" spans="1:10" ht="17.100000000000001" customHeight="1" thickBot="1">
      <c r="A15" s="205">
        <f>Gen!A21</f>
        <v>44358</v>
      </c>
      <c r="B15" s="381">
        <f>Gen!B21</f>
        <v>0.13</v>
      </c>
      <c r="C15" s="422">
        <f>Gen!AJ21</f>
        <v>51.86</v>
      </c>
      <c r="D15" s="423">
        <f>Gen!S21</f>
        <v>1384.98</v>
      </c>
      <c r="E15" s="377">
        <f>Gen!C21</f>
        <v>31735.029999999992</v>
      </c>
      <c r="F15" s="378">
        <f>'Water-Meter'!E16</f>
        <v>101</v>
      </c>
      <c r="G15" s="379">
        <f>'Water-Meter'!AN16</f>
        <v>146</v>
      </c>
      <c r="H15" s="377">
        <f>'Utility report '!AC16</f>
        <v>91</v>
      </c>
      <c r="I15" s="376">
        <f>'Kit report'!F14</f>
        <v>240</v>
      </c>
      <c r="J15" s="377">
        <f>'Kit report'!X14</f>
        <v>460.00000000021828</v>
      </c>
    </row>
    <row r="16" spans="1:10" ht="17.100000000000001" customHeight="1" thickBot="1">
      <c r="A16" s="205">
        <f>Gen!A22</f>
        <v>44359</v>
      </c>
      <c r="B16" s="381">
        <f>Gen!B22</f>
        <v>0.13</v>
      </c>
      <c r="C16" s="422">
        <f>Gen!AJ22</f>
        <v>317.36</v>
      </c>
      <c r="D16" s="423">
        <f>Gen!S22</f>
        <v>1534.46</v>
      </c>
      <c r="E16" s="377">
        <f>Gen!C22</f>
        <v>30298.189999999991</v>
      </c>
      <c r="F16" s="378">
        <f>'Water-Meter'!E17</f>
        <v>87</v>
      </c>
      <c r="G16" s="379">
        <f>'Water-Meter'!AN17</f>
        <v>141</v>
      </c>
      <c r="H16" s="377">
        <f>'Utility report '!AC17</f>
        <v>101</v>
      </c>
      <c r="I16" s="376">
        <f>'Kit report'!F15</f>
        <v>263.99999999986903</v>
      </c>
      <c r="J16" s="377">
        <f>'Kit report'!X15</f>
        <v>539.99999999978172</v>
      </c>
    </row>
    <row r="17" spans="1:10" ht="17.100000000000001" customHeight="1" thickBot="1">
      <c r="A17" s="205">
        <f>Gen!A23</f>
        <v>44360</v>
      </c>
      <c r="B17" s="381">
        <v>0.13</v>
      </c>
      <c r="C17" s="422">
        <f>Gen!AJ23</f>
        <v>258.22000000000003</v>
      </c>
      <c r="D17" s="423">
        <f>Gen!S23</f>
        <v>1472.31</v>
      </c>
      <c r="E17" s="377">
        <f>Gen!C23</f>
        <v>28446.369999999992</v>
      </c>
      <c r="F17" s="378">
        <f>'Water-Meter'!E18</f>
        <v>71</v>
      </c>
      <c r="G17" s="379">
        <f>'Water-Meter'!AN18</f>
        <v>136</v>
      </c>
      <c r="H17" s="377">
        <f>'Utility report '!AC18</f>
        <v>35</v>
      </c>
      <c r="I17" s="376">
        <f>'Kit report'!F16</f>
        <v>240</v>
      </c>
      <c r="J17" s="377">
        <f>'Kit report'!X16</f>
        <v>460.00000000021828</v>
      </c>
    </row>
    <row r="18" spans="1:10" ht="17.100000000000001" customHeight="1" thickBot="1">
      <c r="A18" s="205">
        <f>Gen!A24</f>
        <v>44361</v>
      </c>
      <c r="B18" s="381">
        <v>0.15</v>
      </c>
      <c r="C18" s="422">
        <f>Gen!AJ24</f>
        <v>262.43</v>
      </c>
      <c r="D18" s="423">
        <f>Gen!S24</f>
        <v>1575.06</v>
      </c>
      <c r="E18" s="377">
        <f>Gen!C24</f>
        <v>26715.839999999993</v>
      </c>
      <c r="F18" s="378">
        <f>'Water-Meter'!E19</f>
        <v>207</v>
      </c>
      <c r="G18" s="379">
        <f>'Water-Meter'!AN19</f>
        <v>129</v>
      </c>
      <c r="H18" s="377">
        <f>'Utility report '!AC19</f>
        <v>175</v>
      </c>
      <c r="I18" s="376">
        <f>'Kit report'!F17</f>
        <v>252.00000000004366</v>
      </c>
      <c r="J18" s="377">
        <f>'Kit report'!X17</f>
        <v>400</v>
      </c>
    </row>
    <row r="19" spans="1:10" ht="17.100000000000001" customHeight="1" thickBot="1">
      <c r="A19" s="205">
        <f>Gen!A25</f>
        <v>44362</v>
      </c>
      <c r="B19" s="381">
        <v>0.18</v>
      </c>
      <c r="C19" s="422">
        <f>Gen!AJ25</f>
        <v>98.19</v>
      </c>
      <c r="D19" s="423">
        <f>Gen!S25</f>
        <v>1478.45</v>
      </c>
      <c r="E19" s="377">
        <f>Gen!C25</f>
        <v>39878.349999999991</v>
      </c>
      <c r="F19" s="378">
        <f>'Water-Meter'!E20</f>
        <v>222</v>
      </c>
      <c r="G19" s="379">
        <f>'Water-Meter'!AN20</f>
        <v>56</v>
      </c>
      <c r="H19" s="377">
        <f>'Utility report '!AC20</f>
        <v>174</v>
      </c>
      <c r="I19" s="376">
        <f>'Kit report'!F18</f>
        <v>264.00000000008731</v>
      </c>
      <c r="J19" s="377">
        <f>'Kit report'!X18</f>
        <v>359.99999999985448</v>
      </c>
    </row>
    <row r="20" spans="1:10" ht="17.100000000000001" customHeight="1" thickBot="1">
      <c r="A20" s="205">
        <f>Gen!A26</f>
        <v>44363</v>
      </c>
      <c r="B20" s="381">
        <v>0.17</v>
      </c>
      <c r="C20" s="422">
        <f>Gen!AJ26</f>
        <v>0</v>
      </c>
      <c r="D20" s="423">
        <f>Gen!S26</f>
        <v>1354.83</v>
      </c>
      <c r="E20" s="377">
        <f>Gen!C26</f>
        <v>38301.709999999992</v>
      </c>
      <c r="F20" s="378">
        <f>'Water-Meter'!E21</f>
        <v>216</v>
      </c>
      <c r="G20" s="379">
        <f>'Water-Meter'!AN21</f>
        <v>130</v>
      </c>
      <c r="H20" s="377">
        <f>'Utility report '!AC21</f>
        <v>98</v>
      </c>
      <c r="I20" s="376">
        <f>'Kit report'!F19</f>
        <v>251.99999999982538</v>
      </c>
      <c r="J20" s="377">
        <f>'Kit report'!X19</f>
        <v>400</v>
      </c>
    </row>
    <row r="21" spans="1:10" ht="15.75" thickBot="1">
      <c r="A21" s="205">
        <f>Gen!A27</f>
        <v>44364</v>
      </c>
      <c r="B21" s="381">
        <v>0.16</v>
      </c>
      <c r="C21" s="422">
        <f>Gen!AJ27</f>
        <v>28.75</v>
      </c>
      <c r="D21" s="423">
        <f>Gen!S27</f>
        <v>1323.25</v>
      </c>
      <c r="E21" s="377">
        <f>Gen!C27</f>
        <v>36946.87999999999</v>
      </c>
      <c r="F21" s="378">
        <f>'Water-Meter'!E22</f>
        <v>79</v>
      </c>
      <c r="G21" s="379">
        <f>'Water-Meter'!AN22</f>
        <v>127</v>
      </c>
      <c r="H21" s="377">
        <f>'Utility report '!AC22</f>
        <v>35</v>
      </c>
      <c r="I21" s="376">
        <f>'Kit report'!F20</f>
        <v>264.00000000008731</v>
      </c>
      <c r="J21" s="377">
        <f>'Kit report'!X20</f>
        <v>400</v>
      </c>
    </row>
    <row r="22" spans="1:10" ht="15" customHeight="1" thickBot="1">
      <c r="A22" s="205">
        <f>Gen!A28</f>
        <v>44365</v>
      </c>
      <c r="B22" s="381">
        <v>0.16</v>
      </c>
      <c r="C22" s="422">
        <f>Gen!AJ28</f>
        <v>193.39</v>
      </c>
      <c r="D22" s="423">
        <f>Gen!S28</f>
        <v>1446.9</v>
      </c>
      <c r="E22" s="377">
        <f>Gen!C30</f>
        <v>32635.079999999991</v>
      </c>
      <c r="F22" s="816">
        <f>'Water-Meter'!E23</f>
        <v>77</v>
      </c>
      <c r="G22" s="379">
        <f>'Water-Meter'!AN23</f>
        <v>158</v>
      </c>
      <c r="H22" s="377">
        <f>'Utility report '!AC23</f>
        <v>93</v>
      </c>
      <c r="I22" s="376">
        <f>'Kit report'!F21</f>
        <v>215.99999999991269</v>
      </c>
      <c r="J22" s="377">
        <f>'Kit report'!X21</f>
        <v>500</v>
      </c>
    </row>
    <row r="23" spans="1:10" ht="15" customHeight="1" thickBot="1">
      <c r="A23" s="205">
        <f>Gen!A29</f>
        <v>44366</v>
      </c>
      <c r="B23" s="381">
        <v>0.11</v>
      </c>
      <c r="C23" s="422">
        <f>Gen!AJ29</f>
        <v>30</v>
      </c>
      <c r="D23" s="423">
        <f>Gen!S29</f>
        <v>1289.51</v>
      </c>
      <c r="E23" s="377">
        <f>Gen!C31</f>
        <v>31378.28999999999</v>
      </c>
      <c r="F23" s="378">
        <f>'Water-Meter'!E24</f>
        <v>80</v>
      </c>
      <c r="G23" s="379">
        <f>'Water-Meter'!AN24</f>
        <v>166</v>
      </c>
      <c r="H23" s="377">
        <f>'Utility report '!AC24</f>
        <v>154</v>
      </c>
      <c r="I23" s="376">
        <f>'Kit report'!F22</f>
        <v>228.00000000017462</v>
      </c>
      <c r="J23" s="377">
        <f>'Kit report'!X22</f>
        <v>400</v>
      </c>
    </row>
    <row r="24" spans="1:10" ht="15" customHeight="1" thickBot="1">
      <c r="A24" s="205">
        <f>Gen!A30</f>
        <v>44367</v>
      </c>
      <c r="B24" s="381">
        <v>0.05</v>
      </c>
      <c r="C24" s="422">
        <f>Gen!AJ30</f>
        <v>0</v>
      </c>
      <c r="D24" s="423">
        <f>Gen!S30</f>
        <v>1256.79</v>
      </c>
      <c r="E24" s="377">
        <f>Gen!C32</f>
        <v>31378.28999999999</v>
      </c>
      <c r="F24" s="378">
        <f>'Water-Meter'!E25</f>
        <v>65</v>
      </c>
      <c r="G24" s="379">
        <f>'Water-Meter'!AN25</f>
        <v>163</v>
      </c>
      <c r="H24" s="377">
        <f>'Utility report '!AC25</f>
        <v>157</v>
      </c>
      <c r="I24" s="376">
        <f>'Kit report'!F23</f>
        <v>215.99999999991269</v>
      </c>
      <c r="J24" s="377">
        <f>'Kit report'!X23</f>
        <v>379.99999999992724</v>
      </c>
    </row>
    <row r="25" spans="1:10" ht="15" customHeight="1" thickBot="1">
      <c r="A25" s="205">
        <f>Gen!A31</f>
        <v>44368</v>
      </c>
      <c r="B25" s="381">
        <f>Gen!B33</f>
        <v>0</v>
      </c>
      <c r="C25" s="422">
        <f>Gen!AJ31</f>
        <v>0</v>
      </c>
      <c r="D25" s="423">
        <f>Gen!S31</f>
        <v>0</v>
      </c>
      <c r="E25" s="377">
        <f>Gen!C33</f>
        <v>31378.28999999999</v>
      </c>
      <c r="F25" s="378" t="str">
        <f>'Water-Meter'!E26</f>
        <v>0</v>
      </c>
      <c r="G25" s="379">
        <f>'Water-Meter'!AN26</f>
        <v>0</v>
      </c>
      <c r="H25" s="377">
        <f>'Utility report '!AC28</f>
        <v>0</v>
      </c>
      <c r="I25" s="376">
        <f>'Kit report'!F26</f>
        <v>0</v>
      </c>
      <c r="J25" s="377">
        <f>'Kit report'!X24</f>
        <v>-1642280</v>
      </c>
    </row>
    <row r="26" spans="1:10" ht="15" customHeight="1" thickBot="1">
      <c r="A26" s="205">
        <f>Gen!A32</f>
        <v>44369</v>
      </c>
      <c r="B26" s="381">
        <f>Gen!B34</f>
        <v>0</v>
      </c>
      <c r="C26" s="422">
        <f>Gen!AJ32</f>
        <v>0</v>
      </c>
      <c r="D26" s="423">
        <f>Gen!S32</f>
        <v>0</v>
      </c>
      <c r="E26" s="377">
        <f>Gen!C34</f>
        <v>31378.28999999999</v>
      </c>
      <c r="F26" s="378">
        <f>'Water-Meter'!E29</f>
        <v>0</v>
      </c>
      <c r="G26" s="379" t="e">
        <f>'Water-Meter'!AN27</f>
        <v>#VALUE!</v>
      </c>
      <c r="H26" s="377">
        <f>'Utility report '!AC29</f>
        <v>0</v>
      </c>
      <c r="I26" s="376">
        <f>'Kit report'!F27</f>
        <v>0</v>
      </c>
      <c r="J26" s="377">
        <f>'Kit report'!X25</f>
        <v>0</v>
      </c>
    </row>
    <row r="27" spans="1:10" ht="15" customHeight="1" thickBot="1">
      <c r="A27" s="205">
        <f>Gen!A33</f>
        <v>44370</v>
      </c>
      <c r="B27" s="381">
        <f>Gen!B35</f>
        <v>0</v>
      </c>
      <c r="C27" s="422">
        <f>Gen!AJ33</f>
        <v>0</v>
      </c>
      <c r="D27" s="423">
        <f>Gen!S33</f>
        <v>0</v>
      </c>
      <c r="E27" s="377">
        <f>Gen!C35</f>
        <v>31378.28999999999</v>
      </c>
      <c r="F27" s="378">
        <f>'Water-Meter'!E30</f>
        <v>0</v>
      </c>
      <c r="G27" s="379">
        <f>'Water-Meter'!AN30</f>
        <v>0</v>
      </c>
      <c r="H27" s="377">
        <f>'Utility report '!AC30</f>
        <v>0</v>
      </c>
      <c r="I27" s="376">
        <f>'Kit report'!F28</f>
        <v>0</v>
      </c>
      <c r="J27" s="377">
        <f>'Kit report'!X26</f>
        <v>0</v>
      </c>
    </row>
    <row r="28" spans="1:10" ht="15" customHeight="1" thickBot="1">
      <c r="A28" s="205">
        <f>Gen!A34</f>
        <v>44371</v>
      </c>
      <c r="B28" s="381">
        <f>Gen!B36</f>
        <v>0</v>
      </c>
      <c r="C28" s="422">
        <f>Gen!AJ34</f>
        <v>0</v>
      </c>
      <c r="D28" s="423">
        <f>Gen!S36</f>
        <v>0</v>
      </c>
      <c r="E28" s="377">
        <f>Gen!C36</f>
        <v>31378.28999999999</v>
      </c>
      <c r="F28" s="378">
        <f>'Water-Meter'!E31</f>
        <v>0</v>
      </c>
      <c r="G28" s="379">
        <f>'Water-Meter'!AN31</f>
        <v>0</v>
      </c>
      <c r="H28" s="377">
        <f>'Utility report '!AC31</f>
        <v>0</v>
      </c>
      <c r="I28" s="376">
        <f>'Kit report'!F29</f>
        <v>0</v>
      </c>
      <c r="J28" s="377">
        <f>'Kit report'!X27</f>
        <v>0</v>
      </c>
    </row>
    <row r="29" spans="1:10" ht="15" customHeight="1" thickBot="1">
      <c r="A29" s="205">
        <f>Gen!A35</f>
        <v>44372</v>
      </c>
      <c r="B29" s="381">
        <f>Gen!B37</f>
        <v>0</v>
      </c>
      <c r="C29" s="422">
        <f>Gen!AJ35</f>
        <v>0</v>
      </c>
      <c r="D29" s="423">
        <f>Gen!S37</f>
        <v>0</v>
      </c>
      <c r="E29" s="377">
        <f>Gen!C37</f>
        <v>31378.28999999999</v>
      </c>
      <c r="F29" s="378">
        <f>'Water-Meter'!E32</f>
        <v>0</v>
      </c>
      <c r="G29" s="379">
        <f>'Water-Meter'!AN32</f>
        <v>0</v>
      </c>
      <c r="H29" s="377">
        <f>'Utility report '!AC32</f>
        <v>0</v>
      </c>
      <c r="I29" s="376">
        <f>'Kit report'!F30</f>
        <v>0</v>
      </c>
      <c r="J29" s="377">
        <f>'Kit report'!X28</f>
        <v>0</v>
      </c>
    </row>
    <row r="30" spans="1:10" ht="15" customHeight="1" thickBot="1">
      <c r="A30" s="205">
        <f>Gen!A36</f>
        <v>44373</v>
      </c>
      <c r="B30" s="381">
        <f>Gen!B38</f>
        <v>0</v>
      </c>
      <c r="C30" s="422">
        <f>Gen!AJ38</f>
        <v>0</v>
      </c>
      <c r="D30" s="423">
        <f>Gen!S38</f>
        <v>0</v>
      </c>
      <c r="E30" s="377">
        <f>Gen!C38</f>
        <v>31378.28999999999</v>
      </c>
      <c r="F30" s="378">
        <f>'Water-Meter'!E33</f>
        <v>0</v>
      </c>
      <c r="G30" s="379">
        <f>'Water-Meter'!AN33</f>
        <v>0</v>
      </c>
      <c r="H30" s="377">
        <f>'Utility report '!AC33</f>
        <v>0</v>
      </c>
      <c r="I30" s="376">
        <f>'Kit report'!F31</f>
        <v>0</v>
      </c>
      <c r="J30" s="377">
        <f>'Kit report'!X29</f>
        <v>0</v>
      </c>
    </row>
    <row r="31" spans="1:10" ht="15" customHeight="1" thickBot="1">
      <c r="A31" s="205">
        <f>Gen!A37</f>
        <v>44374</v>
      </c>
      <c r="B31" s="381">
        <f>Gen!B39</f>
        <v>0</v>
      </c>
      <c r="C31" s="422">
        <f>Gen!AJ39</f>
        <v>0</v>
      </c>
      <c r="D31" s="423">
        <f>Gen!S39</f>
        <v>0</v>
      </c>
      <c r="E31" s="377">
        <f>Gen!C39</f>
        <v>31378.28999999999</v>
      </c>
      <c r="F31" s="378">
        <f>'Water-Meter'!E34</f>
        <v>0</v>
      </c>
      <c r="G31" s="379">
        <f>'Water-Meter'!AN34</f>
        <v>0</v>
      </c>
      <c r="H31" s="377">
        <f>'Utility report '!AC34</f>
        <v>0</v>
      </c>
      <c r="I31" s="376">
        <f>'Kit report'!F32</f>
        <v>0</v>
      </c>
      <c r="J31" s="377">
        <f>'Kit report'!X30</f>
        <v>0</v>
      </c>
    </row>
    <row r="32" spans="1:10" ht="15" customHeight="1" thickBot="1">
      <c r="A32" s="205">
        <f>Gen!A38</f>
        <v>44375</v>
      </c>
      <c r="B32" s="381">
        <f>Gen!B40</f>
        <v>0</v>
      </c>
      <c r="C32" s="422">
        <f>Gen!AJ40</f>
        <v>0</v>
      </c>
      <c r="D32" s="423">
        <f>Gen!S40</f>
        <v>0</v>
      </c>
      <c r="E32" s="377">
        <f>Gen!C40</f>
        <v>31378.28999999999</v>
      </c>
      <c r="F32" s="378">
        <f>'Water-Meter'!E35</f>
        <v>0</v>
      </c>
      <c r="G32" s="379">
        <f>'Water-Meter'!AN35</f>
        <v>0</v>
      </c>
      <c r="H32" s="377">
        <f>'Utility report '!AC35</f>
        <v>0</v>
      </c>
      <c r="I32" s="376">
        <f>'Kit report'!F33</f>
        <v>0</v>
      </c>
      <c r="J32" s="377">
        <f>'Kit report'!X31</f>
        <v>0</v>
      </c>
    </row>
    <row r="33" spans="1:10" ht="15" customHeight="1" thickBot="1">
      <c r="A33" s="205">
        <f>Gen!A39</f>
        <v>44376</v>
      </c>
      <c r="B33" s="381">
        <f>Gen!B41</f>
        <v>0</v>
      </c>
      <c r="C33" s="422">
        <f>Gen!AJ41</f>
        <v>0</v>
      </c>
      <c r="D33" s="423">
        <f>Gen!S41</f>
        <v>0</v>
      </c>
      <c r="E33" s="377">
        <f>Gen!C41</f>
        <v>31378.28999999999</v>
      </c>
      <c r="F33" s="378">
        <f>'Water-Meter'!E36</f>
        <v>0</v>
      </c>
      <c r="G33" s="379">
        <f>'Water-Meter'!AN36</f>
        <v>0</v>
      </c>
      <c r="H33" s="377">
        <f>'Utility report '!AC36</f>
        <v>0</v>
      </c>
      <c r="I33" s="376">
        <f>'Kit report'!F34</f>
        <v>0</v>
      </c>
      <c r="J33" s="377">
        <f>'Kit report'!X32</f>
        <v>0</v>
      </c>
    </row>
    <row r="34" spans="1:10" ht="15.75" thickBot="1">
      <c r="A34" s="205">
        <f>Gen!A40</f>
        <v>44377</v>
      </c>
      <c r="B34" s="381">
        <f>Gen!B42</f>
        <v>0</v>
      </c>
      <c r="C34" s="422">
        <f>Gen!AK42</f>
        <v>0</v>
      </c>
      <c r="D34" s="423">
        <f>Gen!T42</f>
        <v>0</v>
      </c>
      <c r="E34" s="377">
        <f>Gen!C42</f>
        <v>31378.28999999999</v>
      </c>
      <c r="F34" s="378">
        <f>'Water-Meter'!E37</f>
        <v>0</v>
      </c>
      <c r="G34" s="379">
        <f>'Water-Meter'!AN37</f>
        <v>1336</v>
      </c>
      <c r="H34" s="377">
        <f>'Utility report '!AC37</f>
        <v>0</v>
      </c>
      <c r="I34" s="376"/>
      <c r="J34" s="377">
        <f>'Kit report'!X33</f>
        <v>0</v>
      </c>
    </row>
    <row r="35" spans="1:10" ht="15">
      <c r="A35" s="205">
        <f>Gen!A41</f>
        <v>0</v>
      </c>
      <c r="B35" s="381"/>
      <c r="C35" s="422">
        <f>Gen!AK43</f>
        <v>0</v>
      </c>
      <c r="D35" s="423">
        <f>Gen!T43</f>
        <v>0</v>
      </c>
      <c r="E35" s="377">
        <f>Gen!C43</f>
        <v>31378.28999999999</v>
      </c>
      <c r="F35" s="378">
        <f>'Water-Meter'!E38</f>
        <v>1971</v>
      </c>
      <c r="G35" s="379">
        <f>'Water-Meter'!AN38</f>
        <v>1336</v>
      </c>
      <c r="H35" s="377">
        <f>'Utility report '!AC38</f>
        <v>0</v>
      </c>
      <c r="I35" s="376">
        <f>'Kit report'!F36</f>
        <v>0</v>
      </c>
      <c r="J35" s="377">
        <f>'Kit report'!X34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9D4A46DCD9C5439C72AF529D93C72B" ma:contentTypeVersion="9" ma:contentTypeDescription="Create a new document." ma:contentTypeScope="" ma:versionID="452a788b6f7123a3cfc09294cc76a56c">
  <xsd:schema xmlns:xsd="http://www.w3.org/2001/XMLSchema" xmlns:xs="http://www.w3.org/2001/XMLSchema" xmlns:p="http://schemas.microsoft.com/office/2006/metadata/properties" xmlns:ns2="ef8562c0-0682-4399-9d35-aea5069ccf39" targetNamespace="http://schemas.microsoft.com/office/2006/metadata/properties" ma:root="true" ma:fieldsID="6708265404aaee26f95fc7546d6b1669" ns2:_="">
    <xsd:import namespace="ef8562c0-0682-4399-9d35-aea5069ccf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8562c0-0682-4399-9d35-aea5069ccf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FF6829-AE3F-474D-8584-53673DD0ADDA}"/>
</file>

<file path=customXml/itemProps2.xml><?xml version="1.0" encoding="utf-8"?>
<ds:datastoreItem xmlns:ds="http://schemas.openxmlformats.org/officeDocument/2006/customXml" ds:itemID="{A8FC3B6A-F63B-42FE-9A5D-398EE53DE8C0}"/>
</file>

<file path=customXml/itemProps3.xml><?xml version="1.0" encoding="utf-8"?>
<ds:datastoreItem xmlns:ds="http://schemas.openxmlformats.org/officeDocument/2006/customXml" ds:itemID="{77CFE40D-3B88-4930-9CD4-D020803B2A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Aziz Mbungiro</cp:lastModifiedBy>
  <cp:revision/>
  <dcterms:created xsi:type="dcterms:W3CDTF">2009-01-25T09:02:38Z</dcterms:created>
  <dcterms:modified xsi:type="dcterms:W3CDTF">2021-06-21T06:28:35Z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0x010100B19D4A46DCD9C5439C72AF529D93C72B</vt:lpwstr>
  </property>
</Properties>
</file>