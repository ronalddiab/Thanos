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02 au 29.02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C27" i="6" l="1"/>
  <c r="G28" i="6"/>
  <c r="E28" i="6"/>
  <c r="C28" i="6"/>
  <c r="M23" i="4"/>
  <c r="J23" i="4"/>
  <c r="K23" i="4" s="1"/>
  <c r="M22" i="4"/>
  <c r="K22" i="4"/>
  <c r="J22" i="4"/>
  <c r="G27" i="6" l="1"/>
  <c r="E27" i="6"/>
  <c r="G26" i="6" l="1"/>
  <c r="E26" i="6"/>
  <c r="C26" i="6"/>
  <c r="G21" i="4"/>
  <c r="E21" i="4"/>
  <c r="C21" i="4"/>
  <c r="G25" i="6" l="1"/>
  <c r="E25" i="6"/>
  <c r="C25" i="6"/>
  <c r="G20" i="4"/>
  <c r="E20" i="4"/>
  <c r="C20" i="4"/>
  <c r="G24" i="6" l="1"/>
  <c r="E24" i="6"/>
  <c r="C24" i="6"/>
  <c r="G19" i="4"/>
  <c r="E19" i="4"/>
  <c r="C19" i="4"/>
  <c r="G23" i="6" l="1"/>
  <c r="E23" i="6"/>
  <c r="C23" i="6"/>
  <c r="G22" i="6"/>
  <c r="E22" i="6"/>
  <c r="C22" i="6"/>
  <c r="G18" i="4"/>
  <c r="E18" i="4"/>
  <c r="C18" i="4"/>
  <c r="G17" i="4"/>
  <c r="E17" i="4"/>
  <c r="C17" i="4"/>
  <c r="G21" i="6" l="1"/>
  <c r="E21" i="6"/>
  <c r="C21" i="6"/>
  <c r="M16" i="4"/>
  <c r="J16" i="4"/>
  <c r="K16" i="4" s="1"/>
  <c r="M15" i="4"/>
  <c r="K15" i="4"/>
  <c r="J15" i="4"/>
  <c r="G20" i="6" l="1"/>
  <c r="E20" i="6"/>
  <c r="C20" i="6"/>
  <c r="G19" i="6" l="1"/>
  <c r="E19" i="6"/>
  <c r="C19" i="6"/>
  <c r="E10" i="4" l="1"/>
  <c r="E11" i="4"/>
  <c r="E12" i="4"/>
  <c r="E13" i="4"/>
  <c r="E14" i="4"/>
  <c r="I10" i="4"/>
  <c r="I11" i="4"/>
  <c r="I12" i="4"/>
  <c r="I13" i="4"/>
  <c r="I14" i="4"/>
  <c r="G10" i="4"/>
  <c r="G11" i="4"/>
  <c r="G12" i="4"/>
  <c r="G13" i="4"/>
  <c r="G14" i="4"/>
  <c r="AD11" i="4"/>
  <c r="AE11" i="4"/>
  <c r="AD12" i="4"/>
  <c r="AE12" i="4"/>
  <c r="AD13" i="4"/>
  <c r="AE13" i="4"/>
  <c r="C14" i="4"/>
  <c r="G18" i="6" l="1"/>
  <c r="E18" i="6"/>
  <c r="C18" i="6"/>
  <c r="Z43" i="4" l="1"/>
  <c r="W43" i="4"/>
  <c r="T43" i="4"/>
  <c r="Q43" i="4"/>
  <c r="G17" i="6"/>
  <c r="E17" i="6"/>
  <c r="C17" i="6"/>
  <c r="C12" i="4"/>
  <c r="C11" i="4"/>
  <c r="M19" i="10"/>
  <c r="M20" i="10"/>
  <c r="M21" i="10"/>
  <c r="M22" i="10"/>
  <c r="M23" i="10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G26" i="4"/>
  <c r="G16" i="6"/>
  <c r="G48" i="6" s="1"/>
  <c r="E16" i="6"/>
  <c r="E48" i="6" s="1"/>
  <c r="C16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D41" i="1" l="1"/>
  <c r="C48" i="6"/>
  <c r="M42" i="4"/>
  <c r="J42" i="4"/>
  <c r="K42" i="4" s="1"/>
  <c r="M41" i="4"/>
  <c r="J41" i="4"/>
  <c r="K41" i="4" s="1"/>
  <c r="M40" i="4"/>
  <c r="J40" i="4"/>
  <c r="K40" i="4" s="1"/>
  <c r="M39" i="4"/>
  <c r="J39" i="4"/>
  <c r="K39" i="4" s="1"/>
  <c r="M38" i="4"/>
  <c r="J38" i="4"/>
  <c r="K38" i="4" s="1"/>
  <c r="M37" i="4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J31" i="4"/>
  <c r="K31" i="4" s="1"/>
  <c r="M30" i="4"/>
  <c r="J30" i="4"/>
  <c r="K30" i="4" s="1"/>
  <c r="M29" i="4"/>
  <c r="J29" i="4"/>
  <c r="K29" i="4" s="1"/>
  <c r="M28" i="4"/>
  <c r="J28" i="4"/>
  <c r="K28" i="4" s="1"/>
  <c r="M27" i="4"/>
  <c r="J27" i="4"/>
  <c r="K27" i="4" s="1"/>
  <c r="M26" i="4"/>
  <c r="J26" i="4"/>
  <c r="K26" i="4" s="1"/>
  <c r="M25" i="4"/>
  <c r="J25" i="4"/>
  <c r="K25" i="4" s="1"/>
  <c r="M24" i="4"/>
  <c r="J24" i="4"/>
  <c r="K24" i="4" s="1"/>
  <c r="M21" i="4"/>
  <c r="J21" i="4"/>
  <c r="K21" i="4" s="1"/>
  <c r="M20" i="4"/>
  <c r="J20" i="4"/>
  <c r="K20" i="4" s="1"/>
  <c r="M19" i="4"/>
  <c r="J19" i="4"/>
  <c r="K19" i="4" s="1"/>
  <c r="M18" i="4"/>
  <c r="J18" i="4"/>
  <c r="K18" i="4" s="1"/>
  <c r="M17" i="4"/>
  <c r="J17" i="4"/>
  <c r="K17" i="4" s="1"/>
  <c r="M14" i="4"/>
  <c r="J14" i="4"/>
  <c r="K14" i="4" s="1"/>
  <c r="M13" i="4"/>
  <c r="J13" i="4"/>
  <c r="K13" i="4" s="1"/>
  <c r="M12" i="4"/>
  <c r="J12" i="4"/>
  <c r="K12" i="4" s="1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K6" i="4"/>
  <c r="J6" i="4"/>
  <c r="M5" i="4"/>
  <c r="J5" i="4"/>
  <c r="K5" i="4" s="1"/>
  <c r="M4" i="4"/>
  <c r="J4" i="4"/>
  <c r="K4" i="4" s="1"/>
  <c r="G47" i="6"/>
  <c r="E47" i="6"/>
  <c r="C47" i="6"/>
  <c r="E44" i="6" l="1"/>
  <c r="E45" i="6"/>
  <c r="Y31" i="1" l="1"/>
  <c r="M13" i="10" l="1"/>
  <c r="M14" i="10"/>
  <c r="M15" i="10"/>
  <c r="M16" i="10"/>
  <c r="M17" i="10"/>
  <c r="M18" i="10"/>
  <c r="M24" i="10"/>
  <c r="M25" i="10"/>
  <c r="M26" i="10"/>
  <c r="M27" i="10"/>
  <c r="M28" i="10"/>
  <c r="M29" i="10"/>
  <c r="M30" i="10"/>
  <c r="K18" i="10"/>
  <c r="K19" i="10"/>
  <c r="K20" i="10"/>
  <c r="K21" i="10"/>
  <c r="K22" i="10"/>
  <c r="G32" i="6" l="1"/>
  <c r="E32" i="6"/>
  <c r="C32" i="6"/>
  <c r="G31" i="6" l="1"/>
  <c r="E31" i="6"/>
  <c r="C31" i="6"/>
  <c r="G30" i="6" l="1"/>
  <c r="E30" i="6"/>
  <c r="C30" i="6"/>
  <c r="G29" i="6"/>
  <c r="E29" i="6"/>
  <c r="C29" i="6"/>
  <c r="K11" i="1" l="1"/>
  <c r="J11" i="1"/>
  <c r="K10" i="10"/>
  <c r="K11" i="10"/>
  <c r="K12" i="10"/>
  <c r="K13" i="10"/>
  <c r="K14" i="10"/>
  <c r="K15" i="10"/>
  <c r="K16" i="10"/>
  <c r="K17" i="10"/>
  <c r="K26" i="10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30" i="1"/>
  <c r="J38" i="1"/>
  <c r="J39" i="1"/>
  <c r="C33" i="6"/>
  <c r="E33" i="6"/>
  <c r="J27" i="1" s="1"/>
  <c r="G33" i="6"/>
  <c r="K27" i="1" s="1"/>
  <c r="C34" i="6"/>
  <c r="E34" i="6"/>
  <c r="J28" i="1" s="1"/>
  <c r="G34" i="6"/>
  <c r="K28" i="1" s="1"/>
  <c r="C35" i="6"/>
  <c r="E35" i="6"/>
  <c r="J29" i="1" s="1"/>
  <c r="G35" i="6"/>
  <c r="K29" i="1" s="1"/>
  <c r="C36" i="6"/>
  <c r="E36" i="6"/>
  <c r="G36" i="6"/>
  <c r="K30" i="1" s="1"/>
  <c r="C37" i="6"/>
  <c r="K23" i="10" s="1"/>
  <c r="E37" i="6"/>
  <c r="J31" i="1" s="1"/>
  <c r="G37" i="6"/>
  <c r="K31" i="1" s="1"/>
  <c r="C38" i="6"/>
  <c r="K24" i="10" s="1"/>
  <c r="E38" i="6"/>
  <c r="J32" i="1" s="1"/>
  <c r="G38" i="6"/>
  <c r="K32" i="1" s="1"/>
  <c r="C39" i="6"/>
  <c r="K25" i="10" s="1"/>
  <c r="E39" i="6"/>
  <c r="J33" i="1" s="1"/>
  <c r="G39" i="6"/>
  <c r="K33" i="1" s="1"/>
  <c r="C40" i="6"/>
  <c r="E40" i="6"/>
  <c r="J34" i="1" s="1"/>
  <c r="G40" i="6"/>
  <c r="K34" i="1" s="1"/>
  <c r="C41" i="6"/>
  <c r="K27" i="10" s="1"/>
  <c r="E41" i="6"/>
  <c r="J35" i="1" s="1"/>
  <c r="G41" i="6"/>
  <c r="K35" i="1" s="1"/>
  <c r="C42" i="6"/>
  <c r="K28" i="10" s="1"/>
  <c r="E42" i="6"/>
  <c r="J36" i="1" s="1"/>
  <c r="G42" i="6"/>
  <c r="K36" i="1" s="1"/>
  <c r="C43" i="6"/>
  <c r="K29" i="10" s="1"/>
  <c r="E43" i="6"/>
  <c r="J37" i="1" s="1"/>
  <c r="G43" i="6"/>
  <c r="K37" i="1" s="1"/>
  <c r="C44" i="6"/>
  <c r="K30" i="10" s="1"/>
  <c r="G44" i="6"/>
  <c r="K38" i="1" s="1"/>
  <c r="C45" i="6"/>
  <c r="G45" i="6"/>
  <c r="K39" i="1" s="1"/>
  <c r="C46" i="6"/>
  <c r="E46" i="6"/>
  <c r="J40" i="1" s="1"/>
  <c r="G46" i="6"/>
  <c r="K40" i="1" s="1"/>
  <c r="I17" i="6"/>
  <c r="L11" i="1" s="1"/>
  <c r="I16" i="6"/>
  <c r="K10" i="1"/>
  <c r="J10" i="1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J41" i="1" l="1"/>
  <c r="K41" i="1"/>
  <c r="L10" i="1"/>
  <c r="D10" i="1"/>
  <c r="I47" i="6"/>
  <c r="I46" i="6"/>
  <c r="L40" i="1" s="1"/>
  <c r="I45" i="6"/>
  <c r="L39" i="1" s="1"/>
  <c r="I44" i="6"/>
  <c r="L38" i="1" s="1"/>
  <c r="I43" i="6"/>
  <c r="L37" i="1" s="1"/>
  <c r="I42" i="6"/>
  <c r="L36" i="1" s="1"/>
  <c r="I41" i="6"/>
  <c r="L35" i="1" s="1"/>
  <c r="I40" i="6"/>
  <c r="L34" i="1" s="1"/>
  <c r="I39" i="6"/>
  <c r="L33" i="1" s="1"/>
  <c r="I38" i="6"/>
  <c r="L32" i="1" s="1"/>
  <c r="I37" i="6"/>
  <c r="L31" i="1" s="1"/>
  <c r="I36" i="6"/>
  <c r="L30" i="1" s="1"/>
  <c r="I35" i="6"/>
  <c r="L29" i="1" s="1"/>
  <c r="I34" i="6"/>
  <c r="L28" i="1" s="1"/>
  <c r="I33" i="6"/>
  <c r="L27" i="1" s="1"/>
  <c r="I32" i="6"/>
  <c r="L26" i="1" s="1"/>
  <c r="I31" i="6"/>
  <c r="L25" i="1" s="1"/>
  <c r="I30" i="6"/>
  <c r="L24" i="1" s="1"/>
  <c r="I29" i="6"/>
  <c r="L23" i="1" s="1"/>
  <c r="I28" i="6"/>
  <c r="L22" i="1" s="1"/>
  <c r="I27" i="6"/>
  <c r="L21" i="1" s="1"/>
  <c r="I26" i="6"/>
  <c r="L20" i="1" s="1"/>
  <c r="I25" i="6"/>
  <c r="L19" i="1" s="1"/>
  <c r="I24" i="6"/>
  <c r="L18" i="1" s="1"/>
  <c r="I23" i="6"/>
  <c r="L17" i="1" s="1"/>
  <c r="I22" i="6"/>
  <c r="L16" i="1" s="1"/>
  <c r="I21" i="6"/>
  <c r="L15" i="1" s="1"/>
  <c r="I20" i="6"/>
  <c r="L14" i="1" s="1"/>
  <c r="I19" i="6"/>
  <c r="L13" i="1" s="1"/>
  <c r="I18" i="6"/>
  <c r="L12" i="1" s="1"/>
  <c r="L41" i="1" l="1"/>
  <c r="I48" i="6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21" i="1" l="1"/>
  <c r="E13" i="10" s="1"/>
  <c r="F11" i="1"/>
  <c r="K4" i="10"/>
  <c r="F14" i="1"/>
  <c r="K7" i="10"/>
  <c r="K8" i="10"/>
  <c r="F19" i="1"/>
  <c r="F28" i="1"/>
  <c r="F30" i="1"/>
  <c r="F35" i="1"/>
  <c r="F37" i="1"/>
  <c r="F27" i="1"/>
  <c r="K6" i="10"/>
  <c r="Y35" i="1"/>
  <c r="Y36" i="1"/>
  <c r="I28" i="10" s="1"/>
  <c r="F18" i="1"/>
  <c r="F13" i="1"/>
  <c r="M13" i="1"/>
  <c r="E5" i="10" s="1"/>
  <c r="M16" i="1"/>
  <c r="E8" i="10" s="1"/>
  <c r="M18" i="1"/>
  <c r="E10" i="10" s="1"/>
  <c r="M19" i="1"/>
  <c r="E11" i="10" s="1"/>
  <c r="M20" i="1"/>
  <c r="E12" i="10" s="1"/>
  <c r="M24" i="1"/>
  <c r="E16" i="10" s="1"/>
  <c r="M25" i="1"/>
  <c r="E17" i="10" s="1"/>
  <c r="M28" i="1"/>
  <c r="E20" i="10" s="1"/>
  <c r="Y28" i="1"/>
  <c r="M5" i="10"/>
  <c r="Y13" i="1"/>
  <c r="Y14" i="1"/>
  <c r="I6" i="10" s="1"/>
  <c r="AC8" i="4"/>
  <c r="AD8" i="4"/>
  <c r="AE8" i="4"/>
  <c r="AC9" i="4"/>
  <c r="AD9" i="4"/>
  <c r="AE9" i="4"/>
  <c r="AC10" i="4"/>
  <c r="AD10" i="4"/>
  <c r="AE10" i="4"/>
  <c r="AC11" i="4"/>
  <c r="AC12" i="4"/>
  <c r="AC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Y38" i="1"/>
  <c r="Y37" i="1"/>
  <c r="I29" i="10" s="1"/>
  <c r="Y34" i="1"/>
  <c r="Y33" i="1"/>
  <c r="I25" i="10" s="1"/>
  <c r="Y32" i="1"/>
  <c r="Y30" i="1"/>
  <c r="Y29" i="1"/>
  <c r="Y27" i="1"/>
  <c r="Y26" i="1"/>
  <c r="Y25" i="1"/>
  <c r="I17" i="10" s="1"/>
  <c r="Y24" i="1"/>
  <c r="Y23" i="1"/>
  <c r="I15" i="10" s="1"/>
  <c r="Y22" i="1"/>
  <c r="Y21" i="1"/>
  <c r="I13" i="10" s="1"/>
  <c r="Y20" i="1"/>
  <c r="I12" i="10" s="1"/>
  <c r="Y19" i="1"/>
  <c r="Y18" i="1"/>
  <c r="I10" i="10" s="1"/>
  <c r="Y17" i="1"/>
  <c r="I9" i="10" s="1"/>
  <c r="Y16" i="1"/>
  <c r="I8" i="10" s="1"/>
  <c r="Y15" i="1"/>
  <c r="I7" i="10" s="1"/>
  <c r="Y12" i="1"/>
  <c r="Y11" i="1"/>
  <c r="Y10" i="1"/>
  <c r="M12" i="1"/>
  <c r="E4" i="10" s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M3" i="10"/>
  <c r="M4" i="10"/>
  <c r="M6" i="10"/>
  <c r="M7" i="10"/>
  <c r="M8" i="10"/>
  <c r="M9" i="10"/>
  <c r="M10" i="10"/>
  <c r="M11" i="10"/>
  <c r="M12" i="10"/>
  <c r="F29" i="1"/>
  <c r="F36" i="1"/>
  <c r="F10" i="1"/>
  <c r="K5" i="10"/>
  <c r="F21" i="1"/>
  <c r="F22" i="1"/>
  <c r="F25" i="1"/>
  <c r="F34" i="1"/>
  <c r="K2" i="10"/>
  <c r="Q44" i="4"/>
  <c r="F17" i="1"/>
  <c r="K9" i="10"/>
  <c r="AC44" i="4"/>
  <c r="F26" i="1"/>
  <c r="F38" i="1"/>
  <c r="I22" i="4" l="1"/>
  <c r="G22" i="4"/>
  <c r="E22" i="4"/>
  <c r="L22" i="4"/>
  <c r="N22" i="4" s="1"/>
  <c r="O22" i="4" s="1"/>
  <c r="P22" i="4" s="1"/>
  <c r="C22" i="4"/>
  <c r="I23" i="4"/>
  <c r="G23" i="4"/>
  <c r="E23" i="4"/>
  <c r="L23" i="4"/>
  <c r="N23" i="4" s="1"/>
  <c r="O23" i="4" s="1"/>
  <c r="P23" i="4" s="1"/>
  <c r="C23" i="4"/>
  <c r="L16" i="4"/>
  <c r="N16" i="4" s="1"/>
  <c r="O16" i="4" s="1"/>
  <c r="P16" i="4" s="1"/>
  <c r="C16" i="4"/>
  <c r="I16" i="4"/>
  <c r="G16" i="4"/>
  <c r="G43" i="4" s="1"/>
  <c r="E16" i="4"/>
  <c r="I15" i="4"/>
  <c r="G15" i="4"/>
  <c r="E15" i="4"/>
  <c r="L15" i="4"/>
  <c r="N15" i="4" s="1"/>
  <c r="O15" i="4" s="1"/>
  <c r="P15" i="4" s="1"/>
  <c r="C15" i="4"/>
  <c r="E43" i="4"/>
  <c r="C13" i="4"/>
  <c r="C43" i="4" s="1"/>
  <c r="AC43" i="4"/>
  <c r="I3" i="10"/>
  <c r="Y41" i="1"/>
  <c r="Z13" i="1"/>
  <c r="I5" i="10"/>
  <c r="Z24" i="1"/>
  <c r="I16" i="10"/>
  <c r="Z19" i="1"/>
  <c r="I11" i="10"/>
  <c r="Z22" i="1"/>
  <c r="I14" i="10"/>
  <c r="Z12" i="1"/>
  <c r="I4" i="10"/>
  <c r="G5" i="4"/>
  <c r="E5" i="4"/>
  <c r="C5" i="4"/>
  <c r="G7" i="4"/>
  <c r="E7" i="4"/>
  <c r="C7" i="4"/>
  <c r="G4" i="4"/>
  <c r="E4" i="4"/>
  <c r="C4" i="4"/>
  <c r="G9" i="4"/>
  <c r="E9" i="4"/>
  <c r="C9" i="4"/>
  <c r="G6" i="4"/>
  <c r="E6" i="4"/>
  <c r="C6" i="4"/>
  <c r="C10" i="4"/>
  <c r="G8" i="4"/>
  <c r="C8" i="4"/>
  <c r="E8" i="4"/>
  <c r="L4" i="4"/>
  <c r="N4" i="4" s="1"/>
  <c r="O4" i="4" s="1"/>
  <c r="P4" i="4" s="1"/>
  <c r="I4" i="4"/>
  <c r="I6" i="4"/>
  <c r="L6" i="4"/>
  <c r="N6" i="4" s="1"/>
  <c r="O6" i="4" s="1"/>
  <c r="P6" i="4" s="1"/>
  <c r="I42" i="4"/>
  <c r="G42" i="4"/>
  <c r="E42" i="4"/>
  <c r="L42" i="4"/>
  <c r="N42" i="4" s="1"/>
  <c r="O42" i="4" s="1"/>
  <c r="P42" i="4" s="1"/>
  <c r="C42" i="4"/>
  <c r="G40" i="4"/>
  <c r="E40" i="4"/>
  <c r="L40" i="4"/>
  <c r="N40" i="4" s="1"/>
  <c r="O40" i="4" s="1"/>
  <c r="P40" i="4" s="1"/>
  <c r="C40" i="4"/>
  <c r="I40" i="4"/>
  <c r="L38" i="4"/>
  <c r="N38" i="4" s="1"/>
  <c r="O38" i="4" s="1"/>
  <c r="P38" i="4" s="1"/>
  <c r="C38" i="4"/>
  <c r="I38" i="4"/>
  <c r="G38" i="4"/>
  <c r="E38" i="4"/>
  <c r="I36" i="4"/>
  <c r="G36" i="4"/>
  <c r="E36" i="4"/>
  <c r="L36" i="4"/>
  <c r="N36" i="4" s="1"/>
  <c r="O36" i="4" s="1"/>
  <c r="P36" i="4" s="1"/>
  <c r="C36" i="4"/>
  <c r="G34" i="4"/>
  <c r="E34" i="4"/>
  <c r="L34" i="4"/>
  <c r="N34" i="4" s="1"/>
  <c r="O34" i="4" s="1"/>
  <c r="P34" i="4" s="1"/>
  <c r="C34" i="4"/>
  <c r="I34" i="4"/>
  <c r="L32" i="4"/>
  <c r="N32" i="4" s="1"/>
  <c r="O32" i="4" s="1"/>
  <c r="P32" i="4" s="1"/>
  <c r="C32" i="4"/>
  <c r="I32" i="4"/>
  <c r="G32" i="4"/>
  <c r="E32" i="4"/>
  <c r="I30" i="4"/>
  <c r="G30" i="4"/>
  <c r="E30" i="4"/>
  <c r="L30" i="4"/>
  <c r="N30" i="4" s="1"/>
  <c r="O30" i="4" s="1"/>
  <c r="P30" i="4" s="1"/>
  <c r="C30" i="4"/>
  <c r="G28" i="4"/>
  <c r="E28" i="4"/>
  <c r="L28" i="4"/>
  <c r="N28" i="4" s="1"/>
  <c r="O28" i="4" s="1"/>
  <c r="P28" i="4" s="1"/>
  <c r="C28" i="4"/>
  <c r="I28" i="4"/>
  <c r="L26" i="4"/>
  <c r="N26" i="4" s="1"/>
  <c r="O26" i="4" s="1"/>
  <c r="P26" i="4" s="1"/>
  <c r="I26" i="4"/>
  <c r="E26" i="4"/>
  <c r="C26" i="4"/>
  <c r="I24" i="4"/>
  <c r="G24" i="4"/>
  <c r="E24" i="4"/>
  <c r="L24" i="4"/>
  <c r="N24" i="4" s="1"/>
  <c r="O24" i="4" s="1"/>
  <c r="P24" i="4" s="1"/>
  <c r="C24" i="4"/>
  <c r="I20" i="4"/>
  <c r="L20" i="4"/>
  <c r="N20" i="4" s="1"/>
  <c r="O20" i="4" s="1"/>
  <c r="P20" i="4" s="1"/>
  <c r="I18" i="4"/>
  <c r="L18" i="4"/>
  <c r="N18" i="4" s="1"/>
  <c r="O18" i="4" s="1"/>
  <c r="P18" i="4" s="1"/>
  <c r="L14" i="4"/>
  <c r="N14" i="4" s="1"/>
  <c r="O14" i="4" s="1"/>
  <c r="P14" i="4" s="1"/>
  <c r="L12" i="4"/>
  <c r="N12" i="4" s="1"/>
  <c r="L10" i="4"/>
  <c r="N10" i="4" s="1"/>
  <c r="O10" i="4" s="1"/>
  <c r="P10" i="4" s="1"/>
  <c r="I8" i="4"/>
  <c r="L8" i="4"/>
  <c r="N8" i="4" s="1"/>
  <c r="O8" i="4" s="1"/>
  <c r="P8" i="4" s="1"/>
  <c r="L5" i="4"/>
  <c r="N5" i="4" s="1"/>
  <c r="O5" i="4" s="1"/>
  <c r="P5" i="4" s="1"/>
  <c r="I5" i="4"/>
  <c r="I7" i="4"/>
  <c r="L7" i="4"/>
  <c r="N7" i="4" s="1"/>
  <c r="O7" i="4" s="1"/>
  <c r="P7" i="4" s="1"/>
  <c r="I41" i="4"/>
  <c r="G41" i="4"/>
  <c r="E41" i="4"/>
  <c r="L41" i="4"/>
  <c r="N41" i="4" s="1"/>
  <c r="O41" i="4" s="1"/>
  <c r="P41" i="4" s="1"/>
  <c r="C41" i="4"/>
  <c r="E39" i="4"/>
  <c r="L39" i="4"/>
  <c r="N39" i="4" s="1"/>
  <c r="O39" i="4" s="1"/>
  <c r="P39" i="4" s="1"/>
  <c r="C39" i="4"/>
  <c r="I39" i="4"/>
  <c r="G39" i="4"/>
  <c r="I37" i="4"/>
  <c r="G37" i="4"/>
  <c r="E37" i="4"/>
  <c r="L37" i="4"/>
  <c r="N37" i="4" s="1"/>
  <c r="O37" i="4" s="1"/>
  <c r="P37" i="4" s="1"/>
  <c r="C37" i="4"/>
  <c r="I35" i="4"/>
  <c r="G35" i="4"/>
  <c r="E35" i="4"/>
  <c r="L35" i="4"/>
  <c r="N35" i="4" s="1"/>
  <c r="O35" i="4" s="1"/>
  <c r="P35" i="4" s="1"/>
  <c r="C35" i="4"/>
  <c r="E33" i="4"/>
  <c r="L33" i="4"/>
  <c r="N33" i="4" s="1"/>
  <c r="O33" i="4" s="1"/>
  <c r="P33" i="4" s="1"/>
  <c r="C33" i="4"/>
  <c r="I33" i="4"/>
  <c r="G33" i="4"/>
  <c r="I31" i="4"/>
  <c r="G31" i="4"/>
  <c r="E31" i="4"/>
  <c r="L31" i="4"/>
  <c r="N31" i="4" s="1"/>
  <c r="O31" i="4" s="1"/>
  <c r="P31" i="4" s="1"/>
  <c r="C31" i="4"/>
  <c r="I29" i="4"/>
  <c r="G29" i="4"/>
  <c r="E29" i="4"/>
  <c r="L29" i="4"/>
  <c r="N29" i="4" s="1"/>
  <c r="O29" i="4" s="1"/>
  <c r="P29" i="4" s="1"/>
  <c r="C29" i="4"/>
  <c r="E27" i="4"/>
  <c r="L27" i="4"/>
  <c r="N27" i="4" s="1"/>
  <c r="O27" i="4" s="1"/>
  <c r="P27" i="4" s="1"/>
  <c r="C27" i="4"/>
  <c r="I27" i="4"/>
  <c r="G27" i="4"/>
  <c r="I25" i="4"/>
  <c r="G25" i="4"/>
  <c r="E25" i="4"/>
  <c r="L25" i="4"/>
  <c r="N25" i="4" s="1"/>
  <c r="O25" i="4" s="1"/>
  <c r="P25" i="4" s="1"/>
  <c r="C25" i="4"/>
  <c r="L21" i="4"/>
  <c r="N21" i="4" s="1"/>
  <c r="O21" i="4" s="1"/>
  <c r="P21" i="4" s="1"/>
  <c r="I21" i="4"/>
  <c r="I19" i="4"/>
  <c r="L19" i="4"/>
  <c r="N19" i="4" s="1"/>
  <c r="O19" i="4" s="1"/>
  <c r="P19" i="4" s="1"/>
  <c r="L17" i="4"/>
  <c r="N17" i="4" s="1"/>
  <c r="O17" i="4" s="1"/>
  <c r="P17" i="4" s="1"/>
  <c r="I17" i="4"/>
  <c r="L13" i="4"/>
  <c r="N13" i="4" s="1"/>
  <c r="O13" i="4" s="1"/>
  <c r="P13" i="4" s="1"/>
  <c r="L11" i="4"/>
  <c r="N11" i="4" s="1"/>
  <c r="O11" i="4" s="1"/>
  <c r="P11" i="4" s="1"/>
  <c r="L9" i="4"/>
  <c r="N9" i="4" s="1"/>
  <c r="O9" i="4" s="1"/>
  <c r="P9" i="4" s="1"/>
  <c r="I9" i="4"/>
  <c r="Z34" i="1"/>
  <c r="I26" i="10"/>
  <c r="Z35" i="1"/>
  <c r="I27" i="10"/>
  <c r="Z38" i="1"/>
  <c r="I30" i="10"/>
  <c r="Z32" i="1"/>
  <c r="I24" i="10"/>
  <c r="Z27" i="1"/>
  <c r="I19" i="10"/>
  <c r="Z29" i="1"/>
  <c r="I21" i="10"/>
  <c r="Z30" i="1"/>
  <c r="I22" i="10"/>
  <c r="Z26" i="1"/>
  <c r="I18" i="10"/>
  <c r="Z31" i="1"/>
  <c r="I23" i="10"/>
  <c r="Z28" i="1"/>
  <c r="I20" i="10"/>
  <c r="K48" i="4"/>
  <c r="L48" i="4" s="1"/>
  <c r="M48" i="4" s="1"/>
  <c r="Z40" i="1"/>
  <c r="M39" i="1"/>
  <c r="Z39" i="1"/>
  <c r="M37" i="1"/>
  <c r="M38" i="1"/>
  <c r="E30" i="10" s="1"/>
  <c r="Z36" i="1"/>
  <c r="Z37" i="1"/>
  <c r="M34" i="1"/>
  <c r="E26" i="10" s="1"/>
  <c r="M35" i="1"/>
  <c r="Z33" i="1"/>
  <c r="M31" i="1"/>
  <c r="E23" i="10" s="1"/>
  <c r="M32" i="1"/>
  <c r="E24" i="10" s="1"/>
  <c r="M27" i="1"/>
  <c r="E19" i="10" s="1"/>
  <c r="Z25" i="1"/>
  <c r="M22" i="1"/>
  <c r="E14" i="10" s="1"/>
  <c r="M17" i="1"/>
  <c r="E9" i="10" s="1"/>
  <c r="M15" i="1"/>
  <c r="Z18" i="1"/>
  <c r="Z10" i="1"/>
  <c r="Z11" i="1"/>
  <c r="Z16" i="1"/>
  <c r="Z20" i="1"/>
  <c r="Z14" i="1"/>
  <c r="Z17" i="1"/>
  <c r="Z21" i="1"/>
  <c r="Z15" i="1"/>
  <c r="Z23" i="1"/>
  <c r="M10" i="1"/>
  <c r="E2" i="10" s="1"/>
  <c r="O13" i="1"/>
  <c r="F12" i="1"/>
  <c r="M11" i="1"/>
  <c r="M29" i="1"/>
  <c r="E21" i="10" s="1"/>
  <c r="F16" i="1"/>
  <c r="F23" i="1"/>
  <c r="M33" i="1"/>
  <c r="M23" i="1"/>
  <c r="E15" i="10" s="1"/>
  <c r="F39" i="1"/>
  <c r="M40" i="1"/>
  <c r="M14" i="1"/>
  <c r="F24" i="1"/>
  <c r="K3" i="10"/>
  <c r="G44" i="1"/>
  <c r="J44" i="1" s="1"/>
  <c r="M26" i="1"/>
  <c r="I2" i="10"/>
  <c r="O12" i="1"/>
  <c r="O20" i="1"/>
  <c r="O24" i="1"/>
  <c r="O16" i="1"/>
  <c r="O21" i="1"/>
  <c r="O18" i="1"/>
  <c r="F20" i="1"/>
  <c r="O25" i="1"/>
  <c r="O28" i="1"/>
  <c r="O19" i="1"/>
  <c r="F32" i="1"/>
  <c r="F15" i="1"/>
  <c r="F40" i="1"/>
  <c r="M36" i="1"/>
  <c r="E28" i="10" s="1"/>
  <c r="G46" i="1"/>
  <c r="J46" i="1" s="1"/>
  <c r="L46" i="1" s="1"/>
  <c r="G43" i="1"/>
  <c r="J43" i="1" s="1"/>
  <c r="M30" i="1"/>
  <c r="E22" i="10" s="1"/>
  <c r="F31" i="1"/>
  <c r="F33" i="1"/>
  <c r="E3" i="10" l="1"/>
  <c r="M41" i="1"/>
  <c r="I43" i="4"/>
  <c r="O12" i="4"/>
  <c r="P12" i="4" s="1"/>
  <c r="N43" i="4"/>
  <c r="Z41" i="1"/>
  <c r="O15" i="1"/>
  <c r="E7" i="10"/>
  <c r="O14" i="1"/>
  <c r="E6" i="10"/>
  <c r="O26" i="1"/>
  <c r="E18" i="10"/>
  <c r="O35" i="1"/>
  <c r="E27" i="10"/>
  <c r="O37" i="1"/>
  <c r="E29" i="10"/>
  <c r="O33" i="1"/>
  <c r="E25" i="10"/>
  <c r="U32" i="1"/>
  <c r="U40" i="1"/>
  <c r="U34" i="1"/>
  <c r="U37" i="1"/>
  <c r="U29" i="1"/>
  <c r="W29" i="1" s="1"/>
  <c r="U35" i="1"/>
  <c r="W35" i="1" s="1"/>
  <c r="U30" i="1"/>
  <c r="U28" i="1"/>
  <c r="W28" i="1" s="1"/>
  <c r="U36" i="1"/>
  <c r="U27" i="1"/>
  <c r="W27" i="1" s="1"/>
  <c r="U31" i="1"/>
  <c r="U39" i="1"/>
  <c r="W39" i="1" s="1"/>
  <c r="U33" i="1"/>
  <c r="U38" i="1"/>
  <c r="W38" i="1" s="1"/>
  <c r="U26" i="1"/>
  <c r="U25" i="1"/>
  <c r="W25" i="1" s="1"/>
  <c r="U23" i="1"/>
  <c r="U24" i="1"/>
  <c r="W24" i="1" s="1"/>
  <c r="U22" i="1"/>
  <c r="W22" i="1" s="1"/>
  <c r="U21" i="1"/>
  <c r="W21" i="1" s="1"/>
  <c r="U19" i="1"/>
  <c r="W19" i="1" s="1"/>
  <c r="U20" i="1"/>
  <c r="W20" i="1" s="1"/>
  <c r="U18" i="1"/>
  <c r="W18" i="1" s="1"/>
  <c r="U17" i="1"/>
  <c r="W17" i="1" s="1"/>
  <c r="U16" i="1"/>
  <c r="U15" i="1"/>
  <c r="U14" i="1"/>
  <c r="W14" i="1" s="1"/>
  <c r="U13" i="1"/>
  <c r="W13" i="1" s="1"/>
  <c r="U12" i="1"/>
  <c r="W12" i="1" s="1"/>
  <c r="U11" i="1"/>
  <c r="O38" i="1"/>
  <c r="O22" i="1"/>
  <c r="O17" i="1"/>
  <c r="O11" i="1"/>
  <c r="O41" i="1" s="1"/>
  <c r="O27" i="1"/>
  <c r="O31" i="1"/>
  <c r="G45" i="1"/>
  <c r="J45" i="1" s="1"/>
  <c r="L43" i="1" s="1"/>
  <c r="O39" i="1"/>
  <c r="O40" i="1"/>
  <c r="O34" i="1"/>
  <c r="O32" i="1"/>
  <c r="O29" i="1"/>
  <c r="O23" i="1"/>
  <c r="O10" i="1"/>
  <c r="O36" i="1"/>
  <c r="O30" i="1"/>
  <c r="G29" i="10" l="1"/>
  <c r="O29" i="10" s="1"/>
  <c r="W37" i="1"/>
  <c r="G15" i="10"/>
  <c r="W23" i="1"/>
  <c r="G18" i="10"/>
  <c r="O18" i="10" s="1"/>
  <c r="W26" i="1"/>
  <c r="G28" i="10"/>
  <c r="O28" i="10" s="1"/>
  <c r="W36" i="1"/>
  <c r="G26" i="10"/>
  <c r="O26" i="10" s="1"/>
  <c r="W34" i="1"/>
  <c r="G3" i="10"/>
  <c r="W11" i="1"/>
  <c r="G7" i="10"/>
  <c r="O7" i="10" s="1"/>
  <c r="W15" i="1"/>
  <c r="W40" i="1"/>
  <c r="G23" i="10"/>
  <c r="O23" i="10" s="1"/>
  <c r="W31" i="1"/>
  <c r="G8" i="10"/>
  <c r="O8" i="10" s="1"/>
  <c r="W16" i="1"/>
  <c r="G25" i="10"/>
  <c r="O25" i="10" s="1"/>
  <c r="W33" i="1"/>
  <c r="G22" i="10"/>
  <c r="O22" i="10" s="1"/>
  <c r="W30" i="1"/>
  <c r="G24" i="10"/>
  <c r="W32" i="1"/>
  <c r="G9" i="10"/>
  <c r="O9" i="10" s="1"/>
  <c r="G16" i="10"/>
  <c r="O16" i="10" s="1"/>
  <c r="G21" i="10"/>
  <c r="O21" i="10" s="1"/>
  <c r="G5" i="10"/>
  <c r="O5" i="10" s="1"/>
  <c r="G6" i="10"/>
  <c r="O6" i="10" s="1"/>
  <c r="G11" i="10"/>
  <c r="O11" i="10" s="1"/>
  <c r="G10" i="10"/>
  <c r="O10" i="10" s="1"/>
  <c r="G17" i="10"/>
  <c r="O17" i="10" s="1"/>
  <c r="G19" i="10"/>
  <c r="O19" i="10" s="1"/>
  <c r="G13" i="10"/>
  <c r="O13" i="10" s="1"/>
  <c r="G20" i="10"/>
  <c r="G4" i="10"/>
  <c r="O4" i="10" s="1"/>
  <c r="G12" i="10"/>
  <c r="O12" i="10" s="1"/>
  <c r="G14" i="10"/>
  <c r="O14" i="10" s="1"/>
  <c r="G30" i="10"/>
  <c r="G27" i="10"/>
  <c r="O27" i="10" s="1"/>
  <c r="U10" i="1"/>
  <c r="W10" i="1" s="1"/>
  <c r="O15" i="10"/>
  <c r="O20" i="10"/>
  <c r="K47" i="4"/>
  <c r="O43" i="4"/>
  <c r="P43" i="4" s="1"/>
  <c r="O24" i="10"/>
  <c r="W41" i="1" l="1"/>
  <c r="U41" i="1"/>
  <c r="G2" i="10"/>
  <c r="O2" i="10" s="1"/>
  <c r="O3" i="10"/>
  <c r="G47" i="1"/>
  <c r="J47" i="1" s="1"/>
  <c r="L47" i="1" s="1"/>
  <c r="L47" i="4"/>
  <c r="M47" i="4"/>
</calcChain>
</file>

<file path=xl/sharedStrings.xml><?xml version="1.0" encoding="utf-8"?>
<sst xmlns="http://schemas.openxmlformats.org/spreadsheetml/2006/main" count="123" uniqueCount="82">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</sst>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1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14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92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3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2" fontId="7" fillId="17" borderId="32" xfId="0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4" xfId="0" applyNumberFormat="1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26" fillId="17" borderId="6" xfId="0" applyFont="1" applyFill="1" applyBorder="1" applyAlignment="1">
      <alignment horizontal="center" vertical="center" wrapText="1"/>
    </xf>
    <xf numFmtId="0" fontId="7" fillId="14" borderId="48" xfId="0" applyNumberFormat="1" applyFont="1" applyFill="1" applyBorder="1" applyAlignment="1">
      <alignment horizontal="center" vertical="center"/>
    </xf>
    <xf numFmtId="0" fontId="7" fillId="19" borderId="49" xfId="0" applyFont="1" applyFill="1" applyBorder="1" applyAlignment="1">
      <alignment horizontal="center" vertical="center"/>
    </xf>
    <xf numFmtId="10" fontId="7" fillId="15" borderId="49" xfId="0" applyNumberFormat="1" applyFont="1" applyFill="1" applyBorder="1" applyAlignment="1">
      <alignment horizontal="center" vertical="center"/>
    </xf>
    <xf numFmtId="0" fontId="7" fillId="20" borderId="49" xfId="0" applyFont="1" applyFill="1" applyBorder="1" applyAlignment="1">
      <alignment horizontal="center" vertical="center"/>
    </xf>
    <xf numFmtId="0" fontId="30" fillId="20" borderId="49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0" fontId="30" fillId="18" borderId="49" xfId="0" applyFont="1" applyFill="1" applyBorder="1" applyAlignment="1">
      <alignment horizontal="center" vertical="center"/>
    </xf>
    <xf numFmtId="0" fontId="7" fillId="18" borderId="23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7" xfId="0" applyFont="1" applyFill="1" applyBorder="1" applyAlignment="1">
      <alignment horizontal="center" vertical="center"/>
    </xf>
    <xf numFmtId="0" fontId="18" fillId="16" borderId="45" xfId="0" applyFont="1" applyFill="1" applyBorder="1" applyAlignment="1">
      <alignment horizontal="center" vertical="center"/>
    </xf>
    <xf numFmtId="0" fontId="18" fillId="16" borderId="46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8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470</c:v>
                </c:pt>
                <c:pt idx="1">
                  <c:v>540</c:v>
                </c:pt>
                <c:pt idx="2">
                  <c:v>470</c:v>
                </c:pt>
                <c:pt idx="3">
                  <c:v>500</c:v>
                </c:pt>
                <c:pt idx="4">
                  <c:v>520</c:v>
                </c:pt>
                <c:pt idx="5">
                  <c:v>510</c:v>
                </c:pt>
                <c:pt idx="6">
                  <c:v>500</c:v>
                </c:pt>
                <c:pt idx="7">
                  <c:v>560</c:v>
                </c:pt>
                <c:pt idx="8">
                  <c:v>470</c:v>
                </c:pt>
                <c:pt idx="9">
                  <c:v>480</c:v>
                </c:pt>
                <c:pt idx="10">
                  <c:v>690</c:v>
                </c:pt>
                <c:pt idx="11">
                  <c:v>610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342848"/>
        <c:axId val="215110784"/>
      </c:lineChart>
      <c:dateAx>
        <c:axId val="19334284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5110784"/>
        <c:crosses val="autoZero"/>
        <c:auto val="1"/>
        <c:lblOffset val="100"/>
        <c:baseTimeUnit val="days"/>
      </c:dateAx>
      <c:valAx>
        <c:axId val="215110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34284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4015</c:v>
                </c:pt>
                <c:pt idx="1">
                  <c:v>4712</c:v>
                </c:pt>
                <c:pt idx="2">
                  <c:v>4776</c:v>
                </c:pt>
                <c:pt idx="3">
                  <c:v>5000</c:v>
                </c:pt>
                <c:pt idx="4">
                  <c:v>5560</c:v>
                </c:pt>
                <c:pt idx="5">
                  <c:v>6172</c:v>
                </c:pt>
                <c:pt idx="6">
                  <c:v>4971</c:v>
                </c:pt>
                <c:pt idx="7">
                  <c:v>5056</c:v>
                </c:pt>
                <c:pt idx="8">
                  <c:v>3627</c:v>
                </c:pt>
                <c:pt idx="9">
                  <c:v>5442</c:v>
                </c:pt>
                <c:pt idx="10">
                  <c:v>4611</c:v>
                </c:pt>
                <c:pt idx="11">
                  <c:v>4837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6238</c:v>
                </c:pt>
                <c:pt idx="1">
                  <c:v>6202</c:v>
                </c:pt>
                <c:pt idx="2">
                  <c:v>7173</c:v>
                </c:pt>
                <c:pt idx="3">
                  <c:v>7730</c:v>
                </c:pt>
                <c:pt idx="4">
                  <c:v>7043</c:v>
                </c:pt>
                <c:pt idx="5">
                  <c:v>8342</c:v>
                </c:pt>
                <c:pt idx="6">
                  <c:v>6753</c:v>
                </c:pt>
                <c:pt idx="7">
                  <c:v>7112</c:v>
                </c:pt>
                <c:pt idx="8">
                  <c:v>6695</c:v>
                </c:pt>
                <c:pt idx="9">
                  <c:v>7290</c:v>
                </c:pt>
                <c:pt idx="10">
                  <c:v>7836</c:v>
                </c:pt>
                <c:pt idx="11">
                  <c:v>8000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2808</c:v>
                </c:pt>
                <c:pt idx="1">
                  <c:v>3477</c:v>
                </c:pt>
                <c:pt idx="2">
                  <c:v>3744</c:v>
                </c:pt>
                <c:pt idx="3">
                  <c:v>3480</c:v>
                </c:pt>
                <c:pt idx="4">
                  <c:v>3700</c:v>
                </c:pt>
                <c:pt idx="5">
                  <c:v>3792</c:v>
                </c:pt>
                <c:pt idx="6">
                  <c:v>3645</c:v>
                </c:pt>
                <c:pt idx="7">
                  <c:v>3709</c:v>
                </c:pt>
                <c:pt idx="8">
                  <c:v>3616</c:v>
                </c:pt>
                <c:pt idx="9">
                  <c:v>3521</c:v>
                </c:pt>
                <c:pt idx="10">
                  <c:v>3995</c:v>
                </c:pt>
                <c:pt idx="11">
                  <c:v>3592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456000"/>
        <c:axId val="215461888"/>
      </c:lineChart>
      <c:dateAx>
        <c:axId val="21545600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5461888"/>
        <c:crosses val="autoZero"/>
        <c:auto val="1"/>
        <c:lblOffset val="100"/>
        <c:baseTimeUnit val="days"/>
      </c:dateAx>
      <c:valAx>
        <c:axId val="21546188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545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43861</c:v>
                </c:pt>
                <c:pt idx="1">
                  <c:v>43862</c:v>
                </c:pt>
                <c:pt idx="2">
                  <c:v>43863</c:v>
                </c:pt>
                <c:pt idx="3">
                  <c:v>43864</c:v>
                </c:pt>
                <c:pt idx="4">
                  <c:v>43865</c:v>
                </c:pt>
                <c:pt idx="5">
                  <c:v>43866</c:v>
                </c:pt>
                <c:pt idx="6">
                  <c:v>43867</c:v>
                </c:pt>
                <c:pt idx="7">
                  <c:v>43868</c:v>
                </c:pt>
                <c:pt idx="8">
                  <c:v>43869</c:v>
                </c:pt>
                <c:pt idx="9">
                  <c:v>43870</c:v>
                </c:pt>
                <c:pt idx="10">
                  <c:v>43871</c:v>
                </c:pt>
                <c:pt idx="11">
                  <c:v>43872</c:v>
                </c:pt>
                <c:pt idx="12">
                  <c:v>43873</c:v>
                </c:pt>
                <c:pt idx="13">
                  <c:v>43874</c:v>
                </c:pt>
                <c:pt idx="14">
                  <c:v>43875</c:v>
                </c:pt>
                <c:pt idx="15">
                  <c:v>43876</c:v>
                </c:pt>
                <c:pt idx="16">
                  <c:v>43877</c:v>
                </c:pt>
                <c:pt idx="17">
                  <c:v>43878</c:v>
                </c:pt>
                <c:pt idx="18">
                  <c:v>43879</c:v>
                </c:pt>
                <c:pt idx="19">
                  <c:v>43880</c:v>
                </c:pt>
                <c:pt idx="20">
                  <c:v>43881</c:v>
                </c:pt>
                <c:pt idx="21">
                  <c:v>43882</c:v>
                </c:pt>
                <c:pt idx="22">
                  <c:v>43883</c:v>
                </c:pt>
                <c:pt idx="23">
                  <c:v>43884</c:v>
                </c:pt>
                <c:pt idx="24">
                  <c:v>43885</c:v>
                </c:pt>
                <c:pt idx="25">
                  <c:v>43886</c:v>
                </c:pt>
                <c:pt idx="26">
                  <c:v>43887</c:v>
                </c:pt>
                <c:pt idx="27">
                  <c:v>43888</c:v>
                </c:pt>
                <c:pt idx="28">
                  <c:v>43889</c:v>
                </c:pt>
                <c:pt idx="29">
                  <c:v>43890</c:v>
                </c:pt>
                <c:pt idx="30">
                  <c:v>43891</c:v>
                </c:pt>
                <c:pt idx="31">
                  <c:v>43892</c:v>
                </c:pt>
                <c:pt idx="32">
                  <c:v>43893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1929.2</c:v>
                </c:pt>
                <c:pt idx="1">
                  <c:v>1780.8000000000002</c:v>
                </c:pt>
                <c:pt idx="2">
                  <c:v>1446.9</c:v>
                </c:pt>
                <c:pt idx="3">
                  <c:v>1558.2</c:v>
                </c:pt>
                <c:pt idx="4">
                  <c:v>556.5</c:v>
                </c:pt>
                <c:pt idx="5">
                  <c:v>408.1</c:v>
                </c:pt>
                <c:pt idx="6">
                  <c:v>519.4</c:v>
                </c:pt>
                <c:pt idx="7">
                  <c:v>779.1</c:v>
                </c:pt>
                <c:pt idx="8">
                  <c:v>704.90000000000009</c:v>
                </c:pt>
                <c:pt idx="9">
                  <c:v>519.4</c:v>
                </c:pt>
                <c:pt idx="10">
                  <c:v>519.4</c:v>
                </c:pt>
                <c:pt idx="11">
                  <c:v>853.30000000000007</c:v>
                </c:pt>
                <c:pt idx="12">
                  <c:v>1372.7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765376"/>
        <c:axId val="215766912"/>
      </c:lineChart>
      <c:dateAx>
        <c:axId val="215765376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5766912"/>
        <c:crosses val="autoZero"/>
        <c:auto val="1"/>
        <c:lblOffset val="100"/>
        <c:baseTimeUnit val="days"/>
      </c:dateAx>
      <c:valAx>
        <c:axId val="21576691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5765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A13" sqref="A13:XFD13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4" customFormat="1" ht="60.75" thickBot="1" x14ac:dyDescent="0.3">
      <c r="A1" s="105" t="s">
        <v>63</v>
      </c>
      <c r="B1" s="105" t="s">
        <v>64</v>
      </c>
      <c r="C1" s="105" t="s">
        <v>65</v>
      </c>
      <c r="D1" s="105" t="s">
        <v>66</v>
      </c>
      <c r="E1" s="106" t="s">
        <v>67</v>
      </c>
      <c r="F1" s="106" t="s">
        <v>77</v>
      </c>
      <c r="G1" s="106" t="s">
        <v>68</v>
      </c>
      <c r="H1" s="106" t="s">
        <v>69</v>
      </c>
      <c r="I1" s="107" t="s">
        <v>73</v>
      </c>
      <c r="J1" s="107" t="s">
        <v>78</v>
      </c>
      <c r="K1" s="106" t="s">
        <v>70</v>
      </c>
      <c r="L1" s="106" t="s">
        <v>79</v>
      </c>
      <c r="M1" s="106" t="s">
        <v>71</v>
      </c>
      <c r="N1" s="106" t="s">
        <v>72</v>
      </c>
      <c r="O1" s="121" t="s">
        <v>76</v>
      </c>
    </row>
    <row r="2" spans="1:15" x14ac:dyDescent="0.2">
      <c r="A2" s="109" t="s">
        <v>74</v>
      </c>
      <c r="B2">
        <v>1</v>
      </c>
      <c r="C2">
        <v>2</v>
      </c>
      <c r="D2" s="122">
        <v>2020</v>
      </c>
      <c r="E2" s="108">
        <f>'Consommation du 01.02 au 29.02'!M10</f>
        <v>13061</v>
      </c>
      <c r="F2" s="108">
        <v>1.002</v>
      </c>
      <c r="G2" s="108">
        <f>'Consommation du 01.02 au 29.02'!U10</f>
        <v>1780.8000000000002</v>
      </c>
      <c r="H2" s="108">
        <v>9.3657000000000004</v>
      </c>
      <c r="I2" s="108">
        <f>'Consommation du 01.02 au 29.02'!Y10*1000</f>
        <v>1430.000000000291</v>
      </c>
      <c r="J2" s="108">
        <v>0.53</v>
      </c>
      <c r="K2" s="108">
        <f>'Consommation du 01.02 au 29.02'!D10</f>
        <v>470</v>
      </c>
      <c r="L2" s="108">
        <v>12.67</v>
      </c>
      <c r="M2" s="122">
        <f>'Consommation du 01.02 au 29.02'!AC10</f>
        <v>128</v>
      </c>
      <c r="N2" s="122">
        <v>245</v>
      </c>
      <c r="O2" s="108">
        <f>E2*F2+G2*H2+I2*J2+K2*L2</f>
        <v>36478.360560000154</v>
      </c>
    </row>
    <row r="3" spans="1:15" x14ac:dyDescent="0.2">
      <c r="A3" s="109" t="s">
        <v>74</v>
      </c>
      <c r="B3">
        <f>B2+1</f>
        <v>2</v>
      </c>
      <c r="C3">
        <v>2</v>
      </c>
      <c r="D3" s="122">
        <v>2020</v>
      </c>
      <c r="E3" s="108">
        <f>'Consommation du 01.02 au 29.02'!M11</f>
        <v>14391</v>
      </c>
      <c r="F3" s="108">
        <v>1.002</v>
      </c>
      <c r="G3" s="108">
        <f>'Consommation du 01.02 au 29.02'!U11</f>
        <v>1446.9</v>
      </c>
      <c r="H3" s="108">
        <v>9.3657000000000004</v>
      </c>
      <c r="I3" s="108">
        <f>'Consommation du 01.02 au 29.02'!Y11*1000</f>
        <v>11110.000000000582</v>
      </c>
      <c r="J3" s="108">
        <v>0.53</v>
      </c>
      <c r="K3" s="108">
        <f>'Consommation du 01.02 au 29.02'!D11</f>
        <v>540</v>
      </c>
      <c r="L3" s="108">
        <v>12.67</v>
      </c>
      <c r="M3" s="122">
        <f>'Consommation du 01.02 au 29.02'!AC11</f>
        <v>126</v>
      </c>
      <c r="N3" s="122">
        <v>250</v>
      </c>
      <c r="O3" s="108">
        <f t="shared" ref="O3:O29" si="0">E3*F3+G3*H3+I3*J3+K3*L3</f>
        <v>40701.113330000313</v>
      </c>
    </row>
    <row r="4" spans="1:15" x14ac:dyDescent="0.2">
      <c r="A4" s="109" t="s">
        <v>74</v>
      </c>
      <c r="B4">
        <f t="shared" ref="B4:B30" si="1">B3+1</f>
        <v>3</v>
      </c>
      <c r="C4">
        <v>2</v>
      </c>
      <c r="D4" s="122">
        <v>2020</v>
      </c>
      <c r="E4" s="108">
        <f>'Consommation du 01.02 au 29.02'!M12</f>
        <v>15693</v>
      </c>
      <c r="F4" s="108">
        <v>1.002</v>
      </c>
      <c r="G4" s="108">
        <f>'Consommation du 01.02 au 29.02'!U12</f>
        <v>1558.2</v>
      </c>
      <c r="H4" s="108">
        <v>9.3657000000000004</v>
      </c>
      <c r="I4" s="108">
        <f>'Consommation du 01.02 au 29.02'!Y12*1000</f>
        <v>14880.000000001019</v>
      </c>
      <c r="J4" s="108">
        <v>0.53</v>
      </c>
      <c r="K4" s="108">
        <f>'Consommation du 01.02 au 29.02'!D12</f>
        <v>470</v>
      </c>
      <c r="L4" s="108">
        <v>12.67</v>
      </c>
      <c r="M4" s="122">
        <f>'Consommation du 01.02 au 29.02'!AC12</f>
        <v>129</v>
      </c>
      <c r="N4" s="122">
        <v>243</v>
      </c>
      <c r="O4" s="108">
        <f t="shared" si="0"/>
        <v>44159.319740000545</v>
      </c>
    </row>
    <row r="5" spans="1:15" x14ac:dyDescent="0.2">
      <c r="A5" s="109" t="s">
        <v>74</v>
      </c>
      <c r="B5">
        <f t="shared" si="1"/>
        <v>4</v>
      </c>
      <c r="C5">
        <v>2</v>
      </c>
      <c r="D5" s="122">
        <v>2020</v>
      </c>
      <c r="E5" s="108">
        <f>'Consommation du 01.02 au 29.02'!M13</f>
        <v>16210</v>
      </c>
      <c r="F5" s="108">
        <v>1.002</v>
      </c>
      <c r="G5" s="108">
        <f>'Consommation du 01.02 au 29.02'!U13</f>
        <v>556.5</v>
      </c>
      <c r="H5" s="108">
        <v>9.3657000000000004</v>
      </c>
      <c r="I5" s="108">
        <f>'Consommation du 01.02 au 29.02'!Y13*1000</f>
        <v>17569.999999999709</v>
      </c>
      <c r="J5" s="108">
        <v>0.53</v>
      </c>
      <c r="K5" s="108">
        <f>'Consommation du 01.02 au 29.02'!D13</f>
        <v>500</v>
      </c>
      <c r="L5" s="108">
        <v>12.67</v>
      </c>
      <c r="M5" s="122">
        <f>'Consommation du 01.02 au 29.02'!AC13</f>
        <v>111</v>
      </c>
      <c r="N5" s="122">
        <v>210</v>
      </c>
      <c r="O5" s="108">
        <f t="shared" si="0"/>
        <v>37101.532049999849</v>
      </c>
    </row>
    <row r="6" spans="1:15" x14ac:dyDescent="0.2">
      <c r="A6" s="109" t="s">
        <v>74</v>
      </c>
      <c r="B6">
        <f t="shared" si="1"/>
        <v>5</v>
      </c>
      <c r="C6">
        <v>2</v>
      </c>
      <c r="D6" s="122">
        <v>2020</v>
      </c>
      <c r="E6" s="108">
        <f>'Consommation du 01.02 au 29.02'!M14</f>
        <v>16303</v>
      </c>
      <c r="F6" s="108">
        <v>1.002</v>
      </c>
      <c r="G6" s="108">
        <f>'Consommation du 01.02 au 29.02'!U14</f>
        <v>408.1</v>
      </c>
      <c r="H6" s="108">
        <v>9.3657000000000004</v>
      </c>
      <c r="I6" s="108">
        <f>'Consommation du 01.02 au 29.02'!Y14*1000</f>
        <v>17349.999999998545</v>
      </c>
      <c r="J6" s="108">
        <v>0.53</v>
      </c>
      <c r="K6" s="108">
        <f>'Consommation du 01.02 au 29.02'!D14</f>
        <v>520</v>
      </c>
      <c r="L6" s="108">
        <v>12.67</v>
      </c>
      <c r="M6" s="122">
        <f>'Consommation du 01.02 au 29.02'!AC14</f>
        <v>111</v>
      </c>
      <c r="N6" s="122">
        <v>205</v>
      </c>
      <c r="O6" s="108">
        <f t="shared" si="0"/>
        <v>35941.648169999229</v>
      </c>
    </row>
    <row r="7" spans="1:15" x14ac:dyDescent="0.2">
      <c r="A7" s="109" t="s">
        <v>74</v>
      </c>
      <c r="B7">
        <f t="shared" si="1"/>
        <v>6</v>
      </c>
      <c r="C7">
        <v>2</v>
      </c>
      <c r="D7" s="122">
        <v>2020</v>
      </c>
      <c r="E7" s="108">
        <f>'Consommation du 01.02 au 29.02'!M15</f>
        <v>18306</v>
      </c>
      <c r="F7" s="108">
        <v>1.002</v>
      </c>
      <c r="G7" s="108">
        <f>'Consommation du 01.02 au 29.02'!U15</f>
        <v>519.4</v>
      </c>
      <c r="H7" s="108">
        <v>9.3657000000000004</v>
      </c>
      <c r="I7" s="108">
        <f>'Consommation du 01.02 au 29.02'!Y15*1000</f>
        <v>17500</v>
      </c>
      <c r="J7" s="108">
        <v>0.53</v>
      </c>
      <c r="K7" s="108">
        <f>'Consommation du 01.02 au 29.02'!D15</f>
        <v>510</v>
      </c>
      <c r="L7" s="108">
        <v>12.67</v>
      </c>
      <c r="M7" s="122">
        <f>'Consommation du 01.02 au 29.02'!AC15</f>
        <v>103</v>
      </c>
      <c r="N7" s="122">
        <v>201</v>
      </c>
      <c r="O7" s="108">
        <f t="shared" si="0"/>
        <v>38943.85658</v>
      </c>
    </row>
    <row r="8" spans="1:15" x14ac:dyDescent="0.2">
      <c r="A8" s="109" t="s">
        <v>74</v>
      </c>
      <c r="B8">
        <f t="shared" si="1"/>
        <v>7</v>
      </c>
      <c r="C8">
        <v>2</v>
      </c>
      <c r="D8" s="122">
        <v>2020</v>
      </c>
      <c r="E8" s="108">
        <f>'Consommation du 01.02 au 29.02'!M16</f>
        <v>15369</v>
      </c>
      <c r="F8" s="108">
        <v>1.002</v>
      </c>
      <c r="G8" s="108">
        <f>'Consommation du 01.02 au 29.02'!U16</f>
        <v>779.1</v>
      </c>
      <c r="H8" s="108">
        <v>9.3657000000000004</v>
      </c>
      <c r="I8" s="108">
        <f>'Consommation du 01.02 au 29.02'!Y16*1000</f>
        <v>14690.000000002328</v>
      </c>
      <c r="J8" s="108">
        <v>0.53</v>
      </c>
      <c r="K8" s="108">
        <f>'Consommation du 01.02 au 29.02'!D16</f>
        <v>500</v>
      </c>
      <c r="L8" s="108">
        <v>12.67</v>
      </c>
      <c r="M8" s="122">
        <f>'Consommation du 01.02 au 29.02'!AC16</f>
        <v>114</v>
      </c>
      <c r="N8" s="122">
        <v>224</v>
      </c>
      <c r="O8" s="108">
        <f t="shared" si="0"/>
        <v>36817.254870001234</v>
      </c>
    </row>
    <row r="9" spans="1:15" x14ac:dyDescent="0.2">
      <c r="A9" s="109" t="s">
        <v>74</v>
      </c>
      <c r="B9">
        <f t="shared" si="1"/>
        <v>8</v>
      </c>
      <c r="C9">
        <v>2</v>
      </c>
      <c r="D9" s="122">
        <v>2020</v>
      </c>
      <c r="E9" s="108">
        <f>'Consommation du 01.02 au 29.02'!M17</f>
        <v>15877</v>
      </c>
      <c r="F9" s="108">
        <v>1.002</v>
      </c>
      <c r="G9" s="108">
        <f>'Consommation du 01.02 au 29.02'!U17</f>
        <v>704.90000000000009</v>
      </c>
      <c r="H9" s="108">
        <v>9.3657000000000004</v>
      </c>
      <c r="I9" s="108">
        <f>'Consommation du 01.02 au 29.02'!Y17*1000</f>
        <v>16399.999999997817</v>
      </c>
      <c r="J9" s="108">
        <v>0.53</v>
      </c>
      <c r="K9" s="108">
        <f>'Consommation du 01.02 au 29.02'!D17</f>
        <v>560</v>
      </c>
      <c r="L9" s="108">
        <v>12.67</v>
      </c>
      <c r="M9" s="122">
        <f>'Consommation du 01.02 au 29.02'!AC17</f>
        <v>101</v>
      </c>
      <c r="N9" s="122">
        <v>196</v>
      </c>
      <c r="O9" s="108">
        <f t="shared" si="0"/>
        <v>38297.835929998844</v>
      </c>
    </row>
    <row r="10" spans="1:15" x14ac:dyDescent="0.2">
      <c r="A10" s="109" t="s">
        <v>74</v>
      </c>
      <c r="B10">
        <f t="shared" si="1"/>
        <v>9</v>
      </c>
      <c r="C10">
        <v>2</v>
      </c>
      <c r="D10" s="122">
        <v>2020</v>
      </c>
      <c r="E10" s="108">
        <f>'Consommation du 01.02 au 29.02'!M18</f>
        <v>13938</v>
      </c>
      <c r="F10" s="108">
        <v>1.002</v>
      </c>
      <c r="G10" s="108">
        <f>'Consommation du 01.02 au 29.02'!U18</f>
        <v>519.4</v>
      </c>
      <c r="H10" s="108">
        <v>9.3657000000000004</v>
      </c>
      <c r="I10" s="108">
        <f>'Consommation du 01.02 au 29.02'!Y18*1000</f>
        <v>17250</v>
      </c>
      <c r="J10" s="108">
        <v>0.53</v>
      </c>
      <c r="K10" s="108">
        <f>'Consommation du 01.02 au 29.02'!D18</f>
        <v>470</v>
      </c>
      <c r="L10" s="108">
        <v>12.67</v>
      </c>
      <c r="M10" s="122">
        <f>'Consommation du 01.02 au 29.02'!AC18</f>
        <v>91</v>
      </c>
      <c r="N10" s="122">
        <v>184</v>
      </c>
      <c r="O10" s="108">
        <f t="shared" si="0"/>
        <v>33927.82058</v>
      </c>
    </row>
    <row r="11" spans="1:15" x14ac:dyDescent="0.2">
      <c r="A11" s="109" t="s">
        <v>74</v>
      </c>
      <c r="B11">
        <f t="shared" si="1"/>
        <v>10</v>
      </c>
      <c r="C11">
        <v>2</v>
      </c>
      <c r="D11" s="122">
        <v>2020</v>
      </c>
      <c r="E11" s="108">
        <f>'Consommation du 01.02 au 29.02'!M19</f>
        <v>16253</v>
      </c>
      <c r="F11" s="108">
        <v>1.002</v>
      </c>
      <c r="G11" s="108">
        <f>'Consommation du 01.02 au 29.02'!U19</f>
        <v>519.4</v>
      </c>
      <c r="H11" s="108">
        <v>9.3657000000000004</v>
      </c>
      <c r="I11" s="108">
        <f>'Consommation du 01.02 au 29.02'!Y19*1000</f>
        <v>16710.000000002765</v>
      </c>
      <c r="J11" s="108">
        <v>0.53</v>
      </c>
      <c r="K11" s="108">
        <f>'Consommation du 01.02 au 29.02'!D19</f>
        <v>480</v>
      </c>
      <c r="L11" s="108">
        <v>12.67</v>
      </c>
      <c r="M11" s="122">
        <f>'Consommation du 01.02 au 29.02'!AC19</f>
        <v>87</v>
      </c>
      <c r="N11" s="122">
        <v>178</v>
      </c>
      <c r="O11" s="108">
        <f t="shared" si="0"/>
        <v>36087.950580001467</v>
      </c>
    </row>
    <row r="12" spans="1:15" x14ac:dyDescent="0.2">
      <c r="A12" s="109" t="s">
        <v>74</v>
      </c>
      <c r="B12">
        <f t="shared" si="1"/>
        <v>11</v>
      </c>
      <c r="C12">
        <v>2</v>
      </c>
      <c r="D12" s="122">
        <v>2020</v>
      </c>
      <c r="E12" s="108">
        <f>'Consommation du 01.02 au 29.02'!M20</f>
        <v>16442</v>
      </c>
      <c r="F12" s="108">
        <v>1.002</v>
      </c>
      <c r="G12" s="108">
        <f>'Consommation du 01.02 au 29.02'!U20</f>
        <v>853.30000000000007</v>
      </c>
      <c r="H12" s="108">
        <v>9.3657000000000004</v>
      </c>
      <c r="I12" s="108">
        <f>'Consommation du 01.02 au 29.02'!Y20*1000</f>
        <v>14319.999999999709</v>
      </c>
      <c r="J12" s="108">
        <v>0.53</v>
      </c>
      <c r="K12" s="108">
        <f>'Consommation du 01.02 au 29.02'!D20</f>
        <v>690</v>
      </c>
      <c r="L12" s="108">
        <v>12.67</v>
      </c>
      <c r="M12" s="122">
        <f>'Consommation du 01.02 au 29.02'!AC20</f>
        <v>76</v>
      </c>
      <c r="N12" s="122">
        <v>160</v>
      </c>
      <c r="O12" s="108">
        <f t="shared" si="0"/>
        <v>40798.535809999848</v>
      </c>
    </row>
    <row r="13" spans="1:15" x14ac:dyDescent="0.2">
      <c r="A13" s="109" t="s">
        <v>74</v>
      </c>
      <c r="B13">
        <f t="shared" si="1"/>
        <v>12</v>
      </c>
      <c r="C13">
        <v>2</v>
      </c>
      <c r="D13" s="122">
        <v>2020</v>
      </c>
      <c r="E13" s="108">
        <f>'Consommation du 01.02 au 29.02'!M21</f>
        <v>16429</v>
      </c>
      <c r="F13" s="108">
        <v>1.002</v>
      </c>
      <c r="G13" s="108">
        <f>'Consommation du 01.02 au 29.02'!U21</f>
        <v>1372.7</v>
      </c>
      <c r="H13" s="108">
        <v>9.3657000000000004</v>
      </c>
      <c r="I13" s="108">
        <f>'Consommation du 01.02 au 29.02'!Y21*1000</f>
        <v>13610.000000000582</v>
      </c>
      <c r="J13" s="108">
        <v>0.53</v>
      </c>
      <c r="K13" s="108">
        <f>'Consommation du 01.02 au 29.02'!D21</f>
        <v>610</v>
      </c>
      <c r="L13" s="108">
        <v>12.67</v>
      </c>
      <c r="M13" s="122">
        <f>'Consommation du 01.02 au 29.02'!AC21</f>
        <v>83</v>
      </c>
      <c r="N13" s="122">
        <v>175</v>
      </c>
      <c r="O13" s="108">
        <f t="shared" si="0"/>
        <v>44260.154390000309</v>
      </c>
    </row>
    <row r="14" spans="1:15" x14ac:dyDescent="0.2">
      <c r="A14" s="109" t="s">
        <v>74</v>
      </c>
      <c r="B14">
        <f t="shared" si="1"/>
        <v>13</v>
      </c>
      <c r="C14">
        <v>2</v>
      </c>
      <c r="D14" s="122">
        <v>2020</v>
      </c>
      <c r="E14" s="108">
        <f>'Consommation du 01.02 au 29.02'!M22</f>
        <v>0</v>
      </c>
      <c r="F14" s="108">
        <v>1.002</v>
      </c>
      <c r="G14" s="108">
        <f>'Consommation du 01.02 au 29.02'!U22</f>
        <v>0</v>
      </c>
      <c r="H14" s="108">
        <v>9.3657000000000004</v>
      </c>
      <c r="I14" s="108">
        <f>'Consommation du 01.02 au 29.02'!Y22*1000</f>
        <v>0</v>
      </c>
      <c r="J14" s="108">
        <v>0.53</v>
      </c>
      <c r="K14" s="108">
        <f>'Consommation du 01.02 au 29.02'!D22</f>
        <v>0</v>
      </c>
      <c r="L14" s="108">
        <v>12.67</v>
      </c>
      <c r="M14" s="122">
        <f>'Consommation du 01.02 au 29.02'!AC22</f>
        <v>0</v>
      </c>
      <c r="N14" s="122"/>
      <c r="O14" s="108">
        <f t="shared" si="0"/>
        <v>0</v>
      </c>
    </row>
    <row r="15" spans="1:15" x14ac:dyDescent="0.2">
      <c r="A15" s="109" t="s">
        <v>74</v>
      </c>
      <c r="B15">
        <f t="shared" si="1"/>
        <v>14</v>
      </c>
      <c r="C15">
        <v>2</v>
      </c>
      <c r="D15" s="122">
        <v>2020</v>
      </c>
      <c r="E15" s="108">
        <f>'Consommation du 01.02 au 29.02'!M23</f>
        <v>0</v>
      </c>
      <c r="F15" s="108">
        <v>1.002</v>
      </c>
      <c r="G15" s="108">
        <f>'Consommation du 01.02 au 29.02'!U23</f>
        <v>0</v>
      </c>
      <c r="H15" s="108">
        <v>9.3657000000000004</v>
      </c>
      <c r="I15" s="108">
        <f>'Consommation du 01.02 au 29.02'!Y23*1000</f>
        <v>0</v>
      </c>
      <c r="J15" s="108">
        <v>0.53</v>
      </c>
      <c r="K15" s="108">
        <f>'Consommation du 01.02 au 29.02'!D23</f>
        <v>0</v>
      </c>
      <c r="L15" s="108">
        <v>12.67</v>
      </c>
      <c r="M15" s="122">
        <f>'Consommation du 01.02 au 29.02'!AC23</f>
        <v>0</v>
      </c>
      <c r="N15" s="122"/>
      <c r="O15" s="108">
        <f t="shared" si="0"/>
        <v>0</v>
      </c>
    </row>
    <row r="16" spans="1:15" ht="13.5" customHeight="1" x14ac:dyDescent="0.2">
      <c r="A16" s="109" t="s">
        <v>74</v>
      </c>
      <c r="B16">
        <f t="shared" si="1"/>
        <v>15</v>
      </c>
      <c r="C16">
        <v>2</v>
      </c>
      <c r="D16" s="122">
        <v>2020</v>
      </c>
      <c r="E16" s="108">
        <f>'Consommation du 01.02 au 29.02'!M24</f>
        <v>0</v>
      </c>
      <c r="F16" s="108">
        <v>1.002</v>
      </c>
      <c r="G16" s="108">
        <f>'Consommation du 01.02 au 29.02'!U24</f>
        <v>0</v>
      </c>
      <c r="H16" s="108">
        <v>9.3657000000000004</v>
      </c>
      <c r="I16" s="108">
        <f>'Consommation du 01.02 au 29.02'!Y24*1000</f>
        <v>0</v>
      </c>
      <c r="J16" s="108">
        <v>0.53</v>
      </c>
      <c r="K16" s="108">
        <f>'Consommation du 01.02 au 29.02'!D24</f>
        <v>0</v>
      </c>
      <c r="L16" s="108">
        <v>12.67</v>
      </c>
      <c r="M16" s="122">
        <f>'Consommation du 01.02 au 29.02'!AC24</f>
        <v>0</v>
      </c>
      <c r="N16" s="122"/>
      <c r="O16" s="108">
        <f t="shared" si="0"/>
        <v>0</v>
      </c>
    </row>
    <row r="17" spans="1:15" x14ac:dyDescent="0.2">
      <c r="A17" s="109" t="s">
        <v>74</v>
      </c>
      <c r="B17">
        <f t="shared" si="1"/>
        <v>16</v>
      </c>
      <c r="C17">
        <v>2</v>
      </c>
      <c r="D17" s="122">
        <v>2020</v>
      </c>
      <c r="E17" s="108">
        <f>'Consommation du 01.02 au 29.02'!M25</f>
        <v>0</v>
      </c>
      <c r="F17" s="108">
        <v>1.002</v>
      </c>
      <c r="G17" s="108">
        <f>'Consommation du 01.02 au 29.02'!U25</f>
        <v>0</v>
      </c>
      <c r="H17" s="108">
        <v>9.3657000000000004</v>
      </c>
      <c r="I17" s="108">
        <f>'Consommation du 01.02 au 29.02'!Y25*1000</f>
        <v>0</v>
      </c>
      <c r="J17" s="108">
        <v>0.53</v>
      </c>
      <c r="K17" s="108">
        <f>'Consommation du 01.02 au 29.02'!D25</f>
        <v>0</v>
      </c>
      <c r="L17" s="108">
        <v>12.67</v>
      </c>
      <c r="M17" s="122">
        <f>'Consommation du 01.02 au 29.02'!AC25</f>
        <v>0</v>
      </c>
      <c r="N17" s="122"/>
      <c r="O17" s="108">
        <f t="shared" si="0"/>
        <v>0</v>
      </c>
    </row>
    <row r="18" spans="1:15" x14ac:dyDescent="0.2">
      <c r="A18" s="109" t="s">
        <v>74</v>
      </c>
      <c r="B18">
        <f t="shared" si="1"/>
        <v>17</v>
      </c>
      <c r="C18">
        <v>2</v>
      </c>
      <c r="D18" s="122">
        <v>2020</v>
      </c>
      <c r="E18" s="108">
        <f>'Consommation du 01.02 au 29.02'!M26</f>
        <v>0</v>
      </c>
      <c r="F18" s="108">
        <v>1.002</v>
      </c>
      <c r="G18" s="108">
        <f>'Consommation du 01.02 au 29.02'!U26</f>
        <v>0</v>
      </c>
      <c r="H18" s="108">
        <v>9.3657000000000004</v>
      </c>
      <c r="I18" s="108">
        <f>'Consommation du 01.02 au 29.02'!Y26*1000</f>
        <v>0</v>
      </c>
      <c r="J18" s="108">
        <v>0.53</v>
      </c>
      <c r="K18" s="108">
        <f>'Consommation du 01.02 au 29.02'!D26</f>
        <v>0</v>
      </c>
      <c r="L18" s="108">
        <v>12.67</v>
      </c>
      <c r="M18" s="122">
        <f>'Consommation du 01.02 au 29.02'!AC26</f>
        <v>0</v>
      </c>
      <c r="N18" s="122"/>
      <c r="O18" s="108">
        <f t="shared" si="0"/>
        <v>0</v>
      </c>
    </row>
    <row r="19" spans="1:15" x14ac:dyDescent="0.2">
      <c r="A19" s="109" t="s">
        <v>74</v>
      </c>
      <c r="B19">
        <f t="shared" si="1"/>
        <v>18</v>
      </c>
      <c r="C19">
        <v>2</v>
      </c>
      <c r="D19" s="122">
        <v>2020</v>
      </c>
      <c r="E19" s="108">
        <f>'Consommation du 01.02 au 29.02'!M27</f>
        <v>0</v>
      </c>
      <c r="F19" s="108">
        <v>1.002</v>
      </c>
      <c r="G19" s="108">
        <f>'Consommation du 01.02 au 29.02'!U27</f>
        <v>0</v>
      </c>
      <c r="H19" s="108">
        <v>9.3657000000000004</v>
      </c>
      <c r="I19" s="108">
        <f>'Consommation du 01.02 au 29.02'!Y27*1000</f>
        <v>0</v>
      </c>
      <c r="J19" s="108">
        <v>0.53</v>
      </c>
      <c r="K19" s="108">
        <f>'Consommation du 01.02 au 29.02'!D27</f>
        <v>0</v>
      </c>
      <c r="L19" s="108">
        <v>12.67</v>
      </c>
      <c r="M19" s="122">
        <f>'Consommation du 01.02 au 29.02'!AC27</f>
        <v>0</v>
      </c>
      <c r="N19" s="122"/>
      <c r="O19" s="108">
        <f t="shared" si="0"/>
        <v>0</v>
      </c>
    </row>
    <row r="20" spans="1:15" x14ac:dyDescent="0.2">
      <c r="A20" s="109" t="s">
        <v>74</v>
      </c>
      <c r="B20">
        <f t="shared" si="1"/>
        <v>19</v>
      </c>
      <c r="C20">
        <v>2</v>
      </c>
      <c r="D20" s="122">
        <v>2020</v>
      </c>
      <c r="E20" s="108">
        <f>'Consommation du 01.02 au 29.02'!M28</f>
        <v>0</v>
      </c>
      <c r="F20" s="108">
        <v>1.002</v>
      </c>
      <c r="G20" s="108">
        <f>'Consommation du 01.02 au 29.02'!U28</f>
        <v>0</v>
      </c>
      <c r="H20" s="108">
        <v>9.3657000000000004</v>
      </c>
      <c r="I20" s="108">
        <f>'Consommation du 01.02 au 29.02'!Y28*1000</f>
        <v>0</v>
      </c>
      <c r="J20" s="108">
        <v>0.53</v>
      </c>
      <c r="K20" s="108">
        <f>'Consommation du 01.02 au 29.02'!D28</f>
        <v>0</v>
      </c>
      <c r="L20" s="108">
        <v>12.67</v>
      </c>
      <c r="M20" s="122">
        <f>'Consommation du 01.02 au 29.02'!AC28</f>
        <v>0</v>
      </c>
      <c r="N20" s="122"/>
      <c r="O20" s="108">
        <f t="shared" si="0"/>
        <v>0</v>
      </c>
    </row>
    <row r="21" spans="1:15" x14ac:dyDescent="0.2">
      <c r="A21" s="109" t="s">
        <v>74</v>
      </c>
      <c r="B21">
        <f t="shared" si="1"/>
        <v>20</v>
      </c>
      <c r="C21">
        <v>2</v>
      </c>
      <c r="D21" s="122">
        <v>2020</v>
      </c>
      <c r="E21" s="108">
        <f>'Consommation du 01.02 au 29.02'!M29</f>
        <v>0</v>
      </c>
      <c r="F21" s="108">
        <v>1.002</v>
      </c>
      <c r="G21" s="108">
        <f>'Consommation du 01.02 au 29.02'!U29</f>
        <v>0</v>
      </c>
      <c r="H21" s="108">
        <v>9.3657000000000004</v>
      </c>
      <c r="I21" s="108">
        <f>'Consommation du 01.02 au 29.02'!Y29*1000</f>
        <v>0</v>
      </c>
      <c r="J21" s="108">
        <v>0.53</v>
      </c>
      <c r="K21" s="108">
        <f>'Consommation du 01.02 au 29.02'!D29</f>
        <v>0</v>
      </c>
      <c r="L21" s="108">
        <v>12.67</v>
      </c>
      <c r="M21" s="122">
        <f>'Consommation du 01.02 au 29.02'!AC29</f>
        <v>0</v>
      </c>
      <c r="N21" s="122"/>
      <c r="O21" s="108">
        <f t="shared" si="0"/>
        <v>0</v>
      </c>
    </row>
    <row r="22" spans="1:15" x14ac:dyDescent="0.2">
      <c r="A22" s="109" t="s">
        <v>74</v>
      </c>
      <c r="B22">
        <f t="shared" si="1"/>
        <v>21</v>
      </c>
      <c r="C22">
        <v>2</v>
      </c>
      <c r="D22" s="122">
        <v>2020</v>
      </c>
      <c r="E22" s="108">
        <f>'Consommation du 01.02 au 29.02'!M30</f>
        <v>0</v>
      </c>
      <c r="F22" s="108">
        <v>1.002</v>
      </c>
      <c r="G22" s="108">
        <f>'Consommation du 01.02 au 29.02'!U30</f>
        <v>0</v>
      </c>
      <c r="H22" s="108">
        <v>9.3657000000000004</v>
      </c>
      <c r="I22" s="108">
        <f>'Consommation du 01.02 au 29.02'!Y30*1000</f>
        <v>0</v>
      </c>
      <c r="J22" s="108">
        <v>0.53</v>
      </c>
      <c r="K22" s="108">
        <f>'Consommation du 01.02 au 29.02'!D30</f>
        <v>0</v>
      </c>
      <c r="L22" s="108">
        <v>12.67</v>
      </c>
      <c r="M22" s="122">
        <f>'Consommation du 01.02 au 29.02'!AC30</f>
        <v>0</v>
      </c>
      <c r="N22" s="122"/>
      <c r="O22" s="108">
        <f t="shared" si="0"/>
        <v>0</v>
      </c>
    </row>
    <row r="23" spans="1:15" x14ac:dyDescent="0.2">
      <c r="A23" s="109" t="s">
        <v>74</v>
      </c>
      <c r="B23">
        <f t="shared" si="1"/>
        <v>22</v>
      </c>
      <c r="C23">
        <v>2</v>
      </c>
      <c r="D23" s="122">
        <v>2020</v>
      </c>
      <c r="E23" s="108">
        <f>'Consommation du 01.02 au 29.02'!M31</f>
        <v>0</v>
      </c>
      <c r="F23" s="108">
        <v>1.002</v>
      </c>
      <c r="G23" s="108">
        <f>'Consommation du 01.02 au 29.02'!U31</f>
        <v>0</v>
      </c>
      <c r="H23" s="108">
        <v>9.3657000000000004</v>
      </c>
      <c r="I23" s="108">
        <f>'Consommation du 01.02 au 29.02'!Y31*1000</f>
        <v>0</v>
      </c>
      <c r="J23" s="108">
        <v>0.53</v>
      </c>
      <c r="K23" s="108">
        <f>'Consommation du 01.02 au 29.02'!D31</f>
        <v>0</v>
      </c>
      <c r="L23" s="108">
        <v>12.67</v>
      </c>
      <c r="M23" s="122">
        <f>'Consommation du 01.02 au 29.02'!AC31</f>
        <v>0</v>
      </c>
      <c r="N23" s="122"/>
      <c r="O23" s="108">
        <f t="shared" si="0"/>
        <v>0</v>
      </c>
    </row>
    <row r="24" spans="1:15" x14ac:dyDescent="0.2">
      <c r="A24" s="109" t="s">
        <v>74</v>
      </c>
      <c r="B24">
        <f t="shared" si="1"/>
        <v>23</v>
      </c>
      <c r="C24">
        <v>2</v>
      </c>
      <c r="D24" s="122">
        <v>2020</v>
      </c>
      <c r="E24" s="108">
        <f>'Consommation du 01.02 au 29.02'!M32</f>
        <v>0</v>
      </c>
      <c r="F24" s="108">
        <v>1.002</v>
      </c>
      <c r="G24" s="108">
        <f>'Consommation du 01.02 au 29.02'!U32</f>
        <v>0</v>
      </c>
      <c r="H24" s="108">
        <v>9.3657000000000004</v>
      </c>
      <c r="I24" s="108">
        <f>'Consommation du 01.02 au 29.02'!Y32*1000</f>
        <v>0</v>
      </c>
      <c r="J24" s="108">
        <v>0.53</v>
      </c>
      <c r="K24" s="108">
        <f>'Consommation du 01.02 au 29.02'!D32</f>
        <v>0</v>
      </c>
      <c r="L24" s="108">
        <v>12.67</v>
      </c>
      <c r="M24" s="122">
        <f>'Consommation du 01.02 au 29.02'!AC32</f>
        <v>0</v>
      </c>
      <c r="N24" s="122"/>
      <c r="O24" s="108">
        <f t="shared" si="0"/>
        <v>0</v>
      </c>
    </row>
    <row r="25" spans="1:15" x14ac:dyDescent="0.2">
      <c r="A25" s="109" t="s">
        <v>74</v>
      </c>
      <c r="B25">
        <f t="shared" si="1"/>
        <v>24</v>
      </c>
      <c r="C25">
        <v>2</v>
      </c>
      <c r="D25" s="122">
        <v>2020</v>
      </c>
      <c r="E25" s="108">
        <f>'Consommation du 01.02 au 29.02'!M33</f>
        <v>0</v>
      </c>
      <c r="F25" s="108">
        <v>1.002</v>
      </c>
      <c r="G25" s="108">
        <f>'Consommation du 01.02 au 29.02'!U33</f>
        <v>0</v>
      </c>
      <c r="H25" s="108">
        <v>9.3657000000000004</v>
      </c>
      <c r="I25" s="108">
        <f>'Consommation du 01.02 au 29.02'!Y33*1000</f>
        <v>0</v>
      </c>
      <c r="J25" s="108">
        <v>0.53</v>
      </c>
      <c r="K25" s="108">
        <f>'Consommation du 01.02 au 29.02'!D33</f>
        <v>0</v>
      </c>
      <c r="L25" s="108">
        <v>12.67</v>
      </c>
      <c r="M25" s="122">
        <f>'Consommation du 01.02 au 29.02'!AC33</f>
        <v>0</v>
      </c>
      <c r="N25" s="122"/>
      <c r="O25" s="108">
        <f t="shared" si="0"/>
        <v>0</v>
      </c>
    </row>
    <row r="26" spans="1:15" x14ac:dyDescent="0.2">
      <c r="A26" s="109" t="s">
        <v>74</v>
      </c>
      <c r="B26">
        <f>B25+1</f>
        <v>25</v>
      </c>
      <c r="C26">
        <v>2</v>
      </c>
      <c r="D26" s="122">
        <v>2020</v>
      </c>
      <c r="E26" s="108">
        <f>'Consommation du 01.02 au 29.02'!M34</f>
        <v>0</v>
      </c>
      <c r="F26" s="108">
        <v>1.002</v>
      </c>
      <c r="G26" s="108">
        <f>'Consommation du 01.02 au 29.02'!U34</f>
        <v>0</v>
      </c>
      <c r="H26" s="108">
        <v>9.3657000000000004</v>
      </c>
      <c r="I26" s="108">
        <f>'Consommation du 01.02 au 29.02'!Y34*1000</f>
        <v>0</v>
      </c>
      <c r="J26" s="108">
        <v>0.53</v>
      </c>
      <c r="K26" s="108">
        <f>'Consommation du 01.02 au 29.02'!D34</f>
        <v>0</v>
      </c>
      <c r="L26" s="108">
        <v>12.67</v>
      </c>
      <c r="M26" s="122">
        <f>'Consommation du 01.02 au 29.02'!AC34</f>
        <v>0</v>
      </c>
      <c r="N26" s="122"/>
      <c r="O26" s="108">
        <f t="shared" si="0"/>
        <v>0</v>
      </c>
    </row>
    <row r="27" spans="1:15" x14ac:dyDescent="0.2">
      <c r="A27" s="109" t="s">
        <v>74</v>
      </c>
      <c r="B27">
        <f t="shared" si="1"/>
        <v>26</v>
      </c>
      <c r="C27">
        <v>2</v>
      </c>
      <c r="D27" s="122">
        <v>2020</v>
      </c>
      <c r="E27" s="108">
        <f>'Consommation du 01.02 au 29.02'!M35</f>
        <v>0</v>
      </c>
      <c r="F27" s="108">
        <v>1.002</v>
      </c>
      <c r="G27" s="108">
        <f>'Consommation du 01.02 au 29.02'!U35</f>
        <v>0</v>
      </c>
      <c r="H27" s="108">
        <v>9.3657000000000004</v>
      </c>
      <c r="I27" s="108">
        <f>'Consommation du 01.02 au 29.02'!Y35*1000</f>
        <v>0</v>
      </c>
      <c r="J27" s="108">
        <v>0.53</v>
      </c>
      <c r="K27" s="108">
        <f>'Consommation du 01.02 au 29.02'!D35</f>
        <v>0</v>
      </c>
      <c r="L27" s="108">
        <v>12.67</v>
      </c>
      <c r="M27" s="122">
        <f>'Consommation du 01.02 au 29.02'!AC35</f>
        <v>0</v>
      </c>
      <c r="N27" s="122"/>
      <c r="O27" s="108">
        <f t="shared" si="0"/>
        <v>0</v>
      </c>
    </row>
    <row r="28" spans="1:15" x14ac:dyDescent="0.2">
      <c r="A28" s="109" t="s">
        <v>74</v>
      </c>
      <c r="B28">
        <f t="shared" si="1"/>
        <v>27</v>
      </c>
      <c r="C28">
        <v>2</v>
      </c>
      <c r="D28" s="122">
        <v>2020</v>
      </c>
      <c r="E28" s="108">
        <f>'Consommation du 01.02 au 29.02'!M36</f>
        <v>0</v>
      </c>
      <c r="F28" s="108">
        <v>1.002</v>
      </c>
      <c r="G28" s="108">
        <f>'Consommation du 01.02 au 29.02'!U36</f>
        <v>0</v>
      </c>
      <c r="H28" s="108">
        <v>9.3657000000000004</v>
      </c>
      <c r="I28" s="108">
        <f>'Consommation du 01.02 au 29.02'!Y36*1000</f>
        <v>0</v>
      </c>
      <c r="J28" s="108">
        <v>0.53</v>
      </c>
      <c r="K28" s="108">
        <f>'Consommation du 01.02 au 29.02'!D36</f>
        <v>0</v>
      </c>
      <c r="L28" s="108">
        <v>12.67</v>
      </c>
      <c r="M28" s="122">
        <f>'Consommation du 01.02 au 29.02'!AC36</f>
        <v>0</v>
      </c>
      <c r="N28" s="122"/>
      <c r="O28" s="108">
        <f t="shared" si="0"/>
        <v>0</v>
      </c>
    </row>
    <row r="29" spans="1:15" x14ac:dyDescent="0.2">
      <c r="A29" s="109" t="s">
        <v>74</v>
      </c>
      <c r="B29">
        <f t="shared" si="1"/>
        <v>28</v>
      </c>
      <c r="C29">
        <v>2</v>
      </c>
      <c r="D29" s="122">
        <v>2020</v>
      </c>
      <c r="E29" s="108">
        <f>'Consommation du 01.02 au 29.02'!M37</f>
        <v>0</v>
      </c>
      <c r="F29" s="108">
        <v>1.002</v>
      </c>
      <c r="G29" s="108">
        <f>'Consommation du 01.02 au 29.02'!U37</f>
        <v>0</v>
      </c>
      <c r="H29" s="108">
        <v>9.3657000000000004</v>
      </c>
      <c r="I29" s="108">
        <f>'Consommation du 01.02 au 29.02'!Y37*1000</f>
        <v>0</v>
      </c>
      <c r="J29" s="108">
        <v>0.53</v>
      </c>
      <c r="K29" s="108">
        <f>'Consommation du 01.02 au 29.02'!D37</f>
        <v>0</v>
      </c>
      <c r="L29" s="108">
        <v>12.67</v>
      </c>
      <c r="M29" s="122">
        <f>'Consommation du 01.02 au 29.02'!AC37</f>
        <v>0</v>
      </c>
      <c r="N29" s="122"/>
      <c r="O29" s="108">
        <f t="shared" si="0"/>
        <v>0</v>
      </c>
    </row>
    <row r="30" spans="1:15" x14ac:dyDescent="0.2">
      <c r="A30" s="109" t="s">
        <v>74</v>
      </c>
      <c r="B30">
        <f t="shared" si="1"/>
        <v>29</v>
      </c>
      <c r="C30">
        <v>2</v>
      </c>
      <c r="D30" s="122">
        <v>2020</v>
      </c>
      <c r="E30" s="108">
        <f>'Consommation du 01.02 au 29.02'!M38</f>
        <v>0</v>
      </c>
      <c r="F30" s="108">
        <v>1.002</v>
      </c>
      <c r="G30" s="108">
        <f>'Consommation du 01.02 au 29.02'!U38</f>
        <v>0</v>
      </c>
      <c r="H30" s="108">
        <v>9.3657000000000004</v>
      </c>
      <c r="I30" s="108">
        <f>'Consommation du 01.02 au 29.02'!Y38*1000</f>
        <v>0</v>
      </c>
      <c r="J30" s="108">
        <v>0.53</v>
      </c>
      <c r="K30" s="108">
        <f>'Consommation du 01.02 au 29.02'!D38</f>
        <v>0</v>
      </c>
      <c r="L30" s="108">
        <v>12.67</v>
      </c>
      <c r="M30" s="122">
        <f>'Consommation du 01.02 au 29.02'!AC38</f>
        <v>0</v>
      </c>
      <c r="N30" s="122"/>
      <c r="O30" s="108"/>
    </row>
    <row r="31" spans="1:15" x14ac:dyDescent="0.2">
      <c r="A31" s="109"/>
      <c r="D31" s="122"/>
      <c r="E31" s="108"/>
      <c r="F31" s="108"/>
      <c r="G31" s="108"/>
      <c r="H31" s="108"/>
      <c r="I31" s="108"/>
      <c r="J31" s="108"/>
      <c r="K31" s="108"/>
      <c r="L31" s="108"/>
      <c r="M31" s="122"/>
      <c r="N31" s="122"/>
      <c r="O31" s="108"/>
    </row>
    <row r="32" spans="1:15" x14ac:dyDescent="0.2">
      <c r="A32" s="109"/>
      <c r="D32" s="122"/>
      <c r="E32" s="108"/>
      <c r="F32" s="108"/>
      <c r="G32" s="108"/>
      <c r="H32" s="108"/>
      <c r="I32" s="108"/>
      <c r="J32" s="108"/>
      <c r="K32" s="108"/>
      <c r="L32" s="108"/>
      <c r="M32" s="122"/>
      <c r="O32" s="108"/>
    </row>
    <row r="33" spans="4:14" x14ac:dyDescent="0.2"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</row>
    <row r="34" spans="4:14" x14ac:dyDescent="0.2"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</row>
    <row r="35" spans="4:14" x14ac:dyDescent="0.2"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</row>
    <row r="36" spans="4:14" x14ac:dyDescent="0.2"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</row>
    <row r="37" spans="4:14" x14ac:dyDescent="0.2"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</row>
    <row r="38" spans="4:14" x14ac:dyDescent="0.2"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</row>
    <row r="39" spans="4:14" x14ac:dyDescent="0.2"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</row>
    <row r="40" spans="4:14" x14ac:dyDescent="0.2"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9" zoomScale="55" zoomScaleNormal="55" zoomScaleSheetLayoutView="50" workbookViewId="0">
      <selection activeCell="X22" sqref="X22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81"/>
      <c r="B2" s="182"/>
      <c r="C2" s="182"/>
      <c r="D2" s="182"/>
      <c r="E2" s="182"/>
      <c r="F2" s="183"/>
      <c r="G2" s="170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2"/>
      <c r="AD2" s="169"/>
      <c r="AE2" s="169"/>
      <c r="AF2" s="169"/>
      <c r="AJ2" s="63"/>
    </row>
    <row r="3" spans="1:37" ht="1.5" customHeight="1" x14ac:dyDescent="0.2"/>
    <row r="4" spans="1:37" ht="39" hidden="1" customHeight="1" x14ac:dyDescent="0.2">
      <c r="A4" s="184"/>
      <c r="B4" s="184"/>
      <c r="C4" s="184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84"/>
      <c r="B5" s="184"/>
      <c r="C5" s="184"/>
      <c r="D5" s="6"/>
      <c r="E5" s="6"/>
      <c r="F5" s="6"/>
      <c r="G5" s="6"/>
      <c r="H5" s="6"/>
      <c r="I5" s="6"/>
      <c r="J5" s="6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  <c r="Y6" s="237"/>
      <c r="Z6" s="237"/>
      <c r="AA6" s="237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86"/>
      <c r="E7" s="186"/>
      <c r="F7" s="186"/>
      <c r="G7" s="186"/>
      <c r="H7" s="186"/>
      <c r="I7" s="186"/>
      <c r="J7" s="186"/>
      <c r="K7" s="186"/>
      <c r="L7" s="238"/>
      <c r="M7" s="238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  <c r="AA7" s="186"/>
      <c r="AB7" s="14"/>
      <c r="AC7" s="14"/>
      <c r="AI7" s="6"/>
      <c r="AJ7" s="6"/>
      <c r="AK7" s="6"/>
    </row>
    <row r="8" spans="1:37" ht="2.25" customHeight="1" thickBot="1" x14ac:dyDescent="0.25">
      <c r="A8" s="186"/>
      <c r="B8" s="187" t="s">
        <v>1</v>
      </c>
      <c r="C8" s="4"/>
      <c r="D8" s="188" t="s">
        <v>4</v>
      </c>
      <c r="E8" s="5"/>
      <c r="F8" s="173" t="s">
        <v>12</v>
      </c>
      <c r="G8" s="174"/>
      <c r="H8" s="175"/>
      <c r="I8" s="5"/>
      <c r="J8" s="193" t="s">
        <v>3</v>
      </c>
      <c r="K8" s="193"/>
      <c r="L8" s="193"/>
      <c r="M8" s="193" t="s">
        <v>2</v>
      </c>
      <c r="N8" s="5"/>
      <c r="O8" s="179" t="s">
        <v>12</v>
      </c>
      <c r="P8" s="5"/>
      <c r="Q8" s="179" t="s">
        <v>5</v>
      </c>
      <c r="R8" s="5"/>
      <c r="S8" s="179" t="s">
        <v>6</v>
      </c>
      <c r="T8" s="5"/>
      <c r="U8" s="239" t="s">
        <v>39</v>
      </c>
      <c r="V8" s="5"/>
      <c r="W8" s="179" t="s">
        <v>12</v>
      </c>
      <c r="X8" s="70"/>
      <c r="Y8" s="70"/>
      <c r="Z8" s="70"/>
      <c r="AA8" s="192"/>
      <c r="AB8" s="190" t="s">
        <v>80</v>
      </c>
      <c r="AC8" s="179" t="s">
        <v>75</v>
      </c>
      <c r="AD8" s="167" t="s">
        <v>54</v>
      </c>
      <c r="AE8" s="165" t="s">
        <v>59</v>
      </c>
      <c r="AF8" s="165" t="s">
        <v>60</v>
      </c>
      <c r="AG8" s="163" t="s">
        <v>61</v>
      </c>
      <c r="AH8" s="163" t="s">
        <v>62</v>
      </c>
      <c r="AI8" s="74"/>
      <c r="AJ8" s="74"/>
      <c r="AK8" s="74"/>
    </row>
    <row r="9" spans="1:37" ht="116.25" customHeight="1" thickBot="1" x14ac:dyDescent="0.25">
      <c r="A9" s="186"/>
      <c r="B9" s="187"/>
      <c r="C9" s="4"/>
      <c r="D9" s="189"/>
      <c r="E9" s="5"/>
      <c r="F9" s="176"/>
      <c r="G9" s="177"/>
      <c r="H9" s="178"/>
      <c r="I9" s="5"/>
      <c r="J9" s="86" t="s">
        <v>7</v>
      </c>
      <c r="K9" s="86" t="s">
        <v>8</v>
      </c>
      <c r="L9" s="86" t="s">
        <v>9</v>
      </c>
      <c r="M9" s="193"/>
      <c r="N9" s="5"/>
      <c r="O9" s="180"/>
      <c r="P9" s="5"/>
      <c r="Q9" s="180"/>
      <c r="R9" s="5"/>
      <c r="S9" s="180"/>
      <c r="T9" s="5"/>
      <c r="U9" s="240"/>
      <c r="V9" s="5"/>
      <c r="W9" s="180"/>
      <c r="X9" s="132" t="s">
        <v>81</v>
      </c>
      <c r="Y9" s="101" t="s">
        <v>55</v>
      </c>
      <c r="Z9" s="102" t="s">
        <v>56</v>
      </c>
      <c r="AA9" s="192"/>
      <c r="AB9" s="191"/>
      <c r="AC9" s="185"/>
      <c r="AD9" s="168"/>
      <c r="AE9" s="166"/>
      <c r="AF9" s="166"/>
      <c r="AG9" s="164"/>
      <c r="AH9" s="164"/>
      <c r="AI9" s="103"/>
      <c r="AJ9" s="75"/>
      <c r="AK9" s="75"/>
    </row>
    <row r="10" spans="1:37" ht="32.25" customHeight="1" thickBot="1" x14ac:dyDescent="0.25">
      <c r="A10" s="14"/>
      <c r="B10" s="7">
        <v>43862</v>
      </c>
      <c r="C10" s="8"/>
      <c r="D10" s="110">
        <f>'Suivi EAU-ELEC'!C16</f>
        <v>470</v>
      </c>
      <c r="E10" s="111"/>
      <c r="F10" s="234">
        <f>D10*12.67</f>
        <v>5954.9</v>
      </c>
      <c r="G10" s="234"/>
      <c r="H10" s="235"/>
      <c r="I10" s="92"/>
      <c r="J10" s="117">
        <f>'Suivi EAU-ELEC'!E16</f>
        <v>4015</v>
      </c>
      <c r="K10" s="118">
        <f>'Suivi EAU-ELEC'!G16</f>
        <v>6238</v>
      </c>
      <c r="L10" s="118">
        <f>'Suivi EAU-ELEC'!I16</f>
        <v>2808</v>
      </c>
      <c r="M10" s="119">
        <f>L10+K10+J10</f>
        <v>13061</v>
      </c>
      <c r="N10" s="92"/>
      <c r="O10" s="95">
        <f>M10*1.002</f>
        <v>13087.121999999999</v>
      </c>
      <c r="P10" s="91"/>
      <c r="Q10" s="90"/>
      <c r="R10" s="89"/>
      <c r="S10" s="90"/>
      <c r="T10" s="97"/>
      <c r="U10" s="96">
        <f>'Suvi Gaz'!O11</f>
        <v>1780.8000000000002</v>
      </c>
      <c r="V10" s="92"/>
      <c r="W10" s="95">
        <f>U10*9.3657</f>
        <v>16678.438560000002</v>
      </c>
      <c r="X10" s="148">
        <v>16394.169999999998</v>
      </c>
      <c r="Y10" s="99">
        <f>IF(X11&lt;X10,0,X11-X10)</f>
        <v>1.430000000000291</v>
      </c>
      <c r="Z10" s="100">
        <f>Y10*0.53*1000</f>
        <v>757.90000000015436</v>
      </c>
      <c r="AA10" s="92"/>
      <c r="AB10" s="155">
        <v>21</v>
      </c>
      <c r="AC10" s="156">
        <v>128</v>
      </c>
      <c r="AD10" s="157">
        <v>0.93430000000000002</v>
      </c>
      <c r="AE10" s="158">
        <v>29.4</v>
      </c>
      <c r="AF10" s="159">
        <v>30</v>
      </c>
      <c r="AG10" s="160">
        <v>27.8</v>
      </c>
      <c r="AH10" s="161">
        <v>28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43863</v>
      </c>
      <c r="C11" s="8"/>
      <c r="D11" s="110">
        <f>'Suivi EAU-ELEC'!C17</f>
        <v>540</v>
      </c>
      <c r="E11" s="89"/>
      <c r="F11" s="234">
        <f t="shared" ref="F11:F40" si="0">D11*12.67</f>
        <v>6841.8</v>
      </c>
      <c r="G11" s="234"/>
      <c r="H11" s="235"/>
      <c r="I11" s="92"/>
      <c r="J11" s="117">
        <f>'Suivi EAU-ELEC'!E17</f>
        <v>4712</v>
      </c>
      <c r="K11" s="118">
        <f>'Suivi EAU-ELEC'!G17</f>
        <v>6202</v>
      </c>
      <c r="L11" s="118">
        <f>'Suivi EAU-ELEC'!I17</f>
        <v>3477</v>
      </c>
      <c r="M11" s="119">
        <f t="shared" ref="M11:M40" si="1">L11+K11+J11</f>
        <v>14391</v>
      </c>
      <c r="N11" s="92"/>
      <c r="O11" s="95">
        <f t="shared" ref="O11:O40" si="2">M11*1.002</f>
        <v>14419.781999999999</v>
      </c>
      <c r="P11" s="91"/>
      <c r="Q11" s="90"/>
      <c r="R11" s="89"/>
      <c r="S11" s="90"/>
      <c r="T11" s="97"/>
      <c r="U11" s="96">
        <f>'Suvi Gaz'!O12</f>
        <v>1446.9</v>
      </c>
      <c r="V11" s="92"/>
      <c r="W11" s="95">
        <f t="shared" ref="W11:W40" si="3">U11*9.3657</f>
        <v>13551.231330000001</v>
      </c>
      <c r="X11" s="137">
        <v>16395.599999999999</v>
      </c>
      <c r="Y11" s="99">
        <f t="shared" ref="Y11:Y40" si="4">IF(X12&lt;X11,0,X12-X11)</f>
        <v>11.110000000000582</v>
      </c>
      <c r="Z11" s="100">
        <f t="shared" ref="Z11:Z40" si="5">Y11*0.53*1000</f>
        <v>5888.3000000003094</v>
      </c>
      <c r="AA11" s="92"/>
      <c r="AB11" s="115">
        <v>23</v>
      </c>
      <c r="AC11" s="129">
        <v>126</v>
      </c>
      <c r="AD11" s="125">
        <v>0.95450000000000002</v>
      </c>
      <c r="AE11" s="136">
        <v>29.2</v>
      </c>
      <c r="AF11" s="136">
        <v>30</v>
      </c>
      <c r="AG11" s="134">
        <v>28</v>
      </c>
      <c r="AH11" s="162">
        <v>29</v>
      </c>
      <c r="AI11" s="144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43864</v>
      </c>
      <c r="C12" s="8"/>
      <c r="D12" s="110">
        <f>'Suivi EAU-ELEC'!C18</f>
        <v>470</v>
      </c>
      <c r="E12" s="89"/>
      <c r="F12" s="234">
        <f t="shared" si="0"/>
        <v>5954.9</v>
      </c>
      <c r="G12" s="234"/>
      <c r="H12" s="235"/>
      <c r="I12" s="92"/>
      <c r="J12" s="117">
        <f>'Suivi EAU-ELEC'!E18</f>
        <v>4776</v>
      </c>
      <c r="K12" s="118">
        <f>'Suivi EAU-ELEC'!G18</f>
        <v>7173</v>
      </c>
      <c r="L12" s="118">
        <f>'Suivi EAU-ELEC'!I18</f>
        <v>3744</v>
      </c>
      <c r="M12" s="119">
        <f t="shared" si="1"/>
        <v>15693</v>
      </c>
      <c r="N12" s="92"/>
      <c r="O12" s="95">
        <f t="shared" si="2"/>
        <v>15724.386</v>
      </c>
      <c r="P12" s="91"/>
      <c r="Q12" s="90"/>
      <c r="R12" s="89"/>
      <c r="S12" s="90"/>
      <c r="T12" s="97"/>
      <c r="U12" s="96">
        <f>'Suvi Gaz'!O13</f>
        <v>1558.2</v>
      </c>
      <c r="V12" s="93"/>
      <c r="W12" s="95">
        <f t="shared" si="3"/>
        <v>14593.633740000001</v>
      </c>
      <c r="X12" s="137">
        <v>16406.71</v>
      </c>
      <c r="Y12" s="99">
        <f t="shared" si="4"/>
        <v>14.880000000001019</v>
      </c>
      <c r="Z12" s="100">
        <f t="shared" si="5"/>
        <v>7886.4000000005399</v>
      </c>
      <c r="AA12" s="92"/>
      <c r="AB12" s="115">
        <v>24</v>
      </c>
      <c r="AC12" s="129">
        <v>129</v>
      </c>
      <c r="AD12" s="125">
        <v>0.96989999999999998</v>
      </c>
      <c r="AE12" s="136">
        <v>28.6</v>
      </c>
      <c r="AF12" s="136">
        <v>30</v>
      </c>
      <c r="AG12" s="134">
        <v>27.5</v>
      </c>
      <c r="AH12" s="135">
        <v>29</v>
      </c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43865</v>
      </c>
      <c r="C13" s="8"/>
      <c r="D13" s="110">
        <f>'Suivi EAU-ELEC'!C19</f>
        <v>500</v>
      </c>
      <c r="E13" s="89"/>
      <c r="F13" s="234">
        <f t="shared" si="0"/>
        <v>6335</v>
      </c>
      <c r="G13" s="234"/>
      <c r="H13" s="235"/>
      <c r="I13" s="92"/>
      <c r="J13" s="117">
        <f>'Suivi EAU-ELEC'!E19</f>
        <v>5000</v>
      </c>
      <c r="K13" s="118">
        <f>'Suivi EAU-ELEC'!G19</f>
        <v>7730</v>
      </c>
      <c r="L13" s="118">
        <f>'Suivi EAU-ELEC'!I19</f>
        <v>3480</v>
      </c>
      <c r="M13" s="119">
        <f t="shared" si="1"/>
        <v>16210</v>
      </c>
      <c r="N13" s="92"/>
      <c r="O13" s="95">
        <f t="shared" si="2"/>
        <v>16242.42</v>
      </c>
      <c r="P13" s="91"/>
      <c r="Q13" s="90"/>
      <c r="R13" s="89"/>
      <c r="S13" s="90"/>
      <c r="T13" s="97"/>
      <c r="U13" s="96">
        <f>'Suvi Gaz'!O14</f>
        <v>556.5</v>
      </c>
      <c r="V13" s="93"/>
      <c r="W13" s="95">
        <f t="shared" si="3"/>
        <v>5212.0120500000003</v>
      </c>
      <c r="X13" s="137">
        <v>16421.59</v>
      </c>
      <c r="Y13" s="99">
        <f>IF(X14&lt;X13,0,X14-X13)</f>
        <v>17.569999999999709</v>
      </c>
      <c r="Z13" s="100">
        <f t="shared" si="5"/>
        <v>9312.0999999998457</v>
      </c>
      <c r="AA13" s="92"/>
      <c r="AB13" s="115">
        <v>24</v>
      </c>
      <c r="AC13" s="129">
        <v>111</v>
      </c>
      <c r="AD13" s="125">
        <v>0.84089999999999998</v>
      </c>
      <c r="AE13" s="136">
        <v>28.8</v>
      </c>
      <c r="AF13" s="136">
        <v>30</v>
      </c>
      <c r="AG13" s="134">
        <v>27</v>
      </c>
      <c r="AH13" s="135">
        <v>28</v>
      </c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43866</v>
      </c>
      <c r="C14" s="8"/>
      <c r="D14" s="110">
        <f>'Suivi EAU-ELEC'!C20</f>
        <v>520</v>
      </c>
      <c r="E14" s="112"/>
      <c r="F14" s="234">
        <f t="shared" si="0"/>
        <v>6588.4</v>
      </c>
      <c r="G14" s="234"/>
      <c r="H14" s="235"/>
      <c r="I14" s="93"/>
      <c r="J14" s="117">
        <f>'Suivi EAU-ELEC'!E20</f>
        <v>5560</v>
      </c>
      <c r="K14" s="118">
        <f>'Suivi EAU-ELEC'!G20</f>
        <v>7043</v>
      </c>
      <c r="L14" s="118">
        <f>'Suivi EAU-ELEC'!I20</f>
        <v>3700</v>
      </c>
      <c r="M14" s="119">
        <f t="shared" si="1"/>
        <v>16303</v>
      </c>
      <c r="N14" s="92"/>
      <c r="O14" s="95">
        <f t="shared" si="2"/>
        <v>16335.606</v>
      </c>
      <c r="P14" s="91"/>
      <c r="Q14" s="90"/>
      <c r="R14" s="89"/>
      <c r="S14" s="90"/>
      <c r="T14" s="97"/>
      <c r="U14" s="96">
        <f>'Suvi Gaz'!O15</f>
        <v>408.1</v>
      </c>
      <c r="V14" s="93"/>
      <c r="W14" s="95">
        <f t="shared" si="3"/>
        <v>3822.1421700000005</v>
      </c>
      <c r="X14" s="137">
        <v>16439.16</v>
      </c>
      <c r="Y14" s="99">
        <f>IF(X15&lt;X14,0,X15-X14)</f>
        <v>17.349999999998545</v>
      </c>
      <c r="Z14" s="100">
        <f t="shared" si="5"/>
        <v>9195.4999999992306</v>
      </c>
      <c r="AA14" s="92"/>
      <c r="AB14" s="115">
        <v>25</v>
      </c>
      <c r="AC14" s="129">
        <v>111</v>
      </c>
      <c r="AD14" s="125">
        <v>0.82840000000000003</v>
      </c>
      <c r="AE14" s="136">
        <v>28.6</v>
      </c>
      <c r="AF14" s="136">
        <v>30</v>
      </c>
      <c r="AG14" s="134">
        <v>27.6</v>
      </c>
      <c r="AH14" s="135">
        <v>28.6</v>
      </c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43867</v>
      </c>
      <c r="C15" s="8"/>
      <c r="D15" s="110">
        <f>'Suivi EAU-ELEC'!C21</f>
        <v>510</v>
      </c>
      <c r="E15" s="89"/>
      <c r="F15" s="234">
        <f t="shared" si="0"/>
        <v>6461.7</v>
      </c>
      <c r="G15" s="234"/>
      <c r="H15" s="235"/>
      <c r="I15" s="92"/>
      <c r="J15" s="117">
        <f>'Suivi EAU-ELEC'!E21</f>
        <v>6172</v>
      </c>
      <c r="K15" s="118">
        <f>'Suivi EAU-ELEC'!G21</f>
        <v>8342</v>
      </c>
      <c r="L15" s="118">
        <f>'Suivi EAU-ELEC'!I21</f>
        <v>3792</v>
      </c>
      <c r="M15" s="119">
        <f t="shared" si="1"/>
        <v>18306</v>
      </c>
      <c r="N15" s="92"/>
      <c r="O15" s="95">
        <f t="shared" si="2"/>
        <v>18342.612000000001</v>
      </c>
      <c r="P15" s="91"/>
      <c r="Q15" s="90"/>
      <c r="R15" s="89"/>
      <c r="S15" s="90"/>
      <c r="T15" s="97"/>
      <c r="U15" s="96">
        <f>'Suvi Gaz'!O16</f>
        <v>519.4</v>
      </c>
      <c r="V15" s="93"/>
      <c r="W15" s="95">
        <f t="shared" si="3"/>
        <v>4864.5445799999998</v>
      </c>
      <c r="X15" s="137">
        <v>16456.509999999998</v>
      </c>
      <c r="Y15" s="99">
        <f t="shared" si="4"/>
        <v>17.5</v>
      </c>
      <c r="Z15" s="100">
        <f t="shared" si="5"/>
        <v>9275</v>
      </c>
      <c r="AA15" s="92"/>
      <c r="AB15" s="115">
        <v>25</v>
      </c>
      <c r="AC15" s="129">
        <v>103</v>
      </c>
      <c r="AD15" s="125">
        <v>0.7863</v>
      </c>
      <c r="AE15" s="136">
        <v>28.6</v>
      </c>
      <c r="AF15" s="136">
        <v>29.6</v>
      </c>
      <c r="AG15" s="134">
        <v>27.4</v>
      </c>
      <c r="AH15" s="135">
        <v>28</v>
      </c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43868</v>
      </c>
      <c r="C16" s="8"/>
      <c r="D16" s="110">
        <f>'Suivi EAU-ELEC'!C22</f>
        <v>500</v>
      </c>
      <c r="E16" s="112"/>
      <c r="F16" s="234">
        <f t="shared" si="0"/>
        <v>6335</v>
      </c>
      <c r="G16" s="234"/>
      <c r="H16" s="235"/>
      <c r="I16" s="93"/>
      <c r="J16" s="117">
        <f>'Suivi EAU-ELEC'!E22</f>
        <v>4971</v>
      </c>
      <c r="K16" s="118">
        <f>'Suivi EAU-ELEC'!G22</f>
        <v>6753</v>
      </c>
      <c r="L16" s="118">
        <f>'Suivi EAU-ELEC'!I22</f>
        <v>3645</v>
      </c>
      <c r="M16" s="119">
        <f t="shared" si="1"/>
        <v>15369</v>
      </c>
      <c r="N16" s="92"/>
      <c r="O16" s="95">
        <f t="shared" si="2"/>
        <v>15399.737999999999</v>
      </c>
      <c r="P16" s="91"/>
      <c r="Q16" s="90"/>
      <c r="R16" s="89"/>
      <c r="S16" s="90"/>
      <c r="T16" s="97"/>
      <c r="U16" s="96">
        <f>'Suvi Gaz'!O17</f>
        <v>779.1</v>
      </c>
      <c r="V16" s="93"/>
      <c r="W16" s="95">
        <f t="shared" si="3"/>
        <v>7296.8168700000006</v>
      </c>
      <c r="X16" s="137">
        <v>16474.009999999998</v>
      </c>
      <c r="Y16" s="99">
        <f t="shared" si="4"/>
        <v>14.690000000002328</v>
      </c>
      <c r="Z16" s="100">
        <f t="shared" si="5"/>
        <v>7785.700000001234</v>
      </c>
      <c r="AA16" s="92"/>
      <c r="AB16" s="115">
        <v>19</v>
      </c>
      <c r="AC16" s="129">
        <v>114</v>
      </c>
      <c r="AD16" s="125">
        <v>0.89059999999999995</v>
      </c>
      <c r="AE16" s="136">
        <v>29</v>
      </c>
      <c r="AF16" s="136">
        <v>29</v>
      </c>
      <c r="AG16" s="134">
        <v>27.6</v>
      </c>
      <c r="AH16" s="135">
        <v>28</v>
      </c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43869</v>
      </c>
      <c r="C17" s="8"/>
      <c r="D17" s="110">
        <f>'Suivi EAU-ELEC'!C23</f>
        <v>560</v>
      </c>
      <c r="E17" s="112"/>
      <c r="F17" s="234">
        <f t="shared" si="0"/>
        <v>7095.2</v>
      </c>
      <c r="G17" s="234"/>
      <c r="H17" s="235"/>
      <c r="I17" s="93"/>
      <c r="J17" s="117">
        <f>'Suivi EAU-ELEC'!E23</f>
        <v>5056</v>
      </c>
      <c r="K17" s="118">
        <f>'Suivi EAU-ELEC'!G23</f>
        <v>7112</v>
      </c>
      <c r="L17" s="118">
        <f>'Suivi EAU-ELEC'!I23</f>
        <v>3709</v>
      </c>
      <c r="M17" s="119">
        <f t="shared" si="1"/>
        <v>15877</v>
      </c>
      <c r="N17" s="92"/>
      <c r="O17" s="95">
        <f t="shared" si="2"/>
        <v>15908.754000000001</v>
      </c>
      <c r="P17" s="91"/>
      <c r="Q17" s="90"/>
      <c r="R17" s="89"/>
      <c r="S17" s="90"/>
      <c r="T17" s="97"/>
      <c r="U17" s="96">
        <f>'Suvi Gaz'!O18</f>
        <v>704.90000000000009</v>
      </c>
      <c r="V17" s="93"/>
      <c r="W17" s="95">
        <f t="shared" si="3"/>
        <v>6601.8819300000014</v>
      </c>
      <c r="X17" s="137">
        <v>16488.7</v>
      </c>
      <c r="Y17" s="99">
        <f t="shared" si="4"/>
        <v>16.399999999997817</v>
      </c>
      <c r="Z17" s="100">
        <f t="shared" si="5"/>
        <v>8691.9999999988431</v>
      </c>
      <c r="AA17" s="98"/>
      <c r="AB17" s="115">
        <v>18</v>
      </c>
      <c r="AC17" s="129">
        <v>101</v>
      </c>
      <c r="AD17" s="125">
        <v>0.80159999999999998</v>
      </c>
      <c r="AE17" s="136">
        <v>28</v>
      </c>
      <c r="AF17" s="136">
        <v>28.5</v>
      </c>
      <c r="AG17" s="134">
        <v>27.5</v>
      </c>
      <c r="AH17" s="135">
        <v>28</v>
      </c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43870</v>
      </c>
      <c r="C18" s="8"/>
      <c r="D18" s="110">
        <f>'Suivi EAU-ELEC'!C24</f>
        <v>470</v>
      </c>
      <c r="E18" s="112"/>
      <c r="F18" s="234">
        <f t="shared" si="0"/>
        <v>5954.9</v>
      </c>
      <c r="G18" s="234"/>
      <c r="H18" s="235"/>
      <c r="I18" s="93"/>
      <c r="J18" s="117">
        <f>'Suivi EAU-ELEC'!E24</f>
        <v>3627</v>
      </c>
      <c r="K18" s="118">
        <f>'Suivi EAU-ELEC'!G24</f>
        <v>6695</v>
      </c>
      <c r="L18" s="118">
        <f>'Suivi EAU-ELEC'!I24</f>
        <v>3616</v>
      </c>
      <c r="M18" s="119">
        <f t="shared" si="1"/>
        <v>13938</v>
      </c>
      <c r="N18" s="92"/>
      <c r="O18" s="95">
        <f t="shared" si="2"/>
        <v>13965.876</v>
      </c>
      <c r="P18" s="91"/>
      <c r="Q18" s="90"/>
      <c r="R18" s="89"/>
      <c r="S18" s="90"/>
      <c r="T18" s="97"/>
      <c r="U18" s="96">
        <f>'Suvi Gaz'!O19</f>
        <v>519.4</v>
      </c>
      <c r="V18" s="93"/>
      <c r="W18" s="95">
        <f t="shared" si="3"/>
        <v>4864.5445799999998</v>
      </c>
      <c r="X18" s="137">
        <v>16505.099999999999</v>
      </c>
      <c r="Y18" s="99">
        <f t="shared" si="4"/>
        <v>17.25</v>
      </c>
      <c r="Z18" s="100">
        <f t="shared" si="5"/>
        <v>9142.5</v>
      </c>
      <c r="AA18" s="98"/>
      <c r="AB18" s="115">
        <v>19</v>
      </c>
      <c r="AC18" s="129">
        <v>91</v>
      </c>
      <c r="AD18" s="125">
        <v>0.72799999999999998</v>
      </c>
      <c r="AE18" s="136">
        <v>28</v>
      </c>
      <c r="AF18" s="136">
        <v>28.5</v>
      </c>
      <c r="AG18" s="134">
        <v>27</v>
      </c>
      <c r="AH18" s="135">
        <v>27.5</v>
      </c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43871</v>
      </c>
      <c r="C19" s="8"/>
      <c r="D19" s="110">
        <f>'Suivi EAU-ELEC'!C25</f>
        <v>480</v>
      </c>
      <c r="E19" s="112"/>
      <c r="F19" s="234">
        <f t="shared" si="0"/>
        <v>6081.6</v>
      </c>
      <c r="G19" s="234"/>
      <c r="H19" s="235"/>
      <c r="I19" s="93"/>
      <c r="J19" s="117">
        <f>'Suivi EAU-ELEC'!E25</f>
        <v>5442</v>
      </c>
      <c r="K19" s="118">
        <f>'Suivi EAU-ELEC'!G25</f>
        <v>7290</v>
      </c>
      <c r="L19" s="118">
        <f>'Suivi EAU-ELEC'!I25</f>
        <v>3521</v>
      </c>
      <c r="M19" s="119">
        <f t="shared" si="1"/>
        <v>16253</v>
      </c>
      <c r="N19" s="92"/>
      <c r="O19" s="95">
        <f t="shared" si="2"/>
        <v>16285.505999999999</v>
      </c>
      <c r="P19" s="91"/>
      <c r="Q19" s="90"/>
      <c r="R19" s="89"/>
      <c r="S19" s="90"/>
      <c r="T19" s="97"/>
      <c r="U19" s="96">
        <f>'Suvi Gaz'!O20</f>
        <v>519.4</v>
      </c>
      <c r="V19" s="93"/>
      <c r="W19" s="95">
        <f t="shared" si="3"/>
        <v>4864.5445799999998</v>
      </c>
      <c r="X19" s="137">
        <v>16522.349999999999</v>
      </c>
      <c r="Y19" s="99">
        <f t="shared" si="4"/>
        <v>16.710000000002765</v>
      </c>
      <c r="Z19" s="100">
        <f t="shared" si="5"/>
        <v>8856.3000000014672</v>
      </c>
      <c r="AA19" s="98"/>
      <c r="AB19" s="115">
        <v>21</v>
      </c>
      <c r="AC19" s="129">
        <v>87</v>
      </c>
      <c r="AD19" s="125">
        <v>0.68500000000000005</v>
      </c>
      <c r="AE19" s="136">
        <v>28</v>
      </c>
      <c r="AF19" s="136">
        <v>29</v>
      </c>
      <c r="AG19" s="134">
        <v>27.6</v>
      </c>
      <c r="AH19" s="135">
        <v>27.5</v>
      </c>
      <c r="AI19" s="71"/>
      <c r="AJ19" s="78"/>
      <c r="AK19" s="71"/>
    </row>
    <row r="20" spans="1:37" ht="32.25" customHeight="1" thickBot="1" x14ac:dyDescent="0.25">
      <c r="A20" s="5"/>
      <c r="B20" s="7">
        <f>B19+1</f>
        <v>43872</v>
      </c>
      <c r="C20" s="8"/>
      <c r="D20" s="110">
        <f>'Suivi EAU-ELEC'!C26</f>
        <v>690</v>
      </c>
      <c r="E20" s="112"/>
      <c r="F20" s="234">
        <f t="shared" si="0"/>
        <v>8742.2999999999993</v>
      </c>
      <c r="G20" s="234"/>
      <c r="H20" s="235"/>
      <c r="I20" s="93"/>
      <c r="J20" s="117">
        <f>'Suivi EAU-ELEC'!E26</f>
        <v>4611</v>
      </c>
      <c r="K20" s="118">
        <f>'Suivi EAU-ELEC'!G26</f>
        <v>7836</v>
      </c>
      <c r="L20" s="118">
        <f>'Suivi EAU-ELEC'!I26</f>
        <v>3995</v>
      </c>
      <c r="M20" s="119">
        <f t="shared" si="1"/>
        <v>16442</v>
      </c>
      <c r="N20" s="92"/>
      <c r="O20" s="95">
        <f t="shared" si="2"/>
        <v>16474.884000000002</v>
      </c>
      <c r="P20" s="91"/>
      <c r="Q20" s="90"/>
      <c r="R20" s="89"/>
      <c r="S20" s="90"/>
      <c r="T20" s="97"/>
      <c r="U20" s="96">
        <f>'Suvi Gaz'!O21</f>
        <v>853.30000000000007</v>
      </c>
      <c r="V20" s="93"/>
      <c r="W20" s="95">
        <f t="shared" si="3"/>
        <v>7991.7518100000007</v>
      </c>
      <c r="X20" s="137">
        <v>16539.060000000001</v>
      </c>
      <c r="Y20" s="99">
        <f t="shared" si="4"/>
        <v>14.319999999999709</v>
      </c>
      <c r="Z20" s="100">
        <f t="shared" si="5"/>
        <v>7589.5999999998467</v>
      </c>
      <c r="AA20" s="98">
        <v>14</v>
      </c>
      <c r="AB20" s="115">
        <v>23</v>
      </c>
      <c r="AC20" s="129">
        <v>76</v>
      </c>
      <c r="AD20" s="125">
        <v>0.58460000000000001</v>
      </c>
      <c r="AE20" s="136">
        <v>27.5</v>
      </c>
      <c r="AF20" s="136">
        <v>28.5</v>
      </c>
      <c r="AG20" s="134">
        <v>27</v>
      </c>
      <c r="AH20" s="135">
        <v>28</v>
      </c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43873</v>
      </c>
      <c r="C21" s="8"/>
      <c r="D21" s="110">
        <f>'Suivi EAU-ELEC'!C27</f>
        <v>610</v>
      </c>
      <c r="E21" s="112"/>
      <c r="F21" s="234">
        <f t="shared" si="0"/>
        <v>7728.7</v>
      </c>
      <c r="G21" s="234"/>
      <c r="H21" s="235"/>
      <c r="I21" s="93"/>
      <c r="J21" s="117">
        <f>'Suivi EAU-ELEC'!E27</f>
        <v>4837</v>
      </c>
      <c r="K21" s="118">
        <f>'Suivi EAU-ELEC'!G27</f>
        <v>8000</v>
      </c>
      <c r="L21" s="118">
        <f>'Suivi EAU-ELEC'!I27</f>
        <v>3592</v>
      </c>
      <c r="M21" s="119">
        <f t="shared" si="1"/>
        <v>16429</v>
      </c>
      <c r="N21" s="92"/>
      <c r="O21" s="95">
        <f t="shared" si="2"/>
        <v>16461.858</v>
      </c>
      <c r="P21" s="91"/>
      <c r="Q21" s="90"/>
      <c r="R21" s="89"/>
      <c r="S21" s="90"/>
      <c r="T21" s="97"/>
      <c r="U21" s="96">
        <f>'Suvi Gaz'!O22</f>
        <v>1372.7</v>
      </c>
      <c r="V21" s="93"/>
      <c r="W21" s="95">
        <f t="shared" si="3"/>
        <v>12856.296390000001</v>
      </c>
      <c r="X21" s="137">
        <v>16553.38</v>
      </c>
      <c r="Y21" s="99">
        <f t="shared" si="4"/>
        <v>13.610000000000582</v>
      </c>
      <c r="Z21" s="100">
        <f t="shared" si="5"/>
        <v>7213.3000000003085</v>
      </c>
      <c r="AA21" s="98">
        <v>14</v>
      </c>
      <c r="AB21" s="115">
        <v>23</v>
      </c>
      <c r="AC21" s="129">
        <v>83</v>
      </c>
      <c r="AD21" s="125">
        <v>0.63849999999999996</v>
      </c>
      <c r="AE21" s="136">
        <v>28.5</v>
      </c>
      <c r="AF21" s="130">
        <v>29</v>
      </c>
      <c r="AG21" s="134">
        <v>28</v>
      </c>
      <c r="AH21" s="135">
        <v>28</v>
      </c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43874</v>
      </c>
      <c r="C22" s="8"/>
      <c r="D22" s="110">
        <f>'Suivi EAU-ELEC'!C28</f>
        <v>0</v>
      </c>
      <c r="E22" s="112"/>
      <c r="F22" s="234">
        <f t="shared" si="0"/>
        <v>0</v>
      </c>
      <c r="G22" s="234"/>
      <c r="H22" s="235"/>
      <c r="I22" s="93"/>
      <c r="J22" s="117">
        <f>'Suivi EAU-ELEC'!E28</f>
        <v>0</v>
      </c>
      <c r="K22" s="118">
        <f>'Suivi EAU-ELEC'!G28</f>
        <v>0</v>
      </c>
      <c r="L22" s="118">
        <f>'Suivi EAU-ELEC'!I28</f>
        <v>0</v>
      </c>
      <c r="M22" s="119">
        <f t="shared" si="1"/>
        <v>0</v>
      </c>
      <c r="N22" s="92"/>
      <c r="O22" s="95">
        <f t="shared" si="2"/>
        <v>0</v>
      </c>
      <c r="P22" s="91"/>
      <c r="Q22" s="90"/>
      <c r="R22" s="89"/>
      <c r="S22" s="90"/>
      <c r="T22" s="97"/>
      <c r="U22" s="96">
        <f>'Suvi Gaz'!O23</f>
        <v>0</v>
      </c>
      <c r="V22" s="93"/>
      <c r="W22" s="95">
        <f t="shared" si="3"/>
        <v>0</v>
      </c>
      <c r="X22" s="137">
        <v>16566.990000000002</v>
      </c>
      <c r="Y22" s="99">
        <f t="shared" si="4"/>
        <v>0</v>
      </c>
      <c r="Z22" s="100">
        <f t="shared" si="5"/>
        <v>0</v>
      </c>
      <c r="AA22" s="93"/>
      <c r="AB22" s="115"/>
      <c r="AC22" s="129"/>
      <c r="AD22" s="125"/>
      <c r="AE22" s="136"/>
      <c r="AF22" s="130"/>
      <c r="AG22" s="134"/>
      <c r="AH22" s="135"/>
      <c r="AI22" s="71"/>
      <c r="AJ22" s="78"/>
      <c r="AK22" s="71"/>
    </row>
    <row r="23" spans="1:37" ht="32.25" customHeight="1" thickBot="1" x14ac:dyDescent="0.25">
      <c r="A23" s="5"/>
      <c r="B23" s="7">
        <f>B22+1</f>
        <v>43875</v>
      </c>
      <c r="C23" s="8"/>
      <c r="D23" s="110">
        <f>'Suivi EAU-ELEC'!C29</f>
        <v>0</v>
      </c>
      <c r="E23" s="112"/>
      <c r="F23" s="234">
        <f t="shared" si="0"/>
        <v>0</v>
      </c>
      <c r="G23" s="234"/>
      <c r="H23" s="235"/>
      <c r="I23" s="93"/>
      <c r="J23" s="117">
        <f>'Suivi EAU-ELEC'!E29</f>
        <v>0</v>
      </c>
      <c r="K23" s="118">
        <f>'Suivi EAU-ELEC'!G29</f>
        <v>0</v>
      </c>
      <c r="L23" s="118">
        <f>'Suivi EAU-ELEC'!I29</f>
        <v>0</v>
      </c>
      <c r="M23" s="119">
        <f t="shared" si="1"/>
        <v>0</v>
      </c>
      <c r="N23" s="92"/>
      <c r="O23" s="95">
        <f t="shared" si="2"/>
        <v>0</v>
      </c>
      <c r="P23" s="91"/>
      <c r="Q23" s="90"/>
      <c r="R23" s="89"/>
      <c r="S23" s="90"/>
      <c r="T23" s="97"/>
      <c r="U23" s="96">
        <f>'Suvi Gaz'!O24</f>
        <v>0</v>
      </c>
      <c r="V23" s="93"/>
      <c r="W23" s="95">
        <f t="shared" si="3"/>
        <v>0</v>
      </c>
      <c r="X23" s="137"/>
      <c r="Y23" s="99">
        <f t="shared" si="4"/>
        <v>0</v>
      </c>
      <c r="Z23" s="100">
        <f t="shared" si="5"/>
        <v>0</v>
      </c>
      <c r="AA23" s="93"/>
      <c r="AB23" s="115"/>
      <c r="AC23" s="129"/>
      <c r="AD23" s="125"/>
      <c r="AE23" s="136"/>
      <c r="AF23" s="130"/>
      <c r="AG23" s="134"/>
      <c r="AH23" s="135"/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43876</v>
      </c>
      <c r="C24" s="8"/>
      <c r="D24" s="110">
        <f>'Suivi EAU-ELEC'!C30</f>
        <v>0</v>
      </c>
      <c r="E24" s="112"/>
      <c r="F24" s="234">
        <f t="shared" si="0"/>
        <v>0</v>
      </c>
      <c r="G24" s="234"/>
      <c r="H24" s="235"/>
      <c r="I24" s="93"/>
      <c r="J24" s="117">
        <f>'Suivi EAU-ELEC'!E30</f>
        <v>0</v>
      </c>
      <c r="K24" s="118">
        <f>'Suivi EAU-ELEC'!G30</f>
        <v>0</v>
      </c>
      <c r="L24" s="118">
        <f>'Suivi EAU-ELEC'!I30</f>
        <v>0</v>
      </c>
      <c r="M24" s="119">
        <f t="shared" si="1"/>
        <v>0</v>
      </c>
      <c r="N24" s="92"/>
      <c r="O24" s="95">
        <f t="shared" si="2"/>
        <v>0</v>
      </c>
      <c r="P24" s="91"/>
      <c r="Q24" s="90"/>
      <c r="R24" s="89"/>
      <c r="S24" s="90"/>
      <c r="T24" s="97"/>
      <c r="U24" s="96">
        <f>'Suvi Gaz'!O25</f>
        <v>0</v>
      </c>
      <c r="V24" s="93"/>
      <c r="W24" s="95">
        <f t="shared" si="3"/>
        <v>0</v>
      </c>
      <c r="X24" s="137"/>
      <c r="Y24" s="99">
        <f t="shared" si="4"/>
        <v>0</v>
      </c>
      <c r="Z24" s="100">
        <f t="shared" si="5"/>
        <v>0</v>
      </c>
      <c r="AA24" s="93"/>
      <c r="AB24" s="115"/>
      <c r="AC24" s="129"/>
      <c r="AD24" s="125"/>
      <c r="AE24" s="136"/>
      <c r="AF24" s="136"/>
      <c r="AG24" s="134"/>
      <c r="AH24" s="135"/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43877</v>
      </c>
      <c r="C25" s="8"/>
      <c r="D25" s="110">
        <f>'Suivi EAU-ELEC'!C31</f>
        <v>0</v>
      </c>
      <c r="E25" s="112"/>
      <c r="F25" s="234">
        <f t="shared" si="0"/>
        <v>0</v>
      </c>
      <c r="G25" s="234"/>
      <c r="H25" s="235"/>
      <c r="I25" s="93"/>
      <c r="J25" s="117">
        <f>'Suivi EAU-ELEC'!E31</f>
        <v>0</v>
      </c>
      <c r="K25" s="118">
        <f>'Suivi EAU-ELEC'!G31</f>
        <v>0</v>
      </c>
      <c r="L25" s="118">
        <f>'Suivi EAU-ELEC'!I31</f>
        <v>0</v>
      </c>
      <c r="M25" s="119">
        <f t="shared" si="1"/>
        <v>0</v>
      </c>
      <c r="N25" s="92"/>
      <c r="O25" s="95">
        <f t="shared" si="2"/>
        <v>0</v>
      </c>
      <c r="P25" s="91"/>
      <c r="Q25" s="90"/>
      <c r="R25" s="89"/>
      <c r="S25" s="90"/>
      <c r="T25" s="97"/>
      <c r="U25" s="96">
        <f>'Suvi Gaz'!O26</f>
        <v>0</v>
      </c>
      <c r="V25" s="93"/>
      <c r="W25" s="95">
        <f t="shared" si="3"/>
        <v>0</v>
      </c>
      <c r="X25" s="137"/>
      <c r="Y25" s="99">
        <f t="shared" si="4"/>
        <v>0</v>
      </c>
      <c r="Z25" s="100">
        <f t="shared" si="5"/>
        <v>0</v>
      </c>
      <c r="AA25" s="93"/>
      <c r="AB25" s="115"/>
      <c r="AC25" s="129"/>
      <c r="AD25" s="125"/>
      <c r="AE25" s="136"/>
      <c r="AF25" s="136"/>
      <c r="AG25" s="134"/>
      <c r="AH25" s="135"/>
      <c r="AI25" s="71"/>
      <c r="AJ25" s="78"/>
      <c r="AK25" s="71"/>
    </row>
    <row r="26" spans="1:37" ht="32.25" customHeight="1" thickBot="1" x14ac:dyDescent="0.25">
      <c r="A26" s="5"/>
      <c r="B26" s="7">
        <f t="shared" si="6"/>
        <v>43878</v>
      </c>
      <c r="C26" s="8"/>
      <c r="D26" s="110">
        <f>'Suivi EAU-ELEC'!C32</f>
        <v>0</v>
      </c>
      <c r="E26" s="113"/>
      <c r="F26" s="234">
        <f t="shared" si="0"/>
        <v>0</v>
      </c>
      <c r="G26" s="234"/>
      <c r="H26" s="235"/>
      <c r="I26" s="93"/>
      <c r="J26" s="117">
        <f>'Suivi EAU-ELEC'!E32</f>
        <v>0</v>
      </c>
      <c r="K26" s="118">
        <f>'Suivi EAU-ELEC'!G32</f>
        <v>0</v>
      </c>
      <c r="L26" s="118">
        <f>'Suivi EAU-ELEC'!I32</f>
        <v>0</v>
      </c>
      <c r="M26" s="119">
        <f t="shared" si="1"/>
        <v>0</v>
      </c>
      <c r="N26" s="92"/>
      <c r="O26" s="95">
        <f t="shared" si="2"/>
        <v>0</v>
      </c>
      <c r="P26" s="91"/>
      <c r="Q26" s="90"/>
      <c r="R26" s="89"/>
      <c r="S26" s="90"/>
      <c r="T26" s="97"/>
      <c r="U26" s="96">
        <f>'Suvi Gaz'!O27</f>
        <v>0</v>
      </c>
      <c r="V26" s="94"/>
      <c r="W26" s="95">
        <f t="shared" si="3"/>
        <v>0</v>
      </c>
      <c r="X26" s="137"/>
      <c r="Y26" s="99">
        <f t="shared" si="4"/>
        <v>0</v>
      </c>
      <c r="Z26" s="100">
        <f t="shared" si="5"/>
        <v>0</v>
      </c>
      <c r="AA26" s="94"/>
      <c r="AB26" s="115"/>
      <c r="AC26" s="129"/>
      <c r="AD26" s="125"/>
      <c r="AE26" s="136"/>
      <c r="AF26" s="130"/>
      <c r="AG26" s="134"/>
      <c r="AH26" s="135"/>
      <c r="AI26" s="71"/>
      <c r="AJ26" s="78"/>
      <c r="AK26" s="71"/>
    </row>
    <row r="27" spans="1:37" ht="32.25" customHeight="1" thickBot="1" x14ac:dyDescent="0.25">
      <c r="A27" s="5"/>
      <c r="B27" s="7">
        <f>B26+1</f>
        <v>43879</v>
      </c>
      <c r="C27" s="8"/>
      <c r="D27" s="110">
        <f>'Suivi EAU-ELEC'!C33</f>
        <v>0</v>
      </c>
      <c r="E27" s="113"/>
      <c r="F27" s="234">
        <f t="shared" si="0"/>
        <v>0</v>
      </c>
      <c r="G27" s="234"/>
      <c r="H27" s="235"/>
      <c r="I27" s="93"/>
      <c r="J27" s="117">
        <f>'Suivi EAU-ELEC'!E33</f>
        <v>0</v>
      </c>
      <c r="K27" s="118">
        <f>'Suivi EAU-ELEC'!G33</f>
        <v>0</v>
      </c>
      <c r="L27" s="118">
        <f>'Suivi EAU-ELEC'!I33</f>
        <v>0</v>
      </c>
      <c r="M27" s="119">
        <f t="shared" si="1"/>
        <v>0</v>
      </c>
      <c r="N27" s="92"/>
      <c r="O27" s="95">
        <f>M27*1.002</f>
        <v>0</v>
      </c>
      <c r="P27" s="91"/>
      <c r="Q27" s="90"/>
      <c r="R27" s="89"/>
      <c r="S27" s="90"/>
      <c r="T27" s="97"/>
      <c r="U27" s="96">
        <f>'Suvi Gaz'!O28</f>
        <v>0</v>
      </c>
      <c r="V27" s="94"/>
      <c r="W27" s="95">
        <f t="shared" si="3"/>
        <v>0</v>
      </c>
      <c r="X27" s="137"/>
      <c r="Y27" s="99">
        <f t="shared" si="4"/>
        <v>0</v>
      </c>
      <c r="Z27" s="100">
        <f t="shared" si="5"/>
        <v>0</v>
      </c>
      <c r="AA27" s="94"/>
      <c r="AB27" s="115"/>
      <c r="AC27" s="129"/>
      <c r="AD27" s="125"/>
      <c r="AE27" s="136"/>
      <c r="AF27" s="130"/>
      <c r="AG27" s="134"/>
      <c r="AH27" s="135"/>
      <c r="AI27" s="71"/>
      <c r="AJ27" s="78"/>
      <c r="AK27" s="71"/>
    </row>
    <row r="28" spans="1:37" ht="32.25" customHeight="1" thickBot="1" x14ac:dyDescent="0.25">
      <c r="A28" s="5"/>
      <c r="B28" s="7">
        <f t="shared" si="6"/>
        <v>43880</v>
      </c>
      <c r="C28" s="8"/>
      <c r="D28" s="110">
        <f>'Suivi EAU-ELEC'!C34</f>
        <v>0</v>
      </c>
      <c r="E28" s="113"/>
      <c r="F28" s="234">
        <f t="shared" si="0"/>
        <v>0</v>
      </c>
      <c r="G28" s="234"/>
      <c r="H28" s="235"/>
      <c r="I28" s="94"/>
      <c r="J28" s="117">
        <f>'Suivi EAU-ELEC'!E34</f>
        <v>0</v>
      </c>
      <c r="K28" s="118">
        <f>'Suivi EAU-ELEC'!G34</f>
        <v>0</v>
      </c>
      <c r="L28" s="118">
        <f>'Suivi EAU-ELEC'!I34</f>
        <v>0</v>
      </c>
      <c r="M28" s="119">
        <f t="shared" si="1"/>
        <v>0</v>
      </c>
      <c r="N28" s="92"/>
      <c r="O28" s="95">
        <f t="shared" si="2"/>
        <v>0</v>
      </c>
      <c r="P28" s="91"/>
      <c r="Q28" s="90"/>
      <c r="R28" s="89"/>
      <c r="S28" s="90"/>
      <c r="T28" s="97"/>
      <c r="U28" s="96">
        <f>'Suvi Gaz'!O29</f>
        <v>0</v>
      </c>
      <c r="V28" s="94"/>
      <c r="W28" s="95">
        <f t="shared" si="3"/>
        <v>0</v>
      </c>
      <c r="X28" s="137"/>
      <c r="Y28" s="99">
        <f t="shared" si="4"/>
        <v>0</v>
      </c>
      <c r="Z28" s="100">
        <f t="shared" si="5"/>
        <v>0</v>
      </c>
      <c r="AA28" s="94"/>
      <c r="AB28" s="115"/>
      <c r="AC28" s="129"/>
      <c r="AD28" s="125"/>
      <c r="AE28" s="136"/>
      <c r="AF28" s="130"/>
      <c r="AG28" s="134"/>
      <c r="AH28" s="135"/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43881</v>
      </c>
      <c r="C29" s="8"/>
      <c r="D29" s="110">
        <f>'Suivi EAU-ELEC'!C35</f>
        <v>0</v>
      </c>
      <c r="E29" s="113"/>
      <c r="F29" s="234">
        <f t="shared" si="0"/>
        <v>0</v>
      </c>
      <c r="G29" s="234"/>
      <c r="H29" s="235"/>
      <c r="I29" s="94"/>
      <c r="J29" s="117">
        <f>'Suivi EAU-ELEC'!E35</f>
        <v>0</v>
      </c>
      <c r="K29" s="118">
        <f>'Suivi EAU-ELEC'!G35</f>
        <v>0</v>
      </c>
      <c r="L29" s="118">
        <f>'Suivi EAU-ELEC'!I35</f>
        <v>0</v>
      </c>
      <c r="M29" s="119">
        <f t="shared" si="1"/>
        <v>0</v>
      </c>
      <c r="N29" s="92"/>
      <c r="O29" s="95">
        <f t="shared" si="2"/>
        <v>0</v>
      </c>
      <c r="P29" s="91"/>
      <c r="Q29" s="90"/>
      <c r="R29" s="89"/>
      <c r="S29" s="90"/>
      <c r="T29" s="97"/>
      <c r="U29" s="96">
        <f>'Suvi Gaz'!O30</f>
        <v>0</v>
      </c>
      <c r="V29" s="94"/>
      <c r="W29" s="95">
        <f t="shared" si="3"/>
        <v>0</v>
      </c>
      <c r="X29" s="137"/>
      <c r="Y29" s="99">
        <f t="shared" si="4"/>
        <v>0</v>
      </c>
      <c r="Z29" s="100">
        <f t="shared" si="5"/>
        <v>0</v>
      </c>
      <c r="AA29" s="94"/>
      <c r="AB29" s="115"/>
      <c r="AC29" s="129"/>
      <c r="AD29" s="125"/>
      <c r="AE29" s="136"/>
      <c r="AF29" s="130"/>
      <c r="AG29" s="134"/>
      <c r="AH29" s="135"/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43882</v>
      </c>
      <c r="C30" s="67"/>
      <c r="D30" s="110">
        <f>'Suivi EAU-ELEC'!C36</f>
        <v>0</v>
      </c>
      <c r="E30" s="113"/>
      <c r="F30" s="234">
        <f t="shared" si="0"/>
        <v>0</v>
      </c>
      <c r="G30" s="234"/>
      <c r="H30" s="235"/>
      <c r="I30" s="94"/>
      <c r="J30" s="117">
        <f>'Suivi EAU-ELEC'!E36</f>
        <v>0</v>
      </c>
      <c r="K30" s="118">
        <f>'Suivi EAU-ELEC'!G36</f>
        <v>0</v>
      </c>
      <c r="L30" s="118">
        <f>'Suivi EAU-ELEC'!I36</f>
        <v>0</v>
      </c>
      <c r="M30" s="119">
        <f t="shared" si="1"/>
        <v>0</v>
      </c>
      <c r="N30" s="92"/>
      <c r="O30" s="95">
        <f t="shared" si="2"/>
        <v>0</v>
      </c>
      <c r="P30" s="91"/>
      <c r="Q30" s="90"/>
      <c r="R30" s="89"/>
      <c r="S30" s="90"/>
      <c r="T30" s="97"/>
      <c r="U30" s="96">
        <f>'Suvi Gaz'!O31</f>
        <v>0</v>
      </c>
      <c r="V30" s="94"/>
      <c r="W30" s="95">
        <f t="shared" si="3"/>
        <v>0</v>
      </c>
      <c r="X30" s="137"/>
      <c r="Y30" s="99">
        <f t="shared" si="4"/>
        <v>0</v>
      </c>
      <c r="Z30" s="100">
        <f t="shared" si="5"/>
        <v>0</v>
      </c>
      <c r="AA30" s="94"/>
      <c r="AB30" s="115"/>
      <c r="AC30" s="129"/>
      <c r="AD30" s="125"/>
      <c r="AE30" s="136"/>
      <c r="AF30" s="130"/>
      <c r="AG30" s="134"/>
      <c r="AH30" s="135"/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43883</v>
      </c>
      <c r="C31" s="8"/>
      <c r="D31" s="110">
        <f>'Suivi EAU-ELEC'!C37</f>
        <v>0</v>
      </c>
      <c r="E31" s="89"/>
      <c r="F31" s="234">
        <f t="shared" si="0"/>
        <v>0</v>
      </c>
      <c r="G31" s="234"/>
      <c r="H31" s="235"/>
      <c r="I31" s="92"/>
      <c r="J31" s="117">
        <f>'Suivi EAU-ELEC'!E37</f>
        <v>0</v>
      </c>
      <c r="K31" s="118">
        <f>'Suivi EAU-ELEC'!G37</f>
        <v>0</v>
      </c>
      <c r="L31" s="118">
        <f>'Suivi EAU-ELEC'!I37</f>
        <v>0</v>
      </c>
      <c r="M31" s="119">
        <f t="shared" si="1"/>
        <v>0</v>
      </c>
      <c r="N31" s="92"/>
      <c r="O31" s="95">
        <f t="shared" si="2"/>
        <v>0</v>
      </c>
      <c r="P31" s="91"/>
      <c r="Q31" s="90"/>
      <c r="R31" s="89"/>
      <c r="S31" s="90"/>
      <c r="T31" s="97"/>
      <c r="U31" s="96">
        <f>'Suvi Gaz'!O32</f>
        <v>0</v>
      </c>
      <c r="V31" s="92"/>
      <c r="W31" s="95">
        <f t="shared" si="3"/>
        <v>0</v>
      </c>
      <c r="X31" s="137"/>
      <c r="Y31" s="154">
        <f t="shared" si="4"/>
        <v>0</v>
      </c>
      <c r="Z31" s="100">
        <f t="shared" si="5"/>
        <v>0</v>
      </c>
      <c r="AA31" s="92"/>
      <c r="AB31" s="115"/>
      <c r="AC31" s="129"/>
      <c r="AD31" s="125"/>
      <c r="AE31" s="136"/>
      <c r="AF31" s="130"/>
      <c r="AG31" s="134"/>
      <c r="AH31" s="135"/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43884</v>
      </c>
      <c r="C32" s="8"/>
      <c r="D32" s="110">
        <f>'Suivi EAU-ELEC'!C38</f>
        <v>0</v>
      </c>
      <c r="E32" s="89"/>
      <c r="F32" s="234">
        <f t="shared" si="0"/>
        <v>0</v>
      </c>
      <c r="G32" s="234"/>
      <c r="H32" s="235"/>
      <c r="I32" s="92"/>
      <c r="J32" s="117">
        <f>'Suivi EAU-ELEC'!E38</f>
        <v>0</v>
      </c>
      <c r="K32" s="118">
        <f>'Suivi EAU-ELEC'!G38</f>
        <v>0</v>
      </c>
      <c r="L32" s="118">
        <f>'Suivi EAU-ELEC'!I38</f>
        <v>0</v>
      </c>
      <c r="M32" s="119">
        <f t="shared" si="1"/>
        <v>0</v>
      </c>
      <c r="N32" s="92"/>
      <c r="O32" s="95">
        <f t="shared" si="2"/>
        <v>0</v>
      </c>
      <c r="P32" s="91"/>
      <c r="Q32" s="90"/>
      <c r="R32" s="89"/>
      <c r="S32" s="90"/>
      <c r="T32" s="97"/>
      <c r="U32" s="96">
        <f>'Suvi Gaz'!O33</f>
        <v>0</v>
      </c>
      <c r="V32" s="92"/>
      <c r="W32" s="95">
        <f t="shared" si="3"/>
        <v>0</v>
      </c>
      <c r="X32" s="137"/>
      <c r="Y32" s="99">
        <f t="shared" si="4"/>
        <v>0</v>
      </c>
      <c r="Z32" s="100">
        <f t="shared" si="5"/>
        <v>0</v>
      </c>
      <c r="AA32" s="92"/>
      <c r="AB32" s="115"/>
      <c r="AC32" s="129"/>
      <c r="AD32" s="125"/>
      <c r="AE32" s="136"/>
      <c r="AF32" s="130"/>
      <c r="AG32" s="134"/>
      <c r="AH32" s="135"/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43885</v>
      </c>
      <c r="C33" s="8"/>
      <c r="D33" s="110">
        <f>'Suivi EAU-ELEC'!C39</f>
        <v>0</v>
      </c>
      <c r="E33" s="89"/>
      <c r="F33" s="234">
        <f t="shared" si="0"/>
        <v>0</v>
      </c>
      <c r="G33" s="234"/>
      <c r="H33" s="235"/>
      <c r="I33" s="92"/>
      <c r="J33" s="117">
        <f>'Suivi EAU-ELEC'!E39</f>
        <v>0</v>
      </c>
      <c r="K33" s="118">
        <f>'Suivi EAU-ELEC'!G39</f>
        <v>0</v>
      </c>
      <c r="L33" s="118">
        <f>'Suivi EAU-ELEC'!I39</f>
        <v>0</v>
      </c>
      <c r="M33" s="119">
        <f t="shared" si="1"/>
        <v>0</v>
      </c>
      <c r="N33" s="92"/>
      <c r="O33" s="95">
        <f t="shared" si="2"/>
        <v>0</v>
      </c>
      <c r="P33" s="91"/>
      <c r="Q33" s="90"/>
      <c r="R33" s="89"/>
      <c r="S33" s="90"/>
      <c r="T33" s="97"/>
      <c r="U33" s="96">
        <f>'Suvi Gaz'!O34</f>
        <v>0</v>
      </c>
      <c r="V33" s="92"/>
      <c r="W33" s="95">
        <f t="shared" si="3"/>
        <v>0</v>
      </c>
      <c r="X33" s="137"/>
      <c r="Y33" s="99">
        <f t="shared" si="4"/>
        <v>0</v>
      </c>
      <c r="Z33" s="100">
        <f t="shared" si="5"/>
        <v>0</v>
      </c>
      <c r="AA33" s="92"/>
      <c r="AB33" s="115"/>
      <c r="AC33" s="129"/>
      <c r="AD33" s="125"/>
      <c r="AE33" s="136"/>
      <c r="AF33" s="130"/>
      <c r="AG33" s="134"/>
      <c r="AH33" s="135"/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43886</v>
      </c>
      <c r="C34" s="8"/>
      <c r="D34" s="110">
        <f>'Suivi EAU-ELEC'!C40</f>
        <v>0</v>
      </c>
      <c r="E34" s="89"/>
      <c r="F34" s="234">
        <f t="shared" si="0"/>
        <v>0</v>
      </c>
      <c r="G34" s="234"/>
      <c r="H34" s="235"/>
      <c r="I34" s="92"/>
      <c r="J34" s="117">
        <f>'Suivi EAU-ELEC'!E40</f>
        <v>0</v>
      </c>
      <c r="K34" s="118">
        <f>'Suivi EAU-ELEC'!G40</f>
        <v>0</v>
      </c>
      <c r="L34" s="118">
        <f>'Suivi EAU-ELEC'!I40</f>
        <v>0</v>
      </c>
      <c r="M34" s="119">
        <f t="shared" si="1"/>
        <v>0</v>
      </c>
      <c r="N34" s="92"/>
      <c r="O34" s="95">
        <f t="shared" si="2"/>
        <v>0</v>
      </c>
      <c r="P34" s="91"/>
      <c r="Q34" s="90"/>
      <c r="R34" s="89"/>
      <c r="S34" s="90"/>
      <c r="T34" s="97"/>
      <c r="U34" s="96">
        <f>'Suvi Gaz'!O35</f>
        <v>0</v>
      </c>
      <c r="V34" s="92"/>
      <c r="W34" s="95">
        <f t="shared" si="3"/>
        <v>0</v>
      </c>
      <c r="X34" s="137"/>
      <c r="Y34" s="99">
        <f t="shared" si="4"/>
        <v>0</v>
      </c>
      <c r="Z34" s="100">
        <f t="shared" si="5"/>
        <v>0</v>
      </c>
      <c r="AA34" s="92"/>
      <c r="AB34" s="115"/>
      <c r="AC34" s="129"/>
      <c r="AD34" s="125"/>
      <c r="AE34" s="136"/>
      <c r="AF34" s="130"/>
      <c r="AG34" s="134"/>
      <c r="AH34" s="135"/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43887</v>
      </c>
      <c r="C35" s="8"/>
      <c r="D35" s="110">
        <f>'Suivi EAU-ELEC'!C41</f>
        <v>0</v>
      </c>
      <c r="E35" s="89"/>
      <c r="F35" s="234">
        <f t="shared" si="0"/>
        <v>0</v>
      </c>
      <c r="G35" s="234"/>
      <c r="H35" s="235"/>
      <c r="I35" s="92"/>
      <c r="J35" s="117">
        <f>'Suivi EAU-ELEC'!E41</f>
        <v>0</v>
      </c>
      <c r="K35" s="118">
        <f>'Suivi EAU-ELEC'!G41</f>
        <v>0</v>
      </c>
      <c r="L35" s="118">
        <f>'Suivi EAU-ELEC'!I41</f>
        <v>0</v>
      </c>
      <c r="M35" s="119">
        <f t="shared" si="1"/>
        <v>0</v>
      </c>
      <c r="N35" s="92"/>
      <c r="O35" s="95">
        <f t="shared" si="2"/>
        <v>0</v>
      </c>
      <c r="P35" s="91"/>
      <c r="Q35" s="90"/>
      <c r="R35" s="89"/>
      <c r="S35" s="90"/>
      <c r="T35" s="97"/>
      <c r="U35" s="96">
        <f>'Suvi Gaz'!O36</f>
        <v>0</v>
      </c>
      <c r="V35" s="92"/>
      <c r="W35" s="95">
        <f t="shared" si="3"/>
        <v>0</v>
      </c>
      <c r="X35" s="137"/>
      <c r="Y35" s="99">
        <f t="shared" si="4"/>
        <v>0</v>
      </c>
      <c r="Z35" s="100">
        <f t="shared" si="5"/>
        <v>0</v>
      </c>
      <c r="AA35" s="92"/>
      <c r="AB35" s="115"/>
      <c r="AC35" s="129"/>
      <c r="AD35" s="125"/>
      <c r="AE35" s="136"/>
      <c r="AF35" s="130"/>
      <c r="AG35" s="134"/>
      <c r="AH35" s="135"/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43888</v>
      </c>
      <c r="C36" s="8"/>
      <c r="D36" s="110">
        <f>'Suivi EAU-ELEC'!C42</f>
        <v>0</v>
      </c>
      <c r="E36" s="89"/>
      <c r="F36" s="234">
        <f t="shared" si="0"/>
        <v>0</v>
      </c>
      <c r="G36" s="234"/>
      <c r="H36" s="235"/>
      <c r="I36" s="92"/>
      <c r="J36" s="117">
        <f>'Suivi EAU-ELEC'!E42</f>
        <v>0</v>
      </c>
      <c r="K36" s="118">
        <f>'Suivi EAU-ELEC'!G42</f>
        <v>0</v>
      </c>
      <c r="L36" s="118">
        <f>'Suivi EAU-ELEC'!I42</f>
        <v>0</v>
      </c>
      <c r="M36" s="119">
        <f t="shared" si="1"/>
        <v>0</v>
      </c>
      <c r="N36" s="92"/>
      <c r="O36" s="95">
        <f t="shared" si="2"/>
        <v>0</v>
      </c>
      <c r="P36" s="91"/>
      <c r="Q36" s="90"/>
      <c r="R36" s="89"/>
      <c r="S36" s="90"/>
      <c r="T36" s="97"/>
      <c r="U36" s="96">
        <f>'Suvi Gaz'!O37</f>
        <v>0</v>
      </c>
      <c r="V36" s="92"/>
      <c r="W36" s="95">
        <f t="shared" si="3"/>
        <v>0</v>
      </c>
      <c r="X36" s="137"/>
      <c r="Y36" s="99">
        <f t="shared" si="4"/>
        <v>0</v>
      </c>
      <c r="Z36" s="100">
        <f t="shared" si="5"/>
        <v>0</v>
      </c>
      <c r="AA36" s="92"/>
      <c r="AB36" s="115"/>
      <c r="AC36" s="129"/>
      <c r="AD36" s="125"/>
      <c r="AE36" s="136"/>
      <c r="AF36" s="130"/>
      <c r="AG36" s="134"/>
      <c r="AH36" s="135"/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43889</v>
      </c>
      <c r="C37" s="8"/>
      <c r="D37" s="110">
        <f>'Suivi EAU-ELEC'!C43</f>
        <v>0</v>
      </c>
      <c r="E37" s="89"/>
      <c r="F37" s="234">
        <f t="shared" si="0"/>
        <v>0</v>
      </c>
      <c r="G37" s="234"/>
      <c r="H37" s="235"/>
      <c r="I37" s="92"/>
      <c r="J37" s="117">
        <f>'Suivi EAU-ELEC'!E43</f>
        <v>0</v>
      </c>
      <c r="K37" s="118">
        <f>'Suivi EAU-ELEC'!G43</f>
        <v>0</v>
      </c>
      <c r="L37" s="118">
        <f>'Suivi EAU-ELEC'!I43</f>
        <v>0</v>
      </c>
      <c r="M37" s="119">
        <f t="shared" si="1"/>
        <v>0</v>
      </c>
      <c r="N37" s="92"/>
      <c r="O37" s="95">
        <f t="shared" si="2"/>
        <v>0</v>
      </c>
      <c r="P37" s="91"/>
      <c r="Q37" s="90"/>
      <c r="R37" s="89"/>
      <c r="S37" s="90"/>
      <c r="T37" s="97"/>
      <c r="U37" s="96">
        <f>'Suvi Gaz'!O38</f>
        <v>0</v>
      </c>
      <c r="V37" s="92"/>
      <c r="W37" s="95">
        <f t="shared" si="3"/>
        <v>0</v>
      </c>
      <c r="X37" s="137"/>
      <c r="Y37" s="99">
        <f t="shared" si="4"/>
        <v>0</v>
      </c>
      <c r="Z37" s="100">
        <f t="shared" si="5"/>
        <v>0</v>
      </c>
      <c r="AA37" s="92"/>
      <c r="AB37" s="115"/>
      <c r="AC37" s="129"/>
      <c r="AD37" s="125"/>
      <c r="AE37" s="136"/>
      <c r="AF37" s="130"/>
      <c r="AG37" s="134"/>
      <c r="AH37" s="135"/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43890</v>
      </c>
      <c r="C38" s="8"/>
      <c r="D38" s="110">
        <f>'Suivi EAU-ELEC'!C44</f>
        <v>0</v>
      </c>
      <c r="E38" s="89"/>
      <c r="F38" s="234">
        <f t="shared" si="0"/>
        <v>0</v>
      </c>
      <c r="G38" s="234"/>
      <c r="H38" s="235"/>
      <c r="I38" s="92"/>
      <c r="J38" s="117">
        <f>'Suivi EAU-ELEC'!E44</f>
        <v>0</v>
      </c>
      <c r="K38" s="118">
        <f>'Suivi EAU-ELEC'!G44</f>
        <v>0</v>
      </c>
      <c r="L38" s="118">
        <f>'Suivi EAU-ELEC'!I44</f>
        <v>0</v>
      </c>
      <c r="M38" s="119">
        <f t="shared" si="1"/>
        <v>0</v>
      </c>
      <c r="N38" s="92"/>
      <c r="O38" s="95">
        <f t="shared" si="2"/>
        <v>0</v>
      </c>
      <c r="P38" s="91"/>
      <c r="Q38" s="90"/>
      <c r="R38" s="89"/>
      <c r="S38" s="90"/>
      <c r="T38" s="97"/>
      <c r="U38" s="96">
        <f>'Suvi Gaz'!O39</f>
        <v>0</v>
      </c>
      <c r="V38" s="92"/>
      <c r="W38" s="95">
        <f t="shared" si="3"/>
        <v>0</v>
      </c>
      <c r="X38" s="137"/>
      <c r="Y38" s="99">
        <f t="shared" si="4"/>
        <v>0</v>
      </c>
      <c r="Z38" s="100">
        <f t="shared" si="5"/>
        <v>0</v>
      </c>
      <c r="AA38" s="92"/>
      <c r="AB38" s="115"/>
      <c r="AC38" s="129"/>
      <c r="AD38" s="125"/>
      <c r="AE38" s="136"/>
      <c r="AF38" s="127"/>
      <c r="AG38" s="134"/>
      <c r="AH38" s="135"/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43891</v>
      </c>
      <c r="C39" s="8"/>
      <c r="D39" s="110">
        <f>'Suivi EAU-ELEC'!C45</f>
        <v>0</v>
      </c>
      <c r="E39" s="89"/>
      <c r="F39" s="234">
        <f t="shared" si="0"/>
        <v>0</v>
      </c>
      <c r="G39" s="234"/>
      <c r="H39" s="235"/>
      <c r="I39" s="92"/>
      <c r="J39" s="117">
        <f>'Suivi EAU-ELEC'!E45</f>
        <v>0</v>
      </c>
      <c r="K39" s="118">
        <f>'Suivi EAU-ELEC'!G45</f>
        <v>0</v>
      </c>
      <c r="L39" s="118">
        <f>'Suivi EAU-ELEC'!I45</f>
        <v>0</v>
      </c>
      <c r="M39" s="119">
        <f t="shared" si="1"/>
        <v>0</v>
      </c>
      <c r="N39" s="92"/>
      <c r="O39" s="95">
        <f t="shared" si="2"/>
        <v>0</v>
      </c>
      <c r="P39" s="91"/>
      <c r="Q39" s="90"/>
      <c r="R39" s="89"/>
      <c r="S39" s="90"/>
      <c r="T39" s="97"/>
      <c r="U39" s="96">
        <f>'Suvi Gaz'!O40</f>
        <v>0</v>
      </c>
      <c r="V39" s="92"/>
      <c r="W39" s="95">
        <f t="shared" si="3"/>
        <v>0</v>
      </c>
      <c r="X39" s="137"/>
      <c r="Y39" s="99">
        <f t="shared" si="4"/>
        <v>0</v>
      </c>
      <c r="Z39" s="100">
        <f t="shared" si="5"/>
        <v>0</v>
      </c>
      <c r="AA39" s="92"/>
      <c r="AB39" s="115"/>
      <c r="AC39" s="129"/>
      <c r="AD39" s="125"/>
      <c r="AE39" s="136"/>
      <c r="AF39" s="130"/>
      <c r="AG39" s="134"/>
      <c r="AH39" s="135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43892</v>
      </c>
      <c r="C40" s="8"/>
      <c r="D40" s="110">
        <f>'Suivi EAU-ELEC'!C46</f>
        <v>0</v>
      </c>
      <c r="E40" s="114"/>
      <c r="F40" s="234">
        <f t="shared" si="0"/>
        <v>0</v>
      </c>
      <c r="G40" s="234"/>
      <c r="H40" s="235"/>
      <c r="I40" s="92"/>
      <c r="J40" s="117">
        <f>'Suivi EAU-ELEC'!E46</f>
        <v>0</v>
      </c>
      <c r="K40" s="118">
        <f>'Suivi EAU-ELEC'!G46</f>
        <v>0</v>
      </c>
      <c r="L40" s="118">
        <f>'Suivi EAU-ELEC'!I46</f>
        <v>0</v>
      </c>
      <c r="M40" s="119">
        <f t="shared" si="1"/>
        <v>0</v>
      </c>
      <c r="N40" s="92"/>
      <c r="O40" s="95">
        <f t="shared" si="2"/>
        <v>0</v>
      </c>
      <c r="P40" s="91"/>
      <c r="Q40" s="90"/>
      <c r="R40" s="89"/>
      <c r="S40" s="90"/>
      <c r="T40" s="97"/>
      <c r="U40" s="96">
        <f>'Suvi Gaz'!O41</f>
        <v>0</v>
      </c>
      <c r="V40" s="92"/>
      <c r="W40" s="95">
        <f t="shared" si="3"/>
        <v>0</v>
      </c>
      <c r="X40" s="133"/>
      <c r="Y40" s="120">
        <f t="shared" si="4"/>
        <v>0</v>
      </c>
      <c r="Z40" s="100">
        <f t="shared" si="5"/>
        <v>0</v>
      </c>
      <c r="AA40" s="92"/>
      <c r="AB40" s="123"/>
      <c r="AC40" s="124"/>
      <c r="AD40" s="131"/>
      <c r="AE40" s="143"/>
      <c r="AF40" s="146"/>
      <c r="AG40" s="126"/>
      <c r="AH40" s="147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7">
        <f>SUM(D10:D38)</f>
        <v>6320</v>
      </c>
      <c r="E41" s="1"/>
      <c r="F41" s="197">
        <v>470</v>
      </c>
      <c r="G41" s="198"/>
      <c r="H41" s="199"/>
      <c r="I41" s="1"/>
      <c r="J41" s="87">
        <f>SUM(J10:J38)</f>
        <v>58779</v>
      </c>
      <c r="K41" s="87">
        <f>SUM(K10:K38)</f>
        <v>86414</v>
      </c>
      <c r="L41" s="87">
        <f>SUM(L10:L38)</f>
        <v>43079</v>
      </c>
      <c r="M41" s="87">
        <f>SUM(M10:M38)</f>
        <v>188272</v>
      </c>
      <c r="N41" s="28"/>
      <c r="O41" s="197">
        <f>SUM(O10:O38)</f>
        <v>188648.54399999997</v>
      </c>
      <c r="P41" s="198"/>
      <c r="Q41" s="199"/>
      <c r="R41" s="28"/>
      <c r="S41" s="88">
        <f>SUM(S10:S40)</f>
        <v>0</v>
      </c>
      <c r="T41" s="28"/>
      <c r="U41" s="87">
        <f>SUM(U10:U38)</f>
        <v>11018.7</v>
      </c>
      <c r="V41" s="28"/>
      <c r="W41" s="87">
        <f>SUM(W10:W38)</f>
        <v>103197.83859000001</v>
      </c>
      <c r="X41" s="128"/>
      <c r="Y41" s="87">
        <f>SUM(Y10:Y38)</f>
        <v>172.82000000000335</v>
      </c>
      <c r="Z41" s="87">
        <f>SUM(Z10:Z38)</f>
        <v>91594.600000001781</v>
      </c>
      <c r="AA41" s="1"/>
      <c r="AB41" s="150"/>
      <c r="AC41" s="152"/>
      <c r="AD41" s="151"/>
      <c r="AE41" s="149"/>
      <c r="AF41" s="149"/>
      <c r="AG41" s="153"/>
      <c r="AH41" s="153"/>
      <c r="AI41" s="145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236"/>
      <c r="G42" s="236"/>
      <c r="H42" s="236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6"/>
      <c r="AI42" s="73"/>
      <c r="AJ42" s="73"/>
      <c r="AK42" s="73"/>
    </row>
    <row r="43" spans="1:37" s="22" customFormat="1" ht="36.75" customHeight="1" thickBot="1" x14ac:dyDescent="0.25">
      <c r="A43" s="200" t="s">
        <v>10</v>
      </c>
      <c r="B43" s="201"/>
      <c r="C43" s="202"/>
      <c r="D43" s="19" t="s">
        <v>7</v>
      </c>
      <c r="E43" s="53"/>
      <c r="F43" s="20">
        <v>1.002</v>
      </c>
      <c r="G43" s="206">
        <f>J41</f>
        <v>58779</v>
      </c>
      <c r="H43" s="207"/>
      <c r="I43" s="208"/>
      <c r="J43" s="223">
        <f>G43*F43</f>
        <v>58896.557999999997</v>
      </c>
      <c r="K43" s="224"/>
      <c r="L43" s="225">
        <f>J43+J44+J45</f>
        <v>188648.54399999999</v>
      </c>
      <c r="M43" s="226"/>
      <c r="N43" s="226"/>
      <c r="O43" s="226"/>
      <c r="P43" s="226"/>
      <c r="Q43" s="226"/>
      <c r="R43" s="226"/>
      <c r="S43" s="226"/>
      <c r="T43" s="226"/>
      <c r="U43" s="227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6"/>
      <c r="AJ43" s="76"/>
      <c r="AK43" s="76"/>
    </row>
    <row r="44" spans="1:37" s="22" customFormat="1" ht="36.75" customHeight="1" thickBot="1" x14ac:dyDescent="0.25">
      <c r="A44" s="203"/>
      <c r="B44" s="204"/>
      <c r="C44" s="205"/>
      <c r="D44" s="17" t="s">
        <v>8</v>
      </c>
      <c r="E44" s="53"/>
      <c r="F44" s="20">
        <v>1.002</v>
      </c>
      <c r="G44" s="206">
        <f>K41</f>
        <v>86414</v>
      </c>
      <c r="H44" s="207"/>
      <c r="I44" s="208"/>
      <c r="J44" s="223">
        <f>G44*F44</f>
        <v>86586.827999999994</v>
      </c>
      <c r="K44" s="224"/>
      <c r="L44" s="228"/>
      <c r="M44" s="229"/>
      <c r="N44" s="229"/>
      <c r="O44" s="229"/>
      <c r="P44" s="229"/>
      <c r="Q44" s="229"/>
      <c r="R44" s="229"/>
      <c r="S44" s="229"/>
      <c r="T44" s="229"/>
      <c r="U44" s="230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203"/>
      <c r="B45" s="204"/>
      <c r="C45" s="205"/>
      <c r="D45" s="23" t="s">
        <v>9</v>
      </c>
      <c r="E45" s="54"/>
      <c r="F45" s="20">
        <v>1.002</v>
      </c>
      <c r="G45" s="206">
        <f>L41</f>
        <v>43079</v>
      </c>
      <c r="H45" s="207"/>
      <c r="I45" s="208"/>
      <c r="J45" s="223">
        <f>G45*F45</f>
        <v>43165.158000000003</v>
      </c>
      <c r="K45" s="224"/>
      <c r="L45" s="231"/>
      <c r="M45" s="232"/>
      <c r="N45" s="232"/>
      <c r="O45" s="232"/>
      <c r="P45" s="232"/>
      <c r="Q45" s="232"/>
      <c r="R45" s="232"/>
      <c r="S45" s="232"/>
      <c r="T45" s="232"/>
      <c r="U45" s="233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94" t="s">
        <v>11</v>
      </c>
      <c r="B46" s="195"/>
      <c r="C46" s="195"/>
      <c r="D46" s="196"/>
      <c r="E46" s="53"/>
      <c r="F46" s="24">
        <v>12.67</v>
      </c>
      <c r="G46" s="194">
        <f>D41</f>
        <v>6320</v>
      </c>
      <c r="H46" s="195"/>
      <c r="I46" s="196"/>
      <c r="J46" s="209">
        <f>G46*F46</f>
        <v>80074.399999999994</v>
      </c>
      <c r="K46" s="210"/>
      <c r="L46" s="217">
        <f>J46</f>
        <v>80074.399999999994</v>
      </c>
      <c r="M46" s="218"/>
      <c r="N46" s="218"/>
      <c r="O46" s="218"/>
      <c r="P46" s="218"/>
      <c r="Q46" s="218"/>
      <c r="R46" s="218"/>
      <c r="S46" s="218"/>
      <c r="T46" s="218"/>
      <c r="U46" s="219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214" t="s">
        <v>13</v>
      </c>
      <c r="B47" s="215"/>
      <c r="C47" s="215"/>
      <c r="D47" s="216"/>
      <c r="E47" s="53"/>
      <c r="F47" s="26">
        <v>9.3657000000000004</v>
      </c>
      <c r="G47" s="211">
        <f>U41</f>
        <v>11018.7</v>
      </c>
      <c r="H47" s="212"/>
      <c r="I47" s="213"/>
      <c r="J47" s="211">
        <f>G47*F47</f>
        <v>103197.83859000001</v>
      </c>
      <c r="K47" s="213"/>
      <c r="L47" s="220">
        <f>J47</f>
        <v>103197.83859000001</v>
      </c>
      <c r="M47" s="221"/>
      <c r="N47" s="221"/>
      <c r="O47" s="221"/>
      <c r="P47" s="221"/>
      <c r="Q47" s="221"/>
      <c r="R47" s="221"/>
      <c r="S47" s="221"/>
      <c r="T47" s="221"/>
      <c r="U47" s="222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  <c r="AA55" s="169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21:H21"/>
    <mergeCell ref="J43:K43"/>
    <mergeCell ref="F32:H32"/>
    <mergeCell ref="F40:H40"/>
    <mergeCell ref="F39:H39"/>
    <mergeCell ref="F37:H37"/>
    <mergeCell ref="F42:H42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G8:AG9"/>
    <mergeCell ref="AH8:AH9"/>
    <mergeCell ref="AE8:AE9"/>
    <mergeCell ref="AF8:AF9"/>
    <mergeCell ref="AD8:AD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M48" sqref="M48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56" t="s">
        <v>0</v>
      </c>
      <c r="B1" s="256"/>
      <c r="C1" s="257"/>
      <c r="D1" s="258" t="s">
        <v>57</v>
      </c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60"/>
      <c r="AA1" s="261"/>
      <c r="AB1" s="262"/>
      <c r="AC1" s="262"/>
    </row>
    <row r="2" spans="1:31" ht="41.25" customHeight="1" thickBot="1" x14ac:dyDescent="0.4">
      <c r="A2" s="79"/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6"/>
      <c r="Q2" s="263">
        <v>803</v>
      </c>
      <c r="R2" s="264"/>
      <c r="S2" s="264"/>
      <c r="T2" s="264">
        <v>519</v>
      </c>
      <c r="U2" s="264"/>
      <c r="V2" s="264"/>
      <c r="W2" s="264">
        <v>800</v>
      </c>
      <c r="X2" s="264"/>
      <c r="Y2" s="264"/>
      <c r="Z2" s="264">
        <v>802</v>
      </c>
      <c r="AA2" s="264"/>
      <c r="AB2" s="267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43855</v>
      </c>
      <c r="B4" s="138">
        <v>73</v>
      </c>
      <c r="C4" s="139">
        <f t="shared" ref="C4:C23" si="0">IF(AC4&gt;0,((B4-R4)+(S4-B5)),IF(B5=0, ,(B4-B5)))</f>
        <v>11</v>
      </c>
      <c r="D4" s="138">
        <v>74</v>
      </c>
      <c r="E4" s="139">
        <f t="shared" ref="E4:E23" si="1">IF(AC4&gt;0,((D4-U4)+(V4-D5)),IF(D5=0, ,(D4-D5)))</f>
        <v>10</v>
      </c>
      <c r="F4" s="138">
        <v>68</v>
      </c>
      <c r="G4" s="139">
        <f t="shared" ref="G4:G23" si="2">IF(AC4&gt;0,((F4-X4)+(Y4-F5)),IF(F5=0, ,(F4-F5)))</f>
        <v>6</v>
      </c>
      <c r="H4" s="138">
        <v>64</v>
      </c>
      <c r="I4" s="139">
        <f t="shared" ref="I4:I42" si="3">IF(AC4&gt;0,((H4-AA4)+(AB4-H5)),IF(H5=0, ,(H4-H5)))</f>
        <v>4</v>
      </c>
      <c r="J4" s="139">
        <f t="shared" ref="J4:J42" si="4">B4+D4+F4+H4</f>
        <v>279</v>
      </c>
      <c r="K4" s="139">
        <f t="shared" ref="K4:K42" si="5">J4/4</f>
        <v>69.75</v>
      </c>
      <c r="L4" s="139">
        <f t="shared" ref="L4:L42" si="6">IF(AC4&gt;0,((K4-AD4)+(AE4-K5)),IF(K5=0, ,(K4-K5)))</f>
        <v>7.75</v>
      </c>
      <c r="M4" s="139">
        <f t="shared" ref="M4:M42" si="7">7000*4</f>
        <v>28000</v>
      </c>
      <c r="N4" s="139">
        <f t="shared" ref="N4:N42" si="8">L4*M4/100</f>
        <v>2170</v>
      </c>
      <c r="O4" s="139">
        <f t="shared" ref="O4:O42" si="9">N4*0.53</f>
        <v>1150.1000000000001</v>
      </c>
      <c r="P4" s="38">
        <f>O4*8.8038</f>
        <v>10125.250380000001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35">
        <f>Q4+T4+W4+Z4</f>
        <v>0</v>
      </c>
      <c r="AD4" s="80">
        <f t="shared" ref="AD4:AE7" si="10">(R4+U4+X4+AA4)/4</f>
        <v>0</v>
      </c>
      <c r="AE4" s="80">
        <f t="shared" si="10"/>
        <v>0</v>
      </c>
    </row>
    <row r="5" spans="1:31" ht="32.25" customHeight="1" x14ac:dyDescent="0.3">
      <c r="A5" s="36">
        <f>(A4+1)</f>
        <v>43856</v>
      </c>
      <c r="B5" s="138">
        <v>62</v>
      </c>
      <c r="C5" s="139">
        <f t="shared" si="0"/>
        <v>8</v>
      </c>
      <c r="D5" s="138">
        <v>64</v>
      </c>
      <c r="E5" s="139">
        <f t="shared" si="1"/>
        <v>6</v>
      </c>
      <c r="F5" s="138">
        <v>62</v>
      </c>
      <c r="G5" s="139">
        <f t="shared" si="2"/>
        <v>11</v>
      </c>
      <c r="H5" s="138">
        <v>60</v>
      </c>
      <c r="I5" s="139">
        <f t="shared" si="3"/>
        <v>8</v>
      </c>
      <c r="J5" s="139">
        <f t="shared" si="4"/>
        <v>248</v>
      </c>
      <c r="K5" s="139">
        <f t="shared" si="5"/>
        <v>62</v>
      </c>
      <c r="L5" s="139">
        <f t="shared" si="6"/>
        <v>8.25</v>
      </c>
      <c r="M5" s="139">
        <f t="shared" si="7"/>
        <v>28000</v>
      </c>
      <c r="N5" s="139">
        <f t="shared" si="8"/>
        <v>2310</v>
      </c>
      <c r="O5" s="139">
        <f t="shared" si="9"/>
        <v>1224.3</v>
      </c>
      <c r="P5" s="38">
        <f t="shared" ref="P5:P10" si="11">O5*8.8038</f>
        <v>10778.492340000001</v>
      </c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35">
        <f>Q5+T5+W5+Z5</f>
        <v>0</v>
      </c>
      <c r="AD5" s="80">
        <f t="shared" si="10"/>
        <v>0</v>
      </c>
      <c r="AE5" s="80">
        <f t="shared" si="10"/>
        <v>0</v>
      </c>
    </row>
    <row r="6" spans="1:31" ht="32.25" customHeight="1" x14ac:dyDescent="0.3">
      <c r="A6" s="36">
        <f t="shared" ref="A6:A42" si="12">(A5+1)</f>
        <v>43857</v>
      </c>
      <c r="B6" s="138">
        <v>54</v>
      </c>
      <c r="C6" s="139">
        <f t="shared" si="0"/>
        <v>5</v>
      </c>
      <c r="D6" s="138">
        <v>58</v>
      </c>
      <c r="E6" s="139">
        <f t="shared" si="1"/>
        <v>8</v>
      </c>
      <c r="F6" s="138">
        <v>51</v>
      </c>
      <c r="G6" s="139">
        <f t="shared" si="2"/>
        <v>4</v>
      </c>
      <c r="H6" s="138">
        <v>52</v>
      </c>
      <c r="I6" s="139">
        <f t="shared" si="3"/>
        <v>5</v>
      </c>
      <c r="J6" s="139">
        <f t="shared" si="4"/>
        <v>215</v>
      </c>
      <c r="K6" s="139">
        <f t="shared" si="5"/>
        <v>53.75</v>
      </c>
      <c r="L6" s="139">
        <f t="shared" si="6"/>
        <v>5.5</v>
      </c>
      <c r="M6" s="139">
        <f t="shared" si="7"/>
        <v>28000</v>
      </c>
      <c r="N6" s="139">
        <f t="shared" si="8"/>
        <v>1540</v>
      </c>
      <c r="O6" s="139">
        <f t="shared" si="9"/>
        <v>816.2</v>
      </c>
      <c r="P6" s="38">
        <f t="shared" si="11"/>
        <v>7185.6615600000014</v>
      </c>
      <c r="Q6" s="139">
        <v>2999</v>
      </c>
      <c r="R6" s="139">
        <v>50</v>
      </c>
      <c r="S6" s="139">
        <v>86</v>
      </c>
      <c r="T6" s="139">
        <v>3005</v>
      </c>
      <c r="U6" s="139">
        <v>52</v>
      </c>
      <c r="V6" s="139">
        <v>87</v>
      </c>
      <c r="W6" s="139">
        <v>2999</v>
      </c>
      <c r="X6" s="139">
        <v>50</v>
      </c>
      <c r="Y6" s="139">
        <v>86</v>
      </c>
      <c r="Z6" s="139">
        <v>3001</v>
      </c>
      <c r="AA6" s="139">
        <v>50</v>
      </c>
      <c r="AB6" s="139">
        <v>86</v>
      </c>
      <c r="AC6" s="35">
        <f>Q6+T6+W6+Z6</f>
        <v>12004</v>
      </c>
      <c r="AD6" s="80">
        <f t="shared" si="10"/>
        <v>50.5</v>
      </c>
      <c r="AE6" s="80">
        <f t="shared" si="10"/>
        <v>86.25</v>
      </c>
    </row>
    <row r="7" spans="1:31" ht="32.25" customHeight="1" x14ac:dyDescent="0.3">
      <c r="A7" s="36">
        <f t="shared" si="12"/>
        <v>43858</v>
      </c>
      <c r="B7" s="138">
        <v>85</v>
      </c>
      <c r="C7" s="139">
        <f t="shared" si="0"/>
        <v>12</v>
      </c>
      <c r="D7" s="138">
        <v>85</v>
      </c>
      <c r="E7" s="139">
        <f t="shared" si="1"/>
        <v>10</v>
      </c>
      <c r="F7" s="138">
        <v>83</v>
      </c>
      <c r="G7" s="139">
        <f t="shared" si="2"/>
        <v>13</v>
      </c>
      <c r="H7" s="138">
        <v>83</v>
      </c>
      <c r="I7" s="139">
        <f t="shared" si="3"/>
        <v>13</v>
      </c>
      <c r="J7" s="139">
        <f t="shared" si="4"/>
        <v>336</v>
      </c>
      <c r="K7" s="139">
        <f t="shared" si="5"/>
        <v>84</v>
      </c>
      <c r="L7" s="139">
        <f t="shared" si="6"/>
        <v>12</v>
      </c>
      <c r="M7" s="139">
        <f t="shared" si="7"/>
        <v>28000</v>
      </c>
      <c r="N7" s="139">
        <f t="shared" si="8"/>
        <v>3360</v>
      </c>
      <c r="O7" s="139">
        <f t="shared" si="9"/>
        <v>1780.8000000000002</v>
      </c>
      <c r="P7" s="38">
        <f t="shared" si="11"/>
        <v>15677.807040000003</v>
      </c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35">
        <f>Q7+T7+W7+Z7</f>
        <v>0</v>
      </c>
      <c r="AD7" s="80">
        <f t="shared" si="10"/>
        <v>0</v>
      </c>
      <c r="AE7" s="80">
        <f t="shared" si="10"/>
        <v>0</v>
      </c>
    </row>
    <row r="8" spans="1:31" ht="32.25" customHeight="1" x14ac:dyDescent="0.3">
      <c r="A8" s="36">
        <f t="shared" si="12"/>
        <v>43859</v>
      </c>
      <c r="B8" s="138">
        <v>73</v>
      </c>
      <c r="C8" s="139">
        <f t="shared" si="0"/>
        <v>8</v>
      </c>
      <c r="D8" s="138">
        <v>75</v>
      </c>
      <c r="E8" s="139">
        <f t="shared" si="1"/>
        <v>7</v>
      </c>
      <c r="F8" s="138">
        <v>70</v>
      </c>
      <c r="G8" s="139">
        <f t="shared" si="2"/>
        <v>8</v>
      </c>
      <c r="H8" s="138">
        <v>70</v>
      </c>
      <c r="I8" s="139">
        <f t="shared" si="3"/>
        <v>7</v>
      </c>
      <c r="J8" s="139">
        <f t="shared" si="4"/>
        <v>288</v>
      </c>
      <c r="K8" s="139">
        <f t="shared" si="5"/>
        <v>72</v>
      </c>
      <c r="L8" s="139">
        <f t="shared" si="6"/>
        <v>7.5</v>
      </c>
      <c r="M8" s="139">
        <f t="shared" si="7"/>
        <v>28000</v>
      </c>
      <c r="N8" s="139">
        <f t="shared" si="8"/>
        <v>2100</v>
      </c>
      <c r="O8" s="139">
        <f t="shared" si="9"/>
        <v>1113</v>
      </c>
      <c r="P8" s="38">
        <f t="shared" si="11"/>
        <v>9798.6294000000016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43860</v>
      </c>
      <c r="B9" s="138">
        <v>65</v>
      </c>
      <c r="C9" s="139">
        <f t="shared" si="0"/>
        <v>7</v>
      </c>
      <c r="D9" s="138">
        <v>68</v>
      </c>
      <c r="E9" s="139">
        <f t="shared" si="1"/>
        <v>8</v>
      </c>
      <c r="F9" s="138">
        <v>62</v>
      </c>
      <c r="G9" s="139">
        <f t="shared" si="2"/>
        <v>7</v>
      </c>
      <c r="H9" s="138">
        <v>63</v>
      </c>
      <c r="I9" s="139">
        <f t="shared" si="3"/>
        <v>8</v>
      </c>
      <c r="J9" s="139">
        <f t="shared" si="4"/>
        <v>258</v>
      </c>
      <c r="K9" s="139">
        <f t="shared" si="5"/>
        <v>64.5</v>
      </c>
      <c r="L9" s="139">
        <f t="shared" si="6"/>
        <v>7.5</v>
      </c>
      <c r="M9" s="139">
        <f t="shared" si="7"/>
        <v>28000</v>
      </c>
      <c r="N9" s="139">
        <f t="shared" si="8"/>
        <v>2100</v>
      </c>
      <c r="O9" s="139">
        <f t="shared" si="9"/>
        <v>1113</v>
      </c>
      <c r="P9" s="38">
        <f t="shared" si="11"/>
        <v>9798.6294000000016</v>
      </c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43861</v>
      </c>
      <c r="B10" s="138">
        <v>58</v>
      </c>
      <c r="C10" s="139">
        <f t="shared" si="0"/>
        <v>14</v>
      </c>
      <c r="D10" s="138">
        <v>60</v>
      </c>
      <c r="E10" s="139">
        <f t="shared" si="1"/>
        <v>9</v>
      </c>
      <c r="F10" s="138">
        <v>55</v>
      </c>
      <c r="G10" s="139">
        <f t="shared" si="2"/>
        <v>14</v>
      </c>
      <c r="H10" s="138">
        <v>55</v>
      </c>
      <c r="I10" s="139">
        <f t="shared" si="3"/>
        <v>15</v>
      </c>
      <c r="J10" s="139">
        <f t="shared" si="4"/>
        <v>228</v>
      </c>
      <c r="K10" s="139">
        <f t="shared" si="5"/>
        <v>57</v>
      </c>
      <c r="L10" s="139">
        <f t="shared" si="6"/>
        <v>13</v>
      </c>
      <c r="M10" s="139">
        <f t="shared" si="7"/>
        <v>28000</v>
      </c>
      <c r="N10" s="139">
        <f t="shared" si="8"/>
        <v>3640</v>
      </c>
      <c r="O10" s="139">
        <f t="shared" si="9"/>
        <v>1929.2</v>
      </c>
      <c r="P10" s="38">
        <f t="shared" si="11"/>
        <v>16984.290960000002</v>
      </c>
      <c r="Q10" s="139">
        <v>2200</v>
      </c>
      <c r="R10" s="139">
        <v>50</v>
      </c>
      <c r="S10" s="139">
        <v>80</v>
      </c>
      <c r="T10" s="139">
        <v>2200</v>
      </c>
      <c r="U10" s="139">
        <v>55</v>
      </c>
      <c r="V10" s="139">
        <v>82</v>
      </c>
      <c r="W10" s="139">
        <v>2301</v>
      </c>
      <c r="X10" s="139">
        <v>48</v>
      </c>
      <c r="Y10" s="139">
        <v>78</v>
      </c>
      <c r="Z10" s="139">
        <v>2360</v>
      </c>
      <c r="AA10" s="139">
        <v>48</v>
      </c>
      <c r="AB10" s="139">
        <v>78</v>
      </c>
      <c r="AC10" s="35">
        <f t="shared" si="13"/>
        <v>9061</v>
      </c>
      <c r="AD10" s="80">
        <f t="shared" si="14"/>
        <v>50.25</v>
      </c>
      <c r="AE10" s="80">
        <f t="shared" si="15"/>
        <v>79.5</v>
      </c>
    </row>
    <row r="11" spans="1:31" ht="32.25" customHeight="1" x14ac:dyDescent="0.3">
      <c r="A11" s="36">
        <f t="shared" si="12"/>
        <v>43862</v>
      </c>
      <c r="B11" s="138">
        <v>74</v>
      </c>
      <c r="C11" s="139">
        <f t="shared" si="0"/>
        <v>14</v>
      </c>
      <c r="D11" s="138">
        <v>78</v>
      </c>
      <c r="E11" s="139">
        <f t="shared" si="1"/>
        <v>13</v>
      </c>
      <c r="F11" s="138">
        <v>71</v>
      </c>
      <c r="G11" s="139">
        <f t="shared" si="2"/>
        <v>11</v>
      </c>
      <c r="H11" s="138">
        <v>70</v>
      </c>
      <c r="I11" s="139">
        <f t="shared" si="3"/>
        <v>10</v>
      </c>
      <c r="J11" s="139">
        <f t="shared" si="4"/>
        <v>293</v>
      </c>
      <c r="K11" s="139">
        <f t="shared" si="5"/>
        <v>73.25</v>
      </c>
      <c r="L11" s="139">
        <f t="shared" si="6"/>
        <v>12</v>
      </c>
      <c r="M11" s="139">
        <f t="shared" si="7"/>
        <v>28000</v>
      </c>
      <c r="N11" s="139">
        <f t="shared" si="8"/>
        <v>3360</v>
      </c>
      <c r="O11" s="139">
        <f t="shared" si="9"/>
        <v>1780.8000000000002</v>
      </c>
      <c r="P11" s="38">
        <f>O11*9.3657</f>
        <v>16678.438560000002</v>
      </c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35">
        <f t="shared" si="13"/>
        <v>0</v>
      </c>
      <c r="AD11" s="80">
        <f t="shared" ref="AD11:AD13" si="16">(R11+U11+X11+AA11)/4</f>
        <v>0</v>
      </c>
      <c r="AE11" s="80">
        <f t="shared" ref="AE11:AE13" si="17">(S11+V11+Y11+AB11)/4</f>
        <v>0</v>
      </c>
    </row>
    <row r="12" spans="1:31" ht="32.25" customHeight="1" x14ac:dyDescent="0.3">
      <c r="A12" s="36">
        <f t="shared" si="12"/>
        <v>43863</v>
      </c>
      <c r="B12" s="138">
        <v>60</v>
      </c>
      <c r="C12" s="139">
        <f t="shared" si="0"/>
        <v>10</v>
      </c>
      <c r="D12" s="138">
        <v>65</v>
      </c>
      <c r="E12" s="139">
        <f t="shared" si="1"/>
        <v>9</v>
      </c>
      <c r="F12" s="138">
        <v>60</v>
      </c>
      <c r="G12" s="139">
        <f t="shared" si="2"/>
        <v>10</v>
      </c>
      <c r="H12" s="138">
        <v>60</v>
      </c>
      <c r="I12" s="139">
        <f t="shared" si="3"/>
        <v>10</v>
      </c>
      <c r="J12" s="139">
        <f t="shared" si="4"/>
        <v>245</v>
      </c>
      <c r="K12" s="139">
        <f t="shared" si="5"/>
        <v>61.25</v>
      </c>
      <c r="L12" s="139">
        <f t="shared" si="6"/>
        <v>9.75</v>
      </c>
      <c r="M12" s="139">
        <f t="shared" si="7"/>
        <v>28000</v>
      </c>
      <c r="N12" s="139">
        <f t="shared" si="8"/>
        <v>2730</v>
      </c>
      <c r="O12" s="139">
        <f t="shared" si="9"/>
        <v>1446.9</v>
      </c>
      <c r="P12" s="38">
        <f t="shared" ref="P12:P42" si="18">O12*9.3657</f>
        <v>13551.231330000001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35">
        <f t="shared" si="13"/>
        <v>0</v>
      </c>
      <c r="AD12" s="80">
        <f t="shared" si="16"/>
        <v>0</v>
      </c>
      <c r="AE12" s="80">
        <f t="shared" si="17"/>
        <v>0</v>
      </c>
    </row>
    <row r="13" spans="1:31" ht="32.25" customHeight="1" x14ac:dyDescent="0.3">
      <c r="A13" s="36">
        <f t="shared" si="12"/>
        <v>43864</v>
      </c>
      <c r="B13" s="138">
        <v>50</v>
      </c>
      <c r="C13" s="139">
        <f t="shared" si="0"/>
        <v>20</v>
      </c>
      <c r="D13" s="138">
        <v>56</v>
      </c>
      <c r="E13" s="139">
        <f t="shared" si="1"/>
        <v>-16</v>
      </c>
      <c r="F13" s="138">
        <v>50</v>
      </c>
      <c r="G13" s="139">
        <f t="shared" si="2"/>
        <v>20</v>
      </c>
      <c r="H13" s="138">
        <v>50</v>
      </c>
      <c r="I13" s="139">
        <f t="shared" si="3"/>
        <v>18</v>
      </c>
      <c r="J13" s="139">
        <f t="shared" si="4"/>
        <v>206</v>
      </c>
      <c r="K13" s="139">
        <f t="shared" si="5"/>
        <v>51.5</v>
      </c>
      <c r="L13" s="139">
        <f t="shared" si="6"/>
        <v>10.5</v>
      </c>
      <c r="M13" s="139">
        <f t="shared" si="7"/>
        <v>28000</v>
      </c>
      <c r="N13" s="139">
        <f t="shared" si="8"/>
        <v>2940</v>
      </c>
      <c r="O13" s="139">
        <f t="shared" si="9"/>
        <v>1558.2</v>
      </c>
      <c r="P13" s="38">
        <f t="shared" si="18"/>
        <v>14593.633740000001</v>
      </c>
      <c r="Q13" s="139">
        <v>4157</v>
      </c>
      <c r="R13" s="139">
        <v>43</v>
      </c>
      <c r="S13" s="139">
        <v>85</v>
      </c>
      <c r="T13" s="139"/>
      <c r="U13" s="139"/>
      <c r="V13" s="139"/>
      <c r="W13" s="139">
        <v>3528</v>
      </c>
      <c r="X13" s="139">
        <v>45</v>
      </c>
      <c r="Y13" s="139">
        <v>85</v>
      </c>
      <c r="Z13" s="139">
        <v>2079</v>
      </c>
      <c r="AA13" s="139">
        <v>45</v>
      </c>
      <c r="AB13" s="139">
        <v>83</v>
      </c>
      <c r="AC13" s="35">
        <f t="shared" si="13"/>
        <v>9764</v>
      </c>
      <c r="AD13" s="80">
        <f t="shared" si="16"/>
        <v>33.25</v>
      </c>
      <c r="AE13" s="80">
        <f t="shared" si="17"/>
        <v>63.25</v>
      </c>
    </row>
    <row r="14" spans="1:31" ht="32.25" customHeight="1" x14ac:dyDescent="0.3">
      <c r="A14" s="36">
        <f t="shared" si="12"/>
        <v>43865</v>
      </c>
      <c r="B14" s="138">
        <v>72</v>
      </c>
      <c r="C14" s="139">
        <f t="shared" si="0"/>
        <v>4</v>
      </c>
      <c r="D14" s="138">
        <v>72</v>
      </c>
      <c r="E14" s="139">
        <f t="shared" si="1"/>
        <v>3</v>
      </c>
      <c r="F14" s="138">
        <v>70</v>
      </c>
      <c r="G14" s="139">
        <f t="shared" si="2"/>
        <v>4</v>
      </c>
      <c r="H14" s="138">
        <v>70</v>
      </c>
      <c r="I14" s="139">
        <f t="shared" si="3"/>
        <v>4</v>
      </c>
      <c r="J14" s="139">
        <f t="shared" si="4"/>
        <v>284</v>
      </c>
      <c r="K14" s="139">
        <f t="shared" si="5"/>
        <v>71</v>
      </c>
      <c r="L14" s="139">
        <f t="shared" si="6"/>
        <v>3.75</v>
      </c>
      <c r="M14" s="139">
        <f t="shared" si="7"/>
        <v>28000</v>
      </c>
      <c r="N14" s="139">
        <f t="shared" si="8"/>
        <v>1050</v>
      </c>
      <c r="O14" s="139">
        <f t="shared" si="9"/>
        <v>556.5</v>
      </c>
      <c r="P14" s="38">
        <f t="shared" si="18"/>
        <v>5212.0120500000003</v>
      </c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35">
        <f t="shared" si="13"/>
        <v>0</v>
      </c>
      <c r="AD14" s="80">
        <f t="shared" si="14"/>
        <v>0</v>
      </c>
      <c r="AE14" s="80">
        <f t="shared" si="15"/>
        <v>0</v>
      </c>
    </row>
    <row r="15" spans="1:31" ht="32.25" customHeight="1" x14ac:dyDescent="0.3">
      <c r="A15" s="36">
        <f t="shared" si="12"/>
        <v>43866</v>
      </c>
      <c r="B15" s="138">
        <v>68</v>
      </c>
      <c r="C15" s="139">
        <f t="shared" si="0"/>
        <v>2</v>
      </c>
      <c r="D15" s="138">
        <v>69</v>
      </c>
      <c r="E15" s="139">
        <f t="shared" si="1"/>
        <v>2</v>
      </c>
      <c r="F15" s="138">
        <v>66</v>
      </c>
      <c r="G15" s="139">
        <f t="shared" si="2"/>
        <v>4</v>
      </c>
      <c r="H15" s="138">
        <v>66</v>
      </c>
      <c r="I15" s="139">
        <f t="shared" si="3"/>
        <v>3</v>
      </c>
      <c r="J15" s="139">
        <f t="shared" si="4"/>
        <v>269</v>
      </c>
      <c r="K15" s="139">
        <f t="shared" si="5"/>
        <v>67.25</v>
      </c>
      <c r="L15" s="139">
        <f t="shared" si="6"/>
        <v>2.75</v>
      </c>
      <c r="M15" s="139">
        <f t="shared" si="7"/>
        <v>28000</v>
      </c>
      <c r="N15" s="139">
        <f t="shared" si="8"/>
        <v>770</v>
      </c>
      <c r="O15" s="139">
        <f t="shared" si="9"/>
        <v>408.1</v>
      </c>
      <c r="P15" s="38">
        <f t="shared" si="18"/>
        <v>3822.1421700000005</v>
      </c>
      <c r="Q15" s="139">
        <v>1500</v>
      </c>
      <c r="R15" s="139">
        <v>67</v>
      </c>
      <c r="S15" s="139">
        <v>85</v>
      </c>
      <c r="T15" s="139">
        <v>1500</v>
      </c>
      <c r="U15" s="139">
        <v>68</v>
      </c>
      <c r="V15" s="139">
        <v>85</v>
      </c>
      <c r="W15" s="139">
        <v>1630</v>
      </c>
      <c r="X15" s="139">
        <v>65</v>
      </c>
      <c r="Y15" s="139">
        <v>85</v>
      </c>
      <c r="Z15" s="139">
        <v>1600</v>
      </c>
      <c r="AA15" s="139">
        <v>66</v>
      </c>
      <c r="AB15" s="139">
        <v>85</v>
      </c>
      <c r="AC15" s="35">
        <f t="shared" si="13"/>
        <v>6230</v>
      </c>
      <c r="AD15" s="80">
        <f t="shared" si="14"/>
        <v>66.5</v>
      </c>
      <c r="AE15" s="80">
        <f t="shared" si="15"/>
        <v>85</v>
      </c>
    </row>
    <row r="16" spans="1:31" ht="32.25" customHeight="1" x14ac:dyDescent="0.3">
      <c r="A16" s="36">
        <f t="shared" si="12"/>
        <v>43867</v>
      </c>
      <c r="B16" s="138">
        <v>84</v>
      </c>
      <c r="C16" s="139">
        <f t="shared" si="0"/>
        <v>4</v>
      </c>
      <c r="D16" s="138">
        <v>84</v>
      </c>
      <c r="E16" s="139">
        <f t="shared" si="1"/>
        <v>2</v>
      </c>
      <c r="F16" s="138">
        <v>82</v>
      </c>
      <c r="G16" s="139">
        <f t="shared" si="2"/>
        <v>4</v>
      </c>
      <c r="H16" s="138">
        <v>82</v>
      </c>
      <c r="I16" s="139">
        <f t="shared" si="3"/>
        <v>4</v>
      </c>
      <c r="J16" s="139">
        <f t="shared" si="4"/>
        <v>332</v>
      </c>
      <c r="K16" s="139">
        <f t="shared" si="5"/>
        <v>83</v>
      </c>
      <c r="L16" s="139">
        <f t="shared" si="6"/>
        <v>3.5</v>
      </c>
      <c r="M16" s="139">
        <f t="shared" si="7"/>
        <v>28000</v>
      </c>
      <c r="N16" s="139">
        <f t="shared" si="8"/>
        <v>980</v>
      </c>
      <c r="O16" s="139">
        <f t="shared" si="9"/>
        <v>519.4</v>
      </c>
      <c r="P16" s="38">
        <f t="shared" si="18"/>
        <v>4864.5445799999998</v>
      </c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43868</v>
      </c>
      <c r="B17" s="138">
        <v>80</v>
      </c>
      <c r="C17" s="139">
        <f t="shared" si="0"/>
        <v>5</v>
      </c>
      <c r="D17" s="138">
        <v>82</v>
      </c>
      <c r="E17" s="139">
        <f t="shared" si="1"/>
        <v>6</v>
      </c>
      <c r="F17" s="138">
        <v>78</v>
      </c>
      <c r="G17" s="139">
        <f t="shared" si="2"/>
        <v>6</v>
      </c>
      <c r="H17" s="138">
        <v>78</v>
      </c>
      <c r="I17" s="139">
        <f t="shared" si="3"/>
        <v>4</v>
      </c>
      <c r="J17" s="139">
        <f t="shared" si="4"/>
        <v>318</v>
      </c>
      <c r="K17" s="139">
        <f t="shared" si="5"/>
        <v>79.5</v>
      </c>
      <c r="L17" s="139">
        <f t="shared" si="6"/>
        <v>5.25</v>
      </c>
      <c r="M17" s="139">
        <f t="shared" si="7"/>
        <v>28000</v>
      </c>
      <c r="N17" s="139">
        <f t="shared" si="8"/>
        <v>1470</v>
      </c>
      <c r="O17" s="139">
        <f t="shared" si="9"/>
        <v>779.1</v>
      </c>
      <c r="P17" s="38">
        <f t="shared" si="18"/>
        <v>7296.8168700000006</v>
      </c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35">
        <f t="shared" si="13"/>
        <v>0</v>
      </c>
      <c r="AD17" s="80">
        <f t="shared" si="14"/>
        <v>0</v>
      </c>
      <c r="AE17" s="80">
        <f t="shared" si="15"/>
        <v>0</v>
      </c>
    </row>
    <row r="18" spans="1:31" ht="32.25" customHeight="1" x14ac:dyDescent="0.3">
      <c r="A18" s="36">
        <f t="shared" si="12"/>
        <v>43869</v>
      </c>
      <c r="B18" s="138">
        <v>75</v>
      </c>
      <c r="C18" s="139">
        <f t="shared" si="0"/>
        <v>5</v>
      </c>
      <c r="D18" s="138">
        <v>76</v>
      </c>
      <c r="E18" s="139">
        <f t="shared" si="1"/>
        <v>4</v>
      </c>
      <c r="F18" s="138">
        <v>72</v>
      </c>
      <c r="G18" s="139">
        <f t="shared" si="2"/>
        <v>4</v>
      </c>
      <c r="H18" s="138">
        <v>74</v>
      </c>
      <c r="I18" s="139">
        <f t="shared" si="3"/>
        <v>6</v>
      </c>
      <c r="J18" s="139">
        <f t="shared" si="4"/>
        <v>297</v>
      </c>
      <c r="K18" s="139">
        <f t="shared" si="5"/>
        <v>74.25</v>
      </c>
      <c r="L18" s="139">
        <f t="shared" si="6"/>
        <v>4.75</v>
      </c>
      <c r="M18" s="139">
        <f t="shared" si="7"/>
        <v>28000</v>
      </c>
      <c r="N18" s="139">
        <f t="shared" si="8"/>
        <v>1330</v>
      </c>
      <c r="O18" s="139">
        <f t="shared" si="9"/>
        <v>704.90000000000009</v>
      </c>
      <c r="P18" s="38">
        <f t="shared" si="18"/>
        <v>6601.8819300000014</v>
      </c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43870</v>
      </c>
      <c r="B19" s="138">
        <v>70</v>
      </c>
      <c r="C19" s="139">
        <f t="shared" si="0"/>
        <v>4</v>
      </c>
      <c r="D19" s="138">
        <v>72</v>
      </c>
      <c r="E19" s="139">
        <f t="shared" si="1"/>
        <v>4</v>
      </c>
      <c r="F19" s="138">
        <v>68</v>
      </c>
      <c r="G19" s="139">
        <f t="shared" si="2"/>
        <v>3</v>
      </c>
      <c r="H19" s="138">
        <v>68</v>
      </c>
      <c r="I19" s="139">
        <f t="shared" si="3"/>
        <v>3</v>
      </c>
      <c r="J19" s="139">
        <f t="shared" si="4"/>
        <v>278</v>
      </c>
      <c r="K19" s="139">
        <f t="shared" si="5"/>
        <v>69.5</v>
      </c>
      <c r="L19" s="139">
        <f t="shared" si="6"/>
        <v>3.5</v>
      </c>
      <c r="M19" s="139">
        <f t="shared" si="7"/>
        <v>28000</v>
      </c>
      <c r="N19" s="139">
        <f t="shared" si="8"/>
        <v>980</v>
      </c>
      <c r="O19" s="139">
        <f t="shared" si="9"/>
        <v>519.4</v>
      </c>
      <c r="P19" s="38">
        <f t="shared" si="18"/>
        <v>4864.5445799999998</v>
      </c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43871</v>
      </c>
      <c r="B20" s="138">
        <v>66</v>
      </c>
      <c r="C20" s="139">
        <f t="shared" si="0"/>
        <v>1</v>
      </c>
      <c r="D20" s="138">
        <v>68</v>
      </c>
      <c r="E20" s="139">
        <f t="shared" si="1"/>
        <v>3</v>
      </c>
      <c r="F20" s="138">
        <v>65</v>
      </c>
      <c r="G20" s="139">
        <f t="shared" si="2"/>
        <v>5</v>
      </c>
      <c r="H20" s="138">
        <v>65</v>
      </c>
      <c r="I20" s="139">
        <f t="shared" si="3"/>
        <v>5</v>
      </c>
      <c r="J20" s="139">
        <f t="shared" si="4"/>
        <v>264</v>
      </c>
      <c r="K20" s="139">
        <f t="shared" si="5"/>
        <v>66</v>
      </c>
      <c r="L20" s="139">
        <f t="shared" si="6"/>
        <v>3.5</v>
      </c>
      <c r="M20" s="139">
        <f t="shared" si="7"/>
        <v>28000</v>
      </c>
      <c r="N20" s="139">
        <f t="shared" si="8"/>
        <v>980</v>
      </c>
      <c r="O20" s="139">
        <f t="shared" si="9"/>
        <v>519.4</v>
      </c>
      <c r="P20" s="38">
        <f t="shared" si="18"/>
        <v>4864.5445799999998</v>
      </c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43872</v>
      </c>
      <c r="B21" s="138">
        <v>65</v>
      </c>
      <c r="C21" s="139">
        <f t="shared" si="0"/>
        <v>9</v>
      </c>
      <c r="D21" s="138">
        <v>65</v>
      </c>
      <c r="E21" s="139">
        <f t="shared" si="1"/>
        <v>4</v>
      </c>
      <c r="F21" s="138">
        <v>60</v>
      </c>
      <c r="G21" s="139">
        <f t="shared" si="2"/>
        <v>5</v>
      </c>
      <c r="H21" s="138">
        <v>60</v>
      </c>
      <c r="I21" s="139">
        <f t="shared" si="3"/>
        <v>5</v>
      </c>
      <c r="J21" s="139">
        <f t="shared" si="4"/>
        <v>250</v>
      </c>
      <c r="K21" s="139">
        <f t="shared" si="5"/>
        <v>62.5</v>
      </c>
      <c r="L21" s="139">
        <f t="shared" si="6"/>
        <v>5.75</v>
      </c>
      <c r="M21" s="139">
        <f t="shared" si="7"/>
        <v>28000</v>
      </c>
      <c r="N21" s="139">
        <f t="shared" si="8"/>
        <v>1610</v>
      </c>
      <c r="O21" s="139">
        <f t="shared" si="9"/>
        <v>853.30000000000007</v>
      </c>
      <c r="P21" s="38">
        <f t="shared" si="18"/>
        <v>7991.7518100000007</v>
      </c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35">
        <f t="shared" si="13"/>
        <v>0</v>
      </c>
      <c r="AD21" s="80">
        <f t="shared" si="14"/>
        <v>0</v>
      </c>
      <c r="AE21" s="80">
        <f t="shared" si="15"/>
        <v>0</v>
      </c>
    </row>
    <row r="22" spans="1:31" ht="32.25" customHeight="1" x14ac:dyDescent="0.3">
      <c r="A22" s="36">
        <f t="shared" si="12"/>
        <v>43873</v>
      </c>
      <c r="B22" s="138">
        <v>56</v>
      </c>
      <c r="C22" s="139">
        <f t="shared" si="0"/>
        <v>10</v>
      </c>
      <c r="D22" s="138">
        <v>61</v>
      </c>
      <c r="E22" s="139">
        <f t="shared" si="1"/>
        <v>7</v>
      </c>
      <c r="F22" s="138">
        <v>55</v>
      </c>
      <c r="G22" s="139">
        <f t="shared" si="2"/>
        <v>10</v>
      </c>
      <c r="H22" s="138">
        <v>55</v>
      </c>
      <c r="I22" s="139">
        <f t="shared" si="3"/>
        <v>10</v>
      </c>
      <c r="J22" s="139">
        <f t="shared" si="4"/>
        <v>227</v>
      </c>
      <c r="K22" s="139">
        <f t="shared" si="5"/>
        <v>56.75</v>
      </c>
      <c r="L22" s="139">
        <f t="shared" si="6"/>
        <v>9.25</v>
      </c>
      <c r="M22" s="139">
        <f t="shared" si="7"/>
        <v>28000</v>
      </c>
      <c r="N22" s="139">
        <f t="shared" si="8"/>
        <v>2590</v>
      </c>
      <c r="O22" s="139">
        <f t="shared" si="9"/>
        <v>1372.7</v>
      </c>
      <c r="P22" s="38">
        <f t="shared" si="18"/>
        <v>12856.296390000001</v>
      </c>
      <c r="Q22" s="139">
        <v>3001</v>
      </c>
      <c r="R22" s="139">
        <v>50</v>
      </c>
      <c r="S22" s="139">
        <v>86</v>
      </c>
      <c r="T22" s="139">
        <v>2870</v>
      </c>
      <c r="U22" s="139">
        <v>55</v>
      </c>
      <c r="V22" s="139">
        <v>86</v>
      </c>
      <c r="W22" s="139">
        <v>2900</v>
      </c>
      <c r="X22" s="139">
        <v>50</v>
      </c>
      <c r="Y22" s="139">
        <v>85</v>
      </c>
      <c r="Z22" s="139">
        <v>2830</v>
      </c>
      <c r="AA22" s="139">
        <v>50</v>
      </c>
      <c r="AB22" s="139">
        <v>85</v>
      </c>
      <c r="AC22" s="35">
        <f t="shared" si="13"/>
        <v>11601</v>
      </c>
      <c r="AD22" s="80">
        <f t="shared" si="14"/>
        <v>51.25</v>
      </c>
      <c r="AE22" s="80">
        <f t="shared" si="15"/>
        <v>85.5</v>
      </c>
    </row>
    <row r="23" spans="1:31" ht="32.25" customHeight="1" x14ac:dyDescent="0.3">
      <c r="A23" s="36">
        <f t="shared" si="12"/>
        <v>43874</v>
      </c>
      <c r="B23" s="138">
        <v>82</v>
      </c>
      <c r="C23" s="139">
        <f t="shared" si="0"/>
        <v>0</v>
      </c>
      <c r="D23" s="138">
        <v>85</v>
      </c>
      <c r="E23" s="139">
        <f t="shared" si="1"/>
        <v>0</v>
      </c>
      <c r="F23" s="138">
        <v>80</v>
      </c>
      <c r="G23" s="139">
        <f t="shared" si="2"/>
        <v>0</v>
      </c>
      <c r="H23" s="138">
        <v>80</v>
      </c>
      <c r="I23" s="139">
        <f t="shared" si="3"/>
        <v>0</v>
      </c>
      <c r="J23" s="139">
        <f t="shared" si="4"/>
        <v>327</v>
      </c>
      <c r="K23" s="139">
        <f t="shared" si="5"/>
        <v>81.75</v>
      </c>
      <c r="L23" s="139">
        <f t="shared" si="6"/>
        <v>0</v>
      </c>
      <c r="M23" s="139">
        <f t="shared" si="7"/>
        <v>28000</v>
      </c>
      <c r="N23" s="139">
        <f t="shared" si="8"/>
        <v>0</v>
      </c>
      <c r="O23" s="139">
        <f t="shared" si="9"/>
        <v>0</v>
      </c>
      <c r="P23" s="38">
        <f t="shared" si="18"/>
        <v>0</v>
      </c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43875</v>
      </c>
      <c r="B24" s="138"/>
      <c r="C24" s="139">
        <f t="shared" ref="C24:C42" si="19">IF(AC24&gt;0,((B24-R24)+(S24-B25)),IF(B25=0, ,(B24-B25)))</f>
        <v>0</v>
      </c>
      <c r="D24" s="138"/>
      <c r="E24" s="139">
        <f t="shared" ref="E24:E42" si="20">IF(AC24&gt;0,((D24-U24)+(V24-D25)),IF(D25=0, ,(D24-D25)))</f>
        <v>0</v>
      </c>
      <c r="F24" s="138"/>
      <c r="G24" s="139">
        <f t="shared" ref="G24:G42" si="21">IF(AC24&gt;0,((F24-X24)+(Y24-F25)),IF(F25=0, ,(F24-F25)))</f>
        <v>0</v>
      </c>
      <c r="H24" s="138"/>
      <c r="I24" s="139">
        <f t="shared" si="3"/>
        <v>0</v>
      </c>
      <c r="J24" s="139">
        <f t="shared" si="4"/>
        <v>0</v>
      </c>
      <c r="K24" s="139">
        <f t="shared" si="5"/>
        <v>0</v>
      </c>
      <c r="L24" s="139">
        <f t="shared" si="6"/>
        <v>0</v>
      </c>
      <c r="M24" s="139">
        <f t="shared" si="7"/>
        <v>28000</v>
      </c>
      <c r="N24" s="139">
        <f t="shared" si="8"/>
        <v>0</v>
      </c>
      <c r="O24" s="139">
        <f t="shared" si="9"/>
        <v>0</v>
      </c>
      <c r="P24" s="38">
        <f t="shared" si="18"/>
        <v>0</v>
      </c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35">
        <f t="shared" si="13"/>
        <v>0</v>
      </c>
      <c r="AD24" s="80">
        <f t="shared" si="14"/>
        <v>0</v>
      </c>
      <c r="AE24" s="80">
        <f t="shared" si="15"/>
        <v>0</v>
      </c>
    </row>
    <row r="25" spans="1:31" ht="32.25" customHeight="1" x14ac:dyDescent="0.3">
      <c r="A25" s="36">
        <f t="shared" si="12"/>
        <v>43876</v>
      </c>
      <c r="B25" s="138"/>
      <c r="C25" s="139">
        <f t="shared" si="19"/>
        <v>0</v>
      </c>
      <c r="D25" s="138"/>
      <c r="E25" s="139">
        <f t="shared" si="20"/>
        <v>0</v>
      </c>
      <c r="F25" s="138"/>
      <c r="G25" s="139">
        <f t="shared" si="21"/>
        <v>0</v>
      </c>
      <c r="H25" s="138"/>
      <c r="I25" s="139">
        <f t="shared" si="3"/>
        <v>0</v>
      </c>
      <c r="J25" s="139">
        <f t="shared" si="4"/>
        <v>0</v>
      </c>
      <c r="K25" s="139">
        <f t="shared" si="5"/>
        <v>0</v>
      </c>
      <c r="L25" s="139">
        <f t="shared" si="6"/>
        <v>0</v>
      </c>
      <c r="M25" s="139">
        <f t="shared" si="7"/>
        <v>28000</v>
      </c>
      <c r="N25" s="139">
        <f t="shared" si="8"/>
        <v>0</v>
      </c>
      <c r="O25" s="139">
        <f t="shared" si="9"/>
        <v>0</v>
      </c>
      <c r="P25" s="38">
        <f t="shared" si="18"/>
        <v>0</v>
      </c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43877</v>
      </c>
      <c r="B26" s="138"/>
      <c r="C26" s="139">
        <f t="shared" si="19"/>
        <v>0</v>
      </c>
      <c r="D26" s="138"/>
      <c r="E26" s="139">
        <f t="shared" si="20"/>
        <v>0</v>
      </c>
      <c r="F26" s="138"/>
      <c r="G26" s="139">
        <f t="shared" si="21"/>
        <v>0</v>
      </c>
      <c r="H26" s="138"/>
      <c r="I26" s="139">
        <f t="shared" si="3"/>
        <v>0</v>
      </c>
      <c r="J26" s="139">
        <f t="shared" si="4"/>
        <v>0</v>
      </c>
      <c r="K26" s="139">
        <f t="shared" si="5"/>
        <v>0</v>
      </c>
      <c r="L26" s="139">
        <f t="shared" si="6"/>
        <v>0</v>
      </c>
      <c r="M26" s="139">
        <f t="shared" si="7"/>
        <v>28000</v>
      </c>
      <c r="N26" s="139">
        <f t="shared" si="8"/>
        <v>0</v>
      </c>
      <c r="O26" s="139">
        <f t="shared" si="9"/>
        <v>0</v>
      </c>
      <c r="P26" s="38">
        <f t="shared" si="18"/>
        <v>0</v>
      </c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43878</v>
      </c>
      <c r="B27" s="138"/>
      <c r="C27" s="139">
        <f t="shared" si="19"/>
        <v>0</v>
      </c>
      <c r="D27" s="138"/>
      <c r="E27" s="139">
        <f t="shared" si="20"/>
        <v>0</v>
      </c>
      <c r="F27" s="138"/>
      <c r="G27" s="139">
        <f t="shared" si="21"/>
        <v>0</v>
      </c>
      <c r="H27" s="138"/>
      <c r="I27" s="139">
        <f t="shared" si="3"/>
        <v>0</v>
      </c>
      <c r="J27" s="139">
        <f t="shared" si="4"/>
        <v>0</v>
      </c>
      <c r="K27" s="139">
        <f t="shared" si="5"/>
        <v>0</v>
      </c>
      <c r="L27" s="139">
        <f t="shared" si="6"/>
        <v>0</v>
      </c>
      <c r="M27" s="139">
        <f t="shared" si="7"/>
        <v>28000</v>
      </c>
      <c r="N27" s="139">
        <f t="shared" si="8"/>
        <v>0</v>
      </c>
      <c r="O27" s="139">
        <f t="shared" si="9"/>
        <v>0</v>
      </c>
      <c r="P27" s="38">
        <f t="shared" si="18"/>
        <v>0</v>
      </c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43879</v>
      </c>
      <c r="B28" s="138"/>
      <c r="C28" s="139">
        <f t="shared" si="19"/>
        <v>0</v>
      </c>
      <c r="D28" s="138"/>
      <c r="E28" s="139">
        <f t="shared" si="20"/>
        <v>0</v>
      </c>
      <c r="F28" s="138"/>
      <c r="G28" s="139">
        <f t="shared" si="21"/>
        <v>0</v>
      </c>
      <c r="H28" s="138"/>
      <c r="I28" s="139">
        <f t="shared" si="3"/>
        <v>0</v>
      </c>
      <c r="J28" s="139">
        <f t="shared" si="4"/>
        <v>0</v>
      </c>
      <c r="K28" s="139">
        <f t="shared" si="5"/>
        <v>0</v>
      </c>
      <c r="L28" s="139">
        <f t="shared" si="6"/>
        <v>0</v>
      </c>
      <c r="M28" s="139">
        <f t="shared" si="7"/>
        <v>28000</v>
      </c>
      <c r="N28" s="139">
        <f t="shared" si="8"/>
        <v>0</v>
      </c>
      <c r="O28" s="139">
        <f t="shared" si="9"/>
        <v>0</v>
      </c>
      <c r="P28" s="38">
        <f t="shared" si="18"/>
        <v>0</v>
      </c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35">
        <f t="shared" si="13"/>
        <v>0</v>
      </c>
      <c r="AD28" s="80">
        <f t="shared" si="14"/>
        <v>0</v>
      </c>
      <c r="AE28" s="80">
        <f t="shared" si="15"/>
        <v>0</v>
      </c>
    </row>
    <row r="29" spans="1:31" ht="32.25" customHeight="1" x14ac:dyDescent="0.3">
      <c r="A29" s="36">
        <f t="shared" si="12"/>
        <v>43880</v>
      </c>
      <c r="B29" s="138"/>
      <c r="C29" s="139">
        <f t="shared" si="19"/>
        <v>0</v>
      </c>
      <c r="D29" s="138"/>
      <c r="E29" s="139">
        <f t="shared" si="20"/>
        <v>0</v>
      </c>
      <c r="F29" s="138"/>
      <c r="G29" s="139">
        <f t="shared" si="21"/>
        <v>0</v>
      </c>
      <c r="H29" s="138"/>
      <c r="I29" s="139">
        <f t="shared" si="3"/>
        <v>0</v>
      </c>
      <c r="J29" s="139">
        <f t="shared" si="4"/>
        <v>0</v>
      </c>
      <c r="K29" s="139">
        <f t="shared" si="5"/>
        <v>0</v>
      </c>
      <c r="L29" s="139">
        <f t="shared" si="6"/>
        <v>0</v>
      </c>
      <c r="M29" s="139">
        <f t="shared" si="7"/>
        <v>28000</v>
      </c>
      <c r="N29" s="139">
        <f t="shared" si="8"/>
        <v>0</v>
      </c>
      <c r="O29" s="139">
        <f t="shared" si="9"/>
        <v>0</v>
      </c>
      <c r="P29" s="38">
        <f t="shared" si="18"/>
        <v>0</v>
      </c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43881</v>
      </c>
      <c r="B30" s="138"/>
      <c r="C30" s="139">
        <f t="shared" si="19"/>
        <v>0</v>
      </c>
      <c r="D30" s="138"/>
      <c r="E30" s="139">
        <f t="shared" si="20"/>
        <v>0</v>
      </c>
      <c r="F30" s="138"/>
      <c r="G30" s="139">
        <f t="shared" si="21"/>
        <v>0</v>
      </c>
      <c r="H30" s="138"/>
      <c r="I30" s="139">
        <f t="shared" si="3"/>
        <v>0</v>
      </c>
      <c r="J30" s="139">
        <f t="shared" si="4"/>
        <v>0</v>
      </c>
      <c r="K30" s="139">
        <f t="shared" si="5"/>
        <v>0</v>
      </c>
      <c r="L30" s="139">
        <f t="shared" si="6"/>
        <v>0</v>
      </c>
      <c r="M30" s="139">
        <f t="shared" si="7"/>
        <v>28000</v>
      </c>
      <c r="N30" s="139">
        <f t="shared" si="8"/>
        <v>0</v>
      </c>
      <c r="O30" s="139">
        <f t="shared" si="9"/>
        <v>0</v>
      </c>
      <c r="P30" s="38">
        <f t="shared" si="18"/>
        <v>0</v>
      </c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43882</v>
      </c>
      <c r="B31" s="138"/>
      <c r="C31" s="139">
        <f t="shared" si="19"/>
        <v>0</v>
      </c>
      <c r="D31" s="138"/>
      <c r="E31" s="139">
        <f t="shared" si="20"/>
        <v>0</v>
      </c>
      <c r="F31" s="138"/>
      <c r="G31" s="139">
        <f t="shared" si="21"/>
        <v>0</v>
      </c>
      <c r="H31" s="138"/>
      <c r="I31" s="139">
        <f t="shared" si="3"/>
        <v>0</v>
      </c>
      <c r="J31" s="139">
        <f t="shared" si="4"/>
        <v>0</v>
      </c>
      <c r="K31" s="139">
        <f t="shared" si="5"/>
        <v>0</v>
      </c>
      <c r="L31" s="139">
        <f t="shared" si="6"/>
        <v>0</v>
      </c>
      <c r="M31" s="139">
        <f t="shared" si="7"/>
        <v>28000</v>
      </c>
      <c r="N31" s="139">
        <f t="shared" si="8"/>
        <v>0</v>
      </c>
      <c r="O31" s="139">
        <f t="shared" si="9"/>
        <v>0</v>
      </c>
      <c r="P31" s="38">
        <f t="shared" si="18"/>
        <v>0</v>
      </c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35">
        <f t="shared" si="13"/>
        <v>0</v>
      </c>
      <c r="AD31" s="80">
        <f t="shared" si="14"/>
        <v>0</v>
      </c>
      <c r="AE31" s="80">
        <f t="shared" si="15"/>
        <v>0</v>
      </c>
    </row>
    <row r="32" spans="1:31" ht="32.25" customHeight="1" x14ac:dyDescent="0.3">
      <c r="A32" s="36">
        <f t="shared" si="12"/>
        <v>43883</v>
      </c>
      <c r="B32" s="138"/>
      <c r="C32" s="139">
        <f t="shared" si="19"/>
        <v>0</v>
      </c>
      <c r="D32" s="138"/>
      <c r="E32" s="139">
        <f t="shared" si="20"/>
        <v>0</v>
      </c>
      <c r="F32" s="138"/>
      <c r="G32" s="139">
        <f t="shared" si="21"/>
        <v>0</v>
      </c>
      <c r="H32" s="138"/>
      <c r="I32" s="139">
        <f t="shared" si="3"/>
        <v>0</v>
      </c>
      <c r="J32" s="139">
        <f t="shared" si="4"/>
        <v>0</v>
      </c>
      <c r="K32" s="139">
        <f t="shared" si="5"/>
        <v>0</v>
      </c>
      <c r="L32" s="139">
        <f t="shared" si="6"/>
        <v>0</v>
      </c>
      <c r="M32" s="139">
        <f t="shared" si="7"/>
        <v>28000</v>
      </c>
      <c r="N32" s="139">
        <f t="shared" si="8"/>
        <v>0</v>
      </c>
      <c r="O32" s="139">
        <f t="shared" si="9"/>
        <v>0</v>
      </c>
      <c r="P32" s="38">
        <f t="shared" si="18"/>
        <v>0</v>
      </c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43884</v>
      </c>
      <c r="B33" s="138"/>
      <c r="C33" s="139">
        <f t="shared" si="19"/>
        <v>0</v>
      </c>
      <c r="D33" s="138"/>
      <c r="E33" s="139">
        <f t="shared" si="20"/>
        <v>0</v>
      </c>
      <c r="F33" s="138"/>
      <c r="G33" s="139">
        <f t="shared" si="21"/>
        <v>0</v>
      </c>
      <c r="H33" s="138"/>
      <c r="I33" s="139">
        <f t="shared" si="3"/>
        <v>0</v>
      </c>
      <c r="J33" s="139">
        <f t="shared" si="4"/>
        <v>0</v>
      </c>
      <c r="K33" s="139">
        <f t="shared" si="5"/>
        <v>0</v>
      </c>
      <c r="L33" s="139">
        <f t="shared" si="6"/>
        <v>0</v>
      </c>
      <c r="M33" s="139">
        <f t="shared" si="7"/>
        <v>28000</v>
      </c>
      <c r="N33" s="139">
        <f t="shared" si="8"/>
        <v>0</v>
      </c>
      <c r="O33" s="139">
        <f t="shared" si="9"/>
        <v>0</v>
      </c>
      <c r="P33" s="38">
        <f t="shared" si="18"/>
        <v>0</v>
      </c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43885</v>
      </c>
      <c r="B34" s="138"/>
      <c r="C34" s="139">
        <f t="shared" si="19"/>
        <v>0</v>
      </c>
      <c r="D34" s="138"/>
      <c r="E34" s="139">
        <f t="shared" si="20"/>
        <v>0</v>
      </c>
      <c r="F34" s="138"/>
      <c r="G34" s="139">
        <f t="shared" si="21"/>
        <v>0</v>
      </c>
      <c r="H34" s="138"/>
      <c r="I34" s="139">
        <f t="shared" si="3"/>
        <v>0</v>
      </c>
      <c r="J34" s="139">
        <f t="shared" si="4"/>
        <v>0</v>
      </c>
      <c r="K34" s="139">
        <f t="shared" si="5"/>
        <v>0</v>
      </c>
      <c r="L34" s="139">
        <f t="shared" si="6"/>
        <v>0</v>
      </c>
      <c r="M34" s="139">
        <f t="shared" si="7"/>
        <v>28000</v>
      </c>
      <c r="N34" s="139">
        <f t="shared" si="8"/>
        <v>0</v>
      </c>
      <c r="O34" s="139">
        <f t="shared" si="9"/>
        <v>0</v>
      </c>
      <c r="P34" s="38">
        <f t="shared" si="18"/>
        <v>0</v>
      </c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43886</v>
      </c>
      <c r="B35" s="138"/>
      <c r="C35" s="139">
        <f t="shared" si="19"/>
        <v>0</v>
      </c>
      <c r="D35" s="138"/>
      <c r="E35" s="139">
        <f t="shared" si="20"/>
        <v>0</v>
      </c>
      <c r="F35" s="138"/>
      <c r="G35" s="139">
        <f t="shared" si="21"/>
        <v>0</v>
      </c>
      <c r="H35" s="138"/>
      <c r="I35" s="139">
        <f t="shared" si="3"/>
        <v>0</v>
      </c>
      <c r="J35" s="139">
        <f t="shared" si="4"/>
        <v>0</v>
      </c>
      <c r="K35" s="139">
        <f t="shared" si="5"/>
        <v>0</v>
      </c>
      <c r="L35" s="139">
        <f t="shared" si="6"/>
        <v>0</v>
      </c>
      <c r="M35" s="139">
        <f t="shared" si="7"/>
        <v>28000</v>
      </c>
      <c r="N35" s="139">
        <f t="shared" si="8"/>
        <v>0</v>
      </c>
      <c r="O35" s="139">
        <f t="shared" si="9"/>
        <v>0</v>
      </c>
      <c r="P35" s="38">
        <f t="shared" si="18"/>
        <v>0</v>
      </c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43887</v>
      </c>
      <c r="B36" s="138"/>
      <c r="C36" s="139">
        <f t="shared" si="19"/>
        <v>0</v>
      </c>
      <c r="D36" s="138"/>
      <c r="E36" s="139">
        <f t="shared" si="20"/>
        <v>0</v>
      </c>
      <c r="F36" s="138"/>
      <c r="G36" s="139">
        <f t="shared" si="21"/>
        <v>0</v>
      </c>
      <c r="H36" s="138"/>
      <c r="I36" s="139">
        <f t="shared" si="3"/>
        <v>0</v>
      </c>
      <c r="J36" s="139">
        <f t="shared" si="4"/>
        <v>0</v>
      </c>
      <c r="K36" s="139">
        <f t="shared" si="5"/>
        <v>0</v>
      </c>
      <c r="L36" s="139">
        <f t="shared" si="6"/>
        <v>0</v>
      </c>
      <c r="M36" s="139">
        <f t="shared" si="7"/>
        <v>28000</v>
      </c>
      <c r="N36" s="139">
        <f t="shared" si="8"/>
        <v>0</v>
      </c>
      <c r="O36" s="139">
        <f t="shared" si="9"/>
        <v>0</v>
      </c>
      <c r="P36" s="38">
        <f t="shared" si="18"/>
        <v>0</v>
      </c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43888</v>
      </c>
      <c r="B37" s="138"/>
      <c r="C37" s="139">
        <f t="shared" si="19"/>
        <v>0</v>
      </c>
      <c r="D37" s="138"/>
      <c r="E37" s="139">
        <f t="shared" si="20"/>
        <v>0</v>
      </c>
      <c r="F37" s="138"/>
      <c r="G37" s="139">
        <f t="shared" si="21"/>
        <v>0</v>
      </c>
      <c r="H37" s="138"/>
      <c r="I37" s="139">
        <f t="shared" si="3"/>
        <v>0</v>
      </c>
      <c r="J37" s="139">
        <f t="shared" si="4"/>
        <v>0</v>
      </c>
      <c r="K37" s="139">
        <f t="shared" si="5"/>
        <v>0</v>
      </c>
      <c r="L37" s="139">
        <f t="shared" si="6"/>
        <v>0</v>
      </c>
      <c r="M37" s="139">
        <f t="shared" si="7"/>
        <v>28000</v>
      </c>
      <c r="N37" s="139">
        <f t="shared" si="8"/>
        <v>0</v>
      </c>
      <c r="O37" s="139">
        <f t="shared" si="9"/>
        <v>0</v>
      </c>
      <c r="P37" s="38">
        <f t="shared" si="18"/>
        <v>0</v>
      </c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43889</v>
      </c>
      <c r="B38" s="138"/>
      <c r="C38" s="139">
        <f t="shared" si="19"/>
        <v>0</v>
      </c>
      <c r="D38" s="138"/>
      <c r="E38" s="139">
        <f t="shared" si="20"/>
        <v>0</v>
      </c>
      <c r="F38" s="138"/>
      <c r="G38" s="139">
        <f t="shared" si="21"/>
        <v>0</v>
      </c>
      <c r="H38" s="138"/>
      <c r="I38" s="139">
        <f t="shared" si="3"/>
        <v>0</v>
      </c>
      <c r="J38" s="139">
        <f t="shared" si="4"/>
        <v>0</v>
      </c>
      <c r="K38" s="139">
        <f t="shared" si="5"/>
        <v>0</v>
      </c>
      <c r="L38" s="139">
        <f t="shared" si="6"/>
        <v>0</v>
      </c>
      <c r="M38" s="139">
        <f t="shared" si="7"/>
        <v>28000</v>
      </c>
      <c r="N38" s="139">
        <f t="shared" si="8"/>
        <v>0</v>
      </c>
      <c r="O38" s="139">
        <f t="shared" si="9"/>
        <v>0</v>
      </c>
      <c r="P38" s="38">
        <f t="shared" si="18"/>
        <v>0</v>
      </c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43890</v>
      </c>
      <c r="B39" s="138"/>
      <c r="C39" s="139">
        <f t="shared" si="19"/>
        <v>0</v>
      </c>
      <c r="D39" s="138"/>
      <c r="E39" s="139">
        <f t="shared" si="20"/>
        <v>0</v>
      </c>
      <c r="F39" s="138"/>
      <c r="G39" s="139">
        <f t="shared" si="21"/>
        <v>0</v>
      </c>
      <c r="H39" s="138"/>
      <c r="I39" s="139">
        <f t="shared" si="3"/>
        <v>0</v>
      </c>
      <c r="J39" s="139">
        <f t="shared" si="4"/>
        <v>0</v>
      </c>
      <c r="K39" s="139">
        <f t="shared" si="5"/>
        <v>0</v>
      </c>
      <c r="L39" s="139">
        <f t="shared" si="6"/>
        <v>0</v>
      </c>
      <c r="M39" s="139">
        <f t="shared" si="7"/>
        <v>28000</v>
      </c>
      <c r="N39" s="139">
        <f t="shared" si="8"/>
        <v>0</v>
      </c>
      <c r="O39" s="139">
        <f t="shared" si="9"/>
        <v>0</v>
      </c>
      <c r="P39" s="38">
        <f t="shared" si="18"/>
        <v>0</v>
      </c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43891</v>
      </c>
      <c r="B40" s="138"/>
      <c r="C40" s="139">
        <f t="shared" si="19"/>
        <v>0</v>
      </c>
      <c r="D40" s="138"/>
      <c r="E40" s="139">
        <f t="shared" si="20"/>
        <v>0</v>
      </c>
      <c r="F40" s="138"/>
      <c r="G40" s="139">
        <f t="shared" si="21"/>
        <v>0</v>
      </c>
      <c r="H40" s="138"/>
      <c r="I40" s="139">
        <f t="shared" si="3"/>
        <v>0</v>
      </c>
      <c r="J40" s="139">
        <f t="shared" si="4"/>
        <v>0</v>
      </c>
      <c r="K40" s="139">
        <f t="shared" si="5"/>
        <v>0</v>
      </c>
      <c r="L40" s="139">
        <f t="shared" si="6"/>
        <v>0</v>
      </c>
      <c r="M40" s="139">
        <f t="shared" si="7"/>
        <v>28000</v>
      </c>
      <c r="N40" s="139">
        <f t="shared" si="8"/>
        <v>0</v>
      </c>
      <c r="O40" s="139">
        <f t="shared" si="9"/>
        <v>0</v>
      </c>
      <c r="P40" s="38">
        <f t="shared" si="18"/>
        <v>0</v>
      </c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43892</v>
      </c>
      <c r="B41" s="138"/>
      <c r="C41" s="139">
        <f t="shared" si="19"/>
        <v>0</v>
      </c>
      <c r="D41" s="138"/>
      <c r="E41" s="139">
        <f t="shared" si="20"/>
        <v>0</v>
      </c>
      <c r="F41" s="138"/>
      <c r="G41" s="139">
        <f t="shared" si="21"/>
        <v>0</v>
      </c>
      <c r="H41" s="138"/>
      <c r="I41" s="139">
        <f t="shared" si="3"/>
        <v>0</v>
      </c>
      <c r="J41" s="139">
        <f t="shared" si="4"/>
        <v>0</v>
      </c>
      <c r="K41" s="139">
        <f t="shared" si="5"/>
        <v>0</v>
      </c>
      <c r="L41" s="139">
        <f t="shared" si="6"/>
        <v>0</v>
      </c>
      <c r="M41" s="139">
        <f t="shared" si="7"/>
        <v>28000</v>
      </c>
      <c r="N41" s="139">
        <f t="shared" si="8"/>
        <v>0</v>
      </c>
      <c r="O41" s="139">
        <f t="shared" si="9"/>
        <v>0</v>
      </c>
      <c r="P41" s="38">
        <f t="shared" si="18"/>
        <v>0</v>
      </c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43893</v>
      </c>
      <c r="B42" s="138"/>
      <c r="C42" s="139">
        <f t="shared" si="19"/>
        <v>0</v>
      </c>
      <c r="D42" s="138"/>
      <c r="E42" s="139">
        <f t="shared" si="20"/>
        <v>0</v>
      </c>
      <c r="F42" s="138"/>
      <c r="G42" s="139">
        <f t="shared" si="21"/>
        <v>0</v>
      </c>
      <c r="H42" s="138"/>
      <c r="I42" s="139">
        <f t="shared" si="3"/>
        <v>0</v>
      </c>
      <c r="J42" s="139">
        <f t="shared" si="4"/>
        <v>0</v>
      </c>
      <c r="K42" s="139">
        <f t="shared" si="5"/>
        <v>0</v>
      </c>
      <c r="L42" s="139">
        <f t="shared" si="6"/>
        <v>0</v>
      </c>
      <c r="M42" s="139">
        <f t="shared" si="7"/>
        <v>28000</v>
      </c>
      <c r="N42" s="139">
        <f t="shared" si="8"/>
        <v>0</v>
      </c>
      <c r="O42" s="139">
        <f t="shared" si="9"/>
        <v>0</v>
      </c>
      <c r="P42" s="38">
        <f t="shared" si="18"/>
        <v>0</v>
      </c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SUM(C11:C39)</f>
        <v>88</v>
      </c>
      <c r="D43" s="37"/>
      <c r="E43" s="139">
        <f>SUM(E11:E39)</f>
        <v>41</v>
      </c>
      <c r="F43" s="37"/>
      <c r="G43" s="139">
        <f>SUM(G11:G39)</f>
        <v>86</v>
      </c>
      <c r="H43" s="37"/>
      <c r="I43" s="139">
        <f>SUM(I11:I39)</f>
        <v>82</v>
      </c>
      <c r="J43" s="33"/>
      <c r="K43" s="33"/>
      <c r="L43" s="33"/>
      <c r="M43" s="33"/>
      <c r="N43" s="139">
        <f>SUM(N11:N39)</f>
        <v>20790</v>
      </c>
      <c r="O43" s="35">
        <f>N43*0.53</f>
        <v>11018.7</v>
      </c>
      <c r="P43" s="38">
        <f>O43*9.3657</f>
        <v>103197.83859000001</v>
      </c>
      <c r="Q43" s="244">
        <f>SUM(Q11:Q39)</f>
        <v>8658</v>
      </c>
      <c r="R43" s="245"/>
      <c r="S43" s="246"/>
      <c r="T43" s="244">
        <f>SUM(T11:T39)</f>
        <v>4370</v>
      </c>
      <c r="U43" s="245"/>
      <c r="V43" s="246"/>
      <c r="W43" s="244">
        <f>SUM(W11:W39)</f>
        <v>8058</v>
      </c>
      <c r="X43" s="245"/>
      <c r="Y43" s="246"/>
      <c r="Z43" s="244">
        <f>SUM(Z11:Z39)</f>
        <v>6509</v>
      </c>
      <c r="AA43" s="245"/>
      <c r="AB43" s="246"/>
      <c r="AC43" s="35">
        <f>SUM(AC11:AC39)</f>
        <v>27595</v>
      </c>
      <c r="AD43" s="33"/>
      <c r="AE43" s="33"/>
    </row>
    <row r="44" spans="1:31" ht="35.25" customHeight="1" thickBot="1" x14ac:dyDescent="0.35">
      <c r="B44" s="247"/>
      <c r="C44" s="248"/>
      <c r="D44" s="248"/>
      <c r="E44" s="248"/>
      <c r="F44" s="248"/>
      <c r="G44" s="248"/>
      <c r="H44" s="248"/>
      <c r="I44" s="249"/>
      <c r="J44" s="33"/>
      <c r="K44" s="33"/>
      <c r="L44" s="33"/>
      <c r="M44" s="33"/>
      <c r="N44" s="33"/>
      <c r="O44" s="33"/>
      <c r="P44" s="33"/>
      <c r="Q44" s="250">
        <f>Q43+T43+W43+Z43</f>
        <v>27595</v>
      </c>
      <c r="R44" s="251"/>
      <c r="S44" s="251"/>
      <c r="T44" s="251"/>
      <c r="U44" s="251"/>
      <c r="V44" s="251"/>
      <c r="W44" s="251"/>
      <c r="X44" s="251"/>
      <c r="Y44" s="251"/>
      <c r="Z44" s="251"/>
      <c r="AA44" s="251"/>
      <c r="AB44" s="252"/>
      <c r="AC44" s="35">
        <f>Q43+T43+W43+Z43</f>
        <v>27595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53" t="s">
        <v>37</v>
      </c>
      <c r="I47" s="254"/>
      <c r="J47" s="255"/>
      <c r="K47" s="45">
        <f>N43</f>
        <v>20790</v>
      </c>
      <c r="L47" s="46">
        <f>O43</f>
        <v>11018.7</v>
      </c>
      <c r="M47" s="46">
        <f>P43</f>
        <v>103197.83859000001</v>
      </c>
    </row>
    <row r="48" spans="1:31" ht="54.75" customHeight="1" thickBot="1" x14ac:dyDescent="0.35">
      <c r="H48" s="241" t="s">
        <v>38</v>
      </c>
      <c r="I48" s="242"/>
      <c r="J48" s="243"/>
      <c r="K48" s="43">
        <f>AC43</f>
        <v>27595</v>
      </c>
      <c r="L48" s="44">
        <f>K48*0.53</f>
        <v>14625.35</v>
      </c>
      <c r="M48" s="44">
        <f>L48*9.3657</f>
        <v>136976.640495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30" activePane="bottomRight" state="frozen"/>
      <selection pane="topRight" activeCell="B1" sqref="B1"/>
      <selection pane="bottomLeft" activeCell="A9" sqref="A9"/>
      <selection pane="bottomRight" activeCell="I48" sqref="I48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6"/>
      <c r="B1" s="287"/>
      <c r="C1" s="269" t="s">
        <v>58</v>
      </c>
      <c r="D1" s="270"/>
      <c r="E1" s="270"/>
      <c r="F1" s="270"/>
      <c r="G1" s="271"/>
      <c r="H1" s="278"/>
      <c r="I1" s="279"/>
      <c r="J1" s="50"/>
      <c r="K1" s="48"/>
      <c r="L1" s="48"/>
    </row>
    <row r="2" spans="1:20" ht="16.5" customHeight="1" x14ac:dyDescent="0.2">
      <c r="A2" s="288"/>
      <c r="B2" s="289"/>
      <c r="C2" s="272"/>
      <c r="D2" s="273"/>
      <c r="E2" s="273"/>
      <c r="F2" s="273"/>
      <c r="G2" s="274"/>
      <c r="H2" s="280"/>
      <c r="I2" s="281"/>
      <c r="J2" s="50"/>
      <c r="K2" s="48"/>
      <c r="L2" s="48"/>
    </row>
    <row r="3" spans="1:20" ht="48" customHeight="1" thickBot="1" x14ac:dyDescent="0.25">
      <c r="A3" s="290"/>
      <c r="B3" s="291"/>
      <c r="C3" s="275"/>
      <c r="D3" s="276"/>
      <c r="E3" s="276"/>
      <c r="F3" s="276"/>
      <c r="G3" s="277"/>
      <c r="H3" s="282"/>
      <c r="I3" s="283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68" t="s">
        <v>1</v>
      </c>
      <c r="B7" s="284" t="s">
        <v>42</v>
      </c>
      <c r="C7" s="284"/>
      <c r="D7" s="285" t="s">
        <v>43</v>
      </c>
      <c r="E7" s="285"/>
      <c r="F7" s="285"/>
      <c r="G7" s="285"/>
      <c r="H7" s="285"/>
      <c r="I7" s="285"/>
    </row>
    <row r="8" spans="1:20" s="27" customFormat="1" ht="28.5" customHeight="1" thickTop="1" thickBot="1" x14ac:dyDescent="0.25">
      <c r="A8" s="268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43855</v>
      </c>
      <c r="B9" s="140">
        <v>119288</v>
      </c>
      <c r="C9" s="141">
        <f t="shared" ref="C9:C15" si="0">IF(B10&lt;B9,0,B10-B9)*10</f>
        <v>460</v>
      </c>
      <c r="D9" s="142">
        <v>18107218</v>
      </c>
      <c r="E9" s="141">
        <f t="shared" ref="E9:E15" si="1">IF(D10&lt;D9,0,D10-D9)</f>
        <v>4237</v>
      </c>
      <c r="F9" s="142">
        <v>32645615</v>
      </c>
      <c r="G9" s="141">
        <f t="shared" ref="G9:G15" si="2">IF(F10&lt;F9,0,F10-F9)</f>
        <v>6599</v>
      </c>
      <c r="H9" s="142">
        <v>14439283</v>
      </c>
      <c r="I9" s="141">
        <f t="shared" ref="I9:I16" si="3">IF(H10&lt;H9,0,H10-H9)</f>
        <v>2997</v>
      </c>
    </row>
    <row r="10" spans="1:20" ht="21" thickTop="1" thickBot="1" x14ac:dyDescent="0.35">
      <c r="A10" s="59">
        <f>A9+1</f>
        <v>43856</v>
      </c>
      <c r="B10" s="140">
        <v>119334</v>
      </c>
      <c r="C10" s="141">
        <f t="shared" si="0"/>
        <v>560</v>
      </c>
      <c r="D10" s="142">
        <v>18111455</v>
      </c>
      <c r="E10" s="141">
        <f t="shared" si="1"/>
        <v>4274</v>
      </c>
      <c r="F10" s="142">
        <v>32652214</v>
      </c>
      <c r="G10" s="141">
        <f t="shared" si="2"/>
        <v>6547</v>
      </c>
      <c r="H10" s="142">
        <v>14442280</v>
      </c>
      <c r="I10" s="141">
        <f t="shared" si="3"/>
        <v>2970</v>
      </c>
    </row>
    <row r="11" spans="1:20" ht="21" thickTop="1" thickBot="1" x14ac:dyDescent="0.35">
      <c r="A11" s="59">
        <f t="shared" ref="A11:A47" si="4">A10+1</f>
        <v>43857</v>
      </c>
      <c r="B11" s="140">
        <v>119390</v>
      </c>
      <c r="C11" s="141">
        <f t="shared" si="0"/>
        <v>470</v>
      </c>
      <c r="D11" s="142">
        <v>18115729</v>
      </c>
      <c r="E11" s="141">
        <f t="shared" si="1"/>
        <v>4336</v>
      </c>
      <c r="F11" s="142">
        <v>32658761</v>
      </c>
      <c r="G11" s="141">
        <f t="shared" si="2"/>
        <v>6772</v>
      </c>
      <c r="H11" s="142">
        <v>14445250</v>
      </c>
      <c r="I11" s="141">
        <f t="shared" si="3"/>
        <v>3041</v>
      </c>
    </row>
    <row r="12" spans="1:20" ht="21" thickTop="1" thickBot="1" x14ac:dyDescent="0.35">
      <c r="A12" s="59">
        <f t="shared" si="4"/>
        <v>43858</v>
      </c>
      <c r="B12" s="140">
        <v>119437</v>
      </c>
      <c r="C12" s="141">
        <f t="shared" si="0"/>
        <v>500</v>
      </c>
      <c r="D12" s="142">
        <v>18120065</v>
      </c>
      <c r="E12" s="141">
        <f t="shared" si="1"/>
        <v>4342</v>
      </c>
      <c r="F12" s="142">
        <v>32665533</v>
      </c>
      <c r="G12" s="141">
        <f t="shared" si="2"/>
        <v>6931</v>
      </c>
      <c r="H12" s="142">
        <v>14448291</v>
      </c>
      <c r="I12" s="141">
        <f t="shared" si="3"/>
        <v>3007</v>
      </c>
    </row>
    <row r="13" spans="1:20" ht="21" thickTop="1" thickBot="1" x14ac:dyDescent="0.35">
      <c r="A13" s="59">
        <f t="shared" si="4"/>
        <v>43859</v>
      </c>
      <c r="B13" s="140">
        <v>119487</v>
      </c>
      <c r="C13" s="141">
        <f t="shared" si="0"/>
        <v>480</v>
      </c>
      <c r="D13" s="142">
        <v>18124407</v>
      </c>
      <c r="E13" s="141">
        <f t="shared" si="1"/>
        <v>4225</v>
      </c>
      <c r="F13" s="142">
        <v>32672464</v>
      </c>
      <c r="G13" s="141">
        <f t="shared" si="2"/>
        <v>6665</v>
      </c>
      <c r="H13" s="142">
        <v>14451298</v>
      </c>
      <c r="I13" s="141">
        <f t="shared" si="3"/>
        <v>2896</v>
      </c>
    </row>
    <row r="14" spans="1:20" ht="21" thickTop="1" thickBot="1" x14ac:dyDescent="0.35">
      <c r="A14" s="59">
        <f t="shared" si="4"/>
        <v>43860</v>
      </c>
      <c r="B14" s="140">
        <v>119535</v>
      </c>
      <c r="C14" s="141">
        <f t="shared" si="0"/>
        <v>430</v>
      </c>
      <c r="D14" s="142">
        <v>18128632</v>
      </c>
      <c r="E14" s="141">
        <f t="shared" si="1"/>
        <v>4163</v>
      </c>
      <c r="F14" s="142">
        <v>32679129</v>
      </c>
      <c r="G14" s="141">
        <f t="shared" si="2"/>
        <v>6904</v>
      </c>
      <c r="H14" s="142">
        <v>14454194</v>
      </c>
      <c r="I14" s="141">
        <f t="shared" si="3"/>
        <v>2884</v>
      </c>
    </row>
    <row r="15" spans="1:20" ht="21" thickTop="1" thickBot="1" x14ac:dyDescent="0.35">
      <c r="A15" s="59">
        <f t="shared" si="4"/>
        <v>43861</v>
      </c>
      <c r="B15" s="140">
        <v>119578</v>
      </c>
      <c r="C15" s="141">
        <f t="shared" si="0"/>
        <v>490</v>
      </c>
      <c r="D15" s="142">
        <v>18132795</v>
      </c>
      <c r="E15" s="141">
        <f t="shared" si="1"/>
        <v>4335</v>
      </c>
      <c r="F15" s="142">
        <v>32686033</v>
      </c>
      <c r="G15" s="141">
        <f t="shared" si="2"/>
        <v>6357</v>
      </c>
      <c r="H15" s="142">
        <v>14457078</v>
      </c>
      <c r="I15" s="141">
        <f t="shared" si="3"/>
        <v>2896</v>
      </c>
    </row>
    <row r="16" spans="1:20" ht="21" thickTop="1" thickBot="1" x14ac:dyDescent="0.35">
      <c r="A16" s="59">
        <f t="shared" si="4"/>
        <v>43862</v>
      </c>
      <c r="B16" s="140">
        <v>119627</v>
      </c>
      <c r="C16" s="141">
        <f>IF(B17&lt;B16,0,B17-B16)*10</f>
        <v>470</v>
      </c>
      <c r="D16" s="142">
        <v>18137130</v>
      </c>
      <c r="E16" s="141">
        <f>IF(D17&lt;D16,0,D17-D16)</f>
        <v>4015</v>
      </c>
      <c r="F16" s="142">
        <v>32692390</v>
      </c>
      <c r="G16" s="141">
        <f>IF(F17&lt;F16,0,F17-F16)</f>
        <v>6238</v>
      </c>
      <c r="H16" s="142">
        <v>14459974</v>
      </c>
      <c r="I16" s="141">
        <f t="shared" si="3"/>
        <v>2808</v>
      </c>
    </row>
    <row r="17" spans="1:9" ht="21" thickTop="1" thickBot="1" x14ac:dyDescent="0.35">
      <c r="A17" s="59">
        <f t="shared" si="4"/>
        <v>43863</v>
      </c>
      <c r="B17" s="140">
        <v>119674</v>
      </c>
      <c r="C17" s="141">
        <f t="shared" ref="C17:C27" si="5">IF(B18&lt;B17,0,B18-B17)*10</f>
        <v>540</v>
      </c>
      <c r="D17" s="142">
        <v>18141145</v>
      </c>
      <c r="E17" s="141">
        <f t="shared" ref="E17:E28" si="6">IF(D18&lt;D17,0,D18-D17)</f>
        <v>4712</v>
      </c>
      <c r="F17" s="142">
        <v>32698628</v>
      </c>
      <c r="G17" s="141">
        <f t="shared" ref="G17:G28" si="7">IF(F18&lt;F17,0,F18-F17)</f>
        <v>6202</v>
      </c>
      <c r="H17" s="142">
        <v>14462782</v>
      </c>
      <c r="I17" s="141">
        <f>IF(H18&lt;H17,0,H18-H17)</f>
        <v>3477</v>
      </c>
    </row>
    <row r="18" spans="1:9" ht="21" thickTop="1" thickBot="1" x14ac:dyDescent="0.35">
      <c r="A18" s="59">
        <f t="shared" si="4"/>
        <v>43864</v>
      </c>
      <c r="B18" s="140">
        <v>119728</v>
      </c>
      <c r="C18" s="141">
        <f t="shared" si="5"/>
        <v>470</v>
      </c>
      <c r="D18" s="142">
        <v>18145857</v>
      </c>
      <c r="E18" s="141">
        <f t="shared" si="6"/>
        <v>4776</v>
      </c>
      <c r="F18" s="142">
        <v>32704830</v>
      </c>
      <c r="G18" s="141">
        <f t="shared" si="7"/>
        <v>7173</v>
      </c>
      <c r="H18" s="142">
        <v>14466259</v>
      </c>
      <c r="I18" s="141">
        <f>IF(H19&lt;H18,0,H19-H18)</f>
        <v>3744</v>
      </c>
    </row>
    <row r="19" spans="1:9" ht="21" thickTop="1" thickBot="1" x14ac:dyDescent="0.35">
      <c r="A19" s="59">
        <f t="shared" si="4"/>
        <v>43865</v>
      </c>
      <c r="B19" s="140">
        <v>119775</v>
      </c>
      <c r="C19" s="141">
        <f t="shared" si="5"/>
        <v>500</v>
      </c>
      <c r="D19" s="142">
        <v>18150633</v>
      </c>
      <c r="E19" s="141">
        <f t="shared" si="6"/>
        <v>5000</v>
      </c>
      <c r="F19" s="142">
        <v>32712003</v>
      </c>
      <c r="G19" s="141">
        <f t="shared" si="7"/>
        <v>7730</v>
      </c>
      <c r="H19" s="142">
        <v>14470003</v>
      </c>
      <c r="I19" s="141">
        <f>IF(H20&lt;H19,0,H20-H19)</f>
        <v>3480</v>
      </c>
    </row>
    <row r="20" spans="1:9" ht="21" thickTop="1" thickBot="1" x14ac:dyDescent="0.35">
      <c r="A20" s="59">
        <f t="shared" si="4"/>
        <v>43866</v>
      </c>
      <c r="B20" s="140">
        <v>119825</v>
      </c>
      <c r="C20" s="141">
        <f t="shared" si="5"/>
        <v>520</v>
      </c>
      <c r="D20" s="142">
        <v>18155633</v>
      </c>
      <c r="E20" s="141">
        <f t="shared" si="6"/>
        <v>5560</v>
      </c>
      <c r="F20" s="142">
        <v>32719733</v>
      </c>
      <c r="G20" s="141">
        <f t="shared" si="7"/>
        <v>7043</v>
      </c>
      <c r="H20" s="142">
        <v>14473483</v>
      </c>
      <c r="I20" s="141">
        <f t="shared" ref="I20:I46" si="8">IF(H21&lt;H20,0,H21-H20)</f>
        <v>3700</v>
      </c>
    </row>
    <row r="21" spans="1:9" ht="21" thickTop="1" thickBot="1" x14ac:dyDescent="0.35">
      <c r="A21" s="59">
        <f t="shared" si="4"/>
        <v>43867</v>
      </c>
      <c r="B21" s="140">
        <v>119877</v>
      </c>
      <c r="C21" s="141">
        <f t="shared" si="5"/>
        <v>510</v>
      </c>
      <c r="D21" s="142">
        <v>18161193</v>
      </c>
      <c r="E21" s="141">
        <f t="shared" si="6"/>
        <v>6172</v>
      </c>
      <c r="F21" s="142">
        <v>32726776</v>
      </c>
      <c r="G21" s="141">
        <f t="shared" si="7"/>
        <v>8342</v>
      </c>
      <c r="H21" s="142">
        <v>14477183</v>
      </c>
      <c r="I21" s="141">
        <f t="shared" si="8"/>
        <v>3792</v>
      </c>
    </row>
    <row r="22" spans="1:9" ht="21" thickTop="1" thickBot="1" x14ac:dyDescent="0.35">
      <c r="A22" s="59">
        <f t="shared" si="4"/>
        <v>43868</v>
      </c>
      <c r="B22" s="140">
        <v>119928</v>
      </c>
      <c r="C22" s="141">
        <f t="shared" si="5"/>
        <v>500</v>
      </c>
      <c r="D22" s="142">
        <v>18167365</v>
      </c>
      <c r="E22" s="141">
        <f t="shared" si="6"/>
        <v>4971</v>
      </c>
      <c r="F22" s="142">
        <v>32735118</v>
      </c>
      <c r="G22" s="141">
        <f t="shared" si="7"/>
        <v>6753</v>
      </c>
      <c r="H22" s="142">
        <v>14480975</v>
      </c>
      <c r="I22" s="141">
        <f t="shared" si="8"/>
        <v>3645</v>
      </c>
    </row>
    <row r="23" spans="1:9" ht="21" thickTop="1" thickBot="1" x14ac:dyDescent="0.35">
      <c r="A23" s="59">
        <f t="shared" si="4"/>
        <v>43869</v>
      </c>
      <c r="B23" s="140">
        <v>119978</v>
      </c>
      <c r="C23" s="141">
        <f t="shared" si="5"/>
        <v>560</v>
      </c>
      <c r="D23" s="142">
        <v>18172336</v>
      </c>
      <c r="E23" s="141">
        <f t="shared" si="6"/>
        <v>5056</v>
      </c>
      <c r="F23" s="142">
        <v>32741871</v>
      </c>
      <c r="G23" s="141">
        <f t="shared" si="7"/>
        <v>7112</v>
      </c>
      <c r="H23" s="142">
        <v>14484620</v>
      </c>
      <c r="I23" s="141">
        <f t="shared" si="8"/>
        <v>3709</v>
      </c>
    </row>
    <row r="24" spans="1:9" ht="21" thickTop="1" thickBot="1" x14ac:dyDescent="0.35">
      <c r="A24" s="59">
        <f t="shared" si="4"/>
        <v>43870</v>
      </c>
      <c r="B24" s="140">
        <v>120034</v>
      </c>
      <c r="C24" s="141">
        <f t="shared" si="5"/>
        <v>470</v>
      </c>
      <c r="D24" s="142">
        <v>18177392</v>
      </c>
      <c r="E24" s="141">
        <f t="shared" si="6"/>
        <v>3627</v>
      </c>
      <c r="F24" s="142">
        <v>32748983</v>
      </c>
      <c r="G24" s="141">
        <f t="shared" si="7"/>
        <v>6695</v>
      </c>
      <c r="H24" s="142">
        <v>14488329</v>
      </c>
      <c r="I24" s="141">
        <f t="shared" si="8"/>
        <v>3616</v>
      </c>
    </row>
    <row r="25" spans="1:9" ht="21" thickTop="1" thickBot="1" x14ac:dyDescent="0.35">
      <c r="A25" s="59">
        <f t="shared" si="4"/>
        <v>43871</v>
      </c>
      <c r="B25" s="140">
        <v>120081</v>
      </c>
      <c r="C25" s="141">
        <f t="shared" si="5"/>
        <v>480</v>
      </c>
      <c r="D25" s="142">
        <v>18181019</v>
      </c>
      <c r="E25" s="141">
        <f t="shared" si="6"/>
        <v>5442</v>
      </c>
      <c r="F25" s="142">
        <v>32755678</v>
      </c>
      <c r="G25" s="141">
        <f t="shared" si="7"/>
        <v>7290</v>
      </c>
      <c r="H25" s="142">
        <v>14491945</v>
      </c>
      <c r="I25" s="141">
        <f t="shared" si="8"/>
        <v>3521</v>
      </c>
    </row>
    <row r="26" spans="1:9" ht="21" thickTop="1" thickBot="1" x14ac:dyDescent="0.35">
      <c r="A26" s="59">
        <f t="shared" si="4"/>
        <v>43872</v>
      </c>
      <c r="B26" s="140">
        <v>120129</v>
      </c>
      <c r="C26" s="141">
        <f t="shared" si="5"/>
        <v>690</v>
      </c>
      <c r="D26" s="142">
        <v>18186461</v>
      </c>
      <c r="E26" s="141">
        <f t="shared" si="6"/>
        <v>4611</v>
      </c>
      <c r="F26" s="142">
        <v>32762968</v>
      </c>
      <c r="G26" s="141">
        <f t="shared" si="7"/>
        <v>7836</v>
      </c>
      <c r="H26" s="142">
        <v>14495466</v>
      </c>
      <c r="I26" s="141">
        <f t="shared" si="8"/>
        <v>3995</v>
      </c>
    </row>
    <row r="27" spans="1:9" ht="21" thickTop="1" thickBot="1" x14ac:dyDescent="0.35">
      <c r="A27" s="59">
        <f t="shared" si="4"/>
        <v>43873</v>
      </c>
      <c r="B27" s="140">
        <v>120198</v>
      </c>
      <c r="C27" s="141">
        <f t="shared" si="5"/>
        <v>610</v>
      </c>
      <c r="D27" s="142">
        <v>18191072</v>
      </c>
      <c r="E27" s="141">
        <f t="shared" si="6"/>
        <v>4837</v>
      </c>
      <c r="F27" s="142">
        <v>32770804</v>
      </c>
      <c r="G27" s="141">
        <f t="shared" si="7"/>
        <v>8000</v>
      </c>
      <c r="H27" s="142">
        <v>14499461</v>
      </c>
      <c r="I27" s="141">
        <f t="shared" si="8"/>
        <v>3592</v>
      </c>
    </row>
    <row r="28" spans="1:9" ht="21" thickTop="1" thickBot="1" x14ac:dyDescent="0.35">
      <c r="A28" s="59">
        <f t="shared" si="4"/>
        <v>43874</v>
      </c>
      <c r="B28" s="140">
        <v>120259</v>
      </c>
      <c r="C28" s="141">
        <f t="shared" ref="C28" si="9">IF(B29&lt;B28,0,B29-B28)*10</f>
        <v>0</v>
      </c>
      <c r="D28" s="142">
        <v>18195909</v>
      </c>
      <c r="E28" s="141">
        <f t="shared" si="6"/>
        <v>0</v>
      </c>
      <c r="F28" s="142">
        <v>32778804</v>
      </c>
      <c r="G28" s="141">
        <f t="shared" si="7"/>
        <v>0</v>
      </c>
      <c r="H28" s="142">
        <v>14503053</v>
      </c>
      <c r="I28" s="141">
        <f t="shared" si="8"/>
        <v>0</v>
      </c>
    </row>
    <row r="29" spans="1:9" ht="21" thickTop="1" thickBot="1" x14ac:dyDescent="0.35">
      <c r="A29" s="59">
        <f t="shared" si="4"/>
        <v>43875</v>
      </c>
      <c r="B29" s="140"/>
      <c r="C29" s="141">
        <f t="shared" ref="C29:C32" si="10">IF(B30&lt;B29,0,B30-B29)*10</f>
        <v>0</v>
      </c>
      <c r="D29" s="142"/>
      <c r="E29" s="141">
        <f t="shared" ref="E29:E32" si="11">IF(D30&lt;D29,0,D30-D29)</f>
        <v>0</v>
      </c>
      <c r="F29" s="142"/>
      <c r="G29" s="141">
        <f t="shared" ref="G29:G32" si="12">IF(F30&lt;F29,0,F30-F29)</f>
        <v>0</v>
      </c>
      <c r="H29" s="142"/>
      <c r="I29" s="141">
        <f t="shared" si="8"/>
        <v>0</v>
      </c>
    </row>
    <row r="30" spans="1:9" ht="21" thickTop="1" thickBot="1" x14ac:dyDescent="0.35">
      <c r="A30" s="59">
        <f t="shared" si="4"/>
        <v>43876</v>
      </c>
      <c r="B30" s="140"/>
      <c r="C30" s="141">
        <f t="shared" si="10"/>
        <v>0</v>
      </c>
      <c r="D30" s="142"/>
      <c r="E30" s="141">
        <f t="shared" si="11"/>
        <v>0</v>
      </c>
      <c r="F30" s="142"/>
      <c r="G30" s="141">
        <f t="shared" si="12"/>
        <v>0</v>
      </c>
      <c r="H30" s="142"/>
      <c r="I30" s="141">
        <f t="shared" si="8"/>
        <v>0</v>
      </c>
    </row>
    <row r="31" spans="1:9" ht="21" thickTop="1" thickBot="1" x14ac:dyDescent="0.35">
      <c r="A31" s="59">
        <f>A30+1</f>
        <v>43877</v>
      </c>
      <c r="B31" s="140"/>
      <c r="C31" s="141">
        <f t="shared" si="10"/>
        <v>0</v>
      </c>
      <c r="D31" s="142"/>
      <c r="E31" s="141">
        <f t="shared" si="11"/>
        <v>0</v>
      </c>
      <c r="F31" s="142"/>
      <c r="G31" s="141">
        <f t="shared" si="12"/>
        <v>0</v>
      </c>
      <c r="H31" s="142"/>
      <c r="I31" s="141">
        <f t="shared" si="8"/>
        <v>0</v>
      </c>
    </row>
    <row r="32" spans="1:9" ht="21" thickTop="1" thickBot="1" x14ac:dyDescent="0.35">
      <c r="A32" s="59">
        <f t="shared" si="4"/>
        <v>43878</v>
      </c>
      <c r="B32" s="140"/>
      <c r="C32" s="141">
        <f t="shared" si="10"/>
        <v>0</v>
      </c>
      <c r="D32" s="142"/>
      <c r="E32" s="141">
        <f t="shared" si="11"/>
        <v>0</v>
      </c>
      <c r="F32" s="142"/>
      <c r="G32" s="141">
        <f t="shared" si="12"/>
        <v>0</v>
      </c>
      <c r="H32" s="142"/>
      <c r="I32" s="141">
        <f t="shared" si="8"/>
        <v>0</v>
      </c>
    </row>
    <row r="33" spans="1:9" ht="21" thickTop="1" thickBot="1" x14ac:dyDescent="0.35">
      <c r="A33" s="59">
        <f t="shared" si="4"/>
        <v>43879</v>
      </c>
      <c r="B33" s="140"/>
      <c r="C33" s="141">
        <f t="shared" ref="C33:C46" si="13">IF(B34&lt;B33,0,B34-B33)*10</f>
        <v>0</v>
      </c>
      <c r="D33" s="142"/>
      <c r="E33" s="141">
        <f t="shared" ref="E33:E46" si="14">IF(D34&lt;D33,0,D34-D33)</f>
        <v>0</v>
      </c>
      <c r="F33" s="142"/>
      <c r="G33" s="141">
        <f t="shared" ref="G33:G46" si="15">IF(F34&lt;F33,0,F34-F33)</f>
        <v>0</v>
      </c>
      <c r="H33" s="142"/>
      <c r="I33" s="141">
        <f t="shared" si="8"/>
        <v>0</v>
      </c>
    </row>
    <row r="34" spans="1:9" ht="21" thickTop="1" thickBot="1" x14ac:dyDescent="0.35">
      <c r="A34" s="59">
        <f t="shared" si="4"/>
        <v>43880</v>
      </c>
      <c r="B34" s="140"/>
      <c r="C34" s="141">
        <f t="shared" si="13"/>
        <v>0</v>
      </c>
      <c r="D34" s="142"/>
      <c r="E34" s="141">
        <f t="shared" si="14"/>
        <v>0</v>
      </c>
      <c r="F34" s="142"/>
      <c r="G34" s="141">
        <f t="shared" si="15"/>
        <v>0</v>
      </c>
      <c r="H34" s="142"/>
      <c r="I34" s="141">
        <f t="shared" si="8"/>
        <v>0</v>
      </c>
    </row>
    <row r="35" spans="1:9" ht="21" thickTop="1" thickBot="1" x14ac:dyDescent="0.35">
      <c r="A35" s="59">
        <f t="shared" si="4"/>
        <v>43881</v>
      </c>
      <c r="B35" s="140"/>
      <c r="C35" s="141">
        <f t="shared" si="13"/>
        <v>0</v>
      </c>
      <c r="D35" s="142"/>
      <c r="E35" s="141">
        <f t="shared" si="14"/>
        <v>0</v>
      </c>
      <c r="F35" s="142"/>
      <c r="G35" s="141">
        <f t="shared" si="15"/>
        <v>0</v>
      </c>
      <c r="H35" s="142"/>
      <c r="I35" s="141">
        <f t="shared" si="8"/>
        <v>0</v>
      </c>
    </row>
    <row r="36" spans="1:9" ht="21" thickTop="1" thickBot="1" x14ac:dyDescent="0.35">
      <c r="A36" s="59">
        <f t="shared" si="4"/>
        <v>43882</v>
      </c>
      <c r="B36" s="140"/>
      <c r="C36" s="141">
        <f t="shared" si="13"/>
        <v>0</v>
      </c>
      <c r="D36" s="142"/>
      <c r="E36" s="141">
        <f t="shared" si="14"/>
        <v>0</v>
      </c>
      <c r="F36" s="142"/>
      <c r="G36" s="141">
        <f t="shared" si="15"/>
        <v>0</v>
      </c>
      <c r="H36" s="142"/>
      <c r="I36" s="141">
        <f t="shared" si="8"/>
        <v>0</v>
      </c>
    </row>
    <row r="37" spans="1:9" ht="21" thickTop="1" thickBot="1" x14ac:dyDescent="0.35">
      <c r="A37" s="59">
        <f t="shared" si="4"/>
        <v>43883</v>
      </c>
      <c r="B37" s="140"/>
      <c r="C37" s="141">
        <f t="shared" si="13"/>
        <v>0</v>
      </c>
      <c r="D37" s="142"/>
      <c r="E37" s="141">
        <f t="shared" si="14"/>
        <v>0</v>
      </c>
      <c r="F37" s="142"/>
      <c r="G37" s="141">
        <f t="shared" si="15"/>
        <v>0</v>
      </c>
      <c r="H37" s="142"/>
      <c r="I37" s="141">
        <f t="shared" si="8"/>
        <v>0</v>
      </c>
    </row>
    <row r="38" spans="1:9" ht="21" thickTop="1" thickBot="1" x14ac:dyDescent="0.35">
      <c r="A38" s="59">
        <f t="shared" si="4"/>
        <v>43884</v>
      </c>
      <c r="B38" s="140"/>
      <c r="C38" s="141">
        <f t="shared" si="13"/>
        <v>0</v>
      </c>
      <c r="D38" s="142"/>
      <c r="E38" s="141">
        <f t="shared" si="14"/>
        <v>0</v>
      </c>
      <c r="F38" s="142"/>
      <c r="G38" s="141">
        <f t="shared" si="15"/>
        <v>0</v>
      </c>
      <c r="H38" s="142"/>
      <c r="I38" s="141">
        <f t="shared" si="8"/>
        <v>0</v>
      </c>
    </row>
    <row r="39" spans="1:9" ht="21" thickTop="1" thickBot="1" x14ac:dyDescent="0.35">
      <c r="A39" s="59">
        <f t="shared" si="4"/>
        <v>43885</v>
      </c>
      <c r="B39" s="140"/>
      <c r="C39" s="141">
        <f t="shared" si="13"/>
        <v>0</v>
      </c>
      <c r="D39" s="142"/>
      <c r="E39" s="141">
        <f t="shared" si="14"/>
        <v>0</v>
      </c>
      <c r="F39" s="142"/>
      <c r="G39" s="141">
        <f t="shared" si="15"/>
        <v>0</v>
      </c>
      <c r="H39" s="142"/>
      <c r="I39" s="141">
        <f t="shared" si="8"/>
        <v>0</v>
      </c>
    </row>
    <row r="40" spans="1:9" ht="21" thickTop="1" thickBot="1" x14ac:dyDescent="0.35">
      <c r="A40" s="59">
        <f t="shared" si="4"/>
        <v>43886</v>
      </c>
      <c r="B40" s="140"/>
      <c r="C40" s="141">
        <f t="shared" si="13"/>
        <v>0</v>
      </c>
      <c r="D40" s="142"/>
      <c r="E40" s="141">
        <f t="shared" si="14"/>
        <v>0</v>
      </c>
      <c r="F40" s="142"/>
      <c r="G40" s="141">
        <f t="shared" si="15"/>
        <v>0</v>
      </c>
      <c r="H40" s="142"/>
      <c r="I40" s="141">
        <f t="shared" si="8"/>
        <v>0</v>
      </c>
    </row>
    <row r="41" spans="1:9" ht="21" thickTop="1" thickBot="1" x14ac:dyDescent="0.35">
      <c r="A41" s="59">
        <f t="shared" si="4"/>
        <v>43887</v>
      </c>
      <c r="B41" s="140"/>
      <c r="C41" s="141">
        <f t="shared" si="13"/>
        <v>0</v>
      </c>
      <c r="D41" s="142"/>
      <c r="E41" s="141">
        <f t="shared" si="14"/>
        <v>0</v>
      </c>
      <c r="F41" s="142"/>
      <c r="G41" s="141">
        <f t="shared" si="15"/>
        <v>0</v>
      </c>
      <c r="H41" s="142"/>
      <c r="I41" s="141">
        <f t="shared" si="8"/>
        <v>0</v>
      </c>
    </row>
    <row r="42" spans="1:9" ht="21" thickTop="1" thickBot="1" x14ac:dyDescent="0.35">
      <c r="A42" s="59">
        <f t="shared" si="4"/>
        <v>43888</v>
      </c>
      <c r="B42" s="140"/>
      <c r="C42" s="141">
        <f t="shared" si="13"/>
        <v>0</v>
      </c>
      <c r="D42" s="142"/>
      <c r="E42" s="141">
        <f t="shared" si="14"/>
        <v>0</v>
      </c>
      <c r="F42" s="142"/>
      <c r="G42" s="141">
        <f t="shared" si="15"/>
        <v>0</v>
      </c>
      <c r="H42" s="142"/>
      <c r="I42" s="141">
        <f t="shared" si="8"/>
        <v>0</v>
      </c>
    </row>
    <row r="43" spans="1:9" ht="21" thickTop="1" thickBot="1" x14ac:dyDescent="0.35">
      <c r="A43" s="59">
        <f t="shared" si="4"/>
        <v>43889</v>
      </c>
      <c r="B43" s="140"/>
      <c r="C43" s="141">
        <f t="shared" si="13"/>
        <v>0</v>
      </c>
      <c r="D43" s="142"/>
      <c r="E43" s="141">
        <f t="shared" si="14"/>
        <v>0</v>
      </c>
      <c r="F43" s="142"/>
      <c r="G43" s="141">
        <f t="shared" si="15"/>
        <v>0</v>
      </c>
      <c r="H43" s="142"/>
      <c r="I43" s="141">
        <f t="shared" si="8"/>
        <v>0</v>
      </c>
    </row>
    <row r="44" spans="1:9" ht="21" thickTop="1" thickBot="1" x14ac:dyDescent="0.35">
      <c r="A44" s="59">
        <f t="shared" si="4"/>
        <v>43890</v>
      </c>
      <c r="B44" s="140"/>
      <c r="C44" s="141">
        <f t="shared" si="13"/>
        <v>0</v>
      </c>
      <c r="D44" s="142"/>
      <c r="E44" s="141">
        <f t="shared" si="14"/>
        <v>0</v>
      </c>
      <c r="F44" s="142"/>
      <c r="G44" s="141">
        <f t="shared" si="15"/>
        <v>0</v>
      </c>
      <c r="H44" s="142"/>
      <c r="I44" s="141">
        <f t="shared" si="8"/>
        <v>0</v>
      </c>
    </row>
    <row r="45" spans="1:9" ht="21" thickTop="1" thickBot="1" x14ac:dyDescent="0.35">
      <c r="A45" s="59">
        <f t="shared" si="4"/>
        <v>43891</v>
      </c>
      <c r="B45" s="140"/>
      <c r="C45" s="141">
        <f t="shared" si="13"/>
        <v>0</v>
      </c>
      <c r="D45" s="142"/>
      <c r="E45" s="141">
        <f t="shared" si="14"/>
        <v>0</v>
      </c>
      <c r="F45" s="142"/>
      <c r="G45" s="141">
        <f t="shared" si="15"/>
        <v>0</v>
      </c>
      <c r="H45" s="142"/>
      <c r="I45" s="141">
        <f t="shared" si="8"/>
        <v>0</v>
      </c>
    </row>
    <row r="46" spans="1:9" ht="21" thickTop="1" thickBot="1" x14ac:dyDescent="0.35">
      <c r="A46" s="59">
        <f t="shared" si="4"/>
        <v>43892</v>
      </c>
      <c r="B46" s="140"/>
      <c r="C46" s="141">
        <f t="shared" si="13"/>
        <v>0</v>
      </c>
      <c r="D46" s="142"/>
      <c r="E46" s="141">
        <f t="shared" si="14"/>
        <v>0</v>
      </c>
      <c r="F46" s="142"/>
      <c r="G46" s="141">
        <f t="shared" si="15"/>
        <v>0</v>
      </c>
      <c r="H46" s="142"/>
      <c r="I46" s="141">
        <f t="shared" si="8"/>
        <v>0</v>
      </c>
    </row>
    <row r="47" spans="1:9" ht="21" thickTop="1" thickBot="1" x14ac:dyDescent="0.35">
      <c r="A47" s="59">
        <f t="shared" si="4"/>
        <v>43893</v>
      </c>
      <c r="B47" s="140"/>
      <c r="C47" s="141">
        <f>IF(B48&lt;B47,0,B48-B47)*10</f>
        <v>0</v>
      </c>
      <c r="D47" s="142"/>
      <c r="E47" s="141">
        <f>IF(D48&lt;D47,0,D48-D47)</f>
        <v>0</v>
      </c>
      <c r="F47" s="142"/>
      <c r="G47" s="141">
        <f>IF(F48&lt;F47,0,F48-F47)</f>
        <v>0</v>
      </c>
      <c r="H47" s="142"/>
      <c r="I47" s="141">
        <f>IF(H48&lt;H47,0,H48-H47)</f>
        <v>0</v>
      </c>
    </row>
    <row r="48" spans="1:9" ht="21.75" customHeight="1" thickTop="1" thickBot="1" x14ac:dyDescent="0.35">
      <c r="A48" s="61"/>
      <c r="C48" s="141">
        <f>SUM(C16:C44)</f>
        <v>6320</v>
      </c>
      <c r="E48" s="141">
        <f>SUM(E16:E44)</f>
        <v>58779</v>
      </c>
      <c r="F48" s="84"/>
      <c r="G48" s="141">
        <f>SUM(G16:G44)</f>
        <v>86414</v>
      </c>
      <c r="H48" s="84"/>
      <c r="I48" s="141">
        <f>SUM(I16:I44)</f>
        <v>43079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84" priority="3038" stopIfTrue="1" operator="lessThanOrEqual">
      <formula>0</formula>
    </cfRule>
  </conditionalFormatting>
  <conditionalFormatting sqref="C48">
    <cfRule type="cellIs" dxfId="83" priority="148" stopIfTrue="1" operator="lessThanOrEqual">
      <formula>0</formula>
    </cfRule>
  </conditionalFormatting>
  <conditionalFormatting sqref="C48">
    <cfRule type="cellIs" dxfId="82" priority="147" stopIfTrue="1" operator="lessThanOrEqual">
      <formula>0</formula>
    </cfRule>
  </conditionalFormatting>
  <conditionalFormatting sqref="C48">
    <cfRule type="cellIs" dxfId="81" priority="146" stopIfTrue="1" operator="lessThanOrEqual">
      <formula>0</formula>
    </cfRule>
  </conditionalFormatting>
  <conditionalFormatting sqref="C48">
    <cfRule type="cellIs" dxfId="80" priority="145" stopIfTrue="1" operator="lessThanOrEqual">
      <formula>0</formula>
    </cfRule>
  </conditionalFormatting>
  <conditionalFormatting sqref="C33:C46">
    <cfRule type="cellIs" dxfId="79" priority="136" stopIfTrue="1" operator="lessThanOrEqual">
      <formula>0</formula>
    </cfRule>
  </conditionalFormatting>
  <conditionalFormatting sqref="C33:C46">
    <cfRule type="cellIs" dxfId="78" priority="135" stopIfTrue="1" operator="lessThanOrEqual">
      <formula>0</formula>
    </cfRule>
  </conditionalFormatting>
  <conditionalFormatting sqref="C33:C46">
    <cfRule type="cellIs" dxfId="77" priority="134" stopIfTrue="1" operator="lessThanOrEqual">
      <formula>0</formula>
    </cfRule>
  </conditionalFormatting>
  <conditionalFormatting sqref="C33:C46">
    <cfRule type="cellIs" dxfId="76" priority="133" stopIfTrue="1" operator="lessThanOrEqual">
      <formula>0</formula>
    </cfRule>
  </conditionalFormatting>
  <conditionalFormatting sqref="C29:C30">
    <cfRule type="cellIs" dxfId="75" priority="80" stopIfTrue="1" operator="lessThanOrEqual">
      <formula>0</formula>
    </cfRule>
  </conditionalFormatting>
  <conditionalFormatting sqref="C29:C30">
    <cfRule type="cellIs" dxfId="74" priority="79" stopIfTrue="1" operator="lessThanOrEqual">
      <formula>0</formula>
    </cfRule>
  </conditionalFormatting>
  <conditionalFormatting sqref="C29:C30">
    <cfRule type="cellIs" dxfId="73" priority="78" stopIfTrue="1" operator="lessThanOrEqual">
      <formula>0</formula>
    </cfRule>
  </conditionalFormatting>
  <conditionalFormatting sqref="C29:C30">
    <cfRule type="cellIs" dxfId="72" priority="77" stopIfTrue="1" operator="lessThanOrEqual">
      <formula>0</formula>
    </cfRule>
  </conditionalFormatting>
  <conditionalFormatting sqref="C31">
    <cfRule type="cellIs" dxfId="71" priority="76" stopIfTrue="1" operator="lessThanOrEqual">
      <formula>0</formula>
    </cfRule>
  </conditionalFormatting>
  <conditionalFormatting sqref="C31">
    <cfRule type="cellIs" dxfId="70" priority="75" stopIfTrue="1" operator="lessThanOrEqual">
      <formula>0</formula>
    </cfRule>
  </conditionalFormatting>
  <conditionalFormatting sqref="C31">
    <cfRule type="cellIs" dxfId="69" priority="74" stopIfTrue="1" operator="lessThanOrEqual">
      <formula>0</formula>
    </cfRule>
  </conditionalFormatting>
  <conditionalFormatting sqref="C31">
    <cfRule type="cellIs" dxfId="68" priority="73" stopIfTrue="1" operator="lessThanOrEqual">
      <formula>0</formula>
    </cfRule>
  </conditionalFormatting>
  <conditionalFormatting sqref="C32">
    <cfRule type="cellIs" dxfId="67" priority="72" stopIfTrue="1" operator="lessThanOrEqual">
      <formula>0</formula>
    </cfRule>
  </conditionalFormatting>
  <conditionalFormatting sqref="C32">
    <cfRule type="cellIs" dxfId="66" priority="71" stopIfTrue="1" operator="lessThanOrEqual">
      <formula>0</formula>
    </cfRule>
  </conditionalFormatting>
  <conditionalFormatting sqref="C32">
    <cfRule type="cellIs" dxfId="65" priority="70" stopIfTrue="1" operator="lessThanOrEqual">
      <formula>0</formula>
    </cfRule>
  </conditionalFormatting>
  <conditionalFormatting sqref="C32">
    <cfRule type="cellIs" dxfId="64" priority="69" stopIfTrue="1" operator="lessThanOrEqual">
      <formula>0</formula>
    </cfRule>
  </conditionalFormatting>
  <conditionalFormatting sqref="C47">
    <cfRule type="cellIs" dxfId="63" priority="68" stopIfTrue="1" operator="lessThanOrEqual">
      <formula>0</formula>
    </cfRule>
  </conditionalFormatting>
  <conditionalFormatting sqref="C47">
    <cfRule type="cellIs" dxfId="62" priority="67" stopIfTrue="1" operator="lessThanOrEqual">
      <formula>0</formula>
    </cfRule>
  </conditionalFormatting>
  <conditionalFormatting sqref="C47">
    <cfRule type="cellIs" dxfId="61" priority="66" stopIfTrue="1" operator="lessThanOrEqual">
      <formula>0</formula>
    </cfRule>
  </conditionalFormatting>
  <conditionalFormatting sqref="C47">
    <cfRule type="cellIs" dxfId="60" priority="65" stopIfTrue="1" operator="lessThanOrEqual">
      <formula>0</formula>
    </cfRule>
  </conditionalFormatting>
  <conditionalFormatting sqref="C9:C15">
    <cfRule type="cellIs" dxfId="59" priority="64" stopIfTrue="1" operator="lessThanOrEqual">
      <formula>0</formula>
    </cfRule>
  </conditionalFormatting>
  <conditionalFormatting sqref="C9:C15">
    <cfRule type="cellIs" dxfId="58" priority="63" stopIfTrue="1" operator="lessThanOrEqual">
      <formula>0</formula>
    </cfRule>
  </conditionalFormatting>
  <conditionalFormatting sqref="C9:C15">
    <cfRule type="cellIs" dxfId="57" priority="62" stopIfTrue="1" operator="lessThanOrEqual">
      <formula>0</formula>
    </cfRule>
  </conditionalFormatting>
  <conditionalFormatting sqref="C9:C15">
    <cfRule type="cellIs" dxfId="56" priority="61" stopIfTrue="1" operator="lessThanOrEqual">
      <formula>0</formula>
    </cfRule>
  </conditionalFormatting>
  <conditionalFormatting sqref="C16">
    <cfRule type="cellIs" dxfId="55" priority="60" stopIfTrue="1" operator="lessThanOrEqual">
      <formula>0</formula>
    </cfRule>
  </conditionalFormatting>
  <conditionalFormatting sqref="C16">
    <cfRule type="cellIs" dxfId="54" priority="59" stopIfTrue="1" operator="lessThanOrEqual">
      <formula>0</formula>
    </cfRule>
  </conditionalFormatting>
  <conditionalFormatting sqref="C16">
    <cfRule type="cellIs" dxfId="53" priority="58" stopIfTrue="1" operator="lessThanOrEqual">
      <formula>0</formula>
    </cfRule>
  </conditionalFormatting>
  <conditionalFormatting sqref="C16">
    <cfRule type="cellIs" dxfId="52" priority="57" stopIfTrue="1" operator="lessThanOrEqual">
      <formula>0</formula>
    </cfRule>
  </conditionalFormatting>
  <conditionalFormatting sqref="E48">
    <cfRule type="cellIs" dxfId="51" priority="56" stopIfTrue="1" operator="lessThanOrEqual">
      <formula>0</formula>
    </cfRule>
  </conditionalFormatting>
  <conditionalFormatting sqref="E48">
    <cfRule type="cellIs" dxfId="50" priority="55" stopIfTrue="1" operator="lessThanOrEqual">
      <formula>0</formula>
    </cfRule>
  </conditionalFormatting>
  <conditionalFormatting sqref="E48">
    <cfRule type="cellIs" dxfId="49" priority="54" stopIfTrue="1" operator="lessThanOrEqual">
      <formula>0</formula>
    </cfRule>
  </conditionalFormatting>
  <conditionalFormatting sqref="E48">
    <cfRule type="cellIs" dxfId="48" priority="53" stopIfTrue="1" operator="lessThanOrEqual">
      <formula>0</formula>
    </cfRule>
  </conditionalFormatting>
  <conditionalFormatting sqref="G48">
    <cfRule type="cellIs" dxfId="47" priority="52" stopIfTrue="1" operator="lessThanOrEqual">
      <formula>0</formula>
    </cfRule>
  </conditionalFormatting>
  <conditionalFormatting sqref="G48">
    <cfRule type="cellIs" dxfId="46" priority="51" stopIfTrue="1" operator="lessThanOrEqual">
      <formula>0</formula>
    </cfRule>
  </conditionalFormatting>
  <conditionalFormatting sqref="G48">
    <cfRule type="cellIs" dxfId="45" priority="50" stopIfTrue="1" operator="lessThanOrEqual">
      <formula>0</formula>
    </cfRule>
  </conditionalFormatting>
  <conditionalFormatting sqref="G48">
    <cfRule type="cellIs" dxfId="44" priority="49" stopIfTrue="1" operator="lessThanOrEqual">
      <formula>0</formula>
    </cfRule>
  </conditionalFormatting>
  <conditionalFormatting sqref="I48">
    <cfRule type="cellIs" dxfId="43" priority="48" stopIfTrue="1" operator="lessThanOrEqual">
      <formula>0</formula>
    </cfRule>
  </conditionalFormatting>
  <conditionalFormatting sqref="I48">
    <cfRule type="cellIs" dxfId="42" priority="47" stopIfTrue="1" operator="lessThanOrEqual">
      <formula>0</formula>
    </cfRule>
  </conditionalFormatting>
  <conditionalFormatting sqref="I48">
    <cfRule type="cellIs" dxfId="41" priority="46" stopIfTrue="1" operator="lessThanOrEqual">
      <formula>0</formula>
    </cfRule>
  </conditionalFormatting>
  <conditionalFormatting sqref="I48">
    <cfRule type="cellIs" dxfId="40" priority="45" stopIfTrue="1" operator="lessThanOrEqual">
      <formula>0</formula>
    </cfRule>
  </conditionalFormatting>
  <conditionalFormatting sqref="C17">
    <cfRule type="cellIs" dxfId="39" priority="44" stopIfTrue="1" operator="lessThanOrEqual">
      <formula>0</formula>
    </cfRule>
  </conditionalFormatting>
  <conditionalFormatting sqref="C17">
    <cfRule type="cellIs" dxfId="38" priority="43" stopIfTrue="1" operator="lessThanOrEqual">
      <formula>0</formula>
    </cfRule>
  </conditionalFormatting>
  <conditionalFormatting sqref="C17">
    <cfRule type="cellIs" dxfId="37" priority="42" stopIfTrue="1" operator="lessThanOrEqual">
      <formula>0</formula>
    </cfRule>
  </conditionalFormatting>
  <conditionalFormatting sqref="C17">
    <cfRule type="cellIs" dxfId="36" priority="41" stopIfTrue="1" operator="lessThanOrEqual">
      <formula>0</formula>
    </cfRule>
  </conditionalFormatting>
  <conditionalFormatting sqref="C18">
    <cfRule type="cellIs" dxfId="35" priority="40" stopIfTrue="1" operator="lessThanOrEqual">
      <formula>0</formula>
    </cfRule>
  </conditionalFormatting>
  <conditionalFormatting sqref="C18">
    <cfRule type="cellIs" dxfId="34" priority="39" stopIfTrue="1" operator="lessThanOrEqual">
      <formula>0</formula>
    </cfRule>
  </conditionalFormatting>
  <conditionalFormatting sqref="C18">
    <cfRule type="cellIs" dxfId="33" priority="38" stopIfTrue="1" operator="lessThanOrEqual">
      <formula>0</formula>
    </cfRule>
  </conditionalFormatting>
  <conditionalFormatting sqref="C18">
    <cfRule type="cellIs" dxfId="32" priority="37" stopIfTrue="1" operator="lessThanOrEqual">
      <formula>0</formula>
    </cfRule>
  </conditionalFormatting>
  <conditionalFormatting sqref="C19">
    <cfRule type="cellIs" dxfId="31" priority="36" stopIfTrue="1" operator="lessThanOrEqual">
      <formula>0</formula>
    </cfRule>
  </conditionalFormatting>
  <conditionalFormatting sqref="C19">
    <cfRule type="cellIs" dxfId="30" priority="35" stopIfTrue="1" operator="lessThanOrEqual">
      <formula>0</formula>
    </cfRule>
  </conditionalFormatting>
  <conditionalFormatting sqref="C19">
    <cfRule type="cellIs" dxfId="29" priority="34" stopIfTrue="1" operator="lessThanOrEqual">
      <formula>0</formula>
    </cfRule>
  </conditionalFormatting>
  <conditionalFormatting sqref="C19">
    <cfRule type="cellIs" dxfId="28" priority="33" stopIfTrue="1" operator="lessThanOrEqual">
      <formula>0</formula>
    </cfRule>
  </conditionalFormatting>
  <conditionalFormatting sqref="C20">
    <cfRule type="cellIs" dxfId="27" priority="32" stopIfTrue="1" operator="lessThanOrEqual">
      <formula>0</formula>
    </cfRule>
  </conditionalFormatting>
  <conditionalFormatting sqref="C20">
    <cfRule type="cellIs" dxfId="26" priority="31" stopIfTrue="1" operator="lessThanOrEqual">
      <formula>0</formula>
    </cfRule>
  </conditionalFormatting>
  <conditionalFormatting sqref="C20">
    <cfRule type="cellIs" dxfId="25" priority="30" stopIfTrue="1" operator="lessThanOrEqual">
      <formula>0</formula>
    </cfRule>
  </conditionalFormatting>
  <conditionalFormatting sqref="C20">
    <cfRule type="cellIs" dxfId="24" priority="29" stopIfTrue="1" operator="lessThanOrEqual">
      <formula>0</formula>
    </cfRule>
  </conditionalFormatting>
  <conditionalFormatting sqref="C21">
    <cfRule type="cellIs" dxfId="23" priority="28" stopIfTrue="1" operator="lessThanOrEqual">
      <formula>0</formula>
    </cfRule>
  </conditionalFormatting>
  <conditionalFormatting sqref="C21">
    <cfRule type="cellIs" dxfId="22" priority="27" stopIfTrue="1" operator="lessThanOrEqual">
      <formula>0</formula>
    </cfRule>
  </conditionalFormatting>
  <conditionalFormatting sqref="C21">
    <cfRule type="cellIs" dxfId="21" priority="26" stopIfTrue="1" operator="lessThanOrEqual">
      <formula>0</formula>
    </cfRule>
  </conditionalFormatting>
  <conditionalFormatting sqref="C21">
    <cfRule type="cellIs" dxfId="20" priority="25" stopIfTrue="1" operator="lessThanOrEqual">
      <formula>0</formula>
    </cfRule>
  </conditionalFormatting>
  <conditionalFormatting sqref="C22:C23">
    <cfRule type="cellIs" dxfId="19" priority="24" stopIfTrue="1" operator="lessThanOrEqual">
      <formula>0</formula>
    </cfRule>
  </conditionalFormatting>
  <conditionalFormatting sqref="C22:C23">
    <cfRule type="cellIs" dxfId="18" priority="23" stopIfTrue="1" operator="lessThanOrEqual">
      <formula>0</formula>
    </cfRule>
  </conditionalFormatting>
  <conditionalFormatting sqref="C22:C23">
    <cfRule type="cellIs" dxfId="17" priority="22" stopIfTrue="1" operator="lessThanOrEqual">
      <formula>0</formula>
    </cfRule>
  </conditionalFormatting>
  <conditionalFormatting sqref="C22:C23">
    <cfRule type="cellIs" dxfId="16" priority="21" stopIfTrue="1" operator="lessThanOrEqual">
      <formula>0</formula>
    </cfRule>
  </conditionalFormatting>
  <conditionalFormatting sqref="C24">
    <cfRule type="cellIs" dxfId="15" priority="20" stopIfTrue="1" operator="lessThanOrEqual">
      <formula>0</formula>
    </cfRule>
  </conditionalFormatting>
  <conditionalFormatting sqref="C24">
    <cfRule type="cellIs" dxfId="14" priority="19" stopIfTrue="1" operator="lessThanOrEqual">
      <formula>0</formula>
    </cfRule>
  </conditionalFormatting>
  <conditionalFormatting sqref="C24">
    <cfRule type="cellIs" dxfId="13" priority="18" stopIfTrue="1" operator="lessThanOrEqual">
      <formula>0</formula>
    </cfRule>
  </conditionalFormatting>
  <conditionalFormatting sqref="C24">
    <cfRule type="cellIs" dxfId="12" priority="17" stopIfTrue="1" operator="lessThanOrEqual">
      <formula>0</formula>
    </cfRule>
  </conditionalFormatting>
  <conditionalFormatting sqref="C25">
    <cfRule type="cellIs" dxfId="11" priority="16" stopIfTrue="1" operator="lessThanOrEqual">
      <formula>0</formula>
    </cfRule>
  </conditionalFormatting>
  <conditionalFormatting sqref="C25">
    <cfRule type="cellIs" dxfId="10" priority="15" stopIfTrue="1" operator="lessThanOrEqual">
      <formula>0</formula>
    </cfRule>
  </conditionalFormatting>
  <conditionalFormatting sqref="C25">
    <cfRule type="cellIs" dxfId="9" priority="14" stopIfTrue="1" operator="lessThanOrEqual">
      <formula>0</formula>
    </cfRule>
  </conditionalFormatting>
  <conditionalFormatting sqref="C25">
    <cfRule type="cellIs" dxfId="8" priority="13" stopIfTrue="1" operator="lessThanOrEqual">
      <formula>0</formula>
    </cfRule>
  </conditionalFormatting>
  <conditionalFormatting sqref="C26:C27">
    <cfRule type="cellIs" dxfId="7" priority="12" stopIfTrue="1" operator="lessThanOrEqual">
      <formula>0</formula>
    </cfRule>
  </conditionalFormatting>
  <conditionalFormatting sqref="C26:C27">
    <cfRule type="cellIs" dxfId="6" priority="11" stopIfTrue="1" operator="lessThanOrEqual">
      <formula>0</formula>
    </cfRule>
  </conditionalFormatting>
  <conditionalFormatting sqref="C26:C27">
    <cfRule type="cellIs" dxfId="5" priority="10" stopIfTrue="1" operator="lessThanOrEqual">
      <formula>0</formula>
    </cfRule>
  </conditionalFormatting>
  <conditionalFormatting sqref="C26:C27">
    <cfRule type="cellIs" dxfId="4" priority="9" stopIfTrue="1" operator="lessThanOrEqual">
      <formula>0</formula>
    </cfRule>
  </conditionalFormatting>
  <conditionalFormatting sqref="C28">
    <cfRule type="cellIs" dxfId="3" priority="4" stopIfTrue="1" operator="lessThanOrEqual">
      <formula>0</formula>
    </cfRule>
  </conditionalFormatting>
  <conditionalFormatting sqref="C28">
    <cfRule type="cellIs" dxfId="2" priority="3" stopIfTrue="1" operator="lessThanOrEqual">
      <formula>0</formula>
    </cfRule>
  </conditionalFormatting>
  <conditionalFormatting sqref="C28">
    <cfRule type="cellIs" dxfId="1" priority="2" stopIfTrue="1" operator="lessThanOrEqual">
      <formula>0</formula>
    </cfRule>
  </conditionalFormatting>
  <conditionalFormatting sqref="C28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01.02 au 29.02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2020-02-13T07:53:58Z</dcterms:modified>
</cp:coreProperties>
</file>