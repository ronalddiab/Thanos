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0\7. July 2020\"/>
    </mc:Choice>
  </mc:AlternateContent>
  <bookViews>
    <workbookView xWindow="0" yWindow="0" windowWidth="28800" windowHeight="12435" tabRatio="762" activeTab="1"/>
  </bookViews>
  <sheets>
    <sheet name="TOTAL" sheetId="11" r:id="rId1"/>
    <sheet name="FS Jimbaran July 2020" sheetId="14" r:id="rId2"/>
    <sheet name="RNs &amp; Covers July 2020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7" i="14" l="1"/>
  <c r="Q47" i="14"/>
  <c r="AL42" i="14" l="1"/>
  <c r="AI42" i="14"/>
  <c r="AG42" i="14"/>
  <c r="AA42" i="14"/>
  <c r="AB42" i="14" s="1"/>
  <c r="V42" i="14"/>
  <c r="N42" i="14"/>
  <c r="P42" i="14"/>
  <c r="I42" i="14"/>
  <c r="O42" i="14" l="1"/>
  <c r="F32" i="11" s="1"/>
  <c r="B32" i="11"/>
  <c r="E32" i="11"/>
  <c r="G32" i="11"/>
  <c r="H32" i="11"/>
  <c r="I32" i="11"/>
  <c r="J32" i="11"/>
  <c r="K32" i="11"/>
  <c r="L32" i="11"/>
  <c r="M32" i="11"/>
  <c r="N32" i="11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8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7" i="14"/>
  <c r="O22" i="14"/>
  <c r="P26" i="14"/>
  <c r="E47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7" i="14"/>
  <c r="V47" i="14"/>
  <c r="W52" i="14" s="1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7" i="14"/>
  <c r="P12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47" i="14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s="1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<sst xmlns="http://schemas.openxmlformats.org/spreadsheetml/2006/main" count="101" uniqueCount="55">
  <si>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</si>
  <si>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</si>
  <si>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</si>
  <si>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</si>
  <si>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</si>
  <si>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</si>
  <si>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</si>
  <si>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</si>
  <si>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</si>
  <si>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</si>
  <si>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</si>
  <si>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</si>
  <si>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</si>
  <si>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</si>
  <si>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</si>
  <si>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</si>
  <si>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</si>
  <si>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</si>
  <si>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</si>
  <si>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</si>
  <si>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</si>
  <si>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</si>
  <si>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</si>
  <si>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</si>
  <si>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</si>
  <si>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</si>
  <si>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</si>
  <si>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</si>
  <si>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</si>
  <si>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</si>
  <si>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</si>
  <si>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</si>
  <si>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</si>
  <si>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</si>
  <si>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</si>
  <si>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</si>
  <si>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</si>
  <si>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</si>
  <si>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</si>
  <si>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</si>
  <si>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</si>
  <si>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</si>
  <si>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</si>
  <si>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</si>
  <si>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</si>
  <si>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</si>
  <si>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</si>
  <si>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</si>
  <si>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</si>
  <si>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</si>
  <si>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</si>
  <si>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</si>
  <si>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</si>
  <si>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</si>
  <si>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JULY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</si>
</sst>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6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6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7" xfId="0" applyBorder="1"/>
    <xf numFmtId="43" fontId="0" fillId="0" borderId="45" xfId="2" applyFont="1" applyBorder="1"/>
    <xf numFmtId="43" fontId="0" fillId="0" borderId="58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8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8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5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6" xfId="2" applyNumberFormat="1" applyFont="1" applyFill="1" applyBorder="1" applyProtection="1">
      <protection locked="0"/>
    </xf>
    <xf numFmtId="169" fontId="0" fillId="0" borderId="55" xfId="2" applyNumberFormat="1" applyFont="1" applyBorder="1"/>
    <xf numFmtId="168" fontId="14" fillId="3" borderId="45" xfId="2" applyNumberFormat="1" applyFont="1" applyFill="1" applyBorder="1" applyProtection="1">
      <protection locked="0"/>
    </xf>
    <xf numFmtId="168" fontId="0" fillId="0" borderId="58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3" xfId="2" applyNumberFormat="1" applyFont="1" applyFill="1" applyBorder="1" applyProtection="1">
      <protection locked="0"/>
    </xf>
    <xf numFmtId="168" fontId="14" fillId="3" borderId="46" xfId="2" applyNumberFormat="1" applyFont="1" applyFill="1" applyBorder="1" applyProtection="1">
      <protection locked="0"/>
    </xf>
    <xf numFmtId="0" fontId="7" fillId="0" borderId="67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9" xfId="2" applyFont="1" applyFill="1" applyBorder="1"/>
    <xf numFmtId="43" fontId="0" fillId="3" borderId="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8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43" fontId="0" fillId="0" borderId="0" xfId="2" applyNumberFormat="1" applyFont="1" applyBorder="1"/>
    <xf numFmtId="9" fontId="17" fillId="0" borderId="0" xfId="5" applyFont="1"/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D3" sqref="D3:D32"/>
    </sheetView>
  </sheetViews>
  <sheetFormatPr defaultColWidth="11.5703125" defaultRowHeight="15" x14ac:dyDescent="0.25"/>
  <cols>
    <col min="1" max="1" width="18.42578125" style="166" customWidth="1"/>
    <col min="2" max="2" width="11.5703125" style="167"/>
    <col min="3" max="3" width="11.5703125" style="168"/>
    <col min="4" max="4" width="13.42578125" style="167" customWidth="1"/>
    <col min="5" max="5" width="12.5703125" style="165" customWidth="1"/>
    <col min="6" max="6" width="12.5703125" style="169" customWidth="1"/>
    <col min="7" max="7" width="11.5703125" style="165"/>
    <col min="8" max="8" width="11.5703125" style="169"/>
    <col min="9" max="9" width="11.5703125" style="170"/>
    <col min="10" max="10" width="11.5703125" style="171"/>
    <col min="11" max="11" width="11.5703125" style="165"/>
    <col min="12" max="12" width="11.5703125" style="171"/>
    <col min="13" max="26" width="11.5703125" style="165"/>
  </cols>
  <sheetData>
    <row r="1" spans="1:15" s="159" customFormat="1" ht="43.15" x14ac:dyDescent="0.3">
      <c r="A1" s="155" t="s">
        <v>37</v>
      </c>
      <c r="B1" s="155" t="s">
        <v>38</v>
      </c>
      <c r="C1" s="156" t="s">
        <v>39</v>
      </c>
      <c r="D1" s="155" t="s">
        <v>40</v>
      </c>
      <c r="E1" s="154" t="s">
        <v>41</v>
      </c>
      <c r="F1" s="157" t="s">
        <v>42</v>
      </c>
      <c r="G1" s="154" t="s">
        <v>47</v>
      </c>
      <c r="H1" s="157" t="s">
        <v>48</v>
      </c>
      <c r="I1" s="173" t="s">
        <v>50</v>
      </c>
      <c r="J1" s="157" t="s">
        <v>51</v>
      </c>
      <c r="K1" s="154" t="s">
        <v>43</v>
      </c>
      <c r="L1" s="158" t="s">
        <v>44</v>
      </c>
      <c r="M1" s="154" t="s">
        <v>45</v>
      </c>
      <c r="N1" s="154" t="s">
        <v>3</v>
      </c>
    </row>
    <row r="2" spans="1:15" ht="14.45" x14ac:dyDescent="0.3">
      <c r="A2" s="160" t="s">
        <v>49</v>
      </c>
      <c r="B2" s="161">
        <v>1</v>
      </c>
      <c r="C2" s="162">
        <v>7</v>
      </c>
      <c r="D2" s="161">
        <v>2020</v>
      </c>
      <c r="E2" s="163">
        <f>'FS Jimbaran July 2020'!P12</f>
        <v>7899.9999999996362</v>
      </c>
      <c r="F2" s="172">
        <f>'FS Jimbaran July 2020'!O12/'FS Jimbaran July 2020'!P12</f>
        <v>1117.0690632911287</v>
      </c>
      <c r="G2" s="163">
        <f>'FS Jimbaran July 2020'!AG12</f>
        <v>0</v>
      </c>
      <c r="H2" s="172" t="e">
        <f>'FS Jimbaran July 2020'!AH12/'FS Jimbaran July 2020'!AG12</f>
        <v>#DIV/0!</v>
      </c>
      <c r="I2" s="163">
        <f>'FS Jimbaran July 2020'!AJ12</f>
        <v>119.69000000000233</v>
      </c>
      <c r="J2" s="164">
        <f>'FS Jimbaran July 2020'!AK12/'FS Jimbaran July 2020'!AJ12</f>
        <v>7600</v>
      </c>
      <c r="K2" s="163">
        <f>'FS Jimbaran July 2020'!V12</f>
        <v>7.12</v>
      </c>
      <c r="L2" s="172">
        <f>'FS Jimbaran July 2020'!AA12/'FS Jimbaran July 2020'!V12</f>
        <v>4245.18</v>
      </c>
      <c r="M2" s="163">
        <f>+'RNs &amp; Covers July 2020'!B6</f>
        <v>0</v>
      </c>
      <c r="N2" s="174">
        <f>+'RNs &amp; Covers July 2020'!C6</f>
        <v>0</v>
      </c>
    </row>
    <row r="3" spans="1:15" ht="14.45" x14ac:dyDescent="0.3">
      <c r="A3" s="160" t="s">
        <v>49</v>
      </c>
      <c r="B3" s="161">
        <f>B2+1</f>
        <v>2</v>
      </c>
      <c r="C3" s="162">
        <v>7</v>
      </c>
      <c r="D3" s="161">
        <v>2020</v>
      </c>
      <c r="E3" s="174">
        <f>'FS Jimbaran July 2020'!P13</f>
        <v>7960.0000000014006</v>
      </c>
      <c r="F3" s="172">
        <f>'FS Jimbaran July 2020'!O13/'FS Jimbaran July 2020'!P13</f>
        <v>1119.0587939698476</v>
      </c>
      <c r="G3" s="174">
        <f>'FS Jimbaran July 2020'!AG13</f>
        <v>0</v>
      </c>
      <c r="H3" s="172" t="e">
        <f>'FS Jimbaran July 2020'!AH13/'FS Jimbaran July 2020'!AG13</f>
        <v>#DIV/0!</v>
      </c>
      <c r="I3" s="174">
        <f>'FS Jimbaran July 2020'!AJ13</f>
        <v>-157.64999999998145</v>
      </c>
      <c r="J3" s="164">
        <f>'FS Jimbaran July 2020'!AK13/'FS Jimbaran July 2020'!AJ13</f>
        <v>7599.9999999999991</v>
      </c>
      <c r="K3" s="174">
        <f>'FS Jimbaran July 2020'!V13</f>
        <v>269.67</v>
      </c>
      <c r="L3" s="172">
        <f>'FS Jimbaran July 2020'!AA13/'FS Jimbaran July 2020'!V13</f>
        <v>4245.18</v>
      </c>
      <c r="M3" s="174">
        <f>+'RNs &amp; Covers July 2020'!B7</f>
        <v>0</v>
      </c>
      <c r="N3" s="174">
        <f>+'RNs &amp; Covers July 2020'!C7</f>
        <v>0</v>
      </c>
    </row>
    <row r="4" spans="1:15" ht="14.45" x14ac:dyDescent="0.3">
      <c r="A4" s="160" t="s">
        <v>49</v>
      </c>
      <c r="B4" s="161">
        <f t="shared" ref="B4:B32" si="0">B3+1</f>
        <v>3</v>
      </c>
      <c r="C4" s="162">
        <v>7</v>
      </c>
      <c r="D4" s="161">
        <v>2020</v>
      </c>
      <c r="E4" s="174">
        <f>'FS Jimbaran July 2020'!P14</f>
        <v>7859.9999999978536</v>
      </c>
      <c r="F4" s="172">
        <f>'FS Jimbaran July 2020'!O14/'FS Jimbaran July 2020'!P14</f>
        <v>1117.4827480916108</v>
      </c>
      <c r="G4" s="174">
        <f>'FS Jimbaran July 2020'!AG14</f>
        <v>0</v>
      </c>
      <c r="H4" s="172" t="e">
        <f>'FS Jimbaran July 2020'!AH14/'FS Jimbaran July 2020'!AG14</f>
        <v>#DIV/0!</v>
      </c>
      <c r="I4" s="174">
        <f>'FS Jimbaran July 2020'!AJ14</f>
        <v>117.08000000000175</v>
      </c>
      <c r="J4" s="164">
        <f>'FS Jimbaran July 2020'!AK14/'FS Jimbaran July 2020'!AJ14</f>
        <v>7600</v>
      </c>
      <c r="K4" s="174">
        <f>'FS Jimbaran July 2020'!V14</f>
        <v>104.13</v>
      </c>
      <c r="L4" s="172">
        <f>'FS Jimbaran July 2020'!AA14/'FS Jimbaran July 2020'!V14</f>
        <v>4245.18</v>
      </c>
      <c r="M4" s="174">
        <f>+'RNs &amp; Covers July 2020'!B8</f>
        <v>0</v>
      </c>
      <c r="N4" s="174">
        <f>+'RNs &amp; Covers July 2020'!C8</f>
        <v>0</v>
      </c>
    </row>
    <row r="5" spans="1:15" ht="14.45" x14ac:dyDescent="0.3">
      <c r="A5" s="160" t="s">
        <v>49</v>
      </c>
      <c r="B5" s="161">
        <f t="shared" si="0"/>
        <v>4</v>
      </c>
      <c r="C5" s="162">
        <v>7</v>
      </c>
      <c r="D5" s="161">
        <v>2020</v>
      </c>
      <c r="E5" s="174">
        <f>'FS Jimbaran July 2020'!P15</f>
        <v>7480.0000000007003</v>
      </c>
      <c r="F5" s="172">
        <f>'FS Jimbaran July 2020'!O15/'FS Jimbaran July 2020'!P15</f>
        <v>1125.7876203208755</v>
      </c>
      <c r="G5" s="174">
        <f>'FS Jimbaran July 2020'!AG15</f>
        <v>0</v>
      </c>
      <c r="H5" s="172" t="e">
        <f>'FS Jimbaran July 2020'!AH15/'FS Jimbaran July 2020'!AG15</f>
        <v>#DIV/0!</v>
      </c>
      <c r="I5" s="174">
        <f>'FS Jimbaran July 2020'!AJ15</f>
        <v>0</v>
      </c>
      <c r="J5" s="164" t="e">
        <f>'FS Jimbaran July 2020'!AK15/'FS Jimbaran July 2020'!AJ15</f>
        <v>#DIV/0!</v>
      </c>
      <c r="K5" s="174">
        <f>'FS Jimbaran July 2020'!V15</f>
        <v>180.67000000000002</v>
      </c>
      <c r="L5" s="172">
        <f>'FS Jimbaran July 2020'!AA15/'FS Jimbaran July 2020'!V15</f>
        <v>4245.18</v>
      </c>
      <c r="M5" s="174">
        <f>+'RNs &amp; Covers July 2020'!B9</f>
        <v>0</v>
      </c>
      <c r="N5" s="174">
        <f>+'RNs &amp; Covers July 2020'!C9</f>
        <v>0</v>
      </c>
    </row>
    <row r="6" spans="1:15" ht="14.45" x14ac:dyDescent="0.3">
      <c r="A6" s="160" t="s">
        <v>49</v>
      </c>
      <c r="B6" s="161">
        <f t="shared" si="0"/>
        <v>5</v>
      </c>
      <c r="C6" s="162">
        <v>7</v>
      </c>
      <c r="D6" s="161">
        <v>2020</v>
      </c>
      <c r="E6" s="174">
        <f>'FS Jimbaran July 2020'!P16</f>
        <v>7839.999999999236</v>
      </c>
      <c r="F6" s="172">
        <f>'FS Jimbaran July 2020'!O16/'FS Jimbaran July 2020'!P16</f>
        <v>1122.9757653061117</v>
      </c>
      <c r="G6" s="174">
        <f>'FS Jimbaran July 2020'!AG16</f>
        <v>0</v>
      </c>
      <c r="H6" s="172" t="e">
        <f>'FS Jimbaran July 2020'!AH16/'FS Jimbaran July 2020'!AG16</f>
        <v>#DIV/0!</v>
      </c>
      <c r="I6" s="174">
        <f>'FS Jimbaran July 2020'!AJ16</f>
        <v>0</v>
      </c>
      <c r="J6" s="164" t="e">
        <f>'FS Jimbaran July 2020'!AK16/'FS Jimbaran July 2020'!AJ16</f>
        <v>#DIV/0!</v>
      </c>
      <c r="K6" s="174">
        <f>'FS Jimbaran July 2020'!V16</f>
        <v>2.67</v>
      </c>
      <c r="L6" s="172">
        <f>'FS Jimbaran July 2020'!AA16/'FS Jimbaran July 2020'!V16</f>
        <v>4245.18</v>
      </c>
      <c r="M6" s="174">
        <f>+'RNs &amp; Covers July 2020'!B10</f>
        <v>0</v>
      </c>
      <c r="N6" s="174">
        <f>+'RNs &amp; Covers July 2020'!C10</f>
        <v>0</v>
      </c>
    </row>
    <row r="7" spans="1:15" ht="14.45" x14ac:dyDescent="0.3">
      <c r="A7" s="160" t="s">
        <v>49</v>
      </c>
      <c r="B7" s="161">
        <f t="shared" si="0"/>
        <v>6</v>
      </c>
      <c r="C7" s="162">
        <v>7</v>
      </c>
      <c r="D7" s="161">
        <v>2020</v>
      </c>
      <c r="E7" s="174">
        <f>'FS Jimbaran July 2020'!P17</f>
        <v>8060.0000000008549</v>
      </c>
      <c r="F7" s="172">
        <f>'FS Jimbaran July 2020'!O17/'FS Jimbaran July 2020'!P17</f>
        <v>1120.5957320099271</v>
      </c>
      <c r="G7" s="174">
        <f>'FS Jimbaran July 2020'!AG17</f>
        <v>0</v>
      </c>
      <c r="H7" s="172" t="e">
        <f>'FS Jimbaran July 2020'!AH17/'FS Jimbaran July 2020'!AG17</f>
        <v>#DIV/0!</v>
      </c>
      <c r="I7" s="174">
        <f>'FS Jimbaran July 2020'!AJ17</f>
        <v>103.91000000000349</v>
      </c>
      <c r="J7" s="164">
        <f>'FS Jimbaran July 2020'!AK17/'FS Jimbaran July 2020'!AJ17</f>
        <v>7600</v>
      </c>
      <c r="K7" s="174">
        <f>'FS Jimbaran July 2020'!V17</f>
        <v>1.78</v>
      </c>
      <c r="L7" s="172">
        <f>'FS Jimbaran July 2020'!AA17/'FS Jimbaran July 2020'!V17</f>
        <v>4245.18</v>
      </c>
      <c r="M7" s="174">
        <f>+'RNs &amp; Covers July 2020'!B11</f>
        <v>0</v>
      </c>
      <c r="N7" s="174">
        <f>+'RNs &amp; Covers July 2020'!C11</f>
        <v>0</v>
      </c>
    </row>
    <row r="8" spans="1:15" ht="14.45" x14ac:dyDescent="0.3">
      <c r="A8" s="160" t="s">
        <v>49</v>
      </c>
      <c r="B8" s="161">
        <f t="shared" si="0"/>
        <v>7</v>
      </c>
      <c r="C8" s="162">
        <v>7</v>
      </c>
      <c r="D8" s="161">
        <v>2020</v>
      </c>
      <c r="E8" s="174">
        <f>'FS Jimbaran July 2020'!P18</f>
        <v>8380.0000000014734</v>
      </c>
      <c r="F8" s="172">
        <f>'FS Jimbaran July 2020'!O18/'FS Jimbaran July 2020'!P18</f>
        <v>1122.3010023866254</v>
      </c>
      <c r="G8" s="174">
        <f>'FS Jimbaran July 2020'!AG18</f>
        <v>0</v>
      </c>
      <c r="H8" s="172" t="e">
        <f>'FS Jimbaran July 2020'!AH18/'FS Jimbaran July 2020'!AG18</f>
        <v>#DIV/0!</v>
      </c>
      <c r="I8" s="174">
        <f>'FS Jimbaran July 2020'!AJ18</f>
        <v>0</v>
      </c>
      <c r="J8" s="164" t="e">
        <f>'FS Jimbaran July 2020'!AK18/'FS Jimbaran July 2020'!AJ18</f>
        <v>#DIV/0!</v>
      </c>
      <c r="K8" s="174">
        <f>'FS Jimbaran July 2020'!V18</f>
        <v>248.31</v>
      </c>
      <c r="L8" s="172">
        <f>'FS Jimbaran July 2020'!AA18/'FS Jimbaran July 2020'!V18</f>
        <v>4245.18</v>
      </c>
      <c r="M8" s="174">
        <f>+'RNs &amp; Covers July 2020'!B12</f>
        <v>0</v>
      </c>
      <c r="N8" s="174">
        <f>+'RNs &amp; Covers July 2020'!C12</f>
        <v>0</v>
      </c>
    </row>
    <row r="9" spans="1:15" ht="14.45" x14ac:dyDescent="0.3">
      <c r="A9" s="160" t="s">
        <v>49</v>
      </c>
      <c r="B9" s="161">
        <f t="shared" si="0"/>
        <v>8</v>
      </c>
      <c r="C9" s="162">
        <v>7</v>
      </c>
      <c r="D9" s="161">
        <v>2020</v>
      </c>
      <c r="E9" s="174">
        <f>'FS Jimbaran July 2020'!P19</f>
        <v>8479.9999999986539</v>
      </c>
      <c r="F9" s="172">
        <f>'FS Jimbaran July 2020'!O19/'FS Jimbaran July 2020'!P19</f>
        <v>1116.3949528301837</v>
      </c>
      <c r="G9" s="174">
        <f>'FS Jimbaran July 2020'!AG19</f>
        <v>0</v>
      </c>
      <c r="H9" s="172" t="e">
        <f>'FS Jimbaran July 2020'!AH19/'FS Jimbaran July 2020'!AG19</f>
        <v>#DIV/0!</v>
      </c>
      <c r="I9" s="174">
        <f>'FS Jimbaran July 2020'!AJ19</f>
        <v>150.47999999999593</v>
      </c>
      <c r="J9" s="164">
        <f>'FS Jimbaran July 2020'!AK19/'FS Jimbaran July 2020'!AJ19</f>
        <v>7600</v>
      </c>
      <c r="K9" s="174">
        <f>'FS Jimbaran July 2020'!V19</f>
        <v>278.57</v>
      </c>
      <c r="L9" s="172">
        <f>'FS Jimbaran July 2020'!AA19/'FS Jimbaran July 2020'!V19</f>
        <v>4245.18</v>
      </c>
      <c r="M9" s="174">
        <f>+'RNs &amp; Covers July 2020'!B13</f>
        <v>0</v>
      </c>
      <c r="N9" s="174">
        <f>+'RNs &amp; Covers July 2020'!C13</f>
        <v>0</v>
      </c>
      <c r="O9" s="165" t="s">
        <v>46</v>
      </c>
    </row>
    <row r="10" spans="1:15" ht="14.45" x14ac:dyDescent="0.3">
      <c r="A10" s="160" t="s">
        <v>49</v>
      </c>
      <c r="B10" s="161">
        <f t="shared" si="0"/>
        <v>9</v>
      </c>
      <c r="C10" s="162">
        <v>7</v>
      </c>
      <c r="D10" s="161">
        <v>2020</v>
      </c>
      <c r="E10" s="174">
        <f>'FS Jimbaran July 2020'!P20</f>
        <v>7839.9999999996908</v>
      </c>
      <c r="F10" s="172">
        <f>'FS Jimbaran July 2020'!O20/'FS Jimbaran July 2020'!P20</f>
        <v>1120.3334693877719</v>
      </c>
      <c r="G10" s="174">
        <f>'FS Jimbaran July 2020'!AG20</f>
        <v>0</v>
      </c>
      <c r="H10" s="172" t="e">
        <f>'FS Jimbaran July 2020'!AH20/'FS Jimbaran July 2020'!AG20</f>
        <v>#DIV/0!</v>
      </c>
      <c r="I10" s="174">
        <f>'FS Jimbaran July 2020'!AJ20</f>
        <v>0</v>
      </c>
      <c r="J10" s="164" t="e">
        <f>'FS Jimbaran July 2020'!AK20/'FS Jimbaran July 2020'!AJ20</f>
        <v>#DIV/0!</v>
      </c>
      <c r="K10" s="174">
        <f>'FS Jimbaran July 2020'!V20</f>
        <v>37.380000000000003</v>
      </c>
      <c r="L10" s="172">
        <f>'FS Jimbaran July 2020'!AA20/'FS Jimbaran July 2020'!V20</f>
        <v>4245.18</v>
      </c>
      <c r="M10" s="174">
        <f>+'RNs &amp; Covers July 2020'!B14</f>
        <v>0</v>
      </c>
      <c r="N10" s="174">
        <f>+'RNs &amp; Covers July 2020'!C14</f>
        <v>0</v>
      </c>
    </row>
    <row r="11" spans="1:15" ht="14.45" x14ac:dyDescent="0.3">
      <c r="A11" s="160" t="s">
        <v>49</v>
      </c>
      <c r="B11" s="161">
        <f t="shared" si="0"/>
        <v>10</v>
      </c>
      <c r="C11" s="162">
        <v>7</v>
      </c>
      <c r="D11" s="161">
        <v>2020</v>
      </c>
      <c r="E11" s="174">
        <f>'FS Jimbaran July 2020'!P21</f>
        <v>8060.0000000006276</v>
      </c>
      <c r="F11" s="172">
        <f>'FS Jimbaran July 2020'!O21/'FS Jimbaran July 2020'!P21</f>
        <v>1120.5957320099151</v>
      </c>
      <c r="G11" s="174">
        <f>'FS Jimbaran July 2020'!AG21</f>
        <v>0</v>
      </c>
      <c r="H11" s="172" t="e">
        <f>'FS Jimbaran July 2020'!AH21/'FS Jimbaran July 2020'!AG21</f>
        <v>#DIV/0!</v>
      </c>
      <c r="I11" s="174">
        <f>'FS Jimbaran July 2020'!AJ21</f>
        <v>146.80999999999767</v>
      </c>
      <c r="J11" s="164">
        <f>'FS Jimbaran July 2020'!AK21/'FS Jimbaran July 2020'!AJ21</f>
        <v>7600</v>
      </c>
      <c r="K11" s="174">
        <f>'FS Jimbaran July 2020'!V21</f>
        <v>194.02</v>
      </c>
      <c r="L11" s="172">
        <f>'FS Jimbaran July 2020'!AA21/'FS Jimbaran July 2020'!V21</f>
        <v>4245.18</v>
      </c>
      <c r="M11" s="174">
        <f>+'RNs &amp; Covers July 2020'!B15</f>
        <v>0</v>
      </c>
      <c r="N11" s="174">
        <f>+'RNs &amp; Covers July 2020'!C15</f>
        <v>0</v>
      </c>
    </row>
    <row r="12" spans="1:15" ht="14.45" x14ac:dyDescent="0.3">
      <c r="A12" s="160" t="s">
        <v>49</v>
      </c>
      <c r="B12" s="161">
        <f t="shared" si="0"/>
        <v>11</v>
      </c>
      <c r="C12" s="162">
        <v>7</v>
      </c>
      <c r="D12" s="161">
        <v>2020</v>
      </c>
      <c r="E12" s="174">
        <f>'FS Jimbaran July 2020'!P22</f>
        <v>7759.9999999997635</v>
      </c>
      <c r="F12" s="172">
        <f>'FS Jimbaran July 2020'!O22/'FS Jimbaran July 2020'!P22</f>
        <v>1118.5356185567193</v>
      </c>
      <c r="G12" s="174">
        <f>'FS Jimbaran July 2020'!AG22</f>
        <v>0</v>
      </c>
      <c r="H12" s="172" t="e">
        <f>'FS Jimbaran July 2020'!AH22/'FS Jimbaran July 2020'!AG22</f>
        <v>#DIV/0!</v>
      </c>
      <c r="I12" s="174">
        <f>'FS Jimbaran July 2020'!AJ22</f>
        <v>0</v>
      </c>
      <c r="J12" s="164" t="e">
        <f>'FS Jimbaran July 2020'!AK22/'FS Jimbaran July 2020'!AJ22</f>
        <v>#DIV/0!</v>
      </c>
      <c r="K12" s="174">
        <f>'FS Jimbaran July 2020'!V22</f>
        <v>1.78</v>
      </c>
      <c r="L12" s="172">
        <f>'FS Jimbaran July 2020'!AA22/'FS Jimbaran July 2020'!V22</f>
        <v>4245.18</v>
      </c>
      <c r="M12" s="174">
        <f>+'RNs &amp; Covers July 2020'!B16</f>
        <v>0</v>
      </c>
      <c r="N12" s="174">
        <f>+'RNs &amp; Covers July 2020'!C16</f>
        <v>0</v>
      </c>
    </row>
    <row r="13" spans="1:15" ht="14.45" x14ac:dyDescent="0.3">
      <c r="A13" s="160" t="s">
        <v>49</v>
      </c>
      <c r="B13" s="161">
        <f t="shared" si="0"/>
        <v>12</v>
      </c>
      <c r="C13" s="162">
        <v>7</v>
      </c>
      <c r="D13" s="161">
        <v>2020</v>
      </c>
      <c r="E13" s="174">
        <f>'FS Jimbaran July 2020'!P23</f>
        <v>7919.9999999991633</v>
      </c>
      <c r="F13" s="172">
        <f>'FS Jimbaran July 2020'!O23/'FS Jimbaran July 2020'!P23</f>
        <v>1122.09499999999</v>
      </c>
      <c r="G13" s="174">
        <f>'FS Jimbaran July 2020'!AG23</f>
        <v>0</v>
      </c>
      <c r="H13" s="172" t="e">
        <f>'FS Jimbaran July 2020'!AH23/'FS Jimbaran July 2020'!AG23</f>
        <v>#DIV/0!</v>
      </c>
      <c r="I13" s="174">
        <f>'FS Jimbaran July 2020'!AJ23</f>
        <v>0</v>
      </c>
      <c r="J13" s="164" t="e">
        <f>'FS Jimbaran July 2020'!AK23/'FS Jimbaran July 2020'!AJ23</f>
        <v>#DIV/0!</v>
      </c>
      <c r="K13" s="174">
        <f>'FS Jimbaran July 2020'!V23</f>
        <v>0</v>
      </c>
      <c r="L13" s="172" t="e">
        <f>'FS Jimbaran July 2020'!AA23/'FS Jimbaran July 2020'!V23</f>
        <v>#DIV/0!</v>
      </c>
      <c r="M13" s="174">
        <f>+'RNs &amp; Covers July 2020'!B17</f>
        <v>0</v>
      </c>
      <c r="N13" s="174">
        <f>+'RNs &amp; Covers July 2020'!C17</f>
        <v>0</v>
      </c>
    </row>
    <row r="14" spans="1:15" ht="14.45" x14ac:dyDescent="0.3">
      <c r="A14" s="160" t="s">
        <v>49</v>
      </c>
      <c r="B14" s="161">
        <f t="shared" si="0"/>
        <v>13</v>
      </c>
      <c r="C14" s="162">
        <v>7</v>
      </c>
      <c r="D14" s="161">
        <v>2020</v>
      </c>
      <c r="E14" s="174">
        <f>'FS Jimbaran July 2020'!P24</f>
        <v>7940.0000000018736</v>
      </c>
      <c r="F14" s="172">
        <f>'FS Jimbaran July 2020'!O24/'FS Jimbaran July 2020'!P24</f>
        <v>1119.2685642317313</v>
      </c>
      <c r="G14" s="174">
        <f>'FS Jimbaran July 2020'!AG24</f>
        <v>0</v>
      </c>
      <c r="H14" s="172" t="e">
        <f>'FS Jimbaran July 2020'!AH24/'FS Jimbaran July 2020'!AG24</f>
        <v>#DIV/0!</v>
      </c>
      <c r="I14" s="174">
        <f>'FS Jimbaran July 2020'!AJ24</f>
        <v>126.08000000000175</v>
      </c>
      <c r="J14" s="164">
        <f>'FS Jimbaran July 2020'!AK24/'FS Jimbaran July 2020'!AJ24</f>
        <v>7600</v>
      </c>
      <c r="K14" s="174">
        <f>'FS Jimbaran July 2020'!V24</f>
        <v>466.36</v>
      </c>
      <c r="L14" s="172">
        <f>'FS Jimbaran July 2020'!AA24/'FS Jimbaran July 2020'!V24</f>
        <v>4245.18</v>
      </c>
      <c r="M14" s="174">
        <f>+'RNs &amp; Covers July 2020'!B18</f>
        <v>0</v>
      </c>
      <c r="N14" s="174">
        <f>+'RNs &amp; Covers July 2020'!C18</f>
        <v>0</v>
      </c>
    </row>
    <row r="15" spans="1:15" ht="14.45" x14ac:dyDescent="0.3">
      <c r="A15" s="160" t="s">
        <v>49</v>
      </c>
      <c r="B15" s="161">
        <f t="shared" si="0"/>
        <v>14</v>
      </c>
      <c r="C15" s="162">
        <v>7</v>
      </c>
      <c r="D15" s="161">
        <v>2020</v>
      </c>
      <c r="E15" s="174">
        <f>'FS Jimbaran July 2020'!P25</f>
        <v>8019.9999999981628</v>
      </c>
      <c r="F15" s="172">
        <f>'FS Jimbaran July 2020'!O25/'FS Jimbaran July 2020'!P25</f>
        <v>1119.7272568578569</v>
      </c>
      <c r="G15" s="174">
        <f>'FS Jimbaran July 2020'!AG25</f>
        <v>0</v>
      </c>
      <c r="H15" s="172" t="e">
        <f>'FS Jimbaran July 2020'!AH25/'FS Jimbaran July 2020'!AG25</f>
        <v>#DIV/0!</v>
      </c>
      <c r="I15" s="174">
        <f>'FS Jimbaran July 2020'!AJ25</f>
        <v>0</v>
      </c>
      <c r="J15" s="164" t="e">
        <f>'FS Jimbaran July 2020'!AK25/'FS Jimbaran July 2020'!AJ25</f>
        <v>#DIV/0!</v>
      </c>
      <c r="K15" s="174">
        <f>'FS Jimbaran July 2020'!V25</f>
        <v>276.79000000000002</v>
      </c>
      <c r="L15" s="172">
        <f>'FS Jimbaran July 2020'!AA25/'FS Jimbaran July 2020'!V25</f>
        <v>4245.18</v>
      </c>
      <c r="M15" s="174">
        <f>+'RNs &amp; Covers July 2020'!B19</f>
        <v>0</v>
      </c>
      <c r="N15" s="174">
        <f>+'RNs &amp; Covers July 2020'!C19</f>
        <v>0</v>
      </c>
    </row>
    <row r="16" spans="1:15" ht="14.45" x14ac:dyDescent="0.3">
      <c r="A16" s="160" t="s">
        <v>49</v>
      </c>
      <c r="B16" s="161">
        <f t="shared" si="0"/>
        <v>15</v>
      </c>
      <c r="C16" s="162">
        <v>7</v>
      </c>
      <c r="D16" s="161">
        <v>2020</v>
      </c>
      <c r="E16" s="174">
        <f>'FS Jimbaran July 2020'!P26</f>
        <v>9020.0000000008913</v>
      </c>
      <c r="F16" s="172">
        <f>'FS Jimbaran July 2020'!O26/'FS Jimbaran July 2020'!P26</f>
        <v>1111.5687804878069</v>
      </c>
      <c r="G16" s="174">
        <f>'FS Jimbaran July 2020'!AG26</f>
        <v>0</v>
      </c>
      <c r="H16" s="172" t="e">
        <f>'FS Jimbaran July 2020'!AH26/'FS Jimbaran July 2020'!AG26</f>
        <v>#DIV/0!</v>
      </c>
      <c r="I16" s="174">
        <f>'FS Jimbaran July 2020'!AJ26</f>
        <v>221.40999999997439</v>
      </c>
      <c r="J16" s="164">
        <f>'FS Jimbaran July 2020'!AK26/'FS Jimbaran July 2020'!AJ26</f>
        <v>7600</v>
      </c>
      <c r="K16" s="174">
        <f>'FS Jimbaran July 2020'!V26</f>
        <v>261.66000000000003</v>
      </c>
      <c r="L16" s="172">
        <f>'FS Jimbaran July 2020'!AA26/'FS Jimbaran July 2020'!V26</f>
        <v>4245.18</v>
      </c>
      <c r="M16" s="174">
        <f>+'RNs &amp; Covers July 2020'!B20</f>
        <v>0</v>
      </c>
      <c r="N16" s="174">
        <f>+'RNs &amp; Covers July 2020'!C20</f>
        <v>0</v>
      </c>
    </row>
    <row r="17" spans="1:14" ht="14.45" x14ac:dyDescent="0.3">
      <c r="A17" s="160" t="s">
        <v>49</v>
      </c>
      <c r="B17" s="161">
        <f t="shared" si="0"/>
        <v>16</v>
      </c>
      <c r="C17" s="162">
        <v>7</v>
      </c>
      <c r="D17" s="161">
        <v>2020</v>
      </c>
      <c r="E17" s="174">
        <f>'FS Jimbaran July 2020'!P27</f>
        <v>8280.0000000002001</v>
      </c>
      <c r="F17" s="172">
        <f>'FS Jimbaran July 2020'!O27/'FS Jimbaran July 2020'!P27</f>
        <v>1114.5893478260703</v>
      </c>
      <c r="G17" s="174">
        <f>'FS Jimbaran July 2020'!AG27</f>
        <v>0</v>
      </c>
      <c r="H17" s="172" t="e">
        <f>'FS Jimbaran July 2020'!AH27/'FS Jimbaran July 2020'!AG27</f>
        <v>#DIV/0!</v>
      </c>
      <c r="I17" s="174">
        <f>'FS Jimbaran July 2020'!AJ27</f>
        <v>0</v>
      </c>
      <c r="J17" s="164" t="e">
        <f>'FS Jimbaran July 2020'!AK27/'FS Jimbaran July 2020'!AJ27</f>
        <v>#DIV/0!</v>
      </c>
      <c r="K17" s="174">
        <f>'FS Jimbaran July 2020'!V27</f>
        <v>210.93</v>
      </c>
      <c r="L17" s="172">
        <f>'FS Jimbaran July 2020'!AA27/'FS Jimbaran July 2020'!V27</f>
        <v>4245.18</v>
      </c>
      <c r="M17" s="174">
        <f>+'RNs &amp; Covers July 2020'!B21</f>
        <v>0</v>
      </c>
      <c r="N17" s="174">
        <f>+'RNs &amp; Covers July 2020'!C21</f>
        <v>0</v>
      </c>
    </row>
    <row r="18" spans="1:14" ht="14.45" x14ac:dyDescent="0.3">
      <c r="A18" s="160" t="s">
        <v>49</v>
      </c>
      <c r="B18" s="161">
        <f t="shared" si="0"/>
        <v>17</v>
      </c>
      <c r="C18" s="162">
        <v>7</v>
      </c>
      <c r="D18" s="161">
        <v>2020</v>
      </c>
      <c r="E18" s="174">
        <f>'FS Jimbaran July 2020'!P28</f>
        <v>8480.0000000002456</v>
      </c>
      <c r="F18" s="172">
        <f>'FS Jimbaran July 2020'!O28/'FS Jimbaran July 2020'!P28</f>
        <v>1113.9520754717221</v>
      </c>
      <c r="G18" s="174">
        <f>'FS Jimbaran July 2020'!AG28</f>
        <v>0</v>
      </c>
      <c r="H18" s="172" t="e">
        <f>'FS Jimbaran July 2020'!AH28/'FS Jimbaran July 2020'!AG28</f>
        <v>#DIV/0!</v>
      </c>
      <c r="I18" s="174">
        <f>'FS Jimbaran July 2020'!AJ28</f>
        <v>124.04999999998836</v>
      </c>
      <c r="J18" s="164">
        <f>'FS Jimbaran July 2020'!AK28/'FS Jimbaran July 2020'!AJ28</f>
        <v>7600</v>
      </c>
      <c r="K18" s="174">
        <f>'FS Jimbaran July 2020'!V28</f>
        <v>231.4</v>
      </c>
      <c r="L18" s="172">
        <f>'FS Jimbaran July 2020'!AA28/'FS Jimbaran July 2020'!V28</f>
        <v>4245.18</v>
      </c>
      <c r="M18" s="174">
        <f>+'RNs &amp; Covers July 2020'!B22</f>
        <v>0</v>
      </c>
      <c r="N18" s="174">
        <f>+'RNs &amp; Covers July 2020'!C22</f>
        <v>0</v>
      </c>
    </row>
    <row r="19" spans="1:14" ht="14.45" x14ac:dyDescent="0.3">
      <c r="A19" s="160" t="s">
        <v>49</v>
      </c>
      <c r="B19" s="161">
        <f t="shared" si="0"/>
        <v>18</v>
      </c>
      <c r="C19" s="162">
        <v>7</v>
      </c>
      <c r="D19" s="161">
        <v>2020</v>
      </c>
      <c r="E19" s="174">
        <f>'FS Jimbaran July 2020'!P29</f>
        <v>8299.9999999997272</v>
      </c>
      <c r="F19" s="172">
        <f>'FS Jimbaran July 2020'!O29/'FS Jimbaran July 2020'!P29</f>
        <v>1109.4077349397512</v>
      </c>
      <c r="G19" s="174">
        <f>'FS Jimbaran July 2020'!AG29</f>
        <v>0</v>
      </c>
      <c r="H19" s="172" t="e">
        <f>'FS Jimbaran July 2020'!AH29/'FS Jimbaran July 2020'!AG29</f>
        <v>#DIV/0!</v>
      </c>
      <c r="I19" s="174">
        <f>'FS Jimbaran July 2020'!AJ29</f>
        <v>0</v>
      </c>
      <c r="J19" s="164" t="e">
        <f>'FS Jimbaran July 2020'!AK29/'FS Jimbaran July 2020'!AJ29</f>
        <v>#DIV/0!</v>
      </c>
      <c r="K19" s="174">
        <f>'FS Jimbaran July 2020'!V29</f>
        <v>275.01</v>
      </c>
      <c r="L19" s="172">
        <f>'FS Jimbaran July 2020'!AA29/'FS Jimbaran July 2020'!V29</f>
        <v>4245.18</v>
      </c>
      <c r="M19" s="174">
        <f>+'RNs &amp; Covers July 2020'!B23</f>
        <v>0</v>
      </c>
      <c r="N19" s="174">
        <f>+'RNs &amp; Covers July 2020'!C23</f>
        <v>0</v>
      </c>
    </row>
    <row r="20" spans="1:14" ht="14.45" x14ac:dyDescent="0.3">
      <c r="A20" s="160" t="s">
        <v>49</v>
      </c>
      <c r="B20" s="161">
        <f t="shared" si="0"/>
        <v>19</v>
      </c>
      <c r="C20" s="162">
        <v>7</v>
      </c>
      <c r="D20" s="161">
        <v>2020</v>
      </c>
      <c r="E20" s="174">
        <f>'FS Jimbaran July 2020'!P30</f>
        <v>7180.0000000007458</v>
      </c>
      <c r="F20" s="172">
        <f>'FS Jimbaran July 2020'!O30/'FS Jimbaran July 2020'!P30</f>
        <v>1125.2206128133782</v>
      </c>
      <c r="G20" s="174">
        <f>'FS Jimbaran July 2020'!AG30</f>
        <v>0</v>
      </c>
      <c r="H20" s="172" t="e">
        <f>'FS Jimbaran July 2020'!AH30/'FS Jimbaran July 2020'!AG30</f>
        <v>#DIV/0!</v>
      </c>
      <c r="I20" s="174">
        <f>'FS Jimbaran July 2020'!AJ30</f>
        <v>0</v>
      </c>
      <c r="J20" s="164" t="e">
        <f>'FS Jimbaran July 2020'!AK30/'FS Jimbaran July 2020'!AJ30</f>
        <v>#DIV/0!</v>
      </c>
      <c r="K20" s="174">
        <f>'FS Jimbaran July 2020'!V30</f>
        <v>268.78000000000003</v>
      </c>
      <c r="L20" s="172">
        <f>'FS Jimbaran July 2020'!AA30/'FS Jimbaran July 2020'!V30</f>
        <v>4245.18</v>
      </c>
      <c r="M20" s="174">
        <f>+'RNs &amp; Covers July 2020'!B24</f>
        <v>0</v>
      </c>
      <c r="N20" s="174">
        <f>+'RNs &amp; Covers July 2020'!C24</f>
        <v>0</v>
      </c>
    </row>
    <row r="21" spans="1:14" x14ac:dyDescent="0.25">
      <c r="A21" s="160" t="s">
        <v>49</v>
      </c>
      <c r="B21" s="161">
        <f t="shared" si="0"/>
        <v>20</v>
      </c>
      <c r="C21" s="162">
        <v>7</v>
      </c>
      <c r="D21" s="161">
        <v>2020</v>
      </c>
      <c r="E21" s="174">
        <f>'FS Jimbaran July 2020'!P31</f>
        <v>8479.9999999995634</v>
      </c>
      <c r="F21" s="172">
        <f>'FS Jimbaran July 2020'!O31/'FS Jimbaran July 2020'!P31</f>
        <v>1116.394952830175</v>
      </c>
      <c r="G21" s="174">
        <f>'FS Jimbaran July 2020'!AG31</f>
        <v>0</v>
      </c>
      <c r="H21" s="172" t="e">
        <f>'FS Jimbaran July 2020'!AH31/'FS Jimbaran July 2020'!AG31</f>
        <v>#DIV/0!</v>
      </c>
      <c r="I21" s="174">
        <f>'FS Jimbaran July 2020'!AJ31</f>
        <v>547.7200000000139</v>
      </c>
      <c r="J21" s="164">
        <f>'FS Jimbaran July 2020'!AK31/'FS Jimbaran July 2020'!AJ31</f>
        <v>7600</v>
      </c>
      <c r="K21" s="174">
        <f>'FS Jimbaran July 2020'!V31</f>
        <v>202.03</v>
      </c>
      <c r="L21" s="172">
        <f>'FS Jimbaran July 2020'!AA31/'FS Jimbaran July 2020'!V31</f>
        <v>4245.18</v>
      </c>
      <c r="M21" s="174">
        <f>+'RNs &amp; Covers July 2020'!B25</f>
        <v>0</v>
      </c>
      <c r="N21" s="174">
        <f>+'RNs &amp; Covers July 2020'!C25</f>
        <v>0</v>
      </c>
    </row>
    <row r="22" spans="1:14" x14ac:dyDescent="0.25">
      <c r="A22" s="160" t="s">
        <v>49</v>
      </c>
      <c r="B22" s="161">
        <f t="shared" si="0"/>
        <v>21</v>
      </c>
      <c r="C22" s="162">
        <v>7</v>
      </c>
      <c r="D22" s="161">
        <v>2020</v>
      </c>
      <c r="E22" s="174">
        <f>'FS Jimbaran July 2020'!P32</f>
        <v>8399.9999999987267</v>
      </c>
      <c r="F22" s="172">
        <f>'FS Jimbaran July 2020'!O32/'FS Jimbaran July 2020'!P32</f>
        <v>1112.2304285714265</v>
      </c>
      <c r="G22" s="174">
        <f>'FS Jimbaran July 2020'!AG32</f>
        <v>48</v>
      </c>
      <c r="H22" s="172">
        <f>'FS Jimbaran July 2020'!AH32/'FS Jimbaran July 2020'!AG32</f>
        <v>11625</v>
      </c>
      <c r="I22" s="174">
        <f>'FS Jimbaran July 2020'!AJ32</f>
        <v>0</v>
      </c>
      <c r="J22" s="164" t="e">
        <f>'FS Jimbaran July 2020'!AK32/'FS Jimbaran July 2020'!AJ32</f>
        <v>#DIV/0!</v>
      </c>
      <c r="K22" s="174">
        <f>'FS Jimbaran July 2020'!V32</f>
        <v>0</v>
      </c>
      <c r="L22" s="172" t="e">
        <f>'FS Jimbaran July 2020'!AA32/'FS Jimbaran July 2020'!V32</f>
        <v>#DIV/0!</v>
      </c>
      <c r="M22" s="174">
        <f>+'RNs &amp; Covers July 2020'!B26</f>
        <v>0</v>
      </c>
      <c r="N22" s="174">
        <f>+'RNs &amp; Covers July 2020'!C26</f>
        <v>0</v>
      </c>
    </row>
    <row r="23" spans="1:14" x14ac:dyDescent="0.25">
      <c r="A23" s="160" t="s">
        <v>49</v>
      </c>
      <c r="B23" s="161">
        <f t="shared" si="0"/>
        <v>22</v>
      </c>
      <c r="C23" s="162">
        <v>7</v>
      </c>
      <c r="D23" s="161">
        <v>2020</v>
      </c>
      <c r="E23" s="174">
        <f>'FS Jimbaran July 2020'!P33</f>
        <v>8180.0000000016553</v>
      </c>
      <c r="F23" s="172">
        <f>'FS Jimbaran July 2020'!O33/'FS Jimbaran July 2020'!P33</f>
        <v>1111.7540831295862</v>
      </c>
      <c r="G23" s="174">
        <f>'FS Jimbaran July 2020'!AG33</f>
        <v>0</v>
      </c>
      <c r="H23" s="172" t="e">
        <f>'FS Jimbaran July 2020'!AH33/'FS Jimbaran July 2020'!AG33</f>
        <v>#DIV/0!</v>
      </c>
      <c r="I23" s="174">
        <f>'FS Jimbaran July 2020'!AJ33</f>
        <v>0</v>
      </c>
      <c r="J23" s="164" t="e">
        <f>'FS Jimbaran July 2020'!AK33/'FS Jimbaran July 2020'!AJ33</f>
        <v>#DIV/0!</v>
      </c>
      <c r="K23" s="174">
        <f>'FS Jimbaran July 2020'!V33</f>
        <v>0</v>
      </c>
      <c r="L23" s="172" t="e">
        <f>'FS Jimbaran July 2020'!AA33/'FS Jimbaran July 2020'!V33</f>
        <v>#DIV/0!</v>
      </c>
      <c r="M23" s="174">
        <f>+'RNs &amp; Covers July 2020'!B27</f>
        <v>0</v>
      </c>
      <c r="N23" s="174">
        <f>+'RNs &amp; Covers July 2020'!C27</f>
        <v>0</v>
      </c>
    </row>
    <row r="24" spans="1:14" x14ac:dyDescent="0.25">
      <c r="A24" s="160" t="s">
        <v>49</v>
      </c>
      <c r="B24" s="161">
        <f t="shared" si="0"/>
        <v>23</v>
      </c>
      <c r="C24" s="162">
        <v>7</v>
      </c>
      <c r="D24" s="161">
        <v>2020</v>
      </c>
      <c r="E24" s="174">
        <f>'FS Jimbaran July 2020'!P34</f>
        <v>8379.9999999987449</v>
      </c>
      <c r="F24" s="172">
        <f>'FS Jimbaran July 2020'!O34/'FS Jimbaran July 2020'!P34</f>
        <v>1116.1209307875845</v>
      </c>
      <c r="G24" s="174">
        <f>'FS Jimbaran July 2020'!AG34</f>
        <v>0</v>
      </c>
      <c r="H24" s="172" t="e">
        <f>'FS Jimbaran July 2020'!AH34/'FS Jimbaran July 2020'!AG34</f>
        <v>#DIV/0!</v>
      </c>
      <c r="I24" s="174">
        <f>'FS Jimbaran July 2020'!AJ34</f>
        <v>0</v>
      </c>
      <c r="J24" s="164" t="e">
        <f>'FS Jimbaran July 2020'!AK34/'FS Jimbaran July 2020'!AJ34</f>
        <v>#DIV/0!</v>
      </c>
      <c r="K24" s="174">
        <f>'FS Jimbaran July 2020'!V34</f>
        <v>173.55</v>
      </c>
      <c r="L24" s="172">
        <f>'FS Jimbaran July 2020'!AA34/'FS Jimbaran July 2020'!V34</f>
        <v>4245.18</v>
      </c>
      <c r="M24" s="174">
        <f>+'RNs &amp; Covers July 2020'!B28</f>
        <v>0</v>
      </c>
      <c r="N24" s="174">
        <f>+'RNs &amp; Covers July 2020'!C28</f>
        <v>0</v>
      </c>
    </row>
    <row r="25" spans="1:14" x14ac:dyDescent="0.25">
      <c r="A25" s="160" t="s">
        <v>49</v>
      </c>
      <c r="B25" s="161">
        <f t="shared" si="0"/>
        <v>24</v>
      </c>
      <c r="C25" s="162">
        <v>7</v>
      </c>
      <c r="D25" s="161">
        <v>2020</v>
      </c>
      <c r="E25" s="174">
        <f>'FS Jimbaran July 2020'!P35</f>
        <v>9079.9999999996999</v>
      </c>
      <c r="F25" s="172">
        <f>'FS Jimbaran July 2020'!O35/'FS Jimbaran July 2020'!P35</f>
        <v>1111.0679735683068</v>
      </c>
      <c r="G25" s="174">
        <f>'FS Jimbaran July 2020'!AG35</f>
        <v>0</v>
      </c>
      <c r="H25" s="172" t="e">
        <f>'FS Jimbaran July 2020'!AH35/'FS Jimbaran July 2020'!AG35</f>
        <v>#DIV/0!</v>
      </c>
      <c r="I25" s="174">
        <f>'FS Jimbaran July 2020'!AJ35</f>
        <v>166.44999999999891</v>
      </c>
      <c r="J25" s="164">
        <f>'FS Jimbaran July 2020'!AK35/'FS Jimbaran July 2020'!AJ35</f>
        <v>7599.9999999999991</v>
      </c>
      <c r="K25" s="174">
        <f>'FS Jimbaran July 2020'!V35</f>
        <v>265.22000000000003</v>
      </c>
      <c r="L25" s="172">
        <f>'FS Jimbaran July 2020'!AA35/'FS Jimbaran July 2020'!V35</f>
        <v>4245.18</v>
      </c>
      <c r="M25" s="174">
        <f>+'RNs &amp; Covers July 2020'!B29</f>
        <v>0</v>
      </c>
      <c r="N25" s="174">
        <f>+'RNs &amp; Covers July 2020'!C29</f>
        <v>0</v>
      </c>
    </row>
    <row r="26" spans="1:14" x14ac:dyDescent="0.25">
      <c r="A26" s="160" t="s">
        <v>49</v>
      </c>
      <c r="B26" s="161">
        <f>B25+1</f>
        <v>25</v>
      </c>
      <c r="C26" s="162">
        <v>7</v>
      </c>
      <c r="D26" s="161">
        <v>2020</v>
      </c>
      <c r="E26" s="174">
        <f>'FS Jimbaran July 2020'!P36</f>
        <v>8460.0000000009459</v>
      </c>
      <c r="F26" s="172">
        <f>'FS Jimbaran July 2020'!O36/'FS Jimbaran July 2020'!P36</f>
        <v>1111.6882269503328</v>
      </c>
      <c r="G26" s="174">
        <f>'FS Jimbaran July 2020'!AG36</f>
        <v>0</v>
      </c>
      <c r="H26" s="172" t="e">
        <f>'FS Jimbaran July 2020'!AH36/'FS Jimbaran July 2020'!AG36</f>
        <v>#DIV/0!</v>
      </c>
      <c r="I26" s="174">
        <f>'FS Jimbaran July 2020'!AJ36</f>
        <v>0</v>
      </c>
      <c r="J26" s="164" t="e">
        <f>'FS Jimbaran July 2020'!AK36/'FS Jimbaran July 2020'!AJ36</f>
        <v>#DIV/0!</v>
      </c>
      <c r="K26" s="174">
        <f>'FS Jimbaran July 2020'!V36</f>
        <v>74.760000000000005</v>
      </c>
      <c r="L26" s="172">
        <f>'FS Jimbaran July 2020'!AA36/'FS Jimbaran July 2020'!V36</f>
        <v>4245.18</v>
      </c>
      <c r="M26" s="174">
        <f>+'RNs &amp; Covers July 2020'!B30</f>
        <v>0</v>
      </c>
      <c r="N26" s="174">
        <f>+'RNs &amp; Covers July 2020'!C30</f>
        <v>0</v>
      </c>
    </row>
    <row r="27" spans="1:14" x14ac:dyDescent="0.25">
      <c r="A27" s="160" t="s">
        <v>49</v>
      </c>
      <c r="B27" s="161">
        <f t="shared" si="0"/>
        <v>26</v>
      </c>
      <c r="C27" s="162">
        <v>7</v>
      </c>
      <c r="D27" s="161">
        <v>2020</v>
      </c>
      <c r="E27" s="174">
        <f>'FS Jimbaran July 2020'!P37</f>
        <v>8160.0000000003092</v>
      </c>
      <c r="F27" s="172">
        <f>'FS Jimbaran July 2020'!O37/'FS Jimbaran July 2020'!P37</f>
        <v>1122.0950000000046</v>
      </c>
      <c r="G27" s="174">
        <f>'FS Jimbaran July 2020'!AG37</f>
        <v>0</v>
      </c>
      <c r="H27" s="172" t="e">
        <f>'FS Jimbaran July 2020'!AH37/'FS Jimbaran July 2020'!AG37</f>
        <v>#DIV/0!</v>
      </c>
      <c r="I27" s="174">
        <f>'FS Jimbaran July 2020'!AJ37</f>
        <v>0</v>
      </c>
      <c r="J27" s="164" t="e">
        <f>'FS Jimbaran July 2020'!AK37/'FS Jimbaran July 2020'!AJ37</f>
        <v>#DIV/0!</v>
      </c>
      <c r="K27" s="174">
        <f>'FS Jimbaran July 2020'!V37</f>
        <v>324.85000000000002</v>
      </c>
      <c r="L27" s="172">
        <f>'FS Jimbaran July 2020'!AA37/'FS Jimbaran July 2020'!V37</f>
        <v>10487.380328767124</v>
      </c>
      <c r="M27" s="174">
        <f>+'RNs &amp; Covers July 2020'!B31</f>
        <v>0</v>
      </c>
      <c r="N27" s="174">
        <f>+'RNs &amp; Covers July 2020'!C31</f>
        <v>0</v>
      </c>
    </row>
    <row r="28" spans="1:14" x14ac:dyDescent="0.25">
      <c r="A28" s="160" t="s">
        <v>49</v>
      </c>
      <c r="B28" s="161">
        <f t="shared" si="0"/>
        <v>27</v>
      </c>
      <c r="C28" s="162">
        <v>7</v>
      </c>
      <c r="D28" s="161">
        <v>2020</v>
      </c>
      <c r="E28" s="174">
        <f>'FS Jimbaran July 2020'!P38</f>
        <v>9159.9999999998545</v>
      </c>
      <c r="F28" s="172">
        <f>'FS Jimbaran July 2020'!O38/'FS Jimbaran July 2020'!P38</f>
        <v>1116.0642576419268</v>
      </c>
      <c r="G28" s="174">
        <f>'FS Jimbaran July 2020'!AG38</f>
        <v>0</v>
      </c>
      <c r="H28" s="172" t="e">
        <f>'FS Jimbaran July 2020'!AH38/'FS Jimbaran July 2020'!AG38</f>
        <v>#DIV/0!</v>
      </c>
      <c r="I28" s="174">
        <f>'FS Jimbaran July 2020'!AJ38</f>
        <v>148.22000000000116</v>
      </c>
      <c r="J28" s="164">
        <f>'FS Jimbaran July 2020'!AK38/'FS Jimbaran July 2020'!AJ38</f>
        <v>7600</v>
      </c>
      <c r="K28" s="174">
        <f>'FS Jimbaran July 2020'!V38</f>
        <v>337.31</v>
      </c>
      <c r="L28" s="172">
        <f>'FS Jimbaran July 2020'!AA38/'FS Jimbaran July 2020'!V38</f>
        <v>6961.2723482849606</v>
      </c>
      <c r="M28" s="174">
        <f>+'RNs &amp; Covers July 2020'!B32</f>
        <v>0</v>
      </c>
      <c r="N28" s="174">
        <f>+'RNs &amp; Covers July 2020'!C32</f>
        <v>0</v>
      </c>
    </row>
    <row r="29" spans="1:14" x14ac:dyDescent="0.25">
      <c r="A29" s="160" t="s">
        <v>49</v>
      </c>
      <c r="B29" s="161">
        <f t="shared" si="0"/>
        <v>28</v>
      </c>
      <c r="C29" s="162">
        <v>7</v>
      </c>
      <c r="D29" s="161">
        <v>2020</v>
      </c>
      <c r="E29" s="174">
        <f>'FS Jimbaran July 2020'!P39</f>
        <v>9720.0000000000273</v>
      </c>
      <c r="F29" s="172">
        <f>'FS Jimbaran July 2020'!O39/'FS Jimbaran July 2020'!P39</f>
        <v>1111.4388271604853</v>
      </c>
      <c r="G29" s="174">
        <f>'FS Jimbaran July 2020'!AG39</f>
        <v>0</v>
      </c>
      <c r="H29" s="172" t="e">
        <f>'FS Jimbaran July 2020'!AH39/'FS Jimbaran July 2020'!AG39</f>
        <v>#DIV/0!</v>
      </c>
      <c r="I29" s="174">
        <f>'FS Jimbaran July 2020'!AJ39</f>
        <v>149.20000000001164</v>
      </c>
      <c r="J29" s="164">
        <f>'FS Jimbaran July 2020'!AK39/'FS Jimbaran July 2020'!AJ39</f>
        <v>7600</v>
      </c>
      <c r="K29" s="174">
        <f>'FS Jimbaran July 2020'!V39</f>
        <v>113.92</v>
      </c>
      <c r="L29" s="172">
        <f>'FS Jimbaran July 2020'!AA39/'FS Jimbaran July 2020'!V39</f>
        <v>4888.5543750000006</v>
      </c>
      <c r="M29" s="174">
        <f>+'RNs &amp; Covers July 2020'!B33</f>
        <v>0</v>
      </c>
      <c r="N29" s="174">
        <f>+'RNs &amp; Covers July 2020'!C33</f>
        <v>0</v>
      </c>
    </row>
    <row r="30" spans="1:14" x14ac:dyDescent="0.25">
      <c r="A30" s="160" t="s">
        <v>49</v>
      </c>
      <c r="B30" s="161">
        <f t="shared" si="0"/>
        <v>29</v>
      </c>
      <c r="C30" s="162">
        <v>7</v>
      </c>
      <c r="D30" s="161">
        <v>2020</v>
      </c>
      <c r="E30" s="174">
        <f>'FS Jimbaran July 2020'!P40</f>
        <v>9879.9999999987449</v>
      </c>
      <c r="F30" s="172">
        <f>'FS Jimbaran July 2020'!O40/'FS Jimbaran July 2020'!P40</f>
        <v>1117.5521052631652</v>
      </c>
      <c r="G30" s="174">
        <f>'FS Jimbaran July 2020'!AG40</f>
        <v>0</v>
      </c>
      <c r="H30" s="172" t="e">
        <f>'FS Jimbaran July 2020'!AH40/'FS Jimbaran July 2020'!AG40</f>
        <v>#DIV/0!</v>
      </c>
      <c r="I30" s="174">
        <f>'FS Jimbaran July 2020'!AJ40</f>
        <v>0</v>
      </c>
      <c r="J30" s="164" t="e">
        <f>'FS Jimbaran July 2020'!AK40/'FS Jimbaran July 2020'!AJ40</f>
        <v>#DIV/0!</v>
      </c>
      <c r="K30" s="174">
        <f>'FS Jimbaran July 2020'!V40</f>
        <v>272.34000000000003</v>
      </c>
      <c r="L30" s="172">
        <f>'FS Jimbaran July 2020'!AA40/'FS Jimbaran July 2020'!V40</f>
        <v>4245.18</v>
      </c>
      <c r="M30" s="174">
        <f>+'RNs &amp; Covers July 2020'!B34</f>
        <v>0</v>
      </c>
      <c r="N30" s="174">
        <f>+'RNs &amp; Covers July 2020'!C34</f>
        <v>0</v>
      </c>
    </row>
    <row r="31" spans="1:14" x14ac:dyDescent="0.25">
      <c r="A31" s="160" t="s">
        <v>49</v>
      </c>
      <c r="B31" s="161">
        <f t="shared" si="0"/>
        <v>30</v>
      </c>
      <c r="C31" s="162">
        <v>7</v>
      </c>
      <c r="D31" s="161">
        <v>2020</v>
      </c>
      <c r="E31" s="174">
        <f>'FS Jimbaran July 2020'!P41</f>
        <v>10760.000000001355</v>
      </c>
      <c r="F31" s="172">
        <f>'FS Jimbaran July 2020'!O41/'FS Jimbaran July 2020'!P41</f>
        <v>1115.6775278810348</v>
      </c>
      <c r="G31" s="174">
        <f>'FS Jimbaran July 2020'!AG41</f>
        <v>0</v>
      </c>
      <c r="H31" s="172" t="e">
        <f>'FS Jimbaran July 2020'!AH41/'FS Jimbaran July 2020'!AG41</f>
        <v>#DIV/0!</v>
      </c>
      <c r="I31" s="174">
        <f>'FS Jimbaran July 2020'!AJ41</f>
        <v>333.61000000001513</v>
      </c>
      <c r="J31" s="164">
        <f>'FS Jimbaran July 2020'!AK41/'FS Jimbaran July 2020'!AJ41</f>
        <v>7600</v>
      </c>
      <c r="K31" s="174">
        <f>'FS Jimbaran July 2020'!V41</f>
        <v>258.10000000000002</v>
      </c>
      <c r="L31" s="172">
        <f>'FS Jimbaran July 2020'!AA41/'FS Jimbaran July 2020'!V41</f>
        <v>4245.18</v>
      </c>
      <c r="M31" s="174">
        <f>+'RNs &amp; Covers July 2020'!B35</f>
        <v>0</v>
      </c>
      <c r="N31" s="174">
        <f>+'RNs &amp; Covers July 2020'!C35</f>
        <v>0</v>
      </c>
    </row>
    <row r="32" spans="1:14" x14ac:dyDescent="0.25">
      <c r="A32" s="160" t="s">
        <v>49</v>
      </c>
      <c r="B32" s="161">
        <f t="shared" si="0"/>
        <v>31</v>
      </c>
      <c r="C32" s="162">
        <v>7</v>
      </c>
      <c r="D32" s="161">
        <v>2020</v>
      </c>
      <c r="E32" s="174">
        <f>'FS Jimbaran July 2020'!P42</f>
        <v>10480.000000000018</v>
      </c>
      <c r="F32" s="172">
        <f>'FS Jimbaran July 2020'!O42/'FS Jimbaran July 2020'!P42</f>
        <v>1092.1153625954134</v>
      </c>
      <c r="G32" s="174">
        <f>'FS Jimbaran July 2020'!AG42</f>
        <v>0</v>
      </c>
      <c r="H32" s="172" t="e">
        <f>'FS Jimbaran July 2020'!AH42/'FS Jimbaran July 2020'!AG42</f>
        <v>#DIV/0!</v>
      </c>
      <c r="I32" s="174">
        <f>'FS Jimbaran July 2020'!AJ42</f>
        <v>0</v>
      </c>
      <c r="J32" s="164" t="e">
        <f>'FS Jimbaran July 2020'!AK42/'FS Jimbaran July 2020'!AJ42</f>
        <v>#DIV/0!</v>
      </c>
      <c r="K32" s="174">
        <f>'FS Jimbaran July 2020'!V42</f>
        <v>279.45999999999998</v>
      </c>
      <c r="L32" s="172">
        <f>'FS Jimbaran July 2020'!AA42/'FS Jimbaran July 2020'!V42</f>
        <v>4245.18</v>
      </c>
      <c r="M32" s="174">
        <f>+'RNs &amp; Covers July 2020'!B36</f>
        <v>0</v>
      </c>
      <c r="N32" s="174">
        <f>+'RNs &amp; Covers July 2020'!C36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tabSelected="1" zoomScale="62" zoomScaleNormal="62" workbookViewId="0">
      <pane xSplit="4" ySplit="10" topLeftCell="X11" activePane="bottomRight" state="frozen"/>
      <selection pane="topRight" activeCell="E1" sqref="E1"/>
      <selection pane="bottomLeft" activeCell="A11" sqref="A11"/>
      <selection pane="bottomRight" activeCell="AJ47" sqref="AJ47:AK47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15" customWidth="1"/>
  </cols>
  <sheetData>
    <row r="5" spans="1:39" x14ac:dyDescent="0.25">
      <c r="N5" s="175"/>
      <c r="X5" s="176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59"/>
      <c r="N6" s="65"/>
      <c r="P6" s="65"/>
      <c r="R6" s="85"/>
      <c r="AD6" s="36"/>
      <c r="AH6" s="36"/>
      <c r="AJ6" s="85"/>
      <c r="AL6" s="38"/>
    </row>
    <row r="7" spans="1:39" s="12" customFormat="1" ht="16.5" thickBot="1" x14ac:dyDescent="0.3">
      <c r="A7" s="32"/>
      <c r="B7" s="231" t="s">
        <v>54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  <c r="AA7" s="232"/>
      <c r="AB7" s="232"/>
      <c r="AC7" s="232"/>
      <c r="AD7" s="232"/>
      <c r="AE7" s="232"/>
      <c r="AF7" s="232"/>
      <c r="AG7" s="232"/>
      <c r="AH7" s="232"/>
      <c r="AI7" s="232"/>
      <c r="AJ7" s="232"/>
      <c r="AK7" s="232"/>
      <c r="AL7" s="233"/>
      <c r="AM7" s="32"/>
    </row>
    <row r="8" spans="1:39" s="8" customFormat="1" ht="15.75" customHeight="1" thickBot="1" x14ac:dyDescent="0.3">
      <c r="A8" s="28"/>
      <c r="B8" s="234" t="s">
        <v>1</v>
      </c>
      <c r="C8" s="237" t="s">
        <v>2</v>
      </c>
      <c r="D8" s="240" t="s">
        <v>3</v>
      </c>
      <c r="E8" s="243" t="s">
        <v>34</v>
      </c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4"/>
      <c r="V8" s="245" t="s">
        <v>19</v>
      </c>
      <c r="W8" s="246"/>
      <c r="X8" s="246"/>
      <c r="Y8" s="246"/>
      <c r="Z8" s="246"/>
      <c r="AA8" s="246"/>
      <c r="AB8" s="247"/>
      <c r="AC8" s="248" t="s">
        <v>24</v>
      </c>
      <c r="AD8" s="248"/>
      <c r="AE8" s="248"/>
      <c r="AF8" s="248"/>
      <c r="AG8" s="248"/>
      <c r="AH8" s="248"/>
      <c r="AI8" s="248"/>
      <c r="AJ8" s="248"/>
      <c r="AK8" s="248"/>
      <c r="AL8" s="249"/>
      <c r="AM8" s="30"/>
    </row>
    <row r="9" spans="1:39" ht="15" customHeight="1" thickBot="1" x14ac:dyDescent="0.3">
      <c r="A9" s="31"/>
      <c r="B9" s="235"/>
      <c r="C9" s="238"/>
      <c r="D9" s="241"/>
      <c r="E9" s="250" t="s">
        <v>33</v>
      </c>
      <c r="F9" s="251"/>
      <c r="G9" s="251"/>
      <c r="H9" s="251"/>
      <c r="I9" s="252"/>
      <c r="J9" s="253" t="s">
        <v>5</v>
      </c>
      <c r="K9" s="253"/>
      <c r="L9" s="253"/>
      <c r="M9" s="253"/>
      <c r="N9" s="254"/>
      <c r="O9" s="240" t="s">
        <v>12</v>
      </c>
      <c r="P9" s="255" t="s">
        <v>32</v>
      </c>
      <c r="Q9" s="257" t="s">
        <v>52</v>
      </c>
      <c r="R9" s="223" t="s">
        <v>21</v>
      </c>
      <c r="S9" s="225" t="s">
        <v>13</v>
      </c>
      <c r="T9" s="227" t="s">
        <v>18</v>
      </c>
      <c r="U9" s="228"/>
      <c r="V9" s="53"/>
      <c r="W9" s="53" t="s">
        <v>4</v>
      </c>
      <c r="X9" s="53"/>
      <c r="Y9" s="54"/>
      <c r="Z9" s="181"/>
      <c r="AA9" s="229" t="s">
        <v>27</v>
      </c>
      <c r="AB9" s="230"/>
      <c r="AC9" s="248" t="s">
        <v>22</v>
      </c>
      <c r="AD9" s="248"/>
      <c r="AE9" s="248"/>
      <c r="AF9" s="248"/>
      <c r="AG9" s="248"/>
      <c r="AH9" s="248"/>
      <c r="AI9" s="249"/>
      <c r="AJ9" s="259" t="s">
        <v>20</v>
      </c>
      <c r="AK9" s="260"/>
      <c r="AL9" s="261"/>
      <c r="AM9" s="31"/>
    </row>
    <row r="10" spans="1:39" ht="61.5" customHeight="1" thickBot="1" x14ac:dyDescent="0.3">
      <c r="A10" s="29"/>
      <c r="B10" s="236"/>
      <c r="C10" s="239"/>
      <c r="D10" s="242"/>
      <c r="E10" s="99" t="s">
        <v>35</v>
      </c>
      <c r="F10" s="83" t="s">
        <v>6</v>
      </c>
      <c r="G10" s="133" t="s">
        <v>36</v>
      </c>
      <c r="H10" s="19" t="s">
        <v>6</v>
      </c>
      <c r="I10" s="100" t="s">
        <v>14</v>
      </c>
      <c r="J10" s="99" t="s">
        <v>35</v>
      </c>
      <c r="K10" s="84" t="s">
        <v>6</v>
      </c>
      <c r="L10" s="133" t="s">
        <v>36</v>
      </c>
      <c r="M10" s="60" t="s">
        <v>6</v>
      </c>
      <c r="N10" s="92" t="s">
        <v>15</v>
      </c>
      <c r="O10" s="242"/>
      <c r="P10" s="256"/>
      <c r="Q10" s="258"/>
      <c r="R10" s="224"/>
      <c r="S10" s="226"/>
      <c r="T10" s="182" t="s">
        <v>16</v>
      </c>
      <c r="U10" s="24" t="s">
        <v>17</v>
      </c>
      <c r="V10" s="183" t="s">
        <v>8</v>
      </c>
      <c r="W10" s="55" t="s">
        <v>0</v>
      </c>
      <c r="X10" s="55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5" t="s">
        <v>7</v>
      </c>
      <c r="AD10" s="48" t="s">
        <v>31</v>
      </c>
      <c r="AE10" s="47" t="s">
        <v>11</v>
      </c>
      <c r="AF10" s="47" t="s">
        <v>9</v>
      </c>
      <c r="AG10" s="47" t="s">
        <v>25</v>
      </c>
      <c r="AH10" s="48" t="s">
        <v>16</v>
      </c>
      <c r="AI10" s="49" t="s">
        <v>17</v>
      </c>
      <c r="AJ10" s="140" t="s">
        <v>23</v>
      </c>
      <c r="AK10" s="47" t="s">
        <v>16</v>
      </c>
      <c r="AL10" s="51" t="s">
        <v>17</v>
      </c>
      <c r="AM10" s="29"/>
    </row>
    <row r="11" spans="1:39" x14ac:dyDescent="0.25">
      <c r="A11" s="29"/>
      <c r="B11" s="57"/>
      <c r="C11" s="101"/>
      <c r="D11" s="184"/>
      <c r="E11" s="185"/>
      <c r="F11" s="90"/>
      <c r="G11" s="20"/>
      <c r="H11" s="21"/>
      <c r="I11" s="102"/>
      <c r="J11" s="91"/>
      <c r="K11" s="20"/>
      <c r="L11" s="21"/>
      <c r="M11" s="61"/>
      <c r="N11" s="93"/>
      <c r="O11" s="56"/>
      <c r="P11" s="110"/>
      <c r="Q11" s="186"/>
      <c r="R11" s="113"/>
      <c r="S11" s="187"/>
      <c r="T11" s="187"/>
      <c r="U11" s="25"/>
      <c r="V11" s="91"/>
      <c r="W11" s="20"/>
      <c r="X11" s="20"/>
      <c r="Y11" s="22"/>
      <c r="Z11" s="22"/>
      <c r="AA11" s="22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9"/>
    </row>
    <row r="12" spans="1:39" x14ac:dyDescent="0.25">
      <c r="A12" s="35"/>
      <c r="B12" s="58">
        <v>1</v>
      </c>
      <c r="C12" s="149"/>
      <c r="D12" s="151"/>
      <c r="E12" s="106">
        <v>6479.9999999995634</v>
      </c>
      <c r="F12" s="3">
        <v>6711854.3999995477</v>
      </c>
      <c r="G12" s="37">
        <v>1199.9999999998181</v>
      </c>
      <c r="H12" s="3">
        <v>1864403.9999997176</v>
      </c>
      <c r="I12" s="103">
        <f>F12+H12</f>
        <v>8576258.3999992646</v>
      </c>
      <c r="J12" s="106">
        <v>180.00000000029104</v>
      </c>
      <c r="K12" s="3">
        <v>186440.40000030145</v>
      </c>
      <c r="L12" s="188">
        <v>39.99999999996362</v>
      </c>
      <c r="M12" s="189">
        <v>62146.799999943483</v>
      </c>
      <c r="N12" s="94">
        <f>+K12+M12</f>
        <v>248587.20000024495</v>
      </c>
      <c r="O12" s="108">
        <f>N12+I12</f>
        <v>8824845.5999995098</v>
      </c>
      <c r="P12" s="111">
        <f>L12+J12+G12+E12</f>
        <v>7899.9999999996362</v>
      </c>
      <c r="Q12" s="135"/>
      <c r="R12" s="203"/>
      <c r="S12" s="217"/>
      <c r="T12" s="214"/>
      <c r="U12" s="212">
        <v>0</v>
      </c>
      <c r="V12" s="190">
        <f>Y12+W12</f>
        <v>7.12</v>
      </c>
      <c r="W12" s="3">
        <v>0</v>
      </c>
      <c r="X12" s="3">
        <v>0</v>
      </c>
      <c r="Y12" s="33">
        <v>7.12</v>
      </c>
      <c r="Z12" s="33">
        <v>30225.681600000004</v>
      </c>
      <c r="AA12" s="33">
        <f t="shared" ref="AA12:AA39" si="0">Z12+X12</f>
        <v>30225.681600000004</v>
      </c>
      <c r="AB12" s="128">
        <f t="shared" ref="AB12:AB39" si="1">AA12/$AL$48</f>
        <v>2.3293366183495956</v>
      </c>
      <c r="AC12" s="134">
        <v>0</v>
      </c>
      <c r="AD12" s="3">
        <v>0</v>
      </c>
      <c r="AE12" s="3">
        <v>0</v>
      </c>
      <c r="AF12" s="3">
        <v>0</v>
      </c>
      <c r="AG12" s="3">
        <f t="shared" ref="AG12:AG31" si="2">+AE12+AF12</f>
        <v>0</v>
      </c>
      <c r="AH12" s="3">
        <v>0</v>
      </c>
      <c r="AI12" s="43">
        <f t="shared" ref="AI12:AI39" si="3">AH12/$AL$48</f>
        <v>0</v>
      </c>
      <c r="AJ12" s="142">
        <v>119.69000000000233</v>
      </c>
      <c r="AK12" s="3">
        <v>909644.0000000177</v>
      </c>
      <c r="AL12" s="39">
        <f t="shared" ref="AL12:AL42" si="4">AK12/$AL$48</f>
        <v>70.101548309237813</v>
      </c>
      <c r="AM12" s="7"/>
    </row>
    <row r="13" spans="1:39" x14ac:dyDescent="0.25">
      <c r="A13" s="35"/>
      <c r="B13" s="58">
        <v>2</v>
      </c>
      <c r="C13" s="149"/>
      <c r="D13" s="151"/>
      <c r="E13" s="106">
        <v>6480.0000000013824</v>
      </c>
      <c r="F13" s="3">
        <v>6711854.4000014318</v>
      </c>
      <c r="G13" s="37">
        <v>1240.0000000002365</v>
      </c>
      <c r="H13" s="3">
        <v>1926550.8000003675</v>
      </c>
      <c r="I13" s="103">
        <f t="shared" ref="I13:I42" si="5">F13+H13</f>
        <v>8638405.2000017986</v>
      </c>
      <c r="J13" s="106">
        <v>199.9999999998181</v>
      </c>
      <c r="K13" s="3">
        <v>207155.99999981158</v>
      </c>
      <c r="L13" s="188">
        <v>39.99999999996362</v>
      </c>
      <c r="M13" s="189">
        <v>62146.799999943483</v>
      </c>
      <c r="N13" s="94">
        <f t="shared" ref="N13:N41" si="6">+K13+M13</f>
        <v>269302.79999975505</v>
      </c>
      <c r="O13" s="108">
        <f t="shared" ref="O13:O39" si="7">N13+I13</f>
        <v>8907708.0000015534</v>
      </c>
      <c r="P13" s="111">
        <f t="shared" ref="P13:P39" si="8">L13+J13+G13+E13</f>
        <v>7960.0000000014006</v>
      </c>
      <c r="Q13" s="193"/>
      <c r="R13" s="204"/>
      <c r="S13" s="217"/>
      <c r="T13" s="214"/>
      <c r="U13" s="212">
        <v>0</v>
      </c>
      <c r="V13" s="190">
        <f t="shared" ref="V13:V41" si="9">Y13+W13</f>
        <v>269.67</v>
      </c>
      <c r="W13" s="3">
        <v>0</v>
      </c>
      <c r="X13" s="3">
        <v>0</v>
      </c>
      <c r="Y13" s="33">
        <v>269.67</v>
      </c>
      <c r="Z13" s="33">
        <v>1144797.6906000001</v>
      </c>
      <c r="AA13" s="33">
        <f t="shared" si="0"/>
        <v>1144797.6906000001</v>
      </c>
      <c r="AB13" s="128">
        <f t="shared" si="1"/>
        <v>88.223624419990927</v>
      </c>
      <c r="AC13" s="134">
        <v>0</v>
      </c>
      <c r="AD13" s="3">
        <v>0</v>
      </c>
      <c r="AE13" s="3">
        <v>0</v>
      </c>
      <c r="AF13" s="3">
        <v>0</v>
      </c>
      <c r="AG13" s="3">
        <f t="shared" si="2"/>
        <v>0</v>
      </c>
      <c r="AH13" s="3">
        <v>0</v>
      </c>
      <c r="AI13" s="43">
        <f t="shared" si="3"/>
        <v>0</v>
      </c>
      <c r="AJ13" s="142">
        <v>-157.64999999998145</v>
      </c>
      <c r="AK13" s="3">
        <v>-1198139.9999998589</v>
      </c>
      <c r="AL13" s="39">
        <f t="shared" si="4"/>
        <v>-92.334439727210494</v>
      </c>
      <c r="AM13" s="7"/>
    </row>
    <row r="14" spans="1:39" x14ac:dyDescent="0.25">
      <c r="A14" s="35"/>
      <c r="B14" s="58">
        <v>3</v>
      </c>
      <c r="C14" s="149"/>
      <c r="D14" s="151"/>
      <c r="E14" s="106">
        <v>6439.9999999986903</v>
      </c>
      <c r="F14" s="3">
        <v>6670423.1999986432</v>
      </c>
      <c r="G14" s="37">
        <v>1199.9999999998181</v>
      </c>
      <c r="H14" s="3">
        <v>1864403.9999997176</v>
      </c>
      <c r="I14" s="103">
        <f t="shared" si="5"/>
        <v>8534827.1999983601</v>
      </c>
      <c r="J14" s="106">
        <v>179.99999999938154</v>
      </c>
      <c r="K14" s="3">
        <v>186440.39999935942</v>
      </c>
      <c r="L14" s="188">
        <v>39.99999999996362</v>
      </c>
      <c r="M14" s="189">
        <v>62146.799999943483</v>
      </c>
      <c r="N14" s="94">
        <f t="shared" si="6"/>
        <v>248587.19999930292</v>
      </c>
      <c r="O14" s="108">
        <f t="shared" si="7"/>
        <v>8783414.3999976628</v>
      </c>
      <c r="P14" s="111">
        <f t="shared" si="8"/>
        <v>7859.9999999978536</v>
      </c>
      <c r="Q14" s="193"/>
      <c r="R14" s="204"/>
      <c r="S14" s="217"/>
      <c r="T14" s="214"/>
      <c r="U14" s="212">
        <v>0</v>
      </c>
      <c r="V14" s="190">
        <f t="shared" si="9"/>
        <v>104.13</v>
      </c>
      <c r="W14" s="3">
        <v>0</v>
      </c>
      <c r="X14" s="3">
        <v>0</v>
      </c>
      <c r="Y14" s="33">
        <v>104.13</v>
      </c>
      <c r="Z14" s="33">
        <v>442050.59340000001</v>
      </c>
      <c r="AA14" s="33">
        <f t="shared" si="0"/>
        <v>442050.59340000001</v>
      </c>
      <c r="AB14" s="128">
        <f t="shared" si="1"/>
        <v>34.066548043362829</v>
      </c>
      <c r="AC14" s="134">
        <v>0</v>
      </c>
      <c r="AD14" s="3">
        <v>0</v>
      </c>
      <c r="AE14" s="3">
        <v>0</v>
      </c>
      <c r="AF14" s="3">
        <v>0</v>
      </c>
      <c r="AG14" s="3">
        <f t="shared" si="2"/>
        <v>0</v>
      </c>
      <c r="AH14" s="3">
        <v>0</v>
      </c>
      <c r="AI14" s="43">
        <f t="shared" si="3"/>
        <v>0</v>
      </c>
      <c r="AJ14" s="142">
        <v>117.08000000000175</v>
      </c>
      <c r="AK14" s="3">
        <v>889808.00000001327</v>
      </c>
      <c r="AL14" s="39">
        <f t="shared" si="4"/>
        <v>68.572890601098891</v>
      </c>
      <c r="AM14" s="7"/>
    </row>
    <row r="15" spans="1:39" x14ac:dyDescent="0.25">
      <c r="A15" s="35"/>
      <c r="B15" s="58">
        <v>4</v>
      </c>
      <c r="C15" s="149"/>
      <c r="D15" s="151"/>
      <c r="E15" s="106">
        <v>6000</v>
      </c>
      <c r="F15" s="3">
        <v>6214680</v>
      </c>
      <c r="G15" s="37">
        <v>1280.0000000002001</v>
      </c>
      <c r="H15" s="3">
        <v>1988697.6000003109</v>
      </c>
      <c r="I15" s="103">
        <f t="shared" si="5"/>
        <v>8203377.6000003107</v>
      </c>
      <c r="J15" s="106">
        <v>180.00000000029104</v>
      </c>
      <c r="K15" s="3">
        <v>186440.40000030145</v>
      </c>
      <c r="L15" s="188">
        <v>20.000000000209184</v>
      </c>
      <c r="M15" s="189">
        <v>31073.400000325004</v>
      </c>
      <c r="N15" s="94">
        <f t="shared" si="6"/>
        <v>217513.80000062645</v>
      </c>
      <c r="O15" s="108">
        <f t="shared" si="7"/>
        <v>8420891.4000009373</v>
      </c>
      <c r="P15" s="111">
        <f t="shared" si="8"/>
        <v>7480.0000000007003</v>
      </c>
      <c r="Q15" s="193"/>
      <c r="R15" s="204"/>
      <c r="S15" s="217"/>
      <c r="T15" s="214"/>
      <c r="U15" s="212">
        <v>0</v>
      </c>
      <c r="V15" s="190">
        <f t="shared" si="9"/>
        <v>180.67000000000002</v>
      </c>
      <c r="W15" s="3">
        <v>0</v>
      </c>
      <c r="X15" s="3">
        <v>0</v>
      </c>
      <c r="Y15" s="33">
        <v>180.67000000000002</v>
      </c>
      <c r="Z15" s="33">
        <v>766976.67060000007</v>
      </c>
      <c r="AA15" s="33">
        <f t="shared" si="0"/>
        <v>766976.67060000007</v>
      </c>
      <c r="AB15" s="128">
        <f t="shared" si="1"/>
        <v>59.106916690620984</v>
      </c>
      <c r="AC15" s="134">
        <v>0</v>
      </c>
      <c r="AD15" s="3">
        <v>0</v>
      </c>
      <c r="AE15" s="3">
        <v>0</v>
      </c>
      <c r="AF15" s="3">
        <v>0</v>
      </c>
      <c r="AG15" s="3">
        <f t="shared" si="2"/>
        <v>0</v>
      </c>
      <c r="AH15" s="3">
        <v>0</v>
      </c>
      <c r="AI15" s="43">
        <f t="shared" si="3"/>
        <v>0</v>
      </c>
      <c r="AJ15" s="142">
        <v>0</v>
      </c>
      <c r="AK15" s="3">
        <v>0</v>
      </c>
      <c r="AL15" s="39">
        <f t="shared" si="4"/>
        <v>0</v>
      </c>
      <c r="AM15" s="7"/>
    </row>
    <row r="16" spans="1:39" x14ac:dyDescent="0.25">
      <c r="A16" s="35"/>
      <c r="B16" s="58">
        <v>5</v>
      </c>
      <c r="C16" s="149"/>
      <c r="D16" s="151"/>
      <c r="E16" s="106">
        <v>6319.999999999709</v>
      </c>
      <c r="F16" s="3">
        <v>6546129.5999996988</v>
      </c>
      <c r="G16" s="37">
        <v>1279.9999999997453</v>
      </c>
      <c r="H16" s="3">
        <v>1988697.5999996045</v>
      </c>
      <c r="I16" s="103">
        <f t="shared" si="5"/>
        <v>8534827.1999993026</v>
      </c>
      <c r="J16" s="106">
        <v>199.9999999998181</v>
      </c>
      <c r="K16" s="3">
        <v>207155.99999981158</v>
      </c>
      <c r="L16" s="188">
        <v>39.99999999996362</v>
      </c>
      <c r="M16" s="189">
        <v>62146.799999943483</v>
      </c>
      <c r="N16" s="94">
        <f t="shared" si="6"/>
        <v>269302.79999975505</v>
      </c>
      <c r="O16" s="108">
        <f t="shared" si="7"/>
        <v>8804129.9999990575</v>
      </c>
      <c r="P16" s="111">
        <f t="shared" si="8"/>
        <v>7839.999999999236</v>
      </c>
      <c r="Q16" s="193"/>
      <c r="R16" s="204"/>
      <c r="S16" s="217"/>
      <c r="T16" s="214"/>
      <c r="U16" s="212">
        <v>0</v>
      </c>
      <c r="V16" s="190">
        <f t="shared" si="9"/>
        <v>2.67</v>
      </c>
      <c r="W16" s="3">
        <v>0</v>
      </c>
      <c r="X16" s="3">
        <v>0</v>
      </c>
      <c r="Y16" s="33">
        <v>2.67</v>
      </c>
      <c r="Z16" s="33">
        <v>11334.6306</v>
      </c>
      <c r="AA16" s="33">
        <f t="shared" si="0"/>
        <v>11334.6306</v>
      </c>
      <c r="AB16" s="128">
        <f t="shared" si="1"/>
        <v>0.87350123188109829</v>
      </c>
      <c r="AC16" s="134">
        <v>0</v>
      </c>
      <c r="AD16" s="3">
        <v>0</v>
      </c>
      <c r="AE16" s="3">
        <v>0</v>
      </c>
      <c r="AF16" s="3">
        <v>0</v>
      </c>
      <c r="AG16" s="3">
        <f t="shared" si="2"/>
        <v>0</v>
      </c>
      <c r="AH16" s="3">
        <v>0</v>
      </c>
      <c r="AI16" s="43">
        <f t="shared" si="3"/>
        <v>0</v>
      </c>
      <c r="AJ16" s="142">
        <v>0</v>
      </c>
      <c r="AK16" s="3">
        <v>0</v>
      </c>
      <c r="AL16" s="39">
        <f t="shared" si="4"/>
        <v>0</v>
      </c>
      <c r="AM16" s="7"/>
    </row>
    <row r="17" spans="1:39" x14ac:dyDescent="0.25">
      <c r="A17" s="35"/>
      <c r="B17" s="58">
        <v>6</v>
      </c>
      <c r="C17" s="149"/>
      <c r="D17" s="151"/>
      <c r="E17" s="106">
        <v>6520.0000000004366</v>
      </c>
      <c r="F17" s="3">
        <v>6753285.6000004523</v>
      </c>
      <c r="G17" s="37">
        <v>1280.0000000002001</v>
      </c>
      <c r="H17" s="3">
        <v>1988697.6000003109</v>
      </c>
      <c r="I17" s="103">
        <f t="shared" si="5"/>
        <v>8741983.2000007629</v>
      </c>
      <c r="J17" s="106">
        <v>220.00000000025466</v>
      </c>
      <c r="K17" s="3">
        <v>227871.60000026377</v>
      </c>
      <c r="L17" s="188">
        <v>39.99999999996362</v>
      </c>
      <c r="M17" s="189">
        <v>62146.799999943483</v>
      </c>
      <c r="N17" s="94">
        <f t="shared" si="6"/>
        <v>290018.40000020724</v>
      </c>
      <c r="O17" s="108">
        <f t="shared" si="7"/>
        <v>9032001.6000009701</v>
      </c>
      <c r="P17" s="111">
        <f t="shared" si="8"/>
        <v>8060.0000000008549</v>
      </c>
      <c r="Q17" s="193"/>
      <c r="R17" s="204"/>
      <c r="S17" s="217"/>
      <c r="T17" s="214"/>
      <c r="U17" s="212">
        <v>0</v>
      </c>
      <c r="V17" s="190">
        <f t="shared" si="9"/>
        <v>1.78</v>
      </c>
      <c r="W17" s="3">
        <v>0</v>
      </c>
      <c r="X17" s="3">
        <v>0</v>
      </c>
      <c r="Y17" s="33">
        <v>1.78</v>
      </c>
      <c r="Z17" s="33">
        <v>7556.4204000000009</v>
      </c>
      <c r="AA17" s="33">
        <f t="shared" si="0"/>
        <v>7556.4204000000009</v>
      </c>
      <c r="AB17" s="128">
        <f t="shared" si="1"/>
        <v>0.5823341545873989</v>
      </c>
      <c r="AC17" s="134">
        <v>0</v>
      </c>
      <c r="AD17" s="3">
        <v>0</v>
      </c>
      <c r="AE17" s="3">
        <v>0</v>
      </c>
      <c r="AF17" s="3">
        <v>0</v>
      </c>
      <c r="AG17" s="3">
        <f t="shared" si="2"/>
        <v>0</v>
      </c>
      <c r="AH17" s="3">
        <v>0</v>
      </c>
      <c r="AI17" s="43">
        <f t="shared" si="3"/>
        <v>0</v>
      </c>
      <c r="AJ17" s="142">
        <v>103.91000000000349</v>
      </c>
      <c r="AK17" s="3">
        <v>789716.00000002654</v>
      </c>
      <c r="AL17" s="39">
        <f t="shared" si="4"/>
        <v>60.859318947389127</v>
      </c>
      <c r="AM17" s="7"/>
    </row>
    <row r="18" spans="1:39" x14ac:dyDescent="0.25">
      <c r="A18" s="35"/>
      <c r="B18" s="58">
        <v>7</v>
      </c>
      <c r="C18" s="149"/>
      <c r="D18" s="151"/>
      <c r="E18" s="106">
        <v>6800.0000000010914</v>
      </c>
      <c r="F18" s="3">
        <v>7043304.0000011306</v>
      </c>
      <c r="G18" s="37">
        <v>1360.0000000001273</v>
      </c>
      <c r="H18" s="3">
        <v>2112991.2000001981</v>
      </c>
      <c r="I18" s="103">
        <f t="shared" si="5"/>
        <v>9156295.2000013292</v>
      </c>
      <c r="J18" s="106">
        <v>180.00000000029104</v>
      </c>
      <c r="K18" s="3">
        <v>186440.40000030145</v>
      </c>
      <c r="L18" s="188">
        <v>39.99999999996362</v>
      </c>
      <c r="M18" s="189">
        <v>62146.799999943483</v>
      </c>
      <c r="N18" s="94">
        <f t="shared" si="6"/>
        <v>248587.20000024495</v>
      </c>
      <c r="O18" s="108">
        <f t="shared" si="7"/>
        <v>9404882.4000015743</v>
      </c>
      <c r="P18" s="111">
        <f t="shared" si="8"/>
        <v>8380.0000000014734</v>
      </c>
      <c r="Q18" s="193"/>
      <c r="R18" s="204"/>
      <c r="S18" s="217"/>
      <c r="T18" s="214"/>
      <c r="U18" s="212">
        <v>0</v>
      </c>
      <c r="V18" s="190">
        <f t="shared" si="9"/>
        <v>248.31</v>
      </c>
      <c r="W18" s="3">
        <v>0</v>
      </c>
      <c r="X18" s="3">
        <v>0</v>
      </c>
      <c r="Y18" s="33">
        <v>248.31</v>
      </c>
      <c r="Z18" s="33">
        <v>1054120.6458000001</v>
      </c>
      <c r="AA18" s="33">
        <f t="shared" si="0"/>
        <v>1054120.6458000001</v>
      </c>
      <c r="AB18" s="128">
        <f t="shared" si="1"/>
        <v>81.235614564942139</v>
      </c>
      <c r="AC18" s="134">
        <v>0</v>
      </c>
      <c r="AD18" s="3">
        <v>0</v>
      </c>
      <c r="AE18" s="3">
        <v>0</v>
      </c>
      <c r="AF18" s="3">
        <v>0</v>
      </c>
      <c r="AG18" s="3">
        <f t="shared" si="2"/>
        <v>0</v>
      </c>
      <c r="AH18" s="3">
        <v>0</v>
      </c>
      <c r="AI18" s="43">
        <f t="shared" si="3"/>
        <v>0</v>
      </c>
      <c r="AJ18" s="142">
        <v>0</v>
      </c>
      <c r="AK18" s="3">
        <v>0</v>
      </c>
      <c r="AL18" s="39">
        <f t="shared" si="4"/>
        <v>0</v>
      </c>
      <c r="AM18" s="7"/>
    </row>
    <row r="19" spans="1:39" x14ac:dyDescent="0.25">
      <c r="A19" s="35"/>
      <c r="B19" s="58">
        <v>8</v>
      </c>
      <c r="C19" s="149"/>
      <c r="D19" s="151"/>
      <c r="E19" s="106">
        <v>6959.9999999991269</v>
      </c>
      <c r="F19" s="3">
        <v>7209028.7999990955</v>
      </c>
      <c r="G19" s="37">
        <v>1279.9999999997453</v>
      </c>
      <c r="H19" s="3">
        <v>1988697.5999996045</v>
      </c>
      <c r="I19" s="103">
        <f t="shared" si="5"/>
        <v>9197726.3999987002</v>
      </c>
      <c r="J19" s="106">
        <v>199.9999999998181</v>
      </c>
      <c r="K19" s="3">
        <v>207155.99999981158</v>
      </c>
      <c r="L19" s="188">
        <v>39.99999999996362</v>
      </c>
      <c r="M19" s="189">
        <v>62146.799999943483</v>
      </c>
      <c r="N19" s="94">
        <f t="shared" si="6"/>
        <v>269302.79999975505</v>
      </c>
      <c r="O19" s="108">
        <f t="shared" si="7"/>
        <v>9467029.1999984551</v>
      </c>
      <c r="P19" s="111">
        <f t="shared" si="8"/>
        <v>8479.9999999986539</v>
      </c>
      <c r="Q19" s="193"/>
      <c r="R19" s="204"/>
      <c r="S19" s="217"/>
      <c r="T19" s="214"/>
      <c r="U19" s="212">
        <v>0</v>
      </c>
      <c r="V19" s="190">
        <f t="shared" si="9"/>
        <v>278.57</v>
      </c>
      <c r="W19" s="3">
        <v>0</v>
      </c>
      <c r="X19" s="3">
        <v>0</v>
      </c>
      <c r="Y19" s="33">
        <v>278.57</v>
      </c>
      <c r="Z19" s="33">
        <v>1182579.7926</v>
      </c>
      <c r="AA19" s="33">
        <f t="shared" si="0"/>
        <v>1182579.7926</v>
      </c>
      <c r="AB19" s="128">
        <f t="shared" si="1"/>
        <v>91.135295192927913</v>
      </c>
      <c r="AC19" s="134">
        <v>0</v>
      </c>
      <c r="AD19" s="3">
        <v>0</v>
      </c>
      <c r="AE19" s="3">
        <v>0</v>
      </c>
      <c r="AF19" s="3">
        <v>0</v>
      </c>
      <c r="AG19" s="3">
        <f t="shared" si="2"/>
        <v>0</v>
      </c>
      <c r="AH19" s="3">
        <v>0</v>
      </c>
      <c r="AI19" s="43">
        <f t="shared" si="3"/>
        <v>0</v>
      </c>
      <c r="AJ19" s="142">
        <v>150.47999999999593</v>
      </c>
      <c r="AK19" s="3">
        <v>1143647.999999969</v>
      </c>
      <c r="AL19" s="39">
        <f t="shared" si="4"/>
        <v>88.135023724401492</v>
      </c>
      <c r="AM19" s="7"/>
    </row>
    <row r="20" spans="1:39" x14ac:dyDescent="0.25">
      <c r="A20" s="35"/>
      <c r="B20" s="58">
        <v>9</v>
      </c>
      <c r="C20" s="149"/>
      <c r="D20" s="151"/>
      <c r="E20" s="106">
        <v>6239.9999999997817</v>
      </c>
      <c r="F20" s="3">
        <v>6463267.1999997739</v>
      </c>
      <c r="G20" s="37">
        <v>1240.0000000002365</v>
      </c>
      <c r="H20" s="3">
        <v>1926550.8000003675</v>
      </c>
      <c r="I20" s="103">
        <f t="shared" si="5"/>
        <v>8389818.0000001416</v>
      </c>
      <c r="J20" s="106">
        <v>319.99999999970896</v>
      </c>
      <c r="K20" s="3">
        <v>331449.59999969852</v>
      </c>
      <c r="L20" s="188">
        <v>39.99999999996362</v>
      </c>
      <c r="M20" s="189">
        <v>62146.799999943483</v>
      </c>
      <c r="N20" s="94">
        <f t="shared" si="6"/>
        <v>393596.39999964199</v>
      </c>
      <c r="O20" s="108">
        <f t="shared" si="7"/>
        <v>8783414.3999997843</v>
      </c>
      <c r="P20" s="111">
        <f t="shared" si="8"/>
        <v>7839.9999999996908</v>
      </c>
      <c r="Q20" s="193"/>
      <c r="R20" s="204"/>
      <c r="S20" s="217"/>
      <c r="T20" s="214"/>
      <c r="U20" s="212">
        <v>0</v>
      </c>
      <c r="V20" s="190">
        <f t="shared" si="9"/>
        <v>37.380000000000003</v>
      </c>
      <c r="W20" s="3">
        <v>0</v>
      </c>
      <c r="X20" s="3">
        <v>0</v>
      </c>
      <c r="Y20" s="33">
        <v>37.380000000000003</v>
      </c>
      <c r="Z20" s="33">
        <v>158684.82840000003</v>
      </c>
      <c r="AA20" s="33">
        <f t="shared" si="0"/>
        <v>158684.82840000003</v>
      </c>
      <c r="AB20" s="128">
        <f t="shared" si="1"/>
        <v>12.229017246335378</v>
      </c>
      <c r="AC20" s="134">
        <v>0</v>
      </c>
      <c r="AD20" s="3">
        <v>0</v>
      </c>
      <c r="AE20" s="3">
        <v>0</v>
      </c>
      <c r="AF20" s="3">
        <v>0</v>
      </c>
      <c r="AG20" s="3">
        <f t="shared" si="2"/>
        <v>0</v>
      </c>
      <c r="AH20" s="3">
        <v>0</v>
      </c>
      <c r="AI20" s="43">
        <f t="shared" si="3"/>
        <v>0</v>
      </c>
      <c r="AJ20" s="142">
        <v>0</v>
      </c>
      <c r="AK20" s="3">
        <v>0</v>
      </c>
      <c r="AL20" s="39">
        <f t="shared" si="4"/>
        <v>0</v>
      </c>
      <c r="AM20" s="7"/>
    </row>
    <row r="21" spans="1:39" x14ac:dyDescent="0.25">
      <c r="A21" s="35"/>
      <c r="B21" s="58">
        <v>10</v>
      </c>
      <c r="C21" s="149"/>
      <c r="D21" s="151"/>
      <c r="E21" s="106">
        <v>6520.0000000004366</v>
      </c>
      <c r="F21" s="3">
        <v>6753285.6000004523</v>
      </c>
      <c r="G21" s="37">
        <v>1279.9999999997453</v>
      </c>
      <c r="H21" s="3">
        <v>1988697.5999996045</v>
      </c>
      <c r="I21" s="103">
        <f t="shared" si="5"/>
        <v>8741983.200000057</v>
      </c>
      <c r="J21" s="106">
        <v>220.00000000025466</v>
      </c>
      <c r="K21" s="3">
        <v>227871.60000026377</v>
      </c>
      <c r="L21" s="188">
        <v>40.000000000190994</v>
      </c>
      <c r="M21" s="189">
        <v>62146.800000296746</v>
      </c>
      <c r="N21" s="94">
        <f t="shared" si="6"/>
        <v>290018.4000005605</v>
      </c>
      <c r="O21" s="108">
        <f t="shared" si="7"/>
        <v>9032001.600000618</v>
      </c>
      <c r="P21" s="111">
        <f t="shared" si="8"/>
        <v>8060.0000000006276</v>
      </c>
      <c r="Q21" s="193"/>
      <c r="R21" s="204"/>
      <c r="S21" s="217"/>
      <c r="T21" s="214"/>
      <c r="U21" s="212">
        <v>0</v>
      </c>
      <c r="V21" s="190">
        <f t="shared" si="9"/>
        <v>194.02</v>
      </c>
      <c r="W21" s="3">
        <v>0</v>
      </c>
      <c r="X21" s="3">
        <v>0</v>
      </c>
      <c r="Y21" s="33">
        <v>194.02</v>
      </c>
      <c r="Z21" s="33">
        <v>823649.82360000012</v>
      </c>
      <c r="AA21" s="33">
        <f t="shared" si="0"/>
        <v>823649.82360000012</v>
      </c>
      <c r="AB21" s="128">
        <f t="shared" si="1"/>
        <v>63.474422850026478</v>
      </c>
      <c r="AC21" s="134">
        <v>0</v>
      </c>
      <c r="AD21" s="3">
        <v>0</v>
      </c>
      <c r="AE21" s="3">
        <v>0</v>
      </c>
      <c r="AF21" s="3">
        <v>0</v>
      </c>
      <c r="AG21" s="3">
        <f t="shared" si="2"/>
        <v>0</v>
      </c>
      <c r="AH21" s="3">
        <v>0</v>
      </c>
      <c r="AI21" s="43">
        <f t="shared" si="3"/>
        <v>0</v>
      </c>
      <c r="AJ21" s="142">
        <v>146.80999999999767</v>
      </c>
      <c r="AK21" s="3">
        <v>1115755.9999999823</v>
      </c>
      <c r="AL21" s="39">
        <f t="shared" si="4"/>
        <v>85.985531851272782</v>
      </c>
      <c r="AM21" s="7"/>
    </row>
    <row r="22" spans="1:39" x14ac:dyDescent="0.25">
      <c r="A22" s="35"/>
      <c r="B22" s="58">
        <v>11</v>
      </c>
      <c r="C22" s="149"/>
      <c r="D22" s="151"/>
      <c r="E22" s="106">
        <v>6319.999999999709</v>
      </c>
      <c r="F22" s="3">
        <v>6546129.5999996988</v>
      </c>
      <c r="G22" s="37">
        <v>1200.0000000002728</v>
      </c>
      <c r="H22" s="3">
        <v>1864404.000000424</v>
      </c>
      <c r="I22" s="103">
        <f t="shared" si="5"/>
        <v>8410533.6000001226</v>
      </c>
      <c r="J22" s="106">
        <v>199.9999999998181</v>
      </c>
      <c r="K22" s="3">
        <v>207155.99999981158</v>
      </c>
      <c r="L22" s="188">
        <v>39.99999999996362</v>
      </c>
      <c r="M22" s="189">
        <v>62146.799999943483</v>
      </c>
      <c r="N22" s="94">
        <f t="shared" si="6"/>
        <v>269302.79999975505</v>
      </c>
      <c r="O22" s="108">
        <f t="shared" si="7"/>
        <v>8679836.3999998774</v>
      </c>
      <c r="P22" s="111">
        <f t="shared" si="8"/>
        <v>7759.9999999997635</v>
      </c>
      <c r="Q22" s="193"/>
      <c r="R22" s="204"/>
      <c r="S22" s="217"/>
      <c r="T22" s="214"/>
      <c r="U22" s="212">
        <v>0</v>
      </c>
      <c r="V22" s="190">
        <f t="shared" si="9"/>
        <v>1.78</v>
      </c>
      <c r="W22" s="3">
        <v>0</v>
      </c>
      <c r="X22" s="3">
        <v>0</v>
      </c>
      <c r="Y22" s="33">
        <v>1.78</v>
      </c>
      <c r="Z22" s="33">
        <v>7556.4204000000009</v>
      </c>
      <c r="AA22" s="33">
        <f t="shared" si="0"/>
        <v>7556.4204000000009</v>
      </c>
      <c r="AB22" s="128">
        <f t="shared" si="1"/>
        <v>0.5823341545873989</v>
      </c>
      <c r="AC22" s="134">
        <v>0</v>
      </c>
      <c r="AD22" s="3">
        <v>0</v>
      </c>
      <c r="AE22" s="3">
        <v>0</v>
      </c>
      <c r="AF22" s="3">
        <v>0</v>
      </c>
      <c r="AG22" s="3">
        <f t="shared" si="2"/>
        <v>0</v>
      </c>
      <c r="AH22" s="3">
        <v>0</v>
      </c>
      <c r="AI22" s="43">
        <f t="shared" si="3"/>
        <v>0</v>
      </c>
      <c r="AJ22" s="142">
        <v>0</v>
      </c>
      <c r="AK22" s="3">
        <v>0</v>
      </c>
      <c r="AL22" s="39">
        <f t="shared" si="4"/>
        <v>0</v>
      </c>
      <c r="AM22" s="7"/>
    </row>
    <row r="23" spans="1:39" x14ac:dyDescent="0.25">
      <c r="A23" s="35"/>
      <c r="B23" s="58">
        <v>12</v>
      </c>
      <c r="C23" s="149"/>
      <c r="D23" s="151"/>
      <c r="E23" s="106">
        <v>6399.9999999996362</v>
      </c>
      <c r="F23" s="3">
        <v>6628991.9999996228</v>
      </c>
      <c r="G23" s="37">
        <v>1279.9999999997453</v>
      </c>
      <c r="H23" s="3">
        <v>1988697.5999996045</v>
      </c>
      <c r="I23" s="103">
        <f t="shared" si="5"/>
        <v>8617689.5999992266</v>
      </c>
      <c r="J23" s="106">
        <v>199.9999999998181</v>
      </c>
      <c r="K23" s="3">
        <v>207155.99999981158</v>
      </c>
      <c r="L23" s="188">
        <v>39.99999999996362</v>
      </c>
      <c r="M23" s="189">
        <v>62146.799999943483</v>
      </c>
      <c r="N23" s="94">
        <f t="shared" si="6"/>
        <v>269302.79999975505</v>
      </c>
      <c r="O23" s="108">
        <f t="shared" si="7"/>
        <v>8886992.3999989815</v>
      </c>
      <c r="P23" s="111">
        <f t="shared" si="8"/>
        <v>7919.9999999991633</v>
      </c>
      <c r="Q23" s="193"/>
      <c r="R23" s="204"/>
      <c r="S23" s="217"/>
      <c r="T23" s="214"/>
      <c r="U23" s="212">
        <v>0</v>
      </c>
      <c r="V23" s="190">
        <f t="shared" si="9"/>
        <v>0</v>
      </c>
      <c r="W23" s="3">
        <v>0</v>
      </c>
      <c r="X23" s="3">
        <v>0</v>
      </c>
      <c r="Y23" s="33">
        <v>0</v>
      </c>
      <c r="Z23" s="33">
        <v>0</v>
      </c>
      <c r="AA23" s="33">
        <f t="shared" si="0"/>
        <v>0</v>
      </c>
      <c r="AB23" s="128">
        <f t="shared" si="1"/>
        <v>0</v>
      </c>
      <c r="AC23" s="134">
        <v>0</v>
      </c>
      <c r="AD23" s="3">
        <v>0</v>
      </c>
      <c r="AE23" s="3">
        <v>0</v>
      </c>
      <c r="AF23" s="3">
        <v>0</v>
      </c>
      <c r="AG23" s="3">
        <f t="shared" si="2"/>
        <v>0</v>
      </c>
      <c r="AH23" s="3">
        <v>0</v>
      </c>
      <c r="AI23" s="43">
        <f t="shared" si="3"/>
        <v>0</v>
      </c>
      <c r="AJ23" s="142">
        <v>0</v>
      </c>
      <c r="AK23" s="3">
        <v>0</v>
      </c>
      <c r="AL23" s="39">
        <f t="shared" si="4"/>
        <v>0</v>
      </c>
      <c r="AM23" s="7"/>
    </row>
    <row r="24" spans="1:39" x14ac:dyDescent="0.25">
      <c r="A24" s="35"/>
      <c r="B24" s="58">
        <v>13</v>
      </c>
      <c r="C24" s="149"/>
      <c r="D24" s="151"/>
      <c r="E24" s="106">
        <v>6480.0000000013824</v>
      </c>
      <c r="F24" s="3">
        <v>6711854.4000014318</v>
      </c>
      <c r="G24" s="37">
        <v>1240.0000000002365</v>
      </c>
      <c r="H24" s="3">
        <v>1926550.8000003675</v>
      </c>
      <c r="I24" s="103">
        <f t="shared" si="5"/>
        <v>8638405.2000017986</v>
      </c>
      <c r="J24" s="106">
        <v>180.00000000029104</v>
      </c>
      <c r="K24" s="3">
        <v>186440.40000030145</v>
      </c>
      <c r="L24" s="188">
        <v>39.99999999996362</v>
      </c>
      <c r="M24" s="189">
        <v>62146.799999943483</v>
      </c>
      <c r="N24" s="94">
        <f t="shared" si="6"/>
        <v>248587.20000024495</v>
      </c>
      <c r="O24" s="108">
        <f t="shared" si="7"/>
        <v>8886992.4000020437</v>
      </c>
      <c r="P24" s="111">
        <f t="shared" si="8"/>
        <v>7940.0000000018736</v>
      </c>
      <c r="Q24" s="193"/>
      <c r="R24" s="204"/>
      <c r="S24" s="217"/>
      <c r="T24" s="214"/>
      <c r="U24" s="212">
        <v>0</v>
      </c>
      <c r="V24" s="190">
        <f>Y24+W24</f>
        <v>466.36</v>
      </c>
      <c r="W24" s="3">
        <v>0</v>
      </c>
      <c r="X24" s="3">
        <v>0</v>
      </c>
      <c r="Y24" s="33">
        <v>466.36</v>
      </c>
      <c r="Z24" s="33">
        <v>1979782.1448000001</v>
      </c>
      <c r="AA24" s="33">
        <f t="shared" si="0"/>
        <v>1979782.1448000001</v>
      </c>
      <c r="AB24" s="128">
        <f t="shared" si="1"/>
        <v>152.57154850189849</v>
      </c>
      <c r="AC24" s="134">
        <v>0</v>
      </c>
      <c r="AD24" s="3">
        <v>0</v>
      </c>
      <c r="AE24" s="3">
        <v>0</v>
      </c>
      <c r="AF24" s="3">
        <v>0</v>
      </c>
      <c r="AG24" s="3">
        <f t="shared" si="2"/>
        <v>0</v>
      </c>
      <c r="AH24" s="3">
        <v>0</v>
      </c>
      <c r="AI24" s="43">
        <f t="shared" si="3"/>
        <v>0</v>
      </c>
      <c r="AJ24" s="142">
        <v>126.08000000000175</v>
      </c>
      <c r="AK24" s="3">
        <v>958208.00000001327</v>
      </c>
      <c r="AL24" s="39">
        <f t="shared" si="4"/>
        <v>73.844124077438835</v>
      </c>
      <c r="AM24" s="7"/>
    </row>
    <row r="25" spans="1:39" x14ac:dyDescent="0.25">
      <c r="A25" s="35"/>
      <c r="B25" s="58">
        <v>14</v>
      </c>
      <c r="C25" s="149"/>
      <c r="D25" s="151"/>
      <c r="E25" s="106">
        <v>6519.9999999986176</v>
      </c>
      <c r="F25" s="3">
        <v>6753285.5999985682</v>
      </c>
      <c r="G25" s="37">
        <v>1279.9999999997453</v>
      </c>
      <c r="H25" s="3">
        <v>1988697.5999996045</v>
      </c>
      <c r="I25" s="103">
        <f t="shared" si="5"/>
        <v>8741983.199998172</v>
      </c>
      <c r="J25" s="106">
        <v>199.9999999998181</v>
      </c>
      <c r="K25" s="3">
        <v>207155.99999981158</v>
      </c>
      <c r="L25" s="188">
        <v>19.99999999998181</v>
      </c>
      <c r="M25" s="189">
        <v>31073.399999971742</v>
      </c>
      <c r="N25" s="94">
        <f t="shared" si="6"/>
        <v>238229.39999978332</v>
      </c>
      <c r="O25" s="108">
        <f t="shared" si="7"/>
        <v>8980212.5999979544</v>
      </c>
      <c r="P25" s="111">
        <f t="shared" si="8"/>
        <v>8019.9999999981628</v>
      </c>
      <c r="Q25" s="193"/>
      <c r="R25" s="204"/>
      <c r="S25" s="217"/>
      <c r="T25" s="214"/>
      <c r="U25" s="212">
        <v>0</v>
      </c>
      <c r="V25" s="190">
        <f t="shared" si="9"/>
        <v>276.79000000000002</v>
      </c>
      <c r="W25" s="3">
        <v>0</v>
      </c>
      <c r="X25" s="3">
        <v>0</v>
      </c>
      <c r="Y25" s="33">
        <v>276.79000000000002</v>
      </c>
      <c r="Z25" s="33">
        <v>1175023.3722000001</v>
      </c>
      <c r="AA25" s="33">
        <f t="shared" si="0"/>
        <v>1175023.3722000001</v>
      </c>
      <c r="AB25" s="128">
        <f t="shared" si="1"/>
        <v>90.552961038340527</v>
      </c>
      <c r="AC25" s="134">
        <v>0</v>
      </c>
      <c r="AD25" s="3">
        <v>0</v>
      </c>
      <c r="AE25" s="3">
        <v>0</v>
      </c>
      <c r="AF25" s="3">
        <v>0</v>
      </c>
      <c r="AG25" s="3">
        <f t="shared" si="2"/>
        <v>0</v>
      </c>
      <c r="AH25" s="3">
        <v>0</v>
      </c>
      <c r="AI25" s="43">
        <f t="shared" si="3"/>
        <v>0</v>
      </c>
      <c r="AJ25" s="142">
        <v>0</v>
      </c>
      <c r="AK25" s="3">
        <v>0</v>
      </c>
      <c r="AL25" s="39">
        <f t="shared" si="4"/>
        <v>0</v>
      </c>
      <c r="AM25" s="7"/>
    </row>
    <row r="26" spans="1:39" x14ac:dyDescent="0.25">
      <c r="A26" s="35"/>
      <c r="B26" s="58">
        <v>15</v>
      </c>
      <c r="C26" s="149"/>
      <c r="D26" s="151"/>
      <c r="E26" s="106">
        <v>7520.0000000004366</v>
      </c>
      <c r="F26" s="3">
        <v>7789065.6000004523</v>
      </c>
      <c r="G26" s="37">
        <v>1280.0000000002001</v>
      </c>
      <c r="H26" s="3">
        <v>1988697.6000003109</v>
      </c>
      <c r="I26" s="103">
        <f t="shared" si="5"/>
        <v>9777763.2000007629</v>
      </c>
      <c r="J26" s="106">
        <v>180.00000000029104</v>
      </c>
      <c r="K26" s="3">
        <v>186440.40000030145</v>
      </c>
      <c r="L26" s="188">
        <v>39.99999999996362</v>
      </c>
      <c r="M26" s="189">
        <v>62146.799999943483</v>
      </c>
      <c r="N26" s="94">
        <f t="shared" si="6"/>
        <v>248587.20000024495</v>
      </c>
      <c r="O26" s="108">
        <f t="shared" si="7"/>
        <v>10026350.400001008</v>
      </c>
      <c r="P26" s="111">
        <f t="shared" si="8"/>
        <v>9020.0000000008913</v>
      </c>
      <c r="Q26" s="193"/>
      <c r="R26" s="204"/>
      <c r="S26" s="217"/>
      <c r="T26" s="214"/>
      <c r="U26" s="212">
        <v>0</v>
      </c>
      <c r="V26" s="190">
        <f t="shared" si="9"/>
        <v>261.66000000000003</v>
      </c>
      <c r="W26" s="3">
        <v>0</v>
      </c>
      <c r="X26" s="3">
        <v>0</v>
      </c>
      <c r="Y26" s="33">
        <v>261.66000000000003</v>
      </c>
      <c r="Z26" s="33">
        <v>1110793.7988000002</v>
      </c>
      <c r="AA26" s="33">
        <f t="shared" si="0"/>
        <v>1110793.7988000002</v>
      </c>
      <c r="AB26" s="128">
        <f t="shared" si="1"/>
        <v>85.603120724347647</v>
      </c>
      <c r="AC26" s="134">
        <v>0</v>
      </c>
      <c r="AD26" s="3">
        <v>0</v>
      </c>
      <c r="AE26" s="3">
        <v>0</v>
      </c>
      <c r="AF26" s="3">
        <v>0</v>
      </c>
      <c r="AG26" s="3">
        <f t="shared" si="2"/>
        <v>0</v>
      </c>
      <c r="AH26" s="3">
        <v>0</v>
      </c>
      <c r="AI26" s="43">
        <f t="shared" si="3"/>
        <v>0</v>
      </c>
      <c r="AJ26" s="142">
        <v>221.40999999997439</v>
      </c>
      <c r="AK26" s="3">
        <v>1682715.9999998054</v>
      </c>
      <c r="AL26" s="39">
        <f t="shared" si="4"/>
        <v>129.67820044403248</v>
      </c>
      <c r="AM26" s="7"/>
    </row>
    <row r="27" spans="1:39" x14ac:dyDescent="0.25">
      <c r="A27" s="35"/>
      <c r="B27" s="58">
        <v>16</v>
      </c>
      <c r="C27" s="149"/>
      <c r="D27" s="151"/>
      <c r="E27" s="106">
        <v>6840.0000000001455</v>
      </c>
      <c r="F27" s="3">
        <v>7084735.2000001501</v>
      </c>
      <c r="G27" s="37">
        <v>1199.9999999998181</v>
      </c>
      <c r="H27" s="3">
        <v>1864403.9999997176</v>
      </c>
      <c r="I27" s="103">
        <f t="shared" si="5"/>
        <v>8949139.199999867</v>
      </c>
      <c r="J27" s="106">
        <v>180.00000000029104</v>
      </c>
      <c r="K27" s="3">
        <v>186440.40000030145</v>
      </c>
      <c r="L27" s="188">
        <v>59.99999999994543</v>
      </c>
      <c r="M27" s="189">
        <v>93220.199999915218</v>
      </c>
      <c r="N27" s="94">
        <f t="shared" si="6"/>
        <v>279660.60000021668</v>
      </c>
      <c r="O27" s="108">
        <f t="shared" si="7"/>
        <v>9228799.8000000846</v>
      </c>
      <c r="P27" s="111">
        <f t="shared" si="8"/>
        <v>8280.0000000002001</v>
      </c>
      <c r="Q27" s="193"/>
      <c r="R27" s="204"/>
      <c r="S27" s="217"/>
      <c r="T27" s="214"/>
      <c r="U27" s="212">
        <v>0</v>
      </c>
      <c r="V27" s="190">
        <f t="shared" si="9"/>
        <v>210.93</v>
      </c>
      <c r="W27" s="3">
        <v>0</v>
      </c>
      <c r="X27" s="3">
        <v>0</v>
      </c>
      <c r="Y27" s="33">
        <v>210.93</v>
      </c>
      <c r="Z27" s="33">
        <v>895435.81740000006</v>
      </c>
      <c r="AA27" s="33">
        <f t="shared" si="0"/>
        <v>895435.81740000006</v>
      </c>
      <c r="AB27" s="128">
        <f t="shared" si="1"/>
        <v>69.006597318606765</v>
      </c>
      <c r="AC27" s="134">
        <v>0</v>
      </c>
      <c r="AD27" s="3">
        <v>0</v>
      </c>
      <c r="AE27" s="3">
        <v>0</v>
      </c>
      <c r="AF27" s="3">
        <v>0</v>
      </c>
      <c r="AG27" s="3">
        <f t="shared" si="2"/>
        <v>0</v>
      </c>
      <c r="AH27" s="3">
        <v>0</v>
      </c>
      <c r="AI27" s="43">
        <f t="shared" si="3"/>
        <v>0</v>
      </c>
      <c r="AJ27" s="142">
        <v>0</v>
      </c>
      <c r="AK27" s="3">
        <v>0</v>
      </c>
      <c r="AL27" s="39">
        <f t="shared" si="4"/>
        <v>0</v>
      </c>
      <c r="AM27" s="7"/>
    </row>
    <row r="28" spans="1:39" x14ac:dyDescent="0.25">
      <c r="A28" s="35"/>
      <c r="B28" s="58">
        <v>17</v>
      </c>
      <c r="C28" s="149"/>
      <c r="D28" s="151"/>
      <c r="E28" s="106">
        <v>7000</v>
      </c>
      <c r="F28" s="3">
        <v>7250460</v>
      </c>
      <c r="G28" s="37">
        <v>1240.0000000002365</v>
      </c>
      <c r="H28" s="3">
        <v>1926550.8000003675</v>
      </c>
      <c r="I28" s="103">
        <f t="shared" si="5"/>
        <v>9177010.8000003677</v>
      </c>
      <c r="J28" s="106">
        <v>199.9999999998181</v>
      </c>
      <c r="K28" s="3">
        <v>207155.99999981158</v>
      </c>
      <c r="L28" s="188">
        <v>40.000000000190994</v>
      </c>
      <c r="M28" s="189">
        <v>62146.800000296746</v>
      </c>
      <c r="N28" s="94">
        <f t="shared" si="6"/>
        <v>269302.80000010831</v>
      </c>
      <c r="O28" s="108">
        <f t="shared" si="7"/>
        <v>9446313.6000004765</v>
      </c>
      <c r="P28" s="111">
        <f t="shared" si="8"/>
        <v>8480.0000000002456</v>
      </c>
      <c r="Q28" s="193"/>
      <c r="R28" s="206"/>
      <c r="S28" s="217"/>
      <c r="T28" s="214"/>
      <c r="U28" s="212">
        <v>0</v>
      </c>
      <c r="V28" s="190">
        <f t="shared" si="9"/>
        <v>231.4</v>
      </c>
      <c r="W28" s="3">
        <v>0</v>
      </c>
      <c r="X28" s="3">
        <v>0</v>
      </c>
      <c r="Y28" s="33">
        <v>231.4</v>
      </c>
      <c r="Z28" s="33">
        <v>982334.65200000012</v>
      </c>
      <c r="AA28" s="33">
        <f t="shared" si="0"/>
        <v>982334.65200000012</v>
      </c>
      <c r="AB28" s="128">
        <f t="shared" si="1"/>
        <v>75.703440096361859</v>
      </c>
      <c r="AC28" s="134">
        <v>0</v>
      </c>
      <c r="AD28" s="3">
        <v>0</v>
      </c>
      <c r="AE28" s="3">
        <v>0</v>
      </c>
      <c r="AF28" s="3">
        <v>0</v>
      </c>
      <c r="AG28" s="3">
        <f t="shared" si="2"/>
        <v>0</v>
      </c>
      <c r="AH28" s="3">
        <v>0</v>
      </c>
      <c r="AI28" s="43">
        <f t="shared" si="3"/>
        <v>0</v>
      </c>
      <c r="AJ28" s="142">
        <v>124.04999999998836</v>
      </c>
      <c r="AK28" s="3">
        <v>942779.99999991152</v>
      </c>
      <c r="AL28" s="39">
        <f t="shared" si="4"/>
        <v>72.655168082212086</v>
      </c>
      <c r="AM28" s="7"/>
    </row>
    <row r="29" spans="1:39" x14ac:dyDescent="0.25">
      <c r="A29" s="35"/>
      <c r="B29" s="58">
        <v>18</v>
      </c>
      <c r="C29" s="149"/>
      <c r="D29" s="151"/>
      <c r="E29" s="106">
        <v>6920.0000000000728</v>
      </c>
      <c r="F29" s="3">
        <v>7167597.6000000751</v>
      </c>
      <c r="G29" s="37">
        <v>1159.9999999998545</v>
      </c>
      <c r="H29" s="3">
        <v>1802257.1999997741</v>
      </c>
      <c r="I29" s="103">
        <f t="shared" si="5"/>
        <v>8969854.7999998499</v>
      </c>
      <c r="J29" s="106">
        <v>199.9999999998181</v>
      </c>
      <c r="K29" s="3">
        <v>207155.99999981158</v>
      </c>
      <c r="L29" s="188">
        <v>19.99999999998181</v>
      </c>
      <c r="M29" s="189">
        <v>31073.399999971742</v>
      </c>
      <c r="N29" s="94">
        <f t="shared" si="6"/>
        <v>238229.39999978332</v>
      </c>
      <c r="O29" s="108">
        <f t="shared" si="7"/>
        <v>9208084.1999996323</v>
      </c>
      <c r="P29" s="111">
        <f t="shared" si="8"/>
        <v>8299.9999999997272</v>
      </c>
      <c r="Q29" s="194"/>
      <c r="R29" s="207"/>
      <c r="S29" s="217"/>
      <c r="T29" s="214"/>
      <c r="U29" s="212">
        <v>0</v>
      </c>
      <c r="V29" s="190">
        <f t="shared" si="9"/>
        <v>275.01</v>
      </c>
      <c r="W29" s="3">
        <v>0</v>
      </c>
      <c r="X29" s="3">
        <v>0</v>
      </c>
      <c r="Y29" s="33">
        <v>275.01</v>
      </c>
      <c r="Z29" s="33">
        <v>1167466.9518000002</v>
      </c>
      <c r="AA29" s="33">
        <f t="shared" si="0"/>
        <v>1167466.9518000002</v>
      </c>
      <c r="AB29" s="128">
        <f t="shared" si="1"/>
        <v>89.970626883753127</v>
      </c>
      <c r="AC29" s="134">
        <v>0</v>
      </c>
      <c r="AD29" s="3">
        <v>0</v>
      </c>
      <c r="AE29" s="3">
        <v>0</v>
      </c>
      <c r="AF29" s="3">
        <v>0</v>
      </c>
      <c r="AG29" s="3">
        <f t="shared" si="2"/>
        <v>0</v>
      </c>
      <c r="AH29" s="3">
        <v>0</v>
      </c>
      <c r="AI29" s="43">
        <f t="shared" si="3"/>
        <v>0</v>
      </c>
      <c r="AJ29" s="142">
        <v>0</v>
      </c>
      <c r="AK29" s="3">
        <v>0</v>
      </c>
      <c r="AL29" s="39">
        <f t="shared" si="4"/>
        <v>0</v>
      </c>
      <c r="AM29" s="7"/>
    </row>
    <row r="30" spans="1:39" x14ac:dyDescent="0.25">
      <c r="A30" s="35"/>
      <c r="B30" s="58">
        <v>19</v>
      </c>
      <c r="C30" s="149"/>
      <c r="D30" s="151"/>
      <c r="E30" s="106">
        <v>5760.0000000002183</v>
      </c>
      <c r="F30" s="3">
        <v>5966092.8000002261</v>
      </c>
      <c r="G30" s="37">
        <v>1200.0000000002728</v>
      </c>
      <c r="H30" s="3">
        <v>1864404.000000424</v>
      </c>
      <c r="I30" s="103">
        <f t="shared" si="5"/>
        <v>7830496.8000006499</v>
      </c>
      <c r="J30" s="106">
        <v>180.00000000029104</v>
      </c>
      <c r="K30" s="3">
        <v>186440.40000030145</v>
      </c>
      <c r="L30" s="188">
        <v>39.99999999996362</v>
      </c>
      <c r="M30" s="189">
        <v>62146.799999943483</v>
      </c>
      <c r="N30" s="94">
        <f t="shared" si="6"/>
        <v>248587.20000024495</v>
      </c>
      <c r="O30" s="108">
        <f t="shared" si="7"/>
        <v>8079084.000000895</v>
      </c>
      <c r="P30" s="111">
        <f t="shared" si="8"/>
        <v>7180.0000000007458</v>
      </c>
      <c r="Q30" s="193"/>
      <c r="R30" s="206"/>
      <c r="S30" s="217"/>
      <c r="T30" s="214"/>
      <c r="U30" s="212">
        <v>0</v>
      </c>
      <c r="V30" s="190">
        <f t="shared" si="9"/>
        <v>268.78000000000003</v>
      </c>
      <c r="W30" s="3">
        <v>0</v>
      </c>
      <c r="X30" s="3">
        <v>0</v>
      </c>
      <c r="Y30" s="33">
        <v>268.78000000000003</v>
      </c>
      <c r="Z30" s="33">
        <v>1141019.4804000002</v>
      </c>
      <c r="AA30" s="33">
        <f t="shared" si="0"/>
        <v>1141019.4804000002</v>
      </c>
      <c r="AB30" s="128">
        <f t="shared" si="1"/>
        <v>87.932457342697234</v>
      </c>
      <c r="AC30" s="134">
        <v>0</v>
      </c>
      <c r="AD30" s="3">
        <v>0</v>
      </c>
      <c r="AE30" s="3">
        <v>0</v>
      </c>
      <c r="AF30" s="3">
        <v>0</v>
      </c>
      <c r="AG30" s="3">
        <f t="shared" si="2"/>
        <v>0</v>
      </c>
      <c r="AH30" s="3">
        <v>0</v>
      </c>
      <c r="AI30" s="43">
        <f t="shared" si="3"/>
        <v>0</v>
      </c>
      <c r="AJ30" s="142">
        <v>0</v>
      </c>
      <c r="AK30" s="3">
        <v>0</v>
      </c>
      <c r="AL30" s="39">
        <f t="shared" si="4"/>
        <v>0</v>
      </c>
      <c r="AM30" s="7"/>
    </row>
    <row r="31" spans="1:39" x14ac:dyDescent="0.25">
      <c r="A31" s="35"/>
      <c r="B31" s="58">
        <v>20</v>
      </c>
      <c r="C31" s="149"/>
      <c r="D31" s="151"/>
      <c r="E31" s="106">
        <v>7000</v>
      </c>
      <c r="F31" s="3">
        <v>7250460</v>
      </c>
      <c r="G31" s="37">
        <v>1279.9999999997453</v>
      </c>
      <c r="H31" s="3">
        <v>1988697.5999996045</v>
      </c>
      <c r="I31" s="103">
        <f t="shared" si="5"/>
        <v>9239157.5999996047</v>
      </c>
      <c r="J31" s="106">
        <v>159.99999999985448</v>
      </c>
      <c r="K31" s="3">
        <v>165724.79999984926</v>
      </c>
      <c r="L31" s="188">
        <v>39.99999999996362</v>
      </c>
      <c r="M31" s="189">
        <v>62146.799999943483</v>
      </c>
      <c r="N31" s="94">
        <f t="shared" si="6"/>
        <v>227871.59999979276</v>
      </c>
      <c r="O31" s="108">
        <f t="shared" si="7"/>
        <v>9467029.1999993976</v>
      </c>
      <c r="P31" s="111">
        <f t="shared" si="8"/>
        <v>8479.9999999995634</v>
      </c>
      <c r="Q31" s="194"/>
      <c r="R31" s="207"/>
      <c r="S31" s="217"/>
      <c r="T31" s="214"/>
      <c r="U31" s="212">
        <v>0</v>
      </c>
      <c r="V31" s="190">
        <f t="shared" si="9"/>
        <v>202.03</v>
      </c>
      <c r="W31" s="3">
        <v>0</v>
      </c>
      <c r="X31" s="3">
        <v>0</v>
      </c>
      <c r="Y31" s="33">
        <v>202.03</v>
      </c>
      <c r="Z31" s="33">
        <v>857653.7154000001</v>
      </c>
      <c r="AA31" s="33">
        <f t="shared" si="0"/>
        <v>857653.7154000001</v>
      </c>
      <c r="AB31" s="128">
        <f t="shared" si="1"/>
        <v>66.094926545669779</v>
      </c>
      <c r="AC31" s="134">
        <v>0</v>
      </c>
      <c r="AD31" s="3">
        <v>0</v>
      </c>
      <c r="AE31" s="3">
        <v>0</v>
      </c>
      <c r="AF31" s="3">
        <v>0</v>
      </c>
      <c r="AG31" s="3">
        <f t="shared" si="2"/>
        <v>0</v>
      </c>
      <c r="AH31" s="3">
        <v>0</v>
      </c>
      <c r="AI31" s="43">
        <f t="shared" si="3"/>
        <v>0</v>
      </c>
      <c r="AJ31" s="142">
        <v>547.7200000000139</v>
      </c>
      <c r="AK31" s="3">
        <v>4162672.0000001057</v>
      </c>
      <c r="AL31" s="39">
        <f t="shared" si="4"/>
        <v>320.79555551788758</v>
      </c>
      <c r="AM31" s="7"/>
    </row>
    <row r="32" spans="1:39" x14ac:dyDescent="0.25">
      <c r="A32" s="35"/>
      <c r="B32" s="58">
        <v>21</v>
      </c>
      <c r="C32" s="149"/>
      <c r="D32" s="151"/>
      <c r="E32" s="106">
        <v>6959.9999999991269</v>
      </c>
      <c r="F32" s="3">
        <v>7209028.7999990955</v>
      </c>
      <c r="G32" s="37">
        <v>1199.9999999998181</v>
      </c>
      <c r="H32" s="3">
        <v>1864403.9999997176</v>
      </c>
      <c r="I32" s="103">
        <f t="shared" si="5"/>
        <v>9073432.7999988124</v>
      </c>
      <c r="J32" s="106">
        <v>199.9999999998181</v>
      </c>
      <c r="K32" s="3">
        <v>207155.99999981158</v>
      </c>
      <c r="L32" s="188">
        <v>39.99999999996362</v>
      </c>
      <c r="M32" s="189">
        <v>62146.799999943483</v>
      </c>
      <c r="N32" s="94">
        <f>+K32+M32</f>
        <v>269302.79999975505</v>
      </c>
      <c r="O32" s="108">
        <f t="shared" si="7"/>
        <v>9342735.5999985673</v>
      </c>
      <c r="P32" s="111">
        <f t="shared" si="8"/>
        <v>8399.9999999987267</v>
      </c>
      <c r="Q32" s="193"/>
      <c r="R32" s="205"/>
      <c r="S32" s="217"/>
      <c r="T32" s="214"/>
      <c r="U32" s="212">
        <v>0</v>
      </c>
      <c r="V32" s="190">
        <f t="shared" si="9"/>
        <v>0</v>
      </c>
      <c r="W32" s="3">
        <v>0</v>
      </c>
      <c r="X32" s="3">
        <v>0</v>
      </c>
      <c r="Y32" s="33">
        <v>0</v>
      </c>
      <c r="Z32" s="33">
        <v>0</v>
      </c>
      <c r="AA32" s="33">
        <f t="shared" si="0"/>
        <v>0</v>
      </c>
      <c r="AB32" s="128">
        <f t="shared" si="1"/>
        <v>0</v>
      </c>
      <c r="AC32" s="134">
        <v>0</v>
      </c>
      <c r="AD32" s="3">
        <v>0</v>
      </c>
      <c r="AE32" s="3">
        <v>0</v>
      </c>
      <c r="AF32" s="3">
        <v>48</v>
      </c>
      <c r="AG32" s="3">
        <f t="shared" ref="AG32:AG40" si="10">+AE32+AF32</f>
        <v>48</v>
      </c>
      <c r="AH32" s="3">
        <v>558000</v>
      </c>
      <c r="AI32" s="43">
        <f t="shared" si="3"/>
        <v>43.002167833299552</v>
      </c>
      <c r="AJ32" s="142">
        <v>0</v>
      </c>
      <c r="AK32" s="3">
        <v>0</v>
      </c>
      <c r="AL32" s="39">
        <f t="shared" si="4"/>
        <v>0</v>
      </c>
      <c r="AM32" s="7"/>
    </row>
    <row r="33" spans="1:39" x14ac:dyDescent="0.25">
      <c r="A33" s="35"/>
      <c r="B33" s="58">
        <v>22</v>
      </c>
      <c r="C33" s="149"/>
      <c r="D33" s="151"/>
      <c r="E33" s="106">
        <v>6800.0000000010914</v>
      </c>
      <c r="F33" s="3">
        <v>7043304.0000011306</v>
      </c>
      <c r="G33" s="37">
        <v>1160.0000000003092</v>
      </c>
      <c r="H33" s="3">
        <v>1802257.2000004805</v>
      </c>
      <c r="I33" s="103">
        <f t="shared" si="5"/>
        <v>8845561.2000016104</v>
      </c>
      <c r="J33" s="106">
        <v>180.00000000029104</v>
      </c>
      <c r="K33" s="3">
        <v>186440.40000030145</v>
      </c>
      <c r="L33" s="188">
        <v>39.99999999996362</v>
      </c>
      <c r="M33" s="189">
        <v>62146.799999943483</v>
      </c>
      <c r="N33" s="94">
        <f t="shared" si="6"/>
        <v>248587.20000024495</v>
      </c>
      <c r="O33" s="108">
        <f t="shared" si="7"/>
        <v>9094148.4000018556</v>
      </c>
      <c r="P33" s="111">
        <f t="shared" si="8"/>
        <v>8180.0000000016553</v>
      </c>
      <c r="Q33" s="193"/>
      <c r="R33" s="206"/>
      <c r="S33" s="217"/>
      <c r="T33" s="214"/>
      <c r="U33" s="212">
        <v>0</v>
      </c>
      <c r="V33" s="190">
        <f t="shared" si="9"/>
        <v>0</v>
      </c>
      <c r="W33" s="3">
        <v>0</v>
      </c>
      <c r="X33" s="3">
        <v>0</v>
      </c>
      <c r="Y33" s="33">
        <v>0</v>
      </c>
      <c r="Z33" s="33">
        <v>0</v>
      </c>
      <c r="AA33" s="33">
        <f t="shared" si="0"/>
        <v>0</v>
      </c>
      <c r="AB33" s="128">
        <f t="shared" si="1"/>
        <v>0</v>
      </c>
      <c r="AC33" s="134">
        <v>0</v>
      </c>
      <c r="AD33" s="3">
        <v>0</v>
      </c>
      <c r="AE33" s="3">
        <v>0</v>
      </c>
      <c r="AF33" s="3">
        <v>0</v>
      </c>
      <c r="AG33" s="3">
        <f t="shared" si="10"/>
        <v>0</v>
      </c>
      <c r="AH33" s="3">
        <v>0</v>
      </c>
      <c r="AI33" s="43">
        <f t="shared" si="3"/>
        <v>0</v>
      </c>
      <c r="AJ33" s="142">
        <v>0</v>
      </c>
      <c r="AK33" s="3">
        <v>0</v>
      </c>
      <c r="AL33" s="39">
        <f t="shared" si="4"/>
        <v>0</v>
      </c>
      <c r="AM33" s="7"/>
    </row>
    <row r="34" spans="1:39" x14ac:dyDescent="0.25">
      <c r="A34" s="35"/>
      <c r="B34" s="58">
        <v>23</v>
      </c>
      <c r="C34" s="149"/>
      <c r="D34" s="151"/>
      <c r="E34" s="106">
        <v>6879.9999999991996</v>
      </c>
      <c r="F34" s="3">
        <v>7126166.3999991706</v>
      </c>
      <c r="G34" s="37">
        <v>1279.9999999997453</v>
      </c>
      <c r="H34" s="3">
        <v>1988697.5999996045</v>
      </c>
      <c r="I34" s="103">
        <f t="shared" si="5"/>
        <v>9114863.9999987744</v>
      </c>
      <c r="J34" s="106">
        <v>199.9999999998181</v>
      </c>
      <c r="K34" s="3">
        <v>207155.99999981158</v>
      </c>
      <c r="L34" s="188">
        <v>19.99999999998181</v>
      </c>
      <c r="M34" s="189">
        <v>31073.399999971742</v>
      </c>
      <c r="N34" s="94">
        <f t="shared" si="6"/>
        <v>238229.39999978332</v>
      </c>
      <c r="O34" s="108">
        <f t="shared" si="7"/>
        <v>9353093.3999985568</v>
      </c>
      <c r="P34" s="111">
        <f t="shared" si="8"/>
        <v>8379.9999999987449</v>
      </c>
      <c r="Q34" s="194"/>
      <c r="R34" s="207"/>
      <c r="S34" s="217"/>
      <c r="T34" s="214"/>
      <c r="U34" s="212">
        <v>0</v>
      </c>
      <c r="V34" s="190">
        <f t="shared" si="9"/>
        <v>173.55</v>
      </c>
      <c r="W34" s="3">
        <v>0</v>
      </c>
      <c r="X34" s="3">
        <v>0</v>
      </c>
      <c r="Y34" s="33">
        <v>173.55</v>
      </c>
      <c r="Z34" s="33">
        <v>736750.98900000006</v>
      </c>
      <c r="AA34" s="33">
        <f t="shared" si="0"/>
        <v>736750.98900000006</v>
      </c>
      <c r="AB34" s="128">
        <f t="shared" si="1"/>
        <v>56.777580072271391</v>
      </c>
      <c r="AC34" s="134">
        <v>0</v>
      </c>
      <c r="AD34" s="3">
        <v>0</v>
      </c>
      <c r="AE34" s="3">
        <v>0</v>
      </c>
      <c r="AF34" s="3">
        <v>0</v>
      </c>
      <c r="AG34" s="3">
        <f t="shared" si="10"/>
        <v>0</v>
      </c>
      <c r="AH34" s="3">
        <v>0</v>
      </c>
      <c r="AI34" s="43">
        <f t="shared" si="3"/>
        <v>0</v>
      </c>
      <c r="AJ34" s="142">
        <v>0</v>
      </c>
      <c r="AK34" s="3">
        <v>0</v>
      </c>
      <c r="AL34" s="39">
        <f t="shared" si="4"/>
        <v>0</v>
      </c>
      <c r="AM34" s="7"/>
    </row>
    <row r="35" spans="1:39" x14ac:dyDescent="0.25">
      <c r="A35" s="35"/>
      <c r="B35" s="58">
        <v>24</v>
      </c>
      <c r="C35" s="149"/>
      <c r="D35" s="151"/>
      <c r="E35" s="106">
        <v>7559.9999999994907</v>
      </c>
      <c r="F35" s="3">
        <v>7830496.7999994727</v>
      </c>
      <c r="G35" s="37">
        <v>1280.0000000002001</v>
      </c>
      <c r="H35" s="3">
        <v>1988697.6000003109</v>
      </c>
      <c r="I35" s="103">
        <f t="shared" si="5"/>
        <v>9819194.3999997843</v>
      </c>
      <c r="J35" s="106">
        <v>199.9999999998181</v>
      </c>
      <c r="K35" s="3">
        <v>207155.99999981158</v>
      </c>
      <c r="L35" s="188">
        <v>40.000000000190994</v>
      </c>
      <c r="M35" s="189">
        <v>62146.800000296746</v>
      </c>
      <c r="N35" s="94">
        <f t="shared" si="6"/>
        <v>269302.80000010831</v>
      </c>
      <c r="O35" s="108">
        <f t="shared" si="7"/>
        <v>10088497.199999893</v>
      </c>
      <c r="P35" s="111">
        <f t="shared" si="8"/>
        <v>9079.9999999996999</v>
      </c>
      <c r="Q35" s="193"/>
      <c r="R35" s="205"/>
      <c r="S35" s="217"/>
      <c r="T35" s="214"/>
      <c r="U35" s="212">
        <v>0</v>
      </c>
      <c r="V35" s="190">
        <f t="shared" si="9"/>
        <v>265.22000000000003</v>
      </c>
      <c r="W35" s="3">
        <v>0</v>
      </c>
      <c r="X35" s="3">
        <v>0</v>
      </c>
      <c r="Y35" s="33">
        <v>265.22000000000003</v>
      </c>
      <c r="Z35" s="33">
        <v>1125906.6396000001</v>
      </c>
      <c r="AA35" s="33">
        <f t="shared" si="0"/>
        <v>1125906.6396000001</v>
      </c>
      <c r="AB35" s="128">
        <f t="shared" si="1"/>
        <v>86.767789033522433</v>
      </c>
      <c r="AC35" s="134">
        <v>0</v>
      </c>
      <c r="AD35" s="3">
        <v>0</v>
      </c>
      <c r="AE35" s="3">
        <v>0</v>
      </c>
      <c r="AF35" s="3">
        <v>0</v>
      </c>
      <c r="AG35" s="3">
        <f t="shared" si="10"/>
        <v>0</v>
      </c>
      <c r="AH35" s="3">
        <v>0</v>
      </c>
      <c r="AI35" s="43">
        <f t="shared" si="3"/>
        <v>0</v>
      </c>
      <c r="AJ35" s="142">
        <v>166.44999999999891</v>
      </c>
      <c r="AK35" s="3">
        <v>1265019.9999999916</v>
      </c>
      <c r="AL35" s="39">
        <f t="shared" si="4"/>
        <v>97.488534681864223</v>
      </c>
      <c r="AM35" s="7"/>
    </row>
    <row r="36" spans="1:39" x14ac:dyDescent="0.25">
      <c r="A36" s="35"/>
      <c r="B36" s="58">
        <v>25</v>
      </c>
      <c r="C36" s="149"/>
      <c r="D36" s="151"/>
      <c r="E36" s="106">
        <v>7040.0000000008731</v>
      </c>
      <c r="F36" s="3">
        <v>7291891.2000009045</v>
      </c>
      <c r="G36" s="37">
        <v>1199.9999999998181</v>
      </c>
      <c r="H36" s="3">
        <v>1864403.9999997176</v>
      </c>
      <c r="I36" s="103">
        <f t="shared" si="5"/>
        <v>9156295.2000006214</v>
      </c>
      <c r="J36" s="106">
        <v>180.00000000029104</v>
      </c>
      <c r="K36" s="3">
        <v>186440.40000030145</v>
      </c>
      <c r="L36" s="188">
        <v>39.99999999996362</v>
      </c>
      <c r="M36" s="189">
        <v>62146.799999943483</v>
      </c>
      <c r="N36" s="94">
        <f t="shared" si="6"/>
        <v>248587.20000024495</v>
      </c>
      <c r="O36" s="108">
        <f t="shared" si="7"/>
        <v>9404882.4000008665</v>
      </c>
      <c r="P36" s="111">
        <f t="shared" si="8"/>
        <v>8460.0000000009459</v>
      </c>
      <c r="Q36" s="193"/>
      <c r="R36" s="205"/>
      <c r="S36" s="217"/>
      <c r="T36" s="214"/>
      <c r="U36" s="212">
        <v>0</v>
      </c>
      <c r="V36" s="190">
        <f t="shared" si="9"/>
        <v>74.760000000000005</v>
      </c>
      <c r="W36" s="3">
        <v>0</v>
      </c>
      <c r="X36" s="3">
        <v>0</v>
      </c>
      <c r="Y36" s="33">
        <v>74.760000000000005</v>
      </c>
      <c r="Z36" s="33">
        <v>317369.65680000006</v>
      </c>
      <c r="AA36" s="33">
        <f t="shared" si="0"/>
        <v>317369.65680000006</v>
      </c>
      <c r="AB36" s="128">
        <f t="shared" si="1"/>
        <v>24.458034492670755</v>
      </c>
      <c r="AC36" s="134">
        <v>0</v>
      </c>
      <c r="AD36" s="3">
        <v>0</v>
      </c>
      <c r="AE36" s="3">
        <v>0</v>
      </c>
      <c r="AF36" s="3">
        <v>0</v>
      </c>
      <c r="AG36" s="3">
        <f t="shared" si="10"/>
        <v>0</v>
      </c>
      <c r="AH36" s="3">
        <v>0</v>
      </c>
      <c r="AI36" s="43">
        <f t="shared" si="3"/>
        <v>0</v>
      </c>
      <c r="AJ36" s="142">
        <v>0</v>
      </c>
      <c r="AK36" s="3">
        <v>0</v>
      </c>
      <c r="AL36" s="39">
        <f t="shared" si="4"/>
        <v>0</v>
      </c>
      <c r="AM36" s="7"/>
    </row>
    <row r="37" spans="1:39" x14ac:dyDescent="0.25">
      <c r="A37" s="35"/>
      <c r="B37" s="58">
        <v>26</v>
      </c>
      <c r="C37" s="149"/>
      <c r="D37" s="151"/>
      <c r="E37" s="106">
        <v>6600.0000000003638</v>
      </c>
      <c r="F37" s="3">
        <v>6836148.0000003763</v>
      </c>
      <c r="G37" s="37">
        <v>1320.0000000001637</v>
      </c>
      <c r="H37" s="3">
        <v>2050844.4000002544</v>
      </c>
      <c r="I37" s="103">
        <f t="shared" si="5"/>
        <v>8886992.4000006299</v>
      </c>
      <c r="J37" s="106">
        <v>199.9999999998181</v>
      </c>
      <c r="K37" s="3">
        <v>207155.99999981158</v>
      </c>
      <c r="L37" s="188">
        <v>39.99999999996362</v>
      </c>
      <c r="M37" s="189">
        <v>62146.799999943483</v>
      </c>
      <c r="N37" s="94">
        <f t="shared" si="6"/>
        <v>269302.79999975505</v>
      </c>
      <c r="O37" s="108">
        <f t="shared" si="7"/>
        <v>9156295.2000003848</v>
      </c>
      <c r="P37" s="111">
        <f t="shared" si="8"/>
        <v>8160.0000000003092</v>
      </c>
      <c r="Q37" s="193"/>
      <c r="R37" s="205"/>
      <c r="S37" s="217"/>
      <c r="T37" s="214"/>
      <c r="U37" s="212">
        <v>0</v>
      </c>
      <c r="V37" s="190">
        <f t="shared" si="9"/>
        <v>324.85000000000002</v>
      </c>
      <c r="W37" s="3">
        <v>147.74</v>
      </c>
      <c r="X37" s="3">
        <v>2654961.6700000004</v>
      </c>
      <c r="Y37" s="33">
        <v>177.11</v>
      </c>
      <c r="Z37" s="33">
        <v>751863.82980000007</v>
      </c>
      <c r="AA37" s="33">
        <f t="shared" si="0"/>
        <v>3406825.4998000003</v>
      </c>
      <c r="AB37" s="128">
        <f t="shared" si="1"/>
        <v>262.5463833712621</v>
      </c>
      <c r="AC37" s="134">
        <v>0</v>
      </c>
      <c r="AD37" s="3">
        <v>0</v>
      </c>
      <c r="AE37" s="3">
        <v>0</v>
      </c>
      <c r="AF37" s="3">
        <v>0</v>
      </c>
      <c r="AG37" s="3">
        <f t="shared" si="10"/>
        <v>0</v>
      </c>
      <c r="AH37" s="3">
        <v>0</v>
      </c>
      <c r="AI37" s="43">
        <f t="shared" si="3"/>
        <v>0</v>
      </c>
      <c r="AJ37" s="142">
        <v>0</v>
      </c>
      <c r="AK37" s="3">
        <v>0</v>
      </c>
      <c r="AL37" s="39">
        <f t="shared" si="4"/>
        <v>0</v>
      </c>
      <c r="AM37" s="7"/>
    </row>
    <row r="38" spans="1:39" x14ac:dyDescent="0.25">
      <c r="A38" s="35"/>
      <c r="B38" s="58">
        <v>27</v>
      </c>
      <c r="C38" s="149"/>
      <c r="D38" s="151"/>
      <c r="E38" s="106">
        <v>7479.9999999995634</v>
      </c>
      <c r="F38" s="3">
        <v>7747634.3999995477</v>
      </c>
      <c r="G38" s="37">
        <v>1360.0000000001273</v>
      </c>
      <c r="H38" s="3">
        <v>2112991.2000001981</v>
      </c>
      <c r="I38" s="103">
        <f t="shared" si="5"/>
        <v>9860625.5999997463</v>
      </c>
      <c r="J38" s="106">
        <v>260.00000000021828</v>
      </c>
      <c r="K38" s="3">
        <v>269302.80000022607</v>
      </c>
      <c r="L38" s="188">
        <v>59.99999999994543</v>
      </c>
      <c r="M38" s="189">
        <v>93220.199999915218</v>
      </c>
      <c r="N38" s="94">
        <f t="shared" si="6"/>
        <v>362523.00000014127</v>
      </c>
      <c r="O38" s="108">
        <f t="shared" si="7"/>
        <v>10223148.599999888</v>
      </c>
      <c r="P38" s="111">
        <f t="shared" si="8"/>
        <v>9159.9999999998545</v>
      </c>
      <c r="Q38" s="193"/>
      <c r="R38" s="205"/>
      <c r="S38" s="217"/>
      <c r="T38" s="214"/>
      <c r="U38" s="212">
        <v>0</v>
      </c>
      <c r="V38" s="190">
        <f t="shared" si="9"/>
        <v>337.31</v>
      </c>
      <c r="W38" s="3">
        <v>66.75</v>
      </c>
      <c r="X38" s="3">
        <v>1199530.875</v>
      </c>
      <c r="Y38" s="33">
        <v>270.56</v>
      </c>
      <c r="Z38" s="33">
        <v>1148575.9008000002</v>
      </c>
      <c r="AA38" s="33">
        <f t="shared" si="0"/>
        <v>2348106.7757999999</v>
      </c>
      <c r="AB38" s="128">
        <f t="shared" si="1"/>
        <v>180.9564187517195</v>
      </c>
      <c r="AC38" s="134">
        <v>0</v>
      </c>
      <c r="AD38" s="3">
        <v>0</v>
      </c>
      <c r="AE38" s="3">
        <v>0</v>
      </c>
      <c r="AF38" s="3">
        <v>0</v>
      </c>
      <c r="AG38" s="3">
        <f t="shared" si="10"/>
        <v>0</v>
      </c>
      <c r="AH38" s="3">
        <v>0</v>
      </c>
      <c r="AI38" s="43">
        <f t="shared" si="3"/>
        <v>0</v>
      </c>
      <c r="AJ38" s="142">
        <v>148.22000000000116</v>
      </c>
      <c r="AK38" s="3">
        <v>1126472.0000000088</v>
      </c>
      <c r="AL38" s="39">
        <f t="shared" si="4"/>
        <v>86.811358429234758</v>
      </c>
      <c r="AM38" s="7"/>
    </row>
    <row r="39" spans="1:39" x14ac:dyDescent="0.25">
      <c r="A39" s="35"/>
      <c r="B39" s="58">
        <v>28</v>
      </c>
      <c r="C39" s="149"/>
      <c r="D39" s="151"/>
      <c r="E39" s="106">
        <v>7840.0000000001455</v>
      </c>
      <c r="F39" s="3">
        <v>8120515.2000001501</v>
      </c>
      <c r="G39" s="37">
        <v>1319.999999999709</v>
      </c>
      <c r="H39" s="3">
        <v>2050844.399999548</v>
      </c>
      <c r="I39" s="103">
        <f t="shared" si="5"/>
        <v>10171359.599999698</v>
      </c>
      <c r="J39" s="106">
        <v>460.00000000003638</v>
      </c>
      <c r="K39" s="3">
        <v>476458.80000003765</v>
      </c>
      <c r="L39" s="188">
        <v>100.00000000013642</v>
      </c>
      <c r="M39" s="189">
        <v>155367.00000021196</v>
      </c>
      <c r="N39" s="94">
        <f t="shared" si="6"/>
        <v>631825.80000024964</v>
      </c>
      <c r="O39" s="108">
        <f t="shared" si="7"/>
        <v>10803185.399999948</v>
      </c>
      <c r="P39" s="111">
        <f t="shared" si="8"/>
        <v>9720.0000000000273</v>
      </c>
      <c r="Q39" s="193"/>
      <c r="R39" s="208"/>
      <c r="S39" s="217"/>
      <c r="T39" s="214"/>
      <c r="U39" s="212">
        <v>0</v>
      </c>
      <c r="V39" s="190">
        <f t="shared" si="9"/>
        <v>113.92</v>
      </c>
      <c r="W39" s="3">
        <v>5.34</v>
      </c>
      <c r="X39" s="3">
        <v>95962.47</v>
      </c>
      <c r="Y39" s="33">
        <v>108.58</v>
      </c>
      <c r="Z39" s="33">
        <v>460941.64440000005</v>
      </c>
      <c r="AA39" s="33">
        <f t="shared" si="0"/>
        <v>556904.11440000008</v>
      </c>
      <c r="AB39" s="128">
        <f t="shared" si="1"/>
        <v>42.917713610186127</v>
      </c>
      <c r="AC39" s="134">
        <v>0</v>
      </c>
      <c r="AD39" s="3">
        <v>0</v>
      </c>
      <c r="AE39" s="3">
        <v>0</v>
      </c>
      <c r="AF39" s="3">
        <v>0</v>
      </c>
      <c r="AG39" s="3">
        <f t="shared" si="10"/>
        <v>0</v>
      </c>
      <c r="AH39" s="3">
        <v>0</v>
      </c>
      <c r="AI39" s="43">
        <f t="shared" si="3"/>
        <v>0</v>
      </c>
      <c r="AJ39" s="142">
        <v>149.20000000001164</v>
      </c>
      <c r="AK39" s="3">
        <v>1133920.0000000885</v>
      </c>
      <c r="AL39" s="39">
        <f t="shared" si="4"/>
        <v>87.385337185553468</v>
      </c>
      <c r="AM39" s="7"/>
    </row>
    <row r="40" spans="1:39" x14ac:dyDescent="0.25">
      <c r="A40" s="35"/>
      <c r="B40" s="58">
        <v>29</v>
      </c>
      <c r="C40" s="149"/>
      <c r="D40" s="151"/>
      <c r="E40" s="106">
        <v>7719.9999999993452</v>
      </c>
      <c r="F40" s="3">
        <v>7996221.5999993216</v>
      </c>
      <c r="G40" s="37">
        <v>1440.0000000000546</v>
      </c>
      <c r="H40" s="3">
        <v>2237284.800000085</v>
      </c>
      <c r="I40" s="103">
        <f t="shared" si="5"/>
        <v>10233506.399999406</v>
      </c>
      <c r="J40" s="106">
        <v>599.9999999994543</v>
      </c>
      <c r="K40" s="3">
        <v>621467.9999994348</v>
      </c>
      <c r="L40" s="188">
        <v>119.99999999989086</v>
      </c>
      <c r="M40" s="189">
        <v>186440.39999983044</v>
      </c>
      <c r="N40" s="94">
        <f t="shared" si="6"/>
        <v>807908.39999926521</v>
      </c>
      <c r="O40" s="108">
        <f t="shared" ref="O40:O41" si="11">N40+I40</f>
        <v>11041414.799998671</v>
      </c>
      <c r="P40" s="111">
        <f t="shared" ref="P40:P41" si="12">L40+J40+G40+E40</f>
        <v>9879.9999999987449</v>
      </c>
      <c r="Q40" s="194"/>
      <c r="R40" s="209"/>
      <c r="S40" s="217"/>
      <c r="T40" s="214"/>
      <c r="U40" s="212">
        <v>0</v>
      </c>
      <c r="V40" s="190">
        <f t="shared" si="9"/>
        <v>272.34000000000003</v>
      </c>
      <c r="W40" s="3">
        <v>0</v>
      </c>
      <c r="X40" s="3">
        <v>0</v>
      </c>
      <c r="Y40" s="33">
        <v>272.34000000000003</v>
      </c>
      <c r="Z40" s="33">
        <v>1156132.3212000001</v>
      </c>
      <c r="AA40" s="33">
        <f t="shared" ref="AA40:AA41" si="13">Z40+X40</f>
        <v>1156132.3212000001</v>
      </c>
      <c r="AB40" s="128">
        <f t="shared" ref="AB40:AB41" si="14">AA40/$AL$48</f>
        <v>89.097125651872034</v>
      </c>
      <c r="AC40" s="134">
        <v>0</v>
      </c>
      <c r="AD40" s="3">
        <v>0</v>
      </c>
      <c r="AE40" s="3">
        <v>0</v>
      </c>
      <c r="AF40" s="3">
        <v>0</v>
      </c>
      <c r="AG40" s="3">
        <f t="shared" si="10"/>
        <v>0</v>
      </c>
      <c r="AH40" s="3">
        <v>0</v>
      </c>
      <c r="AI40" s="43">
        <f t="shared" ref="AI40:AI42" si="15">AH40/$AL$48</f>
        <v>0</v>
      </c>
      <c r="AJ40" s="142">
        <v>0</v>
      </c>
      <c r="AK40" s="3">
        <v>0</v>
      </c>
      <c r="AL40" s="39">
        <f t="shared" si="4"/>
        <v>0</v>
      </c>
      <c r="AM40" s="7"/>
    </row>
    <row r="41" spans="1:39" ht="17.25" customHeight="1" x14ac:dyDescent="0.25">
      <c r="A41" s="35"/>
      <c r="B41" s="58">
        <v>30</v>
      </c>
      <c r="C41" s="149"/>
      <c r="D41" s="151"/>
      <c r="E41" s="106">
        <v>8360.0000000005821</v>
      </c>
      <c r="F41" s="3">
        <v>8659120.8000006024</v>
      </c>
      <c r="G41" s="37">
        <v>1480.0000000000182</v>
      </c>
      <c r="H41" s="3">
        <v>2299431.6000000285</v>
      </c>
      <c r="I41" s="103">
        <f t="shared" si="5"/>
        <v>10958552.400000632</v>
      </c>
      <c r="J41" s="106">
        <v>740.00000000069122</v>
      </c>
      <c r="K41" s="3">
        <v>766477.20000071591</v>
      </c>
      <c r="L41" s="188">
        <v>180.00000000006366</v>
      </c>
      <c r="M41" s="189">
        <v>279660.60000009893</v>
      </c>
      <c r="N41" s="94">
        <f t="shared" si="6"/>
        <v>1046137.8000008148</v>
      </c>
      <c r="O41" s="108">
        <f t="shared" si="11"/>
        <v>12004690.200001447</v>
      </c>
      <c r="P41" s="111">
        <f t="shared" si="12"/>
        <v>10760.000000001355</v>
      </c>
      <c r="Q41" s="193"/>
      <c r="R41" s="210"/>
      <c r="S41" s="217"/>
      <c r="T41" s="214"/>
      <c r="U41" s="212">
        <v>0</v>
      </c>
      <c r="V41" s="190">
        <f t="shared" si="9"/>
        <v>258.10000000000002</v>
      </c>
      <c r="W41" s="3">
        <v>0</v>
      </c>
      <c r="X41" s="3">
        <v>0</v>
      </c>
      <c r="Y41" s="33">
        <v>258.10000000000002</v>
      </c>
      <c r="Z41" s="33">
        <v>1095680.9580000001</v>
      </c>
      <c r="AA41" s="33">
        <f t="shared" si="13"/>
        <v>1095680.9580000001</v>
      </c>
      <c r="AB41" s="128">
        <f t="shared" si="14"/>
        <v>84.438452415172833</v>
      </c>
      <c r="AC41" s="134">
        <v>0</v>
      </c>
      <c r="AD41" s="3">
        <v>0</v>
      </c>
      <c r="AE41" s="3">
        <v>0</v>
      </c>
      <c r="AF41" s="3">
        <v>0</v>
      </c>
      <c r="AG41" s="3">
        <f>+AE41+AF41</f>
        <v>0</v>
      </c>
      <c r="AH41" s="3">
        <v>0</v>
      </c>
      <c r="AI41" s="43">
        <f t="shared" si="15"/>
        <v>0</v>
      </c>
      <c r="AJ41" s="142">
        <v>333.61000000001513</v>
      </c>
      <c r="AK41" s="3">
        <v>2535436.000000115</v>
      </c>
      <c r="AL41" s="39">
        <f t="shared" si="4"/>
        <v>195.392911115761</v>
      </c>
      <c r="AM41" s="7"/>
    </row>
    <row r="42" spans="1:39" x14ac:dyDescent="0.25">
      <c r="A42" s="35"/>
      <c r="B42" s="58">
        <v>31</v>
      </c>
      <c r="C42" s="177"/>
      <c r="D42" s="178"/>
      <c r="E42" s="106">
        <v>8520.0000000004366</v>
      </c>
      <c r="F42" s="3">
        <v>8824845.6000004523</v>
      </c>
      <c r="G42" s="37">
        <v>960.00000000003638</v>
      </c>
      <c r="H42" s="3">
        <v>1491523.2000000565</v>
      </c>
      <c r="I42" s="103">
        <f t="shared" si="5"/>
        <v>10316368.800000509</v>
      </c>
      <c r="J42" s="106">
        <v>819.99999999970896</v>
      </c>
      <c r="K42" s="3">
        <v>849339.59999969858</v>
      </c>
      <c r="L42" s="188">
        <v>179.99999999983629</v>
      </c>
      <c r="M42" s="189">
        <v>279660.59999974567</v>
      </c>
      <c r="N42" s="94">
        <f t="shared" ref="N42" si="16">+K42+M42</f>
        <v>1129000.1999994442</v>
      </c>
      <c r="O42" s="108">
        <f t="shared" ref="O42" si="17">N42+I42</f>
        <v>11445368.999999953</v>
      </c>
      <c r="P42" s="111">
        <f t="shared" ref="P42" si="18">L42+J42+G42+E42</f>
        <v>10480.000000000018</v>
      </c>
      <c r="Q42" s="193"/>
      <c r="R42" s="210"/>
      <c r="S42" s="217"/>
      <c r="T42" s="214"/>
      <c r="U42" s="212">
        <v>1</v>
      </c>
      <c r="V42" s="190">
        <f t="shared" ref="V42" si="19">Y42+W42</f>
        <v>279.45999999999998</v>
      </c>
      <c r="W42" s="3">
        <v>0</v>
      </c>
      <c r="X42" s="3">
        <v>0</v>
      </c>
      <c r="Y42" s="33">
        <v>279.45999999999998</v>
      </c>
      <c r="Z42" s="33">
        <v>1186358.0027999999</v>
      </c>
      <c r="AA42" s="33">
        <f t="shared" ref="AA42" si="20">Z42+X42</f>
        <v>1186358.0027999999</v>
      </c>
      <c r="AB42" s="128">
        <f t="shared" ref="AB42" si="21">AA42/$AL$48</f>
        <v>91.426462270221606</v>
      </c>
      <c r="AC42" s="134">
        <v>0</v>
      </c>
      <c r="AD42" s="3">
        <v>0</v>
      </c>
      <c r="AE42" s="3">
        <v>0</v>
      </c>
      <c r="AF42" s="3">
        <v>0</v>
      </c>
      <c r="AG42" s="3">
        <f>+AE42+AF42</f>
        <v>0</v>
      </c>
      <c r="AH42" s="3">
        <v>0</v>
      </c>
      <c r="AI42" s="43">
        <f t="shared" si="15"/>
        <v>0</v>
      </c>
      <c r="AJ42" s="142"/>
      <c r="AK42" s="3"/>
      <c r="AL42" s="39">
        <f t="shared" si="4"/>
        <v>0</v>
      </c>
      <c r="AM42" s="7"/>
    </row>
    <row r="43" spans="1:39" ht="16.5" thickBot="1" x14ac:dyDescent="0.3">
      <c r="A43" s="35"/>
      <c r="B43" s="122"/>
      <c r="C43" s="150"/>
      <c r="D43" s="152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179"/>
      <c r="R43" s="211"/>
      <c r="S43" s="218"/>
      <c r="T43" s="218"/>
      <c r="U43" s="213"/>
      <c r="V43" s="190"/>
      <c r="W43" s="3"/>
      <c r="X43" s="3"/>
      <c r="Y43" s="33"/>
      <c r="Z43" s="33"/>
      <c r="AA43" s="18"/>
      <c r="AB43" s="129"/>
      <c r="AC43" s="127"/>
      <c r="AD43" s="3"/>
      <c r="AE43" s="2"/>
      <c r="AF43" s="2"/>
      <c r="AG43" s="2"/>
      <c r="AH43" s="3"/>
      <c r="AI43" s="43"/>
      <c r="AJ43" s="142"/>
      <c r="AK43" s="3"/>
      <c r="AL43" s="39"/>
      <c r="AM43" s="7"/>
    </row>
    <row r="44" spans="1:39" s="8" customFormat="1" ht="4.5" customHeight="1" x14ac:dyDescent="0.25">
      <c r="A44" s="15"/>
      <c r="B44" s="117"/>
      <c r="C44" s="118"/>
      <c r="D44" s="118"/>
      <c r="E44" s="116"/>
      <c r="F44" s="7"/>
      <c r="G44" s="15"/>
      <c r="H44" s="7"/>
      <c r="I44" s="15"/>
      <c r="J44" s="15"/>
      <c r="K44" s="15"/>
      <c r="L44" s="7"/>
      <c r="M44" s="62"/>
      <c r="N44" s="66"/>
      <c r="O44" s="15"/>
      <c r="P44" s="66"/>
      <c r="Q44" s="15"/>
      <c r="R44" s="86"/>
      <c r="S44" s="7"/>
      <c r="T44" s="15"/>
      <c r="U44" s="34"/>
      <c r="V44" s="130"/>
      <c r="W44" s="15"/>
      <c r="X44" s="15"/>
      <c r="Y44" s="15"/>
      <c r="Z44" s="15"/>
      <c r="AA44" s="15"/>
      <c r="AB44" s="34"/>
      <c r="AC44" s="15"/>
      <c r="AD44" s="7"/>
      <c r="AE44" s="15"/>
      <c r="AF44" s="15"/>
      <c r="AG44" s="15"/>
      <c r="AH44" s="15"/>
      <c r="AI44" s="15"/>
      <c r="AJ44" s="86"/>
      <c r="AK44" s="15"/>
      <c r="AL44" s="34"/>
      <c r="AM44" s="15"/>
    </row>
    <row r="45" spans="1:39" s="8" customFormat="1" ht="6" customHeight="1" x14ac:dyDescent="0.25">
      <c r="A45" s="15"/>
      <c r="B45" s="117"/>
      <c r="C45" s="118"/>
      <c r="D45" s="118"/>
      <c r="E45" s="116"/>
      <c r="F45" s="7"/>
      <c r="G45" s="15"/>
      <c r="H45" s="7"/>
      <c r="I45" s="15"/>
      <c r="J45" s="15"/>
      <c r="K45" s="15"/>
      <c r="L45" s="7"/>
      <c r="M45" s="62"/>
      <c r="N45" s="66"/>
      <c r="O45" s="15"/>
      <c r="P45" s="66"/>
      <c r="Q45" s="15"/>
      <c r="R45" s="86"/>
      <c r="S45" s="16"/>
      <c r="T45" s="16"/>
      <c r="U45" s="34"/>
      <c r="V45" s="130"/>
      <c r="W45" s="15"/>
      <c r="X45" s="15"/>
      <c r="Y45" s="15"/>
      <c r="Z45" s="15"/>
      <c r="AA45" s="15"/>
      <c r="AB45" s="131"/>
      <c r="AC45" s="15"/>
      <c r="AD45" s="7"/>
      <c r="AE45" s="15"/>
      <c r="AF45" s="15"/>
      <c r="AG45" s="15"/>
      <c r="AH45" s="7"/>
      <c r="AI45" s="15"/>
      <c r="AJ45" s="88"/>
      <c r="AK45" s="5"/>
      <c r="AL45" s="40"/>
      <c r="AM45" s="15"/>
    </row>
    <row r="46" spans="1:39" s="8" customFormat="1" ht="16.5" thickBot="1" x14ac:dyDescent="0.3">
      <c r="A46" s="15"/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91"/>
      <c r="V46" s="132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3"/>
      <c r="AK46" s="79"/>
      <c r="AL46" s="80"/>
      <c r="AM46" s="15"/>
    </row>
    <row r="47" spans="1:39" ht="17.25" thickTop="1" thickBot="1" x14ac:dyDescent="0.3">
      <c r="A47" s="26"/>
      <c r="B47" s="69"/>
      <c r="C47" s="70">
        <f>SUM(C12:C43)</f>
        <v>0</v>
      </c>
      <c r="D47" s="70">
        <f>SUM(D12:D43)</f>
        <v>0</v>
      </c>
      <c r="E47" s="70">
        <f>SUM(E12:E43)</f>
        <v>213280.00000000061</v>
      </c>
      <c r="F47" s="70">
        <f>SUM(F12:F43)</f>
        <v>220911158.40000066</v>
      </c>
      <c r="G47" s="70">
        <f>SUM(G12:G43)</f>
        <v>38999.999999999993</v>
      </c>
      <c r="H47" s="70">
        <f t="shared" ref="H47:O47" si="22">SUM(H12:H43)</f>
        <v>60593130</v>
      </c>
      <c r="I47" s="70">
        <f t="shared" si="22"/>
        <v>281504288.40000069</v>
      </c>
      <c r="J47" s="70">
        <f t="shared" si="22"/>
        <v>8000</v>
      </c>
      <c r="K47" s="70">
        <f t="shared" si="22"/>
        <v>8286240.0000000009</v>
      </c>
      <c r="L47" s="70">
        <f t="shared" si="22"/>
        <v>1619.9999999998909</v>
      </c>
      <c r="M47" s="70">
        <f t="shared" si="22"/>
        <v>2516945.3999998304</v>
      </c>
      <c r="N47" s="70">
        <f t="shared" si="22"/>
        <v>10803185.399999831</v>
      </c>
      <c r="O47" s="70">
        <f t="shared" si="22"/>
        <v>292307473.80000043</v>
      </c>
      <c r="P47" s="82">
        <f>SUM(P12:P43)</f>
        <v>261900.00000000058</v>
      </c>
      <c r="Q47" s="192" t="e">
        <f>+#REF!</f>
        <v>#REF!</v>
      </c>
      <c r="R47" s="123" t="e">
        <f>+#REF!</f>
        <v>#REF!</v>
      </c>
      <c r="S47" s="115" t="e">
        <f>Q47+P47</f>
        <v>#REF!</v>
      </c>
      <c r="T47" s="115" t="e">
        <f>R47+O47</f>
        <v>#REF!</v>
      </c>
      <c r="U47" s="137" t="e">
        <f>T47/AL48</f>
        <v>#REF!</v>
      </c>
      <c r="V47" s="180">
        <f>SUM(V12:V42)</f>
        <v>5618.5700000000024</v>
      </c>
      <c r="W47" s="52">
        <f>SUM(W12:W42)</f>
        <v>219.83</v>
      </c>
      <c r="X47" s="52">
        <f t="shared" ref="X47:Z47" si="23">SUM(X12:X42)</f>
        <v>3950455.0150000006</v>
      </c>
      <c r="Y47" s="52">
        <f t="shared" si="23"/>
        <v>5398.7400000000016</v>
      </c>
      <c r="Z47" s="52">
        <f t="shared" si="23"/>
        <v>22918623.073200002</v>
      </c>
      <c r="AA47" s="136">
        <f>SUM(AA12:AA42)</f>
        <v>26869078.088200003</v>
      </c>
      <c r="AB47" s="124">
        <f>AA47/$AL$48</f>
        <v>2070.6605832881864</v>
      </c>
      <c r="AC47" s="44">
        <f>SUM(AC12:AC41)</f>
        <v>0</v>
      </c>
      <c r="AD47" s="138">
        <f>SUM(AD12:AD41)</f>
        <v>0</v>
      </c>
      <c r="AE47" s="44">
        <f>SUM(AE12:AE42)</f>
        <v>0</v>
      </c>
      <c r="AF47" s="44">
        <f>SUM(AF12:AF42)</f>
        <v>48</v>
      </c>
      <c r="AG47" s="216">
        <f>SUM(AG12:AG42)</f>
        <v>48</v>
      </c>
      <c r="AH47" s="146">
        <f>SUM(AH12:AH43)</f>
        <v>558000</v>
      </c>
      <c r="AI47" s="147">
        <f>AH47/$AL$48</f>
        <v>43.002167833299552</v>
      </c>
      <c r="AJ47" s="215">
        <f>SUM(AJ12:AJ43)</f>
        <v>2297.060000000025</v>
      </c>
      <c r="AK47" s="144">
        <f>SUM(AK12:AK43)</f>
        <v>17457656.00000019</v>
      </c>
      <c r="AL47" s="145">
        <f>AK47/AL48</f>
        <v>1345.371063240174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3"/>
      <c r="N48" s="67"/>
      <c r="O48" s="10"/>
      <c r="P48" s="67"/>
      <c r="Q48" s="10"/>
      <c r="R48" s="114"/>
      <c r="S48" s="14"/>
      <c r="T48" s="81" t="s">
        <v>29</v>
      </c>
      <c r="U48" s="153" t="e">
        <f>U47/S47</f>
        <v>#REF!</v>
      </c>
      <c r="V48" s="195" t="s">
        <v>53</v>
      </c>
      <c r="W48" s="11"/>
      <c r="X48" s="11"/>
      <c r="Y48" s="139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88"/>
      <c r="AK48" s="11"/>
      <c r="AL48" s="148">
        <v>12976.09</v>
      </c>
      <c r="AM48" s="26"/>
    </row>
    <row r="49" spans="1:39" s="1" customFormat="1" x14ac:dyDescent="0.2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3"/>
      <c r="N49" s="67"/>
      <c r="O49" s="10"/>
      <c r="P49" s="67"/>
      <c r="Q49" s="10"/>
      <c r="R49" s="114"/>
      <c r="S49" s="14"/>
      <c r="T49" s="81"/>
      <c r="U49" s="153"/>
      <c r="V49" s="195"/>
      <c r="W49" s="11"/>
      <c r="X49" s="220"/>
      <c r="Y49" s="139"/>
      <c r="Z49" s="220"/>
      <c r="AA49" s="11"/>
      <c r="AB49" s="11"/>
      <c r="AC49" s="16"/>
      <c r="AD49" s="7"/>
      <c r="AE49" s="16"/>
      <c r="AF49" s="16"/>
      <c r="AG49" s="7"/>
      <c r="AH49" s="5"/>
      <c r="AI49" s="11"/>
      <c r="AJ49" s="88"/>
      <c r="AK49" s="11"/>
      <c r="AL49" s="148"/>
      <c r="AM49" s="26"/>
    </row>
    <row r="50" spans="1:39" s="1" customFormat="1" x14ac:dyDescent="0.25">
      <c r="A50" s="26"/>
      <c r="B50" s="26"/>
      <c r="C50" s="5"/>
      <c r="D50" s="11"/>
      <c r="E50" s="5"/>
      <c r="F50" s="5"/>
      <c r="G50" s="11"/>
      <c r="H50" s="5"/>
      <c r="I50" s="9"/>
      <c r="J50" s="9"/>
      <c r="K50" s="9"/>
      <c r="L50" s="17"/>
      <c r="M50" s="63"/>
      <c r="N50" s="67"/>
      <c r="O50" s="10"/>
      <c r="P50" s="67"/>
      <c r="Q50" s="10"/>
      <c r="R50" s="114"/>
      <c r="S50" s="14"/>
      <c r="T50" s="81"/>
      <c r="U50" s="153"/>
      <c r="V50" s="195"/>
      <c r="W50" s="11"/>
      <c r="X50" s="11"/>
      <c r="Y50" s="139"/>
      <c r="Z50" s="11"/>
      <c r="AA50" s="11"/>
      <c r="AB50" s="11"/>
      <c r="AC50" s="16"/>
      <c r="AD50" s="7"/>
      <c r="AE50" s="16"/>
      <c r="AF50" s="16"/>
      <c r="AG50" s="7"/>
      <c r="AH50" s="221"/>
      <c r="AI50" s="11"/>
      <c r="AJ50" s="88"/>
      <c r="AK50" s="11"/>
      <c r="AL50" s="148"/>
      <c r="AM50" s="26"/>
    </row>
    <row r="51" spans="1:39" s="198" customFormat="1" x14ac:dyDescent="0.25">
      <c r="A51" s="196"/>
      <c r="B51" s="196"/>
      <c r="C51" s="197"/>
      <c r="E51" s="197"/>
      <c r="F51" s="197"/>
      <c r="H51" s="197"/>
      <c r="L51" s="197"/>
      <c r="M51" s="199"/>
      <c r="N51" s="200"/>
      <c r="P51" s="200"/>
      <c r="R51" s="201"/>
      <c r="T51" s="219"/>
      <c r="AD51" s="197"/>
      <c r="AH51" s="197"/>
      <c r="AJ51" s="201"/>
      <c r="AL51" s="202"/>
      <c r="AM51" s="196"/>
    </row>
    <row r="52" spans="1:39" s="198" customFormat="1" x14ac:dyDescent="0.25">
      <c r="A52" s="196"/>
      <c r="B52" s="196"/>
      <c r="C52" s="197"/>
      <c r="E52" s="197"/>
      <c r="F52" s="197"/>
      <c r="H52" s="197"/>
      <c r="L52" s="197"/>
      <c r="M52" s="199"/>
      <c r="N52" s="200"/>
      <c r="P52" s="200"/>
      <c r="R52" s="201"/>
      <c r="W52" s="222">
        <f>W47/V47</f>
        <v>3.9125613812767288E-2</v>
      </c>
      <c r="AD52" s="197"/>
      <c r="AH52" s="197"/>
      <c r="AJ52" s="201"/>
      <c r="AL52" s="202"/>
      <c r="AM52" s="196"/>
    </row>
    <row r="53" spans="1:39" s="198" customFormat="1" x14ac:dyDescent="0.25">
      <c r="A53" s="196"/>
      <c r="B53" s="196"/>
      <c r="C53" s="197"/>
      <c r="E53" s="197"/>
      <c r="F53" s="197"/>
      <c r="H53" s="197"/>
      <c r="L53" s="197"/>
      <c r="M53" s="199"/>
      <c r="N53" s="200"/>
      <c r="P53" s="200"/>
      <c r="R53" s="201"/>
      <c r="AD53" s="197"/>
      <c r="AH53" s="197"/>
      <c r="AJ53" s="201"/>
      <c r="AL53" s="202"/>
      <c r="AM53" s="196"/>
    </row>
    <row r="54" spans="1:39" s="198" customFormat="1" x14ac:dyDescent="0.25">
      <c r="A54" s="196"/>
      <c r="B54" s="196"/>
      <c r="C54" s="197"/>
      <c r="E54" s="197"/>
      <c r="F54" s="197"/>
      <c r="H54" s="197"/>
      <c r="L54" s="197"/>
      <c r="M54" s="199"/>
      <c r="N54" s="200"/>
      <c r="P54" s="200"/>
      <c r="R54" s="201"/>
      <c r="AD54" s="197"/>
      <c r="AH54" s="197"/>
      <c r="AJ54" s="201"/>
      <c r="AL54" s="202"/>
      <c r="AM54" s="196"/>
    </row>
    <row r="55" spans="1:39" s="198" customFormat="1" x14ac:dyDescent="0.25">
      <c r="A55" s="196"/>
      <c r="B55" s="196"/>
      <c r="C55" s="197"/>
      <c r="E55" s="197"/>
      <c r="F55" s="197"/>
      <c r="H55" s="197"/>
      <c r="L55" s="197"/>
      <c r="M55" s="199"/>
      <c r="N55" s="200"/>
      <c r="P55" s="200"/>
      <c r="R55" s="201"/>
      <c r="AD55" s="197"/>
      <c r="AH55" s="197"/>
      <c r="AJ55" s="201"/>
      <c r="AL55" s="202"/>
      <c r="AM55" s="196"/>
    </row>
    <row r="56" spans="1:39" s="198" customFormat="1" x14ac:dyDescent="0.25">
      <c r="A56" s="196"/>
      <c r="B56" s="196"/>
      <c r="C56" s="197"/>
      <c r="E56" s="197"/>
      <c r="F56" s="197"/>
      <c r="H56" s="197"/>
      <c r="L56" s="197"/>
      <c r="M56" s="199"/>
      <c r="N56" s="200"/>
      <c r="P56" s="200"/>
      <c r="R56" s="201"/>
      <c r="AD56" s="197"/>
      <c r="AH56" s="197"/>
      <c r="AJ56" s="201"/>
      <c r="AL56" s="202"/>
      <c r="AM56" s="196"/>
    </row>
    <row r="57" spans="1:39" s="198" customFormat="1" x14ac:dyDescent="0.25">
      <c r="A57" s="196"/>
      <c r="B57" s="196"/>
      <c r="C57" s="197"/>
      <c r="E57" s="197"/>
      <c r="F57" s="197"/>
      <c r="H57" s="197"/>
      <c r="L57" s="197"/>
      <c r="M57" s="199"/>
      <c r="N57" s="200"/>
      <c r="P57" s="200"/>
      <c r="R57" s="201"/>
      <c r="AD57" s="197"/>
      <c r="AH57" s="197"/>
      <c r="AJ57" s="201"/>
      <c r="AL57" s="202"/>
      <c r="AM57" s="196"/>
    </row>
    <row r="58" spans="1:39" s="198" customFormat="1" x14ac:dyDescent="0.25">
      <c r="A58" s="196"/>
      <c r="B58" s="196"/>
      <c r="C58" s="197"/>
      <c r="E58" s="197"/>
      <c r="F58" s="197"/>
      <c r="H58" s="197"/>
      <c r="L58" s="197"/>
      <c r="M58" s="199"/>
      <c r="N58" s="200"/>
      <c r="P58" s="200"/>
      <c r="R58" s="201"/>
      <c r="AD58" s="197"/>
      <c r="AH58" s="197"/>
      <c r="AJ58" s="201"/>
      <c r="AL58" s="202"/>
      <c r="AM58" s="196"/>
    </row>
    <row r="59" spans="1:39" s="198" customFormat="1" x14ac:dyDescent="0.25">
      <c r="A59" s="196"/>
      <c r="B59" s="196"/>
      <c r="C59" s="197"/>
      <c r="E59" s="197"/>
      <c r="F59" s="197"/>
      <c r="H59" s="197"/>
      <c r="L59" s="197"/>
      <c r="M59" s="199"/>
      <c r="N59" s="200"/>
      <c r="P59" s="200"/>
      <c r="R59" s="201"/>
      <c r="AD59" s="197"/>
      <c r="AH59" s="197"/>
      <c r="AJ59" s="201"/>
      <c r="AL59" s="202"/>
      <c r="AM59" s="196"/>
    </row>
    <row r="60" spans="1:39" s="198" customFormat="1" x14ac:dyDescent="0.25">
      <c r="A60" s="196"/>
      <c r="B60" s="196"/>
      <c r="C60" s="197"/>
      <c r="E60" s="197"/>
      <c r="F60" s="197"/>
      <c r="H60" s="197"/>
      <c r="L60" s="197"/>
      <c r="M60" s="199"/>
      <c r="N60" s="200"/>
      <c r="P60" s="200"/>
      <c r="R60" s="201"/>
      <c r="AD60" s="197"/>
      <c r="AH60" s="197"/>
      <c r="AJ60" s="201"/>
      <c r="AL60" s="202"/>
      <c r="AM60" s="196"/>
    </row>
    <row r="61" spans="1:39" s="198" customFormat="1" x14ac:dyDescent="0.25">
      <c r="A61" s="196"/>
      <c r="B61" s="196"/>
      <c r="C61" s="197"/>
      <c r="E61" s="197"/>
      <c r="F61" s="197"/>
      <c r="H61" s="197"/>
      <c r="L61" s="197"/>
      <c r="M61" s="199"/>
      <c r="N61" s="200"/>
      <c r="P61" s="200"/>
      <c r="R61" s="201"/>
      <c r="AD61" s="197"/>
      <c r="AH61" s="197"/>
      <c r="AJ61" s="201"/>
      <c r="AL61" s="202"/>
      <c r="AM61" s="196"/>
    </row>
    <row r="62" spans="1:39" s="198" customFormat="1" x14ac:dyDescent="0.25">
      <c r="A62" s="196"/>
      <c r="B62" s="196"/>
      <c r="C62" s="197"/>
      <c r="E62" s="197"/>
      <c r="F62" s="197"/>
      <c r="H62" s="197"/>
      <c r="L62" s="197"/>
      <c r="M62" s="199"/>
      <c r="N62" s="200"/>
      <c r="P62" s="200"/>
      <c r="R62" s="201"/>
      <c r="AD62" s="197"/>
      <c r="AH62" s="197"/>
      <c r="AJ62" s="201"/>
      <c r="AL62" s="202"/>
      <c r="AM62" s="196"/>
    </row>
    <row r="63" spans="1:39" s="198" customFormat="1" x14ac:dyDescent="0.25">
      <c r="A63" s="196"/>
      <c r="B63" s="196"/>
      <c r="C63" s="197"/>
      <c r="E63" s="197"/>
      <c r="F63" s="197"/>
      <c r="H63" s="197"/>
      <c r="L63" s="197"/>
      <c r="M63" s="199"/>
      <c r="N63" s="200"/>
      <c r="P63" s="200"/>
      <c r="R63" s="201"/>
      <c r="AD63" s="197"/>
      <c r="AH63" s="197"/>
      <c r="AJ63" s="201"/>
      <c r="AL63" s="202"/>
      <c r="AM63" s="196"/>
    </row>
    <row r="64" spans="1:39" s="198" customFormat="1" x14ac:dyDescent="0.25">
      <c r="A64" s="196"/>
      <c r="B64" s="196"/>
      <c r="C64" s="197"/>
      <c r="E64" s="197"/>
      <c r="F64" s="197"/>
      <c r="H64" s="197"/>
      <c r="L64" s="197"/>
      <c r="M64" s="199"/>
      <c r="N64" s="200"/>
      <c r="P64" s="200"/>
      <c r="R64" s="201"/>
      <c r="AD64" s="197"/>
      <c r="AH64" s="197"/>
      <c r="AJ64" s="201"/>
      <c r="AL64" s="202"/>
      <c r="AM64" s="196"/>
    </row>
    <row r="65" spans="1:39" s="198" customFormat="1" x14ac:dyDescent="0.25">
      <c r="A65" s="196"/>
      <c r="B65" s="196"/>
      <c r="C65" s="197"/>
      <c r="E65" s="197"/>
      <c r="F65" s="197"/>
      <c r="H65" s="197"/>
      <c r="L65" s="197"/>
      <c r="M65" s="199"/>
      <c r="N65" s="200"/>
      <c r="P65" s="200"/>
      <c r="R65" s="201"/>
      <c r="AD65" s="197"/>
      <c r="AH65" s="197"/>
      <c r="AJ65" s="201"/>
      <c r="AL65" s="202"/>
      <c r="AM65" s="196"/>
    </row>
    <row r="66" spans="1:39" s="198" customFormat="1" x14ac:dyDescent="0.25">
      <c r="A66" s="196"/>
      <c r="B66" s="196"/>
      <c r="C66" s="197"/>
      <c r="E66" s="197"/>
      <c r="F66" s="197"/>
      <c r="H66" s="197"/>
      <c r="L66" s="197"/>
      <c r="M66" s="199"/>
      <c r="N66" s="200"/>
      <c r="P66" s="200"/>
      <c r="R66" s="201"/>
      <c r="AD66" s="197"/>
      <c r="AH66" s="197"/>
      <c r="AJ66" s="201"/>
      <c r="AL66" s="202"/>
      <c r="AM66" s="196"/>
    </row>
    <row r="67" spans="1:39" s="198" customFormat="1" x14ac:dyDescent="0.25">
      <c r="A67" s="196"/>
      <c r="B67" s="196"/>
      <c r="C67" s="197"/>
      <c r="E67" s="197"/>
      <c r="F67" s="197"/>
      <c r="H67" s="197"/>
      <c r="L67" s="197"/>
      <c r="M67" s="199"/>
      <c r="N67" s="200"/>
      <c r="P67" s="200"/>
      <c r="R67" s="201"/>
      <c r="AD67" s="197"/>
      <c r="AH67" s="197"/>
      <c r="AJ67" s="201"/>
      <c r="AL67" s="202"/>
      <c r="AM67" s="196"/>
    </row>
    <row r="68" spans="1:39" s="198" customFormat="1" x14ac:dyDescent="0.25">
      <c r="A68" s="196"/>
      <c r="B68" s="196"/>
      <c r="C68" s="197"/>
      <c r="E68" s="197"/>
      <c r="F68" s="197"/>
      <c r="H68" s="197"/>
      <c r="L68" s="197"/>
      <c r="M68" s="199"/>
      <c r="N68" s="200"/>
      <c r="P68" s="200"/>
      <c r="R68" s="201"/>
      <c r="AD68" s="197"/>
      <c r="AH68" s="197"/>
      <c r="AJ68" s="201"/>
      <c r="AL68" s="202"/>
      <c r="AM68" s="196"/>
    </row>
    <row r="69" spans="1:39" s="198" customFormat="1" x14ac:dyDescent="0.25">
      <c r="A69" s="196"/>
      <c r="B69" s="196"/>
      <c r="C69" s="197"/>
      <c r="E69" s="197"/>
      <c r="F69" s="197"/>
      <c r="H69" s="197"/>
      <c r="L69" s="197"/>
      <c r="M69" s="199"/>
      <c r="N69" s="200"/>
      <c r="P69" s="200"/>
      <c r="R69" s="201"/>
      <c r="AD69" s="197"/>
      <c r="AH69" s="197"/>
      <c r="AJ69" s="201"/>
      <c r="AL69" s="202"/>
      <c r="AM69" s="196"/>
    </row>
    <row r="70" spans="1:39" s="198" customFormat="1" x14ac:dyDescent="0.25">
      <c r="A70" s="196"/>
      <c r="B70" s="196"/>
      <c r="C70" s="197"/>
      <c r="E70" s="197"/>
      <c r="F70" s="197"/>
      <c r="H70" s="197"/>
      <c r="L70" s="197"/>
      <c r="M70" s="199"/>
      <c r="N70" s="200"/>
      <c r="P70" s="200"/>
      <c r="R70" s="201"/>
      <c r="AD70" s="197"/>
      <c r="AH70" s="197"/>
      <c r="AJ70" s="201"/>
      <c r="AL70" s="202"/>
      <c r="AM70" s="196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36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7" t="s">
        <v>28</v>
      </c>
    </row>
    <row r="2" spans="1:3" ht="18" x14ac:dyDescent="0.35">
      <c r="A2" s="262">
        <v>44013</v>
      </c>
      <c r="B2" s="263"/>
      <c r="C2" s="263"/>
    </row>
    <row r="3" spans="1:3" x14ac:dyDescent="0.25">
      <c r="A3" s="265" t="s">
        <v>1</v>
      </c>
      <c r="B3" s="264" t="s">
        <v>2</v>
      </c>
      <c r="C3" s="264" t="s">
        <v>3</v>
      </c>
    </row>
    <row r="4" spans="1:3" x14ac:dyDescent="0.25">
      <c r="A4" s="265"/>
      <c r="B4" s="264"/>
      <c r="C4" s="264"/>
    </row>
    <row r="5" spans="1:3" x14ac:dyDescent="0.25">
      <c r="A5" s="265"/>
      <c r="B5" s="264"/>
      <c r="C5" s="264"/>
    </row>
    <row r="6" spans="1:3" x14ac:dyDescent="0.25">
      <c r="A6" s="2">
        <v>1</v>
      </c>
      <c r="B6" s="2"/>
      <c r="C6" s="2"/>
    </row>
    <row r="7" spans="1:3" x14ac:dyDescent="0.25">
      <c r="A7" s="2">
        <v>2</v>
      </c>
      <c r="B7" s="2"/>
      <c r="C7" s="2"/>
    </row>
    <row r="8" spans="1:3" x14ac:dyDescent="0.25">
      <c r="A8" s="2">
        <f>A7+1</f>
        <v>3</v>
      </c>
      <c r="B8" s="2"/>
      <c r="C8" s="2"/>
    </row>
    <row r="9" spans="1:3" x14ac:dyDescent="0.25">
      <c r="A9" s="2">
        <f>A8+1</f>
        <v>4</v>
      </c>
      <c r="B9" s="2"/>
      <c r="C9" s="2"/>
    </row>
    <row r="10" spans="1:3" x14ac:dyDescent="0.25">
      <c r="A10" s="2">
        <f t="shared" ref="A10:A35" si="0">A9+1</f>
        <v>5</v>
      </c>
      <c r="B10" s="2"/>
      <c r="C10" s="2"/>
    </row>
    <row r="11" spans="1:3" x14ac:dyDescent="0.25">
      <c r="A11" s="2">
        <f t="shared" si="0"/>
        <v>6</v>
      </c>
      <c r="B11" s="2"/>
      <c r="C11" s="2"/>
    </row>
    <row r="12" spans="1:3" x14ac:dyDescent="0.25">
      <c r="A12" s="2">
        <f t="shared" si="0"/>
        <v>7</v>
      </c>
      <c r="B12" s="2"/>
      <c r="C12" s="2"/>
    </row>
    <row r="13" spans="1:3" x14ac:dyDescent="0.25">
      <c r="A13" s="2">
        <f t="shared" si="0"/>
        <v>8</v>
      </c>
      <c r="B13" s="2"/>
      <c r="C13" s="2"/>
    </row>
    <row r="14" spans="1:3" x14ac:dyDescent="0.25">
      <c r="A14" s="2">
        <f t="shared" si="0"/>
        <v>9</v>
      </c>
      <c r="B14" s="2"/>
      <c r="C14" s="2"/>
    </row>
    <row r="15" spans="1:3" x14ac:dyDescent="0.25">
      <c r="A15" s="2">
        <f t="shared" si="0"/>
        <v>10</v>
      </c>
      <c r="B15" s="2"/>
      <c r="C15" s="2"/>
    </row>
    <row r="16" spans="1:3" x14ac:dyDescent="0.25">
      <c r="A16" s="2">
        <f t="shared" si="0"/>
        <v>11</v>
      </c>
      <c r="B16" s="2"/>
      <c r="C16" s="2"/>
    </row>
    <row r="17" spans="1:3" x14ac:dyDescent="0.25">
      <c r="A17" s="2">
        <f t="shared" si="0"/>
        <v>12</v>
      </c>
      <c r="B17" s="2"/>
      <c r="C17" s="2"/>
    </row>
    <row r="18" spans="1:3" x14ac:dyDescent="0.25">
      <c r="A18" s="2">
        <f t="shared" si="0"/>
        <v>13</v>
      </c>
      <c r="B18" s="2"/>
      <c r="C18" s="2"/>
    </row>
    <row r="19" spans="1:3" x14ac:dyDescent="0.25">
      <c r="A19" s="2">
        <f t="shared" si="0"/>
        <v>14</v>
      </c>
      <c r="B19" s="2"/>
      <c r="C19" s="2"/>
    </row>
    <row r="20" spans="1:3" x14ac:dyDescent="0.25">
      <c r="A20" s="2">
        <f t="shared" si="0"/>
        <v>15</v>
      </c>
      <c r="B20" s="2"/>
      <c r="C20" s="2"/>
    </row>
    <row r="21" spans="1:3" x14ac:dyDescent="0.25">
      <c r="A21" s="2">
        <f t="shared" si="0"/>
        <v>16</v>
      </c>
      <c r="B21" s="2"/>
      <c r="C21" s="2"/>
    </row>
    <row r="22" spans="1:3" x14ac:dyDescent="0.25">
      <c r="A22" s="2">
        <f t="shared" si="0"/>
        <v>17</v>
      </c>
      <c r="B22" s="2"/>
      <c r="C22" s="2"/>
    </row>
    <row r="23" spans="1:3" x14ac:dyDescent="0.25">
      <c r="A23" s="2">
        <f t="shared" si="0"/>
        <v>18</v>
      </c>
      <c r="B23" s="2"/>
      <c r="C23" s="2"/>
    </row>
    <row r="24" spans="1:3" x14ac:dyDescent="0.25">
      <c r="A24" s="2">
        <f t="shared" si="0"/>
        <v>19</v>
      </c>
      <c r="B24" s="2"/>
      <c r="C24" s="2"/>
    </row>
    <row r="25" spans="1:3" x14ac:dyDescent="0.25">
      <c r="A25" s="2">
        <f t="shared" si="0"/>
        <v>20</v>
      </c>
      <c r="B25" s="2"/>
      <c r="C25" s="2"/>
    </row>
    <row r="26" spans="1:3" x14ac:dyDescent="0.25">
      <c r="A26" s="2">
        <f t="shared" si="0"/>
        <v>21</v>
      </c>
      <c r="B26" s="2"/>
      <c r="C26" s="2"/>
    </row>
    <row r="27" spans="1:3" x14ac:dyDescent="0.25">
      <c r="A27" s="2">
        <f t="shared" si="0"/>
        <v>22</v>
      </c>
      <c r="B27" s="2"/>
      <c r="C27" s="2"/>
    </row>
    <row r="28" spans="1:3" x14ac:dyDescent="0.25">
      <c r="A28" s="2">
        <f t="shared" si="0"/>
        <v>23</v>
      </c>
      <c r="B28" s="2"/>
      <c r="C28" s="2"/>
    </row>
    <row r="29" spans="1:3" x14ac:dyDescent="0.25">
      <c r="A29" s="2">
        <f t="shared" si="0"/>
        <v>24</v>
      </c>
      <c r="B29" s="2"/>
      <c r="C29" s="2"/>
    </row>
    <row r="30" spans="1:3" x14ac:dyDescent="0.25">
      <c r="A30" s="2">
        <f t="shared" si="0"/>
        <v>25</v>
      </c>
      <c r="B30" s="2"/>
      <c r="C30" s="2"/>
    </row>
    <row r="31" spans="1:3" x14ac:dyDescent="0.25">
      <c r="A31" s="2">
        <f t="shared" si="0"/>
        <v>26</v>
      </c>
      <c r="B31" s="2"/>
      <c r="C31" s="2"/>
    </row>
    <row r="32" spans="1:3" x14ac:dyDescent="0.25">
      <c r="A32" s="2">
        <f t="shared" si="0"/>
        <v>27</v>
      </c>
      <c r="B32" s="2"/>
      <c r="C32" s="2"/>
    </row>
    <row r="33" spans="1:3" x14ac:dyDescent="0.25">
      <c r="A33" s="2">
        <f t="shared" si="0"/>
        <v>28</v>
      </c>
      <c r="B33" s="2"/>
      <c r="C33" s="2"/>
    </row>
    <row r="34" spans="1:3" x14ac:dyDescent="0.25">
      <c r="A34" s="2">
        <f t="shared" si="0"/>
        <v>29</v>
      </c>
      <c r="B34" s="2"/>
      <c r="C34" s="2"/>
    </row>
    <row r="35" spans="1:3" x14ac:dyDescent="0.25">
      <c r="A35" s="2">
        <f t="shared" si="0"/>
        <v>30</v>
      </c>
      <c r="B35" s="2"/>
      <c r="C35" s="2"/>
    </row>
    <row r="36" spans="1:3" x14ac:dyDescent="0.25">
      <c r="A36" s="2">
        <v>31</v>
      </c>
      <c r="B36" s="2"/>
      <c r="C36" s="2"/>
    </row>
    <row r="38" spans="1:3" x14ac:dyDescent="0.25">
      <c r="B38" s="6">
        <f>SUM(B6:B36)</f>
        <v>0</v>
      </c>
      <c r="C38" s="6">
        <f>SUM(C6:C36)</f>
        <v>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July 2020</vt:lpstr>
      <vt:lpstr>RNs &amp; Covers July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2022-04-30T10:59:14Z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