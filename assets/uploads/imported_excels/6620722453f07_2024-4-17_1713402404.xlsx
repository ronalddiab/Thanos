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filterPrivacy="1"/>
  <xr:revisionPtr revIDLastSave="286" documentId="8_{0497B0DD-18C1-40BD-B9FC-449099B2A16A}" xr6:coauthVersionLast="36" xr6:coauthVersionMax="36" xr10:uidLastSave="{8BBFC9B9-48C4-4AD9-9F55-1590F998162F}"/>
  <bookViews>
    <workbookView xWindow="-100" yWindow="-100" windowWidth="18190" windowHeight="11470" activeTab="4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3" i="5" l="1"/>
  <c r="G11" i="5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<sst xmlns="http://schemas.openxmlformats.org/spreadsheetml/2006/main" count="181" uniqueCount="49">
  <si>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</si>
  <si>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</si>
  <si>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</si>
  <si>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</si>
  <si>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</si>
  <si>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</si>
  <si>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</si>
  <si>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</si>
  <si>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</si>
  <si>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</si>
  <si>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</si>
  <si>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</si>
  <si>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</si>
  <si>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</si>
  <si>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</si>
  <si>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</si>
  <si>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</si>
  <si>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</si>
  <si>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</si>
  <si>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</si>
  <si>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</si>
  <si>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</si>
  <si>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</si>
  <si>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</si>
  <si>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</si>
  <si>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</si>
  <si>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</si>
  <si>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</si>
  <si>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</si>
  <si>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</si>
  <si>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</si>
  <si>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</si>
  <si>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</si>
  <si>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</si>
  <si>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</si>
  <si>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</si>
  <si>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</si>
  <si>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</si>
  <si>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</si>
  <si>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</si>
  <si>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Ramu/Sathis</t>
  </si>
  <si>
    <t>Veera</t>
  </si>
  <si>
    <t>Veera/Aung</t>
  </si>
  <si>
    <t>Veera/Ramu</t>
  </si>
  <si>
    <t>Dipak</t>
  </si>
  <si>
    <t>Ramu/Sathis/Aung</t>
  </si>
  <si>
    <t>Venkat/Ullah</t>
  </si>
  <si>
    <t>Venkat</t>
  </si>
  <si>
    <t>Ramu/Sathis/Veera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</si>
</sst>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0" borderId="2" xfId="0" applyFont="1" applyBorder="1" applyAlignment="1">
      <alignment vertical="center" wrapText="1"/>
    </xf>
    <xf numFmtId="0" fontId="0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2"/>
  <sheetViews>
    <sheetView workbookViewId="0">
      <selection activeCell="L22" sqref="L22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4</v>
      </c>
      <c r="D2" s="9">
        <v>2024</v>
      </c>
      <c r="E2" s="43">
        <f>'Submetering '!E2+'Submetering '!F2+'Submetering '!G2</f>
        <v>12300</v>
      </c>
      <c r="F2" s="10">
        <v>0.2979</v>
      </c>
      <c r="G2" s="13">
        <f>-'Submetering '!J2+'Submetering '!K2</f>
        <v>770</v>
      </c>
      <c r="H2" s="10">
        <v>0.23119999999999999</v>
      </c>
      <c r="I2" s="13">
        <f>'Submetering '!L2+'Submetering '!M2</f>
        <v>142</v>
      </c>
      <c r="J2" s="10">
        <v>2.94</v>
      </c>
      <c r="K2" s="9">
        <v>177</v>
      </c>
      <c r="L2" s="9">
        <v>177</v>
      </c>
    </row>
    <row r="3" spans="1:12" s="12" customFormat="1" x14ac:dyDescent="0.35">
      <c r="A3" s="9" t="s">
        <v>39</v>
      </c>
      <c r="B3" s="12">
        <f>B2+1</f>
        <v>2</v>
      </c>
      <c r="C3" s="10">
        <v>4</v>
      </c>
      <c r="D3" s="9">
        <v>2024</v>
      </c>
      <c r="E3" s="43">
        <f>'Submetering '!E3+'Submetering '!F3+'Submetering '!G3</f>
        <v>13200</v>
      </c>
      <c r="F3" s="10">
        <v>0.2979</v>
      </c>
      <c r="G3" s="13">
        <f>-'Submetering '!J3+'Submetering '!K3</f>
        <v>732</v>
      </c>
      <c r="H3" s="10">
        <v>0.23119999999999999</v>
      </c>
      <c r="I3" s="13">
        <f>'Submetering '!L3+'Submetering '!M3</f>
        <v>137</v>
      </c>
      <c r="J3" s="10">
        <v>2.94</v>
      </c>
      <c r="K3" s="9">
        <v>202</v>
      </c>
      <c r="L3" s="9">
        <v>202</v>
      </c>
    </row>
    <row r="4" spans="1:12" s="12" customFormat="1" x14ac:dyDescent="0.35">
      <c r="A4" s="9" t="s">
        <v>39</v>
      </c>
      <c r="B4" s="12">
        <f t="shared" ref="B4:B31" si="0">B3+1</f>
        <v>3</v>
      </c>
      <c r="C4" s="10">
        <v>4</v>
      </c>
      <c r="D4" s="9">
        <v>2024</v>
      </c>
      <c r="E4" s="43">
        <f>'Submetering '!E4+'Submetering '!F4+'Submetering '!G4</f>
        <v>13455</v>
      </c>
      <c r="F4" s="10">
        <v>0.2979</v>
      </c>
      <c r="G4" s="13">
        <f>-'Submetering '!J4+'Submetering '!K4</f>
        <v>780</v>
      </c>
      <c r="H4" s="10">
        <v>0.23119999999999999</v>
      </c>
      <c r="I4" s="13">
        <f>'Submetering '!L4+'Submetering '!M4</f>
        <v>193</v>
      </c>
      <c r="J4" s="10">
        <v>2.94</v>
      </c>
      <c r="K4" s="9">
        <v>221</v>
      </c>
      <c r="L4" s="9">
        <v>221</v>
      </c>
    </row>
    <row r="5" spans="1:12" s="12" customFormat="1" x14ac:dyDescent="0.35">
      <c r="A5" s="9" t="s">
        <v>39</v>
      </c>
      <c r="B5" s="12">
        <f t="shared" si="0"/>
        <v>4</v>
      </c>
      <c r="C5" s="10">
        <v>4</v>
      </c>
      <c r="D5" s="9">
        <v>2024</v>
      </c>
      <c r="E5" s="43">
        <f>'Submetering '!E5+'Submetering '!F5+'Submetering '!G5</f>
        <v>13395</v>
      </c>
      <c r="F5" s="10">
        <v>0.2979</v>
      </c>
      <c r="G5" s="13">
        <f>-'Submetering '!J5+'Submetering '!K5</f>
        <v>709</v>
      </c>
      <c r="H5" s="10">
        <v>0.23119999999999999</v>
      </c>
      <c r="I5" s="13">
        <f>'Submetering '!L5+'Submetering '!M5</f>
        <v>169</v>
      </c>
      <c r="J5" s="10">
        <v>2.94</v>
      </c>
      <c r="K5" s="9">
        <v>225</v>
      </c>
      <c r="L5" s="9">
        <v>225</v>
      </c>
    </row>
    <row r="6" spans="1:12" s="12" customFormat="1" x14ac:dyDescent="0.35">
      <c r="A6" s="9" t="s">
        <v>39</v>
      </c>
      <c r="B6" s="12">
        <f t="shared" si="0"/>
        <v>5</v>
      </c>
      <c r="C6" s="10">
        <v>4</v>
      </c>
      <c r="D6" s="9">
        <v>2024</v>
      </c>
      <c r="E6" s="43">
        <f>'Submetering '!E6+'Submetering '!F6+'Submetering '!G6</f>
        <v>13470</v>
      </c>
      <c r="F6" s="10">
        <v>0.2979</v>
      </c>
      <c r="G6" s="13">
        <f>-'Submetering '!J6+'Submetering '!K6</f>
        <v>719</v>
      </c>
      <c r="H6" s="10">
        <v>0.23119999999999999</v>
      </c>
      <c r="I6" s="13">
        <f>'Submetering '!L6+'Submetering '!M6</f>
        <v>130</v>
      </c>
      <c r="J6" s="10">
        <v>2.94</v>
      </c>
      <c r="K6" s="9">
        <v>242</v>
      </c>
      <c r="L6" s="9">
        <v>242</v>
      </c>
    </row>
    <row r="7" spans="1:12" s="12" customFormat="1" x14ac:dyDescent="0.35">
      <c r="A7" s="9" t="s">
        <v>39</v>
      </c>
      <c r="B7" s="12">
        <f t="shared" si="0"/>
        <v>6</v>
      </c>
      <c r="C7" s="10">
        <v>4</v>
      </c>
      <c r="D7" s="9">
        <v>2024</v>
      </c>
      <c r="E7" s="43">
        <f>'Submetering '!E7+'Submetering '!F7+'Submetering '!G7</f>
        <v>13785</v>
      </c>
      <c r="F7" s="10">
        <v>0.2979</v>
      </c>
      <c r="G7" s="13">
        <f>-'Submetering '!J7+'Submetering '!K7</f>
        <v>776</v>
      </c>
      <c r="H7" s="10">
        <v>0.23119999999999999</v>
      </c>
      <c r="I7" s="13">
        <f>'Submetering '!L7+'Submetering '!M7</f>
        <v>212</v>
      </c>
      <c r="J7" s="10">
        <v>2.94</v>
      </c>
      <c r="K7" s="9">
        <v>220</v>
      </c>
      <c r="L7" s="9">
        <v>220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4</v>
      </c>
      <c r="D8" s="9">
        <v>2024</v>
      </c>
      <c r="E8" s="43">
        <f>'Submetering '!E8+'Submetering '!F8+'Submetering '!G8</f>
        <v>12015</v>
      </c>
      <c r="F8" s="10">
        <v>0.2979</v>
      </c>
      <c r="G8" s="13">
        <f>-'Submetering '!J8+'Submetering '!K8</f>
        <v>773</v>
      </c>
      <c r="H8" s="10">
        <v>0.23119999999999999</v>
      </c>
      <c r="I8" s="13">
        <f>'Submetering '!L8+'Submetering '!M8</f>
        <v>149</v>
      </c>
      <c r="J8" s="10">
        <v>2.94</v>
      </c>
      <c r="K8" s="9">
        <v>181</v>
      </c>
      <c r="L8" s="9">
        <v>181</v>
      </c>
    </row>
    <row r="9" spans="1:12" s="12" customFormat="1" x14ac:dyDescent="0.35">
      <c r="A9" s="9" t="s">
        <v>39</v>
      </c>
      <c r="B9" s="12">
        <f t="shared" si="0"/>
        <v>8</v>
      </c>
      <c r="C9" s="10">
        <v>4</v>
      </c>
      <c r="D9" s="9">
        <v>2024</v>
      </c>
      <c r="E9" s="43">
        <f>'Submetering '!E9+'Submetering '!F9+'Submetering '!G9</f>
        <v>13050</v>
      </c>
      <c r="F9" s="10">
        <v>0.2979</v>
      </c>
      <c r="G9" s="13">
        <f>-'Submetering '!J9+'Submetering '!K9</f>
        <v>717</v>
      </c>
      <c r="H9" s="10">
        <v>0.23119999999999999</v>
      </c>
      <c r="I9" s="13">
        <f>'Submetering '!L9+'Submetering '!M9</f>
        <v>111</v>
      </c>
      <c r="J9" s="10">
        <v>2.94</v>
      </c>
      <c r="K9" s="9">
        <v>184</v>
      </c>
      <c r="L9" s="9">
        <v>814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4</v>
      </c>
      <c r="D10" s="9">
        <v>2024</v>
      </c>
      <c r="E10" s="43">
        <f>'Submetering '!E10+'Submetering '!F10+'Submetering '!G10</f>
        <v>13095</v>
      </c>
      <c r="F10" s="10">
        <v>0.2979</v>
      </c>
      <c r="G10" s="13">
        <f>-'Submetering '!J10+'Submetering '!K10</f>
        <v>828</v>
      </c>
      <c r="H10" s="10">
        <v>0.23119999999999999</v>
      </c>
      <c r="I10" s="13">
        <f>'Submetering '!L10+'Submetering '!M10</f>
        <v>148</v>
      </c>
      <c r="J10" s="10">
        <v>2.94</v>
      </c>
      <c r="K10" s="9">
        <v>204</v>
      </c>
      <c r="L10" s="9">
        <v>204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4</v>
      </c>
      <c r="D11" s="9">
        <v>2024</v>
      </c>
      <c r="E11" s="43">
        <f>'Submetering '!E11+'Submetering '!F11+'Submetering '!G11</f>
        <v>13470</v>
      </c>
      <c r="F11" s="10">
        <v>0.2979</v>
      </c>
      <c r="G11" s="13">
        <f>-'Submetering '!J11+'Submetering '!K11</f>
        <v>765</v>
      </c>
      <c r="H11" s="10">
        <v>0.23119999999999999</v>
      </c>
      <c r="I11" s="13">
        <f>'Submetering '!L11+'Submetering '!M11</f>
        <v>139</v>
      </c>
      <c r="J11" s="10">
        <v>2.94</v>
      </c>
      <c r="K11" s="9">
        <v>216</v>
      </c>
      <c r="L11" s="9">
        <v>216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4</v>
      </c>
      <c r="D12" s="9">
        <v>2024</v>
      </c>
      <c r="E12" s="43">
        <f>'Submetering '!E12+'Submetering '!F12+'Submetering '!G12</f>
        <v>13050</v>
      </c>
      <c r="F12" s="10">
        <v>0.2979</v>
      </c>
      <c r="G12" s="13">
        <f>-'Submetering '!J12+'Submetering '!K12</f>
        <v>721</v>
      </c>
      <c r="H12" s="10">
        <v>0.23119999999999999</v>
      </c>
      <c r="I12" s="13">
        <f>'Submetering '!L12+'Submetering '!M12</f>
        <v>161</v>
      </c>
      <c r="J12" s="10">
        <v>2.94</v>
      </c>
      <c r="K12" s="9">
        <v>207</v>
      </c>
      <c r="L12" s="9">
        <v>207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4</v>
      </c>
      <c r="D13" s="9">
        <v>2024</v>
      </c>
      <c r="E13" s="43">
        <f>'Submetering '!E13+'Submetering '!F13+'Submetering '!G13</f>
        <v>12465</v>
      </c>
      <c r="F13" s="10">
        <v>0.2979</v>
      </c>
      <c r="G13" s="13">
        <f>-'Submetering '!J13+'Submetering '!K13</f>
        <v>871</v>
      </c>
      <c r="H13" s="10">
        <v>0.23119999999999999</v>
      </c>
      <c r="I13" s="13">
        <f>'Submetering '!L13+'Submetering '!M13</f>
        <v>129</v>
      </c>
      <c r="J13" s="10">
        <v>2.94</v>
      </c>
      <c r="K13" s="9">
        <v>209</v>
      </c>
      <c r="L13" s="9">
        <v>209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4</v>
      </c>
      <c r="D14" s="9">
        <v>2024</v>
      </c>
      <c r="E14" s="43">
        <f>'Submetering '!E14+'Submetering '!F14+'Submetering '!G14</f>
        <v>13620</v>
      </c>
      <c r="F14" s="10">
        <v>0.2979</v>
      </c>
      <c r="G14" s="13">
        <f>-'Submetering '!J14+'Submetering '!K14</f>
        <v>818</v>
      </c>
      <c r="H14" s="10">
        <v>0.23119999999999999</v>
      </c>
      <c r="I14" s="13">
        <f>'Submetering '!L14+'Submetering '!M14</f>
        <v>162</v>
      </c>
      <c r="J14" s="10">
        <v>2.94</v>
      </c>
      <c r="K14" s="9">
        <v>203</v>
      </c>
      <c r="L14" s="9">
        <v>203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4</v>
      </c>
      <c r="D15" s="9">
        <v>2024</v>
      </c>
      <c r="E15" s="43">
        <f>'Submetering '!E15+'Submetering '!F15+'Submetering '!G15</f>
        <v>12120</v>
      </c>
      <c r="F15" s="10">
        <v>0.2979</v>
      </c>
      <c r="G15" s="13">
        <f>-'Submetering '!J15+'Submetering '!K15</f>
        <v>743</v>
      </c>
      <c r="H15" s="10">
        <v>0.23119999999999999</v>
      </c>
      <c r="I15" s="13">
        <f>'Submetering '!L15+'Submetering '!M15</f>
        <v>140</v>
      </c>
      <c r="J15" s="10">
        <v>2.94</v>
      </c>
      <c r="K15" s="9">
        <v>191</v>
      </c>
      <c r="L15" s="9">
        <v>191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4</v>
      </c>
      <c r="D16" s="9">
        <v>2024</v>
      </c>
      <c r="E16" s="43">
        <f>'Submetering '!E16+'Submetering '!F16+'Submetering '!G16</f>
        <v>12150</v>
      </c>
      <c r="F16" s="10">
        <v>0.2979</v>
      </c>
      <c r="G16" s="13">
        <f>-'Submetering '!J16+'Submetering '!K16</f>
        <v>740</v>
      </c>
      <c r="H16" s="10">
        <v>0.23119999999999999</v>
      </c>
      <c r="I16" s="13">
        <f>'Submetering '!L16+'Submetering '!M16</f>
        <v>134</v>
      </c>
      <c r="J16" s="10">
        <v>2.94</v>
      </c>
      <c r="K16" s="9">
        <v>245</v>
      </c>
      <c r="L16" s="9">
        <v>245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4</v>
      </c>
      <c r="D17" s="9">
        <v>2024</v>
      </c>
      <c r="E17" s="43">
        <f>'Submetering '!E17+'Submetering '!F17+'Submetering '!G17</f>
        <v>12600</v>
      </c>
      <c r="F17" s="10">
        <v>0.2979</v>
      </c>
      <c r="G17" s="13">
        <f>-'Submetering '!J17+'Submetering '!K17</f>
        <v>866</v>
      </c>
      <c r="H17" s="10">
        <v>0.23119999999999999</v>
      </c>
      <c r="I17" s="13">
        <f>'Submetering '!L17+'Submetering '!M17</f>
        <v>147</v>
      </c>
      <c r="J17" s="10">
        <v>2.94</v>
      </c>
      <c r="K17" s="9">
        <v>266</v>
      </c>
      <c r="L17" s="9">
        <v>266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4</v>
      </c>
      <c r="D18" s="9">
        <v>2024</v>
      </c>
      <c r="E18" s="43">
        <f>'Submetering '!E18+'Submetering '!F18+'Submetering '!G18</f>
        <v>13215</v>
      </c>
      <c r="F18" s="10">
        <v>0.2979</v>
      </c>
      <c r="G18" s="13">
        <f>-'Submetering '!J18+'Submetering '!K18</f>
        <v>801</v>
      </c>
      <c r="H18" s="10">
        <v>0.23119999999999999</v>
      </c>
      <c r="I18" s="13">
        <f>'Submetering '!L18+'Submetering '!M18</f>
        <v>150</v>
      </c>
      <c r="J18" s="10">
        <v>2.94</v>
      </c>
      <c r="K18" s="9">
        <v>269</v>
      </c>
      <c r="L18" s="9">
        <v>269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4</v>
      </c>
      <c r="D19" s="9">
        <v>2024</v>
      </c>
      <c r="E19" s="43">
        <f>'Submetering '!E19+'Submetering '!F19+'Submetering '!G19</f>
        <v>0</v>
      </c>
      <c r="F19" s="10">
        <v>0.2979</v>
      </c>
      <c r="G19" s="13">
        <f>-'Submetering '!J19+'Submetering '!K19</f>
        <v>0</v>
      </c>
      <c r="H19" s="10">
        <v>0.23119999999999999</v>
      </c>
      <c r="I19" s="13">
        <f>'Submetering '!L19+'Submetering '!M19</f>
        <v>0</v>
      </c>
      <c r="J19" s="10">
        <v>2.94</v>
      </c>
      <c r="K19" s="9"/>
      <c r="L19" s="9"/>
    </row>
    <row r="20" spans="1:12" s="12" customFormat="1" x14ac:dyDescent="0.35">
      <c r="A20" s="9" t="s">
        <v>39</v>
      </c>
      <c r="B20" s="12">
        <f t="shared" si="0"/>
        <v>19</v>
      </c>
      <c r="C20" s="10">
        <v>4</v>
      </c>
      <c r="D20" s="9">
        <v>2024</v>
      </c>
      <c r="E20" s="43">
        <f>'Submetering '!E20+'Submetering '!F20+'Submetering '!G20</f>
        <v>0</v>
      </c>
      <c r="F20" s="10">
        <v>0.2979</v>
      </c>
      <c r="G20" s="13">
        <f>-'Submetering '!J20+'Submetering '!K20</f>
        <v>0</v>
      </c>
      <c r="H20" s="10">
        <v>0.23119999999999999</v>
      </c>
      <c r="I20" s="13">
        <f>'Submetering '!L20+'Submetering '!M20</f>
        <v>0</v>
      </c>
      <c r="J20" s="10">
        <v>2.94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4</v>
      </c>
      <c r="D21" s="9">
        <v>2024</v>
      </c>
      <c r="E21" s="43">
        <f>'Submetering '!E21+'Submetering '!F21+'Submetering '!G21</f>
        <v>0</v>
      </c>
      <c r="F21" s="10">
        <v>0.2979</v>
      </c>
      <c r="G21" s="13">
        <f>-'Submetering '!J21+'Submetering '!K21</f>
        <v>0</v>
      </c>
      <c r="H21" s="10">
        <v>0.23119999999999999</v>
      </c>
      <c r="I21" s="13">
        <f>'Submetering '!L21+'Submetering '!M21</f>
        <v>0</v>
      </c>
      <c r="J21" s="10">
        <v>2.94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4</v>
      </c>
      <c r="D22" s="9">
        <v>2024</v>
      </c>
      <c r="E22" s="43">
        <f>'Submetering '!E22+'Submetering '!F22+'Submetering '!G22</f>
        <v>0</v>
      </c>
      <c r="F22" s="10">
        <v>0.2979</v>
      </c>
      <c r="G22" s="13">
        <f>-'Submetering '!J22+'Submetering '!K22</f>
        <v>0</v>
      </c>
      <c r="H22" s="10">
        <v>0.23119999999999999</v>
      </c>
      <c r="I22" s="13">
        <f>'Submetering '!L22+'Submetering '!M22</f>
        <v>0</v>
      </c>
      <c r="J22" s="10">
        <v>2.94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4</v>
      </c>
      <c r="D23" s="9">
        <v>2024</v>
      </c>
      <c r="E23" s="43">
        <f>'Submetering '!E23+'Submetering '!F23+'Submetering '!G23</f>
        <v>0</v>
      </c>
      <c r="F23" s="10">
        <v>0.2979</v>
      </c>
      <c r="G23" s="13">
        <f>-'Submetering '!J23+'Submetering '!K23</f>
        <v>0</v>
      </c>
      <c r="H23" s="10">
        <v>0.23119999999999999</v>
      </c>
      <c r="I23" s="13">
        <f>'Submetering '!L23+'Submetering '!M23</f>
        <v>0</v>
      </c>
      <c r="J23" s="10">
        <v>2.94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4</v>
      </c>
      <c r="D24" s="9">
        <v>2024</v>
      </c>
      <c r="E24" s="43">
        <f>'Submetering '!E24+'Submetering '!F24+'Submetering '!G24</f>
        <v>0</v>
      </c>
      <c r="F24" s="10">
        <v>0.2979</v>
      </c>
      <c r="G24" s="13">
        <f>-'Submetering '!J24+'Submetering '!K24</f>
        <v>0</v>
      </c>
      <c r="H24" s="10">
        <v>0.23119999999999999</v>
      </c>
      <c r="I24" s="13">
        <f>'Submetering '!L24+'Submetering '!M24</f>
        <v>0</v>
      </c>
      <c r="J24" s="10">
        <v>2.94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4</v>
      </c>
      <c r="D25" s="9">
        <v>2024</v>
      </c>
      <c r="E25" s="43">
        <f>'Submetering '!E25+'Submetering '!F25+'Submetering '!G25</f>
        <v>0</v>
      </c>
      <c r="F25" s="10">
        <v>0.2979</v>
      </c>
      <c r="G25" s="13">
        <f>-'Submetering '!J25+'Submetering '!K25</f>
        <v>0</v>
      </c>
      <c r="H25" s="10">
        <v>0.23119999999999999</v>
      </c>
      <c r="I25" s="13">
        <f>'Submetering '!L25+'Submetering '!M25</f>
        <v>0</v>
      </c>
      <c r="J25" s="10">
        <v>2.94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4</v>
      </c>
      <c r="D26" s="9">
        <v>2024</v>
      </c>
      <c r="E26" s="43">
        <f>'Submetering '!E26+'Submetering '!F26+'Submetering '!G26</f>
        <v>0</v>
      </c>
      <c r="F26" s="10">
        <v>0.2979</v>
      </c>
      <c r="G26" s="13">
        <f>-'Submetering '!J26+'Submetering '!K26</f>
        <v>0</v>
      </c>
      <c r="H26" s="10">
        <v>0.23119999999999999</v>
      </c>
      <c r="I26" s="13">
        <f>'Submetering '!L26+'Submetering '!M26</f>
        <v>0</v>
      </c>
      <c r="J26" s="10">
        <v>2.94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4</v>
      </c>
      <c r="D27" s="9">
        <v>2024</v>
      </c>
      <c r="E27" s="43">
        <f>'Submetering '!E27+'Submetering '!F27+'Submetering '!G27</f>
        <v>0</v>
      </c>
      <c r="F27" s="10">
        <v>0.2979</v>
      </c>
      <c r="G27" s="13">
        <f>-'Submetering '!J27+'Submetering '!K27</f>
        <v>0</v>
      </c>
      <c r="H27" s="10">
        <v>0.23119999999999999</v>
      </c>
      <c r="I27" s="13">
        <f>'Submetering '!L27+'Submetering '!M27</f>
        <v>0</v>
      </c>
      <c r="J27" s="10">
        <v>2.94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4</v>
      </c>
      <c r="D28" s="9">
        <v>2024</v>
      </c>
      <c r="E28" s="43">
        <f>'Submetering '!E28+'Submetering '!F28+'Submetering '!G28</f>
        <v>0</v>
      </c>
      <c r="F28" s="10">
        <v>0.2979</v>
      </c>
      <c r="G28" s="13">
        <f>-'Submetering '!J28+'Submetering '!K28</f>
        <v>0</v>
      </c>
      <c r="H28" s="10">
        <v>0.23119999999999999</v>
      </c>
      <c r="I28" s="13">
        <f>'Submetering '!L28+'Submetering '!M28</f>
        <v>0</v>
      </c>
      <c r="J28" s="10">
        <v>2.94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4</v>
      </c>
      <c r="D29" s="9">
        <v>2024</v>
      </c>
      <c r="E29" s="43">
        <f>'Submetering '!E29+'Submetering '!F29+'Submetering '!G29</f>
        <v>0</v>
      </c>
      <c r="F29" s="10">
        <v>0.2979</v>
      </c>
      <c r="G29" s="13">
        <f>-'Submetering '!J29+'Submetering '!K29</f>
        <v>0</v>
      </c>
      <c r="H29" s="10">
        <v>0.23119999999999999</v>
      </c>
      <c r="I29" s="13">
        <f>'Submetering '!L29+'Submetering '!M29</f>
        <v>0</v>
      </c>
      <c r="J29" s="10">
        <v>2.94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4</v>
      </c>
      <c r="D30" s="9">
        <v>2024</v>
      </c>
      <c r="E30" s="43">
        <f>'Submetering '!E30+'Submetering '!F30+'Submetering '!G30</f>
        <v>0</v>
      </c>
      <c r="F30" s="10">
        <v>0.2979</v>
      </c>
      <c r="G30" s="13">
        <f>-'Submetering '!J30+'Submetering '!K30</f>
        <v>0</v>
      </c>
      <c r="H30" s="10">
        <v>0.23119999999999999</v>
      </c>
      <c r="I30" s="13">
        <f>'Submetering '!L30+'Submetering '!M30</f>
        <v>0</v>
      </c>
      <c r="J30" s="10">
        <v>2.94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4</v>
      </c>
      <c r="D31" s="9">
        <v>2024</v>
      </c>
      <c r="E31" s="43">
        <f>'Submetering '!E31+'Submetering '!F31+'Submetering '!G31</f>
        <v>0</v>
      </c>
      <c r="F31" s="10">
        <v>0.2979</v>
      </c>
      <c r="G31" s="13">
        <f>-'Submetering '!J31+'Submetering '!K31</f>
        <v>0</v>
      </c>
      <c r="H31" s="10">
        <v>0.23119999999999999</v>
      </c>
      <c r="I31" s="13">
        <f>'Submetering '!L31+'Submetering '!M31</f>
        <v>0</v>
      </c>
      <c r="J31" s="10">
        <v>2.94</v>
      </c>
    </row>
    <row r="32" spans="1:12" x14ac:dyDescent="0.35">
      <c r="I32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1"/>
  <sheetViews>
    <sheetView topLeftCell="N1" zoomScale="80" zoomScaleNormal="80" workbookViewId="0">
      <selection activeCell="AC15" sqref="AC15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4</v>
      </c>
      <c r="D2" s="9">
        <v>2024</v>
      </c>
      <c r="E2" s="33">
        <f>(IF((Electrical!B3-Electrical!B2)&lt;0,"0",(Electrical!B3-Electrical!B2)))*15</f>
        <v>5355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3525</v>
      </c>
      <c r="H2" s="33">
        <f>IF((Electrical!E3-Electrical!E2)&lt;0,"0",(Electrical!E3-Electrical!E2))</f>
        <v>3917</v>
      </c>
      <c r="I2" s="33">
        <f>IF((Electrical!F3-Electrical!F2)&lt;0,"0",(Electrical!F3-Electrical!F2))</f>
        <v>392</v>
      </c>
      <c r="J2" s="33">
        <f>IF((Gas!B3-Gas!B2)&lt;0,"0",(Gas!B3-Gas!B2))</f>
        <v>0</v>
      </c>
      <c r="K2" s="33">
        <f>IF((Gas!C3-Gas!C2)&lt;0,"0",(Gas!C3-Gas!C2))</f>
        <v>770</v>
      </c>
      <c r="L2" s="33">
        <f>(IF((Water!B3-Water!B2)&lt;0,"0",(Water!B3-Water!B2)))*10</f>
        <v>120</v>
      </c>
      <c r="M2" s="33">
        <f>IF((Water!C3-Water!C2)&lt;0,"0",(Water!C3-Water!C2))</f>
        <v>22</v>
      </c>
      <c r="N2" s="33">
        <f>IF((Water!D3-Water!D2)&lt;0,"0",(Water!D3-Water!D2))</f>
        <v>0</v>
      </c>
      <c r="O2" s="33">
        <f>IF((Water!E3-Water!E2)&lt;0,"0",(Water!E3-Water!E2))</f>
        <v>14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8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34</v>
      </c>
      <c r="Y2" s="9">
        <v>177</v>
      </c>
      <c r="Z2" s="9">
        <v>177</v>
      </c>
    </row>
    <row r="3" spans="1:26" s="9" customFormat="1" x14ac:dyDescent="0.35">
      <c r="A3" s="9" t="s">
        <v>36</v>
      </c>
      <c r="B3" s="12">
        <f>B2+1</f>
        <v>2</v>
      </c>
      <c r="C3" s="10">
        <v>4</v>
      </c>
      <c r="D3" s="9">
        <v>2024</v>
      </c>
      <c r="E3" s="33">
        <f>(IF((Electrical!B4-Electrical!B3)&lt;0,"0",(Electrical!B4-Electrical!B3)))*15</f>
        <v>6015</v>
      </c>
      <c r="F3" s="33">
        <f>(IF((Electrical!C4-Electrical!C3)&lt;0,"0",(Electrical!C4-Electrical!C3)))*15</f>
        <v>3615</v>
      </c>
      <c r="G3" s="33">
        <f>(IF((Electrical!D4-Electrical!D3)&lt;0,"0",(Electrical!D4-Electrical!D3)))*15</f>
        <v>3570</v>
      </c>
      <c r="H3" s="33">
        <f>IF((Electrical!E4-Electrical!E3)&lt;0,"0",(Electrical!E4-Electrical!E3))</f>
        <v>4441</v>
      </c>
      <c r="I3" s="33">
        <f>IF((Electrical!F4-Electrical!F3)&lt;0,"0",(Electrical!F4-Electrical!F3))</f>
        <v>392</v>
      </c>
      <c r="J3" s="33">
        <f>IF((Gas!B4-Gas!B3)&lt;0,"0",(Gas!B4-Gas!B3))</f>
        <v>0</v>
      </c>
      <c r="K3" s="33">
        <f>IF((Gas!C4-Gas!C3)&lt;0,"0",(Gas!C4-Gas!C3))</f>
        <v>732</v>
      </c>
      <c r="L3" s="33">
        <f>(IF((Water!B4-Water!B3)&lt;0,"0",(Water!B4-Water!B3)))*10</f>
        <v>120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12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47</v>
      </c>
      <c r="Y3" s="9">
        <v>202</v>
      </c>
      <c r="Z3" s="9">
        <v>202</v>
      </c>
    </row>
    <row r="4" spans="1:26" s="12" customFormat="1" x14ac:dyDescent="0.35">
      <c r="A4" s="9" t="s">
        <v>36</v>
      </c>
      <c r="B4" s="12">
        <f t="shared" ref="B4:B31" si="0">B3+1</f>
        <v>3</v>
      </c>
      <c r="C4" s="10">
        <v>4</v>
      </c>
      <c r="D4" s="9">
        <v>2024</v>
      </c>
      <c r="E4" s="33">
        <f>(IF((Electrical!B5-Electrical!B4)&lt;0,"0",(Electrical!B5-Electrical!B4)))*15</f>
        <v>6030</v>
      </c>
      <c r="F4" s="33">
        <f>(IF((Electrical!C5-Electrical!C4)&lt;0,"0",(Electrical!C5-Electrical!C4)))*15</f>
        <v>3825</v>
      </c>
      <c r="G4" s="33">
        <f>(IF((Electrical!D5-Electrical!D4)&lt;0,"0",(Electrical!D5-Electrical!D4)))*15</f>
        <v>3600</v>
      </c>
      <c r="H4" s="33">
        <f>IF((Electrical!E5-Electrical!E4)&lt;0,"0",(Electrical!E5-Electrical!E4))</f>
        <v>4535</v>
      </c>
      <c r="I4" s="33">
        <f>IF((Electrical!F5-Electrical!F4)&lt;0,"0",(Electrical!F5-Electrical!F4))</f>
        <v>386</v>
      </c>
      <c r="J4" s="33">
        <f>IF((Gas!B5-Gas!B4)&lt;0,"0",(Gas!B5-Gas!B4))</f>
        <v>0</v>
      </c>
      <c r="K4" s="33">
        <f>IF((Gas!C5-Gas!C4)&lt;0,"0",(Gas!C5-Gas!C4))</f>
        <v>780</v>
      </c>
      <c r="L4" s="33">
        <f>(IF((Water!B5-Water!B4)&lt;0,"0",(Water!B5-Water!B4)))*10</f>
        <v>170</v>
      </c>
      <c r="M4" s="33">
        <f>IF((Water!C5-Water!C4)&lt;0,"0",(Water!C5-Water!C4))</f>
        <v>23</v>
      </c>
      <c r="N4" s="33">
        <f>IF((Water!D5-Water!D4)&lt;0,"0",(Water!D5-Water!D4))</f>
        <v>0</v>
      </c>
      <c r="O4" s="33">
        <f>IF((Water!E5-Water!E4)&lt;0,"0",(Water!E5-Water!E4))</f>
        <v>14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32</v>
      </c>
      <c r="Y4" s="9">
        <v>221</v>
      </c>
      <c r="Z4" s="9">
        <v>221</v>
      </c>
    </row>
    <row r="5" spans="1:26" s="12" customFormat="1" x14ac:dyDescent="0.35">
      <c r="A5" s="9" t="s">
        <v>36</v>
      </c>
      <c r="B5" s="12">
        <f t="shared" si="0"/>
        <v>4</v>
      </c>
      <c r="C5" s="10">
        <v>4</v>
      </c>
      <c r="D5" s="9">
        <v>2024</v>
      </c>
      <c r="E5" s="33">
        <f>(IF((Electrical!B6-Electrical!B5)&lt;0,"0",(Electrical!B6-Electrical!B5)))*15</f>
        <v>6015</v>
      </c>
      <c r="F5" s="33">
        <f>(IF((Electrical!C6-Electrical!C5)&lt;0,"0",(Electrical!C6-Electrical!C5)))*15</f>
        <v>3720</v>
      </c>
      <c r="G5" s="33">
        <f>(IF((Electrical!D6-Electrical!D5)&lt;0,"0",(Electrical!D6-Electrical!D5)))*15</f>
        <v>3660</v>
      </c>
      <c r="H5" s="33">
        <f>IF((Electrical!E6-Electrical!E5)&lt;0,"0",(Electrical!E6-Electrical!E5))</f>
        <v>4426</v>
      </c>
      <c r="I5" s="33">
        <f>IF((Electrical!F6-Electrical!F5)&lt;0,"0",(Electrical!F6-Electrical!F5))</f>
        <v>393</v>
      </c>
      <c r="J5" s="33">
        <f>IF((Gas!B6-Gas!B5)&lt;0,"0",(Gas!B6-Gas!B5))</f>
        <v>0</v>
      </c>
      <c r="K5" s="33">
        <f>IF((Gas!C6-Gas!C5)&lt;0,"0",(Gas!C6-Gas!C5))</f>
        <v>709</v>
      </c>
      <c r="L5" s="33">
        <f>(IF((Water!B6-Water!B5)&lt;0,"0",(Water!B6-Water!B5)))*10</f>
        <v>150</v>
      </c>
      <c r="M5" s="33">
        <f>IF((Water!C6-Water!C5)&lt;0,"0",(Water!C6-Water!C5))</f>
        <v>19</v>
      </c>
      <c r="N5" s="33">
        <f>IF((Water!D6-Water!D5)&lt;0,"0",(Water!D6-Water!D5))</f>
        <v>0</v>
      </c>
      <c r="O5" s="33">
        <f>IF((Water!E6-Water!E5)&lt;0,"0",(Water!E6-Water!E5))</f>
        <v>13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6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48</v>
      </c>
      <c r="Y5" s="9">
        <v>225</v>
      </c>
      <c r="Z5" s="9">
        <v>225</v>
      </c>
    </row>
    <row r="6" spans="1:26" s="12" customFormat="1" x14ac:dyDescent="0.35">
      <c r="A6" s="9" t="s">
        <v>36</v>
      </c>
      <c r="B6" s="12">
        <f t="shared" si="0"/>
        <v>5</v>
      </c>
      <c r="C6" s="10">
        <v>4</v>
      </c>
      <c r="D6" s="9">
        <v>2024</v>
      </c>
      <c r="E6" s="33">
        <f>(IF((Electrical!B7-Electrical!B6)&lt;0,"0",(Electrical!B7-Electrical!B6)))*15</f>
        <v>6090</v>
      </c>
      <c r="F6" s="33">
        <f>(IF((Electrical!C7-Electrical!C6)&lt;0,"0",(Electrical!C7-Electrical!C6)))*15</f>
        <v>3660</v>
      </c>
      <c r="G6" s="33">
        <f>(IF((Electrical!D7-Electrical!D6)&lt;0,"0",(Electrical!D7-Electrical!D6)))*15</f>
        <v>3720</v>
      </c>
      <c r="H6" s="33">
        <f>IF((Electrical!E7-Electrical!E6)&lt;0,"0",(Electrical!E7-Electrical!E6))</f>
        <v>4384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719</v>
      </c>
      <c r="L6" s="33">
        <f>(IF((Water!B7-Water!B6)&lt;0,"0",(Water!B7-Water!B6)))*10</f>
        <v>110</v>
      </c>
      <c r="M6" s="33">
        <f>IF((Water!C7-Water!C6)&lt;0,"0",(Water!C7-Water!C6))</f>
        <v>20</v>
      </c>
      <c r="N6" s="33">
        <f>IF((Water!D7-Water!D6)&lt;0,"0",(Water!D7-Water!D6))</f>
        <v>0</v>
      </c>
      <c r="O6" s="33">
        <f>IF((Water!E7-Water!E6)&lt;0,"0",(Water!E7-Water!E6))</f>
        <v>15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32</v>
      </c>
      <c r="Y6" s="9">
        <v>242</v>
      </c>
      <c r="Z6" s="9">
        <v>242</v>
      </c>
    </row>
    <row r="7" spans="1:26" s="12" customFormat="1" x14ac:dyDescent="0.35">
      <c r="A7" s="9" t="s">
        <v>36</v>
      </c>
      <c r="B7" s="12">
        <f t="shared" si="0"/>
        <v>6</v>
      </c>
      <c r="C7" s="10">
        <v>4</v>
      </c>
      <c r="D7" s="9">
        <v>2024</v>
      </c>
      <c r="E7" s="33">
        <f>(IF((Electrical!B8-Electrical!B7)&lt;0,"0",(Electrical!B8-Electrical!B7)))*15</f>
        <v>6030</v>
      </c>
      <c r="F7" s="33">
        <f>(IF((Electrical!C8-Electrical!C7)&lt;0,"0",(Electrical!C8-Electrical!C7)))*15</f>
        <v>4020</v>
      </c>
      <c r="G7" s="33">
        <f>(IF((Electrical!D8-Electrical!D7)&lt;0,"0",(Electrical!D8-Electrical!D7)))*15</f>
        <v>3735</v>
      </c>
      <c r="H7" s="33">
        <f>IF((Electrical!E8-Electrical!E7)&lt;0,"0",(Electrical!E8-Electrical!E7))</f>
        <v>4559</v>
      </c>
      <c r="I7" s="33">
        <f>IF((Electrical!F8-Electrical!F7)&lt;0,"0",(Electrical!F8-Electrical!F7))</f>
        <v>444</v>
      </c>
      <c r="J7" s="33">
        <f>IF((Gas!B8-Gas!B7)&lt;0,"0",(Gas!B8-Gas!B7))</f>
        <v>0</v>
      </c>
      <c r="K7" s="33">
        <f>IF((Gas!C8-Gas!C7)&lt;0,"0",(Gas!C8-Gas!C7))</f>
        <v>776</v>
      </c>
      <c r="L7" s="33">
        <f>(IF((Water!B8-Water!B7)&lt;0,"0",(Water!B8-Water!B7)))*10</f>
        <v>190</v>
      </c>
      <c r="M7" s="33">
        <f>IF((Water!C8-Water!C7)&lt;0,"0",(Water!C8-Water!C7))</f>
        <v>22</v>
      </c>
      <c r="N7" s="33">
        <f>IF((Water!D8-Water!D7)&lt;0,"0",(Water!D8-Water!D7))</f>
        <v>0</v>
      </c>
      <c r="O7" s="33">
        <f>IF((Water!E8-Water!E7)&lt;0,"0",(Water!E8-Water!E7))</f>
        <v>18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1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49</v>
      </c>
      <c r="Y7" s="9">
        <v>220</v>
      </c>
      <c r="Z7" s="9">
        <v>220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4</v>
      </c>
      <c r="D8" s="9">
        <v>2024</v>
      </c>
      <c r="E8" s="33">
        <f>(IF((Electrical!B9-Electrical!B8)&lt;0,"0",(Electrical!B9-Electrical!B8)))*15</f>
        <v>5565</v>
      </c>
      <c r="F8" s="33">
        <f>(IF((Electrical!C9-Electrical!C8)&lt;0,"0",(Electrical!C9-Electrical!C8)))*15</f>
        <v>3645</v>
      </c>
      <c r="G8" s="33">
        <f>(IF((Electrical!D9-Electrical!D8)&lt;0,"0",(Electrical!D9-Electrical!D8)))*15</f>
        <v>2805</v>
      </c>
      <c r="H8" s="33">
        <f>IF((Electrical!E9-Electrical!E8)&lt;0,"0",(Electrical!E9-Electrical!E8))</f>
        <v>4177</v>
      </c>
      <c r="I8" s="33">
        <f>IF((Electrical!F9-Electrical!F8)&lt;0,"0",(Electrical!F9-Electrical!F8))</f>
        <v>399</v>
      </c>
      <c r="J8" s="33">
        <f>IF((Gas!B9-Gas!B8)&lt;0,"0",(Gas!B9-Gas!B8))</f>
        <v>0</v>
      </c>
      <c r="K8" s="33">
        <f>IF((Gas!C9-Gas!C8)&lt;0,"0",(Gas!C9-Gas!C8))</f>
        <v>773</v>
      </c>
      <c r="L8" s="33">
        <f>(IF((Water!B9-Water!B8)&lt;0,"0",(Water!B9-Water!B8)))*10</f>
        <v>130</v>
      </c>
      <c r="M8" s="33">
        <f>IF((Water!C9-Water!C8)&lt;0,"0",(Water!C9-Water!C8))</f>
        <v>19</v>
      </c>
      <c r="N8" s="33">
        <f>IF((Water!D9-Water!D8)&lt;0,"0",(Water!D9-Water!D8))</f>
        <v>0</v>
      </c>
      <c r="O8" s="33">
        <f>IF((Water!E9-Water!E8)&lt;0,"0",(Water!E9-Water!E8))</f>
        <v>14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1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32</v>
      </c>
      <c r="Y8" s="9">
        <v>181</v>
      </c>
      <c r="Z8" s="9">
        <v>181</v>
      </c>
    </row>
    <row r="9" spans="1:26" s="12" customFormat="1" x14ac:dyDescent="0.35">
      <c r="A9" s="9" t="s">
        <v>36</v>
      </c>
      <c r="B9" s="12">
        <f t="shared" si="0"/>
        <v>8</v>
      </c>
      <c r="C9" s="10">
        <v>4</v>
      </c>
      <c r="D9" s="9">
        <v>2024</v>
      </c>
      <c r="E9" s="33">
        <f>(IF((Electrical!B10-Electrical!B9)&lt;0,"0",(Electrical!B10-Electrical!B9)))*15</f>
        <v>5400</v>
      </c>
      <c r="F9" s="33">
        <f>(IF((Electrical!C10-Electrical!C9)&lt;0,"0",(Electrical!C10-Electrical!C9)))*15</f>
        <v>3330</v>
      </c>
      <c r="G9" s="33">
        <f>(IF((Electrical!D10-Electrical!D9)&lt;0,"0",(Electrical!D10-Electrical!D9)))*15</f>
        <v>4320</v>
      </c>
      <c r="H9" s="33">
        <f>IF((Electrical!E10-Electrical!E9)&lt;0,"0",(Electrical!E10-Electrical!E9))</f>
        <v>4029</v>
      </c>
      <c r="I9" s="33">
        <f>IF((Electrical!F10-Electrical!F9)&lt;0,"0",(Electrical!F10-Electrical!F9))</f>
        <v>383</v>
      </c>
      <c r="J9" s="33">
        <f>IF((Gas!B10-Gas!B9)&lt;0,"0",(Gas!B10-Gas!B9))</f>
        <v>0</v>
      </c>
      <c r="K9" s="33">
        <f>IF((Gas!C10-Gas!C9)&lt;0,"0",(Gas!C10-Gas!C9))</f>
        <v>717</v>
      </c>
      <c r="L9" s="33">
        <f>(IF((Water!B10-Water!B9)&lt;0,"0",(Water!B10-Water!B9)))*10</f>
        <v>90</v>
      </c>
      <c r="M9" s="33">
        <f>IF((Water!C10-Water!C9)&lt;0,"0",(Water!C10-Water!C9))</f>
        <v>21</v>
      </c>
      <c r="N9" s="33">
        <f>IF((Water!D10-Water!D9)&lt;0,"0",(Water!D10-Water!D9))</f>
        <v>0</v>
      </c>
      <c r="O9" s="33">
        <f>IF((Water!E10-Water!E9)&lt;0,"0",(Water!E10-Water!E9))</f>
        <v>10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9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32</v>
      </c>
      <c r="Y9" s="9">
        <v>184</v>
      </c>
      <c r="Z9" s="9">
        <v>184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4</v>
      </c>
      <c r="D10" s="9">
        <v>2024</v>
      </c>
      <c r="E10" s="33">
        <f>(IF((Electrical!B11-Electrical!B10)&lt;0,"0",(Electrical!B11-Electrical!B10)))*15</f>
        <v>5790</v>
      </c>
      <c r="F10" s="33">
        <f>(IF((Electrical!C11-Electrical!C10)&lt;0,"0",(Electrical!C11-Electrical!C10)))*15</f>
        <v>3705</v>
      </c>
      <c r="G10" s="33">
        <f>(IF((Electrical!D11-Electrical!D10)&lt;0,"0",(Electrical!D11-Electrical!D10)))*15</f>
        <v>3600</v>
      </c>
      <c r="H10" s="33">
        <f>IF((Electrical!E11-Electrical!E10)&lt;0,"0",(Electrical!E11-Electrical!E10))</f>
        <v>4133</v>
      </c>
      <c r="I10" s="33">
        <f>IF((Electrical!F11-Electrical!F10)&lt;0,"0",(Electrical!F11-Electrical!F10))</f>
        <v>360</v>
      </c>
      <c r="J10" s="33">
        <f>IF((Gas!B11-Gas!B10)&lt;0,"0",(Gas!B11-Gas!B10))</f>
        <v>0</v>
      </c>
      <c r="K10" s="33">
        <f>IF((Gas!C11-Gas!C10)&lt;0,"0",(Gas!C11-Gas!C10))</f>
        <v>828</v>
      </c>
      <c r="L10" s="33">
        <f>(IF((Water!B11-Water!B10)&lt;0,"0",(Water!B11-Water!B10)))*10</f>
        <v>130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11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48</v>
      </c>
      <c r="Y10" s="9">
        <v>204</v>
      </c>
      <c r="Z10" s="9">
        <v>204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4</v>
      </c>
      <c r="D11" s="9">
        <v>2024</v>
      </c>
      <c r="E11" s="33">
        <f>(IF((Electrical!B12-Electrical!B11)&lt;0,"0",(Electrical!B12-Electrical!B11)))*15</f>
        <v>6030</v>
      </c>
      <c r="F11" s="33">
        <f>(IF((Electrical!C12-Electrical!C11)&lt;0,"0",(Electrical!C12-Electrical!C11)))*15</f>
        <v>3810</v>
      </c>
      <c r="G11" s="33">
        <f>(IF((Electrical!D12-Electrical!D11)&lt;0,"0",(Electrical!D12-Electrical!D11)))*15</f>
        <v>3630</v>
      </c>
      <c r="H11" s="33">
        <f>IF((Electrical!E12-Electrical!E11)&lt;0,"0",(Electrical!E12-Electrical!E11))</f>
        <v>4499</v>
      </c>
      <c r="I11" s="33">
        <f>IF((Electrical!F12-Electrical!F11)&lt;0,"0",(Electrical!F12-Electrical!F11))</f>
        <v>394</v>
      </c>
      <c r="J11" s="33">
        <f>IF((Gas!B12-Gas!B11)&lt;0,"0",(Gas!B12-Gas!B11))</f>
        <v>0</v>
      </c>
      <c r="K11" s="33">
        <f>IF((Gas!C12-Gas!C11)&lt;0,"0",(Gas!C12-Gas!C11))</f>
        <v>765</v>
      </c>
      <c r="L11" s="33">
        <f>(IF((Water!B12-Water!B11)&lt;0,"0",(Water!B12-Water!B11)))*10</f>
        <v>120</v>
      </c>
      <c r="M11" s="33">
        <f>IF((Water!C12-Water!C11)&lt;0,"0",(Water!C12-Water!C11))</f>
        <v>19</v>
      </c>
      <c r="N11" s="33">
        <f>IF((Water!D12-Water!D11)&lt;0,"0",(Water!D12-Water!D11))</f>
        <v>0</v>
      </c>
      <c r="O11" s="33">
        <f>IF((Water!E12-Water!E11)&lt;0,"0",(Water!E12-Water!E11))</f>
        <v>10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32</v>
      </c>
      <c r="Y11" s="9">
        <v>216</v>
      </c>
      <c r="Z11" s="9">
        <v>216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4</v>
      </c>
      <c r="D12" s="9">
        <v>2024</v>
      </c>
      <c r="E12" s="33">
        <f>(IF((Electrical!B13-Electrical!B12)&lt;0,"0",(Electrical!B13-Electrical!B12)))*15</f>
        <v>5970</v>
      </c>
      <c r="F12" s="33">
        <f>(IF((Electrical!C13-Electrical!C12)&lt;0,"0",(Electrical!C13-Electrical!C12)))*15</f>
        <v>3540</v>
      </c>
      <c r="G12" s="33">
        <f>(IF((Electrical!D13-Electrical!D12)&lt;0,"0",(Electrical!D13-Electrical!D12)))*15</f>
        <v>3540</v>
      </c>
      <c r="H12" s="33">
        <f>IF((Electrical!E13-Electrical!E12)&lt;0,"0",(Electrical!E13-Electrical!E12))</f>
        <v>4128</v>
      </c>
      <c r="I12" s="33">
        <f>IF((Electrical!F13-Electrical!F12)&lt;0,"0",(Electrical!F13-Electrical!F12))</f>
        <v>414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140</v>
      </c>
      <c r="M12" s="33">
        <f>IF((Water!C13-Water!C12)&lt;0,"0",(Water!C13-Water!C12))</f>
        <v>21</v>
      </c>
      <c r="N12" s="33">
        <f>IF((Water!D13-Water!D12)&lt;0,"0",(Water!D13-Water!D12))</f>
        <v>0</v>
      </c>
      <c r="O12" s="33">
        <f>IF((Water!E13-Water!E12)&lt;0,"0",(Water!E13-Water!E12))</f>
        <v>10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7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48</v>
      </c>
      <c r="Y12" s="9">
        <v>207</v>
      </c>
      <c r="Z12" s="9">
        <v>207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4</v>
      </c>
      <c r="D13" s="9">
        <v>2024</v>
      </c>
      <c r="E13" s="33">
        <f>(IF((Electrical!B14-Electrical!B13)&lt;0,"0",(Electrical!B14-Electrical!B13)))*15</f>
        <v>5610</v>
      </c>
      <c r="F13" s="33">
        <f>(IF((Electrical!C14-Electrical!C13)&lt;0,"0",(Electrical!C14-Electrical!C13)))*15</f>
        <v>3300</v>
      </c>
      <c r="G13" s="33">
        <f>(IF((Electrical!D14-Electrical!D13)&lt;0,"0",(Electrical!D14-Electrical!D13)))*15</f>
        <v>3555</v>
      </c>
      <c r="H13" s="33">
        <f>IF((Electrical!E14-Electrical!E13)&lt;0,"0",(Electrical!E14-Electrical!E13))</f>
        <v>3612</v>
      </c>
      <c r="I13" s="33">
        <f>IF((Electrical!F14-Electrical!F13)&lt;0,"0",(Electrical!F14-Electrical!F13))</f>
        <v>385</v>
      </c>
      <c r="J13" s="33">
        <f>IF((Gas!B14-Gas!B13)&lt;0,"0",(Gas!B14-Gas!B13))</f>
        <v>0</v>
      </c>
      <c r="K13" s="33">
        <f>IF((Gas!C14-Gas!C13)&lt;0,"0",(Gas!C14-Gas!C13))</f>
        <v>871</v>
      </c>
      <c r="L13" s="33">
        <f>(IF((Water!B14-Water!B13)&lt;0,"0",(Water!B14-Water!B13)))*10</f>
        <v>110</v>
      </c>
      <c r="M13" s="33">
        <f>IF((Water!C14-Water!C13)&lt;0,"0",(Water!C14-Water!C13))</f>
        <v>19</v>
      </c>
      <c r="N13" s="33">
        <f>IF((Water!D14-Water!D13)&lt;0,"0",(Water!D14-Water!D13))</f>
        <v>0</v>
      </c>
      <c r="O13" s="33">
        <f>IF((Water!E14-Water!E13)&lt;0,"0",(Water!E14-Water!E13))</f>
        <v>10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32</v>
      </c>
      <c r="Y13" s="9">
        <v>209</v>
      </c>
      <c r="Z13" s="9">
        <v>209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4</v>
      </c>
      <c r="D14" s="9">
        <v>2024</v>
      </c>
      <c r="E14" s="33">
        <f>(IF((Electrical!B15-Electrical!B14)&lt;0,"0",(Electrical!B15-Electrical!B14)))*15</f>
        <v>5730</v>
      </c>
      <c r="F14" s="33">
        <f>(IF((Electrical!C15-Electrical!C14)&lt;0,"0",(Electrical!C15-Electrical!C14)))*15</f>
        <v>4005</v>
      </c>
      <c r="G14" s="33">
        <f>(IF((Electrical!D15-Electrical!D14)&lt;0,"0",(Electrical!D15-Electrical!D14)))*15</f>
        <v>3885</v>
      </c>
      <c r="H14" s="33">
        <f>IF((Electrical!E15-Electrical!E14)&lt;0,"0",(Electrical!E15-Electrical!E14))</f>
        <v>4162</v>
      </c>
      <c r="I14" s="33">
        <f>IF((Electrical!F15-Electrical!F14)&lt;0,"0",(Electrical!F15-Electrical!F14))</f>
        <v>461</v>
      </c>
      <c r="J14" s="33">
        <f>IF((Gas!B15-Gas!B14)&lt;0,"0",(Gas!B15-Gas!B14))</f>
        <v>0</v>
      </c>
      <c r="K14" s="33">
        <f>IF((Gas!C15-Gas!C14)&lt;0,"0",(Gas!C15-Gas!C14))</f>
        <v>818</v>
      </c>
      <c r="L14" s="33">
        <f>(IF((Water!B15-Water!B14)&lt;0,"0",(Water!B15-Water!B14)))*10</f>
        <v>140</v>
      </c>
      <c r="M14" s="33">
        <f>IF((Water!C15-Water!C14)&lt;0,"0",(Water!C15-Water!C14))</f>
        <v>22</v>
      </c>
      <c r="N14" s="33">
        <f>IF((Water!D15-Water!D14)&lt;0,"0",(Water!D15-Water!D14))</f>
        <v>0</v>
      </c>
      <c r="O14" s="33">
        <f>IF((Water!E15-Water!E14)&lt;0,"0",(Water!E15-Water!E14))</f>
        <v>15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203</v>
      </c>
      <c r="Z14" s="9">
        <v>203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4</v>
      </c>
      <c r="D15" s="9">
        <v>2024</v>
      </c>
      <c r="E15" s="33">
        <f>(IF((Electrical!B16-Electrical!B15)&lt;0,"0",(Electrical!B16-Electrical!B15)))*15</f>
        <v>5205</v>
      </c>
      <c r="F15" s="33">
        <f>(IF((Electrical!C16-Electrical!C15)&lt;0,"0",(Electrical!C16-Electrical!C15)))*15</f>
        <v>3330</v>
      </c>
      <c r="G15" s="33">
        <f>(IF((Electrical!D16-Electrical!D15)&lt;0,"0",(Electrical!D16-Electrical!D15)))*15</f>
        <v>3585</v>
      </c>
      <c r="H15" s="33">
        <f>IF((Electrical!E16-Electrical!E15)&lt;0,"0",(Electrical!E16-Electrical!E15))</f>
        <v>3699</v>
      </c>
      <c r="I15" s="33">
        <f>IF((Electrical!F16-Electrical!F15)&lt;0,"0",(Electrical!F16-Electrical!F15))</f>
        <v>399</v>
      </c>
      <c r="J15" s="33">
        <f>IF((Gas!B16-Gas!B15)&lt;0,"0",(Gas!B16-Gas!B15))</f>
        <v>0</v>
      </c>
      <c r="K15" s="33">
        <f>IF((Gas!C16-Gas!C15)&lt;0,"0",(Gas!C16-Gas!C15))</f>
        <v>743</v>
      </c>
      <c r="L15" s="33">
        <f>(IF((Water!B16-Water!B15)&lt;0,"0",(Water!B16-Water!B15)))*10</f>
        <v>120</v>
      </c>
      <c r="M15" s="33">
        <f>IF((Water!C16-Water!C15)&lt;0,"0",(Water!C16-Water!C15))</f>
        <v>20</v>
      </c>
      <c r="N15" s="33">
        <f>IF((Water!D16-Water!D15)&lt;0,"0",(Water!D16-Water!D15))</f>
        <v>0</v>
      </c>
      <c r="O15" s="33">
        <f>IF((Water!E16-Water!E15)&lt;0,"0",(Water!E16-Water!E15))</f>
        <v>14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33</v>
      </c>
      <c r="Y15" s="9">
        <v>191</v>
      </c>
      <c r="Z15" s="9">
        <v>191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4</v>
      </c>
      <c r="D16" s="9">
        <v>2024</v>
      </c>
      <c r="E16" s="33">
        <f>(IF((Electrical!B17-Electrical!B16)&lt;0,"0",(Electrical!B17-Electrical!B16)))*15</f>
        <v>5310</v>
      </c>
      <c r="F16" s="33">
        <f>(IF((Electrical!C17-Electrical!C16)&lt;0,"0",(Electrical!C17-Electrical!C16)))*15</f>
        <v>3480</v>
      </c>
      <c r="G16" s="33">
        <f>(IF((Electrical!D17-Electrical!D16)&lt;0,"0",(Electrical!D17-Electrical!D16)))*15</f>
        <v>3360</v>
      </c>
      <c r="H16" s="33">
        <f>IF((Electrical!E17-Electrical!E16)&lt;0,"0",(Electrical!E17-Electrical!E16))</f>
        <v>3796</v>
      </c>
      <c r="I16" s="33">
        <f>IF((Electrical!F17-Electrical!F16)&lt;0,"0",(Electrical!F17-Electrical!F16))</f>
        <v>397</v>
      </c>
      <c r="J16" s="33">
        <f>IF((Gas!B17-Gas!B16)&lt;0,"0",(Gas!B17-Gas!B16))</f>
        <v>0</v>
      </c>
      <c r="K16" s="33">
        <f>IF((Gas!C17-Gas!C16)&lt;0,"0",(Gas!C17-Gas!C16))</f>
        <v>740</v>
      </c>
      <c r="L16" s="33">
        <f>(IF((Water!B17-Water!B16)&lt;0,"0",(Water!B17-Water!B16)))*10</f>
        <v>110</v>
      </c>
      <c r="M16" s="33">
        <f>IF((Water!C17-Water!C16)&lt;0,"0",(Water!C17-Water!C16))</f>
        <v>24</v>
      </c>
      <c r="N16" s="33">
        <f>IF((Water!D17-Water!D16)&lt;0,"0",(Water!D17-Water!D16))</f>
        <v>0</v>
      </c>
      <c r="O16" s="33">
        <f>IF((Water!E17-Water!E16)&lt;0,"0",(Water!E17-Water!E16))</f>
        <v>13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6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32</v>
      </c>
      <c r="Y16" s="9">
        <v>245</v>
      </c>
      <c r="Z16" s="9">
        <v>245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4</v>
      </c>
      <c r="D17" s="9">
        <v>2024</v>
      </c>
      <c r="E17" s="33">
        <f>(IF((Electrical!B18-Electrical!B17)&lt;0,"0",(Electrical!B18-Electrical!B17)))*15</f>
        <v>5670</v>
      </c>
      <c r="F17" s="33">
        <f>(IF((Electrical!C18-Electrical!C17)&lt;0,"0",(Electrical!C18-Electrical!C17)))*15</f>
        <v>3495</v>
      </c>
      <c r="G17" s="33">
        <f>(IF((Electrical!D18-Electrical!D17)&lt;0,"0",(Electrical!D18-Electrical!D17)))*15</f>
        <v>3435</v>
      </c>
      <c r="H17" s="33">
        <f>IF((Electrical!E18-Electrical!E17)&lt;0,"0",(Electrical!E18-Electrical!E17))</f>
        <v>3822</v>
      </c>
      <c r="I17" s="33">
        <f>IF((Electrical!F18-Electrical!F17)&lt;0,"0",(Electrical!F18-Electrical!F17))</f>
        <v>444</v>
      </c>
      <c r="J17" s="33">
        <f>IF((Gas!B18-Gas!B17)&lt;0,"0",(Gas!B18-Gas!B17))</f>
        <v>0</v>
      </c>
      <c r="K17" s="33">
        <f>IF((Gas!C18-Gas!C17)&lt;0,"0",(Gas!C18-Gas!C17))</f>
        <v>866</v>
      </c>
      <c r="L17" s="33">
        <f>(IF((Water!B18-Water!B17)&lt;0,"0",(Water!B18-Water!B17)))*10</f>
        <v>130</v>
      </c>
      <c r="M17" s="33">
        <f>IF((Water!C18-Water!C17)&lt;0,"0",(Water!C18-Water!C17))</f>
        <v>17</v>
      </c>
      <c r="N17" s="33">
        <f>IF((Water!D18-Water!D17)&lt;0,"0",(Water!D18-Water!D17))</f>
        <v>0</v>
      </c>
      <c r="O17" s="33">
        <f>IF((Water!E18-Water!E17)&lt;0,"0",(Water!E18-Water!E17))</f>
        <v>17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47</v>
      </c>
      <c r="Y17" s="9">
        <v>266</v>
      </c>
      <c r="Z17" s="9">
        <v>266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4</v>
      </c>
      <c r="D18" s="9">
        <v>2024</v>
      </c>
      <c r="E18" s="33">
        <f>(IF((Electrical!B19-Electrical!B18)&lt;0,"0",(Electrical!B19-Electrical!B18)))*15</f>
        <v>5955</v>
      </c>
      <c r="F18" s="33">
        <f>(IF((Electrical!C19-Electrical!C18)&lt;0,"0",(Electrical!C19-Electrical!C18)))*15</f>
        <v>3585</v>
      </c>
      <c r="G18" s="33">
        <f>(IF((Electrical!D19-Electrical!D18)&lt;0,"0",(Electrical!D19-Electrical!D18)))*15</f>
        <v>3675</v>
      </c>
      <c r="H18" s="33">
        <f>IF((Electrical!E19-Electrical!E18)&lt;0,"0",(Electrical!E19-Electrical!E18))</f>
        <v>4052</v>
      </c>
      <c r="I18" s="33">
        <f>IF((Electrical!F19-Electrical!F18)&lt;0,"0",(Electrical!F19-Electrical!F18))</f>
        <v>419</v>
      </c>
      <c r="J18" s="33">
        <f>IF((Gas!B19-Gas!B18)&lt;0,"0",(Gas!B19-Gas!B18))</f>
        <v>0</v>
      </c>
      <c r="K18" s="33">
        <f>IF((Gas!C19-Gas!C18)&lt;0,"0",(Gas!C19-Gas!C18))</f>
        <v>801</v>
      </c>
      <c r="L18" s="33">
        <f>(IF((Water!B19-Water!B18)&lt;0,"0",(Water!B19-Water!B18)))*10</f>
        <v>130</v>
      </c>
      <c r="M18" s="33">
        <f>IF((Water!C19-Water!C18)&lt;0,"0",(Water!C19-Water!C18))</f>
        <v>20</v>
      </c>
      <c r="N18" s="33">
        <f>IF((Water!D19-Water!D18)&lt;0,"0",(Water!D19-Water!D18))</f>
        <v>0</v>
      </c>
      <c r="O18" s="33">
        <f>IF((Water!E19-Water!E18)&lt;0,"0",(Water!E19-Water!E18))</f>
        <v>15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33</v>
      </c>
      <c r="Y18" s="9">
        <v>269</v>
      </c>
      <c r="Z18" s="9">
        <v>269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4</v>
      </c>
      <c r="D19" s="9">
        <v>2024</v>
      </c>
      <c r="E19" s="33">
        <f>(IF((Electrical!B20-Electrical!B19)&lt;0,"0",(Electrical!B20-Electrical!B19)))*15</f>
        <v>0</v>
      </c>
      <c r="F19" s="33">
        <f>(IF((Electrical!C20-Electrical!C19)&lt;0,"0",(Electrical!C20-Electrical!C19)))*15</f>
        <v>0</v>
      </c>
      <c r="G19" s="33">
        <f>(IF((Electrical!D20-Electrical!D19)&lt;0,"0",(Electrical!D20-Electrical!D19)))*15</f>
        <v>0</v>
      </c>
      <c r="H19" s="33" t="str">
        <f>IF((Electrical!E20-Electrical!E19)&lt;0,"0",(Electrical!E20-Electrical!E19))</f>
        <v>0</v>
      </c>
      <c r="I19" s="33" t="str">
        <f>IF((Electrical!F20-Electrical!F19)&lt;0,"0",(Electrical!F20-Electrical!F19))</f>
        <v>0</v>
      </c>
      <c r="J19" s="33">
        <f>IF((Gas!B20-Gas!B19)&lt;0,"0",(Gas!B20-Gas!B19))</f>
        <v>0</v>
      </c>
      <c r="K19" s="33" t="str">
        <f>IF((Gas!C20-Gas!C19)&lt;0,"0",(Gas!C20-Gas!C19))</f>
        <v>0</v>
      </c>
      <c r="L19" s="33">
        <f>(IF((Water!B20-Water!B19)&lt;0,"0",(Water!B20-Water!B19)))*10</f>
        <v>0</v>
      </c>
      <c r="M19" s="33" t="str">
        <f>IF((Water!C20-Water!C19)&lt;0,"0",(Water!C20-Water!C19))</f>
        <v>0</v>
      </c>
      <c r="N19" s="33">
        <f>IF((Water!D20-Water!D19)&lt;0,"0",(Water!D20-Water!D19))</f>
        <v>0</v>
      </c>
      <c r="O19" s="33" t="str">
        <f>IF((Water!E20-Water!E19)&lt;0,"0",(Water!E20-Water!E19))</f>
        <v>0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 t="str">
        <f>IF((Water!J20-Water!J19)&lt;0,"0",(Water!J20-Water!J19))</f>
        <v>0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 t="str">
        <f>IF((Water!N20-Water!N19)&lt;0,"0",(Water!N20-Water!N19))</f>
        <v>0</v>
      </c>
      <c r="Y19" s="9"/>
      <c r="Z19" s="9"/>
    </row>
    <row r="20" spans="1:26" s="12" customFormat="1" x14ac:dyDescent="0.35">
      <c r="A20" s="9" t="s">
        <v>36</v>
      </c>
      <c r="B20" s="12">
        <f t="shared" si="0"/>
        <v>19</v>
      </c>
      <c r="C20" s="10">
        <v>4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>
        <f>IF((Electrical!E21-Electrical!E20)&lt;0,"0",(Electrical!E21-Electrical!E20))</f>
        <v>0</v>
      </c>
      <c r="I20" s="33">
        <f>IF((Electrical!F21-Electrical!F20)&lt;0,"0",(Electrical!F21-Electrical!F20))</f>
        <v>0</v>
      </c>
      <c r="J20" s="33">
        <f>IF((Gas!B21-Gas!B20)&lt;0,"0",(Gas!B21-Gas!B20))</f>
        <v>0</v>
      </c>
      <c r="K20" s="33">
        <f>IF((Gas!C21-Gas!C20)&lt;0,"0",(Gas!C21-Gas!C20))</f>
        <v>0</v>
      </c>
      <c r="L20" s="33">
        <f>(IF((Water!B21-Water!B20)&lt;0,"0",(Water!B21-Water!B20)))*10</f>
        <v>0</v>
      </c>
      <c r="M20" s="33">
        <f>IF((Water!C21-Water!C20)&lt;0,"0",(Water!C21-Water!C20))</f>
        <v>0</v>
      </c>
      <c r="N20" s="33">
        <f>IF((Water!D21-Water!D20)&lt;0,"0",(Water!D21-Water!D20))</f>
        <v>0</v>
      </c>
      <c r="O20" s="33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4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4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4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4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4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IF((Electrical!E38-Electrical!E25)&lt;0,"0",(Electrical!E38-Electrical!E25))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4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IF((Electrical!E27-Electrical!E38)&lt;0,"0",(Electrical!E27-Electrical!E38))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4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4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4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4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4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8"/>
  <sheetViews>
    <sheetView zoomScale="70" zoomScaleNormal="70" workbookViewId="0">
      <selection activeCell="G19" sqref="G19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129471</v>
      </c>
      <c r="C2" s="28">
        <v>94581</v>
      </c>
      <c r="D2" s="46">
        <v>96275</v>
      </c>
      <c r="E2" s="46">
        <v>1344123</v>
      </c>
      <c r="F2" s="46">
        <v>152295</v>
      </c>
      <c r="G2" s="5" t="s">
        <v>40</v>
      </c>
    </row>
    <row r="3" spans="1:7" ht="15.75" customHeight="1" x14ac:dyDescent="0.35">
      <c r="A3" s="7">
        <v>1</v>
      </c>
      <c r="B3" s="47">
        <v>129828</v>
      </c>
      <c r="C3" s="47">
        <v>94809</v>
      </c>
      <c r="D3" s="45">
        <v>96510</v>
      </c>
      <c r="E3" s="45">
        <v>1348040</v>
      </c>
      <c r="F3" s="45">
        <v>152687</v>
      </c>
      <c r="G3" s="27" t="s">
        <v>41</v>
      </c>
    </row>
    <row r="4" spans="1:7" x14ac:dyDescent="0.35">
      <c r="A4" s="7">
        <v>2</v>
      </c>
      <c r="B4" s="28">
        <v>130229</v>
      </c>
      <c r="C4" s="28">
        <v>95050</v>
      </c>
      <c r="D4" s="46">
        <v>96748</v>
      </c>
      <c r="E4" s="45">
        <v>1352481</v>
      </c>
      <c r="F4" s="45">
        <v>153079</v>
      </c>
      <c r="G4" s="27" t="s">
        <v>42</v>
      </c>
    </row>
    <row r="5" spans="1:7" x14ac:dyDescent="0.35">
      <c r="A5" s="7">
        <v>3</v>
      </c>
      <c r="B5" s="28">
        <v>130631</v>
      </c>
      <c r="C5" s="28">
        <v>95305</v>
      </c>
      <c r="D5" s="45">
        <v>96988</v>
      </c>
      <c r="E5" s="45">
        <v>1357016</v>
      </c>
      <c r="F5" s="45">
        <v>153465</v>
      </c>
      <c r="G5" s="27" t="s">
        <v>41</v>
      </c>
    </row>
    <row r="6" spans="1:7" x14ac:dyDescent="0.35">
      <c r="A6" s="7">
        <v>4</v>
      </c>
      <c r="B6" s="28">
        <v>131032</v>
      </c>
      <c r="C6" s="28">
        <v>95553</v>
      </c>
      <c r="D6" s="45">
        <v>97232</v>
      </c>
      <c r="E6" s="45">
        <v>1361442</v>
      </c>
      <c r="F6" s="45">
        <v>153858</v>
      </c>
      <c r="G6" s="5" t="s">
        <v>43</v>
      </c>
    </row>
    <row r="7" spans="1:7" x14ac:dyDescent="0.35">
      <c r="A7" s="7">
        <v>5</v>
      </c>
      <c r="B7" s="28">
        <v>131438</v>
      </c>
      <c r="C7" s="28">
        <v>95797</v>
      </c>
      <c r="D7" s="45">
        <v>97480</v>
      </c>
      <c r="E7" s="45">
        <v>1365826</v>
      </c>
      <c r="F7" s="45">
        <v>154247</v>
      </c>
      <c r="G7" s="5" t="s">
        <v>43</v>
      </c>
    </row>
    <row r="8" spans="1:7" x14ac:dyDescent="0.35">
      <c r="A8" s="7">
        <v>6</v>
      </c>
      <c r="B8" s="28">
        <v>131840</v>
      </c>
      <c r="C8" s="28">
        <v>96065</v>
      </c>
      <c r="D8" s="45">
        <v>97729</v>
      </c>
      <c r="E8" s="45">
        <v>1370385</v>
      </c>
      <c r="F8" s="45">
        <v>154691</v>
      </c>
      <c r="G8" s="5" t="s">
        <v>44</v>
      </c>
    </row>
    <row r="9" spans="1:7" x14ac:dyDescent="0.35">
      <c r="A9" s="7">
        <v>7</v>
      </c>
      <c r="B9" s="28">
        <v>132211</v>
      </c>
      <c r="C9" s="28">
        <v>96308</v>
      </c>
      <c r="D9" s="45">
        <v>97916</v>
      </c>
      <c r="E9" s="45">
        <v>1374562</v>
      </c>
      <c r="F9" s="45">
        <v>155090</v>
      </c>
      <c r="G9" s="5" t="s">
        <v>45</v>
      </c>
    </row>
    <row r="10" spans="1:7" x14ac:dyDescent="0.35">
      <c r="A10" s="7">
        <v>8</v>
      </c>
      <c r="B10" s="28">
        <v>132571</v>
      </c>
      <c r="C10" s="28">
        <v>96530</v>
      </c>
      <c r="D10" s="45">
        <v>98204</v>
      </c>
      <c r="E10" s="45">
        <v>1378591</v>
      </c>
      <c r="F10" s="45">
        <v>155473</v>
      </c>
      <c r="G10" s="48" t="s">
        <v>46</v>
      </c>
    </row>
    <row r="11" spans="1:7" x14ac:dyDescent="0.35">
      <c r="A11" s="7">
        <v>9</v>
      </c>
      <c r="B11" s="28">
        <v>132957</v>
      </c>
      <c r="C11" s="28">
        <v>96777</v>
      </c>
      <c r="D11" s="45">
        <v>98444</v>
      </c>
      <c r="E11" s="45">
        <v>1382724</v>
      </c>
      <c r="F11" s="45">
        <v>155833</v>
      </c>
      <c r="G11" s="48" t="s">
        <v>47</v>
      </c>
    </row>
    <row r="12" spans="1:7" x14ac:dyDescent="0.35">
      <c r="A12" s="7">
        <v>10</v>
      </c>
      <c r="B12" s="28">
        <v>133359</v>
      </c>
      <c r="C12" s="28">
        <v>97031</v>
      </c>
      <c r="D12" s="45">
        <v>98686</v>
      </c>
      <c r="E12" s="45">
        <v>1387223</v>
      </c>
      <c r="F12" s="45">
        <v>156227</v>
      </c>
      <c r="G12" s="48" t="s">
        <v>47</v>
      </c>
    </row>
    <row r="13" spans="1:7" x14ac:dyDescent="0.35">
      <c r="A13" s="7">
        <v>11</v>
      </c>
      <c r="B13" s="28">
        <v>133757</v>
      </c>
      <c r="C13" s="28">
        <v>97267</v>
      </c>
      <c r="D13" s="45">
        <v>98922</v>
      </c>
      <c r="E13" s="45">
        <v>1391351</v>
      </c>
      <c r="F13" s="45">
        <v>156641</v>
      </c>
      <c r="G13" s="5" t="s">
        <v>47</v>
      </c>
    </row>
    <row r="14" spans="1:7" x14ac:dyDescent="0.35">
      <c r="A14" s="7">
        <v>12</v>
      </c>
      <c r="B14" s="28">
        <v>134131</v>
      </c>
      <c r="C14" s="28">
        <v>97487</v>
      </c>
      <c r="D14" s="45">
        <v>99159</v>
      </c>
      <c r="E14" s="45">
        <v>1394963</v>
      </c>
      <c r="F14" s="45">
        <v>157026</v>
      </c>
      <c r="G14" s="5" t="s">
        <v>47</v>
      </c>
    </row>
    <row r="15" spans="1:7" x14ac:dyDescent="0.35">
      <c r="A15" s="7">
        <v>13</v>
      </c>
      <c r="B15" s="28">
        <v>134513</v>
      </c>
      <c r="C15" s="28">
        <v>97754</v>
      </c>
      <c r="D15" s="45">
        <v>99418</v>
      </c>
      <c r="E15" s="45">
        <v>1399125</v>
      </c>
      <c r="F15" s="45">
        <v>157487</v>
      </c>
      <c r="G15" s="5" t="s">
        <v>40</v>
      </c>
    </row>
    <row r="16" spans="1:7" x14ac:dyDescent="0.35">
      <c r="A16" s="7">
        <v>14</v>
      </c>
      <c r="B16" s="28">
        <v>134860</v>
      </c>
      <c r="C16" s="28">
        <v>97976</v>
      </c>
      <c r="D16" s="45">
        <v>99657</v>
      </c>
      <c r="E16" s="45">
        <v>1402824</v>
      </c>
      <c r="F16" s="45">
        <v>157886</v>
      </c>
      <c r="G16" s="5" t="s">
        <v>40</v>
      </c>
    </row>
    <row r="17" spans="1:7" x14ac:dyDescent="0.35">
      <c r="A17" s="7">
        <v>15</v>
      </c>
      <c r="B17" s="28">
        <v>135214</v>
      </c>
      <c r="C17" s="28">
        <v>98208</v>
      </c>
      <c r="D17" s="45">
        <v>99881</v>
      </c>
      <c r="E17" s="45">
        <v>1406620</v>
      </c>
      <c r="F17" s="45">
        <v>158283</v>
      </c>
      <c r="G17" s="5" t="s">
        <v>42</v>
      </c>
    </row>
    <row r="18" spans="1:7" x14ac:dyDescent="0.35">
      <c r="A18" s="7">
        <v>16</v>
      </c>
      <c r="B18" s="28">
        <v>135592</v>
      </c>
      <c r="C18" s="28">
        <v>98441</v>
      </c>
      <c r="D18" s="45">
        <v>100110</v>
      </c>
      <c r="E18" s="45">
        <v>1410442</v>
      </c>
      <c r="F18" s="45">
        <v>158727</v>
      </c>
      <c r="G18" s="5" t="s">
        <v>42</v>
      </c>
    </row>
    <row r="19" spans="1:7" x14ac:dyDescent="0.35">
      <c r="A19" s="7">
        <v>17</v>
      </c>
      <c r="B19" s="28">
        <v>135989</v>
      </c>
      <c r="C19" s="28">
        <v>98680</v>
      </c>
      <c r="D19" s="45">
        <v>100355</v>
      </c>
      <c r="E19" s="45">
        <v>1414494</v>
      </c>
      <c r="F19" s="45">
        <v>159146</v>
      </c>
      <c r="G19" s="5" t="s">
        <v>48</v>
      </c>
    </row>
    <row r="20" spans="1:7" x14ac:dyDescent="0.35">
      <c r="A20" s="7">
        <v>18</v>
      </c>
      <c r="B20" s="28"/>
      <c r="C20" s="28"/>
      <c r="D20" s="45"/>
      <c r="E20" s="45"/>
      <c r="F20" s="45"/>
      <c r="G20" s="5"/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5"/>
    </row>
    <row r="23" spans="1:7" x14ac:dyDescent="0.35">
      <c r="A23" s="7">
        <v>21</v>
      </c>
      <c r="B23" s="28"/>
      <c r="C23" s="28"/>
      <c r="D23" s="45"/>
      <c r="E23" s="45"/>
      <c r="F23" s="45"/>
      <c r="G23" s="5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F26" s="45"/>
      <c r="G26" s="5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8" spans="5:5" x14ac:dyDescent="0.35">
      <c r="E38" s="4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3"/>
  <sheetViews>
    <sheetView zoomScale="85" zoomScaleNormal="85" workbookViewId="0">
      <selection activeCell="D19" sqref="D19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226667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227437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228169</v>
      </c>
      <c r="D4" s="27" t="s">
        <v>42</v>
      </c>
    </row>
    <row r="5" spans="1:4" ht="15.5" x14ac:dyDescent="0.35">
      <c r="A5" s="4">
        <v>3</v>
      </c>
      <c r="B5" s="5">
        <v>0</v>
      </c>
      <c r="C5" s="5">
        <v>228949</v>
      </c>
      <c r="D5" s="27" t="s">
        <v>41</v>
      </c>
    </row>
    <row r="6" spans="1:4" x14ac:dyDescent="0.35">
      <c r="A6" s="4">
        <v>4</v>
      </c>
      <c r="B6" s="5">
        <v>0</v>
      </c>
      <c r="C6" s="5">
        <v>229658</v>
      </c>
      <c r="D6" s="5" t="s">
        <v>43</v>
      </c>
    </row>
    <row r="7" spans="1:4" x14ac:dyDescent="0.35">
      <c r="A7" s="4">
        <v>5</v>
      </c>
      <c r="B7" s="5">
        <v>0</v>
      </c>
      <c r="C7" s="5">
        <v>230377</v>
      </c>
      <c r="D7" s="5" t="s">
        <v>43</v>
      </c>
    </row>
    <row r="8" spans="1:4" x14ac:dyDescent="0.35">
      <c r="A8" s="4">
        <v>6</v>
      </c>
      <c r="B8" s="5">
        <v>0</v>
      </c>
      <c r="C8" s="5">
        <v>231153</v>
      </c>
      <c r="D8" s="5" t="s">
        <v>44</v>
      </c>
    </row>
    <row r="9" spans="1:4" x14ac:dyDescent="0.35">
      <c r="A9" s="4">
        <v>7</v>
      </c>
      <c r="B9" s="5">
        <v>0</v>
      </c>
      <c r="C9" s="5">
        <v>231926</v>
      </c>
      <c r="D9" s="5" t="s">
        <v>45</v>
      </c>
    </row>
    <row r="10" spans="1:4" x14ac:dyDescent="0.35">
      <c r="A10" s="4">
        <v>8</v>
      </c>
      <c r="B10" s="5">
        <v>0</v>
      </c>
      <c r="C10" s="5">
        <v>232643</v>
      </c>
      <c r="D10" s="48" t="s">
        <v>46</v>
      </c>
    </row>
    <row r="11" spans="1:4" x14ac:dyDescent="0.35">
      <c r="A11" s="4">
        <v>9</v>
      </c>
      <c r="B11" s="5">
        <v>0</v>
      </c>
      <c r="C11" s="5">
        <v>233471</v>
      </c>
      <c r="D11" s="48" t="s">
        <v>47</v>
      </c>
    </row>
    <row r="12" spans="1:4" x14ac:dyDescent="0.35">
      <c r="A12" s="4">
        <v>10</v>
      </c>
      <c r="B12" s="5">
        <v>0</v>
      </c>
      <c r="C12" s="5">
        <v>234236</v>
      </c>
      <c r="D12" s="48" t="s">
        <v>47</v>
      </c>
    </row>
    <row r="13" spans="1:4" x14ac:dyDescent="0.35">
      <c r="A13" s="4">
        <v>11</v>
      </c>
      <c r="B13" s="5">
        <v>0</v>
      </c>
      <c r="C13" s="5">
        <v>234957</v>
      </c>
      <c r="D13" s="5" t="s">
        <v>47</v>
      </c>
    </row>
    <row r="14" spans="1:4" x14ac:dyDescent="0.35">
      <c r="A14" s="4">
        <v>12</v>
      </c>
      <c r="B14" s="5">
        <v>0</v>
      </c>
      <c r="C14" s="5">
        <v>235828</v>
      </c>
      <c r="D14" s="5" t="s">
        <v>47</v>
      </c>
    </row>
    <row r="15" spans="1:4" x14ac:dyDescent="0.35">
      <c r="A15" s="4">
        <v>13</v>
      </c>
      <c r="B15" s="5">
        <v>0</v>
      </c>
      <c r="C15" s="5">
        <v>236646</v>
      </c>
      <c r="D15" s="5" t="s">
        <v>40</v>
      </c>
    </row>
    <row r="16" spans="1:4" x14ac:dyDescent="0.35">
      <c r="A16" s="4">
        <v>14</v>
      </c>
      <c r="B16" s="5">
        <v>0</v>
      </c>
      <c r="C16" s="5">
        <v>237389</v>
      </c>
      <c r="D16" s="5" t="s">
        <v>40</v>
      </c>
    </row>
    <row r="17" spans="1:4" x14ac:dyDescent="0.35">
      <c r="A17" s="4">
        <v>15</v>
      </c>
      <c r="B17" s="5">
        <v>0</v>
      </c>
      <c r="C17" s="5">
        <v>238129</v>
      </c>
      <c r="D17" s="5" t="s">
        <v>42</v>
      </c>
    </row>
    <row r="18" spans="1:4" x14ac:dyDescent="0.35">
      <c r="A18" s="4">
        <v>16</v>
      </c>
      <c r="B18" s="5">
        <v>0</v>
      </c>
      <c r="C18" s="5">
        <v>238995</v>
      </c>
      <c r="D18" s="5" t="s">
        <v>42</v>
      </c>
    </row>
    <row r="19" spans="1:4" x14ac:dyDescent="0.35">
      <c r="A19" s="4">
        <v>17</v>
      </c>
      <c r="B19" s="5">
        <v>0</v>
      </c>
      <c r="C19" s="5">
        <v>239796</v>
      </c>
      <c r="D19" s="5" t="s">
        <v>48</v>
      </c>
    </row>
    <row r="20" spans="1:4" x14ac:dyDescent="0.35">
      <c r="A20" s="4">
        <v>18</v>
      </c>
      <c r="B20" s="5">
        <v>0</v>
      </c>
      <c r="C20" s="5"/>
      <c r="D20" s="5"/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x14ac:dyDescent="0.35">
      <c r="A26" s="4">
        <v>24</v>
      </c>
      <c r="B26" s="5">
        <v>0</v>
      </c>
      <c r="C26" s="5"/>
      <c r="D26" s="5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ht="15.5" x14ac:dyDescent="0.35">
      <c r="A33" s="6" t="s">
        <v>37</v>
      </c>
      <c r="B33" s="6"/>
      <c r="C33" s="19"/>
      <c r="D3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4"/>
  <sheetViews>
    <sheetView tabSelected="1" topLeftCell="E4" zoomScale="85" zoomScaleNormal="85" workbookViewId="0">
      <selection activeCell="P21" sqref="P21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3690</v>
      </c>
      <c r="C2" s="5">
        <v>10960</v>
      </c>
      <c r="D2" s="5">
        <v>0</v>
      </c>
      <c r="E2" s="5">
        <v>3386</v>
      </c>
      <c r="F2" s="5">
        <v>0</v>
      </c>
      <c r="G2" s="5">
        <v>0</v>
      </c>
      <c r="H2" s="5">
        <v>0</v>
      </c>
      <c r="I2" s="5">
        <v>0</v>
      </c>
      <c r="J2" s="5">
        <v>435</v>
      </c>
      <c r="K2" s="5">
        <v>0</v>
      </c>
      <c r="L2" s="5">
        <v>0</v>
      </c>
      <c r="M2" s="5">
        <v>0</v>
      </c>
      <c r="N2" s="5">
        <v>13354</v>
      </c>
      <c r="O2" s="5" t="s">
        <v>40</v>
      </c>
    </row>
    <row r="3" spans="1:15" ht="15.5" x14ac:dyDescent="0.35">
      <c r="A3" s="4">
        <v>1</v>
      </c>
      <c r="B3" s="5">
        <v>3702</v>
      </c>
      <c r="C3" s="5">
        <v>10982</v>
      </c>
      <c r="D3" s="5">
        <v>0</v>
      </c>
      <c r="E3" s="5">
        <v>3400</v>
      </c>
      <c r="F3" s="5">
        <v>0</v>
      </c>
      <c r="G3" s="5">
        <v>0</v>
      </c>
      <c r="H3" s="5">
        <v>0</v>
      </c>
      <c r="I3" s="5">
        <v>0</v>
      </c>
      <c r="J3" s="5">
        <v>443</v>
      </c>
      <c r="K3" s="5">
        <v>0</v>
      </c>
      <c r="L3" s="5">
        <v>0</v>
      </c>
      <c r="M3" s="5">
        <v>0</v>
      </c>
      <c r="N3" s="5">
        <v>13388</v>
      </c>
      <c r="O3" s="27" t="s">
        <v>41</v>
      </c>
    </row>
    <row r="4" spans="1:15" ht="15.5" x14ac:dyDescent="0.35">
      <c r="A4" s="4">
        <v>2</v>
      </c>
      <c r="B4" s="5">
        <v>3714</v>
      </c>
      <c r="C4" s="5">
        <v>10999</v>
      </c>
      <c r="D4" s="5">
        <v>0</v>
      </c>
      <c r="E4" s="5">
        <v>3412</v>
      </c>
      <c r="F4" s="5">
        <v>0</v>
      </c>
      <c r="G4" s="5">
        <v>0</v>
      </c>
      <c r="H4" s="5">
        <v>0</v>
      </c>
      <c r="I4" s="5">
        <v>0</v>
      </c>
      <c r="J4" s="5">
        <v>443</v>
      </c>
      <c r="K4" s="5">
        <v>0</v>
      </c>
      <c r="L4" s="5">
        <v>0</v>
      </c>
      <c r="M4" s="5">
        <v>0</v>
      </c>
      <c r="N4" s="5">
        <v>13435</v>
      </c>
      <c r="O4" s="27" t="s">
        <v>42</v>
      </c>
    </row>
    <row r="5" spans="1:15" ht="15.5" x14ac:dyDescent="0.35">
      <c r="A5" s="4">
        <v>3</v>
      </c>
      <c r="B5" s="5">
        <v>3731</v>
      </c>
      <c r="C5" s="5">
        <v>11022</v>
      </c>
      <c r="D5" s="5">
        <v>0</v>
      </c>
      <c r="E5" s="5">
        <v>3426</v>
      </c>
      <c r="F5" s="5">
        <v>0</v>
      </c>
      <c r="G5" s="5">
        <v>0</v>
      </c>
      <c r="H5" s="5">
        <v>0</v>
      </c>
      <c r="I5" s="5">
        <v>0</v>
      </c>
      <c r="J5" s="5">
        <v>443</v>
      </c>
      <c r="K5" s="5">
        <v>0</v>
      </c>
      <c r="L5" s="5">
        <v>0</v>
      </c>
      <c r="M5" s="5">
        <v>0</v>
      </c>
      <c r="N5" s="5">
        <v>13467</v>
      </c>
      <c r="O5" s="27" t="s">
        <v>41</v>
      </c>
    </row>
    <row r="6" spans="1:15" x14ac:dyDescent="0.35">
      <c r="A6" s="4">
        <v>4</v>
      </c>
      <c r="B6" s="5">
        <v>3746</v>
      </c>
      <c r="C6" s="5">
        <v>11041</v>
      </c>
      <c r="D6" s="5">
        <v>0</v>
      </c>
      <c r="E6" s="5">
        <v>3439</v>
      </c>
      <c r="F6" s="5">
        <v>0</v>
      </c>
      <c r="G6" s="5">
        <v>0</v>
      </c>
      <c r="H6" s="5">
        <v>0</v>
      </c>
      <c r="I6" s="5">
        <v>0</v>
      </c>
      <c r="J6" s="5">
        <v>449</v>
      </c>
      <c r="K6" s="5">
        <v>0</v>
      </c>
      <c r="L6" s="5">
        <v>0</v>
      </c>
      <c r="M6" s="5">
        <v>0</v>
      </c>
      <c r="N6" s="5">
        <v>13515</v>
      </c>
      <c r="O6" s="5" t="s">
        <v>43</v>
      </c>
    </row>
    <row r="7" spans="1:15" x14ac:dyDescent="0.35">
      <c r="A7" s="4">
        <v>5</v>
      </c>
      <c r="B7" s="5">
        <v>3757</v>
      </c>
      <c r="C7" s="5">
        <v>11061</v>
      </c>
      <c r="D7" s="5">
        <v>0</v>
      </c>
      <c r="E7" s="5">
        <v>3454</v>
      </c>
      <c r="F7" s="5">
        <v>0</v>
      </c>
      <c r="G7" s="5">
        <v>0</v>
      </c>
      <c r="H7" s="5">
        <v>0</v>
      </c>
      <c r="I7" s="5">
        <v>0</v>
      </c>
      <c r="J7" s="5">
        <v>449</v>
      </c>
      <c r="K7" s="5">
        <v>0</v>
      </c>
      <c r="L7" s="5">
        <v>0</v>
      </c>
      <c r="M7" s="5">
        <v>0</v>
      </c>
      <c r="N7" s="5">
        <v>13547</v>
      </c>
      <c r="O7" s="5" t="s">
        <v>43</v>
      </c>
    </row>
    <row r="8" spans="1:15" x14ac:dyDescent="0.35">
      <c r="A8" s="4">
        <v>6</v>
      </c>
      <c r="B8" s="5">
        <v>3776</v>
      </c>
      <c r="C8" s="5">
        <v>11083</v>
      </c>
      <c r="D8" s="5">
        <v>0</v>
      </c>
      <c r="E8" s="5">
        <v>3472</v>
      </c>
      <c r="F8" s="5">
        <v>0</v>
      </c>
      <c r="G8" s="5">
        <v>0</v>
      </c>
      <c r="H8" s="5">
        <v>0</v>
      </c>
      <c r="I8" s="5">
        <v>0</v>
      </c>
      <c r="J8" s="5">
        <v>450</v>
      </c>
      <c r="K8" s="5">
        <v>0</v>
      </c>
      <c r="L8" s="5">
        <v>0</v>
      </c>
      <c r="M8" s="5">
        <v>0</v>
      </c>
      <c r="N8" s="5">
        <v>13596</v>
      </c>
      <c r="O8" s="5" t="s">
        <v>44</v>
      </c>
    </row>
    <row r="9" spans="1:15" x14ac:dyDescent="0.35">
      <c r="A9" s="4">
        <v>7</v>
      </c>
      <c r="B9" s="5">
        <v>3789</v>
      </c>
      <c r="C9" s="5">
        <v>11102</v>
      </c>
      <c r="D9" s="5">
        <v>0</v>
      </c>
      <c r="E9" s="5">
        <v>3486</v>
      </c>
      <c r="F9" s="5">
        <v>0</v>
      </c>
      <c r="G9" s="5">
        <v>0</v>
      </c>
      <c r="H9" s="5">
        <v>0</v>
      </c>
      <c r="I9" s="5">
        <v>0</v>
      </c>
      <c r="J9" s="5">
        <v>451</v>
      </c>
      <c r="K9" s="5">
        <v>0</v>
      </c>
      <c r="L9" s="5">
        <v>0</v>
      </c>
      <c r="M9" s="5">
        <v>0</v>
      </c>
      <c r="N9" s="5">
        <v>13628</v>
      </c>
      <c r="O9" s="5" t="s">
        <v>45</v>
      </c>
    </row>
    <row r="10" spans="1:15" x14ac:dyDescent="0.35">
      <c r="A10" s="4">
        <v>8</v>
      </c>
      <c r="B10" s="5">
        <v>3798</v>
      </c>
      <c r="C10" s="5">
        <v>11123</v>
      </c>
      <c r="D10" s="5">
        <v>0</v>
      </c>
      <c r="E10" s="5">
        <v>3496</v>
      </c>
      <c r="F10" s="5">
        <v>0</v>
      </c>
      <c r="G10" s="5">
        <v>0</v>
      </c>
      <c r="H10" s="5">
        <v>0</v>
      </c>
      <c r="I10" s="5">
        <v>0</v>
      </c>
      <c r="J10" s="5">
        <v>460</v>
      </c>
      <c r="K10" s="5">
        <v>0</v>
      </c>
      <c r="L10" s="5">
        <v>0</v>
      </c>
      <c r="M10" s="5">
        <v>0</v>
      </c>
      <c r="N10" s="5">
        <v>13660</v>
      </c>
      <c r="O10" s="48" t="s">
        <v>46</v>
      </c>
    </row>
    <row r="11" spans="1:15" x14ac:dyDescent="0.35">
      <c r="A11" s="4">
        <v>9</v>
      </c>
      <c r="B11" s="5">
        <v>3811</v>
      </c>
      <c r="C11" s="5">
        <v>11141</v>
      </c>
      <c r="D11" s="5">
        <v>0</v>
      </c>
      <c r="E11" s="5">
        <v>3507</v>
      </c>
      <c r="F11" s="5">
        <v>0</v>
      </c>
      <c r="G11" s="5">
        <v>0</v>
      </c>
      <c r="H11" s="5">
        <v>0</v>
      </c>
      <c r="I11" s="5">
        <v>0</v>
      </c>
      <c r="J11" s="5">
        <v>460</v>
      </c>
      <c r="K11" s="5">
        <v>0</v>
      </c>
      <c r="L11" s="5">
        <v>0</v>
      </c>
      <c r="M11" s="5">
        <v>0</v>
      </c>
      <c r="N11" s="5">
        <v>13708</v>
      </c>
      <c r="O11" s="48" t="s">
        <v>47</v>
      </c>
    </row>
    <row r="12" spans="1:15" x14ac:dyDescent="0.35">
      <c r="A12" s="4">
        <v>10</v>
      </c>
      <c r="B12" s="5">
        <v>3823</v>
      </c>
      <c r="C12" s="5">
        <v>11160</v>
      </c>
      <c r="D12" s="5">
        <v>0</v>
      </c>
      <c r="E12" s="5">
        <v>3517</v>
      </c>
      <c r="F12" s="5">
        <v>0</v>
      </c>
      <c r="G12" s="5">
        <v>0</v>
      </c>
      <c r="H12" s="5">
        <v>0</v>
      </c>
      <c r="I12" s="5">
        <v>0</v>
      </c>
      <c r="J12" s="5">
        <v>460</v>
      </c>
      <c r="K12" s="5">
        <v>0</v>
      </c>
      <c r="L12" s="5">
        <v>0</v>
      </c>
      <c r="M12" s="5">
        <v>0</v>
      </c>
      <c r="N12" s="5">
        <v>13740</v>
      </c>
      <c r="O12" s="48" t="s">
        <v>47</v>
      </c>
    </row>
    <row r="13" spans="1:15" x14ac:dyDescent="0.35">
      <c r="A13" s="4">
        <v>11</v>
      </c>
      <c r="B13" s="5">
        <v>3837</v>
      </c>
      <c r="C13" s="5">
        <v>11181</v>
      </c>
      <c r="D13" s="5">
        <v>0</v>
      </c>
      <c r="E13" s="5">
        <v>3527</v>
      </c>
      <c r="F13" s="5">
        <v>0</v>
      </c>
      <c r="G13" s="5">
        <v>0</v>
      </c>
      <c r="H13" s="5">
        <v>0</v>
      </c>
      <c r="I13" s="5">
        <v>0</v>
      </c>
      <c r="J13" s="5">
        <v>467</v>
      </c>
      <c r="K13" s="5">
        <v>0</v>
      </c>
      <c r="L13" s="5">
        <v>0</v>
      </c>
      <c r="M13" s="5">
        <v>0</v>
      </c>
      <c r="N13" s="5">
        <v>13788</v>
      </c>
      <c r="O13" s="5" t="s">
        <v>47</v>
      </c>
    </row>
    <row r="14" spans="1:15" x14ac:dyDescent="0.35">
      <c r="A14" s="4">
        <v>12</v>
      </c>
      <c r="B14" s="5">
        <v>3848</v>
      </c>
      <c r="C14" s="5">
        <v>11200</v>
      </c>
      <c r="D14" s="5">
        <v>0</v>
      </c>
      <c r="E14" s="5">
        <v>3537</v>
      </c>
      <c r="F14" s="5">
        <v>0</v>
      </c>
      <c r="G14" s="5">
        <v>0</v>
      </c>
      <c r="H14" s="5">
        <v>0</v>
      </c>
      <c r="I14" s="5">
        <v>0</v>
      </c>
      <c r="J14" s="5">
        <v>467</v>
      </c>
      <c r="K14" s="5">
        <v>0</v>
      </c>
      <c r="L14" s="5">
        <v>0</v>
      </c>
      <c r="M14" s="5">
        <v>0</v>
      </c>
      <c r="N14" s="5">
        <v>13820</v>
      </c>
      <c r="O14" s="5" t="s">
        <v>47</v>
      </c>
    </row>
    <row r="15" spans="1:15" x14ac:dyDescent="0.35">
      <c r="A15" s="4">
        <v>13</v>
      </c>
      <c r="B15" s="5">
        <v>3862</v>
      </c>
      <c r="C15" s="5">
        <v>11222</v>
      </c>
      <c r="D15" s="5">
        <v>0</v>
      </c>
      <c r="E15" s="5">
        <v>3552</v>
      </c>
      <c r="F15" s="5">
        <v>0</v>
      </c>
      <c r="G15" s="5">
        <v>0</v>
      </c>
      <c r="H15" s="5">
        <v>0</v>
      </c>
      <c r="I15" s="5">
        <v>0</v>
      </c>
      <c r="J15" s="5">
        <v>467</v>
      </c>
      <c r="K15" s="5">
        <v>0</v>
      </c>
      <c r="L15" s="5">
        <v>0</v>
      </c>
      <c r="M15" s="5">
        <v>0</v>
      </c>
      <c r="N15" s="5">
        <v>13852</v>
      </c>
      <c r="O15" s="5" t="s">
        <v>40</v>
      </c>
    </row>
    <row r="16" spans="1:15" x14ac:dyDescent="0.35">
      <c r="A16" s="4">
        <v>14</v>
      </c>
      <c r="B16" s="5">
        <v>3874</v>
      </c>
      <c r="C16" s="5">
        <v>11242</v>
      </c>
      <c r="D16" s="5">
        <v>0</v>
      </c>
      <c r="E16" s="5">
        <v>3566</v>
      </c>
      <c r="F16" s="5">
        <v>0</v>
      </c>
      <c r="G16" s="5">
        <v>0</v>
      </c>
      <c r="H16" s="5">
        <v>0</v>
      </c>
      <c r="I16" s="5">
        <v>0</v>
      </c>
      <c r="J16" s="5">
        <v>467</v>
      </c>
      <c r="K16" s="5">
        <v>0</v>
      </c>
      <c r="L16" s="5">
        <v>0</v>
      </c>
      <c r="M16" s="5">
        <v>0</v>
      </c>
      <c r="N16" s="5">
        <v>13885</v>
      </c>
      <c r="O16" s="5" t="s">
        <v>40</v>
      </c>
    </row>
    <row r="17" spans="1:15" x14ac:dyDescent="0.35">
      <c r="A17" s="4">
        <v>15</v>
      </c>
      <c r="B17" s="5">
        <v>3885</v>
      </c>
      <c r="C17" s="5">
        <v>11266</v>
      </c>
      <c r="D17" s="5">
        <v>0</v>
      </c>
      <c r="E17" s="5">
        <v>3579</v>
      </c>
      <c r="F17" s="5">
        <v>0</v>
      </c>
      <c r="G17" s="5">
        <v>0</v>
      </c>
      <c r="H17" s="5">
        <v>0</v>
      </c>
      <c r="I17" s="5">
        <v>0</v>
      </c>
      <c r="J17" s="5">
        <v>473</v>
      </c>
      <c r="K17" s="5">
        <v>0</v>
      </c>
      <c r="L17" s="5">
        <v>0</v>
      </c>
      <c r="M17" s="5">
        <v>0</v>
      </c>
      <c r="N17" s="5">
        <v>13917</v>
      </c>
      <c r="O17" s="5" t="s">
        <v>42</v>
      </c>
    </row>
    <row r="18" spans="1:15" x14ac:dyDescent="0.35">
      <c r="A18" s="4">
        <v>16</v>
      </c>
      <c r="B18" s="5">
        <v>3898</v>
      </c>
      <c r="C18" s="5">
        <v>11283</v>
      </c>
      <c r="D18" s="5">
        <v>0</v>
      </c>
      <c r="E18" s="5">
        <v>3596</v>
      </c>
      <c r="F18" s="5">
        <v>0</v>
      </c>
      <c r="G18" s="5">
        <v>0</v>
      </c>
      <c r="H18" s="5">
        <v>0</v>
      </c>
      <c r="I18" s="5">
        <v>0</v>
      </c>
      <c r="J18" s="5">
        <v>473</v>
      </c>
      <c r="K18" s="5">
        <v>0</v>
      </c>
      <c r="L18" s="5">
        <v>0</v>
      </c>
      <c r="M18" s="5">
        <v>0</v>
      </c>
      <c r="N18" s="5">
        <v>13964</v>
      </c>
      <c r="O18" s="5" t="s">
        <v>42</v>
      </c>
    </row>
    <row r="19" spans="1:15" x14ac:dyDescent="0.35">
      <c r="A19" s="4">
        <v>17</v>
      </c>
      <c r="B19" s="5">
        <v>3911</v>
      </c>
      <c r="C19" s="5">
        <v>11303</v>
      </c>
      <c r="D19" s="5">
        <v>0</v>
      </c>
      <c r="E19" s="5">
        <v>3611</v>
      </c>
      <c r="F19" s="5">
        <v>0</v>
      </c>
      <c r="G19" s="5">
        <v>0</v>
      </c>
      <c r="H19" s="5">
        <v>0</v>
      </c>
      <c r="I19" s="5">
        <v>0</v>
      </c>
      <c r="J19" s="5">
        <v>473</v>
      </c>
      <c r="K19" s="5">
        <v>0</v>
      </c>
      <c r="L19" s="5">
        <v>0</v>
      </c>
      <c r="M19" s="5">
        <v>0</v>
      </c>
      <c r="N19" s="5">
        <v>13997</v>
      </c>
      <c r="O19" s="5" t="s">
        <v>48</v>
      </c>
    </row>
    <row r="20" spans="1:15" x14ac:dyDescent="0.35">
      <c r="A20" s="4">
        <v>18</v>
      </c>
      <c r="B20" s="5"/>
      <c r="C20" s="5"/>
      <c r="D20" s="5">
        <v>0</v>
      </c>
      <c r="E20" s="5"/>
      <c r="F20" s="5">
        <v>0</v>
      </c>
      <c r="G20" s="5">
        <v>0</v>
      </c>
      <c r="H20" s="5">
        <v>0</v>
      </c>
      <c r="I20" s="5">
        <v>0</v>
      </c>
      <c r="J20" s="5"/>
      <c r="K20" s="5">
        <v>0</v>
      </c>
      <c r="L20" s="5">
        <v>0</v>
      </c>
      <c r="M20" s="5">
        <v>0</v>
      </c>
      <c r="N20" s="5"/>
      <c r="O20" s="5"/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5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4" ht="15.5" x14ac:dyDescent="0.35">
      <c r="A33" s="6" t="s">
        <v>3</v>
      </c>
    </row>
    <row r="34" spans="1:4" ht="15.5" x14ac:dyDescent="0.35">
      <c r="A34" s="6"/>
      <c r="B34" s="6"/>
      <c r="C34" s="19"/>
      <c r="D34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1" ma:contentTypeDescription="Create a new document." ma:contentTypeScope="" ma:versionID="1e4460f369da3e83f05e4b747740f79a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822860f31bcad78bda1f32e070d43ca0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C4BDF0-99D4-4433-AFA5-5B1F1311F0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6382F7-EBB6-48FB-A7A5-1C4A1067F65C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c0c63084-832f-4b13-a501-c844d9f3bfed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2024-04-18T01:04:52Z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