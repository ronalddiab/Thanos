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0/"/>
    </mc:Choice>
  </mc:AlternateContent>
  <xr:revisionPtr revIDLastSave="3" documentId="11_5C55826F67AD4E69FC85BE1564A53A94350DDBA7" xr6:coauthVersionLast="47" xr6:coauthVersionMax="47" xr10:uidLastSave="{296A1D73-6AA1-4636-B2E1-0D6472E56F32}"/>
  <bookViews>
    <workbookView xWindow="44880" yWindow="-120" windowWidth="24240" windowHeight="13140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  <sheet name="Sheet1" sheetId="14" r:id="rId12"/>
  </sheets>
  <externalReferences>
    <externalReference r:id="rId13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J51" i="14"/>
  <c r="H51" i="14"/>
  <c r="J50" i="14"/>
  <c r="H50" i="14"/>
  <c r="J49" i="14"/>
  <c r="H49" i="14"/>
  <c r="J48" i="14"/>
  <c r="H48" i="14"/>
  <c r="J47" i="14"/>
  <c r="H47" i="14"/>
  <c r="J46" i="14"/>
  <c r="H46" i="14"/>
  <c r="J45" i="14"/>
  <c r="H45" i="14"/>
  <c r="J44" i="14"/>
  <c r="H44" i="14"/>
  <c r="J43" i="14"/>
  <c r="H43" i="14"/>
  <c r="J42" i="14"/>
  <c r="H42" i="14"/>
  <c r="J41" i="14"/>
  <c r="H41" i="14"/>
  <c r="J40" i="14"/>
  <c r="H40" i="14"/>
  <c r="J39" i="14"/>
  <c r="H39" i="14"/>
  <c r="J38" i="14"/>
  <c r="H38" i="14"/>
  <c r="J37" i="14"/>
  <c r="H37" i="14"/>
  <c r="J36" i="14"/>
  <c r="H36" i="14"/>
  <c r="J35" i="14"/>
  <c r="H35" i="14"/>
  <c r="J34" i="14"/>
  <c r="H34" i="14"/>
  <c r="J33" i="14"/>
  <c r="H33" i="14"/>
  <c r="J32" i="14"/>
  <c r="H32" i="14"/>
  <c r="J31" i="14"/>
  <c r="H31" i="14"/>
  <c r="J30" i="14"/>
  <c r="H30" i="14"/>
  <c r="J29" i="14"/>
  <c r="H29" i="14"/>
  <c r="J28" i="14"/>
  <c r="H28" i="14"/>
  <c r="J27" i="14"/>
  <c r="H27" i="14"/>
  <c r="J26" i="14"/>
  <c r="H26" i="14"/>
  <c r="J25" i="14"/>
  <c r="H25" i="14"/>
  <c r="J24" i="14"/>
  <c r="H24" i="14"/>
  <c r="J23" i="14"/>
  <c r="H23" i="14"/>
  <c r="J22" i="14"/>
  <c r="H22" i="14"/>
  <c r="J21" i="14"/>
  <c r="H21" i="14"/>
  <c r="J20" i="14"/>
  <c r="H20" i="14"/>
  <c r="J19" i="14"/>
  <c r="H19" i="14"/>
  <c r="J18" i="14"/>
  <c r="H18" i="14"/>
  <c r="J17" i="14"/>
  <c r="H17" i="14"/>
  <c r="J16" i="14"/>
  <c r="H16" i="14"/>
  <c r="J15" i="14"/>
  <c r="H15" i="14"/>
  <c r="J14" i="14"/>
  <c r="H14" i="14"/>
  <c r="J13" i="14"/>
  <c r="H13" i="14"/>
  <c r="J12" i="14"/>
  <c r="H12" i="14"/>
  <c r="J11" i="14"/>
  <c r="H11" i="14"/>
  <c r="J10" i="14"/>
  <c r="H10" i="14"/>
  <c r="J9" i="14"/>
  <c r="H9" i="14"/>
  <c r="J8" i="14"/>
  <c r="H8" i="14"/>
  <c r="J7" i="14"/>
  <c r="H7" i="14"/>
  <c r="J6" i="14"/>
  <c r="H6" i="14"/>
  <c r="J5" i="14"/>
  <c r="H5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B61" i="14"/>
  <c r="B62" i="14" s="1"/>
  <c r="B63" i="14" s="1"/>
  <c r="B55" i="14"/>
  <c r="B56" i="14" s="1"/>
  <c r="B57" i="14" s="1"/>
  <c r="B58" i="14" s="1"/>
  <c r="B50" i="14"/>
  <c r="B51" i="14" s="1"/>
  <c r="B52" i="14" s="1"/>
  <c r="B45" i="14"/>
  <c r="B46" i="14" s="1"/>
  <c r="B47" i="14" s="1"/>
  <c r="BE63" i="5" l="1"/>
  <c r="CR50" i="6" l="1"/>
  <c r="CR51" i="6"/>
  <c r="CR52" i="6"/>
  <c r="CR53" i="6"/>
  <c r="CR54" i="6"/>
  <c r="CR55" i="6"/>
  <c r="CR56" i="6"/>
  <c r="CR57" i="6"/>
  <c r="CR58" i="6"/>
  <c r="CR59" i="6"/>
  <c r="CR60" i="6"/>
  <c r="CW45" i="6"/>
  <c r="CW46" i="6"/>
  <c r="CW47" i="6"/>
  <c r="CW48" i="6"/>
  <c r="CW49" i="6"/>
  <c r="CW50" i="6"/>
  <c r="CW51" i="6"/>
  <c r="CR45" i="6"/>
  <c r="CR46" i="6"/>
  <c r="CR47" i="6"/>
  <c r="CR48" i="6"/>
  <c r="CR49" i="6"/>
  <c r="CN45" i="6"/>
  <c r="CN46" i="6"/>
  <c r="CN47" i="6"/>
  <c r="CN48" i="6"/>
  <c r="CN49" i="6"/>
  <c r="CN50" i="6"/>
  <c r="CN51" i="6"/>
  <c r="CI45" i="6"/>
  <c r="CI46" i="6"/>
  <c r="CI47" i="6"/>
  <c r="CI48" i="6"/>
  <c r="CI49" i="6"/>
  <c r="CI50" i="6"/>
  <c r="CI51" i="6"/>
  <c r="CC45" i="6"/>
  <c r="CC46" i="6"/>
  <c r="CC47" i="6"/>
  <c r="CC48" i="6"/>
  <c r="CC49" i="6"/>
  <c r="CC50" i="6"/>
  <c r="CC51" i="6"/>
  <c r="BV45" i="6"/>
  <c r="BV46" i="6"/>
  <c r="BV47" i="6"/>
  <c r="BV48" i="6"/>
  <c r="BV49" i="6"/>
  <c r="BV50" i="6"/>
  <c r="BV51" i="6"/>
  <c r="BR45" i="6"/>
  <c r="BR46" i="6"/>
  <c r="BR47" i="6"/>
  <c r="BR48" i="6"/>
  <c r="BR49" i="6"/>
  <c r="BR50" i="6"/>
  <c r="BR51" i="6"/>
  <c r="BN45" i="6"/>
  <c r="BN46" i="6"/>
  <c r="BN47" i="6"/>
  <c r="BN48" i="6"/>
  <c r="BN49" i="6"/>
  <c r="BN50" i="6"/>
  <c r="BN51" i="6"/>
  <c r="BI45" i="6"/>
  <c r="BI46" i="6"/>
  <c r="BI47" i="6"/>
  <c r="BI48" i="6"/>
  <c r="BI49" i="6"/>
  <c r="BI50" i="6"/>
  <c r="BI51" i="6"/>
  <c r="BB62" i="3" l="1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E61" i="1" l="1"/>
  <c r="F61" i="1" s="1"/>
  <c r="BE58" i="5"/>
  <c r="BE59" i="5"/>
  <c r="BE60" i="5"/>
  <c r="BE61" i="5"/>
  <c r="BE62" i="5"/>
  <c r="BE64" i="5"/>
  <c r="C64" i="5" l="1"/>
  <c r="C63" i="5"/>
  <c r="C62" i="5"/>
  <c r="C61" i="5"/>
  <c r="C60" i="5"/>
  <c r="C59" i="5"/>
  <c r="C58" i="5"/>
  <c r="B61" i="5"/>
  <c r="B62" i="5" s="1"/>
  <c r="B63" i="5" s="1"/>
  <c r="AT61" i="5" l="1"/>
  <c r="C57" i="5"/>
  <c r="C56" i="5"/>
  <c r="BE57" i="5" l="1"/>
  <c r="BE56" i="5"/>
  <c r="AT62" i="5"/>
  <c r="AT63" i="5" s="1"/>
  <c r="AT56" i="5"/>
  <c r="AT57" i="5" s="1"/>
  <c r="AT58" i="5" s="1"/>
  <c r="AP56" i="5"/>
  <c r="I56" i="5"/>
  <c r="F56" i="5"/>
  <c r="AO56" i="5" l="1"/>
  <c r="AQ56" i="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BB3" i="3" l="1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2" i="3"/>
  <c r="K2" i="1"/>
  <c r="S306" i="12" l="1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AF62" i="3" l="1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G61" i="1" l="1"/>
  <c r="J61" i="1"/>
  <c r="BF45" i="6"/>
  <c r="BA43" i="3" s="1"/>
  <c r="BF46" i="6"/>
  <c r="BA44" i="3" s="1"/>
  <c r="BF47" i="6"/>
  <c r="BA45" i="3" s="1"/>
  <c r="BF48" i="6"/>
  <c r="BA46" i="3" s="1"/>
  <c r="BF49" i="6"/>
  <c r="BF50" i="6"/>
  <c r="BF51" i="6"/>
  <c r="BA49" i="3" s="1"/>
  <c r="BD45" i="6"/>
  <c r="AZ43" i="3" s="1"/>
  <c r="BD46" i="6"/>
  <c r="AZ44" i="3" s="1"/>
  <c r="BD47" i="6"/>
  <c r="BD48" i="6"/>
  <c r="AZ46" i="3" s="1"/>
  <c r="BD49" i="6"/>
  <c r="AZ47" i="3" s="1"/>
  <c r="BD50" i="6"/>
  <c r="AZ48" i="3" s="1"/>
  <c r="BD51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Z46" i="6" s="1"/>
  <c r="AX44" i="3" s="1"/>
  <c r="AW47" i="6"/>
  <c r="AW48" i="6"/>
  <c r="AV46" i="3" s="1"/>
  <c r="AW49" i="6"/>
  <c r="AV47" i="3" s="1"/>
  <c r="AW50" i="6"/>
  <c r="AV48" i="3" s="1"/>
  <c r="AW51" i="6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P46" i="6"/>
  <c r="AT44" i="3" s="1"/>
  <c r="AP47" i="6"/>
  <c r="AT45" i="3" s="1"/>
  <c r="AP48" i="6"/>
  <c r="AT46" i="3" s="1"/>
  <c r="AP49" i="6"/>
  <c r="AP50" i="6"/>
  <c r="AT48" i="3" s="1"/>
  <c r="AP51" i="6"/>
  <c r="AT49" i="3" s="1"/>
  <c r="AN45" i="6"/>
  <c r="AN46" i="6"/>
  <c r="AS44" i="3" s="1"/>
  <c r="AN47" i="6"/>
  <c r="AS45" i="3" s="1"/>
  <c r="AN48" i="6"/>
  <c r="AS46" i="3" s="1"/>
  <c r="AN49" i="6"/>
  <c r="AS47" i="3" s="1"/>
  <c r="AN50" i="6"/>
  <c r="AN51" i="6"/>
  <c r="AS49" i="3" s="1"/>
  <c r="AL45" i="6"/>
  <c r="AR43" i="3" s="1"/>
  <c r="AL46" i="6"/>
  <c r="AR44" i="3" s="1"/>
  <c r="AL47" i="6"/>
  <c r="AL48" i="6"/>
  <c r="AL49" i="6"/>
  <c r="AR47" i="3" s="1"/>
  <c r="AL50" i="6"/>
  <c r="AR48" i="3" s="1"/>
  <c r="AL51" i="6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D51" i="6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X46" i="6"/>
  <c r="AL44" i="3" s="1"/>
  <c r="X47" i="6"/>
  <c r="AL45" i="3" s="1"/>
  <c r="X48" i="6"/>
  <c r="X49" i="6"/>
  <c r="AL47" i="3" s="1"/>
  <c r="X50" i="6"/>
  <c r="AL48" i="3" s="1"/>
  <c r="X51" i="6"/>
  <c r="AL49" i="3" s="1"/>
  <c r="U45" i="6"/>
  <c r="Y45" i="6" s="1"/>
  <c r="U46" i="6"/>
  <c r="U47" i="6"/>
  <c r="U48" i="6"/>
  <c r="AK46" i="3" s="1"/>
  <c r="U49" i="6"/>
  <c r="AK47" i="3" s="1"/>
  <c r="U50" i="6"/>
  <c r="U51" i="6"/>
  <c r="AK49" i="3" s="1"/>
  <c r="AR61" i="6"/>
  <c r="AR62" i="6" s="1"/>
  <c r="AR63" i="6" s="1"/>
  <c r="AR56" i="6"/>
  <c r="AR57" i="6" s="1"/>
  <c r="AR58" i="6" s="1"/>
  <c r="AR51" i="6"/>
  <c r="AR46" i="6"/>
  <c r="AR47" i="6" s="1"/>
  <c r="AR48" i="6" s="1"/>
  <c r="Q45" i="6"/>
  <c r="AJ43" i="3" s="1"/>
  <c r="Q46" i="6"/>
  <c r="Q47" i="6"/>
  <c r="Q48" i="6"/>
  <c r="AJ46" i="3" s="1"/>
  <c r="Q49" i="6"/>
  <c r="AJ47" i="3" s="1"/>
  <c r="Q50" i="6"/>
  <c r="Q51" i="6"/>
  <c r="AJ49" i="3" s="1"/>
  <c r="N45" i="6"/>
  <c r="AI43" i="3" s="1"/>
  <c r="N46" i="6"/>
  <c r="N47" i="6"/>
  <c r="AI45" i="3" s="1"/>
  <c r="N48" i="6"/>
  <c r="AI46" i="3" s="1"/>
  <c r="N49" i="6"/>
  <c r="AI47" i="3" s="1"/>
  <c r="N50" i="6"/>
  <c r="AI48" i="3" s="1"/>
  <c r="N51" i="6"/>
  <c r="K45" i="6"/>
  <c r="AH43" i="3" s="1"/>
  <c r="K46" i="6"/>
  <c r="AH44" i="3" s="1"/>
  <c r="K47" i="6"/>
  <c r="AH45" i="3" s="1"/>
  <c r="K48" i="6"/>
  <c r="AH46" i="3" s="1"/>
  <c r="K49" i="6"/>
  <c r="K50" i="6"/>
  <c r="AH48" i="3" s="1"/>
  <c r="K51" i="6"/>
  <c r="AH49" i="3" s="1"/>
  <c r="H45" i="6"/>
  <c r="H46" i="6"/>
  <c r="AG44" i="3" s="1"/>
  <c r="H47" i="6"/>
  <c r="AG45" i="3" s="1"/>
  <c r="H48" i="6"/>
  <c r="AG46" i="3" s="1"/>
  <c r="H49" i="6"/>
  <c r="H50" i="6"/>
  <c r="AG48" i="3" s="1"/>
  <c r="H51" i="6"/>
  <c r="AG49" i="3" s="1"/>
  <c r="E45" i="6"/>
  <c r="AF43" i="3" s="1"/>
  <c r="E46" i="6"/>
  <c r="E47" i="6"/>
  <c r="AF45" i="3" s="1"/>
  <c r="E48" i="6"/>
  <c r="AF46" i="3" s="1"/>
  <c r="E49" i="6"/>
  <c r="AF47" i="3" s="1"/>
  <c r="E50" i="6"/>
  <c r="AF48" i="3" s="1"/>
  <c r="E51" i="6"/>
  <c r="AE46" i="3"/>
  <c r="AE47" i="3"/>
  <c r="AE49" i="3"/>
  <c r="AD43" i="3"/>
  <c r="AD46" i="3"/>
  <c r="AD47" i="3"/>
  <c r="AB43" i="3"/>
  <c r="AB44" i="3"/>
  <c r="AB45" i="3"/>
  <c r="AB47" i="3"/>
  <c r="AB48" i="3"/>
  <c r="AC44" i="3"/>
  <c r="AC45" i="3"/>
  <c r="AC48" i="3"/>
  <c r="AC49" i="3"/>
  <c r="E44" i="3"/>
  <c r="E45" i="3"/>
  <c r="E47" i="3"/>
  <c r="E48" i="3"/>
  <c r="E49" i="3"/>
  <c r="L43" i="3"/>
  <c r="L44" i="3"/>
  <c r="L46" i="3"/>
  <c r="L47" i="3"/>
  <c r="Z43" i="3"/>
  <c r="X43" i="3"/>
  <c r="X44" i="3"/>
  <c r="X47" i="3"/>
  <c r="X48" i="3"/>
  <c r="X49" i="3"/>
  <c r="V43" i="3"/>
  <c r="V45" i="3"/>
  <c r="V46" i="3"/>
  <c r="V49" i="3"/>
  <c r="N45" i="3"/>
  <c r="N46" i="3"/>
  <c r="N47" i="3"/>
  <c r="J43" i="3"/>
  <c r="J44" i="3"/>
  <c r="J45" i="3"/>
  <c r="J47" i="3"/>
  <c r="T43" i="3"/>
  <c r="T44" i="3"/>
  <c r="T47" i="3"/>
  <c r="T48" i="3"/>
  <c r="T49" i="3"/>
  <c r="P43" i="3"/>
  <c r="P45" i="3"/>
  <c r="P46" i="3"/>
  <c r="P47" i="3"/>
  <c r="P49" i="3"/>
  <c r="R43" i="3"/>
  <c r="R45" i="3"/>
  <c r="R46" i="3"/>
  <c r="R47" i="3"/>
  <c r="F43" i="3"/>
  <c r="F44" i="3"/>
  <c r="F45" i="3"/>
  <c r="F47" i="3"/>
  <c r="H43" i="3"/>
  <c r="H44" i="3"/>
  <c r="H45" i="3"/>
  <c r="H47" i="3"/>
  <c r="H48" i="3"/>
  <c r="H49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E43" i="3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G43" i="3"/>
  <c r="AL43" i="3"/>
  <c r="AS43" i="3"/>
  <c r="AT43" i="3"/>
  <c r="G44" i="3"/>
  <c r="I44" i="3"/>
  <c r="K44" i="3"/>
  <c r="M44" i="3"/>
  <c r="N44" i="3"/>
  <c r="O44" i="3"/>
  <c r="P44" i="3"/>
  <c r="Q44" i="3"/>
  <c r="R44" i="3"/>
  <c r="S44" i="3"/>
  <c r="U44" i="3"/>
  <c r="V44" i="3"/>
  <c r="W44" i="3"/>
  <c r="Y44" i="3"/>
  <c r="Z44" i="3"/>
  <c r="AA44" i="3"/>
  <c r="AD44" i="3"/>
  <c r="AE44" i="3"/>
  <c r="AF44" i="3"/>
  <c r="AI44" i="3"/>
  <c r="AJ44" i="3"/>
  <c r="AK44" i="3"/>
  <c r="AN44" i="3"/>
  <c r="G45" i="3"/>
  <c r="I45" i="3"/>
  <c r="K45" i="3"/>
  <c r="L45" i="3"/>
  <c r="M45" i="3"/>
  <c r="O45" i="3"/>
  <c r="Q45" i="3"/>
  <c r="S45" i="3"/>
  <c r="T45" i="3"/>
  <c r="U45" i="3"/>
  <c r="W45" i="3"/>
  <c r="X45" i="3"/>
  <c r="Y45" i="3"/>
  <c r="AA45" i="3"/>
  <c r="AD45" i="3"/>
  <c r="AE45" i="3"/>
  <c r="AJ45" i="3"/>
  <c r="AR45" i="3"/>
  <c r="AV45" i="3"/>
  <c r="AW45" i="3"/>
  <c r="AY45" i="3"/>
  <c r="AZ45" i="3"/>
  <c r="E46" i="3"/>
  <c r="F46" i="3"/>
  <c r="G46" i="3"/>
  <c r="H46" i="3"/>
  <c r="I46" i="3"/>
  <c r="J46" i="3"/>
  <c r="K46" i="3"/>
  <c r="M46" i="3"/>
  <c r="O46" i="3"/>
  <c r="Q46" i="3"/>
  <c r="S46" i="3"/>
  <c r="T46" i="3"/>
  <c r="U46" i="3"/>
  <c r="W46" i="3"/>
  <c r="X46" i="3"/>
  <c r="Y46" i="3"/>
  <c r="Z46" i="3"/>
  <c r="AA46" i="3"/>
  <c r="AB46" i="3"/>
  <c r="AC46" i="3"/>
  <c r="AL46" i="3"/>
  <c r="AR46" i="3"/>
  <c r="G47" i="3"/>
  <c r="I47" i="3"/>
  <c r="K47" i="3"/>
  <c r="M47" i="3"/>
  <c r="O47" i="3"/>
  <c r="Q47" i="3"/>
  <c r="S47" i="3"/>
  <c r="U47" i="3"/>
  <c r="V47" i="3"/>
  <c r="W47" i="3"/>
  <c r="Y47" i="3"/>
  <c r="AA47" i="3"/>
  <c r="AC47" i="3"/>
  <c r="AG47" i="3"/>
  <c r="AH47" i="3"/>
  <c r="AT47" i="3"/>
  <c r="BA47" i="3"/>
  <c r="F48" i="3"/>
  <c r="G48" i="3"/>
  <c r="I48" i="3"/>
  <c r="J48" i="3"/>
  <c r="K48" i="3"/>
  <c r="L48" i="3"/>
  <c r="M48" i="3"/>
  <c r="N48" i="3"/>
  <c r="O48" i="3"/>
  <c r="P48" i="3"/>
  <c r="Q48" i="3"/>
  <c r="R48" i="3"/>
  <c r="S48" i="3"/>
  <c r="U48" i="3"/>
  <c r="V48" i="3"/>
  <c r="W48" i="3"/>
  <c r="Y48" i="3"/>
  <c r="Z48" i="3"/>
  <c r="AA48" i="3"/>
  <c r="AD48" i="3"/>
  <c r="AE48" i="3"/>
  <c r="AJ48" i="3"/>
  <c r="AQ48" i="3"/>
  <c r="AS48" i="3"/>
  <c r="BA48" i="3"/>
  <c r="F49" i="3"/>
  <c r="G49" i="3"/>
  <c r="I49" i="3"/>
  <c r="J49" i="3"/>
  <c r="K49" i="3"/>
  <c r="L49" i="3"/>
  <c r="M49" i="3"/>
  <c r="N49" i="3"/>
  <c r="O49" i="3"/>
  <c r="Q49" i="3"/>
  <c r="R49" i="3"/>
  <c r="S49" i="3"/>
  <c r="U49" i="3"/>
  <c r="W49" i="3"/>
  <c r="Y49" i="3"/>
  <c r="Z49" i="3"/>
  <c r="AA49" i="3"/>
  <c r="AB49" i="3"/>
  <c r="AD49" i="3"/>
  <c r="AF49" i="3"/>
  <c r="AI49" i="3"/>
  <c r="AN49" i="3"/>
  <c r="AP49" i="3"/>
  <c r="AR49" i="3"/>
  <c r="AV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H14" i="12"/>
  <c r="H13" i="12"/>
  <c r="H8" i="12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 s="1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/>
  <c r="BF34" i="6"/>
  <c r="BA32" i="3" s="1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 s="1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 s="1"/>
  <c r="BF35" i="6"/>
  <c r="BA33" i="3" s="1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Y36" i="6"/>
  <c r="AW34" i="3" s="1"/>
  <c r="BB36" i="6"/>
  <c r="AY34" i="3" s="1"/>
  <c r="BD36" i="6"/>
  <c r="AZ34" i="3" s="1"/>
  <c r="BF36" i="6"/>
  <c r="BA34" i="3" s="1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E38" i="3"/>
  <c r="F38" i="3"/>
  <c r="G38" i="3"/>
  <c r="H38" i="3"/>
  <c r="I38" i="3"/>
  <c r="J38" i="3"/>
  <c r="K38" i="3"/>
  <c r="L38" i="3"/>
  <c r="M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Y40" i="6"/>
  <c r="AW38" i="3" s="1"/>
  <c r="BB40" i="6"/>
  <c r="AY38" i="3" s="1"/>
  <c r="BD40" i="6"/>
  <c r="AZ38" i="3" s="1"/>
  <c r="BF40" i="6"/>
  <c r="BA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BB42" i="6"/>
  <c r="AY40" i="3" s="1"/>
  <c r="BD42" i="6"/>
  <c r="AZ40" i="3" s="1"/>
  <c r="BF42" i="6"/>
  <c r="BA40" i="3" s="1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Y41" i="3"/>
  <c r="Z41" i="3"/>
  <c r="AA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 s="1"/>
  <c r="X29" i="6"/>
  <c r="X30" i="6"/>
  <c r="AL28" i="3" s="1"/>
  <c r="X31" i="6"/>
  <c r="AL29" i="3" s="1"/>
  <c r="X32" i="6"/>
  <c r="AL30" i="3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 s="1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V4" i="3" s="1"/>
  <c r="AY6" i="6"/>
  <c r="AW4" i="3" s="1"/>
  <c r="AW7" i="6"/>
  <c r="AV5" i="3" s="1"/>
  <c r="AY7" i="6"/>
  <c r="AW5" i="3" s="1"/>
  <c r="AW8" i="6"/>
  <c r="AY8" i="6"/>
  <c r="AW6" i="3" s="1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Y12" i="6"/>
  <c r="AW10" i="3" s="1"/>
  <c r="AW13" i="6"/>
  <c r="AV11" i="3" s="1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Y16" i="6"/>
  <c r="AW14" i="3" s="1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Y20" i="6"/>
  <c r="AW18" i="3" s="1"/>
  <c r="AW21" i="6"/>
  <c r="AV19" i="3" s="1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Y24" i="6"/>
  <c r="AW22" i="3" s="1"/>
  <c r="AW25" i="6"/>
  <c r="AV23" i="3" s="1"/>
  <c r="AY25" i="6"/>
  <c r="AW23" i="3" s="1"/>
  <c r="AW26" i="6"/>
  <c r="AV24" i="3" s="1"/>
  <c r="AY26" i="6"/>
  <c r="AW24" i="3" s="1"/>
  <c r="AW27" i="6"/>
  <c r="AY27" i="6"/>
  <c r="AW25" i="3" s="1"/>
  <c r="AW28" i="6"/>
  <c r="AY28" i="6"/>
  <c r="AW26" i="3" s="1"/>
  <c r="AW29" i="6"/>
  <c r="AV27" i="3" s="1"/>
  <c r="AY29" i="6"/>
  <c r="AW27" i="3" s="1"/>
  <c r="AW30" i="6"/>
  <c r="AV28" i="3" s="1"/>
  <c r="AY30" i="6"/>
  <c r="AW28" i="3" s="1"/>
  <c r="AW31" i="6"/>
  <c r="AV29" i="3" s="1"/>
  <c r="AY31" i="6"/>
  <c r="AW29" i="3" s="1"/>
  <c r="AW32" i="6"/>
  <c r="AY32" i="6"/>
  <c r="AW30" i="3" s="1"/>
  <c r="AW33" i="6"/>
  <c r="AV31" i="3" s="1"/>
  <c r="AY33" i="6"/>
  <c r="AW31" i="3" s="1"/>
  <c r="AW5" i="6"/>
  <c r="AV3" i="3" s="1"/>
  <c r="AY5" i="6"/>
  <c r="AW3" i="3" s="1"/>
  <c r="AV9" i="3"/>
  <c r="AV17" i="3"/>
  <c r="AV25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 s="1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 s="1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 s="1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 s="1"/>
  <c r="AF22" i="6"/>
  <c r="AO20" i="3" s="1"/>
  <c r="AF23" i="6"/>
  <c r="AO21" i="3" s="1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 s="1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 s="1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 s="1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 s="1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 s="1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 s="1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 s="1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9" i="3"/>
  <c r="AD30" i="3"/>
  <c r="AD31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1" i="3"/>
  <c r="AB22" i="3"/>
  <c r="AB23" i="3"/>
  <c r="AB25" i="3"/>
  <c r="AB26" i="3"/>
  <c r="AB27" i="3"/>
  <c r="AB28" i="3"/>
  <c r="AB29" i="3"/>
  <c r="AB3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Z2" i="3"/>
  <c r="X3" i="3"/>
  <c r="X4" i="3"/>
  <c r="X5" i="3"/>
  <c r="X6" i="3"/>
  <c r="X7" i="3"/>
  <c r="X8" i="3"/>
  <c r="X9" i="3"/>
  <c r="X10" i="3"/>
  <c r="X11" i="3"/>
  <c r="X12" i="3"/>
  <c r="X14" i="3"/>
  <c r="X15" i="3"/>
  <c r="X16" i="3"/>
  <c r="X18" i="3"/>
  <c r="X19" i="3"/>
  <c r="X20" i="3"/>
  <c r="X22" i="3"/>
  <c r="X23" i="3"/>
  <c r="X24" i="3"/>
  <c r="X26" i="3"/>
  <c r="X27" i="3"/>
  <c r="X28" i="3"/>
  <c r="X30" i="3"/>
  <c r="X31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N3" i="3"/>
  <c r="N4" i="3"/>
  <c r="N5" i="3"/>
  <c r="N6" i="3"/>
  <c r="N7" i="3"/>
  <c r="N8" i="3"/>
  <c r="N9" i="3"/>
  <c r="N10" i="3"/>
  <c r="N11" i="3"/>
  <c r="N12" i="3"/>
  <c r="N13" i="3"/>
  <c r="N15" i="3"/>
  <c r="N16" i="3"/>
  <c r="N17" i="3"/>
  <c r="N18" i="3"/>
  <c r="N19" i="3"/>
  <c r="N21" i="3"/>
  <c r="N22" i="3"/>
  <c r="N23" i="3"/>
  <c r="N24" i="3"/>
  <c r="N25" i="3"/>
  <c r="N26" i="3"/>
  <c r="N27" i="3"/>
  <c r="N28" i="3"/>
  <c r="N29" i="3"/>
  <c r="N30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H27" i="3"/>
  <c r="H28" i="3"/>
  <c r="H29" i="3"/>
  <c r="H31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8" i="3"/>
  <c r="F29" i="3"/>
  <c r="F30" i="3"/>
  <c r="F3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G16" i="12"/>
  <c r="Z9" i="10"/>
  <c r="Z8" i="10"/>
  <c r="Z7" i="10"/>
  <c r="Z6" i="10"/>
  <c r="Z5" i="10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56" i="5"/>
  <c r="B57" i="5" s="1"/>
  <c r="B58" i="5" s="1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/>
  <c r="BP38" i="6"/>
  <c r="BQ38" i="6" s="1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HG38" i="5"/>
  <c r="HM38" i="5" s="1"/>
  <c r="HH38" i="5"/>
  <c r="HK38" i="5" s="1"/>
  <c r="HO38" i="5" s="1"/>
  <c r="HG33" i="5"/>
  <c r="HH33" i="5"/>
  <c r="HK33" i="5" s="1"/>
  <c r="HG28" i="5"/>
  <c r="HI28" i="5" s="1"/>
  <c r="HH28" i="5"/>
  <c r="HK28" i="5" s="1"/>
  <c r="HY24" i="5"/>
  <c r="HX24" i="5"/>
  <c r="HW24" i="5"/>
  <c r="HG23" i="5"/>
  <c r="HH23" i="5"/>
  <c r="HK23" i="5" s="1"/>
  <c r="HG17" i="5"/>
  <c r="HJ17" i="5" s="1"/>
  <c r="HH17" i="5"/>
  <c r="HK17" i="5" s="1"/>
  <c r="HG13" i="5"/>
  <c r="HI13" i="5" s="1"/>
  <c r="HH13" i="5"/>
  <c r="HK13" i="5" s="1"/>
  <c r="HO13" i="5" s="1"/>
  <c r="HG9" i="5"/>
  <c r="HJ9" i="5" s="1"/>
  <c r="HH9" i="5"/>
  <c r="HK9" i="5" s="1"/>
  <c r="HO9" i="5" s="1"/>
  <c r="H16" i="12" l="1"/>
  <c r="G45" i="1"/>
  <c r="G27" i="1"/>
  <c r="G19" i="1"/>
  <c r="G15" i="1"/>
  <c r="Y39" i="6"/>
  <c r="Y20" i="6"/>
  <c r="Y38" i="6"/>
  <c r="Y41" i="6"/>
  <c r="Y40" i="6"/>
  <c r="AZ36" i="6"/>
  <c r="AX34" i="3" s="1"/>
  <c r="Y18" i="6"/>
  <c r="Y32" i="6"/>
  <c r="Y8" i="6"/>
  <c r="Y27" i="6"/>
  <c r="Y37" i="6"/>
  <c r="G41" i="1"/>
  <c r="G46" i="1"/>
  <c r="J19" i="1"/>
  <c r="J11" i="1"/>
  <c r="G36" i="1"/>
  <c r="G60" i="1"/>
  <c r="G52" i="1"/>
  <c r="G34" i="1"/>
  <c r="G31" i="1"/>
  <c r="G8" i="1"/>
  <c r="G40" i="1"/>
  <c r="G5" i="1"/>
  <c r="J49" i="1"/>
  <c r="G48" i="1"/>
  <c r="J48" i="1"/>
  <c r="J42" i="1"/>
  <c r="J26" i="1"/>
  <c r="AZ12" i="6"/>
  <c r="AX10" i="3" s="1"/>
  <c r="G30" i="1"/>
  <c r="G22" i="1"/>
  <c r="G18" i="1"/>
  <c r="G14" i="1"/>
  <c r="G11" i="1"/>
  <c r="J40" i="1"/>
  <c r="G35" i="1"/>
  <c r="G32" i="1"/>
  <c r="J60" i="1"/>
  <c r="G59" i="1"/>
  <c r="J52" i="1"/>
  <c r="G51" i="1"/>
  <c r="J41" i="1"/>
  <c r="J30" i="1"/>
  <c r="J6" i="1"/>
  <c r="AZ28" i="6"/>
  <c r="AX26" i="3" s="1"/>
  <c r="AZ24" i="6"/>
  <c r="AX22" i="3" s="1"/>
  <c r="AZ8" i="6"/>
  <c r="AX6" i="3" s="1"/>
  <c r="Y10" i="6"/>
  <c r="Y14" i="6"/>
  <c r="Y22" i="6"/>
  <c r="G29" i="1"/>
  <c r="G25" i="1"/>
  <c r="G17" i="1"/>
  <c r="G13" i="1"/>
  <c r="G10" i="1"/>
  <c r="G7" i="1"/>
  <c r="G3" i="1"/>
  <c r="J59" i="1"/>
  <c r="G58" i="1"/>
  <c r="G54" i="1"/>
  <c r="J51" i="1"/>
  <c r="G50" i="1"/>
  <c r="AV44" i="3"/>
  <c r="J3" i="1"/>
  <c r="J22" i="1"/>
  <c r="J14" i="1"/>
  <c r="AZ32" i="6"/>
  <c r="AX30" i="3" s="1"/>
  <c r="AZ20" i="6"/>
  <c r="AX18" i="3" s="1"/>
  <c r="AZ16" i="6"/>
  <c r="AX14" i="3" s="1"/>
  <c r="AZ6" i="6"/>
  <c r="AX4" i="3" s="1"/>
  <c r="Y6" i="6"/>
  <c r="Y9" i="6"/>
  <c r="DC9" i="6"/>
  <c r="Y25" i="6"/>
  <c r="Y28" i="6"/>
  <c r="Y30" i="6"/>
  <c r="Y33" i="6"/>
  <c r="DC33" i="6"/>
  <c r="J24" i="1"/>
  <c r="J20" i="1"/>
  <c r="J16" i="1"/>
  <c r="J8" i="1"/>
  <c r="J4" i="1"/>
  <c r="G24" i="1"/>
  <c r="G9" i="1"/>
  <c r="G6" i="1"/>
  <c r="G2" i="1"/>
  <c r="G39" i="1"/>
  <c r="G38" i="1"/>
  <c r="J58" i="1"/>
  <c r="J50" i="1"/>
  <c r="G49" i="1"/>
  <c r="G43" i="1"/>
  <c r="AZ44" i="6"/>
  <c r="AX42" i="3" s="1"/>
  <c r="J47" i="1"/>
  <c r="AZ51" i="6"/>
  <c r="AX49" i="3" s="1"/>
  <c r="AZ47" i="6"/>
  <c r="AX45" i="3" s="1"/>
  <c r="G57" i="1"/>
  <c r="J57" i="1"/>
  <c r="G53" i="1"/>
  <c r="J55" i="1"/>
  <c r="J54" i="1"/>
  <c r="G56" i="1"/>
  <c r="J56" i="1"/>
  <c r="G55" i="1"/>
  <c r="HM28" i="5"/>
  <c r="E52" i="1"/>
  <c r="F52" i="1" s="1"/>
  <c r="J12" i="1"/>
  <c r="Y35" i="6"/>
  <c r="Y42" i="6"/>
  <c r="AK38" i="3"/>
  <c r="G37" i="1" s="1"/>
  <c r="J28" i="1"/>
  <c r="Y13" i="6"/>
  <c r="Y17" i="6"/>
  <c r="Y48" i="6"/>
  <c r="AZ50" i="6"/>
  <c r="AX48" i="3" s="1"/>
  <c r="Y5" i="6"/>
  <c r="DC13" i="6"/>
  <c r="DC17" i="6"/>
  <c r="Y21" i="6"/>
  <c r="DE23" i="6"/>
  <c r="HM9" i="5"/>
  <c r="HR9" i="5" s="1"/>
  <c r="Y12" i="6"/>
  <c r="DC23" i="6"/>
  <c r="Y43" i="6"/>
  <c r="AV34" i="3"/>
  <c r="J33" i="1" s="1"/>
  <c r="Y51" i="6"/>
  <c r="HJ13" i="5"/>
  <c r="HL13" i="5" s="1"/>
  <c r="HJ28" i="5"/>
  <c r="HL28" i="5" s="1"/>
  <c r="HN28" i="5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F27" i="3"/>
  <c r="E26" i="1" s="1"/>
  <c r="HO28" i="5"/>
  <c r="HT28" i="5" s="1"/>
  <c r="HI33" i="5"/>
  <c r="HM33" i="5"/>
  <c r="H30" i="3"/>
  <c r="H26" i="3"/>
  <c r="E25" i="1" s="1"/>
  <c r="F25" i="1" s="1"/>
  <c r="H18" i="3"/>
  <c r="E17" i="1" s="1"/>
  <c r="F17" i="1" s="1"/>
  <c r="N14" i="3"/>
  <c r="E13" i="1" s="1"/>
  <c r="F13" i="1" s="1"/>
  <c r="AB41" i="3"/>
  <c r="X41" i="3"/>
  <c r="N38" i="3"/>
  <c r="E37" i="1" s="1"/>
  <c r="F37" i="1" s="1"/>
  <c r="AC35" i="3"/>
  <c r="AL34" i="3"/>
  <c r="G33" i="1" s="1"/>
  <c r="Y36" i="6"/>
  <c r="HI23" i="5"/>
  <c r="HJ23" i="5"/>
  <c r="X25" i="3"/>
  <c r="HM13" i="5"/>
  <c r="HT13" i="5"/>
  <c r="HI17" i="5"/>
  <c r="HL17" i="5" s="1"/>
  <c r="HT38" i="5"/>
  <c r="L19" i="3"/>
  <c r="E18" i="1" s="1"/>
  <c r="F18" i="1" s="1"/>
  <c r="N20" i="3"/>
  <c r="AD25" i="3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HR28" i="5"/>
  <c r="N31" i="3"/>
  <c r="E30" i="1" s="1"/>
  <c r="F30" i="1" s="1"/>
  <c r="E6" i="1"/>
  <c r="F6" i="1" s="1"/>
  <c r="X29" i="3"/>
  <c r="X21" i="3"/>
  <c r="X17" i="3"/>
  <c r="E16" i="1" s="1"/>
  <c r="F16" i="1" s="1"/>
  <c r="X13" i="3"/>
  <c r="Z22" i="3"/>
  <c r="E21" i="1" s="1"/>
  <c r="F21" i="1" s="1"/>
  <c r="Z16" i="3"/>
  <c r="AB30" i="3"/>
  <c r="AC16" i="3"/>
  <c r="HM17" i="5"/>
  <c r="HR17" i="5" s="1"/>
  <c r="HR38" i="5"/>
  <c r="HJ38" i="5"/>
  <c r="HI38" i="5"/>
  <c r="AB24" i="3"/>
  <c r="AB20" i="3"/>
  <c r="AD28" i="3"/>
  <c r="E27" i="1" s="1"/>
  <c r="F27" i="1" s="1"/>
  <c r="HO33" i="5"/>
  <c r="DE9" i="6"/>
  <c r="DE17" i="6"/>
  <c r="DE28" i="6"/>
  <c r="E20" i="1"/>
  <c r="E23" i="1"/>
  <c r="F23" i="1" s="1"/>
  <c r="E8" i="1"/>
  <c r="J18" i="1"/>
  <c r="J10" i="1"/>
  <c r="J2" i="1"/>
  <c r="J23" i="1"/>
  <c r="J15" i="1"/>
  <c r="J7" i="1"/>
  <c r="J27" i="1"/>
  <c r="E35" i="1"/>
  <c r="F35" i="1" s="1"/>
  <c r="DD28" i="6"/>
  <c r="DG28" i="6" s="1"/>
  <c r="DD33" i="6"/>
  <c r="DG33" i="6" s="1"/>
  <c r="E10" i="1"/>
  <c r="F10" i="1" s="1"/>
  <c r="E5" i="1"/>
  <c r="F5" i="1" s="1"/>
  <c r="E39" i="1"/>
  <c r="F39" i="1" s="1"/>
  <c r="E54" i="1"/>
  <c r="F54" i="1" s="1"/>
  <c r="E41" i="1"/>
  <c r="F41" i="1" s="1"/>
  <c r="Z47" i="3"/>
  <c r="E46" i="1" s="1"/>
  <c r="HM23" i="5"/>
  <c r="HR33" i="5"/>
  <c r="DE13" i="6"/>
  <c r="E7" i="1"/>
  <c r="F7" i="1" s="1"/>
  <c r="E11" i="1"/>
  <c r="F11" i="1" s="1"/>
  <c r="AV38" i="3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E42" i="1"/>
  <c r="F42" i="1" s="1"/>
  <c r="E34" i="1"/>
  <c r="F34" i="1" s="1"/>
  <c r="Y50" i="6"/>
  <c r="AK48" i="3"/>
  <c r="G47" i="1" s="1"/>
  <c r="AZ34" i="6"/>
  <c r="AX32" i="3" s="1"/>
  <c r="E55" i="1"/>
  <c r="F55" i="1" s="1"/>
  <c r="E49" i="1"/>
  <c r="F49" i="1" s="1"/>
  <c r="J46" i="1"/>
  <c r="E56" i="1"/>
  <c r="F56" i="1" s="1"/>
  <c r="E51" i="1"/>
  <c r="F51" i="1" s="1"/>
  <c r="F8" i="1"/>
  <c r="J45" i="1"/>
  <c r="E60" i="1"/>
  <c r="F60" i="1" s="1"/>
  <c r="E58" i="1"/>
  <c r="F58" i="1" s="1"/>
  <c r="E50" i="1"/>
  <c r="F50" i="1" s="1"/>
  <c r="E48" i="1"/>
  <c r="F48" i="1" s="1"/>
  <c r="HT9" i="5"/>
  <c r="DD13" i="6"/>
  <c r="DG13" i="6" s="1"/>
  <c r="HI9" i="5"/>
  <c r="HL9" i="5" s="1"/>
  <c r="HO17" i="5"/>
  <c r="HO23" i="5"/>
  <c r="HT23" i="5" s="1"/>
  <c r="DD9" i="6"/>
  <c r="DG9" i="6" s="1"/>
  <c r="DD17" i="6"/>
  <c r="DG17" i="6" s="1"/>
  <c r="HJ33" i="5"/>
  <c r="DE38" i="6"/>
  <c r="DD38" i="6"/>
  <c r="DG38" i="6" s="1"/>
  <c r="HR13" i="5"/>
  <c r="DD23" i="6"/>
  <c r="DG23" i="6" s="1"/>
  <c r="DE33" i="6"/>
  <c r="AV39" i="3"/>
  <c r="J38" i="1" s="1"/>
  <c r="AZ41" i="6"/>
  <c r="AX39" i="3" s="1"/>
  <c r="J36" i="1"/>
  <c r="AV35" i="3"/>
  <c r="AZ37" i="6"/>
  <c r="AX35" i="3" s="1"/>
  <c r="AV30" i="3"/>
  <c r="AV26" i="3"/>
  <c r="AV22" i="3"/>
  <c r="AV18" i="3"/>
  <c r="AV14" i="3"/>
  <c r="AV10" i="3"/>
  <c r="AV6" i="3"/>
  <c r="AZ42" i="6"/>
  <c r="AX40" i="3" s="1"/>
  <c r="AW40" i="3"/>
  <c r="E38" i="1"/>
  <c r="F38" i="1" s="1"/>
  <c r="E36" i="1"/>
  <c r="F36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3" i="1"/>
  <c r="F33" i="1" s="1"/>
  <c r="E32" i="1"/>
  <c r="F32" i="1" s="1"/>
  <c r="J31" i="1"/>
  <c r="E31" i="1"/>
  <c r="F31" i="1" s="1"/>
  <c r="AZ43" i="6"/>
  <c r="AX41" i="3" s="1"/>
  <c r="AZ39" i="6"/>
  <c r="AX37" i="3" s="1"/>
  <c r="AV33" i="3"/>
  <c r="AZ35" i="6"/>
  <c r="AX33" i="3" s="1"/>
  <c r="AZ38" i="6"/>
  <c r="AX36" i="3" s="1"/>
  <c r="AW36" i="3"/>
  <c r="E59" i="1"/>
  <c r="F59" i="1" s="1"/>
  <c r="E57" i="1"/>
  <c r="F57" i="1" s="1"/>
  <c r="J53" i="1"/>
  <c r="E53" i="1"/>
  <c r="F53" i="1" s="1"/>
  <c r="Y49" i="6"/>
  <c r="AK43" i="3"/>
  <c r="G42" i="1" s="1"/>
  <c r="Z45" i="3"/>
  <c r="E44" i="1" s="1"/>
  <c r="F44" i="1" s="1"/>
  <c r="Y47" i="6"/>
  <c r="E47" i="1"/>
  <c r="F47" i="1" s="1"/>
  <c r="E43" i="1"/>
  <c r="F43" i="1" s="1"/>
  <c r="J44" i="1"/>
  <c r="AZ48" i="6"/>
  <c r="AX46" i="3" s="1"/>
  <c r="AZ45" i="6"/>
  <c r="AX43" i="3" s="1"/>
  <c r="AK45" i="3"/>
  <c r="G44" i="1" s="1"/>
  <c r="Y46" i="6"/>
  <c r="AZ49" i="6"/>
  <c r="AX47" i="3" s="1"/>
  <c r="J43" i="1" l="1"/>
  <c r="J39" i="1"/>
  <c r="J32" i="1"/>
  <c r="J17" i="1"/>
  <c r="J5" i="1"/>
  <c r="J21" i="1"/>
  <c r="J35" i="1"/>
  <c r="J34" i="1"/>
  <c r="J9" i="1"/>
  <c r="J25" i="1"/>
  <c r="J13" i="1"/>
  <c r="J29" i="1"/>
  <c r="J37" i="1"/>
  <c r="HP28" i="5"/>
  <c r="F20" i="1"/>
  <c r="E24" i="1"/>
  <c r="F24" i="1" s="1"/>
  <c r="E29" i="1"/>
  <c r="F29" i="1" s="1"/>
  <c r="HL23" i="5"/>
  <c r="E28" i="1"/>
  <c r="F28" i="1" s="1"/>
  <c r="E40" i="1"/>
  <c r="F40" i="1" s="1"/>
  <c r="F46" i="1"/>
  <c r="E15" i="1"/>
  <c r="F15" i="1" s="1"/>
  <c r="E19" i="1"/>
  <c r="F19" i="1" s="1"/>
  <c r="HN13" i="5"/>
  <c r="HS13" i="5" s="1"/>
  <c r="HU13" i="5" s="1"/>
  <c r="HL33" i="5"/>
  <c r="HN33" i="5" s="1"/>
  <c r="HP33" i="5" s="1"/>
  <c r="HT33" i="5"/>
  <c r="HN9" i="5"/>
  <c r="HP9" i="5" s="1"/>
  <c r="HN17" i="5"/>
  <c r="HP17" i="5" s="1"/>
  <c r="E12" i="1"/>
  <c r="F12" i="1" s="1"/>
  <c r="HR23" i="5"/>
  <c r="F26" i="1"/>
  <c r="HL38" i="5"/>
  <c r="HN38" i="5" s="1"/>
  <c r="HP38" i="5" s="1"/>
  <c r="HT17" i="5"/>
  <c r="HN23" i="5"/>
  <c r="HP23" i="5" s="1"/>
  <c r="HP13" i="5" l="1"/>
  <c r="HS38" i="5"/>
  <c r="HU38" i="5" s="1"/>
  <c r="HS9" i="5"/>
  <c r="HU9" i="5" s="1"/>
  <c r="HS28" i="5"/>
  <c r="HU28" i="5" s="1"/>
  <c r="HS33" i="5"/>
  <c r="HU33" i="5" s="1"/>
  <c r="HS17" i="5"/>
  <c r="HU17" i="5" s="1"/>
  <c r="HS23" i="5" l="1"/>
  <c r="HU23" i="5" s="1"/>
</calcChain>
</file>

<file path=xl/sharedStrings.xml><?xml version="1.0" encoding="utf-8"?>
<sst xmlns="http://schemas.openxmlformats.org/spreadsheetml/2006/main" count="2658" uniqueCount="468">
  <si>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</si>
  <si>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</si>
  <si>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</si>
  <si>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</si>
  <si>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</si>
  <si>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</si>
  <si>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</si>
  <si>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</si>
  <si>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</si>
  <si>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</si>
  <si>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</si>
  <si>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</si>
  <si>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</si>
  <si>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</si>
  <si>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</si>
  <si>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</si>
  <si>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</si>
  <si>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</si>
  <si>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</si>
  <si>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</si>
  <si>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</si>
  <si>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</si>
  <si>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</si>
  <si>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</si>
  <si>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</si>
  <si>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</si>
  <si>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</si>
  <si>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</si>
  <si>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</si>
  <si>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</si>
  <si>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</si>
  <si>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</si>
  <si>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</si>
  <si>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</si>
  <si>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</si>
  <si>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</si>
  <si>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</si>
  <si>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</si>
  <si>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</si>
  <si>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</si>
  <si>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</si>
  <si>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</si>
  <si>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</si>
  <si>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</si>
  <si>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</si>
  <si>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</si>
  <si>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</si>
  <si>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</si>
  <si>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</si>
  <si>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</si>
  <si>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</si>
  <si>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</si>
  <si>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</si>
  <si>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</si>
  <si>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</si>
  <si>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</si>
  <si>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</si>
  <si>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</si>
  <si>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</si>
  <si>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</si>
  <si>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</si>
  <si>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Room Nights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</si>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</sst>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2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0" fontId="0" fillId="0" borderId="0" xfId="0" applyFont="1"/>
    <xf numFmtId="0" fontId="0" fillId="23" borderId="18" xfId="0" applyFont="1" applyFill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0" xfId="0" applyFont="1"/>
    <xf numFmtId="0" fontId="43" fillId="0" borderId="1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14" fontId="0" fillId="0" borderId="12" xfId="0" applyNumberFormat="1" applyBorder="1"/>
    <xf numFmtId="1" fontId="0" fillId="0" borderId="12" xfId="0" applyNumberFormat="1" applyBorder="1"/>
    <xf numFmtId="0" fontId="0" fillId="0" borderId="0" xfId="0"/>
    <xf numFmtId="0" fontId="0" fillId="0" borderId="14" xfId="0" applyBorder="1"/>
    <xf numFmtId="0" fontId="0" fillId="0" borderId="12" xfId="0" applyBorder="1"/>
    <xf numFmtId="0" fontId="0" fillId="0" borderId="12" xfId="0" applyFill="1" applyBorder="1"/>
    <xf numFmtId="0" fontId="0" fillId="23" borderId="12" xfId="0" applyFill="1" applyBorder="1"/>
    <xf numFmtId="165" fontId="0" fillId="0" borderId="0" xfId="0" applyNumberFormat="1"/>
    <xf numFmtId="165" fontId="0" fillId="0" borderId="12" xfId="0" applyNumberFormat="1" applyBorder="1"/>
    <xf numFmtId="165" fontId="0" fillId="23" borderId="12" xfId="0" applyNumberFormat="1" applyFill="1" applyBorder="1"/>
    <xf numFmtId="0" fontId="0" fillId="23" borderId="10" xfId="0" applyFill="1" applyBorder="1"/>
    <xf numFmtId="165" fontId="0" fillId="0" borderId="0" xfId="0" applyNumberFormat="1" applyFill="1"/>
    <xf numFmtId="0" fontId="0" fillId="23" borderId="0" xfId="0" applyFill="1"/>
    <xf numFmtId="0" fontId="0" fillId="0" borderId="0" xfId="0" applyFill="1"/>
    <xf numFmtId="0" fontId="0" fillId="23" borderId="0" xfId="0" applyFill="1" applyBorder="1"/>
    <xf numFmtId="165" fontId="0" fillId="23" borderId="0" xfId="0" applyNumberFormat="1" applyFill="1" applyBorder="1"/>
    <xf numFmtId="4" fontId="0" fillId="23" borderId="12" xfId="0" applyNumberFormat="1" applyFill="1" applyBorder="1"/>
    <xf numFmtId="14" fontId="0" fillId="26" borderId="12" xfId="0" applyNumberFormat="1" applyFill="1" applyBorder="1"/>
    <xf numFmtId="3" fontId="0" fillId="0" borderId="0" xfId="0" applyNumberFormat="1"/>
    <xf numFmtId="2" fontId="0" fillId="0" borderId="0" xfId="0" applyNumberFormat="1"/>
    <xf numFmtId="2" fontId="0" fillId="23" borderId="12" xfId="0" applyNumberFormat="1" applyFill="1" applyBorder="1"/>
    <xf numFmtId="0" fontId="0" fillId="0" borderId="0" xfId="0" applyNumberFormat="1" applyFill="1"/>
    <xf numFmtId="0" fontId="0" fillId="0" borderId="12" xfId="0" applyNumberFormat="1" applyFill="1" applyBorder="1"/>
    <xf numFmtId="0" fontId="0" fillId="24" borderId="0" xfId="0" applyFill="1"/>
    <xf numFmtId="3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1" fontId="0" fillId="0" borderId="0" xfId="0" applyNumberFormat="1"/>
    <xf numFmtId="0" fontId="0" fillId="25" borderId="12" xfId="0" applyFill="1" applyBorder="1"/>
    <xf numFmtId="44" fontId="0" fillId="0" borderId="0" xfId="44" applyFont="1"/>
    <xf numFmtId="44" fontId="0" fillId="0" borderId="0" xfId="44" applyFont="1" applyFill="1"/>
    <xf numFmtId="1" fontId="0" fillId="0" borderId="0" xfId="44" applyNumberFormat="1" applyFont="1"/>
    <xf numFmtId="2" fontId="0" fillId="0" borderId="0" xfId="44" applyNumberFormat="1" applyFont="1"/>
    <xf numFmtId="14" fontId="0" fillId="0" borderId="12" xfId="0" applyNumberFormat="1" applyFont="1" applyBorder="1"/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0" borderId="0" xfId="0" applyFont="1"/>
    <xf numFmtId="0" fontId="0" fillId="23" borderId="12" xfId="0" applyFont="1" applyFill="1" applyBorder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1" fontId="0" fillId="25" borderId="12" xfId="0" applyNumberFormat="1" applyFill="1" applyBorder="1"/>
    <xf numFmtId="0" fontId="0" fillId="25" borderId="12" xfId="0" applyFill="1" applyBorder="1" applyAlignment="1">
      <alignment wrapText="1"/>
    </xf>
    <xf numFmtId="0" fontId="0" fillId="0" borderId="30" xfId="0" applyFont="1" applyBorder="1"/>
    <xf numFmtId="0" fontId="0" fillId="25" borderId="18" xfId="0" applyFont="1" applyFill="1" applyBorder="1"/>
    <xf numFmtId="0" fontId="0" fillId="25" borderId="22" xfId="0" applyFont="1" applyFill="1" applyBorder="1"/>
    <xf numFmtId="0" fontId="42" fillId="28" borderId="12" xfId="0" applyFont="1" applyFill="1" applyBorder="1"/>
    <xf numFmtId="0" fontId="42" fillId="0" borderId="12" xfId="0" applyFont="1" applyBorder="1" applyAlignment="1">
      <alignment horizontal="center"/>
    </xf>
    <xf numFmtId="0" fontId="42" fillId="0" borderId="30" xfId="0" applyFont="1" applyBorder="1"/>
    <xf numFmtId="0" fontId="42" fillId="28" borderId="22" xfId="0" applyFont="1" applyFill="1" applyBorder="1"/>
    <xf numFmtId="0" fontId="0" fillId="0" borderId="0" xfId="0" applyFill="1" applyBorder="1"/>
    <xf numFmtId="165" fontId="0" fillId="0" borderId="0" xfId="0" applyNumberFormat="1" applyFill="1" applyBorder="1"/>
    <xf numFmtId="0" fontId="0" fillId="0" borderId="18" xfId="0" applyBorder="1"/>
    <xf numFmtId="0" fontId="0" fillId="23" borderId="14" xfId="0" applyFill="1" applyBorder="1"/>
    <xf numFmtId="0" fontId="0" fillId="23" borderId="24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3" fontId="0" fillId="0" borderId="0" xfId="0" applyNumberFormat="1" applyFill="1" applyBorder="1"/>
    <xf numFmtId="0" fontId="21" fillId="0" borderId="34" xfId="0" applyNumberFormat="1" applyFont="1" applyFill="1" applyBorder="1" applyProtection="1">
      <protection locked="0"/>
    </xf>
    <xf numFmtId="43" fontId="0" fillId="0" borderId="0" xfId="46" applyFont="1"/>
    <xf numFmtId="0" fontId="0" fillId="0" borderId="34" xfId="0" applyNumberFormat="1" applyFont="1" applyFill="1" applyBorder="1" applyProtection="1">
      <protection locked="0"/>
    </xf>
    <xf numFmtId="0" fontId="0" fillId="0" borderId="34" xfId="0" quotePrefix="1" applyNumberFormat="1" applyFont="1" applyFill="1" applyBorder="1" applyProtection="1">
      <protection locked="0"/>
    </xf>
    <xf numFmtId="0" fontId="21" fillId="0" borderId="34" xfId="0" quotePrefix="1" applyNumberFormat="1" applyFont="1" applyFill="1" applyBorder="1" applyProtection="1">
      <protection locked="0"/>
    </xf>
    <xf numFmtId="0" fontId="42" fillId="29" borderId="16" xfId="0" applyFont="1" applyFill="1" applyBorder="1" applyAlignment="1">
      <alignment horizontal="center"/>
    </xf>
    <xf numFmtId="0" fontId="42" fillId="28" borderId="12" xfId="0" applyFont="1" applyFill="1" applyBorder="1" applyAlignment="1">
      <alignment wrapText="1"/>
    </xf>
    <xf numFmtId="0" fontId="42" fillId="28" borderId="18" xfId="0" applyFont="1" applyFill="1" applyBorder="1"/>
    <xf numFmtId="0" fontId="42" fillId="29" borderId="0" xfId="0" applyFont="1" applyFill="1" applyAlignment="1">
      <alignment horizontal="center"/>
    </xf>
    <xf numFmtId="0" fontId="42" fillId="29" borderId="0" xfId="0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wrapText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1"/>
  <sheetViews>
    <sheetView tabSelected="1" topLeftCell="A40" workbookViewId="0">
      <selection activeCell="I2" sqref="I2:I61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45" t="s">
        <v>1</v>
      </c>
      <c r="C1" s="245" t="s">
        <v>2</v>
      </c>
      <c r="D1" s="245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273801.598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8.0960257787114895E-2</v>
      </c>
      <c r="G2" s="4">
        <f>Submetering!AK3+Submetering!AL3+Submetering!AU3</f>
        <v>5732.3037999999997</v>
      </c>
      <c r="H2" s="11">
        <v>0.81659999999999999</v>
      </c>
      <c r="I2" s="4">
        <f>Submetering!AF3+Submetering!AG3+Submetering!AV3+Submetering!AY3+Submetering!AZ3</f>
        <v>3362.373</v>
      </c>
      <c r="J2" s="11">
        <f>((Submetering!AG3+Submetering!BA3)*0.8868+(1712.96+1070.52)/30+(Submetering!AF3+Submetering!AY3+Submetering!AV3+Submetering!AZ3)*1.1251+(2076.11+129.67+207.57+207.57)/30+(11680.53+56.61)/30)/I2</f>
        <v>1.3007091503669184</v>
      </c>
      <c r="K2" s="4">
        <f>Elect!C5</f>
        <v>1437</v>
      </c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294900.65099999995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8.1191819762371428E-2</v>
      </c>
      <c r="G3" s="4">
        <f>Submetering!AK4+Submetering!AL4+Submetering!AU4</f>
        <v>7093.1255999999994</v>
      </c>
      <c r="H3" s="11">
        <v>0.81659999999999999</v>
      </c>
      <c r="I3" s="4">
        <f>Submetering!AF4+Submetering!AG4+Submetering!AV4+Submetering!AY4+Submetering!AZ4</f>
        <v>3823.1610000000001</v>
      </c>
      <c r="J3" s="11">
        <f>((Submetering!AG4+Submetering!BA4)*0.8868+(1712.96+1070.52)/30+(Submetering!AF4+Submetering!AY4+Submetering!AV4+Submetering!AZ4)*1.1251+(2076.11+129.67+207.57+207.57)/30+(11680.53+56.61)/30)/I3</f>
        <v>1.2700623872148378</v>
      </c>
      <c r="K3" s="4">
        <f>Elect!C6</f>
        <v>1370</v>
      </c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298844.67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8.1466767125744605E-2</v>
      </c>
      <c r="G4" s="4">
        <f>Submetering!AK5+Submetering!AL5+Submetering!AU5</f>
        <v>5253.0249999999996</v>
      </c>
      <c r="H4" s="11">
        <v>0.81659999999999999</v>
      </c>
      <c r="I4" s="4">
        <f>Submetering!AF5+Submetering!AG5+Submetering!AV5+Submetering!AY5+Submetering!AZ5</f>
        <v>4964.6202000000012</v>
      </c>
      <c r="J4" s="11">
        <f>((Submetering!AG5+Submetering!BA5)*0.8868+(1712.96+1070.52)/30+(Submetering!AF5+Submetering!AY5+Submetering!AV5+Submetering!AZ5)*1.1251+(2076.11+129.67+207.57+207.57)/30+(11680.53+56.61)/30)/I4</f>
        <v>1.2282165252291939</v>
      </c>
      <c r="K4" s="4">
        <f>Elect!C7</f>
        <v>2711</v>
      </c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294986.72200000001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8.1132867054117777E-2</v>
      </c>
      <c r="G5" s="4">
        <f>Submetering!AK6+Submetering!AL6+Submetering!AU6</f>
        <v>5892.8119999999999</v>
      </c>
      <c r="H5" s="11">
        <v>0.81659999999999999</v>
      </c>
      <c r="I5" s="4">
        <f>Submetering!AF6+Submetering!AG6+Submetering!AV6+Submetering!AY6+Submetering!AZ6</f>
        <v>3892.3627999999999</v>
      </c>
      <c r="J5" s="11">
        <f>((Submetering!AG6+Submetering!BA6)*0.8868+(1712.96+1070.52)/30+(Submetering!AF6+Submetering!AY6+Submetering!AV6+Submetering!AZ6)*1.1251+(2076.11+129.67+207.57+207.57)/30+(11680.53+56.61)/30)/I5</f>
        <v>1.3551612890727109</v>
      </c>
      <c r="K5" s="4">
        <f>Elect!C8</f>
        <v>2551</v>
      </c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295079.85583540006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8.1109289154150777E-2</v>
      </c>
      <c r="G6" s="4">
        <f>Submetering!AK7+Submetering!AL7+Submetering!AU7</f>
        <v>6048.2433999999994</v>
      </c>
      <c r="H6" s="11">
        <v>0.81659999999999999</v>
      </c>
      <c r="I6" s="4">
        <f>Submetering!AF7+Submetering!AG7+Submetering!AV7+Submetering!AY7+Submetering!AZ7</f>
        <v>5210.9665999999997</v>
      </c>
      <c r="J6" s="11">
        <f>((Submetering!AG7+Submetering!BA7)*0.8868+(1712.96+1070.52)/30+(Submetering!AF7+Submetering!AY7+Submetering!AV7+Submetering!AZ7)*1.1251+(2076.11+129.67+207.57+207.57)/30+(11680.53+56.61)/30)/I6</f>
        <v>1.2567467339296832</v>
      </c>
      <c r="K6" s="4">
        <f>Elect!C9</f>
        <v>2016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301467.82400000002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8.1053245956862044E-2</v>
      </c>
      <c r="G7" s="4">
        <f>Submetering!AK8+Submetering!AL8+Submetering!AU8</f>
        <v>7739.08</v>
      </c>
      <c r="H7" s="11">
        <v>0.81659999999999999</v>
      </c>
      <c r="I7" s="4">
        <f>Submetering!AF8+Submetering!AG8+Submetering!AV8+Submetering!AY8+Submetering!AZ8</f>
        <v>4719.9609999999984</v>
      </c>
      <c r="J7" s="11">
        <f>((Submetering!AG8+Submetering!BA8)*0.8868+(1712.96+1070.52)/30+(Submetering!AF8+Submetering!AY8+Submetering!AV8+Submetering!AZ8)*1.1251+(2076.11+129.67+207.57+207.57)/30+(11680.53+56.61)/30)/I7</f>
        <v>1.2544277737732721</v>
      </c>
      <c r="K7" s="4">
        <f>Elect!C10</f>
        <v>2858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304149.82400000002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8.104482257649441E-2</v>
      </c>
      <c r="G8" s="4">
        <f>Submetering!AK9+Submetering!AL9+Submetering!AU9</f>
        <v>5602.9366</v>
      </c>
      <c r="H8" s="11">
        <v>0.81659999999999999</v>
      </c>
      <c r="I8" s="4">
        <f>Submetering!AF9+Submetering!AG9+Submetering!AV9+Submetering!AY9+Submetering!AZ9</f>
        <v>5358.6460000000006</v>
      </c>
      <c r="J8" s="11">
        <f>((Submetering!AG9+Submetering!BA9)*0.8868+(1712.96+1070.52)/30+(Submetering!AF9+Submetering!AY9+Submetering!AV9+Submetering!AZ9)*1.1251+(2076.11+129.67+207.57+207.57)/30+(11680.53+56.61)/30)/I8</f>
        <v>1.285724884918068</v>
      </c>
      <c r="K8" s="4">
        <f>Elect!C11</f>
        <v>2355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306313.62099999998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8.1038134229290446E-2</v>
      </c>
      <c r="G9" s="4">
        <f>Submetering!AK10+Submetering!AL10+Submetering!AU10</f>
        <v>6087.22</v>
      </c>
      <c r="H9" s="11">
        <v>0.81659999999999999</v>
      </c>
      <c r="I9" s="4">
        <f>Submetering!AF10+Submetering!AG10+Submetering!AV10+Submetering!AY10+Submetering!AZ10</f>
        <v>5222.1652000000004</v>
      </c>
      <c r="J9" s="11">
        <f>((Submetering!AG10+Submetering!BA10)*0.8868+(1712.96+1070.52)/30+(Submetering!AF10+Submetering!AY10+Submetering!AV10+Submetering!AZ10)*1.1251+(2076.11+129.67+207.57+207.57)/30+(11680.53+56.61)/30)/I9</f>
        <v>1.3733764673524052</v>
      </c>
      <c r="K9" s="4">
        <f>Elect!C12</f>
        <v>3005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295146.40979360003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8.1188590520965276E-2</v>
      </c>
      <c r="G10" s="4">
        <f>Submetering!AK11+Submetering!AL11+Submetering!AU11</f>
        <v>6370.7722000000003</v>
      </c>
      <c r="H10" s="11">
        <v>0.81659999999999999</v>
      </c>
      <c r="I10" s="4">
        <f>Submetering!AF11+Submetering!AG11+Submetering!AV11+Submetering!AY11+Submetering!AZ11</f>
        <v>4390.0222000000012</v>
      </c>
      <c r="J10" s="11">
        <f>((Submetering!AG11+Submetering!BA11)*0.8868+(1712.96+1070.52)/30+(Submetering!AF11+Submetering!AY11+Submetering!AV11+Submetering!AZ11)*1.1251+(2076.11+129.67+207.57+207.57)/30+(11680.53+56.61)/30)/I10</f>
        <v>1.4179610292190925</v>
      </c>
      <c r="K10" s="4">
        <f>Elect!C13</f>
        <v>1896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319308.891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8.1054039899308664E-2</v>
      </c>
      <c r="G11" s="4">
        <f>Submetering!AK12+Submetering!AL12+Submetering!AU12</f>
        <v>7051.7359999999999</v>
      </c>
      <c r="H11" s="11">
        <v>0.81659999999999999</v>
      </c>
      <c r="I11" s="4">
        <f>Submetering!AF12+Submetering!AG12+Submetering!AV12+Submetering!AY12+Submetering!AZ12</f>
        <v>5569.0709999999999</v>
      </c>
      <c r="J11" s="11">
        <f>((Submetering!AG12+Submetering!BA12)*0.8868+(1712.96+1070.52)/30+(Submetering!AF12+Submetering!AY12+Submetering!AV12+Submetering!AZ12)*1.1251+(2076.11+129.67+207.57+207.57)/30+(11680.53+56.61)/30)/I11</f>
        <v>1.3949611050257156</v>
      </c>
      <c r="K11" s="4">
        <f>Elect!C14</f>
        <v>2040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303445.891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8.1104018038319722E-2</v>
      </c>
      <c r="G12" s="4">
        <f>Submetering!AK13+Submetering!AL13+Submetering!AU13</f>
        <v>4599.9266000000007</v>
      </c>
      <c r="H12" s="11">
        <v>0.81659999999999999</v>
      </c>
      <c r="I12" s="4">
        <f>Submetering!AF13+Submetering!AG13+Submetering!AV13+Submetering!AY13+Submetering!AZ13</f>
        <v>5029.8776000000007</v>
      </c>
      <c r="J12" s="11">
        <f>((Submetering!AG13+Submetering!BA13)*0.8868+(1712.96+1070.52)/30+(Submetering!AF13+Submetering!AY13+Submetering!AV13+Submetering!AZ13)*1.1251+(2076.11+129.67+207.57+207.57)/30+(11680.53+56.61)/30)/I12</f>
        <v>1.4323413183864886</v>
      </c>
      <c r="K12" s="4">
        <f>Elect!C15</f>
        <v>1354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292921.32699999999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8.1081116944571263E-2</v>
      </c>
      <c r="G13" s="4">
        <f>Submetering!AK14+Submetering!AL14+Submetering!AU14</f>
        <v>3333.3599999999997</v>
      </c>
      <c r="H13" s="11">
        <v>0.81659999999999999</v>
      </c>
      <c r="I13" s="4">
        <f>Submetering!AF14+Submetering!AG14+Submetering!AV14+Submetering!AY14+Submetering!AZ14</f>
        <v>4327.2234000000008</v>
      </c>
      <c r="J13" s="11">
        <f>((Submetering!AG14+Submetering!BA14)*0.8868+(1712.96+1070.52)/30+(Submetering!AF14+Submetering!AY14+Submetering!AV14+Submetering!AZ14)*1.1251+(2076.11+129.67+207.57+207.57)/30+(11680.53+56.61)/30)/I13</f>
        <v>1.4119739692493496</v>
      </c>
      <c r="K13" s="4">
        <f>Elect!C16</f>
        <v>242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248042.383393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8.1426632597926152E-2</v>
      </c>
      <c r="G14" s="4">
        <f>Submetering!AK15+Submetering!AL15+Submetering!AU15</f>
        <v>1133.1979999999999</v>
      </c>
      <c r="H14" s="11">
        <v>0.81659999999999999</v>
      </c>
      <c r="I14" s="4">
        <f>Submetering!AF15+Submetering!AG15+Submetering!AV15+Submetering!AY15+Submetering!AZ15</f>
        <v>3061.3788</v>
      </c>
      <c r="J14" s="11">
        <f>((Submetering!AG15+Submetering!BA15)*0.8868+(1712.96+1070.52)/30+(Submetering!AF15+Submetering!AY15+Submetering!AV15+Submetering!AZ15)*1.1251+(2076.11+129.67+207.57+207.57)/30+(11680.53+56.61)/30)/I14</f>
        <v>1.5943327151369395</v>
      </c>
      <c r="K14" s="4">
        <f>Elect!C17</f>
        <v>0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206681.44200000001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8.0570798133467639E-2</v>
      </c>
      <c r="G15" s="4">
        <f>Submetering!AK16+Submetering!AL16+Submetering!AU16</f>
        <v>59.675200000000004</v>
      </c>
      <c r="H15" s="11">
        <v>0.81659999999999999</v>
      </c>
      <c r="I15" s="4">
        <f>Submetering!AF16+Submetering!AG16+Submetering!AV16+Submetering!AY16+Submetering!AZ16</f>
        <v>1093.1079999999999</v>
      </c>
      <c r="J15" s="11">
        <f>((Submetering!AG16+Submetering!BA16)*0.8868+(1712.96+1070.52)/30+(Submetering!AF16+Submetering!AY16+Submetering!AV16+Submetering!AZ16)*1.1251+(2076.11+129.67+207.57+207.57)/30+(11680.53+56.61)/30)/I15</f>
        <v>2.07101533881983</v>
      </c>
      <c r="K15" s="4">
        <f>Elect!C18</f>
        <v>0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222733.51199999999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8.1080301397016538E-2</v>
      </c>
      <c r="G16" s="4">
        <f>Submetering!AK17+Submetering!AL17+Submetering!AU17</f>
        <v>152.8056</v>
      </c>
      <c r="H16" s="11">
        <v>0.81659999999999999</v>
      </c>
      <c r="I16" s="4">
        <f>Submetering!AF17+Submetering!AG17+Submetering!AV17+Submetering!AY17+Submetering!AZ17</f>
        <v>1919.5624000000005</v>
      </c>
      <c r="J16" s="11">
        <f>((Submetering!AG17+Submetering!BA17)*0.8868+(1712.96+1070.52)/30+(Submetering!AF17+Submetering!AY17+Submetering!AV17+Submetering!AZ17)*1.1251+(2076.11+129.67+207.57+207.57)/30+(11680.53+56.61)/30)/I16</f>
        <v>1.8138222745906389</v>
      </c>
      <c r="K16" s="4">
        <f>Elect!C19</f>
        <v>0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246242.51199999999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8.1337721108758018E-2</v>
      </c>
      <c r="G17" s="4">
        <f>Submetering!AK18+Submetering!AL18+Submetering!AU18</f>
        <v>187.7884</v>
      </c>
      <c r="H17" s="11">
        <v>0.81659999999999999</v>
      </c>
      <c r="I17" s="4">
        <f>Submetering!AF18+Submetering!AG18+Submetering!AV18+Submetering!AY18+Submetering!AZ18</f>
        <v>2408.8124000000003</v>
      </c>
      <c r="J17" s="11">
        <f>((Submetering!AG18+Submetering!BA18)*0.8868+(1712.96+1070.52)/30+(Submetering!AF18+Submetering!AY18+Submetering!AV18+Submetering!AZ18)*1.1251+(2076.11+129.67+207.57+207.57)/30+(11680.53+56.61)/30)/I17</f>
        <v>1.7156173118781131</v>
      </c>
      <c r="K17" s="4">
        <f>Elect!C20</f>
        <v>0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242439.51199999999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8.1499851856557101E-2</v>
      </c>
      <c r="G18" s="4">
        <f>Submetering!AK19+Submetering!AL19+Submetering!AU19</f>
        <v>169.58640000000003</v>
      </c>
      <c r="H18" s="11">
        <v>0.81659999999999999</v>
      </c>
      <c r="I18" s="4">
        <f>Submetering!AF19+Submetering!AG19+Submetering!AV19+Submetering!AY19+Submetering!AZ19</f>
        <v>2196.7457999999997</v>
      </c>
      <c r="J18" s="11">
        <f>((Submetering!AG19+Submetering!BA19)*0.8868+(1712.96+1070.52)/30+(Submetering!AF19+Submetering!AY19+Submetering!AV19+Submetering!AZ19)*1.1251+(2076.11+129.67+207.57+207.57)/30+(11680.53+56.61)/30)/I18</f>
        <v>1.6757887991076015</v>
      </c>
      <c r="K18" s="4">
        <f>Elect!C21</f>
        <v>0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243180.989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8.1139955134083286E-2</v>
      </c>
      <c r="G19" s="4">
        <f>Submetering!AK20+Submetering!AL20+Submetering!AU20</f>
        <v>220.47599999999997</v>
      </c>
      <c r="H19" s="11">
        <v>0.81659999999999999</v>
      </c>
      <c r="I19" s="4">
        <f>Submetering!AF20+Submetering!AG20+Submetering!AV20+Submetering!AY20+Submetering!AZ20</f>
        <v>2722.9926</v>
      </c>
      <c r="J19" s="11">
        <f>((Submetering!AG20+Submetering!BA20)*0.8868+(1712.96+1070.52)/30+(Submetering!AF20+Submetering!AY20+Submetering!AV20+Submetering!AZ20)*1.1251+(2076.11+129.67+207.57+207.57)/30+(11680.53+56.61)/30)/I19</f>
        <v>1.4551029768816361</v>
      </c>
      <c r="K19" s="4">
        <f>Elect!C22</f>
        <v>0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221299.07467440001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8.1235843008331712E-2</v>
      </c>
      <c r="G20" s="4">
        <f>Submetering!AK21+Submetering!AL21+Submetering!AU21</f>
        <v>132.30460000000002</v>
      </c>
      <c r="H20" s="11">
        <v>0.81659999999999999</v>
      </c>
      <c r="I20" s="4">
        <f>Submetering!AF21+Submetering!AG21+Submetering!AV21+Submetering!AY21+Submetering!AZ21</f>
        <v>1935.0398</v>
      </c>
      <c r="J20" s="11">
        <f>((Submetering!AG21+Submetering!BA21)*0.8868+(1712.96+1070.52)/30+(Submetering!AF21+Submetering!AY21+Submetering!AV21+Submetering!AZ21)*1.1251+(2076.11+129.67+207.57+207.57)/30+(11680.53+56.61)/30)/I20</f>
        <v>1.7003916658286136</v>
      </c>
      <c r="K20" s="4">
        <f>Elect!C23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210928.41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8.0315278649187166E-2</v>
      </c>
      <c r="G21" s="4">
        <f>Submetering!AK22+Submetering!AL22+Submetering!AU22</f>
        <v>91.967600000000004</v>
      </c>
      <c r="H21" s="11">
        <v>0.81659999999999999</v>
      </c>
      <c r="I21" s="4">
        <f>Submetering!AF22+Submetering!AG22+Submetering!AV22+Submetering!AY22+Submetering!AZ22</f>
        <v>1442.9626000000001</v>
      </c>
      <c r="J21" s="11">
        <f>((Submetering!AG22+Submetering!BA22)*0.8868+(1712.96+1070.52)/30+(Submetering!AF22+Submetering!AY22+Submetering!AV22+Submetering!AZ22)*1.1251+(2076.11+129.67+207.57+207.57)/30+(11680.53+56.61)/30)/I21</f>
        <v>1.6311807273775958</v>
      </c>
      <c r="K21" s="4">
        <f>Elect!C24</f>
        <v>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242870.47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8.142614895116726E-2</v>
      </c>
      <c r="G22" s="4">
        <f>Submetering!AK23+Submetering!AL23+Submetering!AU23</f>
        <v>220.5102</v>
      </c>
      <c r="H22" s="11">
        <v>0.81659999999999999</v>
      </c>
      <c r="I22" s="4">
        <f>Submetering!AF23+Submetering!AG23+Submetering!AV23+Submetering!AY23+Submetering!AZ23</f>
        <v>2773.259</v>
      </c>
      <c r="J22" s="11">
        <f>((Submetering!AG23+Submetering!BA23)*0.8868+(1712.96+1070.52)/30+(Submetering!AF23+Submetering!AY23+Submetering!AV23+Submetering!AZ23)*1.1251+(2076.11+129.67+207.57+207.57)/30+(11680.53+56.61)/30)/I22</f>
        <v>1.6136564085816243</v>
      </c>
      <c r="K22" s="4">
        <f>Elect!C25</f>
        <v>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242217.47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8.1358322139439401E-2</v>
      </c>
      <c r="G23" s="4">
        <f>Submetering!AK24+Submetering!AL24+Submetering!AU24</f>
        <v>223.76679999999999</v>
      </c>
      <c r="H23" s="11">
        <v>0.81659999999999999</v>
      </c>
      <c r="I23" s="4">
        <f>Submetering!AF24+Submetering!AG24+Submetering!AV24+Submetering!AY24+Submetering!AZ24</f>
        <v>2848.1075999999998</v>
      </c>
      <c r="J23" s="11">
        <f>((Submetering!AG24+Submetering!BA24)*0.8868+(1712.96+1070.52)/30+(Submetering!AF24+Submetering!AY24+Submetering!AV24+Submetering!AZ24)*1.1251+(2076.11+129.67+207.57+207.57)/30+(11680.53+56.61)/30)/I23</f>
        <v>1.9774894708285131</v>
      </c>
      <c r="K23" s="4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242944.05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8.1496940537955143E-2</v>
      </c>
      <c r="G24" s="4">
        <f>Submetering!AK25+Submetering!AL25+Submetering!AU25</f>
        <v>206.55279999999999</v>
      </c>
      <c r="H24" s="11">
        <v>0.81659999999999999</v>
      </c>
      <c r="I24" s="4">
        <f>Submetering!AF25+Submetering!AG25+Submetering!AV25+Submetering!AY25+Submetering!AZ25</f>
        <v>3029.3295999999996</v>
      </c>
      <c r="J24" s="11">
        <f>((Submetering!AG25+Submetering!BA25)*0.8868+(1712.96+1070.52)/30+(Submetering!AF25+Submetering!AY25+Submetering!AV25+Submetering!AZ25)*1.1251+(2076.11+129.67+207.57+207.57)/30+(11680.53+56.61)/30)/I24</f>
        <v>1.5348833460006024</v>
      </c>
      <c r="K24" s="4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245967.52744880001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8.1416845520385722E-2</v>
      </c>
      <c r="G25" s="4">
        <f>Submetering!AK26+Submetering!AL26+Submetering!AU26</f>
        <v>195.56319999999999</v>
      </c>
      <c r="H25" s="11">
        <v>0.81659999999999999</v>
      </c>
      <c r="I25" s="4">
        <f>Submetering!AF26+Submetering!AG26+Submetering!AV26+Submetering!AY26+Submetering!AZ26</f>
        <v>2558.5475999999999</v>
      </c>
      <c r="J25" s="11">
        <f>((Submetering!AG26+Submetering!BA26)*0.8868+(1712.96+1070.52)/30+(Submetering!AF26+Submetering!AY26+Submetering!AV26+Submetering!AZ26)*1.1251+(2076.11+129.67+207.57+207.57)/30+(11680.53+56.61)/30)/I25</f>
        <v>1.3475817778127976</v>
      </c>
      <c r="K25" s="4">
        <f>Elect!C28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244060.35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8.1419673758150388E-2</v>
      </c>
      <c r="G26" s="4">
        <f>Submetering!AK27+Submetering!AL27+Submetering!AU27</f>
        <v>206.98220000000001</v>
      </c>
      <c r="H26" s="11">
        <v>0.81659999999999999</v>
      </c>
      <c r="I26" s="4">
        <f>Submetering!AF27+Submetering!AG27+Submetering!AV27+Submetering!AY27+Submetering!AZ27</f>
        <v>1537.5598</v>
      </c>
      <c r="J26" s="11">
        <f>((Submetering!AG27+Submetering!BA27)*0.8868+(1712.96+1070.52)/30+(Submetering!AF27+Submetering!AY27+Submetering!AV27+Submetering!AZ27)*1.1251+(2076.11+129.67+207.57+207.57)/30+(11680.53+56.61)/30)/I26</f>
        <v>1.501135830480653</v>
      </c>
      <c r="K26" s="4">
        <f>Elect!C29</f>
        <v>0</v>
      </c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247644.6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8.1470387203274375E-2</v>
      </c>
      <c r="G27" s="4">
        <f>Submetering!AK28+Submetering!AL28+Submetering!AU28</f>
        <v>216.83940000000001</v>
      </c>
      <c r="H27" s="11">
        <v>0.81659999999999999</v>
      </c>
      <c r="I27" s="4">
        <f>Submetering!AF28+Submetering!AG28+Submetering!AV28+Submetering!AY28+Submetering!AZ28</f>
        <v>1580.5492000000002</v>
      </c>
      <c r="J27" s="11">
        <f>((Submetering!AG28+Submetering!BA28)*0.8868+(1712.96+1070.52)/30+(Submetering!AF28+Submetering!AY28+Submetering!AV28+Submetering!AZ28)*1.1251+(2076.11+129.67+207.57+207.57)/30+(11680.53+56.61)/30)/I27</f>
        <v>1.4969563444318383</v>
      </c>
      <c r="K27" s="4">
        <f>Elect!C30</f>
        <v>0</v>
      </c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261670.63999999998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8.1396824659885403E-2</v>
      </c>
      <c r="G28" s="4">
        <f>Submetering!AK29+Submetering!AL29+Submetering!AU29</f>
        <v>280.69839999999999</v>
      </c>
      <c r="H28" s="11">
        <v>0.81659999999999999</v>
      </c>
      <c r="I28" s="4">
        <f>Submetering!AF29+Submetering!AG29+Submetering!AV29+Submetering!AY29+Submetering!AZ29</f>
        <v>2781.1553999999996</v>
      </c>
      <c r="J28" s="11">
        <f>((Submetering!AG29+Submetering!BA29)*0.8868+(1712.96+1070.52)/30+(Submetering!AF29+Submetering!AY29+Submetering!AV29+Submetering!AZ29)*1.1251+(2076.11+129.67+207.57+207.57)/30+(11680.53+56.61)/30)/I28</f>
        <v>1.3840692518680067</v>
      </c>
      <c r="K28" s="4">
        <f>Elect!C31</f>
        <v>0</v>
      </c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262549.16000000003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8.1392478641638011E-2</v>
      </c>
      <c r="G29" s="4">
        <f>Submetering!AK30+Submetering!AL30+Submetering!AU30</f>
        <v>515.8614</v>
      </c>
      <c r="H29" s="11">
        <v>0.81659999999999999</v>
      </c>
      <c r="I29" s="4">
        <f>Submetering!AF30+Submetering!AG30+Submetering!AV30+Submetering!AY30+Submetering!AZ30</f>
        <v>3127.21</v>
      </c>
      <c r="J29" s="11">
        <f>((Submetering!AG30+Submetering!BA30)*0.8868+(1712.96+1070.52)/30+(Submetering!AF30+Submetering!AY30+Submetering!AV30+Submetering!AZ30)*1.1251+(2076.11+129.67+207.57+207.57)/30+(11680.53+56.61)/30)/I29</f>
        <v>1.5990964301171546</v>
      </c>
      <c r="K29" s="4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221316.65367960001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8.0757484585576328E-2</v>
      </c>
      <c r="G30" s="4">
        <f>Submetering!AK31+Submetering!AL31+Submetering!AU31</f>
        <v>121.6494</v>
      </c>
      <c r="H30" s="11">
        <v>0.81659999999999999</v>
      </c>
      <c r="I30" s="4">
        <f>Submetering!AF31+Submetering!AG31+Submetering!AV31+Submetering!AY31+Submetering!AZ31</f>
        <v>1082.5402000000001</v>
      </c>
      <c r="J30" s="11">
        <f>((Submetering!AG31+Submetering!BA31)*0.8868+(1712.96+1070.52)/30+(Submetering!AF31+Submetering!AY31+Submetering!AV31+Submetering!AZ31)*1.1251+(2076.11+129.67+207.57+207.57)/30+(11680.53+56.61)/30)/I30</f>
        <v>2.0894364795752312</v>
      </c>
      <c r="K30" s="4">
        <f>Elect!C33</f>
        <v>79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273933.77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8.1022981538420774E-2</v>
      </c>
      <c r="G31" s="4">
        <f>Submetering!AK32+Submetering!AL32+Submetering!AU32</f>
        <v>986.30899999999997</v>
      </c>
      <c r="H31" s="11">
        <v>0.81659999999999999</v>
      </c>
      <c r="I31" s="4">
        <f>Submetering!AF32+Submetering!AG32+Submetering!AV32+Submetering!AY32+Submetering!AZ32</f>
        <v>2771.2184000000002</v>
      </c>
      <c r="J31" s="11">
        <f>((Submetering!AG32+Submetering!BA32)*0.8868+(1712.96+1070.52)/30+(Submetering!AF32+Submetering!AY32+Submetering!AV32+Submetering!AZ32)*1.1251+(2076.11+129.67+207.57+207.57)/30+(11680.53+56.61)/30)/I31</f>
        <v>1.4107432515411511</v>
      </c>
      <c r="K31" s="4">
        <f>Elect!C34</f>
        <v>707</v>
      </c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296012.77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8.1304570919220803E-2</v>
      </c>
      <c r="G32" s="4">
        <f>Submetering!AK33+Submetering!AL33+Submetering!AU33</f>
        <v>1275.5536</v>
      </c>
      <c r="H32" s="11">
        <v>0.81659999999999999</v>
      </c>
      <c r="I32" s="4">
        <f>Submetering!AF33+Submetering!AG33+Submetering!AV33+Submetering!AY33+Submetering!AZ33</f>
        <v>3250.7784000000001</v>
      </c>
      <c r="J32" s="11">
        <f>((Submetering!AG33+Submetering!BA33)*0.8868+(1712.96+1070.52)/30+(Submetering!AF33+Submetering!AY33+Submetering!AV33+Submetering!AZ33)*1.1251+(2076.11+129.67+207.57+207.57)/30+(11680.53+56.61)/30)/I32</f>
        <v>1.2883564902075966</v>
      </c>
      <c r="K32" s="4">
        <f>Elect!C35</f>
        <v>479</v>
      </c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302156.86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8.1337278565444454E-2</v>
      </c>
      <c r="G33" s="4">
        <f>Submetering!AK34+Submetering!AL34+Submetering!AU34</f>
        <v>1103.7593999999999</v>
      </c>
      <c r="H33" s="11">
        <v>0.81659999999999999</v>
      </c>
      <c r="I33" s="4">
        <f>Submetering!AF34+Submetering!AG34+Submetering!AV34+Submetering!AY34+Submetering!AZ34</f>
        <v>4061.7097999999996</v>
      </c>
      <c r="J33" s="11">
        <f>((Submetering!AG34+Submetering!BA34)*0.8868+(1712.96+1070.52)/30+(Submetering!AF34+Submetering!AY34+Submetering!AV34+Submetering!AZ34)*1.1251+(2076.11+129.67+207.57+207.57)/30+(11680.53+56.61)/30)/I33</f>
        <v>1.4005728381300571</v>
      </c>
      <c r="K33" s="4">
        <f>Elect!C36</f>
        <v>611</v>
      </c>
      <c r="L33" s="246"/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303432.31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8.1161064641995434E-2</v>
      </c>
      <c r="G34" s="4">
        <f>Submetering!AK35+Submetering!AL35+Submetering!AU35</f>
        <v>1467.807</v>
      </c>
      <c r="H34" s="11">
        <v>0.81659999999999999</v>
      </c>
      <c r="I34" s="4">
        <f>Submetering!AF35+Submetering!AG35+Submetering!AV35+Submetering!AY35+Submetering!AZ35</f>
        <v>3653.6543999999999</v>
      </c>
      <c r="J34" s="11">
        <f>((Submetering!AG35+Submetering!BA35)*0.8868+(1712.96+1070.52)/30+(Submetering!AF35+Submetering!AY35+Submetering!AV35+Submetering!AZ35)*1.1251+(2076.11+129.67+207.57+207.57)/30+(11680.53+56.61)/30)/I34</f>
        <v>1.3071601891702365</v>
      </c>
      <c r="K34" s="4">
        <f>Elect!C37</f>
        <v>597</v>
      </c>
      <c r="L34" s="246"/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278816.57559000002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8.0649822619287659E-2</v>
      </c>
      <c r="G35" s="4">
        <f>Submetering!AK36+Submetering!AL36+Submetering!AU36</f>
        <v>896.19579999999996</v>
      </c>
      <c r="H35" s="11">
        <v>0.81659999999999999</v>
      </c>
      <c r="I35" s="4">
        <f>Submetering!AF36+Submetering!AG36+Submetering!AV36+Submetering!AY36+Submetering!AZ36</f>
        <v>2843.9161999999997</v>
      </c>
      <c r="J35" s="11">
        <f>((Submetering!AG36+Submetering!BA36)*0.8868+(1712.96+1070.52)/30+(Submetering!AF36+Submetering!AY36+Submetering!AV36+Submetering!AZ36)*1.1251+(2076.11+129.67+207.57+207.57)/30+(11680.53+56.61)/30)/I35</f>
        <v>1.3427702948092024</v>
      </c>
      <c r="K35" s="4">
        <f>Elect!C38</f>
        <v>467</v>
      </c>
      <c r="L35" s="246"/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224582.53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8.1380272133990114E-2</v>
      </c>
      <c r="G36" s="4">
        <f>Submetering!AK37+Submetering!AL37+Submetering!AU37</f>
        <v>250.54919999999998</v>
      </c>
      <c r="H36" s="11">
        <v>0.81659999999999999</v>
      </c>
      <c r="I36" s="4">
        <f>Submetering!AF37+Submetering!AG37+Submetering!AV37+Submetering!AY37+Submetering!AZ37</f>
        <v>1007.7714000000001</v>
      </c>
      <c r="J36" s="11">
        <f>((Submetering!AG37+Submetering!BA37)*0.8868+(1712.96+1070.52)/30+(Submetering!AF37+Submetering!AY37+Submetering!AV37+Submetering!AZ37)*1.1251+(2076.11+129.67+207.57+207.57)/30+(11680.53+56.61)/30)/I36</f>
        <v>2.0102666646490133</v>
      </c>
      <c r="K36" s="4">
        <f>Elect!C39</f>
        <v>136</v>
      </c>
      <c r="L36" s="246"/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303885.83999999997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8.1159478086639369E-2</v>
      </c>
      <c r="G37" s="4">
        <f>Submetering!AK38+Submetering!AL38+Submetering!AU38</f>
        <v>1051.3042</v>
      </c>
      <c r="H37" s="11">
        <v>0.81659999999999999</v>
      </c>
      <c r="I37" s="4">
        <f>Submetering!AF38+Submetering!AG38+Submetering!AV38+Submetering!AY38+Submetering!AZ38</f>
        <v>4027.9392000000003</v>
      </c>
      <c r="J37" s="11">
        <f>((Submetering!AG38+Submetering!BA38)*0.8868+(1712.96+1070.52)/30+(Submetering!AF38+Submetering!AY38+Submetering!AV38+Submetering!AZ38)*1.1251+(2076.11+129.67+207.57+207.57)/30+(11680.53+56.61)/30)/I37</f>
        <v>1.356089044895878</v>
      </c>
      <c r="K37" s="4">
        <f>Elect!C40</f>
        <v>940</v>
      </c>
      <c r="L37" s="246"/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303705.2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8.1217059798778551E-2</v>
      </c>
      <c r="G38" s="4">
        <f>Submetering!AK39+Submetering!AL39+Submetering!AU39</f>
        <v>1192.7478000000001</v>
      </c>
      <c r="H38" s="11">
        <v>0.81659999999999999</v>
      </c>
      <c r="I38" s="4">
        <f>Submetering!AF39+Submetering!AG39+Submetering!AV39+Submetering!AY39+Submetering!AZ39</f>
        <v>4082.3361999999997</v>
      </c>
      <c r="J38" s="11">
        <f>((Submetering!AG39+Submetering!BA39)*0.8868+(1712.96+1070.52)/30+(Submetering!AF39+Submetering!AY39+Submetering!AV39+Submetering!AZ39)*1.1251+(2076.11+129.67+207.57+207.57)/30+(11680.53+56.61)/30)/I38</f>
        <v>1.366838274134959</v>
      </c>
      <c r="K38" s="4">
        <f>Elect!C41</f>
        <v>856</v>
      </c>
      <c r="L38" s="246"/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302333.46999999997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8.139376338339252E-2</v>
      </c>
      <c r="G39" s="4">
        <f>Submetering!AK40+Submetering!AL40+Submetering!AU40</f>
        <v>1617.9525999999998</v>
      </c>
      <c r="H39" s="11">
        <v>0.81659999999999999</v>
      </c>
      <c r="I39" s="4">
        <f>Submetering!AF40+Submetering!AG40+Submetering!AV40+Submetering!AY40+Submetering!AZ40</f>
        <v>4546.9469999999992</v>
      </c>
      <c r="J39" s="11">
        <f>((Submetering!AG40+Submetering!BA40)*0.8868+(1712.96+1070.52)/30+(Submetering!AF40+Submetering!AY40+Submetering!AV40+Submetering!AZ40)*1.1251+(2076.11+129.67+207.57+207.57)/30+(11680.53+56.61)/30)/I39</f>
        <v>1.3152001623521603</v>
      </c>
      <c r="K39" s="4">
        <f>Elect!C42</f>
        <v>795</v>
      </c>
      <c r="L39" s="246"/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306704.68706319999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8.1259826359327617E-2</v>
      </c>
      <c r="G40" s="4">
        <f>Submetering!AK41+Submetering!AL41+Submetering!AU41</f>
        <v>1076.0308</v>
      </c>
      <c r="H40" s="11">
        <v>0.81659999999999999</v>
      </c>
      <c r="I40" s="4">
        <f>Submetering!AF41+Submetering!AG41+Submetering!AV41+Submetering!AY41+Submetering!AZ41</f>
        <v>4439.5627999999997</v>
      </c>
      <c r="J40" s="11">
        <f>((Submetering!AG41+Submetering!BA41)*0.8868+(1712.96+1070.52)/30+(Submetering!AF41+Submetering!AY41+Submetering!AV41+Submetering!AZ41)*1.1251+(2076.11+129.67+207.57+207.57)/30+(11680.53+56.61)/30)/I40</f>
        <v>1.3124424220751347</v>
      </c>
      <c r="K40" s="4">
        <f>Elect!C43</f>
        <v>659</v>
      </c>
      <c r="L40" s="246"/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306170.54000000004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8.1264540712898112E-2</v>
      </c>
      <c r="G41" s="4">
        <f>Submetering!AK42+Submetering!AL42+Submetering!AU42</f>
        <v>1208.2821999999999</v>
      </c>
      <c r="H41" s="11">
        <v>0.81659999999999999</v>
      </c>
      <c r="I41" s="4">
        <f>Submetering!AF42+Submetering!AG42+Submetering!AV42+Submetering!AY42+Submetering!AZ42</f>
        <v>4125.451</v>
      </c>
      <c r="J41" s="11">
        <f>((Submetering!AG42+Submetering!BA42)*0.8868+(1712.96+1070.52)/30+(Submetering!AF42+Submetering!AY42+Submetering!AV42+Submetering!AZ42)*1.1251+(2076.11+129.67+207.57+207.57)/30+(11680.53+56.61)/30)/I41</f>
        <v>1.3037363144166942</v>
      </c>
      <c r="K41" s="4">
        <f>Elect!C44</f>
        <v>823</v>
      </c>
      <c r="L41" s="4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338054.54000000004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8.1103353396525898E-2</v>
      </c>
      <c r="G42" s="4">
        <f>Submetering!AK43+Submetering!AL43+Submetering!AU43</f>
        <v>1640.365</v>
      </c>
      <c r="H42" s="11">
        <v>0.81659999999999999</v>
      </c>
      <c r="I42" s="4">
        <f>Submetering!AF43+Submetering!AG43+Submetering!AV43+Submetering!AY43+Submetering!AZ43</f>
        <v>3665.2291999999998</v>
      </c>
      <c r="J42" s="11">
        <f>((Submetering!AG43+Submetering!BA43)*0.8868+(1712.96+1070.52)/30+(Submetering!AF43+Submetering!AY43+Submetering!AV43+Submetering!AZ43)*1.1251+(2076.11+129.67+207.57+207.57)/30+(11680.53+56.61)/30)/I42</f>
        <v>1.2853333738001067</v>
      </c>
      <c r="K42" s="4">
        <f>Elect!C45</f>
        <v>719</v>
      </c>
      <c r="L42" s="246"/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277341.54000000004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8.1385799873037415E-2</v>
      </c>
      <c r="G43" s="4">
        <f>Submetering!AK44+Submetering!AL44+Submetering!AU44</f>
        <v>1539.2736</v>
      </c>
      <c r="H43" s="11">
        <v>0.81659999999999999</v>
      </c>
      <c r="I43" s="4">
        <f>Submetering!AF44+Submetering!AG44+Submetering!AV44+Submetering!AY44+Submetering!AZ44</f>
        <v>4101.6021999999994</v>
      </c>
      <c r="J43" s="11">
        <f>((Submetering!AG44+Submetering!BA44)*0.8868+(1712.96+1070.52)/30+(Submetering!AF44+Submetering!AY44+Submetering!AV44+Submetering!AZ44)*1.1251+(2076.11+129.67+207.57+207.57)/30+(11680.53+56.61)/30)/I43</f>
        <v>1.2550530844084946</v>
      </c>
      <c r="K43" s="4">
        <f>Elect!C46</f>
        <v>596</v>
      </c>
      <c r="L43" s="246"/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310778.89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8.113593459073104E-2</v>
      </c>
      <c r="G44" s="4">
        <f>Submetering!AK45+Submetering!AL45+Submetering!AU45</f>
        <v>2312.5394000000001</v>
      </c>
      <c r="H44" s="11">
        <v>0.81659999999999999</v>
      </c>
      <c r="I44" s="4">
        <f>Submetering!AF45+Submetering!AG45+Submetering!AV45+Submetering!AY45+Submetering!AZ45</f>
        <v>4332.1139999999996</v>
      </c>
      <c r="J44" s="11">
        <f>((Submetering!AG45+Submetering!BA45)*0.8868+(1712.96+1070.52)/30+(Submetering!AF45+Submetering!AY45+Submetering!AV45+Submetering!AZ45)*1.1251+(2076.11+129.67+207.57+207.57)/30+(11680.53+56.61)/30)/I44</f>
        <v>1.246307022065132</v>
      </c>
      <c r="K44" s="4">
        <f>Elect!C47</f>
        <v>956</v>
      </c>
      <c r="L44" s="246"/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206594.4007808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8.1213296960978426E-2</v>
      </c>
      <c r="G45" s="4">
        <f>Submetering!AK46+Submetering!AL46+Submetering!AU46</f>
        <v>0.15579999999999999</v>
      </c>
      <c r="H45" s="11">
        <v>0.81659999999999999</v>
      </c>
      <c r="I45" s="4">
        <f>Submetering!AF46+Submetering!AG46+Submetering!AV46+Submetering!AY46+Submetering!AZ46</f>
        <v>157.928</v>
      </c>
      <c r="J45" s="11">
        <f>((Submetering!AG46+Submetering!BA46)*0.8868+(1712.96+1070.52)/30+(Submetering!AF46+Submetering!AY46+Submetering!AV46+Submetering!AZ46)*1.1251+(2076.11+129.67+207.57+207.57)/30+(11680.53+56.61)/30)/I45</f>
        <v>4.8436298547861476</v>
      </c>
      <c r="K45" s="4">
        <f>Elect!C48</f>
        <v>301</v>
      </c>
      <c r="L45" s="246"/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310251.93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8.0524462584777481E-2</v>
      </c>
      <c r="G46" s="4">
        <f>Submetering!AK47+Submetering!AL47+Submetering!AU47</f>
        <v>3027.84</v>
      </c>
      <c r="H46" s="11">
        <v>0.81659999999999999</v>
      </c>
      <c r="I46" s="4">
        <f>Submetering!AF47+Submetering!AG47+Submetering!AV47+Submetering!AY47+Submetering!AZ47</f>
        <v>3428.5348000000004</v>
      </c>
      <c r="J46" s="11">
        <f>((Submetering!AG47+Submetering!BA47)*0.8868+(1712.96+1070.52)/30+(Submetering!AF47+Submetering!AY47+Submetering!AV47+Submetering!AZ47)*1.1251+(2076.11+129.67+207.57+207.57)/30+(11680.53+56.61)/30)/I46</f>
        <v>1.2794443914020259</v>
      </c>
      <c r="K46" s="4">
        <f>Elect!C49</f>
        <v>385</v>
      </c>
      <c r="L46" s="246"/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312037.93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8.1187176178037071E-2</v>
      </c>
      <c r="G47" s="4">
        <f>Submetering!AK48+Submetering!AL48+Submetering!AU48</f>
        <v>1558.8094000000001</v>
      </c>
      <c r="H47" s="11">
        <v>0.81659999999999999</v>
      </c>
      <c r="I47" s="4">
        <f>Submetering!AF48+Submetering!AG48+Submetering!AV48+Submetering!AY48+Submetering!AZ48</f>
        <v>4309.6483999999991</v>
      </c>
      <c r="J47" s="11">
        <f>((Submetering!AG48+Submetering!BA48)*0.8868+(1712.96+1070.52)/30+(Submetering!AF48+Submetering!AY48+Submetering!AV48+Submetering!AZ48)*1.1251+(2076.11+129.67+207.57+207.57)/30+(11680.53+56.61)/30)/I47</f>
        <v>1.2441022805077713</v>
      </c>
      <c r="K47" s="4">
        <f>Elect!C50</f>
        <v>882</v>
      </c>
      <c r="L47" s="246"/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311209.93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8.1190074022188169E-2</v>
      </c>
      <c r="G48" s="4">
        <f>Submetering!AK49+Submetering!AL49+Submetering!AU49</f>
        <v>1923.8791999999999</v>
      </c>
      <c r="H48" s="11">
        <v>0.81659999999999999</v>
      </c>
      <c r="I48" s="4">
        <f>Submetering!AF49+Submetering!AG49+Submetering!AV49+Submetering!AY49+Submetering!AZ49</f>
        <v>4713.7821999999996</v>
      </c>
      <c r="J48" s="11">
        <f>((Submetering!AG49+Submetering!BA49)*0.8868+(1712.96+1070.52)/30+(Submetering!AF49+Submetering!AY49+Submetering!AV49+Submetering!AZ49)*1.1251+(2076.11+129.67+207.57+207.57)/30+(11680.53+56.61)/30)/I48</f>
        <v>1.3387585889408866</v>
      </c>
      <c r="K48" s="4">
        <f>Elect!C51</f>
        <v>731</v>
      </c>
      <c r="L48" s="246"/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309615.24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8.1139835537552996E-2</v>
      </c>
      <c r="G49" s="4">
        <f>Submetering!AK50+Submetering!AL50+Submetering!AU50</f>
        <v>1923.8791999999999</v>
      </c>
      <c r="H49" s="11">
        <v>0.81659999999999999</v>
      </c>
      <c r="I49" s="4">
        <f>Submetering!AF50+Submetering!AG50+Submetering!AV50+Submetering!AY50+Submetering!AZ50</f>
        <v>4713.7821999999996</v>
      </c>
      <c r="J49" s="11">
        <f>((Submetering!AG50+Submetering!BA50)*0.8868+(1712.96+1070.52)/30+(Submetering!AF50+Submetering!AY50+Submetering!AV50+Submetering!AZ50)*1.1251+(2076.11+129.67+207.57+207.57)/30+(11680.53+56.61)/30)/I49</f>
        <v>1.3387585889408866</v>
      </c>
      <c r="K49" s="4">
        <f>Elect!C52</f>
        <v>611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309624.46999999997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8.0972219663581493E-2</v>
      </c>
      <c r="G50" s="4">
        <f>Submetering!AK51+Submetering!AL51+Submetering!AU51</f>
        <v>2670.6970000000001</v>
      </c>
      <c r="H50" s="11">
        <v>0.81659999999999999</v>
      </c>
      <c r="I50" s="4">
        <f>Submetering!AF51+Submetering!AG51+Submetering!AV51+Submetering!AY51+Submetering!AZ51</f>
        <v>4567.4593999999997</v>
      </c>
      <c r="J50" s="11">
        <f>((Submetering!AG51+Submetering!BA51)*0.8868+(1712.96+1070.52)/30+(Submetering!AF51+Submetering!AY51+Submetering!AV51+Submetering!AZ51)*1.1251+(2076.11+129.67+207.57+207.57)/30+(11680.53+56.61)/30)/I50</f>
        <v>1.2420127483665573</v>
      </c>
      <c r="K50" s="4">
        <f>Elect!C53</f>
        <v>502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309350.75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8.1252548356517629E-2</v>
      </c>
      <c r="G51" s="4">
        <f>Submetering!AK52+Submetering!AL52+Submetering!AU52</f>
        <v>2619.5642000000003</v>
      </c>
      <c r="H51" s="11">
        <v>0.81659999999999999</v>
      </c>
      <c r="I51" s="4">
        <f>Submetering!AF52+Submetering!AG52+Submetering!AV52+Submetering!AY52+Submetering!AZ52</f>
        <v>4079.9421999999995</v>
      </c>
      <c r="J51" s="11">
        <f>((Submetering!AG52+Submetering!BA52)*0.8868+(1712.96+1070.52)/30+(Submetering!AF52+Submetering!AY52+Submetering!AV52+Submetering!AZ52)*1.1251+(2076.11+129.67+207.57+207.57)/30+(11680.53+56.61)/30)/I51</f>
        <v>1.3245412108060421</v>
      </c>
      <c r="K51" s="4">
        <f>Elect!C54</f>
        <v>0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246344.75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8.1477628670795693E-2</v>
      </c>
      <c r="G52" s="4">
        <f>Submetering!AK53+Submetering!AL53+Submetering!AU53</f>
        <v>5306.9773999999998</v>
      </c>
      <c r="H52" s="11">
        <v>0.81659999999999999</v>
      </c>
      <c r="I52" s="4">
        <f>Submetering!AF53+Submetering!AG53+Submetering!AV53+Submetering!AY53+Submetering!AZ53</f>
        <v>3991.7062000000001</v>
      </c>
      <c r="J52" s="11">
        <f>((Submetering!AG53+Submetering!BA53)*0.8868+(1712.96+1070.52)/30+(Submetering!AF53+Submetering!AY53+Submetering!AV53+Submetering!AZ53)*1.1251+(2076.11+129.67+207.57+207.57)/30+(11680.53+56.61)/30)/I52</f>
        <v>1.7320607729313009</v>
      </c>
      <c r="K52" s="4">
        <f>Elect!C55</f>
        <v>676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249181.01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8.1184277802630295E-2</v>
      </c>
      <c r="G53" s="4">
        <f>Submetering!AK54+Submetering!AL54+Submetering!AU54</f>
        <v>3333.7324000000003</v>
      </c>
      <c r="H53" s="11">
        <v>0.81659999999999999</v>
      </c>
      <c r="I53" s="4">
        <f>Submetering!AF54+Submetering!AG54+Submetering!AV54+Submetering!AY54+Submetering!AZ54</f>
        <v>3533.6846</v>
      </c>
      <c r="J53" s="11">
        <f>((Submetering!AG54+Submetering!BA54)*0.8868+(1712.96+1070.52)/30+(Submetering!AF54+Submetering!AY54+Submetering!AV54+Submetering!AZ54)*1.1251+(2076.11+129.67+207.57+207.57)/30+(11680.53+56.61)/30)/I53</f>
        <v>1.2796053399012086</v>
      </c>
      <c r="K53" s="4">
        <f>Elect!C56</f>
        <v>684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251195.28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8.1313277771142847E-2</v>
      </c>
      <c r="G54" s="4">
        <f>Submetering!AK55+Submetering!AL55+Submetering!AU55</f>
        <v>5628.4726000000001</v>
      </c>
      <c r="H54" s="11">
        <v>0.81659999999999999</v>
      </c>
      <c r="I54" s="4">
        <f>Submetering!AF55+Submetering!AG55+Submetering!AV55+Submetering!AY55+Submetering!AZ55</f>
        <v>3844.0761999999995</v>
      </c>
      <c r="J54" s="11">
        <f>((Submetering!AG55+Submetering!BA55)*0.8868+(1712.96+1070.52)/30+(Submetering!AF55+Submetering!AY55+Submetering!AV55+Submetering!AZ55)*1.1251+(2076.11+129.67+207.57+207.57)/30+(11680.53+56.61)/30)/I54</f>
        <v>1.2530276734802153</v>
      </c>
      <c r="K54" s="4">
        <f>Elect!C57</f>
        <v>870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174880.31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8.0261163708938973E-2</v>
      </c>
      <c r="G55" s="4">
        <f>Submetering!AK56+Submetering!AL56+Submetering!AU56</f>
        <v>4883.3609999999999</v>
      </c>
      <c r="H55" s="11">
        <v>0.81659999999999999</v>
      </c>
      <c r="I55" s="4">
        <f>Submetering!AF56+Submetering!AG56+Submetering!AV56+Submetering!AY56+Submetering!AZ56</f>
        <v>4429.4661999999998</v>
      </c>
      <c r="J55" s="11">
        <f>((Submetering!AG56+Submetering!BA56)*0.8868+(1712.96+1070.52)/30+(Submetering!AF56+Submetering!AY56+Submetering!AV56+Submetering!AZ56)*1.1251+(2076.11+129.67+207.57+207.57)/30+(11680.53+56.61)/30)/I55</f>
        <v>1.3495373975055203</v>
      </c>
      <c r="K55" s="4">
        <f>Elect!C58</f>
        <v>1156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217862.59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8.1181653508388019E-2</v>
      </c>
      <c r="G56" s="4">
        <f>Submetering!AK57+Submetering!AL57+Submetering!AU57</f>
        <v>2648.6380000000004</v>
      </c>
      <c r="H56" s="11">
        <v>0.81659999999999999</v>
      </c>
      <c r="I56" s="4">
        <f>Submetering!AF57+Submetering!AG57+Submetering!AV57+Submetering!AY57+Submetering!AZ57</f>
        <v>1090.866</v>
      </c>
      <c r="J56" s="11">
        <f>((Submetering!AG57+Submetering!BA57)*0.8868+(1712.96+1070.52)/30+(Submetering!AF57+Submetering!AY57+Submetering!AV57+Submetering!AZ57)*1.1251+(2076.11+129.67+207.57+207.57)/30+(11680.53+56.61)/30)/I56</f>
        <v>1.6164409236942638</v>
      </c>
      <c r="K56" s="4">
        <f>Elect!C59</f>
        <v>46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242234.37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8.1286831791293687E-2</v>
      </c>
      <c r="G57" s="4">
        <f>Submetering!AK58+Submetering!AL58+Submetering!AU58</f>
        <v>5326.4524000000001</v>
      </c>
      <c r="H57" s="11">
        <v>0.81659999999999999</v>
      </c>
      <c r="I57" s="4">
        <f>Submetering!AF58+Submetering!AG58+Submetering!AV58+Submetering!AY58+Submetering!AZ58</f>
        <v>2823.3429999999994</v>
      </c>
      <c r="J57" s="11">
        <f>((Submetering!AG58+Submetering!BA58)*0.8868+(1712.96+1070.52)/30+(Submetering!AF58+Submetering!AY58+Submetering!AV58+Submetering!AZ58)*1.1251+(2076.11+129.67+207.57+207.57)/30+(11680.53+56.61)/30)/I57</f>
        <v>1.4872913564404562</v>
      </c>
      <c r="K57" s="4">
        <f>Elect!C60</f>
        <v>809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244783.37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8.1203793257115464E-2</v>
      </c>
      <c r="G58" s="4">
        <f>Submetering!AK59+Submetering!AL59+Submetering!AU59</f>
        <v>7663.1560000000009</v>
      </c>
      <c r="H58" s="11">
        <v>0.81659999999999999</v>
      </c>
      <c r="I58" s="4">
        <f>Submetering!AF59+Submetering!AG59+Submetering!AV59+Submetering!AY59+Submetering!AZ59</f>
        <v>3508.0915999999997</v>
      </c>
      <c r="J58" s="11">
        <f>((Submetering!AG59+Submetering!BA59)*0.8868+(1712.96+1070.52)/30+(Submetering!AF59+Submetering!AY59+Submetering!AV59+Submetering!AZ59)*1.1251+(2076.11+129.67+207.57+207.57)/30+(11680.53+56.61)/30)/I58</f>
        <v>1.2580874596394993</v>
      </c>
      <c r="K58" s="4">
        <f>Elect!C61</f>
        <v>1067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249637.99</v>
      </c>
      <c r="F59" s="10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8.1251574101441848E-2</v>
      </c>
      <c r="G59" s="4">
        <f>Submetering!AK60+Submetering!AL60+Submetering!AU60</f>
        <v>6944.9408000000003</v>
      </c>
      <c r="H59" s="11">
        <v>0.81659999999999999</v>
      </c>
      <c r="I59" s="4">
        <f>Submetering!AF60+Submetering!AG60+Submetering!AV60+Submetering!AY60+Submetering!AZ60</f>
        <v>4100.2608</v>
      </c>
      <c r="J59" s="11">
        <f>((Submetering!AG60+Submetering!BA60)*0.8868+(1712.96+1070.52)/30+(Submetering!AF60+Submetering!AY60+Submetering!AV60+Submetering!AZ60)*1.1251+(2076.11+129.67+207.57+207.57)/30+(11680.53+56.61)/30)/I59</f>
        <v>1.2905373161889278</v>
      </c>
      <c r="K59" s="4">
        <f>Elect!C62</f>
        <v>757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208540.03999999998</v>
      </c>
      <c r="F60" s="10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8.0898340692367759E-2</v>
      </c>
      <c r="G60" s="4">
        <f>Submetering!AK61+Submetering!AL61+Submetering!AU61</f>
        <v>8854.8778000000002</v>
      </c>
      <c r="H60" s="11">
        <v>0.81659999999999999</v>
      </c>
      <c r="I60" s="4">
        <f>Submetering!AF61+Submetering!AG61+Submetering!AV61+Submetering!AY61+Submetering!AZ61</f>
        <v>4091.2890000000002</v>
      </c>
      <c r="J60" s="11">
        <f>((Submetering!AG61+Submetering!BA61)*0.8868+(1712.96+1070.52)/30+(Submetering!AF61+Submetering!AY61+Submetering!AV61+Submetering!AZ61)*1.1251+(2076.11+129.67+207.57+207.57)/30+(11680.53+56.61)/30)/I60</f>
        <v>1.2488847871090667</v>
      </c>
      <c r="K60" s="4">
        <f>Elect!C63</f>
        <v>1353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4024.0669999999996</v>
      </c>
      <c r="H61" s="11">
        <v>0.81659999999999999</v>
      </c>
      <c r="I61" s="4">
        <f>Submetering!AF62+Submetering!AG62+Submetering!AV62+Submetering!AY62+Submetering!AZ62</f>
        <v>2789.9333999999994</v>
      </c>
      <c r="J61" s="11">
        <f>((Submetering!AG62+Submetering!BA62)*0.8868+(1712.96+1070.52)/30+(Submetering!AF62+Submetering!AY62+Submetering!AV62+Submetering!AZ62)*1.1251+(2076.11+129.67+207.57+207.57)/30+(11680.53+56.61)/30)/I61</f>
        <v>1.3220800256402776</v>
      </c>
      <c r="K61" s="4">
        <f>Elect!C64</f>
        <v>563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AM2" activePane="bottomRight" state="frozen"/>
      <selection pane="topRight" activeCell="C1" sqref="C1"/>
      <selection pane="bottomLeft" activeCell="A2" sqref="A2"/>
      <selection pane="bottomRight" activeCell="BB61" sqref="BB61:BB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  <c r="K1" s="33" t="s">
        <v>18</v>
      </c>
      <c r="L1" s="33" t="s">
        <v>19</v>
      </c>
      <c r="M1" s="33" t="s">
        <v>20</v>
      </c>
      <c r="N1" s="33" t="s">
        <v>21</v>
      </c>
      <c r="O1" s="33" t="s">
        <v>22</v>
      </c>
      <c r="P1" s="33" t="s">
        <v>23</v>
      </c>
      <c r="Q1" s="33" t="s">
        <v>24</v>
      </c>
      <c r="R1" s="33" t="s">
        <v>25</v>
      </c>
      <c r="S1" s="33" t="s">
        <v>26</v>
      </c>
      <c r="T1" s="33" t="s">
        <v>27</v>
      </c>
      <c r="U1" s="33" t="s">
        <v>28</v>
      </c>
      <c r="V1" s="33" t="s">
        <v>29</v>
      </c>
      <c r="W1" s="33" t="s">
        <v>30</v>
      </c>
      <c r="X1" s="33" t="s">
        <v>31</v>
      </c>
      <c r="Y1" s="33" t="s">
        <v>32</v>
      </c>
      <c r="Z1" s="33" t="s">
        <v>33</v>
      </c>
      <c r="AA1" s="33" t="s">
        <v>34</v>
      </c>
      <c r="AB1" s="33" t="s">
        <v>35</v>
      </c>
      <c r="AC1" s="33" t="s">
        <v>36</v>
      </c>
      <c r="AD1" s="33" t="s">
        <v>37</v>
      </c>
      <c r="AE1" s="33" t="s">
        <v>38</v>
      </c>
      <c r="AF1" s="35" t="s">
        <v>39</v>
      </c>
      <c r="AG1" s="35" t="s">
        <v>40</v>
      </c>
      <c r="AH1" s="35" t="s">
        <v>41</v>
      </c>
      <c r="AI1" s="35" t="s">
        <v>42</v>
      </c>
      <c r="AJ1" s="35" t="s">
        <v>43</v>
      </c>
      <c r="AK1" s="38" t="s">
        <v>44</v>
      </c>
      <c r="AL1" s="38" t="s">
        <v>45</v>
      </c>
      <c r="AM1" s="35" t="s">
        <v>46</v>
      </c>
      <c r="AN1" s="35" t="s">
        <v>47</v>
      </c>
      <c r="AO1" s="35" t="s">
        <v>48</v>
      </c>
      <c r="AP1" s="35" t="s">
        <v>49</v>
      </c>
      <c r="AQ1" s="35" t="s">
        <v>50</v>
      </c>
      <c r="AR1" s="35" t="s">
        <v>51</v>
      </c>
      <c r="AS1" s="35" t="s">
        <v>52</v>
      </c>
      <c r="AT1" s="35" t="s">
        <v>53</v>
      </c>
      <c r="AU1" s="38" t="s">
        <v>54</v>
      </c>
      <c r="AV1" s="35" t="s">
        <v>55</v>
      </c>
      <c r="AW1" s="35" t="s">
        <v>56</v>
      </c>
      <c r="AX1" s="35" t="s">
        <v>57</v>
      </c>
      <c r="AY1" s="35" t="s">
        <v>58</v>
      </c>
      <c r="AZ1" s="35" t="s">
        <v>59</v>
      </c>
      <c r="BA1" s="35" t="s">
        <v>60</v>
      </c>
      <c r="BB1" s="8" t="s">
        <v>61</v>
      </c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34">
        <f>Elect!AX4</f>
        <v>0</v>
      </c>
      <c r="F2" s="34">
        <f>Elect!J4</f>
        <v>9749</v>
      </c>
      <c r="G2" s="34">
        <f>Elect!I4</f>
        <v>0</v>
      </c>
      <c r="H2" s="34">
        <f>Elect!F4</f>
        <v>0</v>
      </c>
      <c r="I2" s="34">
        <f>Elect!E4</f>
        <v>2.15</v>
      </c>
      <c r="J2" s="34">
        <f>Elect!Z4</f>
        <v>0.312</v>
      </c>
      <c r="K2" s="34">
        <f>Elect!Y4</f>
        <v>16096</v>
      </c>
      <c r="L2" s="34">
        <f>Elect!AT4</f>
        <v>43831</v>
      </c>
      <c r="M2" s="34">
        <f>Elect!AS4</f>
        <v>0</v>
      </c>
      <c r="N2" s="34">
        <f>Elect!AD4</f>
        <v>0</v>
      </c>
      <c r="O2" s="34">
        <f>Elect!AC4</f>
        <v>0.217</v>
      </c>
      <c r="P2" s="34">
        <f>Elect!R4</f>
        <v>0</v>
      </c>
      <c r="Q2" s="34">
        <f>Elect!Q4</f>
        <v>0.311</v>
      </c>
      <c r="R2" s="34">
        <f>Elect!N4</f>
        <v>0.27100000000000002</v>
      </c>
      <c r="S2" s="34">
        <f>Elect!M4</f>
        <v>9644</v>
      </c>
      <c r="T2" s="34">
        <f>Elect!V4</f>
        <v>64573</v>
      </c>
      <c r="U2" s="34">
        <f>Elect!U4</f>
        <v>0</v>
      </c>
      <c r="V2" s="34">
        <f>Elect!AH4</f>
        <v>15574</v>
      </c>
      <c r="W2" s="34">
        <f>Elect!AG4</f>
        <v>0</v>
      </c>
      <c r="X2" s="34">
        <f>Elect!AL4</f>
        <v>0</v>
      </c>
      <c r="Y2" s="34">
        <f>Elect!AK4</f>
        <v>49414</v>
      </c>
      <c r="Z2" s="34">
        <f>Elect!AP4</f>
        <v>0</v>
      </c>
      <c r="AA2" s="34">
        <f>Elect!AO4</f>
        <v>0</v>
      </c>
      <c r="AB2" s="34">
        <f>Elect!BK4</f>
        <v>49414</v>
      </c>
      <c r="AC2" s="34">
        <f>Elect!BH4</f>
        <v>0</v>
      </c>
      <c r="AD2" s="34">
        <f>Elect!BN4</f>
        <v>0</v>
      </c>
      <c r="AE2" s="34">
        <f>Elect!BQ4</f>
        <v>2.4830000000000001</v>
      </c>
      <c r="AF2" s="36">
        <f>'Wtr-Gas'!E4</f>
        <v>0</v>
      </c>
      <c r="AG2" s="36">
        <f>'Wtr-Gas'!H4</f>
        <v>0</v>
      </c>
      <c r="AH2" s="36">
        <f>'Wtr-Gas'!K4</f>
        <v>0</v>
      </c>
      <c r="AI2" s="36">
        <f>'Wtr-Gas'!N4</f>
        <v>0</v>
      </c>
      <c r="AJ2" s="36">
        <f>'Wtr-Gas'!Q4</f>
        <v>0</v>
      </c>
      <c r="AK2" s="39">
        <f>'Wtr-Gas'!U4</f>
        <v>0</v>
      </c>
      <c r="AL2" s="39">
        <f>'Wtr-Gas'!X4</f>
        <v>0</v>
      </c>
      <c r="AM2" s="36">
        <f>'Wtr-Gas'!AB4</f>
        <v>0</v>
      </c>
      <c r="AN2" s="36">
        <f>'Wtr-Gas'!AD4</f>
        <v>0</v>
      </c>
      <c r="AO2" s="36">
        <f>'Wtr-Gas'!AF4</f>
        <v>0</v>
      </c>
      <c r="AP2" s="36">
        <f>'Wtr-Gas'!AH4</f>
        <v>0</v>
      </c>
      <c r="AQ2" s="36">
        <f>'Wtr-Gas'!AJ4</f>
        <v>0</v>
      </c>
      <c r="AR2" s="36">
        <f>'Wtr-Gas'!AL4</f>
        <v>0</v>
      </c>
      <c r="AS2" s="36">
        <f>'Wtr-Gas'!AN4</f>
        <v>0</v>
      </c>
      <c r="AT2" s="36">
        <f>'Wtr-Gas'!AP4</f>
        <v>0</v>
      </c>
      <c r="AU2" s="39">
        <f>'Wtr-Gas'!AT4</f>
        <v>0</v>
      </c>
      <c r="AV2" s="36">
        <f>'Wtr-Gas'!AW4</f>
        <v>0</v>
      </c>
      <c r="AW2" s="37">
        <f>'Wtr-Gas'!AY4</f>
        <v>0</v>
      </c>
      <c r="AX2" s="36">
        <f>'Wtr-Gas'!AZ4</f>
        <v>0</v>
      </c>
      <c r="AY2" s="36">
        <f>'Wtr-Gas'!BB4</f>
        <v>0</v>
      </c>
      <c r="AZ2" s="36">
        <f>'Wtr-Gas'!BD4</f>
        <v>0</v>
      </c>
      <c r="BA2" s="36">
        <f>'Wtr-Gas'!BF4</f>
        <v>0</v>
      </c>
      <c r="BB2" s="191">
        <f>Elect!C4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34">
        <f>Elect!AX5</f>
        <v>1300</v>
      </c>
      <c r="F3" s="34">
        <f>Elect!J5</f>
        <v>9777</v>
      </c>
      <c r="G3" s="34">
        <f>Elect!I5</f>
        <v>41600</v>
      </c>
      <c r="H3" s="34">
        <f>Elect!F5</f>
        <v>39200</v>
      </c>
      <c r="I3" s="34">
        <f>Elect!E5</f>
        <v>2.2909999999999999</v>
      </c>
      <c r="J3" s="34">
        <f>Elect!Z5</f>
        <v>0.312</v>
      </c>
      <c r="K3" s="34">
        <f>Elect!Y5</f>
        <v>16123</v>
      </c>
      <c r="L3" s="34">
        <f>Elect!AT5</f>
        <v>43835</v>
      </c>
      <c r="M3" s="34">
        <f>Elect!AS5</f>
        <v>0</v>
      </c>
      <c r="N3" s="34">
        <f>Elect!AD5</f>
        <v>2720</v>
      </c>
      <c r="O3" s="34">
        <f>Elect!AC5</f>
        <v>0.27800000000000002</v>
      </c>
      <c r="P3" s="34">
        <f>Elect!R5</f>
        <v>11200</v>
      </c>
      <c r="Q3" s="34">
        <f>Elect!Q5</f>
        <v>0.315</v>
      </c>
      <c r="R3" s="34">
        <f>Elect!N5</f>
        <v>0.28599999999999998</v>
      </c>
      <c r="S3" s="34">
        <f>Elect!M5</f>
        <v>9669</v>
      </c>
      <c r="T3" s="34">
        <f>Elect!V5</f>
        <v>64685</v>
      </c>
      <c r="U3" s="34">
        <f>Elect!U5</f>
        <v>37800</v>
      </c>
      <c r="V3" s="34">
        <f>Elect!AH5</f>
        <v>15606</v>
      </c>
      <c r="W3" s="34">
        <f>Elect!AG5</f>
        <v>35400</v>
      </c>
      <c r="X3" s="34">
        <f>Elect!AL5</f>
        <v>342</v>
      </c>
      <c r="Y3" s="34">
        <f>Elect!AK5</f>
        <v>49756</v>
      </c>
      <c r="Z3" s="34">
        <f>Elect!AP5</f>
        <v>36680</v>
      </c>
      <c r="AA3" s="34">
        <f>Elect!AO5</f>
        <v>228662</v>
      </c>
      <c r="AB3" s="34">
        <f>Elect!BK5</f>
        <v>49756</v>
      </c>
      <c r="AC3" s="34">
        <f>Elect!BH5</f>
        <v>0</v>
      </c>
      <c r="AD3" s="34">
        <f>Elect!BN5</f>
        <v>0</v>
      </c>
      <c r="AE3" s="34">
        <f>Elect!BQ5</f>
        <v>0</v>
      </c>
      <c r="AF3" s="36">
        <f>('Wtr-Gas'!E5)*0.0038</f>
        <v>3089.97</v>
      </c>
      <c r="AG3" s="36">
        <f>('Wtr-Gas'!H5)*0.0038</f>
        <v>8.702</v>
      </c>
      <c r="AH3" s="36">
        <f>'Wtr-Gas'!K5*0.0038</f>
        <v>0.34200000000000003</v>
      </c>
      <c r="AI3" s="36">
        <f>'Wtr-Gas'!N5*0.0038</f>
        <v>1907.6</v>
      </c>
      <c r="AJ3" s="36">
        <f>'Wtr-Gas'!Q5*0.0038</f>
        <v>49.78</v>
      </c>
      <c r="AK3" s="39">
        <f>'Wtr-Gas'!U5*0.0038</f>
        <v>739.48</v>
      </c>
      <c r="AL3" s="39">
        <f>'Wtr-Gas'!X5*0.0038</f>
        <v>4992.4399999999996</v>
      </c>
      <c r="AM3" s="36">
        <f>'Wtr-Gas'!AB5*0.0038</f>
        <v>4028</v>
      </c>
      <c r="AN3" s="36">
        <f>'Wtr-Gas'!AD5*0.0038</f>
        <v>853.83986000000004</v>
      </c>
      <c r="AO3" s="36">
        <f>'Wtr-Gas'!AF5*0.0038</f>
        <v>0.68400000000000005</v>
      </c>
      <c r="AP3" s="36">
        <f>'Wtr-Gas'!AH5*0.0038</f>
        <v>149.07400000000001</v>
      </c>
      <c r="AQ3" s="36">
        <f>'Wtr-Gas'!AJ5*0.0038</f>
        <v>46.078800000000001</v>
      </c>
      <c r="AR3" s="36">
        <f>'Wtr-Gas'!AL5*0.0038</f>
        <v>106.4</v>
      </c>
      <c r="AS3" s="36">
        <f>'Wtr-Gas'!AN5*0.0038</f>
        <v>0</v>
      </c>
      <c r="AT3" s="36">
        <f>'Wtr-Gas'!AP5*0.0038</f>
        <v>15.2</v>
      </c>
      <c r="AU3" s="39">
        <f>'Wtr-Gas'!AT5*0.0038</f>
        <v>0.38379999999999997</v>
      </c>
      <c r="AV3" s="36">
        <f>'Wtr-Gas'!AW5*0.0038</f>
        <v>257.24099999999999</v>
      </c>
      <c r="AW3" s="37">
        <f>'Wtr-Gas'!AY5*0.0038</f>
        <v>213.38474399999998</v>
      </c>
      <c r="AX3" s="36">
        <f>'Wtr-Gas'!AZ5*0.0038</f>
        <v>43.856256000000009</v>
      </c>
      <c r="AY3" s="36">
        <f>'Wtr-Gas'!BB5*0.0038</f>
        <v>5.7</v>
      </c>
      <c r="AZ3" s="36">
        <f>'Wtr-Gas'!BD5*0.0038</f>
        <v>0.76</v>
      </c>
      <c r="BA3" s="36">
        <f>'Wtr-Gas'!BF5*0.0038</f>
        <v>23.852599999999999</v>
      </c>
      <c r="BB3" s="191">
        <f>Elect!C5</f>
        <v>1437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34">
        <f>Elect!AX6</f>
        <v>1800</v>
      </c>
      <c r="F4" s="34">
        <f>Elect!J6</f>
        <v>9807</v>
      </c>
      <c r="G4" s="34">
        <f>Elect!I6</f>
        <v>49920</v>
      </c>
      <c r="H4" s="34">
        <f>Elect!F6</f>
        <v>47360</v>
      </c>
      <c r="I4" s="34">
        <f>Elect!E6</f>
        <v>2.2909999999999999</v>
      </c>
      <c r="J4" s="34">
        <f>Elect!Z6</f>
        <v>0.36499999999999999</v>
      </c>
      <c r="K4" s="34">
        <f>Elect!Y6</f>
        <v>16161</v>
      </c>
      <c r="L4" s="34">
        <f>Elect!AT6</f>
        <v>43842</v>
      </c>
      <c r="M4" s="34">
        <f>Elect!AS6</f>
        <v>0</v>
      </c>
      <c r="N4" s="34">
        <f>Elect!AD6</f>
        <v>4320</v>
      </c>
      <c r="O4" s="34">
        <f>Elect!AC6</f>
        <v>0.31</v>
      </c>
      <c r="P4" s="34">
        <f>Elect!R6</f>
        <v>12400</v>
      </c>
      <c r="Q4" s="34">
        <f>Elect!Q6</f>
        <v>0.315</v>
      </c>
      <c r="R4" s="34">
        <f>Elect!N6</f>
        <v>0.28599999999999998</v>
      </c>
      <c r="S4" s="34">
        <f>Elect!M6</f>
        <v>9698</v>
      </c>
      <c r="T4" s="34">
        <f>Elect!V6</f>
        <v>64833</v>
      </c>
      <c r="U4" s="34">
        <f>Elect!U6</f>
        <v>44700</v>
      </c>
      <c r="V4" s="34">
        <f>Elect!AH6</f>
        <v>15646</v>
      </c>
      <c r="W4" s="34">
        <f>Elect!AG6</f>
        <v>44400</v>
      </c>
      <c r="X4" s="34">
        <f>Elect!AL6</f>
        <v>468</v>
      </c>
      <c r="Y4" s="34">
        <f>Elect!AK6</f>
        <v>50224</v>
      </c>
      <c r="Z4" s="34">
        <f>Elect!AP6</f>
        <v>46000</v>
      </c>
      <c r="AA4" s="34">
        <f>Elect!AO6</f>
        <v>279248</v>
      </c>
      <c r="AB4" s="34">
        <f>Elect!BK6</f>
        <v>50224</v>
      </c>
      <c r="AC4" s="34">
        <f>Elect!BH6</f>
        <v>0</v>
      </c>
      <c r="AD4" s="34">
        <f>Elect!BN6</f>
        <v>0</v>
      </c>
      <c r="AE4" s="34">
        <f>Elect!BQ6</f>
        <v>0</v>
      </c>
      <c r="AF4" s="36">
        <f>('Wtr-Gas'!E6)*0.0038</f>
        <v>3315.1959999999999</v>
      </c>
      <c r="AG4" s="36">
        <f>('Wtr-Gas'!H6)*0.0038</f>
        <v>178.18199999999999</v>
      </c>
      <c r="AH4" s="36">
        <f>'Wtr-Gas'!K6*0.0038</f>
        <v>0.91200000000000003</v>
      </c>
      <c r="AI4" s="36">
        <f>'Wtr-Gas'!N6*0.0038</f>
        <v>2420.6</v>
      </c>
      <c r="AJ4" s="36">
        <f>'Wtr-Gas'!Q6*0.0038</f>
        <v>14.06</v>
      </c>
      <c r="AK4" s="39">
        <f>'Wtr-Gas'!U6*0.0038</f>
        <v>791.92</v>
      </c>
      <c r="AL4" s="39">
        <f>'Wtr-Gas'!X6*0.0038</f>
        <v>6300.78</v>
      </c>
      <c r="AM4" s="36">
        <f>'Wtr-Gas'!AB6*0.0038</f>
        <v>5282</v>
      </c>
      <c r="AN4" s="36">
        <f>'Wtr-Gas'!AD6*0.0038</f>
        <v>1022.4424399999999</v>
      </c>
      <c r="AO4" s="36">
        <f>'Wtr-Gas'!AF6*0.0038</f>
        <v>10.374000000000001</v>
      </c>
      <c r="AP4" s="36">
        <f>'Wtr-Gas'!AH6*0.0038</f>
        <v>355.262</v>
      </c>
      <c r="AQ4" s="36">
        <f>'Wtr-Gas'!AJ6*0.0038</f>
        <v>61.56</v>
      </c>
      <c r="AR4" s="36">
        <f>'Wtr-Gas'!AL6*0.0038</f>
        <v>243.2</v>
      </c>
      <c r="AS4" s="36">
        <f>'Wtr-Gas'!AN6*0.0038</f>
        <v>0</v>
      </c>
      <c r="AT4" s="36">
        <f>'Wtr-Gas'!AP6*0.0038</f>
        <v>21.66</v>
      </c>
      <c r="AU4" s="39">
        <f>'Wtr-Gas'!AT6*0.0038</f>
        <v>0.42559999999999998</v>
      </c>
      <c r="AV4" s="36">
        <f>'Wtr-Gas'!AW6*0.0038</f>
        <v>305.46300000000002</v>
      </c>
      <c r="AW4" s="37">
        <f>'Wtr-Gas'!AY6*0.0038</f>
        <v>248.845204</v>
      </c>
      <c r="AX4" s="36">
        <f>'Wtr-Gas'!AZ6*0.0038</f>
        <v>56.617795999999991</v>
      </c>
      <c r="AY4" s="36">
        <f>'Wtr-Gas'!BB6*0.0038</f>
        <v>22.8</v>
      </c>
      <c r="AZ4" s="36">
        <f>'Wtr-Gas'!BD6*0.0038</f>
        <v>1.52</v>
      </c>
      <c r="BA4" s="36">
        <f>'Wtr-Gas'!BF6*0.0038</f>
        <v>28.518999999999998</v>
      </c>
      <c r="BB4" s="191">
        <f>Elect!C6</f>
        <v>1370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34">
        <f>Elect!AX7</f>
        <v>2300</v>
      </c>
      <c r="F5" s="34">
        <f>Elect!J7</f>
        <v>9838</v>
      </c>
      <c r="G5" s="34">
        <f>Elect!I7</f>
        <v>49280</v>
      </c>
      <c r="H5" s="34">
        <f>Elect!F7</f>
        <v>47200</v>
      </c>
      <c r="I5" s="34">
        <f>Elect!E7</f>
        <v>2.2909999999999999</v>
      </c>
      <c r="J5" s="34">
        <f>Elect!Z7</f>
        <v>0.38400000000000001</v>
      </c>
      <c r="K5" s="34">
        <f>Elect!Y7</f>
        <v>16205</v>
      </c>
      <c r="L5" s="34">
        <f>Elect!AT7</f>
        <v>43849</v>
      </c>
      <c r="M5" s="34">
        <f>Elect!AS7</f>
        <v>0</v>
      </c>
      <c r="N5" s="34">
        <f>Elect!AD7</f>
        <v>5440</v>
      </c>
      <c r="O5" s="34">
        <f>Elect!AC7</f>
        <v>0.39100000000000001</v>
      </c>
      <c r="P5" s="34">
        <f>Elect!R7</f>
        <v>12000</v>
      </c>
      <c r="Q5" s="34">
        <f>Elect!Q7</f>
        <v>0.315</v>
      </c>
      <c r="R5" s="34">
        <f>Elect!N7</f>
        <v>0.28599999999999998</v>
      </c>
      <c r="S5" s="34">
        <f>Elect!M7</f>
        <v>9727</v>
      </c>
      <c r="T5" s="34">
        <f>Elect!V7</f>
        <v>65036</v>
      </c>
      <c r="U5" s="34">
        <f>Elect!U7</f>
        <v>51300</v>
      </c>
      <c r="V5" s="34">
        <f>Elect!AH7</f>
        <v>15687</v>
      </c>
      <c r="W5" s="34">
        <f>Elect!AG7</f>
        <v>47000</v>
      </c>
      <c r="X5" s="34">
        <f>Elect!AL7</f>
        <v>465</v>
      </c>
      <c r="Y5" s="34">
        <f>Elect!AK7</f>
        <v>50689</v>
      </c>
      <c r="Z5" s="34">
        <f>Elect!AP7</f>
        <v>48640</v>
      </c>
      <c r="AA5" s="34">
        <f>Elect!AO7</f>
        <v>306265</v>
      </c>
      <c r="AB5" s="34">
        <f>Elect!BK7</f>
        <v>50689</v>
      </c>
      <c r="AC5" s="34">
        <f>Elect!BH7</f>
        <v>0</v>
      </c>
      <c r="AD5" s="34">
        <f>Elect!BN7</f>
        <v>0</v>
      </c>
      <c r="AE5" s="34">
        <f>Elect!BQ7</f>
        <v>0</v>
      </c>
      <c r="AF5" s="36">
        <f>('Wtr-Gas'!E7)*0.0038</f>
        <v>4243.08</v>
      </c>
      <c r="AG5" s="36">
        <f>('Wtr-Gas'!H7)*0.0038</f>
        <v>352.79199999999997</v>
      </c>
      <c r="AH5" s="36">
        <f>'Wtr-Gas'!K7*0.0038</f>
        <v>2.5840000000000001</v>
      </c>
      <c r="AI5" s="36">
        <f>'Wtr-Gas'!N7*0.0038</f>
        <v>3169.2</v>
      </c>
      <c r="AJ5" s="36">
        <f>'Wtr-Gas'!Q7*0.0038</f>
        <v>0</v>
      </c>
      <c r="AK5" s="39">
        <f>'Wtr-Gas'!U7*0.0038</f>
        <v>798.38</v>
      </c>
      <c r="AL5" s="39">
        <f>'Wtr-Gas'!X7*0.0038</f>
        <v>4453.9799999999996</v>
      </c>
      <c r="AM5" s="36">
        <f>'Wtr-Gas'!AB7*0.0038</f>
        <v>7220</v>
      </c>
      <c r="AN5" s="36">
        <f>'Wtr-Gas'!AD7*0.0038</f>
        <v>1653.2154600000001</v>
      </c>
      <c r="AO5" s="36">
        <f>'Wtr-Gas'!AF7*0.0038</f>
        <v>5.6619999999999999</v>
      </c>
      <c r="AP5" s="36">
        <f>'Wtr-Gas'!AH7*0.0038</f>
        <v>482.75200000000001</v>
      </c>
      <c r="AQ5" s="36">
        <f>'Wtr-Gas'!AJ7*0.0038</f>
        <v>62.863399999999999</v>
      </c>
      <c r="AR5" s="36">
        <f>'Wtr-Gas'!AL7*0.0038</f>
        <v>205.2</v>
      </c>
      <c r="AS5" s="36">
        <f>'Wtr-Gas'!AN7*0.0038</f>
        <v>0</v>
      </c>
      <c r="AT5" s="36">
        <f>'Wtr-Gas'!AP7*0.0038</f>
        <v>22.42</v>
      </c>
      <c r="AU5" s="39">
        <f>'Wtr-Gas'!AT7*0.0038</f>
        <v>0.66500000000000004</v>
      </c>
      <c r="AV5" s="36">
        <f>'Wtr-Gas'!AW7*0.0038</f>
        <v>347.84820000000002</v>
      </c>
      <c r="AW5" s="37">
        <f>'Wtr-Gas'!AY7*0.0038</f>
        <v>244.72</v>
      </c>
      <c r="AX5" s="36">
        <f>'Wtr-Gas'!AZ7*0.0038</f>
        <v>103.12820000000001</v>
      </c>
      <c r="AY5" s="36">
        <f>'Wtr-Gas'!BB7*0.0038</f>
        <v>16.72</v>
      </c>
      <c r="AZ5" s="36">
        <f>'Wtr-Gas'!BD7*0.0038</f>
        <v>4.18</v>
      </c>
      <c r="BA5" s="36">
        <f>'Wtr-Gas'!BF7*0.0038</f>
        <v>27.762799999999999</v>
      </c>
      <c r="BB5" s="191">
        <f>Elect!C7</f>
        <v>2711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34">
        <f>Elect!AX8</f>
        <v>1700</v>
      </c>
      <c r="F6" s="34">
        <f>Elect!J8</f>
        <v>9878</v>
      </c>
      <c r="G6" s="34">
        <f>Elect!I8</f>
        <v>52000</v>
      </c>
      <c r="H6" s="34">
        <f>Elect!F8</f>
        <v>47840</v>
      </c>
      <c r="I6" s="34">
        <f>Elect!E8</f>
        <v>2.1629999999999998</v>
      </c>
      <c r="J6" s="34">
        <f>Elect!Z8</f>
        <v>0.38900000000000001</v>
      </c>
      <c r="K6" s="34">
        <f>Elect!Y8</f>
        <v>16250</v>
      </c>
      <c r="L6" s="34">
        <f>Elect!AT8</f>
        <v>43856</v>
      </c>
      <c r="M6" s="34">
        <f>Elect!AS8</f>
        <v>0</v>
      </c>
      <c r="N6" s="34">
        <f>Elect!AD8</f>
        <v>5920</v>
      </c>
      <c r="O6" s="34">
        <f>Elect!AC8</f>
        <v>0.45100000000000001</v>
      </c>
      <c r="P6" s="34">
        <f>Elect!R8</f>
        <v>15200</v>
      </c>
      <c r="Q6" s="34">
        <f>Elect!Q8</f>
        <v>0.4</v>
      </c>
      <c r="R6" s="34">
        <f>Elect!N8</f>
        <v>0.33300000000000002</v>
      </c>
      <c r="S6" s="34">
        <f>Elect!M8</f>
        <v>9762</v>
      </c>
      <c r="T6" s="34">
        <f>Elect!V8</f>
        <v>65146</v>
      </c>
      <c r="U6" s="34">
        <f>Elect!U8</f>
        <v>38100</v>
      </c>
      <c r="V6" s="34">
        <f>Elect!AH8</f>
        <v>15727</v>
      </c>
      <c r="W6" s="34">
        <f>Elect!AG8</f>
        <v>38200</v>
      </c>
      <c r="X6" s="34">
        <f>Elect!AL8</f>
        <v>465</v>
      </c>
      <c r="Y6" s="34">
        <f>Elect!AK8</f>
        <v>51154</v>
      </c>
      <c r="Z6" s="34">
        <f>Elect!AP8</f>
        <v>39800</v>
      </c>
      <c r="AA6" s="34">
        <f>Elect!AO8</f>
        <v>269525</v>
      </c>
      <c r="AB6" s="34">
        <f>Elect!BK8</f>
        <v>51154</v>
      </c>
      <c r="AC6" s="34">
        <f>Elect!BH8</f>
        <v>0</v>
      </c>
      <c r="AD6" s="34">
        <f>Elect!BN8</f>
        <v>0</v>
      </c>
      <c r="AE6" s="34">
        <f>Elect!BQ8</f>
        <v>0</v>
      </c>
      <c r="AF6" s="36">
        <f>('Wtr-Gas'!E8)*0.0038</f>
        <v>3487.83</v>
      </c>
      <c r="AG6" s="36">
        <f>('Wtr-Gas'!H8)*0.0038</f>
        <v>16.263999999999999</v>
      </c>
      <c r="AH6" s="36">
        <f>'Wtr-Gas'!K8*0.0038</f>
        <v>0.91200000000000003</v>
      </c>
      <c r="AI6" s="36">
        <f>'Wtr-Gas'!N8*0.0038</f>
        <v>2796.8</v>
      </c>
      <c r="AJ6" s="36">
        <f>'Wtr-Gas'!Q8*0.0038</f>
        <v>0</v>
      </c>
      <c r="AK6" s="39">
        <f>'Wtr-Gas'!U8*0.0038</f>
        <v>971.28</v>
      </c>
      <c r="AL6" s="39">
        <f>'Wtr-Gas'!X8*0.0038</f>
        <v>4921</v>
      </c>
      <c r="AM6" s="36">
        <f>'Wtr-Gas'!AB8*0.0038</f>
        <v>2926</v>
      </c>
      <c r="AN6" s="36">
        <f>'Wtr-Gas'!AD8*0.0038</f>
        <v>680.7586</v>
      </c>
      <c r="AO6" s="36">
        <f>'Wtr-Gas'!AF8*0.0038</f>
        <v>4.4080000000000004</v>
      </c>
      <c r="AP6" s="36">
        <f>'Wtr-Gas'!AH8*0.0038</f>
        <v>214.738</v>
      </c>
      <c r="AQ6" s="36">
        <f>'Wtr-Gas'!AJ8*0.0038</f>
        <v>65.333399999999997</v>
      </c>
      <c r="AR6" s="36">
        <f>'Wtr-Gas'!AL8*0.0038</f>
        <v>11.4</v>
      </c>
      <c r="AS6" s="36">
        <f>'Wtr-Gas'!AN8*0.0038</f>
        <v>3.8</v>
      </c>
      <c r="AT6" s="36">
        <f>'Wtr-Gas'!AP8*0.0038</f>
        <v>19.760000000000002</v>
      </c>
      <c r="AU6" s="39">
        <f>'Wtr-Gas'!AT8*0.0038</f>
        <v>0.53200000000000003</v>
      </c>
      <c r="AV6" s="36">
        <f>'Wtr-Gas'!AW8*0.0038</f>
        <v>298.2088</v>
      </c>
      <c r="AW6" s="37">
        <f>'Wtr-Gas'!AY8*0.0038</f>
        <v>246.51382799999999</v>
      </c>
      <c r="AX6" s="36">
        <f>'Wtr-Gas'!AZ8*0.0038</f>
        <v>51.694972000000007</v>
      </c>
      <c r="AY6" s="36">
        <f>'Wtr-Gas'!BB8*0.0038</f>
        <v>11.4</v>
      </c>
      <c r="AZ6" s="36">
        <f>'Wtr-Gas'!BD8*0.0038</f>
        <v>78.66</v>
      </c>
      <c r="BA6" s="36">
        <f>'Wtr-Gas'!BF8*0.0038</f>
        <v>369.83879999999999</v>
      </c>
      <c r="BB6" s="191">
        <f>Elect!C8</f>
        <v>2551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34">
        <f>Elect!AX9</f>
        <v>1500</v>
      </c>
      <c r="F7" s="34">
        <f>Elect!J9</f>
        <v>9914</v>
      </c>
      <c r="G7" s="34">
        <f>Elect!I9</f>
        <v>49600</v>
      </c>
      <c r="H7" s="34">
        <f>Elect!F9</f>
        <v>47680</v>
      </c>
      <c r="I7" s="34">
        <f>Elect!E9</f>
        <v>2.1629999999999998</v>
      </c>
      <c r="J7" s="34">
        <f>Elect!Z9</f>
        <v>0.41499999999999998</v>
      </c>
      <c r="K7" s="34">
        <f>Elect!Y9</f>
        <v>16293</v>
      </c>
      <c r="L7" s="34">
        <f>Elect!AT9</f>
        <v>43862</v>
      </c>
      <c r="M7" s="34">
        <f>Elect!AS9</f>
        <v>0</v>
      </c>
      <c r="N7" s="34">
        <f>Elect!AD9</f>
        <v>4960</v>
      </c>
      <c r="O7" s="34">
        <f>Elect!AC9</f>
        <v>0.45100000000000001</v>
      </c>
      <c r="P7" s="34">
        <f>Elect!R9</f>
        <v>13200</v>
      </c>
      <c r="Q7" s="34">
        <f>Elect!Q9</f>
        <v>0.4</v>
      </c>
      <c r="R7" s="34">
        <f>Elect!N9</f>
        <v>0.33300000000000002</v>
      </c>
      <c r="S7" s="34">
        <f>Elect!M9</f>
        <v>9793</v>
      </c>
      <c r="T7" s="34">
        <f>Elect!V9</f>
        <v>65273</v>
      </c>
      <c r="U7" s="34">
        <f>Elect!U9</f>
        <v>34200</v>
      </c>
      <c r="V7" s="34">
        <f>Elect!AH9</f>
        <v>15763</v>
      </c>
      <c r="W7" s="34">
        <f>Elect!AG9</f>
        <v>40600</v>
      </c>
      <c r="X7" s="34">
        <f>Elect!AL9</f>
        <v>466</v>
      </c>
      <c r="Y7" s="34">
        <f>Elect!AK9</f>
        <v>51620</v>
      </c>
      <c r="Z7" s="34">
        <f>Elect!AP9</f>
        <v>42040</v>
      </c>
      <c r="AA7" s="34">
        <f>Elect!AO9</f>
        <v>263926</v>
      </c>
      <c r="AB7" s="34">
        <f>Elect!BK9</f>
        <v>51620</v>
      </c>
      <c r="AC7" s="34">
        <f>Elect!BH9</f>
        <v>0</v>
      </c>
      <c r="AD7" s="34">
        <f>Elect!BN9</f>
        <v>298.62483539999999</v>
      </c>
      <c r="AE7" s="34">
        <f>Elect!BQ9</f>
        <v>2.4830000000000001</v>
      </c>
      <c r="AF7" s="36">
        <f>('Wtr-Gas'!E9)*0.0038</f>
        <v>4612.0600000000004</v>
      </c>
      <c r="AG7" s="36">
        <f>('Wtr-Gas'!H9)*0.0038</f>
        <v>280.02199999999999</v>
      </c>
      <c r="AH7" s="36">
        <f>'Wtr-Gas'!K9*0.0038</f>
        <v>1.026</v>
      </c>
      <c r="AI7" s="36">
        <f>'Wtr-Gas'!N9*0.0038</f>
        <v>2686.6</v>
      </c>
      <c r="AJ7" s="36">
        <f>'Wtr-Gas'!Q9*0.0038</f>
        <v>0</v>
      </c>
      <c r="AK7" s="39">
        <f>'Wtr-Gas'!U9*0.0038</f>
        <v>886.16</v>
      </c>
      <c r="AL7" s="39">
        <f>'Wtr-Gas'!X9*0.0038</f>
        <v>5161.54</v>
      </c>
      <c r="AM7" s="36">
        <f>'Wtr-Gas'!AB9*0.0038</f>
        <v>3344</v>
      </c>
      <c r="AN7" s="36">
        <f>'Wtr-Gas'!AD9*0.0038</f>
        <v>772.88427999999999</v>
      </c>
      <c r="AO7" s="36">
        <f>'Wtr-Gas'!AF9*0.0038</f>
        <v>28.462</v>
      </c>
      <c r="AP7" s="36">
        <f>'Wtr-Gas'!AH9*0.0038</f>
        <v>468.99599999999998</v>
      </c>
      <c r="AQ7" s="36">
        <f>'Wtr-Gas'!AJ9*0.0038</f>
        <v>61.031799999999997</v>
      </c>
      <c r="AR7" s="36">
        <f>'Wtr-Gas'!AL9*0.0038</f>
        <v>216.6</v>
      </c>
      <c r="AS7" s="36">
        <f>'Wtr-Gas'!AN9*0.0038</f>
        <v>0</v>
      </c>
      <c r="AT7" s="36">
        <f>'Wtr-Gas'!AP9*0.0038</f>
        <v>14.82</v>
      </c>
      <c r="AU7" s="39">
        <f>'Wtr-Gas'!AT9*0.0038</f>
        <v>0.54339999999999999</v>
      </c>
      <c r="AV7" s="36">
        <f>'Wtr-Gas'!AW9*0.0038</f>
        <v>307.4846</v>
      </c>
      <c r="AW7" s="37">
        <f>'Wtr-Gas'!AY9*0.0038</f>
        <v>246.53020600000002</v>
      </c>
      <c r="AX7" s="36">
        <f>'Wtr-Gas'!AZ9*0.0038</f>
        <v>60.954393999999986</v>
      </c>
      <c r="AY7" s="36">
        <f>'Wtr-Gas'!BB9*0.0038</f>
        <v>6.46</v>
      </c>
      <c r="AZ7" s="36">
        <f>'Wtr-Gas'!BD9*0.0038</f>
        <v>4.9400000000000004</v>
      </c>
      <c r="BA7" s="36">
        <f>'Wtr-Gas'!BF9*0.0038</f>
        <v>204.5008</v>
      </c>
      <c r="BB7" s="191">
        <f>Elect!C9</f>
        <v>2016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34">
        <f>Elect!AX10</f>
        <v>1600</v>
      </c>
      <c r="F8" s="34">
        <f>Elect!J10</f>
        <v>9949</v>
      </c>
      <c r="G8" s="34">
        <f>Elect!I10</f>
        <v>48960</v>
      </c>
      <c r="H8" s="34">
        <f>Elect!F10</f>
        <v>47360</v>
      </c>
      <c r="I8" s="34">
        <f>Elect!E10</f>
        <v>2.1629999999999998</v>
      </c>
      <c r="J8" s="34">
        <f>Elect!Z10</f>
        <v>0.49099999999999999</v>
      </c>
      <c r="K8" s="34">
        <f>Elect!Y10</f>
        <v>16339</v>
      </c>
      <c r="L8" s="34">
        <f>Elect!AT10</f>
        <v>43870</v>
      </c>
      <c r="M8" s="34">
        <f>Elect!AS10</f>
        <v>0</v>
      </c>
      <c r="N8" s="34">
        <f>Elect!AD10</f>
        <v>5280</v>
      </c>
      <c r="O8" s="34">
        <f>Elect!AC10</f>
        <v>0.45100000000000001</v>
      </c>
      <c r="P8" s="34">
        <f>Elect!R10</f>
        <v>12800</v>
      </c>
      <c r="Q8" s="34">
        <f>Elect!Q10</f>
        <v>0.4</v>
      </c>
      <c r="R8" s="34">
        <f>Elect!N10</f>
        <v>0.33300000000000002</v>
      </c>
      <c r="S8" s="34">
        <f>Elect!M10</f>
        <v>9825</v>
      </c>
      <c r="T8" s="34">
        <f>Elect!V10</f>
        <v>65431</v>
      </c>
      <c r="U8" s="34">
        <f>Elect!U10</f>
        <v>42300</v>
      </c>
      <c r="V8" s="34">
        <f>Elect!AH10</f>
        <v>15809</v>
      </c>
      <c r="W8" s="34">
        <f>Elect!AG10</f>
        <v>46600</v>
      </c>
      <c r="X8" s="34">
        <f>Elect!AL10</f>
        <v>454</v>
      </c>
      <c r="Y8" s="34">
        <f>Elect!AK10</f>
        <v>52074</v>
      </c>
      <c r="Z8" s="34">
        <f>Elect!AP10</f>
        <v>48440</v>
      </c>
      <c r="AA8" s="34">
        <f>Elect!AO10</f>
        <v>287154</v>
      </c>
      <c r="AB8" s="34">
        <f>Elect!BK10</f>
        <v>52074</v>
      </c>
      <c r="AC8" s="34">
        <f>Elect!BH10</f>
        <v>0</v>
      </c>
      <c r="AD8" s="34">
        <f>Elect!BN10</f>
        <v>0</v>
      </c>
      <c r="AE8" s="34">
        <f>Elect!BQ10</f>
        <v>0</v>
      </c>
      <c r="AF8" s="36">
        <f>('Wtr-Gas'!E10)*0.0038</f>
        <v>4104.0379999999996</v>
      </c>
      <c r="AG8" s="36">
        <f>('Wtr-Gas'!H10)*0.0038</f>
        <v>302.404</v>
      </c>
      <c r="AH8" s="36">
        <f>'Wtr-Gas'!K10*0.0038</f>
        <v>1.1020000000000001</v>
      </c>
      <c r="AI8" s="36">
        <f>'Wtr-Gas'!N10*0.0038</f>
        <v>3078</v>
      </c>
      <c r="AJ8" s="36">
        <f>'Wtr-Gas'!Q10*0.0038</f>
        <v>0</v>
      </c>
      <c r="AK8" s="39">
        <f>'Wtr-Gas'!U10*0.0038</f>
        <v>887.68</v>
      </c>
      <c r="AL8" s="39">
        <f>'Wtr-Gas'!X10*0.0038</f>
        <v>6851.4</v>
      </c>
      <c r="AM8" s="36">
        <f>'Wtr-Gas'!AB10*0.0038</f>
        <v>4902</v>
      </c>
      <c r="AN8" s="36">
        <f>'Wtr-Gas'!AD10*0.0038</f>
        <v>1020.59792</v>
      </c>
      <c r="AO8" s="36">
        <f>'Wtr-Gas'!AF10*0.0038</f>
        <v>0.19</v>
      </c>
      <c r="AP8" s="36">
        <f>'Wtr-Gas'!AH10*0.0038</f>
        <v>494.72199999999998</v>
      </c>
      <c r="AQ8" s="36">
        <f>'Wtr-Gas'!AJ10*0.0038</f>
        <v>57.501600000000003</v>
      </c>
      <c r="AR8" s="36">
        <f>'Wtr-Gas'!AL10*0.0038</f>
        <v>171</v>
      </c>
      <c r="AS8" s="36">
        <f>'Wtr-Gas'!AN10*0.0038</f>
        <v>0</v>
      </c>
      <c r="AT8" s="36">
        <f>'Wtr-Gas'!AP10*0.0038</f>
        <v>17.86</v>
      </c>
      <c r="AU8" s="39">
        <f>'Wtr-Gas'!AT10*0.0038</f>
        <v>0</v>
      </c>
      <c r="AV8" s="36">
        <f>'Wtr-Gas'!AW10*0.0038</f>
        <v>302.11899999999997</v>
      </c>
      <c r="AW8" s="37">
        <f>'Wtr-Gas'!AY10*0.0038</f>
        <v>247.513228</v>
      </c>
      <c r="AX8" s="36">
        <f>'Wtr-Gas'!AZ10*0.0038</f>
        <v>54.605772000000009</v>
      </c>
      <c r="AY8" s="36">
        <f>'Wtr-Gas'!BB10*0.0038</f>
        <v>9.1199999999999992</v>
      </c>
      <c r="AZ8" s="36">
        <f>'Wtr-Gas'!BD10*0.0038</f>
        <v>2.2799999999999998</v>
      </c>
      <c r="BA8" s="36">
        <f>'Wtr-Gas'!BF10*0.0038</f>
        <v>125.2822</v>
      </c>
      <c r="BB8" s="191">
        <f>Elect!C10</f>
        <v>2858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34">
        <f>Elect!AX11</f>
        <v>1600</v>
      </c>
      <c r="F9" s="34">
        <f>Elect!J11</f>
        <v>9979</v>
      </c>
      <c r="G9" s="34">
        <f>Elect!I11</f>
        <v>50240</v>
      </c>
      <c r="H9" s="34">
        <f>Elect!F11</f>
        <v>48320</v>
      </c>
      <c r="I9" s="34">
        <f>Elect!E11</f>
        <v>2.222</v>
      </c>
      <c r="J9" s="34">
        <f>Elect!Z11</f>
        <v>0.49099999999999999</v>
      </c>
      <c r="K9" s="34">
        <f>Elect!Y11</f>
        <v>16381</v>
      </c>
      <c r="L9" s="34">
        <f>Elect!AT11</f>
        <v>43877</v>
      </c>
      <c r="M9" s="34">
        <f>Elect!AS11</f>
        <v>0</v>
      </c>
      <c r="N9" s="34">
        <f>Elect!AD11</f>
        <v>4800</v>
      </c>
      <c r="O9" s="34">
        <f>Elect!AC11</f>
        <v>0.45100000000000001</v>
      </c>
      <c r="P9" s="34">
        <f>Elect!R11</f>
        <v>12000</v>
      </c>
      <c r="Q9" s="34">
        <f>Elect!Q11</f>
        <v>0.4</v>
      </c>
      <c r="R9" s="34">
        <f>Elect!N11</f>
        <v>0.33300000000000002</v>
      </c>
      <c r="S9" s="34">
        <f>Elect!M11</f>
        <v>9854</v>
      </c>
      <c r="T9" s="34">
        <f>Elect!V11</f>
        <v>65604</v>
      </c>
      <c r="U9" s="34">
        <f>Elect!U11</f>
        <v>71700</v>
      </c>
      <c r="V9" s="34">
        <f>Elect!AH11</f>
        <v>15853</v>
      </c>
      <c r="W9" s="34">
        <f>Elect!AG11</f>
        <v>49000</v>
      </c>
      <c r="X9" s="34">
        <f>Elect!AL11</f>
        <v>441</v>
      </c>
      <c r="Y9" s="34">
        <f>Elect!AK11</f>
        <v>52515</v>
      </c>
      <c r="Z9" s="34">
        <f>Elect!AP11</f>
        <v>50760</v>
      </c>
      <c r="AA9" s="34">
        <f>Elect!AO11</f>
        <v>320481</v>
      </c>
      <c r="AB9" s="34">
        <f>Elect!BK11</f>
        <v>52515</v>
      </c>
      <c r="AC9" s="34">
        <f>Elect!BH11</f>
        <v>0</v>
      </c>
      <c r="AD9" s="34">
        <f>Elect!BN11</f>
        <v>0</v>
      </c>
      <c r="AE9" s="34">
        <f>Elect!BQ11</f>
        <v>0</v>
      </c>
      <c r="AF9" s="36">
        <f>('Wtr-Gas'!E11)*0.0038</f>
        <v>4611.7560000000003</v>
      </c>
      <c r="AG9" s="36">
        <f>('Wtr-Gas'!H11)*0.0038</f>
        <v>433.65600000000001</v>
      </c>
      <c r="AH9" s="36">
        <f>'Wtr-Gas'!K11*0.0038</f>
        <v>1.1399999999999999</v>
      </c>
      <c r="AI9" s="36">
        <f>'Wtr-Gas'!N11*0.0038</f>
        <v>3515</v>
      </c>
      <c r="AJ9" s="36">
        <f>'Wtr-Gas'!Q11*0.0038</f>
        <v>0</v>
      </c>
      <c r="AK9" s="39">
        <f>'Wtr-Gas'!U11*0.0038</f>
        <v>879.32</v>
      </c>
      <c r="AL9" s="39">
        <f>'Wtr-Gas'!X11*0.0038</f>
        <v>4722.6400000000003</v>
      </c>
      <c r="AM9" s="36">
        <f>'Wtr-Gas'!AB11*0.0038</f>
        <v>8170</v>
      </c>
      <c r="AN9" s="36">
        <f>'Wtr-Gas'!AD11*0.0038</f>
        <v>2038.2010600000003</v>
      </c>
      <c r="AO9" s="36">
        <f>'Wtr-Gas'!AF11*0.0038</f>
        <v>10.298</v>
      </c>
      <c r="AP9" s="36">
        <f>'Wtr-Gas'!AH11*0.0038</f>
        <v>526.22400000000005</v>
      </c>
      <c r="AQ9" s="36">
        <f>'Wtr-Gas'!AJ11*0.0038</f>
        <v>60.347799999999999</v>
      </c>
      <c r="AR9" s="36">
        <f>'Wtr-Gas'!AL11*0.0038</f>
        <v>144.4</v>
      </c>
      <c r="AS9" s="36">
        <f>'Wtr-Gas'!AN11*0.0038</f>
        <v>3.8</v>
      </c>
      <c r="AT9" s="36">
        <f>'Wtr-Gas'!AP11*0.0038</f>
        <v>17.48</v>
      </c>
      <c r="AU9" s="39">
        <f>'Wtr-Gas'!AT11*0.0038</f>
        <v>0.97660000000000002</v>
      </c>
      <c r="AV9" s="36">
        <f>'Wtr-Gas'!AW11*0.0038</f>
        <v>301.45400000000001</v>
      </c>
      <c r="AW9" s="37">
        <f>'Wtr-Gas'!AY11*0.0038</f>
        <v>245.83613600000001</v>
      </c>
      <c r="AX9" s="36">
        <f>'Wtr-Gas'!AZ11*0.0038</f>
        <v>55.617863999999997</v>
      </c>
      <c r="AY9" s="36">
        <f>'Wtr-Gas'!BB11*0.0038</f>
        <v>10.26</v>
      </c>
      <c r="AZ9" s="36">
        <f>'Wtr-Gas'!BD11*0.0038</f>
        <v>1.52</v>
      </c>
      <c r="BA9" s="36">
        <f>'Wtr-Gas'!BF11*0.0038</f>
        <v>442.81400000000002</v>
      </c>
      <c r="BB9" s="191">
        <f>Elect!C11</f>
        <v>2355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34">
        <f>Elect!AX12</f>
        <v>1600</v>
      </c>
      <c r="F10" s="34">
        <f>Elect!J12</f>
        <v>10014</v>
      </c>
      <c r="G10" s="34">
        <f>Elect!I12</f>
        <v>49760</v>
      </c>
      <c r="H10" s="34">
        <f>Elect!F12</f>
        <v>47520</v>
      </c>
      <c r="I10" s="34">
        <f>Elect!E12</f>
        <v>2.133</v>
      </c>
      <c r="J10" s="34">
        <f>Elect!Z12</f>
        <v>0.36699999999999999</v>
      </c>
      <c r="K10" s="34">
        <f>Elect!Y12</f>
        <v>16435</v>
      </c>
      <c r="L10" s="34">
        <f>Elect!AT12</f>
        <v>43885</v>
      </c>
      <c r="M10" s="34">
        <f>Elect!AS12</f>
        <v>0</v>
      </c>
      <c r="N10" s="34">
        <f>Elect!AD12</f>
        <v>4960</v>
      </c>
      <c r="O10" s="34">
        <f>Elect!AC12</f>
        <v>0.28899999999999998</v>
      </c>
      <c r="P10" s="34">
        <f>Elect!R12</f>
        <v>12800</v>
      </c>
      <c r="Q10" s="34">
        <f>Elect!Q12</f>
        <v>0.29799999999999999</v>
      </c>
      <c r="R10" s="34">
        <f>Elect!N12</f>
        <v>0.254</v>
      </c>
      <c r="S10" s="34">
        <f>Elect!M12</f>
        <v>9885</v>
      </c>
      <c r="T10" s="34">
        <f>Elect!V12</f>
        <v>65797</v>
      </c>
      <c r="U10" s="34">
        <f>Elect!U12</f>
        <v>52500</v>
      </c>
      <c r="V10" s="34">
        <f>Elect!AH12</f>
        <v>15894</v>
      </c>
      <c r="W10" s="34">
        <f>Elect!AG12</f>
        <v>50400</v>
      </c>
      <c r="X10" s="34">
        <f>Elect!AL12</f>
        <v>444</v>
      </c>
      <c r="Y10" s="34">
        <f>Elect!AK12</f>
        <v>52959</v>
      </c>
      <c r="Z10" s="34">
        <f>Elect!AP12</f>
        <v>52040</v>
      </c>
      <c r="AA10" s="34">
        <f>Elect!AO12</f>
        <v>312964</v>
      </c>
      <c r="AB10" s="34">
        <f>Elect!BK12</f>
        <v>52959</v>
      </c>
      <c r="AC10" s="34">
        <f>Elect!BH12</f>
        <v>0</v>
      </c>
      <c r="AD10" s="34">
        <f>Elect!BN12</f>
        <v>0</v>
      </c>
      <c r="AE10" s="34">
        <f>Elect!BQ12</f>
        <v>0</v>
      </c>
      <c r="AF10" s="36">
        <f>('Wtr-Gas'!E12)*0.0038</f>
        <v>4560.3040000000001</v>
      </c>
      <c r="AG10" s="36">
        <f>('Wtr-Gas'!H12)*0.0038</f>
        <v>297.99599999999998</v>
      </c>
      <c r="AH10" s="36">
        <f>'Wtr-Gas'!K12*0.0038</f>
        <v>1.1020000000000001</v>
      </c>
      <c r="AI10" s="36">
        <f>'Wtr-Gas'!N12*0.0038</f>
        <v>3484.6</v>
      </c>
      <c r="AJ10" s="36">
        <f>'Wtr-Gas'!Q12*0.0038</f>
        <v>0</v>
      </c>
      <c r="AK10" s="39">
        <f>'Wtr-Gas'!U12*0.0038</f>
        <v>959.88</v>
      </c>
      <c r="AL10" s="39">
        <f>'Wtr-Gas'!X12*0.0038</f>
        <v>5127.34</v>
      </c>
      <c r="AM10" s="36">
        <f>'Wtr-Gas'!AB12*0.0038</f>
        <v>6498</v>
      </c>
      <c r="AN10" s="36">
        <f>'Wtr-Gas'!AD12*0.0038</f>
        <v>1454.5567800000001</v>
      </c>
      <c r="AO10" s="36">
        <f>'Wtr-Gas'!AF12*0.0038</f>
        <v>22.154</v>
      </c>
      <c r="AP10" s="36">
        <f>'Wtr-Gas'!AH12*0.0038</f>
        <v>514.178</v>
      </c>
      <c r="AQ10" s="36">
        <f>'Wtr-Gas'!AJ12*0.0038</f>
        <v>66.971199999999996</v>
      </c>
      <c r="AR10" s="36">
        <f>'Wtr-Gas'!AL12*0.0038</f>
        <v>167.2</v>
      </c>
      <c r="AS10" s="36">
        <f>'Wtr-Gas'!AN12*0.0038</f>
        <v>0</v>
      </c>
      <c r="AT10" s="36">
        <f>'Wtr-Gas'!AP12*0.0038</f>
        <v>20.52</v>
      </c>
      <c r="AU10" s="39">
        <f>'Wtr-Gas'!AT12*0.0038</f>
        <v>0</v>
      </c>
      <c r="AV10" s="36">
        <f>'Wtr-Gas'!AW12*0.0038</f>
        <v>333.84519999999998</v>
      </c>
      <c r="AW10" s="37">
        <f>'Wtr-Gas'!AY12*0.0038</f>
        <v>245.671254</v>
      </c>
      <c r="AX10" s="36">
        <f>'Wtr-Gas'!AZ12*0.0038</f>
        <v>88.173945999999987</v>
      </c>
      <c r="AY10" s="36">
        <f>'Wtr-Gas'!BB12*0.0038</f>
        <v>4.5599999999999996</v>
      </c>
      <c r="AZ10" s="36">
        <f>'Wtr-Gas'!BD12*0.0038</f>
        <v>25.46</v>
      </c>
      <c r="BA10" s="36">
        <f>'Wtr-Gas'!BF12*0.0038</f>
        <v>897.79939999999999</v>
      </c>
      <c r="BB10" s="191">
        <f>Elect!C12</f>
        <v>3005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34">
        <f>Elect!AX13</f>
        <v>1600</v>
      </c>
      <c r="F11" s="34">
        <f>Elect!J13</f>
        <v>10045</v>
      </c>
      <c r="G11" s="34">
        <f>Elect!I13</f>
        <v>44320</v>
      </c>
      <c r="H11" s="34">
        <f>Elect!F13</f>
        <v>43040</v>
      </c>
      <c r="I11" s="34">
        <f>Elect!E13</f>
        <v>2.33</v>
      </c>
      <c r="J11" s="34">
        <f>Elect!Z13</f>
        <v>0.51100000000000001</v>
      </c>
      <c r="K11" s="34">
        <f>Elect!Y13</f>
        <v>16477</v>
      </c>
      <c r="L11" s="34">
        <f>Elect!AT13</f>
        <v>43891</v>
      </c>
      <c r="M11" s="34">
        <f>Elect!AS13</f>
        <v>0</v>
      </c>
      <c r="N11" s="34">
        <f>Elect!AD13</f>
        <v>4000</v>
      </c>
      <c r="O11" s="34">
        <f>Elect!AC13</f>
        <v>0.34699999999999998</v>
      </c>
      <c r="P11" s="34">
        <f>Elect!R13</f>
        <v>11600</v>
      </c>
      <c r="Q11" s="34">
        <f>Elect!Q13</f>
        <v>0.29799999999999999</v>
      </c>
      <c r="R11" s="34">
        <f>Elect!N13</f>
        <v>0.254</v>
      </c>
      <c r="S11" s="34">
        <f>Elect!M13</f>
        <v>9912</v>
      </c>
      <c r="T11" s="34">
        <f>Elect!V13</f>
        <v>65909</v>
      </c>
      <c r="U11" s="34">
        <f>Elect!U13</f>
        <v>42000</v>
      </c>
      <c r="V11" s="34">
        <f>Elect!AH13</f>
        <v>15930</v>
      </c>
      <c r="W11" s="34">
        <f>Elect!AG13</f>
        <v>45200</v>
      </c>
      <c r="X11" s="34">
        <f>Elect!AL13</f>
        <v>382</v>
      </c>
      <c r="Y11" s="34">
        <f>Elect!AK13</f>
        <v>53341</v>
      </c>
      <c r="Z11" s="34">
        <f>Elect!AP13</f>
        <v>46640</v>
      </c>
      <c r="AA11" s="34">
        <f>Elect!AO13</f>
        <v>255502</v>
      </c>
      <c r="AB11" s="34">
        <f>Elect!BK13</f>
        <v>53341</v>
      </c>
      <c r="AC11" s="34">
        <f>Elect!BH13</f>
        <v>0</v>
      </c>
      <c r="AD11" s="34">
        <f>Elect!BN13</f>
        <v>365.13879359999999</v>
      </c>
      <c r="AE11" s="34">
        <f>Elect!BQ13</f>
        <v>2.5059999999999998</v>
      </c>
      <c r="AF11" s="36">
        <f>('Wtr-Gas'!E13)*0.0038</f>
        <v>3675.0940000000001</v>
      </c>
      <c r="AG11" s="36">
        <f>('Wtr-Gas'!H13)*0.0038</f>
        <v>380.608</v>
      </c>
      <c r="AH11" s="36">
        <f>'Wtr-Gas'!K13*0.0038</f>
        <v>0.95</v>
      </c>
      <c r="AI11" s="36">
        <f>'Wtr-Gas'!N13*0.0038</f>
        <v>2796.8</v>
      </c>
      <c r="AJ11" s="36">
        <f>'Wtr-Gas'!Q13*0.0038</f>
        <v>0</v>
      </c>
      <c r="AK11" s="39">
        <f>'Wtr-Gas'!U13*0.0038</f>
        <v>826.88</v>
      </c>
      <c r="AL11" s="39">
        <f>'Wtr-Gas'!X13*0.0038</f>
        <v>5542.68</v>
      </c>
      <c r="AM11" s="36">
        <f>'Wtr-Gas'!AB13*0.0038</f>
        <v>3914</v>
      </c>
      <c r="AN11" s="36">
        <f>'Wtr-Gas'!AD13*0.0038</f>
        <v>937.31522000000007</v>
      </c>
      <c r="AO11" s="36">
        <f>'Wtr-Gas'!AF13*0.0038</f>
        <v>0.26600000000000001</v>
      </c>
      <c r="AP11" s="36">
        <f>'Wtr-Gas'!AH13*0.0038</f>
        <v>362.55799999999999</v>
      </c>
      <c r="AQ11" s="36">
        <f>'Wtr-Gas'!AJ13*0.0038</f>
        <v>58.558</v>
      </c>
      <c r="AR11" s="36">
        <f>'Wtr-Gas'!AL13*0.0038</f>
        <v>159.6</v>
      </c>
      <c r="AS11" s="36">
        <f>'Wtr-Gas'!AN13*0.0038</f>
        <v>3.8</v>
      </c>
      <c r="AT11" s="36">
        <f>'Wtr-Gas'!AP13*0.0038</f>
        <v>18.239999999999998</v>
      </c>
      <c r="AU11" s="39">
        <f>'Wtr-Gas'!AT13*0.0038</f>
        <v>1.2121999999999999</v>
      </c>
      <c r="AV11" s="36">
        <f>'Wtr-Gas'!AW13*0.0038</f>
        <v>306.96019999999999</v>
      </c>
      <c r="AW11" s="37">
        <f>'Wtr-Gas'!AY13*0.0038</f>
        <v>245.38347999999999</v>
      </c>
      <c r="AX11" s="36">
        <f>'Wtr-Gas'!AZ13*0.0038</f>
        <v>61.576720000000009</v>
      </c>
      <c r="AY11" s="36">
        <f>'Wtr-Gas'!BB13*0.0038</f>
        <v>10.26</v>
      </c>
      <c r="AZ11" s="36">
        <f>'Wtr-Gas'!BD13*0.0038</f>
        <v>17.100000000000001</v>
      </c>
      <c r="BA11" s="36">
        <f>'Wtr-Gas'!BF13*0.0038</f>
        <v>907.7364</v>
      </c>
      <c r="BB11" s="191">
        <f>Elect!C13</f>
        <v>1896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34">
        <f>Elect!AX14</f>
        <v>1700</v>
      </c>
      <c r="F12" s="34">
        <f>Elect!J14</f>
        <v>10079</v>
      </c>
      <c r="G12" s="34">
        <f>Elect!I14</f>
        <v>54880</v>
      </c>
      <c r="H12" s="34">
        <f>Elect!F14</f>
        <v>53440</v>
      </c>
      <c r="I12" s="34">
        <f>Elect!E14</f>
        <v>2.2330000000000001</v>
      </c>
      <c r="J12" s="34">
        <f>Elect!Z14</f>
        <v>0.63700000000000001</v>
      </c>
      <c r="K12" s="34">
        <f>Elect!Y14</f>
        <v>16538</v>
      </c>
      <c r="L12" s="34">
        <f>Elect!AT14</f>
        <v>43898</v>
      </c>
      <c r="M12" s="34">
        <f>Elect!AS14</f>
        <v>0</v>
      </c>
      <c r="N12" s="34">
        <f>Elect!AD14</f>
        <v>4960</v>
      </c>
      <c r="O12" s="34">
        <f>Elect!AC14</f>
        <v>0.34699999999999998</v>
      </c>
      <c r="P12" s="34">
        <f>Elect!R14</f>
        <v>13600</v>
      </c>
      <c r="Q12" s="34">
        <f>Elect!Q14</f>
        <v>0.29799999999999999</v>
      </c>
      <c r="R12" s="34">
        <f>Elect!N14</f>
        <v>0.254</v>
      </c>
      <c r="S12" s="34">
        <f>Elect!M14</f>
        <v>9945</v>
      </c>
      <c r="T12" s="34">
        <f>Elect!V14</f>
        <v>66075</v>
      </c>
      <c r="U12" s="34">
        <f>Elect!U14</f>
        <v>60000</v>
      </c>
      <c r="V12" s="34">
        <f>Elect!AH14</f>
        <v>15975</v>
      </c>
      <c r="W12" s="34">
        <f>Elect!AG14</f>
        <v>55200</v>
      </c>
      <c r="X12" s="34">
        <f>Elect!AL14</f>
        <v>470</v>
      </c>
      <c r="Y12" s="34">
        <f>Elect!AK14</f>
        <v>53811</v>
      </c>
      <c r="Z12" s="34">
        <f>Elect!AP14</f>
        <v>57000</v>
      </c>
      <c r="AA12" s="34">
        <f>Elect!AO14</f>
        <v>330710</v>
      </c>
      <c r="AB12" s="34">
        <f>Elect!BK14</f>
        <v>53811</v>
      </c>
      <c r="AC12" s="34">
        <f>Elect!BH14</f>
        <v>0</v>
      </c>
      <c r="AD12" s="34">
        <f>Elect!BN14</f>
        <v>0</v>
      </c>
      <c r="AE12" s="34">
        <f>Elect!BQ14</f>
        <v>0</v>
      </c>
      <c r="AF12" s="36">
        <f>('Wtr-Gas'!E14)*0.0038</f>
        <v>4845.6080000000002</v>
      </c>
      <c r="AG12" s="36">
        <f>('Wtr-Gas'!H14)*0.0038</f>
        <v>406.82799999999997</v>
      </c>
      <c r="AH12" s="36">
        <f>'Wtr-Gas'!K14*0.0038</f>
        <v>1.216</v>
      </c>
      <c r="AI12" s="36">
        <f>'Wtr-Gas'!N14*0.0038</f>
        <v>3632.8</v>
      </c>
      <c r="AJ12" s="36">
        <f>'Wtr-Gas'!Q14*0.0038</f>
        <v>0</v>
      </c>
      <c r="AK12" s="39">
        <f>'Wtr-Gas'!U14*0.0038</f>
        <v>1009.28</v>
      </c>
      <c r="AL12" s="39">
        <f>'Wtr-Gas'!X14*0.0038</f>
        <v>6042</v>
      </c>
      <c r="AM12" s="36">
        <f>'Wtr-Gas'!AB14*0.0038</f>
        <v>6422</v>
      </c>
      <c r="AN12" s="36">
        <f>'Wtr-Gas'!AD14*0.0038</f>
        <v>1258.4076200000002</v>
      </c>
      <c r="AO12" s="36">
        <f>'Wtr-Gas'!AF14*0.0038</f>
        <v>7.524</v>
      </c>
      <c r="AP12" s="36">
        <f>'Wtr-Gas'!AH14*0.0038</f>
        <v>621.79399999999998</v>
      </c>
      <c r="AQ12" s="36">
        <f>'Wtr-Gas'!AJ14*0.0038</f>
        <v>81.795000000000002</v>
      </c>
      <c r="AR12" s="36">
        <f>'Wtr-Gas'!AL14*0.0038</f>
        <v>216.6</v>
      </c>
      <c r="AS12" s="36">
        <f>'Wtr-Gas'!AN14*0.0038</f>
        <v>0</v>
      </c>
      <c r="AT12" s="36">
        <f>'Wtr-Gas'!AP14*0.0038</f>
        <v>31.54</v>
      </c>
      <c r="AU12" s="39">
        <f>'Wtr-Gas'!AT14*0.0038</f>
        <v>0.45600000000000002</v>
      </c>
      <c r="AV12" s="36">
        <f>'Wtr-Gas'!AW14*0.0038</f>
        <v>297.63499999999999</v>
      </c>
      <c r="AW12" s="37">
        <f>'Wtr-Gas'!AY14*0.0038</f>
        <v>243.73275999999998</v>
      </c>
      <c r="AX12" s="36">
        <f>'Wtr-Gas'!AZ14*0.0038</f>
        <v>53.902240000000013</v>
      </c>
      <c r="AY12" s="36">
        <f>'Wtr-Gas'!BB14*0.0038</f>
        <v>15.2</v>
      </c>
      <c r="AZ12" s="36">
        <f>'Wtr-Gas'!BD14*0.0038</f>
        <v>3.8</v>
      </c>
      <c r="BA12" s="36">
        <f>'Wtr-Gas'!BF14*0.0038</f>
        <v>1159.7182</v>
      </c>
      <c r="BB12" s="191">
        <f>Elect!C14</f>
        <v>2040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34">
        <f>Elect!AX15</f>
        <v>1700</v>
      </c>
      <c r="F13" s="34">
        <f>Elect!J15</f>
        <v>10106</v>
      </c>
      <c r="G13" s="34">
        <f>Elect!I15</f>
        <v>47040</v>
      </c>
      <c r="H13" s="34">
        <f>Elect!F15</f>
        <v>46560</v>
      </c>
      <c r="I13" s="34">
        <f>Elect!E15</f>
        <v>2.2330000000000001</v>
      </c>
      <c r="J13" s="34">
        <f>Elect!Z15</f>
        <v>0.63700000000000001</v>
      </c>
      <c r="K13" s="34">
        <f>Elect!Y15</f>
        <v>16575</v>
      </c>
      <c r="L13" s="34">
        <f>Elect!AT15</f>
        <v>43905</v>
      </c>
      <c r="M13" s="34">
        <f>Elect!AS15</f>
        <v>0</v>
      </c>
      <c r="N13" s="34">
        <f>Elect!AD15</f>
        <v>4160</v>
      </c>
      <c r="O13" s="34">
        <f>Elect!AC15</f>
        <v>0.34699999999999998</v>
      </c>
      <c r="P13" s="34">
        <f>Elect!R15</f>
        <v>11200</v>
      </c>
      <c r="Q13" s="34">
        <f>Elect!Q15</f>
        <v>0.29799999999999999</v>
      </c>
      <c r="R13" s="34">
        <f>Elect!N15</f>
        <v>0.254</v>
      </c>
      <c r="S13" s="34">
        <f>Elect!M15</f>
        <v>9972</v>
      </c>
      <c r="T13" s="34">
        <f>Elect!V15</f>
        <v>66254</v>
      </c>
      <c r="U13" s="34">
        <f>Elect!U15</f>
        <v>50400</v>
      </c>
      <c r="V13" s="34">
        <f>Elect!AH15</f>
        <v>16015</v>
      </c>
      <c r="W13" s="34">
        <f>Elect!AG15</f>
        <v>49000</v>
      </c>
      <c r="X13" s="34">
        <f>Elect!AL15</f>
        <v>417</v>
      </c>
      <c r="Y13" s="34">
        <f>Elect!AK15</f>
        <v>54228</v>
      </c>
      <c r="Z13" s="34">
        <f>Elect!AP15</f>
        <v>50600</v>
      </c>
      <c r="AA13" s="34">
        <f>Elect!AO15</f>
        <v>291597</v>
      </c>
      <c r="AB13" s="34">
        <f>Elect!BK15</f>
        <v>54228</v>
      </c>
      <c r="AC13" s="34">
        <f>Elect!BH15</f>
        <v>0</v>
      </c>
      <c r="AD13" s="34">
        <f>Elect!BN15</f>
        <v>0</v>
      </c>
      <c r="AE13" s="34">
        <f>Elect!BQ15</f>
        <v>0</v>
      </c>
      <c r="AF13" s="36">
        <f>('Wtr-Gas'!E15)*0.0038</f>
        <v>4263.4859999999999</v>
      </c>
      <c r="AG13" s="36">
        <f>('Wtr-Gas'!H15)*0.0038</f>
        <v>438.9</v>
      </c>
      <c r="AH13" s="36">
        <f>'Wtr-Gas'!K15*0.0038</f>
        <v>1.0640000000000001</v>
      </c>
      <c r="AI13" s="36">
        <f>'Wtr-Gas'!N15*0.0038</f>
        <v>3028.6</v>
      </c>
      <c r="AJ13" s="36">
        <f>'Wtr-Gas'!Q15*0.0038</f>
        <v>0</v>
      </c>
      <c r="AK13" s="39">
        <f>'Wtr-Gas'!U15*0.0038</f>
        <v>824.22</v>
      </c>
      <c r="AL13" s="39">
        <f>'Wtr-Gas'!X15*0.0038</f>
        <v>3775.3</v>
      </c>
      <c r="AM13" s="36">
        <f>'Wtr-Gas'!AB15*0.0038</f>
        <v>7182</v>
      </c>
      <c r="AN13" s="36">
        <f>'Wtr-Gas'!AD15*0.0038</f>
        <v>1528.9056800000001</v>
      </c>
      <c r="AO13" s="36">
        <f>'Wtr-Gas'!AF15*0.0038</f>
        <v>8.8160000000000007</v>
      </c>
      <c r="AP13" s="36">
        <f>'Wtr-Gas'!AH15*0.0038</f>
        <v>555.78800000000001</v>
      </c>
      <c r="AQ13" s="36">
        <f>'Wtr-Gas'!AJ15*0.0038</f>
        <v>80.692999999999998</v>
      </c>
      <c r="AR13" s="36">
        <f>'Wtr-Gas'!AL15*0.0038</f>
        <v>140.6</v>
      </c>
      <c r="AS13" s="36">
        <f>'Wtr-Gas'!AN15*0.0038</f>
        <v>0</v>
      </c>
      <c r="AT13" s="36">
        <f>'Wtr-Gas'!AP15*0.0038</f>
        <v>32.68</v>
      </c>
      <c r="AU13" s="39">
        <f>'Wtr-Gas'!AT15*0.0038</f>
        <v>0.40660000000000002</v>
      </c>
      <c r="AV13" s="36">
        <f>'Wtr-Gas'!AW15*0.0038</f>
        <v>296.33159999999998</v>
      </c>
      <c r="AW13" s="37">
        <f>'Wtr-Gas'!AY15*0.0038</f>
        <v>244.17982999999998</v>
      </c>
      <c r="AX13" s="36">
        <f>'Wtr-Gas'!AZ15*0.0038</f>
        <v>52.151770000000006</v>
      </c>
      <c r="AY13" s="36">
        <f>'Wtr-Gas'!BB15*0.0038</f>
        <v>26.6</v>
      </c>
      <c r="AZ13" s="36">
        <f>'Wtr-Gas'!BD15*0.0038</f>
        <v>4.5599999999999996</v>
      </c>
      <c r="BA13" s="36">
        <f>'Wtr-Gas'!BF15*0.0038</f>
        <v>1216.2736</v>
      </c>
      <c r="BB13" s="191">
        <f>Elect!C15</f>
        <v>1354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34">
        <f>Elect!AX16</f>
        <v>1600</v>
      </c>
      <c r="F14" s="34">
        <f>Elect!J16</f>
        <v>10127</v>
      </c>
      <c r="G14" s="34">
        <f>Elect!I16</f>
        <v>41920</v>
      </c>
      <c r="H14" s="34">
        <f>Elect!F16</f>
        <v>41600</v>
      </c>
      <c r="I14" s="34">
        <f>Elect!E16</f>
        <v>1.536</v>
      </c>
      <c r="J14" s="34">
        <f>Elect!Z16</f>
        <v>0.21199999999999999</v>
      </c>
      <c r="K14" s="34">
        <f>Elect!Y16</f>
        <v>16604</v>
      </c>
      <c r="L14" s="34">
        <f>Elect!AT16</f>
        <v>43912</v>
      </c>
      <c r="M14" s="34">
        <f>Elect!AS16</f>
        <v>0</v>
      </c>
      <c r="N14" s="34">
        <f>Elect!AD16</f>
        <v>2400</v>
      </c>
      <c r="O14" s="34">
        <f>Elect!AC16</f>
        <v>0.10199999999999999</v>
      </c>
      <c r="P14" s="34">
        <f>Elect!R16</f>
        <v>8800</v>
      </c>
      <c r="Q14" s="34">
        <f>Elect!Q16</f>
        <v>0.111</v>
      </c>
      <c r="R14" s="34">
        <f>Elect!N16</f>
        <v>0.115</v>
      </c>
      <c r="S14" s="34">
        <f>Elect!M16</f>
        <v>9994</v>
      </c>
      <c r="T14" s="34">
        <f>Elect!V16</f>
        <v>66420</v>
      </c>
      <c r="U14" s="34">
        <f>Elect!U16</f>
        <v>54600</v>
      </c>
      <c r="V14" s="34">
        <f>Elect!AH16</f>
        <v>16054</v>
      </c>
      <c r="W14" s="34">
        <f>Elect!AG16</f>
        <v>47000</v>
      </c>
      <c r="X14" s="34">
        <f>Elect!AL16</f>
        <v>410</v>
      </c>
      <c r="Y14" s="34">
        <f>Elect!AK16</f>
        <v>54638</v>
      </c>
      <c r="Z14" s="34">
        <f>Elect!AP16</f>
        <v>48560</v>
      </c>
      <c r="AA14" s="34">
        <f>Elect!AO16</f>
        <v>269930</v>
      </c>
      <c r="AB14" s="34">
        <f>Elect!BK16</f>
        <v>54638</v>
      </c>
      <c r="AC14" s="34">
        <f>Elect!BH16</f>
        <v>0</v>
      </c>
      <c r="AD14" s="34">
        <f>Elect!BN16</f>
        <v>0</v>
      </c>
      <c r="AE14" s="34">
        <f>Elect!BQ16</f>
        <v>0</v>
      </c>
      <c r="AF14" s="36">
        <f>('Wtr-Gas'!E16)*0.0038</f>
        <v>3198.308</v>
      </c>
      <c r="AG14" s="36">
        <f>('Wtr-Gas'!H16)*0.0038</f>
        <v>824.29600000000005</v>
      </c>
      <c r="AH14" s="36">
        <f>'Wtr-Gas'!K16*0.0038</f>
        <v>1.026</v>
      </c>
      <c r="AI14" s="36">
        <f>'Wtr-Gas'!N16*0.0038</f>
        <v>1964.6</v>
      </c>
      <c r="AJ14" s="36">
        <f>'Wtr-Gas'!Q16*0.0038</f>
        <v>0</v>
      </c>
      <c r="AK14" s="39">
        <f>'Wtr-Gas'!U16*0.0038</f>
        <v>564.67999999999995</v>
      </c>
      <c r="AL14" s="39">
        <f>'Wtr-Gas'!X16*0.0038</f>
        <v>2768.68</v>
      </c>
      <c r="AM14" s="36">
        <f>'Wtr-Gas'!AB16*0.0038</f>
        <v>7638</v>
      </c>
      <c r="AN14" s="36">
        <f>'Wtr-Gas'!AD16*0.0038</f>
        <v>1680.8935200000001</v>
      </c>
      <c r="AO14" s="36">
        <f>'Wtr-Gas'!AF16*0.0038</f>
        <v>29.222000000000001</v>
      </c>
      <c r="AP14" s="36">
        <f>'Wtr-Gas'!AH16*0.0038</f>
        <v>609.48199999999997</v>
      </c>
      <c r="AQ14" s="36">
        <f>'Wtr-Gas'!AJ16*0.0038</f>
        <v>70.132800000000003</v>
      </c>
      <c r="AR14" s="36">
        <f>'Wtr-Gas'!AL16*0.0038</f>
        <v>136.80000000000001</v>
      </c>
      <c r="AS14" s="36">
        <f>'Wtr-Gas'!AN16*0.0038</f>
        <v>0</v>
      </c>
      <c r="AT14" s="36">
        <f>'Wtr-Gas'!AP16*0.0038</f>
        <v>25.84</v>
      </c>
      <c r="AU14" s="39">
        <f>'Wtr-Gas'!AT16*0.0038</f>
        <v>0</v>
      </c>
      <c r="AV14" s="36">
        <f>'Wtr-Gas'!AW16*0.0038</f>
        <v>287.51940000000002</v>
      </c>
      <c r="AW14" s="37">
        <f>'Wtr-Gas'!AY16*0.0038</f>
        <v>240.82424</v>
      </c>
      <c r="AX14" s="36">
        <f>'Wtr-Gas'!AZ16*0.0038</f>
        <v>46.695159999999987</v>
      </c>
      <c r="AY14" s="36">
        <f>'Wtr-Gas'!BB16*0.0038</f>
        <v>15.58</v>
      </c>
      <c r="AZ14" s="36">
        <f>'Wtr-Gas'!BD16*0.0038</f>
        <v>1.52</v>
      </c>
      <c r="BA14" s="36">
        <f>'Wtr-Gas'!BF16*0.0038</f>
        <v>977.0104</v>
      </c>
      <c r="BB14" s="191">
        <f>Elect!C16</f>
        <v>242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34">
        <f>Elect!AX17</f>
        <v>1700</v>
      </c>
      <c r="F15" s="34">
        <f>Elect!J17</f>
        <v>10141</v>
      </c>
      <c r="G15" s="34">
        <f>Elect!I17</f>
        <v>24000</v>
      </c>
      <c r="H15" s="34">
        <f>Elect!F17</f>
        <v>23360</v>
      </c>
      <c r="I15" s="34">
        <f>Elect!E17</f>
        <v>1.536</v>
      </c>
      <c r="J15" s="34">
        <f>Elect!Z17</f>
        <v>0.21199999999999999</v>
      </c>
      <c r="K15" s="34">
        <f>Elect!Y17</f>
        <v>16626</v>
      </c>
      <c r="L15" s="34">
        <f>Elect!AT17</f>
        <v>43919</v>
      </c>
      <c r="M15" s="34">
        <f>Elect!AS17</f>
        <v>0</v>
      </c>
      <c r="N15" s="34">
        <f>Elect!AD17</f>
        <v>1120</v>
      </c>
      <c r="O15" s="34">
        <f>Elect!AC17</f>
        <v>0.10199999999999999</v>
      </c>
      <c r="P15" s="34">
        <f>Elect!R17</f>
        <v>5200</v>
      </c>
      <c r="Q15" s="34">
        <f>Elect!Q17</f>
        <v>0.111</v>
      </c>
      <c r="R15" s="34">
        <f>Elect!N17</f>
        <v>1.23</v>
      </c>
      <c r="S15" s="34">
        <f>Elect!M17</f>
        <v>10009</v>
      </c>
      <c r="T15" s="34">
        <f>Elect!V17</f>
        <v>66514</v>
      </c>
      <c r="U15" s="34">
        <f>Elect!U17</f>
        <v>41100</v>
      </c>
      <c r="V15" s="34">
        <f>Elect!AH17</f>
        <v>16085</v>
      </c>
      <c r="W15" s="34">
        <f>Elect!AG17</f>
        <v>25000</v>
      </c>
      <c r="X15" s="34">
        <f>Elect!AL17</f>
        <v>280</v>
      </c>
      <c r="Y15" s="34">
        <f>Elect!AK17</f>
        <v>54918</v>
      </c>
      <c r="Z15" s="34">
        <f>Elect!AP17</f>
        <v>26240</v>
      </c>
      <c r="AA15" s="34">
        <f>Elect!AO17</f>
        <v>164620</v>
      </c>
      <c r="AB15" s="34">
        <f>Elect!BK17</f>
        <v>54918</v>
      </c>
      <c r="AC15" s="34">
        <f>Elect!BH17</f>
        <v>0</v>
      </c>
      <c r="AD15" s="34">
        <f>Elect!BN17</f>
        <v>261.51539300000007</v>
      </c>
      <c r="AE15" s="34">
        <f>Elect!BQ17</f>
        <v>2.4260000000000002</v>
      </c>
      <c r="AF15" s="36">
        <f>('Wtr-Gas'!E17)*0.0038</f>
        <v>1940.66</v>
      </c>
      <c r="AG15" s="36">
        <f>('Wtr-Gas'!H17)*0.0038</f>
        <v>874.49400000000003</v>
      </c>
      <c r="AH15" s="36">
        <f>'Wtr-Gas'!K17*0.0038</f>
        <v>2.052</v>
      </c>
      <c r="AI15" s="36">
        <f>'Wtr-Gas'!N17*0.0038</f>
        <v>1045</v>
      </c>
      <c r="AJ15" s="36">
        <f>'Wtr-Gas'!Q17*0.0038</f>
        <v>0</v>
      </c>
      <c r="AK15" s="39">
        <f>'Wtr-Gas'!U17*0.0038</f>
        <v>221.16</v>
      </c>
      <c r="AL15" s="39">
        <f>'Wtr-Gas'!X17*0.0038</f>
        <v>911.62</v>
      </c>
      <c r="AM15" s="36">
        <f>'Wtr-Gas'!AB17*0.0038</f>
        <v>5700</v>
      </c>
      <c r="AN15" s="36">
        <f>'Wtr-Gas'!AD17*0.0038</f>
        <v>1289.8758</v>
      </c>
      <c r="AO15" s="36">
        <f>'Wtr-Gas'!AF17*0.0038</f>
        <v>0.45600000000000002</v>
      </c>
      <c r="AP15" s="36">
        <f>'Wtr-Gas'!AH17*0.0038</f>
        <v>629.05200000000002</v>
      </c>
      <c r="AQ15" s="36">
        <f>'Wtr-Gas'!AJ17*0.0038</f>
        <v>81.376999999999995</v>
      </c>
      <c r="AR15" s="36">
        <f>'Wtr-Gas'!AL17*0.0038</f>
        <v>15.2</v>
      </c>
      <c r="AS15" s="36">
        <f>'Wtr-Gas'!AN17*0.0038</f>
        <v>0</v>
      </c>
      <c r="AT15" s="36">
        <f>'Wtr-Gas'!AP17*0.0038</f>
        <v>1.9</v>
      </c>
      <c r="AU15" s="39">
        <f>'Wtr-Gas'!AT17*0.0038</f>
        <v>0.41799999999999998</v>
      </c>
      <c r="AV15" s="36">
        <f>'Wtr-Gas'!AW17*0.0038</f>
        <v>241.66479999999999</v>
      </c>
      <c r="AW15" s="37">
        <f>'Wtr-Gas'!AY17*0.0038</f>
        <v>230.62070800000001</v>
      </c>
      <c r="AX15" s="36">
        <f>'Wtr-Gas'!AZ17*0.0038</f>
        <v>11.044091999999987</v>
      </c>
      <c r="AY15" s="36">
        <f>'Wtr-Gas'!BB17*0.0038</f>
        <v>3.42</v>
      </c>
      <c r="AZ15" s="36">
        <f>'Wtr-Gas'!BD17*0.0038</f>
        <v>1.1399999999999999</v>
      </c>
      <c r="BA15" s="36">
        <f>'Wtr-Gas'!BF17*0.0038</f>
        <v>1210.5393999999999</v>
      </c>
      <c r="BB15" s="191">
        <f>Elect!C17</f>
        <v>0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34">
        <f>Elect!AX18</f>
        <v>500</v>
      </c>
      <c r="F16" s="34">
        <f>Elect!J18</f>
        <v>10145</v>
      </c>
      <c r="G16" s="34">
        <f>Elect!I18</f>
        <v>6560</v>
      </c>
      <c r="H16" s="34">
        <f>Elect!F18</f>
        <v>6240</v>
      </c>
      <c r="I16" s="34">
        <f>Elect!E18</f>
        <v>1.536</v>
      </c>
      <c r="J16" s="34">
        <f>Elect!Z18</f>
        <v>0.21199999999999999</v>
      </c>
      <c r="K16" s="34">
        <f>Elect!Y18</f>
        <v>16632</v>
      </c>
      <c r="L16" s="34">
        <f>Elect!AT18</f>
        <v>43922</v>
      </c>
      <c r="M16" s="34">
        <f>Elect!AS18</f>
        <v>0</v>
      </c>
      <c r="N16" s="34">
        <f>Elect!AD18</f>
        <v>320</v>
      </c>
      <c r="O16" s="34">
        <f>Elect!AC18</f>
        <v>0.10199999999999999</v>
      </c>
      <c r="P16" s="34">
        <f>Elect!R18</f>
        <v>1600</v>
      </c>
      <c r="Q16" s="34">
        <f>Elect!Q18</f>
        <v>0.111</v>
      </c>
      <c r="R16" s="34">
        <f>Elect!N18</f>
        <v>1.23</v>
      </c>
      <c r="S16" s="34">
        <f>Elect!M18</f>
        <v>10013</v>
      </c>
      <c r="T16" s="34">
        <f>Elect!V18</f>
        <v>66537</v>
      </c>
      <c r="U16" s="34">
        <f>Elect!U18</f>
        <v>12600</v>
      </c>
      <c r="V16" s="34">
        <f>Elect!AH18</f>
        <v>16094</v>
      </c>
      <c r="W16" s="34">
        <f>Elect!AG18</f>
        <v>6400</v>
      </c>
      <c r="X16" s="34">
        <f>Elect!AL18</f>
        <v>72</v>
      </c>
      <c r="Y16" s="34">
        <f>Elect!AK18</f>
        <v>54990</v>
      </c>
      <c r="Z16" s="34">
        <f>Elect!AP18</f>
        <v>6760</v>
      </c>
      <c r="AA16" s="34">
        <f>Elect!AO18</f>
        <v>45212</v>
      </c>
      <c r="AB16" s="34">
        <f>Elect!BK18</f>
        <v>54990</v>
      </c>
      <c r="AC16" s="34">
        <f>Elect!BH18</f>
        <v>0</v>
      </c>
      <c r="AD16" s="34">
        <f>Elect!BN18</f>
        <v>0</v>
      </c>
      <c r="AE16" s="34">
        <f>Elect!BQ18</f>
        <v>0</v>
      </c>
      <c r="AF16" s="36">
        <f>('Wtr-Gas'!E18)*0.0038</f>
        <v>658.88199999999995</v>
      </c>
      <c r="AG16" s="36">
        <f>('Wtr-Gas'!H18)*0.0038</f>
        <v>358.416</v>
      </c>
      <c r="AH16" s="36">
        <f>'Wtr-Gas'!K18*0.0038</f>
        <v>0.56999999999999995</v>
      </c>
      <c r="AI16" s="36">
        <f>'Wtr-Gas'!N18*0.0038</f>
        <v>395.2</v>
      </c>
      <c r="AJ16" s="36">
        <f>'Wtr-Gas'!Q18*0.0038</f>
        <v>0</v>
      </c>
      <c r="AK16" s="39">
        <f>'Wtr-Gas'!U18*0.0038</f>
        <v>47.88</v>
      </c>
      <c r="AL16" s="39">
        <f>'Wtr-Gas'!X18*0.0038</f>
        <v>11.78</v>
      </c>
      <c r="AM16" s="36">
        <f>'Wtr-Gas'!AB18*0.0038</f>
        <v>2546</v>
      </c>
      <c r="AN16" s="36">
        <f>'Wtr-Gas'!AD18*0.0038</f>
        <v>212.20529999999999</v>
      </c>
      <c r="AO16" s="36">
        <f>'Wtr-Gas'!AF18*0.0038</f>
        <v>7.5999999999999998E-2</v>
      </c>
      <c r="AP16" s="36">
        <f>'Wtr-Gas'!AH18*0.0038</f>
        <v>105.26</v>
      </c>
      <c r="AQ16" s="36">
        <f>'Wtr-Gas'!AJ18*0.0038</f>
        <v>25.0002</v>
      </c>
      <c r="AR16" s="36">
        <f>'Wtr-Gas'!AL18*0.0038</f>
        <v>0</v>
      </c>
      <c r="AS16" s="36">
        <f>'Wtr-Gas'!AN18*0.0038</f>
        <v>0</v>
      </c>
      <c r="AT16" s="36">
        <f>'Wtr-Gas'!AP18*0.0038</f>
        <v>0</v>
      </c>
      <c r="AU16" s="39">
        <f>'Wtr-Gas'!AT18*0.0038</f>
        <v>1.52E-2</v>
      </c>
      <c r="AV16" s="36">
        <f>'Wtr-Gas'!AW18*0.0038</f>
        <v>72.010000000000005</v>
      </c>
      <c r="AW16" s="37">
        <f>'Wtr-Gas'!AY18*0.0038</f>
        <v>66.927462000000006</v>
      </c>
      <c r="AX16" s="36">
        <f>'Wtr-Gas'!AZ18*0.0038</f>
        <v>5.0825379999999942</v>
      </c>
      <c r="AY16" s="36">
        <f>'Wtr-Gas'!BB18*0.0038</f>
        <v>3.8</v>
      </c>
      <c r="AZ16" s="36">
        <f>'Wtr-Gas'!BD18*0.0038</f>
        <v>0</v>
      </c>
      <c r="BA16" s="36">
        <f>'Wtr-Gas'!BF18*0.0038</f>
        <v>617.9674</v>
      </c>
      <c r="BB16" s="191">
        <f>Elect!C18</f>
        <v>0</v>
      </c>
    </row>
    <row r="17" spans="1:54" x14ac:dyDescent="0.25">
      <c r="A17" s="3" t="s">
        <v>11</v>
      </c>
      <c r="B17" s="2">
        <v>5</v>
      </c>
      <c r="C17" s="2">
        <v>4</v>
      </c>
      <c r="D17" s="2">
        <v>2020</v>
      </c>
      <c r="E17" s="34">
        <f>Elect!AX19</f>
        <v>1200</v>
      </c>
      <c r="F17" s="34">
        <f>Elect!J19</f>
        <v>10154</v>
      </c>
      <c r="G17" s="34">
        <f>Elect!I19</f>
        <v>15680</v>
      </c>
      <c r="H17" s="34">
        <f>Elect!F19</f>
        <v>9920</v>
      </c>
      <c r="I17" s="34">
        <f>Elect!E19</f>
        <v>1.536</v>
      </c>
      <c r="J17" s="34">
        <f>Elect!Z19</f>
        <v>0.21199999999999999</v>
      </c>
      <c r="K17" s="34">
        <f>Elect!Y19</f>
        <v>16647</v>
      </c>
      <c r="L17" s="34">
        <f>Elect!AT19</f>
        <v>43926</v>
      </c>
      <c r="M17" s="34">
        <f>Elect!AS19</f>
        <v>0</v>
      </c>
      <c r="N17" s="34">
        <f>Elect!AD19</f>
        <v>640</v>
      </c>
      <c r="O17" s="34">
        <f>Elect!AC19</f>
        <v>0.10199999999999999</v>
      </c>
      <c r="P17" s="34">
        <f>Elect!R19</f>
        <v>3200</v>
      </c>
      <c r="Q17" s="34">
        <f>Elect!Q19</f>
        <v>1.46</v>
      </c>
      <c r="R17" s="34">
        <f>Elect!N19</f>
        <v>1.3</v>
      </c>
      <c r="S17" s="34">
        <f>Elect!M19</f>
        <v>10023</v>
      </c>
      <c r="T17" s="34">
        <f>Elect!V19</f>
        <v>66597</v>
      </c>
      <c r="U17" s="34">
        <f>Elect!U19</f>
        <v>21900</v>
      </c>
      <c r="V17" s="34">
        <f>Elect!AH19</f>
        <v>16115</v>
      </c>
      <c r="W17" s="34">
        <f>Elect!AG19</f>
        <v>16000</v>
      </c>
      <c r="X17" s="34">
        <f>Elect!AL19</f>
        <v>175</v>
      </c>
      <c r="Y17" s="34">
        <f>Elect!AK19</f>
        <v>55165</v>
      </c>
      <c r="Z17" s="34">
        <f>Elect!AP19</f>
        <v>16840</v>
      </c>
      <c r="AA17" s="34">
        <f>Elect!AO19</f>
        <v>96355</v>
      </c>
      <c r="AB17" s="34">
        <f>Elect!BK19</f>
        <v>55165</v>
      </c>
      <c r="AC17" s="34">
        <f>Elect!BH19</f>
        <v>0</v>
      </c>
      <c r="AD17" s="34">
        <f>Elect!BN19</f>
        <v>0</v>
      </c>
      <c r="AE17" s="34">
        <f>Elect!BQ19</f>
        <v>0</v>
      </c>
      <c r="AF17" s="36">
        <f>('Wtr-Gas'!E19)*0.0038</f>
        <v>1206.0440000000001</v>
      </c>
      <c r="AG17" s="36">
        <f>('Wtr-Gas'!H19)*0.0038</f>
        <v>528.50400000000002</v>
      </c>
      <c r="AH17" s="36">
        <f>'Wtr-Gas'!K19*0.0038</f>
        <v>0.53200000000000003</v>
      </c>
      <c r="AI17" s="36">
        <f>'Wtr-Gas'!N19*0.0038</f>
        <v>509.2</v>
      </c>
      <c r="AJ17" s="36">
        <f>'Wtr-Gas'!Q19*0.0038</f>
        <v>0</v>
      </c>
      <c r="AK17" s="39">
        <f>'Wtr-Gas'!U19*0.0038</f>
        <v>126.92</v>
      </c>
      <c r="AL17" s="39">
        <f>'Wtr-Gas'!X19*0.0038</f>
        <v>25.84</v>
      </c>
      <c r="AM17" s="36">
        <f>'Wtr-Gas'!AB19*0.0038</f>
        <v>2508</v>
      </c>
      <c r="AN17" s="36">
        <f>'Wtr-Gas'!AD19*0.0038</f>
        <v>518.11099999999999</v>
      </c>
      <c r="AO17" s="36">
        <f>'Wtr-Gas'!AF19*0.0038</f>
        <v>1.6719999999999999</v>
      </c>
      <c r="AP17" s="36">
        <f>'Wtr-Gas'!AH19*0.0038</f>
        <v>399.91199999999998</v>
      </c>
      <c r="AQ17" s="36">
        <f>'Wtr-Gas'!AJ19*0.0038</f>
        <v>61.833599999999997</v>
      </c>
      <c r="AR17" s="36">
        <f>'Wtr-Gas'!AL19*0.0038</f>
        <v>11.4</v>
      </c>
      <c r="AS17" s="36">
        <f>'Wtr-Gas'!AN19*0.0038</f>
        <v>0</v>
      </c>
      <c r="AT17" s="36">
        <f>'Wtr-Gas'!AP19*0.0038</f>
        <v>0</v>
      </c>
      <c r="AU17" s="39">
        <f>'Wtr-Gas'!AT19*0.0038</f>
        <v>4.5600000000000002E-2</v>
      </c>
      <c r="AV17" s="36">
        <f>'Wtr-Gas'!AW19*0.0038</f>
        <v>173.99440000000001</v>
      </c>
      <c r="AW17" s="37">
        <f>'Wtr-Gas'!AY19*0.0038</f>
        <v>166.76094799999998</v>
      </c>
      <c r="AX17" s="36">
        <f>'Wtr-Gas'!AZ19*0.0038</f>
        <v>7.2334520000000033</v>
      </c>
      <c r="AY17" s="36">
        <f>'Wtr-Gas'!BB19*0.0038</f>
        <v>9.8800000000000008</v>
      </c>
      <c r="AZ17" s="36">
        <f>'Wtr-Gas'!BD19*0.0038</f>
        <v>1.1399999999999999</v>
      </c>
      <c r="BA17" s="36">
        <f>'Wtr-Gas'!BF19*0.0038</f>
        <v>988.50160000000005</v>
      </c>
      <c r="BB17" s="191">
        <f>Elect!C19</f>
        <v>0</v>
      </c>
    </row>
    <row r="18" spans="1:54" x14ac:dyDescent="0.25">
      <c r="A18" s="3" t="s">
        <v>11</v>
      </c>
      <c r="B18" s="2">
        <v>12</v>
      </c>
      <c r="C18" s="2">
        <v>4</v>
      </c>
      <c r="D18" s="2">
        <v>2020</v>
      </c>
      <c r="E18" s="34">
        <f>Elect!AX20</f>
        <v>1700</v>
      </c>
      <c r="F18" s="34">
        <f>Elect!J20</f>
        <v>10166</v>
      </c>
      <c r="G18" s="34">
        <f>Elect!I20</f>
        <v>22400</v>
      </c>
      <c r="H18" s="34">
        <f>Elect!F20</f>
        <v>24960</v>
      </c>
      <c r="I18" s="34">
        <f>Elect!E20</f>
        <v>1.536</v>
      </c>
      <c r="J18" s="34">
        <f>Elect!Z20</f>
        <v>0.21199999999999999</v>
      </c>
      <c r="K18" s="34">
        <f>Elect!Y20</f>
        <v>16666</v>
      </c>
      <c r="L18" s="34">
        <f>Elect!AT20</f>
        <v>43933</v>
      </c>
      <c r="M18" s="34">
        <f>Elect!AS20</f>
        <v>0</v>
      </c>
      <c r="N18" s="34">
        <f>Elect!AD20</f>
        <v>640</v>
      </c>
      <c r="O18" s="34">
        <f>Elect!AC20</f>
        <v>0.10199999999999999</v>
      </c>
      <c r="P18" s="34">
        <f>Elect!R20</f>
        <v>4400</v>
      </c>
      <c r="Q18" s="34">
        <f>Elect!Q20</f>
        <v>1.46</v>
      </c>
      <c r="R18" s="34">
        <f>Elect!N20</f>
        <v>1.3</v>
      </c>
      <c r="S18" s="34">
        <f>Elect!M20</f>
        <v>10036</v>
      </c>
      <c r="T18" s="34">
        <f>Elect!V20</f>
        <v>66654</v>
      </c>
      <c r="U18" s="34">
        <f>Elect!U20</f>
        <v>39000</v>
      </c>
      <c r="V18" s="34">
        <f>Elect!AH20</f>
        <v>16143</v>
      </c>
      <c r="W18" s="34">
        <f>Elect!AG20</f>
        <v>22600</v>
      </c>
      <c r="X18" s="34">
        <f>Elect!AL20</f>
        <v>230</v>
      </c>
      <c r="Y18" s="34">
        <f>Elect!AK20</f>
        <v>55395</v>
      </c>
      <c r="Z18" s="34">
        <f>Elect!AP20</f>
        <v>23720</v>
      </c>
      <c r="AA18" s="34">
        <f>Elect!AO20</f>
        <v>145490</v>
      </c>
      <c r="AB18" s="34">
        <f>Elect!BK20</f>
        <v>55395</v>
      </c>
      <c r="AC18" s="34">
        <f>Elect!BH20</f>
        <v>0</v>
      </c>
      <c r="AD18" s="34">
        <f>Elect!BN20</f>
        <v>0</v>
      </c>
      <c r="AE18" s="34">
        <f>Elect!BQ20</f>
        <v>0</v>
      </c>
      <c r="AF18" s="36">
        <f>('Wtr-Gas'!E20)*0.0038</f>
        <v>1382.06</v>
      </c>
      <c r="AG18" s="36">
        <f>('Wtr-Gas'!H20)*0.0038</f>
        <v>776.53</v>
      </c>
      <c r="AH18" s="36">
        <f>'Wtr-Gas'!K20*0.0038</f>
        <v>0</v>
      </c>
      <c r="AI18" s="36">
        <f>'Wtr-Gas'!N20*0.0038</f>
        <v>866.4</v>
      </c>
      <c r="AJ18" s="36">
        <f>'Wtr-Gas'!Q20*0.0038</f>
        <v>0</v>
      </c>
      <c r="AK18" s="39">
        <f>'Wtr-Gas'!U20*0.0038</f>
        <v>156.94</v>
      </c>
      <c r="AL18" s="39">
        <f>'Wtr-Gas'!X20*0.0038</f>
        <v>30.78</v>
      </c>
      <c r="AM18" s="36">
        <f>'Wtr-Gas'!AB20*0.0038</f>
        <v>4978</v>
      </c>
      <c r="AN18" s="36">
        <f>'Wtr-Gas'!AD20*0.0038</f>
        <v>1012.7</v>
      </c>
      <c r="AO18" s="36">
        <f>'Wtr-Gas'!AF20*0.0038</f>
        <v>0.30399999999999999</v>
      </c>
      <c r="AP18" s="36">
        <f>'Wtr-Gas'!AH20*0.0038</f>
        <v>144.286</v>
      </c>
      <c r="AQ18" s="36">
        <f>'Wtr-Gas'!AJ20*0.0038</f>
        <v>79.910200000000003</v>
      </c>
      <c r="AR18" s="36">
        <f>'Wtr-Gas'!AL20*0.0038</f>
        <v>26.6</v>
      </c>
      <c r="AS18" s="36">
        <f>'Wtr-Gas'!AN20*0.0038</f>
        <v>0</v>
      </c>
      <c r="AT18" s="36">
        <f>'Wtr-Gas'!AP20*0.0038</f>
        <v>0.38</v>
      </c>
      <c r="AU18" s="39">
        <f>'Wtr-Gas'!AT20*0.0038</f>
        <v>6.8400000000000002E-2</v>
      </c>
      <c r="AV18" s="36">
        <f>'Wtr-Gas'!AW20*0.0038</f>
        <v>244.14240000000001</v>
      </c>
      <c r="AW18" s="37">
        <f>'Wtr-Gas'!AY20*0.0038</f>
        <v>231.08654999999999</v>
      </c>
      <c r="AX18" s="36">
        <f>'Wtr-Gas'!AZ20*0.0038</f>
        <v>13.05585</v>
      </c>
      <c r="AY18" s="36">
        <f>'Wtr-Gas'!BB20*0.0038</f>
        <v>4.9400000000000004</v>
      </c>
      <c r="AZ18" s="36">
        <f>'Wtr-Gas'!BD20*0.0038</f>
        <v>1.1399999999999999</v>
      </c>
      <c r="BA18" s="36">
        <f>'Wtr-Gas'!BF20*0.0038</f>
        <v>1168.367</v>
      </c>
      <c r="BB18" s="191">
        <f>Elect!C20</f>
        <v>0</v>
      </c>
    </row>
    <row r="19" spans="1:54" x14ac:dyDescent="0.25">
      <c r="A19" s="3" t="s">
        <v>11</v>
      </c>
      <c r="B19" s="2">
        <v>19</v>
      </c>
      <c r="C19" s="2">
        <v>4</v>
      </c>
      <c r="D19" s="2">
        <v>2020</v>
      </c>
      <c r="E19" s="34">
        <f>Elect!AX21</f>
        <v>1900</v>
      </c>
      <c r="F19" s="34">
        <f>Elect!J21</f>
        <v>10179</v>
      </c>
      <c r="G19" s="34">
        <f>Elect!I21</f>
        <v>22560</v>
      </c>
      <c r="H19" s="34">
        <f>Elect!F21</f>
        <v>19680</v>
      </c>
      <c r="I19" s="34">
        <f>Elect!E21</f>
        <v>1.536</v>
      </c>
      <c r="J19" s="34">
        <f>Elect!Z21</f>
        <v>0.21199999999999999</v>
      </c>
      <c r="K19" s="34">
        <f>Elect!Y21</f>
        <v>16684</v>
      </c>
      <c r="L19" s="34">
        <f>Elect!AT21</f>
        <v>43940</v>
      </c>
      <c r="M19" s="34">
        <f>Elect!AS21</f>
        <v>0</v>
      </c>
      <c r="N19" s="34">
        <f>Elect!AD21</f>
        <v>640</v>
      </c>
      <c r="O19" s="34">
        <f>Elect!AC21</f>
        <v>0.10199999999999999</v>
      </c>
      <c r="P19" s="34">
        <f>Elect!R21</f>
        <v>4800</v>
      </c>
      <c r="Q19" s="34">
        <f>Elect!Q21</f>
        <v>1.46</v>
      </c>
      <c r="R19" s="34">
        <f>Elect!N21</f>
        <v>1.3</v>
      </c>
      <c r="S19" s="34">
        <f>Elect!M21</f>
        <v>10049</v>
      </c>
      <c r="T19" s="34">
        <f>Elect!V21</f>
        <v>66749</v>
      </c>
      <c r="U19" s="34">
        <f>Elect!U21</f>
        <v>38400</v>
      </c>
      <c r="V19" s="34">
        <f>Elect!AH21</f>
        <v>16173</v>
      </c>
      <c r="W19" s="34">
        <f>Elect!AG21</f>
        <v>23200</v>
      </c>
      <c r="X19" s="34">
        <f>Elect!AL21</f>
        <v>241</v>
      </c>
      <c r="Y19" s="34">
        <f>Elect!AK21</f>
        <v>55636</v>
      </c>
      <c r="Z19" s="34">
        <f>Elect!AP21</f>
        <v>24400</v>
      </c>
      <c r="AA19" s="34">
        <f>Elect!AO21</f>
        <v>152501</v>
      </c>
      <c r="AB19" s="34">
        <f>Elect!BK21</f>
        <v>55636</v>
      </c>
      <c r="AC19" s="34">
        <f>Elect!BH21</f>
        <v>0</v>
      </c>
      <c r="AD19" s="34">
        <f>Elect!BN21</f>
        <v>0</v>
      </c>
      <c r="AE19" s="34">
        <f>Elect!BQ21</f>
        <v>0</v>
      </c>
      <c r="AF19" s="36">
        <f>('Wtr-Gas'!E21)*0.0038</f>
        <v>1329.0119999999999</v>
      </c>
      <c r="AG19" s="36">
        <f>('Wtr-Gas'!H21)*0.0038</f>
        <v>588.202</v>
      </c>
      <c r="AH19" s="36">
        <f>'Wtr-Gas'!K21*0.0038</f>
        <v>0</v>
      </c>
      <c r="AI19" s="36">
        <f>'Wtr-Gas'!N21*0.0038</f>
        <v>942.4</v>
      </c>
      <c r="AJ19" s="36">
        <f>'Wtr-Gas'!Q21*0.0038</f>
        <v>0</v>
      </c>
      <c r="AK19" s="39">
        <f>'Wtr-Gas'!U21*0.0038</f>
        <v>146.68</v>
      </c>
      <c r="AL19" s="39">
        <f>'Wtr-Gas'!X21*0.0038</f>
        <v>22.8</v>
      </c>
      <c r="AM19" s="36">
        <f>'Wtr-Gas'!AB21*0.0038</f>
        <v>5434</v>
      </c>
      <c r="AN19" s="36">
        <f>'Wtr-Gas'!AD21*0.0038</f>
        <v>1192.93552</v>
      </c>
      <c r="AO19" s="36">
        <f>'Wtr-Gas'!AF21*0.0038</f>
        <v>1.6719999999999999</v>
      </c>
      <c r="AP19" s="36">
        <f>'Wtr-Gas'!AH21*0.0038</f>
        <v>74.974000000000004</v>
      </c>
      <c r="AQ19" s="36">
        <f>'Wtr-Gas'!AJ21*0.0038</f>
        <v>80.856399999999994</v>
      </c>
      <c r="AR19" s="36">
        <f>'Wtr-Gas'!AL21*0.0038</f>
        <v>3.8</v>
      </c>
      <c r="AS19" s="36">
        <f>'Wtr-Gas'!AN21*0.0038</f>
        <v>0</v>
      </c>
      <c r="AT19" s="36">
        <f>'Wtr-Gas'!AP21*0.0038</f>
        <v>0</v>
      </c>
      <c r="AU19" s="39">
        <f>'Wtr-Gas'!AT21*0.0038</f>
        <v>0.10639999999999999</v>
      </c>
      <c r="AV19" s="36">
        <f>'Wtr-Gas'!AW21*0.0038</f>
        <v>274.97179999999997</v>
      </c>
      <c r="AW19" s="37">
        <f>'Wtr-Gas'!AY21*0.0038</f>
        <v>262.08227600000004</v>
      </c>
      <c r="AX19" s="36">
        <f>'Wtr-Gas'!AZ21*0.0038</f>
        <v>12.889523999999984</v>
      </c>
      <c r="AY19" s="36">
        <f>'Wtr-Gas'!BB21*0.0038</f>
        <v>0</v>
      </c>
      <c r="AZ19" s="36">
        <f>'Wtr-Gas'!BD21*0.0038</f>
        <v>4.5599999999999996</v>
      </c>
      <c r="BA19" s="36">
        <f>'Wtr-Gas'!BF21*0.0038</f>
        <v>877.8836</v>
      </c>
      <c r="BB19" s="191">
        <f>Elect!C21</f>
        <v>0</v>
      </c>
    </row>
    <row r="20" spans="1:54" x14ac:dyDescent="0.25">
      <c r="A20" s="3" t="s">
        <v>11</v>
      </c>
      <c r="B20" s="2">
        <v>26</v>
      </c>
      <c r="C20" s="2">
        <v>4</v>
      </c>
      <c r="D20" s="2">
        <v>2020</v>
      </c>
      <c r="E20" s="34">
        <f>Elect!AX22</f>
        <v>1400</v>
      </c>
      <c r="F20" s="34">
        <f>Elect!J22</f>
        <v>10193</v>
      </c>
      <c r="G20" s="34">
        <f>Elect!I22</f>
        <v>23040</v>
      </c>
      <c r="H20" s="34">
        <f>Elect!F22</f>
        <v>19840</v>
      </c>
      <c r="I20" s="34">
        <f>Elect!E22</f>
        <v>0.91500000000000004</v>
      </c>
      <c r="J20" s="34">
        <f>Elect!Z22</f>
        <v>0.11899999999999999</v>
      </c>
      <c r="K20" s="34">
        <f>Elect!Y22</f>
        <v>16702</v>
      </c>
      <c r="L20" s="34">
        <f>Elect!AT22</f>
        <v>43947</v>
      </c>
      <c r="M20" s="34">
        <f>Elect!AS22</f>
        <v>0</v>
      </c>
      <c r="N20" s="34">
        <f>Elect!AD22</f>
        <v>640</v>
      </c>
      <c r="O20" s="34">
        <f>Elect!AC22</f>
        <v>6.0999999999999999E-2</v>
      </c>
      <c r="P20" s="34">
        <f>Elect!R22</f>
        <v>4800</v>
      </c>
      <c r="Q20" s="34">
        <f>Elect!Q22</f>
        <v>0.81</v>
      </c>
      <c r="R20" s="34">
        <f>Elect!N22</f>
        <v>0.87</v>
      </c>
      <c r="S20" s="34">
        <f>Elect!M22</f>
        <v>10062</v>
      </c>
      <c r="T20" s="34">
        <f>Elect!V22</f>
        <v>66923</v>
      </c>
      <c r="U20" s="34">
        <f>Elect!U22</f>
        <v>16500</v>
      </c>
      <c r="V20" s="34">
        <f>Elect!AH22</f>
        <v>16201</v>
      </c>
      <c r="W20" s="34">
        <f>Elect!AG22</f>
        <v>23400</v>
      </c>
      <c r="X20" s="34">
        <f>Elect!AL22</f>
        <v>240</v>
      </c>
      <c r="Y20" s="34">
        <f>Elect!AK22</f>
        <v>55876</v>
      </c>
      <c r="Z20" s="34">
        <f>Elect!AP22</f>
        <v>24520</v>
      </c>
      <c r="AA20" s="34">
        <f>Elect!AO22</f>
        <v>155460</v>
      </c>
      <c r="AB20" s="34">
        <f>Elect!BK22</f>
        <v>55876</v>
      </c>
      <c r="AC20" s="34">
        <f>Elect!BH22</f>
        <v>0</v>
      </c>
      <c r="AD20" s="34">
        <f>Elect!BN22</f>
        <v>0</v>
      </c>
      <c r="AE20" s="34">
        <f>Elect!BQ22</f>
        <v>0</v>
      </c>
      <c r="AF20" s="36">
        <f>('Wtr-Gas'!E22)*0.0038</f>
        <v>2074.8760000000002</v>
      </c>
      <c r="AG20" s="36">
        <f>('Wtr-Gas'!H22)*0.0038</f>
        <v>411.92</v>
      </c>
      <c r="AH20" s="36">
        <f>'Wtr-Gas'!K22*0.0038</f>
        <v>0</v>
      </c>
      <c r="AI20" s="36">
        <f>'Wtr-Gas'!N22*0.0038</f>
        <v>1185.5999999999999</v>
      </c>
      <c r="AJ20" s="36">
        <f>'Wtr-Gas'!Q22*0.0038</f>
        <v>0</v>
      </c>
      <c r="AK20" s="39">
        <f>'Wtr-Gas'!U22*0.0038</f>
        <v>167.2</v>
      </c>
      <c r="AL20" s="39">
        <f>'Wtr-Gas'!X22*0.0038</f>
        <v>53.2</v>
      </c>
      <c r="AM20" s="36">
        <f>'Wtr-Gas'!AB22*0.0038</f>
        <v>5624</v>
      </c>
      <c r="AN20" s="36">
        <f>'Wtr-Gas'!AD22*0.0038</f>
        <v>1236.9706800000001</v>
      </c>
      <c r="AO20" s="36">
        <f>'Wtr-Gas'!AF22*0.0038</f>
        <v>1.9</v>
      </c>
      <c r="AP20" s="36">
        <f>'Wtr-Gas'!AH22*0.0038</f>
        <v>521.20799999999997</v>
      </c>
      <c r="AQ20" s="36">
        <f>'Wtr-Gas'!AJ22*0.0038</f>
        <v>78.66</v>
      </c>
      <c r="AR20" s="36">
        <f>'Wtr-Gas'!AL22*0.0038</f>
        <v>102.6</v>
      </c>
      <c r="AS20" s="36">
        <f>'Wtr-Gas'!AN22*0.0038</f>
        <v>0</v>
      </c>
      <c r="AT20" s="36">
        <f>'Wtr-Gas'!AP22*0.0038</f>
        <v>-0.38</v>
      </c>
      <c r="AU20" s="39">
        <f>'Wtr-Gas'!AT22*0.0038</f>
        <v>7.5999999999999998E-2</v>
      </c>
      <c r="AV20" s="36">
        <f>'Wtr-Gas'!AW22*0.0038</f>
        <v>213.39660000000001</v>
      </c>
      <c r="AW20" s="37">
        <f>'Wtr-Gas'!AY22*0.0038</f>
        <v>202.71168399999999</v>
      </c>
      <c r="AX20" s="36">
        <f>'Wtr-Gas'!AZ22*0.0038</f>
        <v>10.684915999999999</v>
      </c>
      <c r="AY20" s="36">
        <f>'Wtr-Gas'!BB22*0.0038</f>
        <v>21.66</v>
      </c>
      <c r="AZ20" s="36">
        <f>'Wtr-Gas'!BD22*0.0038</f>
        <v>1.1399999999999999</v>
      </c>
      <c r="BA20" s="36">
        <f>'Wtr-Gas'!BF22*0.0038</f>
        <v>479.67020000000002</v>
      </c>
      <c r="BB20" s="191">
        <f>Elect!C22</f>
        <v>0</v>
      </c>
    </row>
    <row r="21" spans="1:54" x14ac:dyDescent="0.25">
      <c r="A21" s="3" t="s">
        <v>11</v>
      </c>
      <c r="B21" s="2">
        <v>1</v>
      </c>
      <c r="C21" s="2">
        <v>5</v>
      </c>
      <c r="D21" s="2">
        <v>2020</v>
      </c>
      <c r="E21" s="34">
        <f>Elect!AX23</f>
        <v>1300</v>
      </c>
      <c r="F21" s="34">
        <f>Elect!J23</f>
        <v>10199</v>
      </c>
      <c r="G21" s="34">
        <f>Elect!I23</f>
        <v>13920</v>
      </c>
      <c r="H21" s="34">
        <f>Elect!F23</f>
        <v>11360</v>
      </c>
      <c r="I21" s="34">
        <f>Elect!E23</f>
        <v>0.91500000000000004</v>
      </c>
      <c r="J21" s="34">
        <f>Elect!Z23</f>
        <v>1.24</v>
      </c>
      <c r="K21" s="34">
        <f>Elect!Y23</f>
        <v>16712</v>
      </c>
      <c r="L21" s="34">
        <f>Elect!AT23</f>
        <v>43952</v>
      </c>
      <c r="M21" s="34">
        <f>Elect!AS23</f>
        <v>0</v>
      </c>
      <c r="N21" s="34">
        <f>Elect!AD23</f>
        <v>320</v>
      </c>
      <c r="O21" s="34">
        <f>Elect!AC23</f>
        <v>6.0999999999999999E-2</v>
      </c>
      <c r="P21" s="34">
        <f>Elect!R23</f>
        <v>2400</v>
      </c>
      <c r="Q21" s="34">
        <f>Elect!Q23</f>
        <v>0.98</v>
      </c>
      <c r="R21" s="34">
        <f>Elect!N23</f>
        <v>1.17</v>
      </c>
      <c r="S21" s="34">
        <f>Elect!M23</f>
        <v>10070</v>
      </c>
      <c r="T21" s="34">
        <f>Elect!V23</f>
        <v>66983</v>
      </c>
      <c r="U21" s="34">
        <f>Elect!U23</f>
        <v>10200</v>
      </c>
      <c r="V21" s="34">
        <f>Elect!AH23</f>
        <v>16219</v>
      </c>
      <c r="W21" s="34">
        <f>Elect!AG23</f>
        <v>12800</v>
      </c>
      <c r="X21" s="34">
        <f>Elect!AL23</f>
        <v>148</v>
      </c>
      <c r="Y21" s="34">
        <f>Elect!AK23</f>
        <v>56024</v>
      </c>
      <c r="Z21" s="34">
        <f>Elect!AP23</f>
        <v>13520</v>
      </c>
      <c r="AA21" s="34">
        <f>Elect!AO23</f>
        <v>77068</v>
      </c>
      <c r="AB21" s="34">
        <f>Elect!BK23</f>
        <v>56024</v>
      </c>
      <c r="AC21" s="34">
        <f>Elect!BH23</f>
        <v>0</v>
      </c>
      <c r="AD21" s="34">
        <f>Elect!BN23</f>
        <v>169.23867439999998</v>
      </c>
      <c r="AE21" s="34">
        <f>Elect!BQ23</f>
        <v>2.4260000000000002</v>
      </c>
      <c r="AF21" s="36">
        <f>('Wtr-Gas'!E23)*0.0038</f>
        <v>1279.5740000000001</v>
      </c>
      <c r="AG21" s="36">
        <f>('Wtr-Gas'!H23)*0.0038</f>
        <v>432.02199999999999</v>
      </c>
      <c r="AH21" s="36">
        <f>'Wtr-Gas'!K23*0.0038</f>
        <v>0</v>
      </c>
      <c r="AI21" s="36">
        <f>'Wtr-Gas'!N23*0.0038</f>
        <v>722</v>
      </c>
      <c r="AJ21" s="36">
        <f>'Wtr-Gas'!Q23*0.0038</f>
        <v>0</v>
      </c>
      <c r="AK21" s="39">
        <f>'Wtr-Gas'!U23*0.0038</f>
        <v>110.96</v>
      </c>
      <c r="AL21" s="39">
        <f>'Wtr-Gas'!X23*0.0038</f>
        <v>21.28</v>
      </c>
      <c r="AM21" s="36">
        <f>'Wtr-Gas'!AB23*0.0038</f>
        <v>2546</v>
      </c>
      <c r="AN21" s="36">
        <f>'Wtr-Gas'!AD23*0.0038</f>
        <v>649.37706000000003</v>
      </c>
      <c r="AO21" s="36">
        <f>'Wtr-Gas'!AF23*0.0038</f>
        <v>-0.152</v>
      </c>
      <c r="AP21" s="36">
        <f>'Wtr-Gas'!AH23*0.0038</f>
        <v>361.57</v>
      </c>
      <c r="AQ21" s="36">
        <f>'Wtr-Gas'!AJ23*0.0038</f>
        <v>41.203400000000002</v>
      </c>
      <c r="AR21" s="36">
        <f>'Wtr-Gas'!AL23*0.0038</f>
        <v>0</v>
      </c>
      <c r="AS21" s="36">
        <f>'Wtr-Gas'!AN23*0.0038</f>
        <v>0</v>
      </c>
      <c r="AT21" s="36">
        <f>'Wtr-Gas'!AP23*0.0038</f>
        <v>0</v>
      </c>
      <c r="AU21" s="39">
        <f>'Wtr-Gas'!AT23*0.0038</f>
        <v>6.4600000000000005E-2</v>
      </c>
      <c r="AV21" s="36">
        <f>'Wtr-Gas'!AW23*0.0038</f>
        <v>210.90379999999999</v>
      </c>
      <c r="AW21" s="37">
        <f>'Wtr-Gas'!AY23*0.0038</f>
        <v>199.66320999999999</v>
      </c>
      <c r="AX21" s="36">
        <f>'Wtr-Gas'!AZ23*0.0038</f>
        <v>11.240590000000012</v>
      </c>
      <c r="AY21" s="36">
        <f>'Wtr-Gas'!BB23*0.0038</f>
        <v>11.02</v>
      </c>
      <c r="AZ21" s="36">
        <f>'Wtr-Gas'!BD23*0.0038</f>
        <v>1.52</v>
      </c>
      <c r="BA21" s="36">
        <f>'Wtr-Gas'!BF23*0.0038</f>
        <v>727.08439999999996</v>
      </c>
      <c r="BB21" s="191">
        <f>Elect!C23</f>
        <v>0</v>
      </c>
    </row>
    <row r="22" spans="1:54" x14ac:dyDescent="0.25">
      <c r="A22" s="3" t="s">
        <v>11</v>
      </c>
      <c r="B22" s="2">
        <v>4</v>
      </c>
      <c r="C22" s="2">
        <v>5</v>
      </c>
      <c r="D22" s="2">
        <v>2020</v>
      </c>
      <c r="E22" s="34">
        <f>Elect!AX24</f>
        <v>200</v>
      </c>
      <c r="F22" s="34">
        <f>Elect!J24</f>
        <v>10203</v>
      </c>
      <c r="G22" s="34">
        <f>Elect!I24</f>
        <v>8960</v>
      </c>
      <c r="H22" s="34">
        <f>Elect!F24</f>
        <v>7360</v>
      </c>
      <c r="I22" s="34">
        <f>Elect!E24</f>
        <v>0.91500000000000004</v>
      </c>
      <c r="J22" s="34">
        <f>Elect!Z24</f>
        <v>1.24</v>
      </c>
      <c r="K22" s="34">
        <f>Elect!Y24</f>
        <v>16719</v>
      </c>
      <c r="L22" s="34">
        <f>Elect!AT24</f>
        <v>43955</v>
      </c>
      <c r="M22" s="34">
        <f>Elect!AS24</f>
        <v>0</v>
      </c>
      <c r="N22" s="34">
        <f>Elect!AD24</f>
        <v>320</v>
      </c>
      <c r="O22" s="34">
        <f>Elect!AC24</f>
        <v>6.0999999999999999E-2</v>
      </c>
      <c r="P22" s="34">
        <f>Elect!R24</f>
        <v>1600</v>
      </c>
      <c r="Q22" s="34">
        <f>Elect!Q24</f>
        <v>0.98</v>
      </c>
      <c r="R22" s="34">
        <f>Elect!N24</f>
        <v>1.17</v>
      </c>
      <c r="S22" s="34">
        <f>Elect!M24</f>
        <v>10074</v>
      </c>
      <c r="T22" s="34">
        <f>Elect!V24</f>
        <v>67028</v>
      </c>
      <c r="U22" s="34">
        <f>Elect!U24</f>
        <v>3000</v>
      </c>
      <c r="V22" s="34">
        <f>Elect!AH24</f>
        <v>16230</v>
      </c>
      <c r="W22" s="34">
        <f>Elect!AG24</f>
        <v>7600</v>
      </c>
      <c r="X22" s="34">
        <f>Elect!AL24</f>
        <v>83</v>
      </c>
      <c r="Y22" s="34">
        <f>Elect!AK24</f>
        <v>56107</v>
      </c>
      <c r="Z22" s="34">
        <f>Elect!AP24</f>
        <v>8040</v>
      </c>
      <c r="AA22" s="34">
        <f>Elect!AO24</f>
        <v>47183</v>
      </c>
      <c r="AB22" s="34">
        <f>Elect!BK24</f>
        <v>56107</v>
      </c>
      <c r="AC22" s="34">
        <f>Elect!BH24</f>
        <v>0</v>
      </c>
      <c r="AD22" s="34">
        <f>Elect!BN24</f>
        <v>0</v>
      </c>
      <c r="AE22" s="34">
        <f>Elect!BQ24</f>
        <v>0</v>
      </c>
      <c r="AF22" s="36">
        <f>('Wtr-Gas'!E24)*0.0038</f>
        <v>1047.9259999999999</v>
      </c>
      <c r="AG22" s="36">
        <f>('Wtr-Gas'!H24)*0.0038</f>
        <v>359.93599999999998</v>
      </c>
      <c r="AH22" s="36">
        <f>'Wtr-Gas'!K24*0.0038</f>
        <v>0</v>
      </c>
      <c r="AI22" s="36">
        <f>'Wtr-Gas'!N24*0.0038</f>
        <v>395.2</v>
      </c>
      <c r="AJ22" s="36">
        <f>'Wtr-Gas'!Q24*0.0038</f>
        <v>0</v>
      </c>
      <c r="AK22" s="39">
        <f>'Wtr-Gas'!U24*0.0038</f>
        <v>79.42</v>
      </c>
      <c r="AL22" s="39">
        <f>'Wtr-Gas'!X24*0.0038</f>
        <v>12.54</v>
      </c>
      <c r="AM22" s="36">
        <f>'Wtr-Gas'!AB24*0.0038</f>
        <v>1558</v>
      </c>
      <c r="AN22" s="36">
        <f>'Wtr-Gas'!AD24*0.0038</f>
        <v>442.48454000000004</v>
      </c>
      <c r="AO22" s="36">
        <f>'Wtr-Gas'!AF24*0.0038</f>
        <v>0</v>
      </c>
      <c r="AP22" s="36">
        <f>'Wtr-Gas'!AH24*0.0038</f>
        <v>380.68400000000003</v>
      </c>
      <c r="AQ22" s="36">
        <f>'Wtr-Gas'!AJ24*0.0038</f>
        <v>18.1754</v>
      </c>
      <c r="AR22" s="36">
        <f>'Wtr-Gas'!AL24*0.0038</f>
        <v>0</v>
      </c>
      <c r="AS22" s="36">
        <f>'Wtr-Gas'!AN24*0.0038</f>
        <v>0</v>
      </c>
      <c r="AT22" s="36">
        <f>'Wtr-Gas'!AP24*0.0038</f>
        <v>0</v>
      </c>
      <c r="AU22" s="39">
        <f>'Wtr-Gas'!AT24*0.0038</f>
        <v>7.6E-3</v>
      </c>
      <c r="AV22" s="36">
        <f>'Wtr-Gas'!AW24*0.0038</f>
        <v>33.580599999999997</v>
      </c>
      <c r="AW22" s="37">
        <f>'Wtr-Gas'!AY24*0.0038</f>
        <v>31.525597999999995</v>
      </c>
      <c r="AX22" s="36">
        <f>'Wtr-Gas'!AZ24*0.0038</f>
        <v>2.0550020000000031</v>
      </c>
      <c r="AY22" s="36">
        <f>'Wtr-Gas'!BB24*0.0038</f>
        <v>1.1399999999999999</v>
      </c>
      <c r="AZ22" s="36">
        <f>'Wtr-Gas'!BD24*0.0038</f>
        <v>0.38</v>
      </c>
      <c r="BA22" s="36">
        <f>'Wtr-Gas'!BF24*0.0038</f>
        <v>275.87240000000003</v>
      </c>
      <c r="BB22" s="191">
        <f>Elect!C24</f>
        <v>0</v>
      </c>
    </row>
    <row r="23" spans="1:54" x14ac:dyDescent="0.25">
      <c r="A23" s="3" t="s">
        <v>11</v>
      </c>
      <c r="B23" s="2">
        <v>10</v>
      </c>
      <c r="C23" s="2">
        <v>5</v>
      </c>
      <c r="D23" s="2">
        <v>2020</v>
      </c>
      <c r="E23" s="34">
        <f>Elect!AX25</f>
        <v>1800</v>
      </c>
      <c r="F23" s="34">
        <f>Elect!J25</f>
        <v>10212</v>
      </c>
      <c r="G23" s="34">
        <f>Elect!I25</f>
        <v>24480</v>
      </c>
      <c r="H23" s="34">
        <f>Elect!F25</f>
        <v>19680</v>
      </c>
      <c r="I23" s="34">
        <f>Elect!E25</f>
        <v>0.91500000000000004</v>
      </c>
      <c r="J23" s="34">
        <f>Elect!Z25</f>
        <v>1.3</v>
      </c>
      <c r="K23" s="34">
        <f>Elect!Y25</f>
        <v>16737</v>
      </c>
      <c r="L23" s="34">
        <f>Elect!AT25</f>
        <v>43961</v>
      </c>
      <c r="M23" s="34">
        <f>Elect!AS25</f>
        <v>0</v>
      </c>
      <c r="N23" s="34">
        <f>Elect!AD25</f>
        <v>640</v>
      </c>
      <c r="O23" s="34">
        <f>Elect!AC25</f>
        <v>0.76</v>
      </c>
      <c r="P23" s="34">
        <f>Elect!R25</f>
        <v>3600</v>
      </c>
      <c r="Q23" s="34">
        <f>Elect!Q25</f>
        <v>0.98</v>
      </c>
      <c r="R23" s="34">
        <f>Elect!N25</f>
        <v>1.17</v>
      </c>
      <c r="S23" s="34">
        <f>Elect!M25</f>
        <v>10086</v>
      </c>
      <c r="T23" s="34">
        <f>Elect!V25</f>
        <v>67177</v>
      </c>
      <c r="U23" s="34">
        <f>Elect!U25</f>
        <v>9300</v>
      </c>
      <c r="V23" s="34">
        <f>Elect!AH25</f>
        <v>16259</v>
      </c>
      <c r="W23" s="34">
        <f>Elect!AG25</f>
        <v>23600</v>
      </c>
      <c r="X23" s="34">
        <f>Elect!AL25</f>
        <v>236</v>
      </c>
      <c r="Y23" s="34">
        <f>Elect!AK25</f>
        <v>56343</v>
      </c>
      <c r="Z23" s="34">
        <f>Elect!AP25</f>
        <v>24760</v>
      </c>
      <c r="AA23" s="34">
        <f>Elect!AO25</f>
        <v>138676</v>
      </c>
      <c r="AB23" s="34">
        <f>Elect!BK25</f>
        <v>56343</v>
      </c>
      <c r="AC23" s="34">
        <f>Elect!BH25</f>
        <v>0</v>
      </c>
      <c r="AD23" s="34">
        <f>Elect!BN25</f>
        <v>0</v>
      </c>
      <c r="AE23" s="34">
        <f>Elect!BQ25</f>
        <v>0</v>
      </c>
      <c r="AF23" s="36">
        <f>('Wtr-Gas'!E25)*0.0038</f>
        <v>1754.194</v>
      </c>
      <c r="AG23" s="36">
        <f>('Wtr-Gas'!H25)*0.0038</f>
        <v>755.63</v>
      </c>
      <c r="AH23" s="36">
        <f>'Wtr-Gas'!K25*0.0038</f>
        <v>0</v>
      </c>
      <c r="AI23" s="36">
        <f>'Wtr-Gas'!N25*0.0038</f>
        <v>915.8</v>
      </c>
      <c r="AJ23" s="36">
        <f>'Wtr-Gas'!Q25*0.0038</f>
        <v>0</v>
      </c>
      <c r="AK23" s="39">
        <f>'Wtr-Gas'!U25*0.0038</f>
        <v>192.28</v>
      </c>
      <c r="AL23" s="39">
        <f>'Wtr-Gas'!X25*0.0038</f>
        <v>28.12</v>
      </c>
      <c r="AM23" s="36">
        <f>'Wtr-Gas'!AB25*0.0038</f>
        <v>4826</v>
      </c>
      <c r="AN23" s="36">
        <f>'Wtr-Gas'!AD25*0.0038</f>
        <v>1015.6286600000001</v>
      </c>
      <c r="AO23" s="36">
        <f>'Wtr-Gas'!AF25*0.0038</f>
        <v>0.22800000000000001</v>
      </c>
      <c r="AP23" s="36">
        <f>'Wtr-Gas'!AH25*0.0038</f>
        <v>273.63799999999998</v>
      </c>
      <c r="AQ23" s="36">
        <f>'Wtr-Gas'!AJ25*0.0038</f>
        <v>46.804600000000001</v>
      </c>
      <c r="AR23" s="36">
        <f>'Wtr-Gas'!AL25*0.0038</f>
        <v>186.2</v>
      </c>
      <c r="AS23" s="36">
        <f>'Wtr-Gas'!AN25*0.0038</f>
        <v>0</v>
      </c>
      <c r="AT23" s="36">
        <f>'Wtr-Gas'!AP25*0.0038</f>
        <v>0</v>
      </c>
      <c r="AU23" s="39">
        <f>'Wtr-Gas'!AT25*0.0038</f>
        <v>0.11020000000000001</v>
      </c>
      <c r="AV23" s="36">
        <f>'Wtr-Gas'!AW25*0.0038</f>
        <v>252.035</v>
      </c>
      <c r="AW23" s="37">
        <f>'Wtr-Gas'!AY25*0.0038</f>
        <v>232.03092599999999</v>
      </c>
      <c r="AX23" s="36">
        <f>'Wtr-Gas'!AZ25*0.0038</f>
        <v>20.004074000000013</v>
      </c>
      <c r="AY23" s="36">
        <f>'Wtr-Gas'!BB25*0.0038</f>
        <v>9.1199999999999992</v>
      </c>
      <c r="AZ23" s="36">
        <f>'Wtr-Gas'!BD25*0.0038</f>
        <v>2.2799999999999998</v>
      </c>
      <c r="BA23" s="36">
        <f>'Wtr-Gas'!BF25*0.0038</f>
        <v>1086.5758000000001</v>
      </c>
      <c r="BB23" s="191">
        <f>Elect!C25</f>
        <v>0</v>
      </c>
    </row>
    <row r="24" spans="1:54" x14ac:dyDescent="0.25">
      <c r="A24" s="3" t="s">
        <v>11</v>
      </c>
      <c r="B24" s="2">
        <v>17</v>
      </c>
      <c r="C24" s="2">
        <v>5</v>
      </c>
      <c r="D24" s="2">
        <v>2020</v>
      </c>
      <c r="E24" s="34">
        <f>Elect!AX26</f>
        <v>1700</v>
      </c>
      <c r="F24" s="34">
        <f>Elect!J26</f>
        <v>10222</v>
      </c>
      <c r="G24" s="34">
        <f>Elect!I26</f>
        <v>23840</v>
      </c>
      <c r="H24" s="34">
        <f>Elect!F26</f>
        <v>19200</v>
      </c>
      <c r="I24" s="34">
        <f>Elect!E26</f>
        <v>0.91500000000000004</v>
      </c>
      <c r="J24" s="34">
        <f>Elect!Z26</f>
        <v>1.3</v>
      </c>
      <c r="K24" s="34">
        <f>Elect!Y26</f>
        <v>16755</v>
      </c>
      <c r="L24" s="34">
        <f>Elect!AT26</f>
        <v>43968</v>
      </c>
      <c r="M24" s="34">
        <f>Elect!AS26</f>
        <v>0</v>
      </c>
      <c r="N24" s="34">
        <f>Elect!AD26</f>
        <v>800</v>
      </c>
      <c r="O24" s="34">
        <f>Elect!AC26</f>
        <v>0.76</v>
      </c>
      <c r="P24" s="34">
        <f>Elect!R26</f>
        <v>4000</v>
      </c>
      <c r="Q24" s="34">
        <f>Elect!Q26</f>
        <v>0.98</v>
      </c>
      <c r="R24" s="34">
        <f>Elect!N26</f>
        <v>1.17</v>
      </c>
      <c r="S24" s="34">
        <f>Elect!M26</f>
        <v>10098</v>
      </c>
      <c r="T24" s="34">
        <f>Elect!V26</f>
        <v>67263</v>
      </c>
      <c r="U24" s="34">
        <f>Elect!U26</f>
        <v>34500</v>
      </c>
      <c r="V24" s="34">
        <f>Elect!AH26</f>
        <v>16281</v>
      </c>
      <c r="W24" s="34">
        <f>Elect!AG26</f>
        <v>22800</v>
      </c>
      <c r="X24" s="34">
        <f>Elect!AL26</f>
        <v>229</v>
      </c>
      <c r="Y24" s="34">
        <f>Elect!AK26</f>
        <v>56572</v>
      </c>
      <c r="Z24" s="34">
        <f>Elect!AP26</f>
        <v>23680</v>
      </c>
      <c r="AA24" s="34">
        <f>Elect!AO26</f>
        <v>143729</v>
      </c>
      <c r="AB24" s="34">
        <f>Elect!BK26</f>
        <v>56572</v>
      </c>
      <c r="AC24" s="34">
        <f>Elect!BH26</f>
        <v>0</v>
      </c>
      <c r="AD24" s="34">
        <f>Elect!BN26</f>
        <v>0</v>
      </c>
      <c r="AE24" s="34">
        <f>Elect!BQ26</f>
        <v>0</v>
      </c>
      <c r="AF24" s="36">
        <f>('Wtr-Gas'!E26)*0.0038</f>
        <v>1625.298</v>
      </c>
      <c r="AG24" s="36">
        <f>('Wtr-Gas'!H26)*0.0038</f>
        <v>891.86</v>
      </c>
      <c r="AH24" s="36">
        <f>'Wtr-Gas'!K26*0.0038</f>
        <v>0</v>
      </c>
      <c r="AI24" s="36">
        <f>'Wtr-Gas'!N26*0.0038</f>
        <v>1029.8</v>
      </c>
      <c r="AJ24" s="36">
        <f>'Wtr-Gas'!Q26*0.0038</f>
        <v>0</v>
      </c>
      <c r="AK24" s="39">
        <f>'Wtr-Gas'!U26*0.0038</f>
        <v>184.3</v>
      </c>
      <c r="AL24" s="39">
        <f>'Wtr-Gas'!X26*0.0038</f>
        <v>39.14</v>
      </c>
      <c r="AM24" s="36">
        <f>'Wtr-Gas'!AB26*0.0038</f>
        <v>5434</v>
      </c>
      <c r="AN24" s="36">
        <f>'Wtr-Gas'!AD26*0.0038</f>
        <v>1215.6089800000002</v>
      </c>
      <c r="AO24" s="36">
        <f>'Wtr-Gas'!AF26*0.0038</f>
        <v>1.4059999999999999</v>
      </c>
      <c r="AP24" s="36">
        <f>'Wtr-Gas'!AH26*0.0038</f>
        <v>282.036</v>
      </c>
      <c r="AQ24" s="36">
        <f>'Wtr-Gas'!AJ26*0.0038</f>
        <v>65.622200000000007</v>
      </c>
      <c r="AR24" s="36">
        <f>'Wtr-Gas'!AL26*0.0038</f>
        <v>30.4</v>
      </c>
      <c r="AS24" s="36">
        <f>'Wtr-Gas'!AN26*0.0038</f>
        <v>0</v>
      </c>
      <c r="AT24" s="36">
        <f>'Wtr-Gas'!AP26*0.0038</f>
        <v>0</v>
      </c>
      <c r="AU24" s="39">
        <f>'Wtr-Gas'!AT26*0.0038</f>
        <v>0.32679999999999998</v>
      </c>
      <c r="AV24" s="36">
        <f>'Wtr-Gas'!AW26*0.0038</f>
        <v>315.36959999999999</v>
      </c>
      <c r="AW24" s="37">
        <f>'Wtr-Gas'!AY26*0.0038</f>
        <v>242.12190200000001</v>
      </c>
      <c r="AX24" s="36">
        <f>'Wtr-Gas'!AZ26*0.0038</f>
        <v>73.247698</v>
      </c>
      <c r="AY24" s="36">
        <f>'Wtr-Gas'!BB26*0.0038</f>
        <v>14.06</v>
      </c>
      <c r="AZ24" s="36">
        <f>'Wtr-Gas'!BD26*0.0038</f>
        <v>1.52</v>
      </c>
      <c r="BA24" s="36">
        <f>'Wtr-Gas'!BF26*0.0038</f>
        <v>2332.9301999999998</v>
      </c>
      <c r="BB24" s="191">
        <f>Elect!C26</f>
        <v>0</v>
      </c>
    </row>
    <row r="25" spans="1:54" x14ac:dyDescent="0.25">
      <c r="A25" s="3" t="s">
        <v>11</v>
      </c>
      <c r="B25" s="2">
        <v>24</v>
      </c>
      <c r="C25" s="2">
        <v>5</v>
      </c>
      <c r="D25" s="2">
        <v>2020</v>
      </c>
      <c r="E25" s="34">
        <f>Elect!AX27</f>
        <v>1900</v>
      </c>
      <c r="F25" s="34">
        <f>Elect!J27</f>
        <v>10232</v>
      </c>
      <c r="G25" s="34">
        <f>Elect!I27</f>
        <v>24160</v>
      </c>
      <c r="H25" s="34">
        <f>Elect!F27</f>
        <v>19360</v>
      </c>
      <c r="I25" s="34">
        <f>Elect!E27</f>
        <v>0.878</v>
      </c>
      <c r="J25" s="34">
        <f>Elect!Z27</f>
        <v>1.24</v>
      </c>
      <c r="K25" s="34">
        <f>Elect!Y27</f>
        <v>16772</v>
      </c>
      <c r="L25" s="34">
        <f>Elect!AT27</f>
        <v>43975</v>
      </c>
      <c r="M25" s="34">
        <f>Elect!AS27</f>
        <v>0</v>
      </c>
      <c r="N25" s="34">
        <f>Elect!AD27</f>
        <v>640</v>
      </c>
      <c r="O25" s="34">
        <f>Elect!AC27</f>
        <v>0.78</v>
      </c>
      <c r="P25" s="34">
        <f>Elect!R27</f>
        <v>4000</v>
      </c>
      <c r="Q25" s="34">
        <f>Elect!Q27</f>
        <v>0.72</v>
      </c>
      <c r="R25" s="34">
        <f>Elect!N27</f>
        <v>0.81</v>
      </c>
      <c r="S25" s="34">
        <f>Elect!M27</f>
        <v>10110</v>
      </c>
      <c r="T25" s="34">
        <f>Elect!V27</f>
        <v>67419</v>
      </c>
      <c r="U25" s="34">
        <f>Elect!U27</f>
        <v>27300</v>
      </c>
      <c r="V25" s="34">
        <f>Elect!AH27</f>
        <v>16306</v>
      </c>
      <c r="W25" s="34">
        <f>Elect!AG27</f>
        <v>23000</v>
      </c>
      <c r="X25" s="34">
        <f>Elect!AL27</f>
        <v>219</v>
      </c>
      <c r="Y25" s="34">
        <f>Elect!AK27</f>
        <v>56791</v>
      </c>
      <c r="Z25" s="34">
        <f>Elect!AP27</f>
        <v>24000</v>
      </c>
      <c r="AA25" s="34">
        <f>Elect!AO27</f>
        <v>157999</v>
      </c>
      <c r="AB25" s="34">
        <f>Elect!BK27</f>
        <v>56791</v>
      </c>
      <c r="AC25" s="34">
        <f>Elect!BH27</f>
        <v>0</v>
      </c>
      <c r="AD25" s="34">
        <f>Elect!BN27</f>
        <v>0</v>
      </c>
      <c r="AE25" s="34">
        <f>Elect!BQ27</f>
        <v>0</v>
      </c>
      <c r="AF25" s="36">
        <f>('Wtr-Gas'!E27)*0.0038</f>
        <v>1902.8879999999999</v>
      </c>
      <c r="AG25" s="36">
        <f>('Wtr-Gas'!H27)*0.0038</f>
        <v>847.78</v>
      </c>
      <c r="AH25" s="36">
        <f>'Wtr-Gas'!K27*0.0038</f>
        <v>0</v>
      </c>
      <c r="AI25" s="36">
        <f>'Wtr-Gas'!N27*0.0038</f>
        <v>1045</v>
      </c>
      <c r="AJ25" s="36">
        <f>'Wtr-Gas'!Q27*0.0038</f>
        <v>0</v>
      </c>
      <c r="AK25" s="39">
        <f>'Wtr-Gas'!U27*0.0038</f>
        <v>180.5</v>
      </c>
      <c r="AL25" s="39">
        <f>'Wtr-Gas'!X27*0.0038</f>
        <v>25.84</v>
      </c>
      <c r="AM25" s="36">
        <f>'Wtr-Gas'!AB27*0.0038</f>
        <v>6118</v>
      </c>
      <c r="AN25" s="36">
        <f>'Wtr-Gas'!AD27*0.0038</f>
        <v>1246.77316</v>
      </c>
      <c r="AO25" s="36">
        <f>'Wtr-Gas'!AF27*0.0038</f>
        <v>0.152</v>
      </c>
      <c r="AP25" s="36">
        <f>'Wtr-Gas'!AH27*0.0038</f>
        <v>489.59199999999998</v>
      </c>
      <c r="AQ25" s="36">
        <f>'Wtr-Gas'!AJ27*0.0038</f>
        <v>55.141799999999996</v>
      </c>
      <c r="AR25" s="36">
        <f>'Wtr-Gas'!AL27*0.0038</f>
        <v>87.4</v>
      </c>
      <c r="AS25" s="36">
        <f>'Wtr-Gas'!AN27*0.0038</f>
        <v>0</v>
      </c>
      <c r="AT25" s="36">
        <f>'Wtr-Gas'!AP27*0.0038</f>
        <v>0</v>
      </c>
      <c r="AU25" s="39">
        <f>'Wtr-Gas'!AT27*0.0038</f>
        <v>0.21279999999999999</v>
      </c>
      <c r="AV25" s="36">
        <f>'Wtr-Gas'!AW27*0.0038</f>
        <v>268.40159999999997</v>
      </c>
      <c r="AW25" s="37">
        <f>'Wtr-Gas'!AY27*0.0038</f>
        <v>241.10673199999999</v>
      </c>
      <c r="AX25" s="36">
        <f>'Wtr-Gas'!AZ27*0.0038</f>
        <v>27.294868000000001</v>
      </c>
      <c r="AY25" s="36">
        <f>'Wtr-Gas'!BB27*0.0038</f>
        <v>8.74</v>
      </c>
      <c r="AZ25" s="36">
        <f>'Wtr-Gas'!BD27*0.0038</f>
        <v>1.52</v>
      </c>
      <c r="BA25" s="36">
        <f>'Wtr-Gas'!BF27*0.0038</f>
        <v>983.32219999999995</v>
      </c>
      <c r="BB25" s="191">
        <f>Elect!C27</f>
        <v>0</v>
      </c>
    </row>
    <row r="26" spans="1:54" x14ac:dyDescent="0.25">
      <c r="A26" s="3" t="s">
        <v>11</v>
      </c>
      <c r="B26" s="2">
        <v>1</v>
      </c>
      <c r="C26" s="2">
        <v>6</v>
      </c>
      <c r="D26" s="2">
        <v>2020</v>
      </c>
      <c r="E26" s="34">
        <f>Elect!AX28</f>
        <v>1700</v>
      </c>
      <c r="F26" s="34">
        <f>Elect!J28</f>
        <v>10241</v>
      </c>
      <c r="G26" s="34">
        <f>Elect!I28</f>
        <v>24640</v>
      </c>
      <c r="H26" s="34">
        <f>Elect!F28</f>
        <v>20000</v>
      </c>
      <c r="I26" s="34">
        <f>Elect!E28</f>
        <v>0.89100000000000001</v>
      </c>
      <c r="J26" s="34">
        <f>Elect!Z28</f>
        <v>1.54</v>
      </c>
      <c r="K26" s="34">
        <f>Elect!Y28</f>
        <v>16791</v>
      </c>
      <c r="L26" s="34">
        <f>Elect!AT28</f>
        <v>43983</v>
      </c>
      <c r="M26" s="34">
        <f>Elect!AS28</f>
        <v>0</v>
      </c>
      <c r="N26" s="34">
        <f>Elect!AD28</f>
        <v>480</v>
      </c>
      <c r="O26" s="34">
        <f>Elect!AC28</f>
        <v>0.49</v>
      </c>
      <c r="P26" s="34">
        <f>Elect!R28</f>
        <v>4400</v>
      </c>
      <c r="Q26" s="34">
        <f>Elect!Q28</f>
        <v>0.78</v>
      </c>
      <c r="R26" s="34">
        <f>Elect!N28</f>
        <v>0.81</v>
      </c>
      <c r="S26" s="34">
        <f>Elect!M28</f>
        <v>10121</v>
      </c>
      <c r="T26" s="34">
        <f>Elect!V28</f>
        <v>67563</v>
      </c>
      <c r="U26" s="34">
        <f>Elect!U28</f>
        <v>36900</v>
      </c>
      <c r="V26" s="34">
        <f>Elect!AH28</f>
        <v>16334</v>
      </c>
      <c r="W26" s="34">
        <f>Elect!AG28</f>
        <v>24400</v>
      </c>
      <c r="X26" s="34">
        <f>Elect!AL28</f>
        <v>223</v>
      </c>
      <c r="Y26" s="34">
        <f>Elect!AK28</f>
        <v>57014</v>
      </c>
      <c r="Z26" s="34">
        <f>Elect!AP28</f>
        <v>25520</v>
      </c>
      <c r="AA26" s="34">
        <f>Elect!AO28</f>
        <v>166403</v>
      </c>
      <c r="AB26" s="34">
        <f>Elect!BK28</f>
        <v>57014</v>
      </c>
      <c r="AC26" s="34">
        <f>Elect!BH28</f>
        <v>0</v>
      </c>
      <c r="AD26" s="34">
        <f>Elect!BN28</f>
        <v>205.90644880000002</v>
      </c>
      <c r="AE26" s="34">
        <f>Elect!BQ28</f>
        <v>1.2709999999999999</v>
      </c>
      <c r="AF26" s="36">
        <f>('Wtr-Gas'!E28)*0.0038</f>
        <v>2151.94</v>
      </c>
      <c r="AG26" s="36">
        <f>('Wtr-Gas'!H28)*0.0038</f>
        <v>127.756</v>
      </c>
      <c r="AH26" s="36">
        <f>'Wtr-Gas'!K28*0.0038</f>
        <v>0</v>
      </c>
      <c r="AI26" s="36">
        <f>'Wtr-Gas'!N28*0.0038</f>
        <v>1010.8</v>
      </c>
      <c r="AJ26" s="36">
        <f>'Wtr-Gas'!Q28*0.0038</f>
        <v>0</v>
      </c>
      <c r="AK26" s="39">
        <f>'Wtr-Gas'!U28*0.0038</f>
        <v>177.84</v>
      </c>
      <c r="AL26" s="39">
        <f>'Wtr-Gas'!X28*0.0038</f>
        <v>17.48</v>
      </c>
      <c r="AM26" s="36">
        <f>'Wtr-Gas'!AB28*0.0038</f>
        <v>6080</v>
      </c>
      <c r="AN26" s="36">
        <f>'Wtr-Gas'!AD28*0.0038</f>
        <v>1333.90146</v>
      </c>
      <c r="AO26" s="36">
        <f>'Wtr-Gas'!AF28*0.0038</f>
        <v>0.56999999999999995</v>
      </c>
      <c r="AP26" s="36">
        <f>'Wtr-Gas'!AH28*0.0038</f>
        <v>568.55600000000004</v>
      </c>
      <c r="AQ26" s="36">
        <f>'Wtr-Gas'!AJ28*0.0038</f>
        <v>25.866599999999998</v>
      </c>
      <c r="AR26" s="36">
        <f>'Wtr-Gas'!AL28*0.0038</f>
        <v>0</v>
      </c>
      <c r="AS26" s="36">
        <f>'Wtr-Gas'!AN28*0.0038</f>
        <v>0</v>
      </c>
      <c r="AT26" s="36">
        <f>'Wtr-Gas'!AP28*0.0038</f>
        <v>15.2</v>
      </c>
      <c r="AU26" s="39">
        <f>'Wtr-Gas'!AT28*0.0038</f>
        <v>0.2432</v>
      </c>
      <c r="AV26" s="36">
        <f>'Wtr-Gas'!AW28*0.0038</f>
        <v>272.39159999999998</v>
      </c>
      <c r="AW26" s="37">
        <f>'Wtr-Gas'!AY28*0.0038</f>
        <v>241.64131599999999</v>
      </c>
      <c r="AX26" s="36">
        <f>'Wtr-Gas'!AZ28*0.0038</f>
        <v>30.750284000000001</v>
      </c>
      <c r="AY26" s="36">
        <f>'Wtr-Gas'!BB28*0.0038</f>
        <v>4.9400000000000004</v>
      </c>
      <c r="AZ26" s="36">
        <f>'Wtr-Gas'!BD28*0.0038</f>
        <v>1.52</v>
      </c>
      <c r="BA26" s="36">
        <f>'Wtr-Gas'!BF28*0.0038</f>
        <v>31.901</v>
      </c>
      <c r="BB26" s="191">
        <f>Elect!C28</f>
        <v>0</v>
      </c>
    </row>
    <row r="27" spans="1:54" x14ac:dyDescent="0.25">
      <c r="A27" s="3" t="s">
        <v>11</v>
      </c>
      <c r="B27" s="2">
        <v>8</v>
      </c>
      <c r="C27" s="2">
        <v>6</v>
      </c>
      <c r="D27" s="2">
        <v>2020</v>
      </c>
      <c r="E27" s="34">
        <f>Elect!AX29</f>
        <v>1800</v>
      </c>
      <c r="F27" s="34">
        <f>Elect!J29</f>
        <v>10251</v>
      </c>
      <c r="G27" s="34">
        <f>Elect!I29</f>
        <v>23840</v>
      </c>
      <c r="H27" s="34">
        <f>Elect!F29</f>
        <v>19360</v>
      </c>
      <c r="I27" s="34">
        <f>Elect!E29</f>
        <v>0.98199999999999998</v>
      </c>
      <c r="J27" s="34">
        <f>Elect!Z29</f>
        <v>1.54</v>
      </c>
      <c r="K27" s="34">
        <f>Elect!Y29</f>
        <v>16810</v>
      </c>
      <c r="L27" s="34">
        <f>Elect!AT29</f>
        <v>43990</v>
      </c>
      <c r="M27" s="34">
        <f>Elect!AS29</f>
        <v>0</v>
      </c>
      <c r="N27" s="34">
        <f>Elect!AD29</f>
        <v>800</v>
      </c>
      <c r="O27" s="34">
        <f>Elect!AC29</f>
        <v>0.69</v>
      </c>
      <c r="P27" s="34">
        <f>Elect!R29</f>
        <v>4400</v>
      </c>
      <c r="Q27" s="34">
        <f>Elect!Q29</f>
        <v>0.78</v>
      </c>
      <c r="R27" s="34">
        <f>Elect!N29</f>
        <v>0.81</v>
      </c>
      <c r="S27" s="34">
        <f>Elect!M29</f>
        <v>10132</v>
      </c>
      <c r="T27" s="34">
        <f>Elect!V29</f>
        <v>67748</v>
      </c>
      <c r="U27" s="34">
        <f>Elect!U29</f>
        <v>26100</v>
      </c>
      <c r="V27" s="34">
        <f>Elect!AH29</f>
        <v>16359</v>
      </c>
      <c r="W27" s="34">
        <f>Elect!AG29</f>
        <v>23000</v>
      </c>
      <c r="X27" s="34">
        <f>Elect!AL29</f>
        <v>68</v>
      </c>
      <c r="Y27" s="34">
        <f>Elect!AK29</f>
        <v>57082</v>
      </c>
      <c r="Z27" s="34">
        <f>Elect!AP29</f>
        <v>24000</v>
      </c>
      <c r="AA27" s="34">
        <f>Elect!AO29</f>
        <v>165508</v>
      </c>
      <c r="AB27" s="34">
        <f>Elect!BK29</f>
        <v>57082</v>
      </c>
      <c r="AC27" s="34">
        <f>Elect!BH29</f>
        <v>0</v>
      </c>
      <c r="AD27" s="34">
        <f>Elect!BN29</f>
        <v>0</v>
      </c>
      <c r="AE27" s="34">
        <f>Elect!BQ29</f>
        <v>0</v>
      </c>
      <c r="AF27" s="36">
        <f>('Wtr-Gas'!E29)*0.0038</f>
        <v>1380.692</v>
      </c>
      <c r="AG27" s="36">
        <f>('Wtr-Gas'!H29)*0.0038</f>
        <v>89.87</v>
      </c>
      <c r="AH27" s="36">
        <f>'Wtr-Gas'!K29*0.0038</f>
        <v>0</v>
      </c>
      <c r="AI27" s="36">
        <f>'Wtr-Gas'!N29*0.0038</f>
        <v>912</v>
      </c>
      <c r="AJ27" s="36">
        <f>'Wtr-Gas'!Q29*0.0038</f>
        <v>0</v>
      </c>
      <c r="AK27" s="39">
        <f>'Wtr-Gas'!U29*0.0038</f>
        <v>180.5</v>
      </c>
      <c r="AL27" s="39">
        <f>'Wtr-Gas'!X29*0.0038</f>
        <v>26.22</v>
      </c>
      <c r="AM27" s="36">
        <f>'Wtr-Gas'!AB29*0.0038</f>
        <v>5852</v>
      </c>
      <c r="AN27" s="36">
        <f>'Wtr-Gas'!AD29*0.0038</f>
        <v>1164.81324</v>
      </c>
      <c r="AO27" s="36">
        <f>'Wtr-Gas'!AF29*0.0038</f>
        <v>1.216</v>
      </c>
      <c r="AP27" s="36">
        <f>'Wtr-Gas'!AH29*0.0038</f>
        <v>270.52199999999999</v>
      </c>
      <c r="AQ27" s="36">
        <f>'Wtr-Gas'!AJ29*0.0038</f>
        <v>71.272800000000004</v>
      </c>
      <c r="AR27" s="36">
        <f>'Wtr-Gas'!AL29*0.0038</f>
        <v>0</v>
      </c>
      <c r="AS27" s="36">
        <f>'Wtr-Gas'!AN29*0.0038</f>
        <v>0</v>
      </c>
      <c r="AT27" s="36">
        <f>'Wtr-Gas'!AP29*0.0038</f>
        <v>11.78</v>
      </c>
      <c r="AU27" s="39">
        <f>'Wtr-Gas'!AT29*0.0038</f>
        <v>0.26219999999999999</v>
      </c>
      <c r="AV27" s="36">
        <f>'Wtr-Gas'!AW29*0.0038</f>
        <v>61.297800000000002</v>
      </c>
      <c r="AW27" s="37">
        <f>'Wtr-Gas'!AY29*0.0038</f>
        <v>240.68751599999999</v>
      </c>
      <c r="AX27" s="36">
        <f>'Wtr-Gas'!AZ29*0.0038</f>
        <v>-179.38971599999999</v>
      </c>
      <c r="AY27" s="36">
        <f>'Wtr-Gas'!BB29*0.0038</f>
        <v>4.5599999999999996</v>
      </c>
      <c r="AZ27" s="36">
        <f>'Wtr-Gas'!BD29*0.0038</f>
        <v>1.1399999999999999</v>
      </c>
      <c r="BA27" s="36">
        <f>'Wtr-Gas'!BF29*0.0038</f>
        <v>31.809799999999999</v>
      </c>
      <c r="BB27" s="191">
        <f>Elect!C29</f>
        <v>0</v>
      </c>
    </row>
    <row r="28" spans="1:54" x14ac:dyDescent="0.25">
      <c r="A28" s="3" t="s">
        <v>11</v>
      </c>
      <c r="B28" s="2">
        <v>15</v>
      </c>
      <c r="C28" s="2">
        <v>6</v>
      </c>
      <c r="D28" s="2">
        <v>2020</v>
      </c>
      <c r="E28" s="34">
        <f>Elect!AX30</f>
        <v>1900</v>
      </c>
      <c r="F28" s="34">
        <f>Elect!J30</f>
        <v>10262</v>
      </c>
      <c r="G28" s="34">
        <f>Elect!I30</f>
        <v>25440</v>
      </c>
      <c r="H28" s="34">
        <f>Elect!F30</f>
        <v>20480</v>
      </c>
      <c r="I28" s="34">
        <f>Elect!E30</f>
        <v>1.0589999999999999</v>
      </c>
      <c r="J28" s="34">
        <f>Elect!Z30</f>
        <v>1.79</v>
      </c>
      <c r="K28" s="34">
        <f>Elect!Y30</f>
        <v>16833</v>
      </c>
      <c r="L28" s="34">
        <f>Elect!AT30</f>
        <v>43997</v>
      </c>
      <c r="M28" s="34">
        <f>Elect!AS30</f>
        <v>0</v>
      </c>
      <c r="N28" s="34">
        <f>Elect!AD30</f>
        <v>800</v>
      </c>
      <c r="O28" s="34">
        <f>Elect!AC30</f>
        <v>0.77</v>
      </c>
      <c r="P28" s="34">
        <f>Elect!R30</f>
        <v>4400</v>
      </c>
      <c r="Q28" s="34">
        <f>Elect!Q30</f>
        <v>0.85</v>
      </c>
      <c r="R28" s="34">
        <f>Elect!N30</f>
        <v>0.81</v>
      </c>
      <c r="S28" s="34">
        <f>Elect!M30</f>
        <v>10144</v>
      </c>
      <c r="T28" s="34">
        <f>Elect!V30</f>
        <v>67865</v>
      </c>
      <c r="U28" s="34">
        <f>Elect!U30</f>
        <v>55500</v>
      </c>
      <c r="V28" s="34">
        <f>Elect!AH30</f>
        <v>16386</v>
      </c>
      <c r="W28" s="34">
        <f>Elect!AG30</f>
        <v>24600</v>
      </c>
      <c r="X28" s="34">
        <f>Elect!AL30</f>
        <v>345</v>
      </c>
      <c r="Y28" s="34">
        <f>Elect!AK30</f>
        <v>57427</v>
      </c>
      <c r="Z28" s="34">
        <f>Elect!AP30</f>
        <v>25680</v>
      </c>
      <c r="AA28" s="34">
        <f>Elect!AO30</f>
        <v>180625</v>
      </c>
      <c r="AB28" s="34">
        <f>Elect!BK30</f>
        <v>57427</v>
      </c>
      <c r="AC28" s="34">
        <f>Elect!BH30</f>
        <v>0</v>
      </c>
      <c r="AD28" s="34">
        <f>Elect!BN30</f>
        <v>0</v>
      </c>
      <c r="AE28" s="34">
        <f>Elect!BQ30</f>
        <v>0</v>
      </c>
      <c r="AF28" s="36">
        <f>('Wtr-Gas'!E30)*0.0038</f>
        <v>1195.6320000000001</v>
      </c>
      <c r="AG28" s="36">
        <f>('Wtr-Gas'!H30)*0.0038</f>
        <v>46.36</v>
      </c>
      <c r="AH28" s="36">
        <f>'Wtr-Gas'!K30*0.0038</f>
        <v>0</v>
      </c>
      <c r="AI28" s="36">
        <f>'Wtr-Gas'!N30*0.0038</f>
        <v>885.4</v>
      </c>
      <c r="AJ28" s="36">
        <f>'Wtr-Gas'!Q30*0.0038</f>
        <v>0</v>
      </c>
      <c r="AK28" s="39">
        <f>'Wtr-Gas'!U30*0.0038</f>
        <v>188.86</v>
      </c>
      <c r="AL28" s="39">
        <f>'Wtr-Gas'!X30*0.0038</f>
        <v>27.74</v>
      </c>
      <c r="AM28" s="36">
        <f>'Wtr-Gas'!AB30*0.0038</f>
        <v>7030</v>
      </c>
      <c r="AN28" s="36">
        <f>'Wtr-Gas'!AD30*0.0038</f>
        <v>1482.1185600000001</v>
      </c>
      <c r="AO28" s="36">
        <f>'Wtr-Gas'!AF30*0.0038</f>
        <v>2.3180000000000001</v>
      </c>
      <c r="AP28" s="36">
        <f>'Wtr-Gas'!AH30*0.0038</f>
        <v>104.956</v>
      </c>
      <c r="AQ28" s="36">
        <f>'Wtr-Gas'!AJ30*0.0038</f>
        <v>21.416799999999999</v>
      </c>
      <c r="AR28" s="36">
        <f>'Wtr-Gas'!AL30*0.0038</f>
        <v>0</v>
      </c>
      <c r="AS28" s="36">
        <f>'Wtr-Gas'!AN30*0.0038</f>
        <v>0</v>
      </c>
      <c r="AT28" s="36">
        <f>'Wtr-Gas'!AP30*0.0038</f>
        <v>1.52</v>
      </c>
      <c r="AU28" s="39">
        <f>'Wtr-Gas'!AT30*0.0038</f>
        <v>0.2394</v>
      </c>
      <c r="AV28" s="36">
        <f>'Wtr-Gas'!AW30*0.0038</f>
        <v>326.0172</v>
      </c>
      <c r="AW28" s="37">
        <f>'Wtr-Gas'!AY30*0.0038</f>
        <v>70.206178000000008</v>
      </c>
      <c r="AX28" s="36">
        <f>'Wtr-Gas'!AZ30*0.0038</f>
        <v>255.81102200000001</v>
      </c>
      <c r="AY28" s="36">
        <f>'Wtr-Gas'!BB30*0.0038</f>
        <v>11.4</v>
      </c>
      <c r="AZ28" s="36">
        <f>'Wtr-Gas'!BD30*0.0038</f>
        <v>1.1399999999999999</v>
      </c>
      <c r="BA28" s="36">
        <f>'Wtr-Gas'!BF30*0.0038</f>
        <v>30.8978</v>
      </c>
      <c r="BB28" s="191">
        <f>Elect!C30</f>
        <v>0</v>
      </c>
    </row>
    <row r="29" spans="1:54" x14ac:dyDescent="0.25">
      <c r="A29" s="3" t="s">
        <v>11</v>
      </c>
      <c r="B29" s="2">
        <v>22</v>
      </c>
      <c r="C29" s="2">
        <v>6</v>
      </c>
      <c r="D29" s="2">
        <v>2020</v>
      </c>
      <c r="E29" s="34">
        <f>Elect!AX31</f>
        <v>1900</v>
      </c>
      <c r="F29" s="34">
        <f>Elect!J31</f>
        <v>10281</v>
      </c>
      <c r="G29" s="34">
        <f>Elect!I31</f>
        <v>30880</v>
      </c>
      <c r="H29" s="34">
        <f>Elect!F31</f>
        <v>26720</v>
      </c>
      <c r="I29" s="34">
        <f>Elect!E31</f>
        <v>1.125</v>
      </c>
      <c r="J29" s="34">
        <f>Elect!Z31</f>
        <v>1.99</v>
      </c>
      <c r="K29" s="34">
        <f>Elect!Y31</f>
        <v>16861</v>
      </c>
      <c r="L29" s="34">
        <f>Elect!AT31</f>
        <v>44004</v>
      </c>
      <c r="M29" s="34">
        <f>Elect!AS31</f>
        <v>0</v>
      </c>
      <c r="N29" s="34">
        <f>Elect!AD31</f>
        <v>1280</v>
      </c>
      <c r="O29" s="34">
        <f>Elect!AC31</f>
        <v>1.27</v>
      </c>
      <c r="P29" s="34">
        <f>Elect!R31</f>
        <v>7200</v>
      </c>
      <c r="Q29" s="34">
        <f>Elect!Q31</f>
        <v>1.42</v>
      </c>
      <c r="R29" s="34">
        <f>Elect!N31</f>
        <v>1.65</v>
      </c>
      <c r="S29" s="34">
        <f>Elect!M31</f>
        <v>10164</v>
      </c>
      <c r="T29" s="34">
        <f>Elect!V31</f>
        <v>68036</v>
      </c>
      <c r="U29" s="34">
        <f>Elect!U31</f>
        <v>64500</v>
      </c>
      <c r="V29" s="34">
        <f>Elect!AH31</f>
        <v>16421</v>
      </c>
      <c r="W29" s="34">
        <f>Elect!AG31</f>
        <v>28400</v>
      </c>
      <c r="X29" s="34">
        <f>Elect!AL31</f>
        <v>249</v>
      </c>
      <c r="Y29" s="34">
        <f>Elect!AK31</f>
        <v>57676</v>
      </c>
      <c r="Z29" s="34">
        <f>Elect!AP31</f>
        <v>29800</v>
      </c>
      <c r="AA29" s="34">
        <f>Elect!AO31</f>
        <v>232009</v>
      </c>
      <c r="AB29" s="34">
        <f>Elect!BK31</f>
        <v>57676</v>
      </c>
      <c r="AC29" s="34">
        <f>Elect!BH31</f>
        <v>0</v>
      </c>
      <c r="AD29" s="34">
        <f>Elect!BN31</f>
        <v>0</v>
      </c>
      <c r="AE29" s="34">
        <f>Elect!BQ31</f>
        <v>0</v>
      </c>
      <c r="AF29" s="36">
        <f>('Wtr-Gas'!E31)*0.0038</f>
        <v>2120.2860000000001</v>
      </c>
      <c r="AG29" s="36">
        <f>('Wtr-Gas'!H31)*0.0038</f>
        <v>615.41</v>
      </c>
      <c r="AH29" s="36">
        <f>'Wtr-Gas'!K31*0.0038</f>
        <v>0</v>
      </c>
      <c r="AI29" s="36">
        <f>'Wtr-Gas'!N31*0.0038</f>
        <v>1417.4</v>
      </c>
      <c r="AJ29" s="36">
        <f>'Wtr-Gas'!Q31*0.0038</f>
        <v>0</v>
      </c>
      <c r="AK29" s="39">
        <f>'Wtr-Gas'!U31*0.0038</f>
        <v>235.6</v>
      </c>
      <c r="AL29" s="39">
        <f>'Wtr-Gas'!X31*0.0038</f>
        <v>44.84</v>
      </c>
      <c r="AM29" s="36">
        <f>'Wtr-Gas'!AB31*0.0038</f>
        <v>9120</v>
      </c>
      <c r="AN29" s="36">
        <f>'Wtr-Gas'!AD31*0.0038</f>
        <v>1860.1372400000002</v>
      </c>
      <c r="AO29" s="36">
        <f>'Wtr-Gas'!AF31*0.0038</f>
        <v>1.8240000000000001</v>
      </c>
      <c r="AP29" s="36">
        <f>'Wtr-Gas'!AH31*0.0038</f>
        <v>362.74799999999999</v>
      </c>
      <c r="AQ29" s="36">
        <f>'Wtr-Gas'!AJ31*0.0038</f>
        <v>47.693800000000003</v>
      </c>
      <c r="AR29" s="36">
        <f>'Wtr-Gas'!AL31*0.0038</f>
        <v>11.4</v>
      </c>
      <c r="AS29" s="36">
        <f>'Wtr-Gas'!AN31*0.0038</f>
        <v>0</v>
      </c>
      <c r="AT29" s="36">
        <f>'Wtr-Gas'!AP31*0.0038</f>
        <v>12.92</v>
      </c>
      <c r="AU29" s="39">
        <f>'Wtr-Gas'!AT31*0.0038</f>
        <v>0.25840000000000002</v>
      </c>
      <c r="AV29" s="36">
        <f>'Wtr-Gas'!AW31*0.0038</f>
        <v>28.7394</v>
      </c>
      <c r="AW29" s="37">
        <f>'Wtr-Gas'!AY31*0.0038</f>
        <v>-2.2799999999999999E-4</v>
      </c>
      <c r="AX29" s="36">
        <f>'Wtr-Gas'!AZ31*0.0038</f>
        <v>28.739628</v>
      </c>
      <c r="AY29" s="36">
        <f>'Wtr-Gas'!BB31*0.0038</f>
        <v>15.2</v>
      </c>
      <c r="AZ29" s="36">
        <f>'Wtr-Gas'!BD31*0.0038</f>
        <v>1.52</v>
      </c>
      <c r="BA29" s="36">
        <f>'Wtr-Gas'!BF31*0.0038</f>
        <v>333.22199999999998</v>
      </c>
      <c r="BB29" s="191">
        <f>Elect!C31</f>
        <v>0</v>
      </c>
    </row>
    <row r="30" spans="1:54" x14ac:dyDescent="0.25">
      <c r="A30" s="3" t="s">
        <v>11</v>
      </c>
      <c r="B30" s="2">
        <v>29</v>
      </c>
      <c r="C30" s="2">
        <v>6</v>
      </c>
      <c r="D30" s="2">
        <v>2020</v>
      </c>
      <c r="E30" s="34">
        <f>Elect!AX32</f>
        <v>1900</v>
      </c>
      <c r="F30" s="34">
        <f>Elect!J32</f>
        <v>10298</v>
      </c>
      <c r="G30" s="34">
        <f>Elect!I32</f>
        <v>27040</v>
      </c>
      <c r="H30" s="34">
        <f>Elect!F32</f>
        <v>27040</v>
      </c>
      <c r="I30" s="34">
        <f>Elect!E32</f>
        <v>1.5349999999999999</v>
      </c>
      <c r="J30" s="34">
        <f>Elect!Z32</f>
        <v>2.5299999999999998</v>
      </c>
      <c r="K30" s="34">
        <f>Elect!Y32</f>
        <v>16890</v>
      </c>
      <c r="L30" s="34">
        <f>Elect!AT32</f>
        <v>44011</v>
      </c>
      <c r="M30" s="34">
        <f>Elect!AS32</f>
        <v>0</v>
      </c>
      <c r="N30" s="34">
        <f>Elect!AD32</f>
        <v>1760</v>
      </c>
      <c r="O30" s="34">
        <f>Elect!AC32</f>
        <v>1.37</v>
      </c>
      <c r="P30" s="34">
        <f>Elect!R32</f>
        <v>6800</v>
      </c>
      <c r="Q30" s="34">
        <f>Elect!Q32</f>
        <v>1.42</v>
      </c>
      <c r="R30" s="34">
        <f>Elect!N32</f>
        <v>1.63</v>
      </c>
      <c r="S30" s="34">
        <f>Elect!M32</f>
        <v>10181</v>
      </c>
      <c r="T30" s="34">
        <f>Elect!V32</f>
        <v>68245</v>
      </c>
      <c r="U30" s="34">
        <f>Elect!U32</f>
        <v>53100</v>
      </c>
      <c r="V30" s="34">
        <f>Elect!AH32</f>
        <v>16451</v>
      </c>
      <c r="W30" s="34">
        <f>Elect!AG32</f>
        <v>28600</v>
      </c>
      <c r="X30" s="34">
        <f>Elect!AL32</f>
        <v>232</v>
      </c>
      <c r="Y30" s="34">
        <f>Elect!AK32</f>
        <v>57908</v>
      </c>
      <c r="Z30" s="34">
        <f>Elect!AP32</f>
        <v>29800</v>
      </c>
      <c r="AA30" s="34">
        <f>Elect!AO32</f>
        <v>226712</v>
      </c>
      <c r="AB30" s="34">
        <f>Elect!BK32</f>
        <v>57908</v>
      </c>
      <c r="AC30" s="34">
        <f>Elect!BH32</f>
        <v>0</v>
      </c>
      <c r="AD30" s="34">
        <f>Elect!BN32</f>
        <v>0</v>
      </c>
      <c r="AE30" s="34">
        <f>Elect!BQ32</f>
        <v>0</v>
      </c>
      <c r="AF30" s="36">
        <f>('Wtr-Gas'!E32)*0.0038</f>
        <v>2663.002</v>
      </c>
      <c r="AG30" s="36">
        <f>('Wtr-Gas'!H32)*0.0038</f>
        <v>430.654</v>
      </c>
      <c r="AH30" s="36">
        <f>'Wtr-Gas'!K32*0.0038</f>
        <v>0.45600000000000002</v>
      </c>
      <c r="AI30" s="36">
        <f>'Wtr-Gas'!N32*0.0038</f>
        <v>1645.4</v>
      </c>
      <c r="AJ30" s="36">
        <f>'Wtr-Gas'!Q32*0.0038</f>
        <v>0.49020000000000002</v>
      </c>
      <c r="AK30" s="39">
        <f>'Wtr-Gas'!U32*0.0038</f>
        <v>416.86</v>
      </c>
      <c r="AL30" s="39">
        <f>'Wtr-Gas'!X32*0.0038</f>
        <v>98.8</v>
      </c>
      <c r="AM30" s="36">
        <f>'Wtr-Gas'!AB32*0.0038</f>
        <v>8892</v>
      </c>
      <c r="AN30" s="36">
        <f>'Wtr-Gas'!AD32*0.0038</f>
        <v>1940.432</v>
      </c>
      <c r="AO30" s="36">
        <f>'Wtr-Gas'!AF32*0.0038</f>
        <v>5.2060000000000004</v>
      </c>
      <c r="AP30" s="36">
        <f>'Wtr-Gas'!AH32*0.0038</f>
        <v>658.42600000000004</v>
      </c>
      <c r="AQ30" s="36">
        <f>'Wtr-Gas'!AJ32*0.0038</f>
        <v>20.227399999999999</v>
      </c>
      <c r="AR30" s="36">
        <f>'Wtr-Gas'!AL32*0.0038</f>
        <v>49.4</v>
      </c>
      <c r="AS30" s="36">
        <f>'Wtr-Gas'!AN32*0.0038</f>
        <v>0</v>
      </c>
      <c r="AT30" s="36">
        <f>'Wtr-Gas'!AP32*0.0038</f>
        <v>7.22</v>
      </c>
      <c r="AU30" s="39">
        <f>'Wtr-Gas'!AT32*0.0038</f>
        <v>0.2014</v>
      </c>
      <c r="AV30" s="36">
        <f>'Wtr-Gas'!AW32*0.0038</f>
        <v>24.434000000000001</v>
      </c>
      <c r="AW30" s="37">
        <f>'Wtr-Gas'!AY32*0.0038</f>
        <v>1.4059999999999999E-3</v>
      </c>
      <c r="AX30" s="36">
        <f>'Wtr-Gas'!AZ32*0.0038</f>
        <v>24.432594000000002</v>
      </c>
      <c r="AY30" s="36">
        <f>'Wtr-Gas'!BB32*0.0038</f>
        <v>7.6</v>
      </c>
      <c r="AZ30" s="36">
        <f>'Wtr-Gas'!BD32*0.0038</f>
        <v>1.52</v>
      </c>
      <c r="BA30" s="36">
        <f>'Wtr-Gas'!BF32*0.0038</f>
        <v>1142.9032</v>
      </c>
      <c r="BB30" s="191">
        <f>Elect!C32</f>
        <v>0</v>
      </c>
    </row>
    <row r="31" spans="1:54" x14ac:dyDescent="0.25">
      <c r="A31" s="3" t="s">
        <v>11</v>
      </c>
      <c r="B31" s="2">
        <v>1</v>
      </c>
      <c r="C31" s="2">
        <v>7</v>
      </c>
      <c r="D31" s="2">
        <v>2020</v>
      </c>
      <c r="E31" s="34">
        <f>Elect!AX33</f>
        <v>700</v>
      </c>
      <c r="F31" s="34">
        <f>Elect!J33</f>
        <v>10302</v>
      </c>
      <c r="G31" s="34">
        <f>Elect!I33</f>
        <v>10720</v>
      </c>
      <c r="H31" s="34">
        <f>Elect!F33</f>
        <v>8320</v>
      </c>
      <c r="I31" s="34">
        <f>Elect!E33</f>
        <v>1.611</v>
      </c>
      <c r="J31" s="34">
        <f>Elect!Z33</f>
        <v>2.67</v>
      </c>
      <c r="K31" s="34">
        <f>Elect!Y33</f>
        <v>16899</v>
      </c>
      <c r="L31" s="34">
        <f>Elect!AT33</f>
        <v>44013</v>
      </c>
      <c r="M31" s="34">
        <f>Elect!AS33</f>
        <v>0</v>
      </c>
      <c r="N31" s="34">
        <f>Elect!AD33</f>
        <v>640</v>
      </c>
      <c r="O31" s="34">
        <f>Elect!AC33</f>
        <v>2.44</v>
      </c>
      <c r="P31" s="34">
        <f>Elect!R33</f>
        <v>2000</v>
      </c>
      <c r="Q31" s="34">
        <f>Elect!Q33</f>
        <v>1.42</v>
      </c>
      <c r="R31" s="34">
        <f>Elect!N33</f>
        <v>1.65</v>
      </c>
      <c r="S31" s="34">
        <f>Elect!M33</f>
        <v>10185</v>
      </c>
      <c r="T31" s="34">
        <f>Elect!V33</f>
        <v>68294</v>
      </c>
      <c r="U31" s="34">
        <f>Elect!U33</f>
        <v>20100</v>
      </c>
      <c r="V31" s="34">
        <f>Elect!AH33</f>
        <v>16459</v>
      </c>
      <c r="W31" s="34">
        <f>Elect!AG33</f>
        <v>12800</v>
      </c>
      <c r="X31" s="34">
        <f>Elect!AL33</f>
        <v>54</v>
      </c>
      <c r="Y31" s="34">
        <f>Elect!AK33</f>
        <v>57962</v>
      </c>
      <c r="Z31" s="34">
        <f>Elect!AP33</f>
        <v>13120</v>
      </c>
      <c r="AA31" s="34">
        <f>Elect!AO33</f>
        <v>74294</v>
      </c>
      <c r="AB31" s="34">
        <f>Elect!BK33</f>
        <v>57962</v>
      </c>
      <c r="AC31" s="34">
        <f>Elect!BH33</f>
        <v>0</v>
      </c>
      <c r="AD31" s="34">
        <f>Elect!BN33</f>
        <v>146.9266796</v>
      </c>
      <c r="AE31" s="34">
        <f>Elect!BQ33</f>
        <v>1.407</v>
      </c>
      <c r="AF31" s="36">
        <f>('Wtr-Gas'!E33)*0.0038</f>
        <v>690.84</v>
      </c>
      <c r="AG31" s="36">
        <f>('Wtr-Gas'!H33)*0.0038</f>
        <v>378.86</v>
      </c>
      <c r="AH31" s="36">
        <f>'Wtr-Gas'!K33*0.0038</f>
        <v>0.49399999999999999</v>
      </c>
      <c r="AI31" s="36">
        <f>'Wtr-Gas'!N33*0.0038</f>
        <v>440.8</v>
      </c>
      <c r="AJ31" s="36">
        <f>'Wtr-Gas'!Q33*0.0038</f>
        <v>15.58</v>
      </c>
      <c r="AK31" s="39">
        <f>'Wtr-Gas'!U33*0.0038</f>
        <v>79.8</v>
      </c>
      <c r="AL31" s="39">
        <f>'Wtr-Gas'!X33*0.0038</f>
        <v>41.8</v>
      </c>
      <c r="AM31" s="36">
        <f>'Wtr-Gas'!AB33*0.0038</f>
        <v>2622</v>
      </c>
      <c r="AN31" s="36">
        <f>'Wtr-Gas'!AD33*0.0038</f>
        <v>515.16600000000005</v>
      </c>
      <c r="AO31" s="36">
        <f>'Wtr-Gas'!AF33*0.0038</f>
        <v>0.64600000000000002</v>
      </c>
      <c r="AP31" s="36">
        <f>'Wtr-Gas'!AH33*0.0038</f>
        <v>194.71199999999999</v>
      </c>
      <c r="AQ31" s="36">
        <f>'Wtr-Gas'!AJ33*0.0038</f>
        <v>8.7514000000000003</v>
      </c>
      <c r="AR31" s="36">
        <f>'Wtr-Gas'!AL33*0.0038</f>
        <v>0</v>
      </c>
      <c r="AS31" s="36">
        <f>'Wtr-Gas'!AN33*0.0038</f>
        <v>0</v>
      </c>
      <c r="AT31" s="36">
        <f>'Wtr-Gas'!AP33*0.0038</f>
        <v>0</v>
      </c>
      <c r="AU31" s="39">
        <f>'Wtr-Gas'!AT33*0.0038</f>
        <v>4.9399999999999999E-2</v>
      </c>
      <c r="AV31" s="36">
        <f>'Wtr-Gas'!AW33*0.0038</f>
        <v>6.0002000000000004</v>
      </c>
      <c r="AW31" s="37">
        <f>'Wtr-Gas'!AY33*0.0038</f>
        <v>-5.6999999999999998E-4</v>
      </c>
      <c r="AX31" s="36">
        <f>'Wtr-Gas'!AZ33*0.0038</f>
        <v>6.0007700000000002</v>
      </c>
      <c r="AY31" s="36">
        <f>'Wtr-Gas'!BB33*0.0038</f>
        <v>6.46</v>
      </c>
      <c r="AZ31" s="36">
        <f>'Wtr-Gas'!BD33*0.0038</f>
        <v>0.38</v>
      </c>
      <c r="BA31" s="36">
        <f>'Wtr-Gas'!BF33*0.0038</f>
        <v>634.67600000000004</v>
      </c>
      <c r="BB31" s="191">
        <f>Elect!C33</f>
        <v>79</v>
      </c>
    </row>
    <row r="32" spans="1:54" x14ac:dyDescent="0.25">
      <c r="A32" s="3" t="s">
        <v>11</v>
      </c>
      <c r="B32" s="2">
        <v>6</v>
      </c>
      <c r="C32" s="2">
        <v>7</v>
      </c>
      <c r="D32" s="2">
        <v>2020</v>
      </c>
      <c r="E32" s="34">
        <f>Elect!AX34</f>
        <v>1400</v>
      </c>
      <c r="F32" s="34">
        <f>Elect!J34</f>
        <v>10317</v>
      </c>
      <c r="G32" s="34">
        <f>Elect!I34</f>
        <v>31840</v>
      </c>
      <c r="H32" s="34">
        <f>Elect!F34</f>
        <v>28320</v>
      </c>
      <c r="I32" s="34">
        <f>Elect!E34</f>
        <v>1.889</v>
      </c>
      <c r="J32" s="34">
        <f>Elect!Z34</f>
        <v>2.87</v>
      </c>
      <c r="K32" s="34">
        <f>Elect!Y34</f>
        <v>16928</v>
      </c>
      <c r="L32" s="34">
        <f>Elect!AT34</f>
        <v>44018</v>
      </c>
      <c r="M32" s="34">
        <f>Elect!AS34</f>
        <v>0</v>
      </c>
      <c r="N32" s="34">
        <f>Elect!AD34</f>
        <v>1920</v>
      </c>
      <c r="O32" s="34">
        <f>Elect!AC34</f>
        <v>2.44</v>
      </c>
      <c r="P32" s="34">
        <f>Elect!R34</f>
        <v>6400</v>
      </c>
      <c r="Q32" s="34">
        <f>Elect!Q34</f>
        <v>1.72</v>
      </c>
      <c r="R32" s="34">
        <f>Elect!N34</f>
        <v>1.9</v>
      </c>
      <c r="S32" s="34">
        <f>Elect!M34</f>
        <v>10202</v>
      </c>
      <c r="T32" s="34">
        <f>Elect!V34</f>
        <v>68451</v>
      </c>
      <c r="U32" s="34">
        <f>Elect!U34</f>
        <v>54900</v>
      </c>
      <c r="V32" s="34">
        <f>Elect!AH34</f>
        <v>16491</v>
      </c>
      <c r="W32" s="34">
        <f>Elect!AG34</f>
        <v>38200</v>
      </c>
      <c r="X32" s="34">
        <f>Elect!AL34</f>
        <v>285</v>
      </c>
      <c r="Y32" s="34">
        <f>Elect!AK34</f>
        <v>58247</v>
      </c>
      <c r="Z32" s="34">
        <f>Elect!AP34</f>
        <v>39480</v>
      </c>
      <c r="AA32" s="34">
        <f>Elect!AO34</f>
        <v>227685</v>
      </c>
      <c r="AB32" s="34">
        <f>Elect!BK34</f>
        <v>58247</v>
      </c>
      <c r="AC32" s="34">
        <f>Elect!BH34</f>
        <v>0</v>
      </c>
      <c r="AD32" s="34">
        <f>Elect!BN34</f>
        <v>0</v>
      </c>
      <c r="AE32" s="34">
        <f>Elect!BQ34</f>
        <v>0</v>
      </c>
      <c r="AF32" s="36">
        <f>('Wtr-Gas'!E34)*0.0038</f>
        <v>2598.63</v>
      </c>
      <c r="AG32" s="36">
        <f>('Wtr-Gas'!H34)*0.0038</f>
        <v>142.72800000000001</v>
      </c>
      <c r="AH32" s="36">
        <f>'Wtr-Gas'!K34*0.0038</f>
        <v>0.56999999999999995</v>
      </c>
      <c r="AI32" s="36">
        <f>'Wtr-Gas'!N34*0.0038</f>
        <v>1972.2</v>
      </c>
      <c r="AJ32" s="36">
        <f>'Wtr-Gas'!Q34*0.0038</f>
        <v>25.84</v>
      </c>
      <c r="AK32" s="39">
        <f>'Wtr-Gas'!U34*0.0038</f>
        <v>473.1</v>
      </c>
      <c r="AL32" s="39">
        <f>'Wtr-Gas'!X34*0.0038</f>
        <v>513</v>
      </c>
      <c r="AM32" s="36">
        <f>'Wtr-Gas'!AB34*0.0038</f>
        <v>6954</v>
      </c>
      <c r="AN32" s="36">
        <f>'Wtr-Gas'!AD34*0.0038</f>
        <v>1441.3779999999999</v>
      </c>
      <c r="AO32" s="36">
        <f>'Wtr-Gas'!AF34*0.0038</f>
        <v>0.98799999999999999</v>
      </c>
      <c r="AP32" s="36">
        <f>'Wtr-Gas'!AH34*0.0038</f>
        <v>242.78200000000001</v>
      </c>
      <c r="AQ32" s="36">
        <f>'Wtr-Gas'!AJ34*0.0038</f>
        <v>10.7844</v>
      </c>
      <c r="AR32" s="36">
        <f>'Wtr-Gas'!AL34*0.0038</f>
        <v>22.8</v>
      </c>
      <c r="AS32" s="36">
        <f>'Wtr-Gas'!AN34*0.0038</f>
        <v>0</v>
      </c>
      <c r="AT32" s="36">
        <f>'Wtr-Gas'!AP34*0.0038</f>
        <v>3.8</v>
      </c>
      <c r="AU32" s="39">
        <f>'Wtr-Gas'!AT34*0.0038</f>
        <v>0.20899999999999999</v>
      </c>
      <c r="AV32" s="36">
        <f>'Wtr-Gas'!AW34*0.0038</f>
        <v>23.7804</v>
      </c>
      <c r="AW32" s="37">
        <f>'Wtr-Gas'!AY34*0.0038</f>
        <v>0</v>
      </c>
      <c r="AX32" s="36">
        <f>'Wtr-Gas'!AZ34*0.0038</f>
        <v>23.7804</v>
      </c>
      <c r="AY32" s="36">
        <f>'Wtr-Gas'!BB34*0.0038</f>
        <v>4.9400000000000004</v>
      </c>
      <c r="AZ32" s="36">
        <f>'Wtr-Gas'!BD34*0.0038</f>
        <v>1.1399999999999999</v>
      </c>
      <c r="BA32" s="36">
        <f>'Wtr-Gas'!BF34*0.0038</f>
        <v>286.65679999999998</v>
      </c>
      <c r="BB32" s="191">
        <f>Elect!C34</f>
        <v>707</v>
      </c>
    </row>
    <row r="33" spans="1:54" x14ac:dyDescent="0.25">
      <c r="A33" s="3" t="s">
        <v>11</v>
      </c>
      <c r="B33" s="2">
        <v>13</v>
      </c>
      <c r="C33" s="2">
        <v>7</v>
      </c>
      <c r="D33" s="2">
        <v>2020</v>
      </c>
      <c r="E33" s="34">
        <f>Elect!AX35</f>
        <v>2000</v>
      </c>
      <c r="F33" s="34">
        <f>Elect!J35</f>
        <v>10335</v>
      </c>
      <c r="G33" s="34">
        <f>Elect!I35</f>
        <v>40000</v>
      </c>
      <c r="H33" s="34">
        <f>Elect!F35</f>
        <v>36640</v>
      </c>
      <c r="I33" s="34">
        <f>Elect!E35</f>
        <v>1.889</v>
      </c>
      <c r="J33" s="34">
        <f>Elect!Z35</f>
        <v>2.87</v>
      </c>
      <c r="K33" s="34">
        <f>Elect!Y35</f>
        <v>16961</v>
      </c>
      <c r="L33" s="34">
        <f>Elect!AT35</f>
        <v>44025</v>
      </c>
      <c r="M33" s="34">
        <f>Elect!AS35</f>
        <v>0</v>
      </c>
      <c r="N33" s="34">
        <f>Elect!AD35</f>
        <v>2400</v>
      </c>
      <c r="O33" s="34">
        <f>Elect!AC35</f>
        <v>2.44</v>
      </c>
      <c r="P33" s="34">
        <f>Elect!R35</f>
        <v>6800</v>
      </c>
      <c r="Q33" s="34">
        <f>Elect!Q35</f>
        <v>1.72</v>
      </c>
      <c r="R33" s="34">
        <f>Elect!N35</f>
        <v>1.9</v>
      </c>
      <c r="S33" s="34">
        <f>Elect!M35</f>
        <v>10223</v>
      </c>
      <c r="T33" s="34">
        <f>Elect!V35</f>
        <v>68672</v>
      </c>
      <c r="U33" s="34">
        <f>Elect!U35</f>
        <v>64500</v>
      </c>
      <c r="V33" s="34">
        <f>Elect!AH35</f>
        <v>16527</v>
      </c>
      <c r="W33" s="34">
        <f>Elect!AG35</f>
        <v>50200</v>
      </c>
      <c r="X33" s="34">
        <f>Elect!AL35</f>
        <v>361</v>
      </c>
      <c r="Y33" s="34">
        <f>Elect!AK35</f>
        <v>58608</v>
      </c>
      <c r="Z33" s="34">
        <f>Elect!AP35</f>
        <v>51640</v>
      </c>
      <c r="AA33" s="34">
        <f>Elect!AO35</f>
        <v>289521</v>
      </c>
      <c r="AB33" s="34">
        <f>Elect!BK35</f>
        <v>58608</v>
      </c>
      <c r="AC33" s="34">
        <f>Elect!BH35</f>
        <v>0</v>
      </c>
      <c r="AD33" s="34">
        <f>Elect!BN35</f>
        <v>0</v>
      </c>
      <c r="AE33" s="34">
        <f>Elect!BQ35</f>
        <v>0</v>
      </c>
      <c r="AF33" s="36">
        <f>('Wtr-Gas'!E35)*0.0038</f>
        <v>2926.5320000000002</v>
      </c>
      <c r="AG33" s="36">
        <f>('Wtr-Gas'!H35)*0.0038</f>
        <v>290.09199999999998</v>
      </c>
      <c r="AH33" s="36">
        <f>'Wtr-Gas'!K35*0.0038</f>
        <v>0.152</v>
      </c>
      <c r="AI33" s="36">
        <f>'Wtr-Gas'!N35*0.0038</f>
        <v>2242</v>
      </c>
      <c r="AJ33" s="36">
        <f>'Wtr-Gas'!Q35*0.0038</f>
        <v>11.02</v>
      </c>
      <c r="AK33" s="39">
        <f>'Wtr-Gas'!U35*0.0038</f>
        <v>617.88</v>
      </c>
      <c r="AL33" s="39">
        <f>'Wtr-Gas'!X35*0.0038</f>
        <v>657.4</v>
      </c>
      <c r="AM33" s="36">
        <f>'Wtr-Gas'!AB35*0.0038</f>
        <v>9158</v>
      </c>
      <c r="AN33" s="36">
        <f>'Wtr-Gas'!AD35*0.0038</f>
        <v>2010.1202000000001</v>
      </c>
      <c r="AO33" s="36">
        <f>'Wtr-Gas'!AF35*0.0038</f>
        <v>0.49399999999999999</v>
      </c>
      <c r="AP33" s="36">
        <f>'Wtr-Gas'!AH35*0.0038</f>
        <v>350.96800000000002</v>
      </c>
      <c r="AQ33" s="36">
        <f>'Wtr-Gas'!AJ35*0.0038</f>
        <v>10.704599999999999</v>
      </c>
      <c r="AR33" s="36">
        <f>'Wtr-Gas'!AL35*0.0038</f>
        <v>34.200000000000003</v>
      </c>
      <c r="AS33" s="36">
        <f>'Wtr-Gas'!AN35*0.0038</f>
        <v>0</v>
      </c>
      <c r="AT33" s="36">
        <f>'Wtr-Gas'!AP35*0.0038</f>
        <v>11.4</v>
      </c>
      <c r="AU33" s="39">
        <f>'Wtr-Gas'!AT35*0.0038</f>
        <v>0.27360000000000001</v>
      </c>
      <c r="AV33" s="36">
        <f>'Wtr-Gas'!AW35*0.0038</f>
        <v>28.074400000000001</v>
      </c>
      <c r="AW33" s="37">
        <f>'Wtr-Gas'!AY35*0.0038</f>
        <v>-1.3679999999999999E-3</v>
      </c>
      <c r="AX33" s="36">
        <f>'Wtr-Gas'!AZ35*0.0038</f>
        <v>28.075768</v>
      </c>
      <c r="AY33" s="36">
        <f>'Wtr-Gas'!BB35*0.0038</f>
        <v>4.5599999999999996</v>
      </c>
      <c r="AZ33" s="36">
        <f>'Wtr-Gas'!BD35*0.0038</f>
        <v>1.52</v>
      </c>
      <c r="BA33" s="36">
        <f>'Wtr-Gas'!BF35*0.0038</f>
        <v>32.087200000000003</v>
      </c>
      <c r="BB33" s="191">
        <f>Elect!C35</f>
        <v>479</v>
      </c>
    </row>
    <row r="34" spans="1:54" x14ac:dyDescent="0.25">
      <c r="A34" s="3" t="s">
        <v>11</v>
      </c>
      <c r="B34" s="2">
        <v>20</v>
      </c>
      <c r="C34" s="2">
        <v>7</v>
      </c>
      <c r="D34" s="2">
        <v>2020</v>
      </c>
      <c r="E34" s="34">
        <f>Elect!AX36</f>
        <v>2100</v>
      </c>
      <c r="F34" s="34">
        <f>Elect!J36</f>
        <v>10353</v>
      </c>
      <c r="G34" s="34">
        <f>Elect!I36</f>
        <v>41440</v>
      </c>
      <c r="H34" s="34">
        <f>Elect!F36</f>
        <v>38560</v>
      </c>
      <c r="I34" s="34">
        <f>Elect!E36</f>
        <v>1.889</v>
      </c>
      <c r="J34" s="34">
        <f>Elect!Z36</f>
        <v>2.96</v>
      </c>
      <c r="K34" s="34">
        <f>Elect!Y36</f>
        <v>16996</v>
      </c>
      <c r="L34" s="34">
        <f>Elect!AT36</f>
        <v>44032</v>
      </c>
      <c r="M34" s="34">
        <f>Elect!AS36</f>
        <v>0</v>
      </c>
      <c r="N34" s="34">
        <f>Elect!AD36</f>
        <v>2720</v>
      </c>
      <c r="O34" s="34">
        <f>Elect!AC36</f>
        <v>2.44</v>
      </c>
      <c r="P34" s="34">
        <f>Elect!R36</f>
        <v>6400</v>
      </c>
      <c r="Q34" s="34">
        <f>Elect!Q36</f>
        <v>1.72</v>
      </c>
      <c r="R34" s="34">
        <f>Elect!N36</f>
        <v>1.9</v>
      </c>
      <c r="S34" s="34">
        <f>Elect!M36</f>
        <v>10245</v>
      </c>
      <c r="T34" s="34">
        <f>Elect!V36</f>
        <v>68938</v>
      </c>
      <c r="U34" s="34">
        <f>Elect!U36</f>
        <v>65100</v>
      </c>
      <c r="V34" s="34">
        <f>Elect!AH36</f>
        <v>16567</v>
      </c>
      <c r="W34" s="34">
        <f>Elect!AG36</f>
        <v>53600</v>
      </c>
      <c r="X34" s="34">
        <f>Elect!AL36</f>
        <v>387</v>
      </c>
      <c r="Y34" s="34">
        <f>Elect!AK36</f>
        <v>58995</v>
      </c>
      <c r="Z34" s="34">
        <f>Elect!AP36</f>
        <v>55200</v>
      </c>
      <c r="AA34" s="34">
        <f>Elect!AO36</f>
        <v>311207</v>
      </c>
      <c r="AB34" s="34">
        <f>Elect!BK36</f>
        <v>58995</v>
      </c>
      <c r="AC34" s="34">
        <f>Elect!BH36</f>
        <v>0</v>
      </c>
      <c r="AD34" s="34">
        <f>Elect!BN36</f>
        <v>0</v>
      </c>
      <c r="AE34" s="34">
        <f>Elect!BQ36</f>
        <v>0</v>
      </c>
      <c r="AF34" s="36">
        <f>('Wtr-Gas'!E36)*0.0038</f>
        <v>3493.0740000000001</v>
      </c>
      <c r="AG34" s="36">
        <f>('Wtr-Gas'!H36)*0.0038</f>
        <v>526.29999999999995</v>
      </c>
      <c r="AH34" s="36">
        <f>'Wtr-Gas'!K36*0.0038</f>
        <v>0.60799999999999998</v>
      </c>
      <c r="AI34" s="36">
        <f>'Wtr-Gas'!N36*0.0038</f>
        <v>2394</v>
      </c>
      <c r="AJ34" s="36">
        <f>'Wtr-Gas'!Q36*0.0038</f>
        <v>0</v>
      </c>
      <c r="AK34" s="39">
        <f>'Wtr-Gas'!U36*0.0038</f>
        <v>624.72</v>
      </c>
      <c r="AL34" s="39">
        <f>'Wtr-Gas'!X36*0.0038</f>
        <v>478.8</v>
      </c>
      <c r="AM34" s="36">
        <f>'Wtr-Gas'!AB36*0.0038</f>
        <v>10602</v>
      </c>
      <c r="AN34" s="36">
        <f>'Wtr-Gas'!AD36*0.0038</f>
        <v>2157.2638000000002</v>
      </c>
      <c r="AO34" s="36">
        <f>'Wtr-Gas'!AF36*0.0038</f>
        <v>3.2679999999999998</v>
      </c>
      <c r="AP34" s="36">
        <f>'Wtr-Gas'!AH36*0.0038</f>
        <v>478.19200000000001</v>
      </c>
      <c r="AQ34" s="36">
        <f>'Wtr-Gas'!AJ36*0.0038</f>
        <v>21.431999999999999</v>
      </c>
      <c r="AR34" s="36">
        <f>'Wtr-Gas'!AL36*0.0038</f>
        <v>224.2</v>
      </c>
      <c r="AS34" s="36">
        <f>'Wtr-Gas'!AN36*0.0038</f>
        <v>0</v>
      </c>
      <c r="AT34" s="36">
        <f>'Wtr-Gas'!AP36*0.0038</f>
        <v>30.4</v>
      </c>
      <c r="AU34" s="39">
        <f>'Wtr-Gas'!AT36*0.0038</f>
        <v>0.2394</v>
      </c>
      <c r="AV34" s="36">
        <f>'Wtr-Gas'!AW36*0.0038</f>
        <v>31.695799999999998</v>
      </c>
      <c r="AW34" s="37">
        <f>'Wtr-Gas'!AY36*0.0038</f>
        <v>-7.6000000000000004E-5</v>
      </c>
      <c r="AX34" s="36">
        <f>'Wtr-Gas'!AZ36*0.0038</f>
        <v>31.695876000000002</v>
      </c>
      <c r="AY34" s="36">
        <f>'Wtr-Gas'!BB36*0.0038</f>
        <v>7.6</v>
      </c>
      <c r="AZ34" s="36">
        <f>'Wtr-Gas'!BD36*0.0038</f>
        <v>3.04</v>
      </c>
      <c r="BA34" s="36">
        <f>'Wtr-Gas'!BF36*0.0038</f>
        <v>758.822</v>
      </c>
      <c r="BB34" s="191">
        <f>Elect!C36</f>
        <v>611</v>
      </c>
    </row>
    <row r="35" spans="1:54" x14ac:dyDescent="0.25">
      <c r="A35" s="3" t="s">
        <v>11</v>
      </c>
      <c r="B35" s="2">
        <v>27</v>
      </c>
      <c r="C35" s="2">
        <v>7</v>
      </c>
      <c r="D35" s="2">
        <v>2020</v>
      </c>
      <c r="E35" s="34">
        <f>Elect!AX37</f>
        <v>1800</v>
      </c>
      <c r="F35" s="34">
        <f>Elect!J37</f>
        <v>10371</v>
      </c>
      <c r="G35" s="34">
        <f>Elect!I37</f>
        <v>40800</v>
      </c>
      <c r="H35" s="34">
        <f>Elect!F37</f>
        <v>38240</v>
      </c>
      <c r="I35" s="34">
        <f>Elect!E37</f>
        <v>1.889</v>
      </c>
      <c r="J35" s="34">
        <f>Elect!Z37</f>
        <v>2.61</v>
      </c>
      <c r="K35" s="34">
        <f>Elect!Y37</f>
        <v>17030</v>
      </c>
      <c r="L35" s="34">
        <f>Elect!AT37</f>
        <v>44039</v>
      </c>
      <c r="M35" s="34">
        <f>Elect!AS37</f>
        <v>0</v>
      </c>
      <c r="N35" s="34">
        <f>Elect!AD37</f>
        <v>2400</v>
      </c>
      <c r="O35" s="34">
        <f>Elect!AC37</f>
        <v>1.58</v>
      </c>
      <c r="P35" s="34">
        <f>Elect!R37</f>
        <v>6800</v>
      </c>
      <c r="Q35" s="34">
        <f>Elect!Q37</f>
        <v>1.42</v>
      </c>
      <c r="R35" s="34">
        <f>Elect!N37</f>
        <v>1.7</v>
      </c>
      <c r="S35" s="34">
        <f>Elect!M37</f>
        <v>10267</v>
      </c>
      <c r="T35" s="34">
        <f>Elect!V37</f>
        <v>69166</v>
      </c>
      <c r="U35" s="34">
        <f>Elect!U37</f>
        <v>77400</v>
      </c>
      <c r="V35" s="34">
        <f>Elect!AH37</f>
        <v>16607</v>
      </c>
      <c r="W35" s="34">
        <f>Elect!AG37</f>
        <v>54400</v>
      </c>
      <c r="X35" s="34">
        <f>Elect!AL37</f>
        <v>405</v>
      </c>
      <c r="Y35" s="34">
        <f>Elect!AK37</f>
        <v>59400</v>
      </c>
      <c r="Z35" s="34">
        <f>Elect!AP37</f>
        <v>56000</v>
      </c>
      <c r="AA35" s="34">
        <f>Elect!AO37</f>
        <v>311885</v>
      </c>
      <c r="AB35" s="34">
        <f>Elect!BK37</f>
        <v>59400</v>
      </c>
      <c r="AC35" s="34">
        <f>Elect!BH37</f>
        <v>0</v>
      </c>
      <c r="AD35" s="34">
        <f>Elect!BN37</f>
        <v>0</v>
      </c>
      <c r="AE35" s="34">
        <f>Elect!BQ37</f>
        <v>0</v>
      </c>
      <c r="AF35" s="36">
        <f>('Wtr-Gas'!E37)*0.0038</f>
        <v>3356.92</v>
      </c>
      <c r="AG35" s="36">
        <f>('Wtr-Gas'!H37)*0.0038</f>
        <v>260.60399999999998</v>
      </c>
      <c r="AH35" s="36">
        <f>'Wtr-Gas'!K37*0.0038</f>
        <v>0.64600000000000002</v>
      </c>
      <c r="AI35" s="36">
        <f>'Wtr-Gas'!N37*0.0038</f>
        <v>2409.1999999999998</v>
      </c>
      <c r="AJ35" s="36">
        <f>'Wtr-Gas'!Q37*0.0038</f>
        <v>0</v>
      </c>
      <c r="AK35" s="39">
        <f>'Wtr-Gas'!U37*0.0038</f>
        <v>627.76</v>
      </c>
      <c r="AL35" s="39">
        <f>'Wtr-Gas'!X37*0.0038</f>
        <v>839.8</v>
      </c>
      <c r="AM35" s="36">
        <f>'Wtr-Gas'!AB37*0.0038</f>
        <v>10640</v>
      </c>
      <c r="AN35" s="36">
        <f>'Wtr-Gas'!AD37*0.0038</f>
        <v>2330.692</v>
      </c>
      <c r="AO35" s="36">
        <f>'Wtr-Gas'!AF37*0.0038</f>
        <v>159.41</v>
      </c>
      <c r="AP35" s="36">
        <f>'Wtr-Gas'!AH37*0.0038</f>
        <v>342.45600000000002</v>
      </c>
      <c r="AQ35" s="36">
        <f>'Wtr-Gas'!AJ37*0.0038</f>
        <v>43.8444</v>
      </c>
      <c r="AR35" s="36">
        <f>'Wtr-Gas'!AL37*0.0038</f>
        <v>30.4</v>
      </c>
      <c r="AS35" s="36">
        <f>'Wtr-Gas'!AN37*0.0038</f>
        <v>0</v>
      </c>
      <c r="AT35" s="36">
        <f>'Wtr-Gas'!AP37*0.0038</f>
        <v>44.84</v>
      </c>
      <c r="AU35" s="39">
        <f>'Wtr-Gas'!AT37*0.0038</f>
        <v>0.247</v>
      </c>
      <c r="AV35" s="36">
        <f>'Wtr-Gas'!AW37*0.0038</f>
        <v>24.3504</v>
      </c>
      <c r="AW35" s="37">
        <f>'Wtr-Gas'!AY37*0.0038</f>
        <v>-4.104E-3</v>
      </c>
      <c r="AX35" s="36">
        <f>'Wtr-Gas'!AZ37*0.0038</f>
        <v>24.354503999999999</v>
      </c>
      <c r="AY35" s="36">
        <f>'Wtr-Gas'!BB37*0.0038</f>
        <v>11.78</v>
      </c>
      <c r="AZ35" s="36">
        <f>'Wtr-Gas'!BD37*0.0038</f>
        <v>0</v>
      </c>
      <c r="BA35" s="36">
        <f>'Wtr-Gas'!BF37*0.0038</f>
        <v>175.8032</v>
      </c>
      <c r="BB35" s="191">
        <f>Elect!C37</f>
        <v>597</v>
      </c>
    </row>
    <row r="36" spans="1:54" x14ac:dyDescent="0.25">
      <c r="A36" s="3" t="s">
        <v>11</v>
      </c>
      <c r="B36" s="2">
        <v>1</v>
      </c>
      <c r="C36" s="2">
        <v>8</v>
      </c>
      <c r="D36" s="2">
        <v>2020</v>
      </c>
      <c r="E36" s="34">
        <f>Elect!AX38</f>
        <v>700</v>
      </c>
      <c r="F36" s="34">
        <f>Elect!J38</f>
        <v>10385</v>
      </c>
      <c r="G36" s="34">
        <f>Elect!I38</f>
        <v>31840</v>
      </c>
      <c r="H36" s="34">
        <f>Elect!F38</f>
        <v>29600</v>
      </c>
      <c r="I36" s="34">
        <f>Elect!E38</f>
        <v>1.9379999999999999</v>
      </c>
      <c r="J36" s="34">
        <f>Elect!Z38</f>
        <v>2.8</v>
      </c>
      <c r="K36" s="34">
        <f>Elect!Y38</f>
        <v>17058</v>
      </c>
      <c r="L36" s="34">
        <f>Elect!AT38</f>
        <v>44044</v>
      </c>
      <c r="M36" s="34">
        <f>Elect!AS38</f>
        <v>0</v>
      </c>
      <c r="N36" s="34">
        <f>Elect!AD38</f>
        <v>2080</v>
      </c>
      <c r="O36" s="34">
        <f>Elect!AC38</f>
        <v>1.59</v>
      </c>
      <c r="P36" s="34">
        <f>Elect!R38</f>
        <v>5600</v>
      </c>
      <c r="Q36" s="34">
        <f>Elect!Q38</f>
        <v>1.42</v>
      </c>
      <c r="R36" s="34">
        <f>Elect!N38</f>
        <v>1.7</v>
      </c>
      <c r="S36" s="34">
        <f>Elect!M38</f>
        <v>10284</v>
      </c>
      <c r="T36" s="34">
        <f>Elect!V38</f>
        <v>69343</v>
      </c>
      <c r="U36" s="34">
        <f>Elect!U38</f>
        <v>54600</v>
      </c>
      <c r="V36" s="34">
        <f>Elect!AH38</f>
        <v>16638</v>
      </c>
      <c r="W36" s="34">
        <f>Elect!AG38</f>
        <v>39600</v>
      </c>
      <c r="X36" s="34">
        <f>Elect!AL38</f>
        <v>324</v>
      </c>
      <c r="Y36" s="34">
        <f>Elect!AK38</f>
        <v>59724</v>
      </c>
      <c r="Z36" s="34">
        <f>Elect!AP38</f>
        <v>40840</v>
      </c>
      <c r="AA36" s="34">
        <f>Elect!AO38</f>
        <v>234864</v>
      </c>
      <c r="AB36" s="34">
        <f>Elect!BK38</f>
        <v>59724</v>
      </c>
      <c r="AC36" s="34">
        <f>Elect!BH38</f>
        <v>0</v>
      </c>
      <c r="AD36" s="34">
        <f>Elect!BN38</f>
        <v>232.02358999999998</v>
      </c>
      <c r="AE36" s="34">
        <f>Elect!BQ38</f>
        <v>2.052</v>
      </c>
      <c r="AF36" s="36">
        <f>('Wtr-Gas'!E38)*0.0038</f>
        <v>2447.3139999999999</v>
      </c>
      <c r="AG36" s="36">
        <f>('Wtr-Gas'!H38)*0.0038</f>
        <v>366.81400000000002</v>
      </c>
      <c r="AH36" s="36">
        <f>'Wtr-Gas'!K38*0.0038</f>
        <v>0.53200000000000003</v>
      </c>
      <c r="AI36" s="36">
        <f>'Wtr-Gas'!N38*0.0038</f>
        <v>1748</v>
      </c>
      <c r="AJ36" s="36">
        <f>'Wtr-Gas'!Q38*0.0038</f>
        <v>394.82</v>
      </c>
      <c r="AK36" s="39">
        <f>'Wtr-Gas'!U38*0.0038</f>
        <v>449.54</v>
      </c>
      <c r="AL36" s="39">
        <f>'Wtr-Gas'!X38*0.0038</f>
        <v>446.5</v>
      </c>
      <c r="AM36" s="36">
        <f>'Wtr-Gas'!AB38*0.0038</f>
        <v>8436</v>
      </c>
      <c r="AN36" s="36">
        <f>'Wtr-Gas'!AD38*0.0038</f>
        <v>1565.7865800000002</v>
      </c>
      <c r="AO36" s="36">
        <f>'Wtr-Gas'!AF38*0.0038</f>
        <v>5.548</v>
      </c>
      <c r="AP36" s="36">
        <f>'Wtr-Gas'!AH38*0.0038</f>
        <v>202.23599999999999</v>
      </c>
      <c r="AQ36" s="36">
        <f>'Wtr-Gas'!AJ38*0.0038</f>
        <v>26.938199999999998</v>
      </c>
      <c r="AR36" s="36">
        <f>'Wtr-Gas'!AL38*0.0038</f>
        <v>140.6</v>
      </c>
      <c r="AS36" s="36">
        <f>'Wtr-Gas'!AN38*0.0038</f>
        <v>0</v>
      </c>
      <c r="AT36" s="36">
        <f>'Wtr-Gas'!AP38*0.0038</f>
        <v>18.239999999999998</v>
      </c>
      <c r="AU36" s="39">
        <f>'Wtr-Gas'!AT38*0.0038</f>
        <v>0.15579999999999999</v>
      </c>
      <c r="AV36" s="36">
        <f>'Wtr-Gas'!AW38*0.0038</f>
        <v>16.488199999999999</v>
      </c>
      <c r="AW36" s="37">
        <f>'Wtr-Gas'!AY38*0.0038</f>
        <v>0</v>
      </c>
      <c r="AX36" s="36">
        <f>'Wtr-Gas'!AZ38*0.0038</f>
        <v>16.488199999999999</v>
      </c>
      <c r="AY36" s="36">
        <f>'Wtr-Gas'!BB38*0.0038</f>
        <v>12.54</v>
      </c>
      <c r="AZ36" s="36">
        <f>'Wtr-Gas'!BD38*0.0038</f>
        <v>0.76</v>
      </c>
      <c r="BA36" s="36">
        <f>'Wtr-Gas'!BF38*0.0038</f>
        <v>152.304</v>
      </c>
      <c r="BB36" s="191">
        <f>Elect!C38</f>
        <v>467</v>
      </c>
    </row>
    <row r="37" spans="1:54" x14ac:dyDescent="0.25">
      <c r="A37" s="3" t="s">
        <v>11</v>
      </c>
      <c r="B37" s="2">
        <v>3</v>
      </c>
      <c r="C37" s="2">
        <v>8</v>
      </c>
      <c r="D37" s="2">
        <v>2020</v>
      </c>
      <c r="E37" s="34">
        <f>Elect!AX39</f>
        <v>1600</v>
      </c>
      <c r="F37" s="34">
        <f>Elect!J39</f>
        <v>10390</v>
      </c>
      <c r="G37" s="34">
        <f>Elect!I39</f>
        <v>10080</v>
      </c>
      <c r="H37" s="34">
        <f>Elect!F39</f>
        <v>8800</v>
      </c>
      <c r="I37" s="34">
        <f>Elect!E39</f>
        <v>1.9379999999999999</v>
      </c>
      <c r="J37" s="34">
        <f>Elect!Z39</f>
        <v>2.81</v>
      </c>
      <c r="K37" s="34">
        <f>Elect!Y39</f>
        <v>17067</v>
      </c>
      <c r="L37" s="34">
        <f>Elect!AT39</f>
        <v>44046</v>
      </c>
      <c r="M37" s="34">
        <f>Elect!AS39</f>
        <v>0</v>
      </c>
      <c r="N37" s="34">
        <f>Elect!AD39</f>
        <v>640</v>
      </c>
      <c r="O37" s="34">
        <f>Elect!AC39</f>
        <v>1.59</v>
      </c>
      <c r="P37" s="34">
        <f>Elect!R39</f>
        <v>1600</v>
      </c>
      <c r="Q37" s="34">
        <f>Elect!Q39</f>
        <v>1.43</v>
      </c>
      <c r="R37" s="34">
        <f>Elect!N39</f>
        <v>1.72</v>
      </c>
      <c r="S37" s="34">
        <f>Elect!M39</f>
        <v>10289</v>
      </c>
      <c r="T37" s="34">
        <f>Elect!V39</f>
        <v>69401</v>
      </c>
      <c r="U37" s="34">
        <f>Elect!U39</f>
        <v>18600</v>
      </c>
      <c r="V37" s="34">
        <f>Elect!AH39</f>
        <v>16647</v>
      </c>
      <c r="W37" s="34">
        <f>Elect!AG39</f>
        <v>12800</v>
      </c>
      <c r="X37" s="34">
        <f>Elect!AL39</f>
        <v>85</v>
      </c>
      <c r="Y37" s="34">
        <f>Elect!AK39</f>
        <v>59809</v>
      </c>
      <c r="Z37" s="34">
        <f>Elect!AP39</f>
        <v>13160</v>
      </c>
      <c r="AA37" s="34">
        <f>Elect!AO39</f>
        <v>75805</v>
      </c>
      <c r="AB37" s="34">
        <f>Elect!BK39</f>
        <v>59809</v>
      </c>
      <c r="AC37" s="34">
        <f>Elect!BH39</f>
        <v>0</v>
      </c>
      <c r="AD37" s="34">
        <f>Elect!BN39</f>
        <v>0</v>
      </c>
      <c r="AE37" s="34">
        <f>Elect!BQ39</f>
        <v>0</v>
      </c>
      <c r="AF37" s="36">
        <f>('Wtr-Gas'!E39)*0.0038</f>
        <v>913.33</v>
      </c>
      <c r="AG37" s="36">
        <f>('Wtr-Gas'!H39)*0.0038</f>
        <v>71.325999999999993</v>
      </c>
      <c r="AH37" s="36">
        <f>'Wtr-Gas'!K39*0.0038</f>
        <v>3.7999999999999999E-2</v>
      </c>
      <c r="AI37" s="36">
        <f>'Wtr-Gas'!N39*0.0038</f>
        <v>668.8</v>
      </c>
      <c r="AJ37" s="36">
        <f>'Wtr-Gas'!Q39*0.0038</f>
        <v>25.46</v>
      </c>
      <c r="AK37" s="39">
        <f>'Wtr-Gas'!U39*0.0038</f>
        <v>157.32</v>
      </c>
      <c r="AL37" s="39">
        <f>'Wtr-Gas'!X39*0.0038</f>
        <v>93.1</v>
      </c>
      <c r="AM37" s="36">
        <f>'Wtr-Gas'!AB39*0.0038</f>
        <v>1862</v>
      </c>
      <c r="AN37" s="36">
        <f>'Wtr-Gas'!AD39*0.0038</f>
        <v>555.60141999999996</v>
      </c>
      <c r="AO37" s="36">
        <f>'Wtr-Gas'!AF39*0.0038</f>
        <v>2.964</v>
      </c>
      <c r="AP37" s="36">
        <f>'Wtr-Gas'!AH39*0.0038</f>
        <v>109.782</v>
      </c>
      <c r="AQ37" s="36">
        <f>'Wtr-Gas'!AJ39*0.0038</f>
        <v>16.461600000000001</v>
      </c>
      <c r="AR37" s="36">
        <f>'Wtr-Gas'!AL39*0.0038</f>
        <v>41.8</v>
      </c>
      <c r="AS37" s="36">
        <f>'Wtr-Gas'!AN39*0.0038</f>
        <v>0</v>
      </c>
      <c r="AT37" s="36">
        <f>'Wtr-Gas'!AP39*0.0038</f>
        <v>5.32</v>
      </c>
      <c r="AU37" s="39">
        <f>'Wtr-Gas'!AT39*0.0038</f>
        <v>0.12920000000000001</v>
      </c>
      <c r="AV37" s="36">
        <f>'Wtr-Gas'!AW39*0.0038</f>
        <v>16.6554</v>
      </c>
      <c r="AW37" s="37">
        <f>'Wtr-Gas'!AY39*0.0038</f>
        <v>0</v>
      </c>
      <c r="AX37" s="36">
        <f>'Wtr-Gas'!AZ39*0.0038</f>
        <v>16.6554</v>
      </c>
      <c r="AY37" s="36">
        <f>'Wtr-Gas'!BB39*0.0038</f>
        <v>6.08</v>
      </c>
      <c r="AZ37" s="36">
        <f>'Wtr-Gas'!BD39*0.0038</f>
        <v>0.38</v>
      </c>
      <c r="BA37" s="36">
        <f>'Wtr-Gas'!BF39*0.0038</f>
        <v>380.76</v>
      </c>
      <c r="BB37" s="191">
        <f>Elect!C39</f>
        <v>136</v>
      </c>
    </row>
    <row r="38" spans="1:54" x14ac:dyDescent="0.25">
      <c r="A38" s="3" t="s">
        <v>11</v>
      </c>
      <c r="B38" s="2">
        <v>10</v>
      </c>
      <c r="C38" s="2">
        <v>8</v>
      </c>
      <c r="D38" s="2">
        <v>2020</v>
      </c>
      <c r="E38" s="34">
        <f>Elect!AX40</f>
        <v>1800</v>
      </c>
      <c r="F38" s="34">
        <f>Elect!J40</f>
        <v>10410</v>
      </c>
      <c r="G38" s="34">
        <f>Elect!I40</f>
        <v>42720</v>
      </c>
      <c r="H38" s="34">
        <f>Elect!F40</f>
        <v>38880</v>
      </c>
      <c r="I38" s="34">
        <f>Elect!E40</f>
        <v>1.9379999999999999</v>
      </c>
      <c r="J38" s="34">
        <f>Elect!Z40</f>
        <v>2.81</v>
      </c>
      <c r="K38" s="34">
        <f>Elect!Y40</f>
        <v>17104</v>
      </c>
      <c r="L38" s="34">
        <f>Elect!AT40</f>
        <v>44053</v>
      </c>
      <c r="M38" s="34">
        <f>Elect!AS40</f>
        <v>0</v>
      </c>
      <c r="N38" s="34">
        <f>Elect!AD40</f>
        <v>2720</v>
      </c>
      <c r="O38" s="34">
        <f>Elect!AC40</f>
        <v>1.75</v>
      </c>
      <c r="P38" s="34">
        <f>Elect!R40</f>
        <v>7200</v>
      </c>
      <c r="Q38" s="34">
        <f>Elect!Q40</f>
        <v>1.43</v>
      </c>
      <c r="R38" s="34">
        <f>Elect!N40</f>
        <v>2.0299999999999998</v>
      </c>
      <c r="S38" s="34">
        <f>Elect!M40</f>
        <v>10314</v>
      </c>
      <c r="T38" s="34">
        <f>Elect!V40</f>
        <v>69637</v>
      </c>
      <c r="U38" s="34">
        <f>Elect!U40</f>
        <v>74700</v>
      </c>
      <c r="V38" s="34">
        <f>Elect!AH40</f>
        <v>16688</v>
      </c>
      <c r="W38" s="34">
        <f>Elect!AG40</f>
        <v>52000</v>
      </c>
      <c r="X38" s="34">
        <f>Elect!AL40</f>
        <v>422</v>
      </c>
      <c r="Y38" s="34">
        <f>Elect!AK40</f>
        <v>60231</v>
      </c>
      <c r="Z38" s="34">
        <f>Elect!AP40</f>
        <v>53640</v>
      </c>
      <c r="AA38" s="34">
        <f>Elect!AO40</f>
        <v>315002</v>
      </c>
      <c r="AB38" s="34">
        <f>Elect!BK40</f>
        <v>60231</v>
      </c>
      <c r="AC38" s="34">
        <f>Elect!BH40</f>
        <v>0</v>
      </c>
      <c r="AD38" s="34">
        <f>Elect!BN40</f>
        <v>0</v>
      </c>
      <c r="AE38" s="34">
        <f>Elect!BQ40</f>
        <v>0</v>
      </c>
      <c r="AF38" s="36">
        <f>('Wtr-Gas'!E40)*0.0038</f>
        <v>3608.8220000000001</v>
      </c>
      <c r="AG38" s="36">
        <f>('Wtr-Gas'!H40)*0.0038</f>
        <v>386.27</v>
      </c>
      <c r="AH38" s="36">
        <f>'Wtr-Gas'!K40*0.0038</f>
        <v>0.64600000000000002</v>
      </c>
      <c r="AI38" s="36">
        <f>'Wtr-Gas'!N40*0.0038</f>
        <v>2686.6</v>
      </c>
      <c r="AJ38" s="36">
        <f>'Wtr-Gas'!Q40*0.0038</f>
        <v>82.46</v>
      </c>
      <c r="AK38" s="39">
        <f>'Wtr-Gas'!U40*0.0038</f>
        <v>640.67999999999995</v>
      </c>
      <c r="AL38" s="39">
        <f>'Wtr-Gas'!X40*0.0038</f>
        <v>410.4</v>
      </c>
      <c r="AM38" s="36">
        <f>'Wtr-Gas'!AB40*0.0038</f>
        <v>10602</v>
      </c>
      <c r="AN38" s="36">
        <f>'Wtr-Gas'!AD40*0.0038</f>
        <v>2407.0340000000001</v>
      </c>
      <c r="AO38" s="36">
        <f>'Wtr-Gas'!AF40*0.0038</f>
        <v>6.3840000000000003</v>
      </c>
      <c r="AP38" s="36">
        <f>'Wtr-Gas'!AH40*0.0038</f>
        <v>310.08</v>
      </c>
      <c r="AQ38" s="36">
        <f>'Wtr-Gas'!AJ40*0.0038</f>
        <v>38.205199999999998</v>
      </c>
      <c r="AR38" s="36">
        <f>'Wtr-Gas'!AL40*0.0038</f>
        <v>201.4</v>
      </c>
      <c r="AS38" s="36">
        <f>'Wtr-Gas'!AN40*0.0038</f>
        <v>0</v>
      </c>
      <c r="AT38" s="36">
        <f>'Wtr-Gas'!AP40*0.0038</f>
        <v>22.8</v>
      </c>
      <c r="AU38" s="39">
        <f>'Wtr-Gas'!AT40*0.0038</f>
        <v>0.22420000000000001</v>
      </c>
      <c r="AV38" s="36">
        <f>'Wtr-Gas'!AW40*0.0038</f>
        <v>24.487200000000001</v>
      </c>
      <c r="AW38" s="37">
        <f>'Wtr-Gas'!AY40*0.0038</f>
        <v>3.8E-3</v>
      </c>
      <c r="AX38" s="36">
        <f>'Wtr-Gas'!AZ40*0.0038</f>
        <v>24.4834</v>
      </c>
      <c r="AY38" s="36">
        <f>'Wtr-Gas'!BB40*0.0038</f>
        <v>6.08</v>
      </c>
      <c r="AZ38" s="36">
        <f>'Wtr-Gas'!BD40*0.0038</f>
        <v>2.2799999999999998</v>
      </c>
      <c r="BA38" s="36">
        <f>'Wtr-Gas'!BF40*0.0038</f>
        <v>508.65280000000001</v>
      </c>
      <c r="BB38" s="191">
        <f>Elect!C40</f>
        <v>940</v>
      </c>
    </row>
    <row r="39" spans="1:54" x14ac:dyDescent="0.25">
      <c r="A39" s="3" t="s">
        <v>11</v>
      </c>
      <c r="B39" s="2">
        <v>17</v>
      </c>
      <c r="C39" s="2">
        <v>8</v>
      </c>
      <c r="D39" s="2">
        <v>2020</v>
      </c>
      <c r="E39" s="34">
        <f>Elect!AX41</f>
        <v>1900</v>
      </c>
      <c r="F39" s="34">
        <f>Elect!J41</f>
        <v>10420</v>
      </c>
      <c r="G39" s="34">
        <f>Elect!I41</f>
        <v>42880</v>
      </c>
      <c r="H39" s="34">
        <f>Elect!F41</f>
        <v>39680</v>
      </c>
      <c r="I39" s="34">
        <f>Elect!E41</f>
        <v>1.9379999999999999</v>
      </c>
      <c r="J39" s="34">
        <f>Elect!Z41</f>
        <v>3.17</v>
      </c>
      <c r="K39" s="34">
        <f>Elect!Y41</f>
        <v>17142</v>
      </c>
      <c r="L39" s="34">
        <f>Elect!AT41</f>
        <v>44060</v>
      </c>
      <c r="M39" s="34">
        <f>Elect!AS41</f>
        <v>0</v>
      </c>
      <c r="N39" s="34">
        <f>Elect!AD41</f>
        <v>2880</v>
      </c>
      <c r="O39" s="34">
        <f>Elect!AC41</f>
        <v>2.66</v>
      </c>
      <c r="P39" s="34">
        <f>Elect!R41</f>
        <v>7600</v>
      </c>
      <c r="Q39" s="34">
        <f>Elect!Q41</f>
        <v>1.64</v>
      </c>
      <c r="R39" s="34">
        <f>Elect!N41</f>
        <v>2.0299999999999998</v>
      </c>
      <c r="S39" s="34">
        <f>Elect!M41</f>
        <v>10337</v>
      </c>
      <c r="T39" s="34">
        <f>Elect!V41</f>
        <v>69904</v>
      </c>
      <c r="U39" s="34">
        <f>Elect!U41</f>
        <v>80400</v>
      </c>
      <c r="V39" s="34">
        <f>Elect!AH41</f>
        <v>16727</v>
      </c>
      <c r="W39" s="34">
        <f>Elect!AG41</f>
        <v>49800</v>
      </c>
      <c r="X39" s="34">
        <f>Elect!AL41</f>
        <v>419</v>
      </c>
      <c r="Y39" s="34">
        <f>Elect!AK41</f>
        <v>60650</v>
      </c>
      <c r="Z39" s="34">
        <f>Elect!AP41</f>
        <v>51360</v>
      </c>
      <c r="AA39" s="34">
        <f>Elect!AO41</f>
        <v>324599</v>
      </c>
      <c r="AB39" s="34">
        <f>Elect!BK41</f>
        <v>60650</v>
      </c>
      <c r="AC39" s="34">
        <f>Elect!BH41</f>
        <v>0</v>
      </c>
      <c r="AD39" s="34">
        <f>Elect!BN41</f>
        <v>0</v>
      </c>
      <c r="AE39" s="34">
        <f>Elect!BQ41</f>
        <v>0</v>
      </c>
      <c r="AF39" s="36">
        <f>('Wtr-Gas'!E41)*0.0038</f>
        <v>3981.4879999999998</v>
      </c>
      <c r="AG39" s="36">
        <f>('Wtr-Gas'!H41)*0.0038</f>
        <v>54.834000000000003</v>
      </c>
      <c r="AH39" s="36">
        <f>'Wtr-Gas'!K41*0.0038</f>
        <v>0.79800000000000004</v>
      </c>
      <c r="AI39" s="36">
        <f>'Wtr-Gas'!N41*0.0038</f>
        <v>2808.2</v>
      </c>
      <c r="AJ39" s="36">
        <f>'Wtr-Gas'!Q41*0.0038</f>
        <v>79.8</v>
      </c>
      <c r="AK39" s="39">
        <f>'Wtr-Gas'!U41*0.0038</f>
        <v>687.04</v>
      </c>
      <c r="AL39" s="39">
        <f>'Wtr-Gas'!X41*0.0038</f>
        <v>505.4</v>
      </c>
      <c r="AM39" s="36">
        <f>'Wtr-Gas'!AB41*0.0038</f>
        <v>11362</v>
      </c>
      <c r="AN39" s="36">
        <f>'Wtr-Gas'!AD41*0.0038</f>
        <v>2412.5059999999999</v>
      </c>
      <c r="AO39" s="36">
        <f>'Wtr-Gas'!AF41*0.0038</f>
        <v>5.6619999999999999</v>
      </c>
      <c r="AP39" s="36">
        <f>'Wtr-Gas'!AH41*0.0038</f>
        <v>342.49399999999997</v>
      </c>
      <c r="AQ39" s="36">
        <f>'Wtr-Gas'!AJ41*0.0038</f>
        <v>26.755800000000001</v>
      </c>
      <c r="AR39" s="36">
        <f>'Wtr-Gas'!AL41*0.0038</f>
        <v>121.6</v>
      </c>
      <c r="AS39" s="36">
        <f>'Wtr-Gas'!AN41*0.0038</f>
        <v>0</v>
      </c>
      <c r="AT39" s="36">
        <f>'Wtr-Gas'!AP41*0.0038</f>
        <v>7.6</v>
      </c>
      <c r="AU39" s="39">
        <f>'Wtr-Gas'!AT41*0.0038</f>
        <v>0.30780000000000002</v>
      </c>
      <c r="AV39" s="36">
        <f>'Wtr-Gas'!AW41*0.0038</f>
        <v>33.094200000000001</v>
      </c>
      <c r="AW39" s="37">
        <f>'Wtr-Gas'!AY41*0.0038</f>
        <v>-5.6999999999999998E-4</v>
      </c>
      <c r="AX39" s="36">
        <f>'Wtr-Gas'!AZ41*0.0038</f>
        <v>33.094769999999997</v>
      </c>
      <c r="AY39" s="36">
        <f>'Wtr-Gas'!BB41*0.0038</f>
        <v>11.02</v>
      </c>
      <c r="AZ39" s="36">
        <f>'Wtr-Gas'!BD41*0.0038</f>
        <v>1.9</v>
      </c>
      <c r="BA39" s="36">
        <f>'Wtr-Gas'!BF41*0.0038</f>
        <v>483.24220000000003</v>
      </c>
      <c r="BB39" s="191">
        <f>Elect!C41</f>
        <v>856</v>
      </c>
    </row>
    <row r="40" spans="1:54" x14ac:dyDescent="0.25">
      <c r="A40" s="3" t="s">
        <v>11</v>
      </c>
      <c r="B40" s="2">
        <v>24</v>
      </c>
      <c r="C40" s="2">
        <v>8</v>
      </c>
      <c r="D40" s="2">
        <v>2020</v>
      </c>
      <c r="E40" s="34">
        <f>Elect!AX42</f>
        <v>2200</v>
      </c>
      <c r="F40" s="34">
        <f>Elect!J42</f>
        <v>10449</v>
      </c>
      <c r="G40" s="34">
        <f>Elect!I42</f>
        <v>42400</v>
      </c>
      <c r="H40" s="34">
        <f>Elect!F42</f>
        <v>40160</v>
      </c>
      <c r="I40" s="34">
        <f>Elect!E42</f>
        <v>1.909</v>
      </c>
      <c r="J40" s="34">
        <f>Elect!Z42</f>
        <v>2.52</v>
      </c>
      <c r="K40" s="34">
        <f>Elect!Y42</f>
        <v>17178</v>
      </c>
      <c r="L40" s="34">
        <f>Elect!AT42</f>
        <v>44067</v>
      </c>
      <c r="M40" s="34">
        <f>Elect!AS42</f>
        <v>0</v>
      </c>
      <c r="N40" s="34">
        <f>Elect!AD42</f>
        <v>2560</v>
      </c>
      <c r="O40" s="34">
        <f>Elect!AC42</f>
        <v>1.62</v>
      </c>
      <c r="P40" s="34">
        <f>Elect!R42</f>
        <v>6800</v>
      </c>
      <c r="Q40" s="34">
        <f>Elect!Q42</f>
        <v>1.3</v>
      </c>
      <c r="R40" s="34">
        <f>Elect!N42</f>
        <v>1.95</v>
      </c>
      <c r="S40" s="34">
        <f>Elect!M42</f>
        <v>10359</v>
      </c>
      <c r="T40" s="34">
        <f>Elect!V42</f>
        <v>70094</v>
      </c>
      <c r="U40" s="34">
        <f>Elect!U42</f>
        <v>77400</v>
      </c>
      <c r="V40" s="34">
        <f>Elect!AH42</f>
        <v>16765</v>
      </c>
      <c r="W40" s="34">
        <f>Elect!AG42</f>
        <v>48400</v>
      </c>
      <c r="X40" s="34">
        <f>Elect!AL42</f>
        <v>432</v>
      </c>
      <c r="Y40" s="34">
        <f>Elect!AK42</f>
        <v>61082</v>
      </c>
      <c r="Z40" s="34">
        <f>Elect!AP42</f>
        <v>49920</v>
      </c>
      <c r="AA40" s="34">
        <f>Elect!AO42</f>
        <v>302832</v>
      </c>
      <c r="AB40" s="34">
        <f>Elect!BK42</f>
        <v>61082</v>
      </c>
      <c r="AC40" s="34">
        <f>Elect!BH42</f>
        <v>0</v>
      </c>
      <c r="AD40" s="34">
        <f>Elect!BN42</f>
        <v>0</v>
      </c>
      <c r="AE40" s="34">
        <f>Elect!BQ42</f>
        <v>0</v>
      </c>
      <c r="AF40" s="36">
        <f>('Wtr-Gas'!E42)*0.0038</f>
        <v>4043.39</v>
      </c>
      <c r="AG40" s="36">
        <f>('Wtr-Gas'!H42)*0.0038</f>
        <v>457.976</v>
      </c>
      <c r="AH40" s="36">
        <f>'Wtr-Gas'!K42*0.0038</f>
        <v>0.60799999999999998</v>
      </c>
      <c r="AI40" s="36">
        <f>'Wtr-Gas'!N42*0.0038</f>
        <v>2454.8000000000002</v>
      </c>
      <c r="AJ40" s="36">
        <f>'Wtr-Gas'!Q42*0.0038</f>
        <v>72.959999999999994</v>
      </c>
      <c r="AK40" s="39">
        <f>'Wtr-Gas'!U42*0.0038</f>
        <v>618.26</v>
      </c>
      <c r="AL40" s="39">
        <f>'Wtr-Gas'!X42*0.0038</f>
        <v>999.4</v>
      </c>
      <c r="AM40" s="36">
        <f>'Wtr-Gas'!AB42*0.0038</f>
        <v>9614</v>
      </c>
      <c r="AN40" s="36">
        <f>'Wtr-Gas'!AD42*0.0038</f>
        <v>2276.2759999999998</v>
      </c>
      <c r="AO40" s="36">
        <f>'Wtr-Gas'!AF42*0.0038</f>
        <v>7.03</v>
      </c>
      <c r="AP40" s="36">
        <f>'Wtr-Gas'!AH42*0.0038</f>
        <v>617.30999999999995</v>
      </c>
      <c r="AQ40" s="36">
        <f>'Wtr-Gas'!AJ42*0.0038</f>
        <v>24.2896</v>
      </c>
      <c r="AR40" s="36">
        <f>'Wtr-Gas'!AL42*0.0038</f>
        <v>953.8</v>
      </c>
      <c r="AS40" s="36">
        <f>'Wtr-Gas'!AN42*0.0038</f>
        <v>0</v>
      </c>
      <c r="AT40" s="36">
        <f>'Wtr-Gas'!AP42*0.0038</f>
        <v>0</v>
      </c>
      <c r="AU40" s="39">
        <f>'Wtr-Gas'!AT42*0.0038</f>
        <v>0.29260000000000003</v>
      </c>
      <c r="AV40" s="36">
        <f>'Wtr-Gas'!AW42*0.0038</f>
        <v>31.901</v>
      </c>
      <c r="AW40" s="37">
        <f>'Wtr-Gas'!AY42*0.0038</f>
        <v>2.052E-3</v>
      </c>
      <c r="AX40" s="36">
        <f>'Wtr-Gas'!AZ42*0.0038</f>
        <v>31.898947999999997</v>
      </c>
      <c r="AY40" s="36">
        <f>'Wtr-Gas'!BB42*0.0038</f>
        <v>11.78</v>
      </c>
      <c r="AZ40" s="36">
        <f>'Wtr-Gas'!BD42*0.0038</f>
        <v>1.9</v>
      </c>
      <c r="BA40" s="36">
        <f>'Wtr-Gas'!BF42*0.0038</f>
        <v>453.45780000000002</v>
      </c>
      <c r="BB40" s="191">
        <f>Elect!C42</f>
        <v>795</v>
      </c>
    </row>
    <row r="41" spans="1:54" x14ac:dyDescent="0.25">
      <c r="A41" s="3" t="s">
        <v>11</v>
      </c>
      <c r="B41" s="2">
        <v>31</v>
      </c>
      <c r="C41" s="2">
        <v>8</v>
      </c>
      <c r="D41" s="2">
        <v>2020</v>
      </c>
      <c r="E41" s="34">
        <f>Elect!AX43</f>
        <v>1800</v>
      </c>
      <c r="F41" s="34">
        <f>Elect!J43</f>
        <v>10470</v>
      </c>
      <c r="G41" s="34">
        <f>Elect!I43</f>
        <v>42720</v>
      </c>
      <c r="H41" s="34">
        <f>Elect!F43</f>
        <v>40000</v>
      </c>
      <c r="I41" s="34">
        <f>Elect!E43</f>
        <v>1.909</v>
      </c>
      <c r="J41" s="34">
        <f>Elect!Z43</f>
        <v>2.93</v>
      </c>
      <c r="K41" s="34">
        <f>Elect!Y43</f>
        <v>17214</v>
      </c>
      <c r="L41" s="34">
        <f>Elect!AT43</f>
        <v>44074</v>
      </c>
      <c r="M41" s="34">
        <f>Elect!AS43</f>
        <v>0</v>
      </c>
      <c r="N41" s="34">
        <f>Elect!AD43</f>
        <v>2880</v>
      </c>
      <c r="O41" s="34">
        <f>Elect!AC43</f>
        <v>2.19</v>
      </c>
      <c r="P41" s="34">
        <f>Elect!R43</f>
        <v>7600</v>
      </c>
      <c r="Q41" s="34">
        <f>Elect!Q43</f>
        <v>1.59</v>
      </c>
      <c r="R41" s="34">
        <f>Elect!N43</f>
        <v>2.11</v>
      </c>
      <c r="S41" s="34">
        <f>Elect!M43</f>
        <v>10382</v>
      </c>
      <c r="T41" s="34">
        <f>Elect!V43</f>
        <v>70308</v>
      </c>
      <c r="U41" s="34">
        <f>Elect!U43</f>
        <v>64800</v>
      </c>
      <c r="V41" s="34">
        <f>Elect!AH43</f>
        <v>16806</v>
      </c>
      <c r="W41" s="34">
        <f>Elect!AG43</f>
        <v>50600</v>
      </c>
      <c r="X41" s="34">
        <f>Elect!AL43</f>
        <v>437</v>
      </c>
      <c r="Y41" s="34">
        <f>Elect!AK43</f>
        <v>61519</v>
      </c>
      <c r="Z41" s="34">
        <f>Elect!AP43</f>
        <v>52240</v>
      </c>
      <c r="AA41" s="34">
        <f>Elect!AO43</f>
        <v>298237</v>
      </c>
      <c r="AB41" s="34">
        <f>Elect!BK43</f>
        <v>61519</v>
      </c>
      <c r="AC41" s="34">
        <f>Elect!BH43</f>
        <v>0</v>
      </c>
      <c r="AD41" s="34">
        <f>Elect!BN43</f>
        <v>363.64706320000005</v>
      </c>
      <c r="AE41" s="34">
        <f>Elect!BQ43</f>
        <v>2</v>
      </c>
      <c r="AF41" s="36">
        <f>('Wtr-Gas'!E43)*0.0038</f>
        <v>3779.6320000000001</v>
      </c>
      <c r="AG41" s="36">
        <f>('Wtr-Gas'!H43)*0.0038</f>
        <v>610.92600000000004</v>
      </c>
      <c r="AH41" s="36">
        <f>'Wtr-Gas'!K43*0.0038</f>
        <v>0.68400000000000005</v>
      </c>
      <c r="AI41" s="36">
        <f>'Wtr-Gas'!N43*0.0038</f>
        <v>2527</v>
      </c>
      <c r="AJ41" s="36">
        <f>'Wtr-Gas'!Q43*0.0038</f>
        <v>79.040000000000006</v>
      </c>
      <c r="AK41" s="39">
        <f>'Wtr-Gas'!U43*0.0038</f>
        <v>623.58000000000004</v>
      </c>
      <c r="AL41" s="39">
        <f>'Wtr-Gas'!X43*0.0038</f>
        <v>452.2</v>
      </c>
      <c r="AM41" s="36">
        <f>'Wtr-Gas'!AB43*0.0038</f>
        <v>10982</v>
      </c>
      <c r="AN41" s="36">
        <f>'Wtr-Gas'!AD43*0.0038</f>
        <v>2375.3420000000001</v>
      </c>
      <c r="AO41" s="36">
        <f>'Wtr-Gas'!AF43*0.0038</f>
        <v>2.8879999999999999</v>
      </c>
      <c r="AP41" s="36">
        <f>'Wtr-Gas'!AH43*0.0038</f>
        <v>359.70800000000003</v>
      </c>
      <c r="AQ41" s="36">
        <f>'Wtr-Gas'!AJ43*0.0038</f>
        <v>30.552</v>
      </c>
      <c r="AR41" s="36">
        <f>'Wtr-Gas'!AL43*0.0038</f>
        <v>501.6</v>
      </c>
      <c r="AS41" s="36">
        <f>'Wtr-Gas'!AN43*0.0038</f>
        <v>0</v>
      </c>
      <c r="AT41" s="36">
        <f>'Wtr-Gas'!AP43*0.0038</f>
        <v>7.6</v>
      </c>
      <c r="AU41" s="39">
        <f>'Wtr-Gas'!AT43*0.0038</f>
        <v>0.25080000000000002</v>
      </c>
      <c r="AV41" s="36">
        <f>'Wtr-Gas'!AW43*0.0038</f>
        <v>32.284799999999997</v>
      </c>
      <c r="AW41" s="37">
        <f>'Wtr-Gas'!AY43*0.0038</f>
        <v>-5.2819999999999994E-3</v>
      </c>
      <c r="AX41" s="36">
        <f>'Wtr-Gas'!AZ43*0.0038</f>
        <v>32.290081999999998</v>
      </c>
      <c r="AY41" s="36">
        <f>'Wtr-Gas'!BB43*0.0038</f>
        <v>14.82</v>
      </c>
      <c r="AZ41" s="36">
        <f>'Wtr-Gas'!BD43*0.0038</f>
        <v>1.9</v>
      </c>
      <c r="BA41" s="36">
        <f>'Wtr-Gas'!BF43*0.0038</f>
        <v>457.7328</v>
      </c>
      <c r="BB41" s="191">
        <f>Elect!C43</f>
        <v>659</v>
      </c>
    </row>
    <row r="42" spans="1:54" x14ac:dyDescent="0.25">
      <c r="A42" s="3" t="s">
        <v>11</v>
      </c>
      <c r="B42" s="2">
        <v>6</v>
      </c>
      <c r="C42" s="2">
        <v>9</v>
      </c>
      <c r="D42" s="2">
        <v>2020</v>
      </c>
      <c r="E42" s="34">
        <f>Elect!AX44</f>
        <v>2000</v>
      </c>
      <c r="F42" s="34">
        <f>Elect!J44</f>
        <v>10491</v>
      </c>
      <c r="G42" s="34">
        <f>Elect!I44</f>
        <v>42720</v>
      </c>
      <c r="H42" s="34">
        <f>Elect!F44</f>
        <v>39360</v>
      </c>
      <c r="I42" s="34">
        <f>Elect!E44</f>
        <v>1.909</v>
      </c>
      <c r="J42" s="34">
        <f>Elect!Z44</f>
        <v>3.32</v>
      </c>
      <c r="K42" s="34">
        <f>Elect!Y44</f>
        <v>17254</v>
      </c>
      <c r="L42" s="34">
        <f>Elect!AT44</f>
        <v>44080</v>
      </c>
      <c r="M42" s="34">
        <f>Elect!AS44</f>
        <v>0</v>
      </c>
      <c r="N42" s="34">
        <f>Elect!AD44</f>
        <v>2880</v>
      </c>
      <c r="O42" s="34">
        <f>Elect!AC44</f>
        <v>2.19</v>
      </c>
      <c r="P42" s="34">
        <f>Elect!R44</f>
        <v>7600</v>
      </c>
      <c r="Q42" s="34">
        <f>Elect!Q44</f>
        <v>1.59</v>
      </c>
      <c r="R42" s="34">
        <f>Elect!N44</f>
        <v>2.2200000000000002</v>
      </c>
      <c r="S42" s="34">
        <f>Elect!M44</f>
        <v>10406</v>
      </c>
      <c r="T42" s="34">
        <f>Elect!V44</f>
        <v>70668</v>
      </c>
      <c r="U42" s="34">
        <f>Elect!U44</f>
        <v>64200</v>
      </c>
      <c r="V42" s="34">
        <f>Elect!AH44</f>
        <v>16847</v>
      </c>
      <c r="W42" s="34">
        <f>Elect!AG44</f>
        <v>50200</v>
      </c>
      <c r="X42" s="34">
        <f>Elect!AL44</f>
        <v>440</v>
      </c>
      <c r="Y42" s="34">
        <f>Elect!AK44</f>
        <v>61959</v>
      </c>
      <c r="Z42" s="34">
        <f>Elect!AP44</f>
        <v>51840</v>
      </c>
      <c r="AA42" s="34">
        <f>Elect!AO44</f>
        <v>341440</v>
      </c>
      <c r="AB42" s="34">
        <f>Elect!BK44</f>
        <v>61959</v>
      </c>
      <c r="AC42" s="34">
        <f>Elect!BH44</f>
        <v>0</v>
      </c>
      <c r="AD42" s="34">
        <f>Elect!BN44</f>
        <v>0</v>
      </c>
      <c r="AE42" s="34">
        <f>Elect!BQ44</f>
        <v>0</v>
      </c>
      <c r="AF42" s="36">
        <f>('Wtr-Gas'!E44)*0.0038</f>
        <v>3680.9459999999999</v>
      </c>
      <c r="AG42" s="36">
        <f>('Wtr-Gas'!H44)*0.0038</f>
        <v>242.364</v>
      </c>
      <c r="AH42" s="36">
        <f>'Wtr-Gas'!K44*0.0038</f>
        <v>0.60799999999999998</v>
      </c>
      <c r="AI42" s="36">
        <f>'Wtr-Gas'!N44*0.0038</f>
        <v>2580.1999999999998</v>
      </c>
      <c r="AJ42" s="36">
        <f>'Wtr-Gas'!Q44*0.0038</f>
        <v>81.7</v>
      </c>
      <c r="AK42" s="39">
        <f>'Wtr-Gas'!U44*0.0038</f>
        <v>676.02</v>
      </c>
      <c r="AL42" s="39">
        <f>'Wtr-Gas'!X44*0.0038</f>
        <v>532</v>
      </c>
      <c r="AM42" s="36">
        <f>'Wtr-Gas'!AB44*0.0038</f>
        <v>10260</v>
      </c>
      <c r="AN42" s="36">
        <f>'Wtr-Gas'!AD44*0.0038</f>
        <v>1854.0922</v>
      </c>
      <c r="AO42" s="36">
        <f>'Wtr-Gas'!AF44*0.0038</f>
        <v>4.8259999999999996</v>
      </c>
      <c r="AP42" s="36">
        <f>'Wtr-Gas'!AH44*0.0038</f>
        <v>329.84</v>
      </c>
      <c r="AQ42" s="36">
        <f>'Wtr-Gas'!AJ44*0.0038</f>
        <v>44.505600000000001</v>
      </c>
      <c r="AR42" s="36">
        <f>'Wtr-Gas'!AL44*0.0038</f>
        <v>478.8</v>
      </c>
      <c r="AS42" s="36">
        <f>'Wtr-Gas'!AN44*0.0038</f>
        <v>0</v>
      </c>
      <c r="AT42" s="36">
        <f>'Wtr-Gas'!AP44*0.0038</f>
        <v>7.6</v>
      </c>
      <c r="AU42" s="39">
        <f>'Wtr-Gas'!AT44*0.0038</f>
        <v>0.26219999999999999</v>
      </c>
      <c r="AV42" s="36">
        <f>'Wtr-Gas'!AW44*0.0038</f>
        <v>173.64099999999999</v>
      </c>
      <c r="AW42" s="37">
        <f>'Wtr-Gas'!AY44*0.0038</f>
        <v>137.2484</v>
      </c>
      <c r="AX42" s="36">
        <f>'Wtr-Gas'!AZ44*0.0038</f>
        <v>36.392600000000002</v>
      </c>
      <c r="AY42" s="36">
        <f>'Wtr-Gas'!BB44*0.0038</f>
        <v>25.84</v>
      </c>
      <c r="AZ42" s="36">
        <f>'Wtr-Gas'!BD44*0.0038</f>
        <v>2.66</v>
      </c>
      <c r="BA42" s="36">
        <f>'Wtr-Gas'!BF44*0.0038</f>
        <v>251.83359999999999</v>
      </c>
      <c r="BB42" s="191">
        <f>Elect!C44</f>
        <v>823</v>
      </c>
    </row>
    <row r="43" spans="1:54" x14ac:dyDescent="0.25">
      <c r="A43" s="3" t="s">
        <v>11</v>
      </c>
      <c r="B43" s="2">
        <v>14</v>
      </c>
      <c r="C43" s="2">
        <v>9</v>
      </c>
      <c r="D43" s="2">
        <v>2020</v>
      </c>
      <c r="E43" s="34">
        <f>Elect!AX45</f>
        <v>1900</v>
      </c>
      <c r="F43" s="34">
        <f>Elect!J45</f>
        <v>10514</v>
      </c>
      <c r="G43" s="34">
        <f>Elect!I45</f>
        <v>50560</v>
      </c>
      <c r="H43" s="34">
        <f>Elect!F45</f>
        <v>72320</v>
      </c>
      <c r="I43" s="34">
        <f>Elect!E45</f>
        <v>1.909</v>
      </c>
      <c r="J43" s="34">
        <f>Elect!Z45</f>
        <v>3.32</v>
      </c>
      <c r="K43" s="34">
        <f>Elect!Y45</f>
        <v>17290</v>
      </c>
      <c r="L43" s="34">
        <f>Elect!AT45</f>
        <v>44087</v>
      </c>
      <c r="M43" s="34">
        <f>Elect!AS45</f>
        <v>0</v>
      </c>
      <c r="N43" s="34">
        <f>Elect!AD45</f>
        <v>2720</v>
      </c>
      <c r="O43" s="34">
        <f>Elect!AC45</f>
        <v>2.19</v>
      </c>
      <c r="P43" s="34">
        <f>Elect!R45</f>
        <v>7600</v>
      </c>
      <c r="Q43" s="34">
        <f>Elect!Q45</f>
        <v>1.59</v>
      </c>
      <c r="R43" s="34">
        <f>Elect!N45</f>
        <v>2.2200000000000002</v>
      </c>
      <c r="S43" s="34">
        <f>Elect!M45</f>
        <v>10430</v>
      </c>
      <c r="T43" s="34">
        <f>Elect!V45</f>
        <v>70899</v>
      </c>
      <c r="U43" s="34">
        <f>Elect!U45</f>
        <v>72900</v>
      </c>
      <c r="V43" s="34">
        <f>Elect!AH45</f>
        <v>16886</v>
      </c>
      <c r="W43" s="34">
        <f>Elect!AG45</f>
        <v>48600</v>
      </c>
      <c r="X43" s="34">
        <f>Elect!AL45</f>
        <v>452</v>
      </c>
      <c r="Y43" s="34">
        <f>Elect!AK45</f>
        <v>62411</v>
      </c>
      <c r="Z43" s="34">
        <f>Elect!AP45</f>
        <v>50160</v>
      </c>
      <c r="AA43" s="34">
        <f>Elect!AO45</f>
        <v>350572</v>
      </c>
      <c r="AB43" s="34">
        <f>Elect!BK45</f>
        <v>62411</v>
      </c>
      <c r="AC43" s="34">
        <f>Elect!BH45</f>
        <v>0</v>
      </c>
      <c r="AD43" s="34">
        <f>Elect!BN45</f>
        <v>0</v>
      </c>
      <c r="AE43" s="34">
        <f>Elect!BQ45</f>
        <v>0</v>
      </c>
      <c r="AF43" s="36">
        <f>('Wtr-Gas'!E45)*0.0038</f>
        <v>3366.002</v>
      </c>
      <c r="AG43" s="36">
        <f>('Wtr-Gas'!H45)*0.0038</f>
        <v>55.213999999999999</v>
      </c>
      <c r="AH43" s="36">
        <f>'Wtr-Gas'!K45*0.0038</f>
        <v>0.68400000000000005</v>
      </c>
      <c r="AI43" s="36">
        <f>'Wtr-Gas'!N45*0.0038</f>
        <v>2492.8000000000002</v>
      </c>
      <c r="AJ43" s="36">
        <f>'Wtr-Gas'!Q45*0.0038</f>
        <v>68.400000000000006</v>
      </c>
      <c r="AK43" s="39">
        <f>'Wtr-Gas'!U45*0.0038</f>
        <v>633.08000000000004</v>
      </c>
      <c r="AL43" s="39">
        <f>'Wtr-Gas'!X45*0.0038</f>
        <v>1007</v>
      </c>
      <c r="AM43" s="36">
        <f>'Wtr-Gas'!AB45*0.0038</f>
        <v>9576</v>
      </c>
      <c r="AN43" s="36">
        <f>'Wtr-Gas'!AD45*0.0038</f>
        <v>1974.7991999999999</v>
      </c>
      <c r="AO43" s="36">
        <f>'Wtr-Gas'!AF45*0.0038</f>
        <v>1.6719999999999999</v>
      </c>
      <c r="AP43" s="36">
        <f>'Wtr-Gas'!AH45*0.0038</f>
        <v>330.82799999999997</v>
      </c>
      <c r="AQ43" s="36">
        <f>'Wtr-Gas'!AJ45*0.0038</f>
        <v>30.886399999999998</v>
      </c>
      <c r="AR43" s="36">
        <f>'Wtr-Gas'!AL45*0.0038</f>
        <v>281.2</v>
      </c>
      <c r="AS43" s="36">
        <f>'Wtr-Gas'!AN45*0.0038</f>
        <v>0</v>
      </c>
      <c r="AT43" s="36">
        <f>'Wtr-Gas'!AP45*0.0038</f>
        <v>19.38</v>
      </c>
      <c r="AU43" s="39">
        <f>'Wtr-Gas'!AT45*0.0038</f>
        <v>0.28499999999999998</v>
      </c>
      <c r="AV43" s="36">
        <f>'Wtr-Gas'!AW45*0.0038</f>
        <v>233.3732</v>
      </c>
      <c r="AW43" s="37">
        <f>'Wtr-Gas'!AY45*0.0038</f>
        <v>199.720134</v>
      </c>
      <c r="AX43" s="36">
        <f>'Wtr-Gas'!AZ45*0.0038</f>
        <v>33.653065999999995</v>
      </c>
      <c r="AY43" s="36">
        <f>'Wtr-Gas'!BB45*0.0038</f>
        <v>7.98</v>
      </c>
      <c r="AZ43" s="36">
        <f>'Wtr-Gas'!BD45*0.0038</f>
        <v>2.66</v>
      </c>
      <c r="BA43" s="36">
        <f>'Wtr-Gas'!BF45*0.0038</f>
        <v>32.774999999999999</v>
      </c>
      <c r="BB43" s="191">
        <f>Elect!C45</f>
        <v>719</v>
      </c>
    </row>
    <row r="44" spans="1:54" x14ac:dyDescent="0.25">
      <c r="A44" s="3" t="s">
        <v>11</v>
      </c>
      <c r="B44" s="2">
        <v>21</v>
      </c>
      <c r="C44" s="2">
        <v>9</v>
      </c>
      <c r="D44" s="2">
        <v>2020</v>
      </c>
      <c r="E44" s="34">
        <f>Elect!AX46</f>
        <v>2000</v>
      </c>
      <c r="F44" s="34">
        <f>Elect!J46</f>
        <v>10534</v>
      </c>
      <c r="G44" s="34">
        <f>Elect!I46</f>
        <v>33760</v>
      </c>
      <c r="H44" s="34">
        <f>Elect!F46</f>
        <v>8160</v>
      </c>
      <c r="I44" s="34">
        <f>Elect!E46</f>
        <v>1.921</v>
      </c>
      <c r="J44" s="34">
        <f>Elect!Z46</f>
        <v>3.32</v>
      </c>
      <c r="K44" s="34">
        <f>Elect!Y46</f>
        <v>17325</v>
      </c>
      <c r="L44" s="34">
        <f>Elect!AT46</f>
        <v>44094</v>
      </c>
      <c r="M44" s="34">
        <f>Elect!AS46</f>
        <v>0</v>
      </c>
      <c r="N44" s="34">
        <f>Elect!AD46</f>
        <v>2400</v>
      </c>
      <c r="O44" s="34">
        <f>Elect!AC46</f>
        <v>2.19</v>
      </c>
      <c r="P44" s="34">
        <f>Elect!R46</f>
        <v>8000</v>
      </c>
      <c r="Q44" s="34">
        <f>Elect!Q46</f>
        <v>1.7</v>
      </c>
      <c r="R44" s="34">
        <f>Elect!N46</f>
        <v>2.2200000000000002</v>
      </c>
      <c r="S44" s="34">
        <f>Elect!M46</f>
        <v>10453</v>
      </c>
      <c r="T44" s="34">
        <f>Elect!V46</f>
        <v>71128</v>
      </c>
      <c r="U44" s="34">
        <f>Elect!U46</f>
        <v>69900</v>
      </c>
      <c r="V44" s="34">
        <f>Elect!AH46</f>
        <v>16925</v>
      </c>
      <c r="W44" s="34">
        <f>Elect!AG46</f>
        <v>51200</v>
      </c>
      <c r="X44" s="34">
        <f>Elect!AL46</f>
        <v>462</v>
      </c>
      <c r="Y44" s="34">
        <f>Elect!AK46</f>
        <v>62873</v>
      </c>
      <c r="Z44" s="34">
        <f>Elect!AP46</f>
        <v>52760</v>
      </c>
      <c r="AA44" s="34">
        <f>Elect!AO46</f>
        <v>266942</v>
      </c>
      <c r="AB44" s="34">
        <f>Elect!BK46</f>
        <v>62873</v>
      </c>
      <c r="AC44" s="34">
        <f>Elect!BH46</f>
        <v>0</v>
      </c>
      <c r="AD44" s="34">
        <f>Elect!BN46</f>
        <v>0</v>
      </c>
      <c r="AE44" s="34">
        <f>Elect!BQ46</f>
        <v>0</v>
      </c>
      <c r="AF44" s="36">
        <f>('Wtr-Gas'!E46)*0.0038</f>
        <v>3576.788</v>
      </c>
      <c r="AG44" s="36">
        <f>('Wtr-Gas'!H46)*0.0038</f>
        <v>282.56799999999998</v>
      </c>
      <c r="AH44" s="36">
        <f>'Wtr-Gas'!K46*0.0038</f>
        <v>0.64600000000000002</v>
      </c>
      <c r="AI44" s="36">
        <f>'Wtr-Gas'!N46*0.0038</f>
        <v>2382.6</v>
      </c>
      <c r="AJ44" s="36">
        <f>'Wtr-Gas'!Q46*0.0038</f>
        <v>77.900000000000006</v>
      </c>
      <c r="AK44" s="39">
        <f>'Wtr-Gas'!U46*0.0038</f>
        <v>642.20000000000005</v>
      </c>
      <c r="AL44" s="39">
        <f>'Wtr-Gas'!X46*0.0038</f>
        <v>896.8</v>
      </c>
      <c r="AM44" s="36">
        <f>'Wtr-Gas'!AB46*0.0038</f>
        <v>9842</v>
      </c>
      <c r="AN44" s="36">
        <f>'Wtr-Gas'!AD46*0.0038</f>
        <v>2224.3946000000001</v>
      </c>
      <c r="AO44" s="36">
        <f>'Wtr-Gas'!AF46*0.0038</f>
        <v>0.34200000000000003</v>
      </c>
      <c r="AP44" s="36">
        <f>'Wtr-Gas'!AH46*0.0038</f>
        <v>524.13400000000001</v>
      </c>
      <c r="AQ44" s="36">
        <f>'Wtr-Gas'!AJ46*0.0038</f>
        <v>21.754999999999999</v>
      </c>
      <c r="AR44" s="36">
        <f>'Wtr-Gas'!AL46*0.0038</f>
        <v>410.4</v>
      </c>
      <c r="AS44" s="36">
        <f>'Wtr-Gas'!AN46*0.0038</f>
        <v>0</v>
      </c>
      <c r="AT44" s="36">
        <f>'Wtr-Gas'!AP46*0.0038</f>
        <v>24.7</v>
      </c>
      <c r="AU44" s="39">
        <f>'Wtr-Gas'!AT46*0.0038</f>
        <v>0.27360000000000001</v>
      </c>
      <c r="AV44" s="36">
        <f>'Wtr-Gas'!AW46*0.0038</f>
        <v>232.74619999999999</v>
      </c>
      <c r="AW44" s="37">
        <f>'Wtr-Gas'!AY46*0.0038</f>
        <v>198.79947000000001</v>
      </c>
      <c r="AX44" s="36">
        <f>'Wtr-Gas'!AZ46*0.0038</f>
        <v>33.946729999999995</v>
      </c>
      <c r="AY44" s="36">
        <f>'Wtr-Gas'!BB46*0.0038</f>
        <v>6.84</v>
      </c>
      <c r="AZ44" s="36">
        <f>'Wtr-Gas'!BD46*0.0038</f>
        <v>2.66</v>
      </c>
      <c r="BA44" s="36">
        <f>'Wtr-Gas'!BF46*0.0038</f>
        <v>32.6648</v>
      </c>
      <c r="BB44" s="191">
        <f>Elect!C46</f>
        <v>596</v>
      </c>
    </row>
    <row r="45" spans="1:54" x14ac:dyDescent="0.25">
      <c r="A45" s="3" t="s">
        <v>11</v>
      </c>
      <c r="B45" s="2">
        <v>28</v>
      </c>
      <c r="C45" s="2">
        <v>9</v>
      </c>
      <c r="D45" s="2">
        <v>2020</v>
      </c>
      <c r="E45" s="34">
        <f>Elect!AX47</f>
        <v>1800</v>
      </c>
      <c r="F45" s="34">
        <f>Elect!J47</f>
        <v>10555</v>
      </c>
      <c r="G45" s="34">
        <f>Elect!I47</f>
        <v>43040</v>
      </c>
      <c r="H45" s="34">
        <f>Elect!F47</f>
        <v>40640</v>
      </c>
      <c r="I45" s="34">
        <f>Elect!E47</f>
        <v>1.98</v>
      </c>
      <c r="J45" s="34">
        <f>Elect!Z47</f>
        <v>3.01</v>
      </c>
      <c r="K45" s="34">
        <f>Elect!Y47</f>
        <v>17361</v>
      </c>
      <c r="L45" s="34">
        <f>Elect!AT47</f>
        <v>44101</v>
      </c>
      <c r="M45" s="34">
        <f>Elect!AS47</f>
        <v>0</v>
      </c>
      <c r="N45" s="34">
        <f>Elect!AD47</f>
        <v>2400</v>
      </c>
      <c r="O45" s="34">
        <f>Elect!AC47</f>
        <v>1.95</v>
      </c>
      <c r="P45" s="34">
        <f>Elect!R47</f>
        <v>8400</v>
      </c>
      <c r="Q45" s="34">
        <f>Elect!Q47</f>
        <v>1.8</v>
      </c>
      <c r="R45" s="34">
        <f>Elect!N47</f>
        <v>1.88</v>
      </c>
      <c r="S45" s="34">
        <f>Elect!M47</f>
        <v>10477</v>
      </c>
      <c r="T45" s="34">
        <f>Elect!V47</f>
        <v>71316</v>
      </c>
      <c r="U45" s="34">
        <f>Elect!U47</f>
        <v>74100</v>
      </c>
      <c r="V45" s="34">
        <f>Elect!AH47</f>
        <v>16965</v>
      </c>
      <c r="W45" s="34">
        <f>Elect!AG47</f>
        <v>51000</v>
      </c>
      <c r="X45" s="34">
        <f>Elect!AL47</f>
        <v>462</v>
      </c>
      <c r="Y45" s="34">
        <f>Elect!AK47</f>
        <v>63335</v>
      </c>
      <c r="Z45" s="34">
        <f>Elect!AP47</f>
        <v>52600</v>
      </c>
      <c r="AA45" s="34">
        <f>Elect!AO47</f>
        <v>301802</v>
      </c>
      <c r="AB45" s="34">
        <f>Elect!BK47</f>
        <v>63335</v>
      </c>
      <c r="AC45" s="34">
        <f>Elect!BH47</f>
        <v>0</v>
      </c>
      <c r="AD45" s="34">
        <f>Elect!BN47</f>
        <v>0</v>
      </c>
      <c r="AE45" s="34">
        <f>Elect!BQ47</f>
        <v>0</v>
      </c>
      <c r="AF45" s="36">
        <f>('Wtr-Gas'!E47)*0.0038</f>
        <v>3771.5</v>
      </c>
      <c r="AG45" s="36">
        <f>('Wtr-Gas'!H47)*0.0038</f>
        <v>313.76600000000002</v>
      </c>
      <c r="AH45" s="36">
        <f>'Wtr-Gas'!K47*0.0038</f>
        <v>2.6219999999999999</v>
      </c>
      <c r="AI45" s="36">
        <f>'Wtr-Gas'!N47*0.0038</f>
        <v>2595.4</v>
      </c>
      <c r="AJ45" s="36">
        <f>'Wtr-Gas'!Q47*0.0038</f>
        <v>76</v>
      </c>
      <c r="AK45" s="39">
        <f>'Wtr-Gas'!U47*0.0038</f>
        <v>670.7</v>
      </c>
      <c r="AL45" s="39">
        <f>'Wtr-Gas'!X47*0.0038</f>
        <v>1641.6</v>
      </c>
      <c r="AM45" s="36">
        <f>'Wtr-Gas'!AB47*0.0038</f>
        <v>9576</v>
      </c>
      <c r="AN45" s="36">
        <f>'Wtr-Gas'!AD47*0.0038</f>
        <v>2108.7339999999999</v>
      </c>
      <c r="AO45" s="36">
        <f>'Wtr-Gas'!AF47*0.0038</f>
        <v>5.4720000000000004</v>
      </c>
      <c r="AP45" s="36">
        <f>'Wtr-Gas'!AH47*0.0038</f>
        <v>327.56</v>
      </c>
      <c r="AQ45" s="36">
        <f>'Wtr-Gas'!AJ47*0.0038</f>
        <v>33.614800000000002</v>
      </c>
      <c r="AR45" s="36">
        <f>'Wtr-Gas'!AL47*0.0038</f>
        <v>532</v>
      </c>
      <c r="AS45" s="36">
        <f>'Wtr-Gas'!AN47*0.0038</f>
        <v>0</v>
      </c>
      <c r="AT45" s="36">
        <f>'Wtr-Gas'!AP47*0.0038</f>
        <v>36.1</v>
      </c>
      <c r="AU45" s="39">
        <f>'Wtr-Gas'!AT47*0.0038</f>
        <v>0.2394</v>
      </c>
      <c r="AV45" s="36">
        <f>'Wtr-Gas'!AW47*0.0038</f>
        <v>232.40799999999999</v>
      </c>
      <c r="AW45" s="37">
        <f>'Wtr-Gas'!AY47*0.0038</f>
        <v>199.25049199999998</v>
      </c>
      <c r="AX45" s="36">
        <f>'Wtr-Gas'!AZ47*0.0038</f>
        <v>33.157508000000014</v>
      </c>
      <c r="AY45" s="36">
        <f>'Wtr-Gas'!BB47*0.0038</f>
        <v>11.4</v>
      </c>
      <c r="AZ45" s="36">
        <f>'Wtr-Gas'!BD47*0.0038</f>
        <v>3.04</v>
      </c>
      <c r="BA45" s="36">
        <f>'Wtr-Gas'!BF47*0.0038</f>
        <v>32.102400000000003</v>
      </c>
      <c r="BB45" s="191">
        <f>Elect!C47</f>
        <v>956</v>
      </c>
    </row>
    <row r="46" spans="1:54" x14ac:dyDescent="0.25">
      <c r="A46" s="3" t="s">
        <v>11</v>
      </c>
      <c r="B46" s="2">
        <v>1</v>
      </c>
      <c r="C46" s="2">
        <v>10</v>
      </c>
      <c r="D46" s="2">
        <v>2020</v>
      </c>
      <c r="E46" s="34">
        <f>Elect!AX48</f>
        <v>1100</v>
      </c>
      <c r="F46" s="34">
        <f>Elect!J48</f>
        <v>10555</v>
      </c>
      <c r="G46" s="34">
        <f>Elect!I48</f>
        <v>0</v>
      </c>
      <c r="H46" s="34">
        <f>Elect!F48</f>
        <v>0</v>
      </c>
      <c r="I46" s="34">
        <f>Elect!E48</f>
        <v>1.98</v>
      </c>
      <c r="J46" s="34">
        <f>Elect!Z48</f>
        <v>3.01</v>
      </c>
      <c r="K46" s="34">
        <f>Elect!Y48</f>
        <v>17361</v>
      </c>
      <c r="L46" s="34">
        <f>Elect!AT48</f>
        <v>44105</v>
      </c>
      <c r="M46" s="34">
        <f>Elect!AS48</f>
        <v>0</v>
      </c>
      <c r="N46" s="34">
        <f>Elect!AD48</f>
        <v>0</v>
      </c>
      <c r="O46" s="34">
        <f>Elect!AC48</f>
        <v>1.95</v>
      </c>
      <c r="P46" s="34">
        <f>Elect!R48</f>
        <v>0</v>
      </c>
      <c r="Q46" s="34">
        <f>Elect!Q48</f>
        <v>1.8</v>
      </c>
      <c r="R46" s="34">
        <f>Elect!N48</f>
        <v>1.88</v>
      </c>
      <c r="S46" s="34">
        <f>Elect!M48</f>
        <v>10477</v>
      </c>
      <c r="T46" s="34">
        <f>Elect!V48</f>
        <v>71316</v>
      </c>
      <c r="U46" s="34">
        <f>Elect!U48</f>
        <v>0</v>
      </c>
      <c r="V46" s="34">
        <f>Elect!AH48</f>
        <v>16965</v>
      </c>
      <c r="W46" s="34">
        <f>Elect!AG48</f>
        <v>0</v>
      </c>
      <c r="X46" s="34">
        <f>Elect!AL48</f>
        <v>0</v>
      </c>
      <c r="Y46" s="34">
        <f>Elect!AK48</f>
        <v>63335</v>
      </c>
      <c r="Z46" s="34">
        <f>Elect!AP48</f>
        <v>0</v>
      </c>
      <c r="AA46" s="34">
        <f>Elect!AO48</f>
        <v>0</v>
      </c>
      <c r="AB46" s="34">
        <f>Elect!BK48</f>
        <v>63335</v>
      </c>
      <c r="AC46" s="34">
        <f>Elect!BH48</f>
        <v>0</v>
      </c>
      <c r="AD46" s="34">
        <f>Elect!BN48</f>
        <v>311.41278080000006</v>
      </c>
      <c r="AE46" s="34">
        <f>Elect!BQ48</f>
        <v>2.0979999999999999</v>
      </c>
      <c r="AF46" s="36">
        <f>('Wtr-Gas'!E48)*0.0038</f>
        <v>0</v>
      </c>
      <c r="AG46" s="36">
        <f>('Wtr-Gas'!H48)*0.0038</f>
        <v>0</v>
      </c>
      <c r="AH46" s="36">
        <f>'Wtr-Gas'!K48*0.0038</f>
        <v>0</v>
      </c>
      <c r="AI46" s="36">
        <f>'Wtr-Gas'!N48*0.0038</f>
        <v>0</v>
      </c>
      <c r="AJ46" s="36">
        <f>'Wtr-Gas'!Q48*0.0038</f>
        <v>0</v>
      </c>
      <c r="AK46" s="39">
        <f>'Wtr-Gas'!U48*0.0038</f>
        <v>0</v>
      </c>
      <c r="AL46" s="39">
        <f>'Wtr-Gas'!X48*0.0038</f>
        <v>0</v>
      </c>
      <c r="AM46" s="36">
        <f>'Wtr-Gas'!AB48*0.0038</f>
        <v>0</v>
      </c>
      <c r="AN46" s="36">
        <f>'Wtr-Gas'!AD48*0.0038</f>
        <v>0</v>
      </c>
      <c r="AO46" s="36">
        <f>'Wtr-Gas'!AF48*0.0038</f>
        <v>0</v>
      </c>
      <c r="AP46" s="36">
        <f>'Wtr-Gas'!AH48*0.0038</f>
        <v>0</v>
      </c>
      <c r="AQ46" s="36">
        <f>'Wtr-Gas'!AJ48*0.0038</f>
        <v>0</v>
      </c>
      <c r="AR46" s="36">
        <f>'Wtr-Gas'!AL48*0.0038</f>
        <v>0</v>
      </c>
      <c r="AS46" s="36">
        <f>'Wtr-Gas'!AN48*0.0038</f>
        <v>0</v>
      </c>
      <c r="AT46" s="36">
        <f>'Wtr-Gas'!AP48*0.0038</f>
        <v>0</v>
      </c>
      <c r="AU46" s="39">
        <f>'Wtr-Gas'!AT48*0.0038</f>
        <v>0.15579999999999999</v>
      </c>
      <c r="AV46" s="36">
        <f>'Wtr-Gas'!AW48*0.0038</f>
        <v>136.648</v>
      </c>
      <c r="AW46" s="37">
        <f>'Wtr-Gas'!AY48*0.0038</f>
        <v>116.009516</v>
      </c>
      <c r="AX46" s="36">
        <f>'Wtr-Gas'!AZ48*0.0038</f>
        <v>20.638484000000002</v>
      </c>
      <c r="AY46" s="36">
        <f>'Wtr-Gas'!BB48*0.0038</f>
        <v>18.62</v>
      </c>
      <c r="AZ46" s="36">
        <f>'Wtr-Gas'!BD48*0.0038</f>
        <v>2.66</v>
      </c>
      <c r="BA46" s="36">
        <f>'Wtr-Gas'!BF48*0.0038</f>
        <v>17.901800000000001</v>
      </c>
      <c r="BB46" s="191">
        <f>Elect!C48</f>
        <v>301</v>
      </c>
    </row>
    <row r="47" spans="1:54" x14ac:dyDescent="0.25">
      <c r="A47" s="3" t="s">
        <v>11</v>
      </c>
      <c r="B47" s="2">
        <v>5</v>
      </c>
      <c r="C47" s="2">
        <v>10</v>
      </c>
      <c r="D47" s="2">
        <v>2020</v>
      </c>
      <c r="E47" s="34">
        <f>Elect!AX49</f>
        <v>700</v>
      </c>
      <c r="F47" s="34">
        <f>Elect!J49</f>
        <v>10578</v>
      </c>
      <c r="G47" s="34">
        <f>Elect!I49</f>
        <v>38240</v>
      </c>
      <c r="H47" s="34">
        <f>Elect!F49</f>
        <v>40800</v>
      </c>
      <c r="I47" s="34">
        <f>Elect!E49</f>
        <v>1.98</v>
      </c>
      <c r="J47" s="34">
        <f>Elect!Z49</f>
        <v>3.05</v>
      </c>
      <c r="K47" s="34">
        <f>Elect!Y49</f>
        <v>17394</v>
      </c>
      <c r="L47" s="34">
        <f>Elect!AT49</f>
        <v>44109</v>
      </c>
      <c r="M47" s="34">
        <f>Elect!AS49</f>
        <v>0</v>
      </c>
      <c r="N47" s="34">
        <f>Elect!AD49</f>
        <v>2720</v>
      </c>
      <c r="O47" s="34">
        <f>Elect!AC49</f>
        <v>1.95</v>
      </c>
      <c r="P47" s="34">
        <f>Elect!R49</f>
        <v>8400</v>
      </c>
      <c r="Q47" s="34">
        <f>Elect!Q49</f>
        <v>1.8</v>
      </c>
      <c r="R47" s="34">
        <f>Elect!N49</f>
        <v>1.88</v>
      </c>
      <c r="S47" s="34">
        <f>Elect!M49</f>
        <v>10499</v>
      </c>
      <c r="T47" s="34">
        <f>Elect!V49</f>
        <v>71500</v>
      </c>
      <c r="U47" s="34">
        <f>Elect!U49</f>
        <v>56100</v>
      </c>
      <c r="V47" s="34">
        <f>Elect!AH49</f>
        <v>17001</v>
      </c>
      <c r="W47" s="34">
        <f>Elect!AG49</f>
        <v>49400</v>
      </c>
      <c r="X47" s="34">
        <f>Elect!AL49</f>
        <v>482</v>
      </c>
      <c r="Y47" s="34">
        <f>Elect!AK49</f>
        <v>63817</v>
      </c>
      <c r="Z47" s="34">
        <f>Elect!AP49</f>
        <v>50840</v>
      </c>
      <c r="AA47" s="34">
        <f>Elect!AO49</f>
        <v>276062</v>
      </c>
      <c r="AB47" s="34">
        <f>Elect!BK49</f>
        <v>63817</v>
      </c>
      <c r="AC47" s="34">
        <f>Elect!BH49</f>
        <v>0</v>
      </c>
      <c r="AD47" s="34">
        <f>Elect!BN49</f>
        <v>0</v>
      </c>
      <c r="AE47" s="34">
        <f>Elect!BQ49</f>
        <v>0</v>
      </c>
      <c r="AF47" s="36">
        <f>('Wtr-Gas'!E49)*0.0038</f>
        <v>3095.7080000000001</v>
      </c>
      <c r="AG47" s="36">
        <f>('Wtr-Gas'!H49)*0.0038</f>
        <v>230.24199999999999</v>
      </c>
      <c r="AH47" s="36">
        <f>'Wtr-Gas'!K49*0.0038</f>
        <v>0.64600000000000002</v>
      </c>
      <c r="AI47" s="36">
        <f>'Wtr-Gas'!N49*0.0038</f>
        <v>2215.4</v>
      </c>
      <c r="AJ47" s="36">
        <f>'Wtr-Gas'!Q49*0.0038</f>
        <v>81.7</v>
      </c>
      <c r="AK47" s="39">
        <f>'Wtr-Gas'!U49*0.0038</f>
        <v>671.84</v>
      </c>
      <c r="AL47" s="39">
        <f>'Wtr-Gas'!X49*0.0038</f>
        <v>2356</v>
      </c>
      <c r="AM47" s="36">
        <f>'Wtr-Gas'!AB49*0.0038</f>
        <v>7790</v>
      </c>
      <c r="AN47" s="36">
        <f>'Wtr-Gas'!AD49*0.0038</f>
        <v>1901.4059999999999</v>
      </c>
      <c r="AO47" s="36">
        <f>'Wtr-Gas'!AF49*0.0038</f>
        <v>0.91200000000000003</v>
      </c>
      <c r="AP47" s="36">
        <f>'Wtr-Gas'!AH49*0.0038</f>
        <v>311.48599999999999</v>
      </c>
      <c r="AQ47" s="36">
        <f>'Wtr-Gas'!AJ49*0.0038</f>
        <v>18.973400000000002</v>
      </c>
      <c r="AR47" s="36">
        <f>'Wtr-Gas'!AL49*0.0038</f>
        <v>319.2</v>
      </c>
      <c r="AS47" s="36">
        <f>'Wtr-Gas'!AN49*0.0038</f>
        <v>0</v>
      </c>
      <c r="AT47" s="36">
        <f>'Wtr-Gas'!AP49*0.0038</f>
        <v>14.82</v>
      </c>
      <c r="AU47" s="39">
        <f>'Wtr-Gas'!AT49*0.0038</f>
        <v>0</v>
      </c>
      <c r="AV47" s="36">
        <f>'Wtr-Gas'!AW49*0.0038</f>
        <v>100.3048</v>
      </c>
      <c r="AW47" s="37">
        <f>'Wtr-Gas'!AY49*0.0038</f>
        <v>87.839545999999999</v>
      </c>
      <c r="AX47" s="36">
        <f>'Wtr-Gas'!AZ49*0.0038</f>
        <v>12.465254000000007</v>
      </c>
      <c r="AY47" s="36">
        <f>'Wtr-Gas'!BB49*0.0038</f>
        <v>1.52</v>
      </c>
      <c r="AZ47" s="36">
        <f>'Wtr-Gas'!BD49*0.0038</f>
        <v>0.76</v>
      </c>
      <c r="BA47" s="36">
        <f>'Wtr-Gas'!BF49*0.0038</f>
        <v>14.2728</v>
      </c>
      <c r="BB47" s="191">
        <f>Elect!C49</f>
        <v>385</v>
      </c>
    </row>
    <row r="48" spans="1:54" x14ac:dyDescent="0.25">
      <c r="A48" s="3" t="s">
        <v>11</v>
      </c>
      <c r="B48" s="2">
        <v>12</v>
      </c>
      <c r="C48" s="2">
        <v>10</v>
      </c>
      <c r="D48" s="2">
        <v>2020</v>
      </c>
      <c r="E48" s="34">
        <f>Elect!AX50</f>
        <v>1900</v>
      </c>
      <c r="F48" s="34">
        <f>Elect!J50</f>
        <v>10600</v>
      </c>
      <c r="G48" s="34">
        <f>Elect!I50</f>
        <v>47680</v>
      </c>
      <c r="H48" s="34">
        <f>Elect!F50</f>
        <v>40800</v>
      </c>
      <c r="I48" s="34">
        <f>Elect!E50</f>
        <v>1.98</v>
      </c>
      <c r="J48" s="34">
        <f>Elect!Z50</f>
        <v>3.05</v>
      </c>
      <c r="K48" s="34">
        <f>Elect!Y50</f>
        <v>17430</v>
      </c>
      <c r="L48" s="34">
        <f>Elect!AT50</f>
        <v>44116</v>
      </c>
      <c r="M48" s="34">
        <f>Elect!AS50</f>
        <v>0</v>
      </c>
      <c r="N48" s="34">
        <f>Elect!AD50</f>
        <v>2560</v>
      </c>
      <c r="O48" s="34">
        <f>Elect!AC50</f>
        <v>2</v>
      </c>
      <c r="P48" s="34">
        <f>Elect!R50</f>
        <v>8800</v>
      </c>
      <c r="Q48" s="34">
        <f>Elect!Q50</f>
        <v>2.09</v>
      </c>
      <c r="R48" s="34">
        <f>Elect!N50</f>
        <v>1.88</v>
      </c>
      <c r="S48" s="34">
        <f>Elect!M50</f>
        <v>10520</v>
      </c>
      <c r="T48" s="34">
        <f>Elect!V50</f>
        <v>71745</v>
      </c>
      <c r="U48" s="34">
        <f>Elect!U50</f>
        <v>72000</v>
      </c>
      <c r="V48" s="34">
        <f>Elect!AH50</f>
        <v>17041</v>
      </c>
      <c r="W48" s="34">
        <f>Elect!AG50</f>
        <v>50000</v>
      </c>
      <c r="X48" s="34">
        <f>Elect!AL50</f>
        <v>477</v>
      </c>
      <c r="Y48" s="34">
        <f>Elect!AK50</f>
        <v>64294</v>
      </c>
      <c r="Z48" s="34">
        <f>Elect!AP50</f>
        <v>51600</v>
      </c>
      <c r="AA48" s="34">
        <f>Elect!AO50</f>
        <v>320377</v>
      </c>
      <c r="AB48" s="34">
        <f>Elect!BK50</f>
        <v>64294</v>
      </c>
      <c r="AC48" s="34">
        <f>Elect!BH50</f>
        <v>0</v>
      </c>
      <c r="AD48" s="34">
        <f>Elect!BN50</f>
        <v>0</v>
      </c>
      <c r="AE48" s="34">
        <f>Elect!BQ50</f>
        <v>0</v>
      </c>
      <c r="AF48" s="36">
        <f>('Wtr-Gas'!E50)*0.0038</f>
        <v>3736.8440000000001</v>
      </c>
      <c r="AG48" s="36">
        <f>('Wtr-Gas'!H50)*0.0038</f>
        <v>362.52</v>
      </c>
      <c r="AH48" s="36">
        <f>'Wtr-Gas'!K50*0.0038</f>
        <v>0.60799999999999998</v>
      </c>
      <c r="AI48" s="36">
        <f>'Wtr-Gas'!N50*0.0038</f>
        <v>2553.6</v>
      </c>
      <c r="AJ48" s="36">
        <f>'Wtr-Gas'!Q50*0.0038</f>
        <v>83.22</v>
      </c>
      <c r="AK48" s="39">
        <f>'Wtr-Gas'!U50*0.0038</f>
        <v>676.78</v>
      </c>
      <c r="AL48" s="39">
        <f>'Wtr-Gas'!X50*0.0038</f>
        <v>881.6</v>
      </c>
      <c r="AM48" s="36">
        <f>'Wtr-Gas'!AB50*0.0038</f>
        <v>9500</v>
      </c>
      <c r="AN48" s="36">
        <f>'Wtr-Gas'!AD50*0.0038</f>
        <v>1384.3019999999999</v>
      </c>
      <c r="AO48" s="36">
        <f>'Wtr-Gas'!AF50*0.0038</f>
        <v>0.874</v>
      </c>
      <c r="AP48" s="36">
        <f>'Wtr-Gas'!AH50*0.0038</f>
        <v>369.36</v>
      </c>
      <c r="AQ48" s="36">
        <f>'Wtr-Gas'!AJ50*0.0038</f>
        <v>30.02</v>
      </c>
      <c r="AR48" s="36">
        <f>'Wtr-Gas'!AL50*0.0038</f>
        <v>566.20000000000005</v>
      </c>
      <c r="AS48" s="36">
        <f>'Wtr-Gas'!AN50*0.0038</f>
        <v>0</v>
      </c>
      <c r="AT48" s="36">
        <f>'Wtr-Gas'!AP50*0.0038</f>
        <v>12.54</v>
      </c>
      <c r="AU48" s="39">
        <f>'Wtr-Gas'!AT50*0.0038</f>
        <v>0.4294</v>
      </c>
      <c r="AV48" s="36">
        <f>'Wtr-Gas'!AW50*0.0038</f>
        <v>192.0444</v>
      </c>
      <c r="AW48" s="37">
        <f>'Wtr-Gas'!AY50*0.0038</f>
        <v>159.53540000000001</v>
      </c>
      <c r="AX48" s="36">
        <f>'Wtr-Gas'!AZ50*0.0038</f>
        <v>32.509</v>
      </c>
      <c r="AY48" s="36">
        <f>'Wtr-Gas'!BB50*0.0038</f>
        <v>15.58</v>
      </c>
      <c r="AZ48" s="36">
        <f>'Wtr-Gas'!BD50*0.0038</f>
        <v>2.66</v>
      </c>
      <c r="BA48" s="36">
        <f>'Wtr-Gas'!BF50*0.0038</f>
        <v>31.418399999999998</v>
      </c>
      <c r="BB48" s="191">
        <f>Elect!C50</f>
        <v>882</v>
      </c>
    </row>
    <row r="49" spans="1:54" x14ac:dyDescent="0.25">
      <c r="A49" s="3" t="s">
        <v>11</v>
      </c>
      <c r="B49" s="2">
        <v>19</v>
      </c>
      <c r="C49" s="2">
        <v>10</v>
      </c>
      <c r="D49" s="2">
        <v>2020</v>
      </c>
      <c r="E49" s="34">
        <f>Elect!AX51</f>
        <v>1900</v>
      </c>
      <c r="F49" s="34">
        <f>Elect!J51</f>
        <v>10622</v>
      </c>
      <c r="G49" s="34">
        <f>Elect!I51</f>
        <v>43840</v>
      </c>
      <c r="H49" s="34">
        <f>Elect!F51</f>
        <v>40640</v>
      </c>
      <c r="I49" s="34">
        <f>Elect!E51</f>
        <v>1.98</v>
      </c>
      <c r="J49" s="34">
        <f>Elect!Z51</f>
        <v>3.05</v>
      </c>
      <c r="K49" s="34">
        <f>Elect!Y51</f>
        <v>17466</v>
      </c>
      <c r="L49" s="34">
        <f>Elect!AT51</f>
        <v>44123</v>
      </c>
      <c r="M49" s="34">
        <f>Elect!AS51</f>
        <v>0</v>
      </c>
      <c r="N49" s="34">
        <f>Elect!AD51</f>
        <v>2880</v>
      </c>
      <c r="O49" s="34">
        <f>Elect!AC51</f>
        <v>2.08</v>
      </c>
      <c r="P49" s="34">
        <f>Elect!R51</f>
        <v>9200</v>
      </c>
      <c r="Q49" s="34">
        <f>Elect!Q51</f>
        <v>2.09</v>
      </c>
      <c r="R49" s="34">
        <f>Elect!N51</f>
        <v>1.88</v>
      </c>
      <c r="S49" s="34">
        <f>Elect!M51</f>
        <v>10541</v>
      </c>
      <c r="T49" s="34">
        <f>Elect!V51</f>
        <v>71972</v>
      </c>
      <c r="U49" s="34">
        <f>Elect!U51</f>
        <v>60000</v>
      </c>
      <c r="V49" s="34">
        <f>Elect!AH51</f>
        <v>17082</v>
      </c>
      <c r="W49" s="34">
        <f>Elect!AG51</f>
        <v>47800</v>
      </c>
      <c r="X49" s="34">
        <f>Elect!AL51</f>
        <v>476</v>
      </c>
      <c r="Y49" s="34">
        <f>Elect!AK51</f>
        <v>64770</v>
      </c>
      <c r="Z49" s="34">
        <f>Elect!AP51</f>
        <v>49440</v>
      </c>
      <c r="AA49" s="34">
        <f>Elect!AO51</f>
        <v>297536</v>
      </c>
      <c r="AB49" s="34">
        <f>Elect!BK51</f>
        <v>64770</v>
      </c>
      <c r="AC49" s="34">
        <f>Elect!BH51</f>
        <v>0</v>
      </c>
      <c r="AD49" s="34">
        <f>Elect!BN51</f>
        <v>0</v>
      </c>
      <c r="AE49" s="34">
        <f>Elect!BQ51</f>
        <v>0</v>
      </c>
      <c r="AF49" s="36">
        <f>('Wtr-Gas'!E51)*0.0038</f>
        <v>4047.4180000000001</v>
      </c>
      <c r="AG49" s="36">
        <f>('Wtr-Gas'!H51)*0.0038</f>
        <v>455.96199999999999</v>
      </c>
      <c r="AH49" s="36">
        <f>'Wtr-Gas'!K51*0.0038</f>
        <v>0.60799999999999998</v>
      </c>
      <c r="AI49" s="36">
        <f>'Wtr-Gas'!N51*0.0038</f>
        <v>2766.4</v>
      </c>
      <c r="AJ49" s="36">
        <f>'Wtr-Gas'!Q51*0.0038</f>
        <v>84.36</v>
      </c>
      <c r="AK49" s="39">
        <f>'Wtr-Gas'!U51*0.0038</f>
        <v>688.56</v>
      </c>
      <c r="AL49" s="39">
        <f>'Wtr-Gas'!X51*0.0038</f>
        <v>1235</v>
      </c>
      <c r="AM49" s="36">
        <f>'Wtr-Gas'!AB51*0.0038</f>
        <v>10450</v>
      </c>
      <c r="AN49" s="36">
        <f>'Wtr-Gas'!AD51*0.0038</f>
        <v>3386.7439199999999</v>
      </c>
      <c r="AO49" s="36">
        <f>'Wtr-Gas'!AF51*0.0038</f>
        <v>5.5860000000000003</v>
      </c>
      <c r="AP49" s="36">
        <f>'Wtr-Gas'!AH51*0.0038</f>
        <v>407.39800000000002</v>
      </c>
      <c r="AQ49" s="36">
        <f>'Wtr-Gas'!AJ51*0.0038</f>
        <v>31.832599999999999</v>
      </c>
      <c r="AR49" s="36">
        <f>'Wtr-Gas'!AL51*0.0038</f>
        <v>642.20000000000005</v>
      </c>
      <c r="AS49" s="36">
        <f>'Wtr-Gas'!AN51*0.0038</f>
        <v>0</v>
      </c>
      <c r="AT49" s="36">
        <f>'Wtr-Gas'!AP51*0.0038</f>
        <v>22.8</v>
      </c>
      <c r="AU49" s="39">
        <f>'Wtr-Gas'!AT51*0.0038</f>
        <v>0.31919999999999998</v>
      </c>
      <c r="AV49" s="36">
        <f>'Wtr-Gas'!AW51*0.0038</f>
        <v>199.00219999999999</v>
      </c>
      <c r="AW49" s="37">
        <f>'Wtr-Gas'!AY51*0.0038</f>
        <v>151.8176</v>
      </c>
      <c r="AX49" s="36">
        <f>'Wtr-Gas'!AZ51*0.0038</f>
        <v>47.184600000000003</v>
      </c>
      <c r="AY49" s="36">
        <f>'Wtr-Gas'!BB51*0.0038</f>
        <v>8.74</v>
      </c>
      <c r="AZ49" s="36">
        <f>'Wtr-Gas'!BD51*0.0038</f>
        <v>2.66</v>
      </c>
      <c r="BA49" s="36">
        <f>'Wtr-Gas'!BF51*0.0038</f>
        <v>613.90520000000004</v>
      </c>
      <c r="BB49" s="191">
        <f>Elect!C51</f>
        <v>731</v>
      </c>
    </row>
    <row r="50" spans="1:54" x14ac:dyDescent="0.25">
      <c r="A50" s="3" t="s">
        <v>11</v>
      </c>
      <c r="B50" s="2">
        <v>26</v>
      </c>
      <c r="C50" s="2">
        <v>10</v>
      </c>
      <c r="D50" s="2">
        <v>2020</v>
      </c>
      <c r="E50" s="34">
        <f>Elect!AX52</f>
        <v>1800</v>
      </c>
      <c r="F50" s="34">
        <f>Elect!J52</f>
        <v>10642</v>
      </c>
      <c r="G50" s="34">
        <f>Elect!I52</f>
        <v>43840</v>
      </c>
      <c r="H50" s="34">
        <f>Elect!F52</f>
        <v>39360</v>
      </c>
      <c r="I50" s="34">
        <f>Elect!E52</f>
        <v>1.9039999999999999</v>
      </c>
      <c r="J50" s="34">
        <f>Elect!Z52</f>
        <v>2.73</v>
      </c>
      <c r="K50" s="34">
        <f>Elect!Y52</f>
        <v>17502</v>
      </c>
      <c r="L50" s="34">
        <f>Elect!AT52</f>
        <v>44130</v>
      </c>
      <c r="M50" s="34">
        <f>Elect!AS52</f>
        <v>0</v>
      </c>
      <c r="N50" s="34">
        <f>Elect!AD52</f>
        <v>2720</v>
      </c>
      <c r="O50" s="34">
        <f>Elect!AC52</f>
        <v>1.69</v>
      </c>
      <c r="P50" s="34">
        <f>Elect!R52</f>
        <v>8400</v>
      </c>
      <c r="Q50" s="34">
        <f>Elect!Q52</f>
        <v>1.76</v>
      </c>
      <c r="R50" s="34">
        <f>Elect!N52</f>
        <v>1.51</v>
      </c>
      <c r="S50" s="34">
        <f>Elect!M52</f>
        <v>10561</v>
      </c>
      <c r="T50" s="34">
        <f>Elect!V52</f>
        <v>72163</v>
      </c>
      <c r="U50" s="34">
        <f>Elect!U52</f>
        <v>71100</v>
      </c>
      <c r="V50" s="34">
        <f>Elect!AH52</f>
        <v>17120</v>
      </c>
      <c r="W50" s="34">
        <f>Elect!AG52</f>
        <v>47800</v>
      </c>
      <c r="X50" s="34">
        <f>Elect!AL52</f>
        <v>493</v>
      </c>
      <c r="Y50" s="34">
        <f>Elect!AK52</f>
        <v>65263</v>
      </c>
      <c r="Z50" s="34">
        <f>Elect!AP52</f>
        <v>49320</v>
      </c>
      <c r="AA50" s="34">
        <f>Elect!AO52</f>
        <v>294293</v>
      </c>
      <c r="AB50" s="34">
        <f>Elect!BK52</f>
        <v>65263</v>
      </c>
      <c r="AC50" s="34">
        <f>Elect!BH52</f>
        <v>0</v>
      </c>
      <c r="AD50" s="34">
        <f>Elect!BN52</f>
        <v>0</v>
      </c>
      <c r="AE50" s="34">
        <f>Elect!BQ52</f>
        <v>0</v>
      </c>
      <c r="AF50" s="36">
        <f>('Wtr-Gas'!E52)*0.0038</f>
        <v>4047.4180000000001</v>
      </c>
      <c r="AG50" s="36">
        <f>('Wtr-Gas'!H52)*0.0038</f>
        <v>455.96199999999999</v>
      </c>
      <c r="AH50" s="36">
        <f>'Wtr-Gas'!K52*0.0038</f>
        <v>0.60799999999999998</v>
      </c>
      <c r="AI50" s="36">
        <f>'Wtr-Gas'!N52*0.0038</f>
        <v>2766.4</v>
      </c>
      <c r="AJ50" s="36">
        <f>'Wtr-Gas'!Q52*0.0038</f>
        <v>84.36</v>
      </c>
      <c r="AK50" s="39">
        <f>'Wtr-Gas'!U52*0.0038</f>
        <v>688.56</v>
      </c>
      <c r="AL50" s="39">
        <f>'Wtr-Gas'!X52*0.0038</f>
        <v>1235</v>
      </c>
      <c r="AM50" s="36">
        <f>'Wtr-Gas'!AB52*0.0038</f>
        <v>10450</v>
      </c>
      <c r="AN50" s="36">
        <f>'Wtr-Gas'!AD52*0.0038</f>
        <v>3386.7439199999999</v>
      </c>
      <c r="AO50" s="36">
        <f>'Wtr-Gas'!AF52*0.0038</f>
        <v>5.5860000000000003</v>
      </c>
      <c r="AP50" s="36">
        <f>'Wtr-Gas'!AH52*0.0038</f>
        <v>407.39800000000002</v>
      </c>
      <c r="AQ50" s="36">
        <f>'Wtr-Gas'!AJ52*0.0038</f>
        <v>31.832599999999999</v>
      </c>
      <c r="AR50" s="36">
        <f>'Wtr-Gas'!AL52*0.0038</f>
        <v>642.20000000000005</v>
      </c>
      <c r="AS50" s="36">
        <f>'Wtr-Gas'!AN52*0.0038</f>
        <v>0</v>
      </c>
      <c r="AT50" s="36">
        <f>'Wtr-Gas'!AP52*0.0038</f>
        <v>22.8</v>
      </c>
      <c r="AU50" s="39">
        <f>'Wtr-Gas'!AT52*0.0038</f>
        <v>0.31919999999999998</v>
      </c>
      <c r="AV50" s="36">
        <f>'Wtr-Gas'!AW52*0.0038</f>
        <v>199.00219999999999</v>
      </c>
      <c r="AW50" s="37">
        <f>'Wtr-Gas'!AY52*0.0038</f>
        <v>151.8176</v>
      </c>
      <c r="AX50" s="36">
        <f>'Wtr-Gas'!AZ52*0.0038</f>
        <v>47.184600000000003</v>
      </c>
      <c r="AY50" s="36">
        <f>'Wtr-Gas'!BB52*0.0038</f>
        <v>8.74</v>
      </c>
      <c r="AZ50" s="36">
        <f>'Wtr-Gas'!BD52*0.0038</f>
        <v>2.66</v>
      </c>
      <c r="BA50" s="36">
        <f>'Wtr-Gas'!BF52*0.0038</f>
        <v>613.90520000000004</v>
      </c>
      <c r="BB50" s="191">
        <f>Elect!C52</f>
        <v>611</v>
      </c>
    </row>
    <row r="51" spans="1:54" x14ac:dyDescent="0.25">
      <c r="A51" s="3" t="s">
        <v>11</v>
      </c>
      <c r="B51" s="2">
        <v>1</v>
      </c>
      <c r="C51" s="2">
        <v>11</v>
      </c>
      <c r="D51" s="2">
        <v>2020</v>
      </c>
      <c r="E51" s="34">
        <f>Elect!AX53</f>
        <v>1500</v>
      </c>
      <c r="F51" s="34">
        <f>Elect!J53</f>
        <v>10661</v>
      </c>
      <c r="G51" s="34">
        <f>Elect!I53</f>
        <v>42880</v>
      </c>
      <c r="H51" s="34">
        <f>Elect!F53</f>
        <v>39040</v>
      </c>
      <c r="I51" s="34">
        <f>Elect!E53</f>
        <v>1.9039999999999999</v>
      </c>
      <c r="J51" s="34">
        <f>Elect!Z53</f>
        <v>2.96</v>
      </c>
      <c r="K51" s="34">
        <f>Elect!Y53</f>
        <v>17536</v>
      </c>
      <c r="L51" s="34">
        <f>Elect!AT53</f>
        <v>44136</v>
      </c>
      <c r="M51" s="34">
        <f>Elect!AS53</f>
        <v>0</v>
      </c>
      <c r="N51" s="34">
        <f>Elect!AD53</f>
        <v>2400</v>
      </c>
      <c r="O51" s="34">
        <f>Elect!AC53</f>
        <v>1.69</v>
      </c>
      <c r="P51" s="34">
        <f>Elect!R53</f>
        <v>8000</v>
      </c>
      <c r="Q51" s="34">
        <f>Elect!Q53</f>
        <v>1.76</v>
      </c>
      <c r="R51" s="34">
        <f>Elect!N53</f>
        <v>1.51</v>
      </c>
      <c r="S51" s="34">
        <f>Elect!M53</f>
        <v>10581</v>
      </c>
      <c r="T51" s="34">
        <f>Elect!V53</f>
        <v>72352</v>
      </c>
      <c r="U51" s="34">
        <f>Elect!U53</f>
        <v>53700</v>
      </c>
      <c r="V51" s="34">
        <f>Elect!AH53</f>
        <v>17160</v>
      </c>
      <c r="W51" s="34">
        <f>Elect!AG53</f>
        <v>48000</v>
      </c>
      <c r="X51" s="34">
        <f>Elect!AL53</f>
        <v>504</v>
      </c>
      <c r="Y51" s="34">
        <f>Elect!AK53</f>
        <v>65767</v>
      </c>
      <c r="Z51" s="34">
        <f>Elect!AP53</f>
        <v>49600</v>
      </c>
      <c r="AA51" s="34">
        <f>Elect!AO53</f>
        <v>273864</v>
      </c>
      <c r="AB51" s="34">
        <f>Elect!BK53</f>
        <v>65767</v>
      </c>
      <c r="AC51" s="34">
        <f>Elect!BH53</f>
        <v>0</v>
      </c>
      <c r="AD51" s="34">
        <f>Elect!BN53</f>
        <v>0</v>
      </c>
      <c r="AE51" s="34">
        <f>Elect!BQ53</f>
        <v>0</v>
      </c>
      <c r="AF51" s="36">
        <f>('Wtr-Gas'!E53)*0.0038</f>
        <v>4066.4180000000001</v>
      </c>
      <c r="AG51" s="36">
        <f>('Wtr-Gas'!H53)*0.0038</f>
        <v>285.03800000000001</v>
      </c>
      <c r="AH51" s="36">
        <f>'Wtr-Gas'!K53*0.0038</f>
        <v>0.60799999999999998</v>
      </c>
      <c r="AI51" s="36">
        <f>'Wtr-Gas'!N53*0.0038</f>
        <v>2576.4</v>
      </c>
      <c r="AJ51" s="36">
        <f>'Wtr-Gas'!Q53*0.0038</f>
        <v>83.6</v>
      </c>
      <c r="AK51" s="39">
        <f>'Wtr-Gas'!U53*0.0038</f>
        <v>644.86</v>
      </c>
      <c r="AL51" s="39">
        <f>'Wtr-Gas'!X53*0.0038</f>
        <v>2025.4</v>
      </c>
      <c r="AM51" s="36">
        <f>'Wtr-Gas'!AB53*0.0038</f>
        <v>9766</v>
      </c>
      <c r="AN51" s="36">
        <f>'Wtr-Gas'!AD53*0.0038</f>
        <v>3089.7708800000005</v>
      </c>
      <c r="AO51" s="36">
        <f>'Wtr-Gas'!AF53*0.0038</f>
        <v>4.0279999999999996</v>
      </c>
      <c r="AP51" s="36">
        <f>'Wtr-Gas'!AH53*0.0038</f>
        <v>706.76199999999994</v>
      </c>
      <c r="AQ51" s="36">
        <f>'Wtr-Gas'!AJ53*0.0038</f>
        <v>39.687199999999997</v>
      </c>
      <c r="AR51" s="36">
        <f>'Wtr-Gas'!AL53*0.0038</f>
        <v>532</v>
      </c>
      <c r="AS51" s="36">
        <f>'Wtr-Gas'!AN53*0.0038</f>
        <v>3.8</v>
      </c>
      <c r="AT51" s="36">
        <f>'Wtr-Gas'!AP53*0.0038</f>
        <v>13.68</v>
      </c>
      <c r="AU51" s="39">
        <f>'Wtr-Gas'!AT53*0.0038</f>
        <v>0.437</v>
      </c>
      <c r="AV51" s="36">
        <f>'Wtr-Gas'!AW53*0.0038</f>
        <v>192.4434</v>
      </c>
      <c r="AW51" s="37">
        <f>'Wtr-Gas'!AY53*0.0038</f>
        <v>153.15759399999999</v>
      </c>
      <c r="AX51" s="36">
        <f>'Wtr-Gas'!AZ53*0.0038</f>
        <v>39.285806000000008</v>
      </c>
      <c r="AY51" s="36">
        <f>'Wtr-Gas'!BB53*0.0038</f>
        <v>20.9</v>
      </c>
      <c r="AZ51" s="36">
        <f>'Wtr-Gas'!BD53*0.0038</f>
        <v>2.66</v>
      </c>
      <c r="BA51" s="36">
        <f>'Wtr-Gas'!BF53*0.0038</f>
        <v>34.431800000000003</v>
      </c>
      <c r="BB51" s="191">
        <f>Elect!C53</f>
        <v>502</v>
      </c>
    </row>
    <row r="52" spans="1:54" x14ac:dyDescent="0.25">
      <c r="A52" s="3" t="s">
        <v>11</v>
      </c>
      <c r="B52" s="2">
        <v>2</v>
      </c>
      <c r="C52" s="2">
        <v>11</v>
      </c>
      <c r="D52" s="2">
        <v>2020</v>
      </c>
      <c r="E52" s="34">
        <f>Elect!AX55</f>
        <v>2000</v>
      </c>
      <c r="F52" s="34">
        <f>Elect!J55</f>
        <v>10681</v>
      </c>
      <c r="G52" s="34">
        <f>Elect!I55</f>
        <v>43200</v>
      </c>
      <c r="H52" s="34">
        <f>Elect!F55</f>
        <v>40000</v>
      </c>
      <c r="I52" s="34">
        <f>Elect!E55</f>
        <v>1.925</v>
      </c>
      <c r="J52" s="34">
        <f>Elect!Z55</f>
        <v>3.12</v>
      </c>
      <c r="K52" s="34">
        <f>Elect!Y55</f>
        <v>17570</v>
      </c>
      <c r="L52" s="34">
        <f>Elect!AT55</f>
        <v>44144</v>
      </c>
      <c r="M52" s="34">
        <f>Elect!AS55</f>
        <v>0</v>
      </c>
      <c r="N52" s="34">
        <f>Elect!AD55</f>
        <v>2560</v>
      </c>
      <c r="O52" s="34">
        <f>Elect!AC55</f>
        <v>1.69</v>
      </c>
      <c r="P52" s="34">
        <f>Elect!R55</f>
        <v>8000</v>
      </c>
      <c r="Q52" s="34">
        <f>Elect!Q55</f>
        <v>1.77</v>
      </c>
      <c r="R52" s="34">
        <f>Elect!N55</f>
        <v>1.63</v>
      </c>
      <c r="S52" s="34">
        <f>Elect!M55</f>
        <v>10603</v>
      </c>
      <c r="T52" s="34">
        <f>Elect!V55</f>
        <v>72468</v>
      </c>
      <c r="U52" s="34">
        <f>Elect!U55</f>
        <v>61500</v>
      </c>
      <c r="V52" s="34">
        <f>Elect!AH55</f>
        <v>17198</v>
      </c>
      <c r="W52" s="34">
        <f>Elect!AG55</f>
        <v>46000</v>
      </c>
      <c r="X52" s="34">
        <f>Elect!AL55</f>
        <v>504</v>
      </c>
      <c r="Y52" s="34">
        <f>Elect!AK55</f>
        <v>66271</v>
      </c>
      <c r="Z52" s="34">
        <f>Elect!AP55</f>
        <v>47520</v>
      </c>
      <c r="AA52" s="34">
        <f>Elect!AO55</f>
        <v>260324</v>
      </c>
      <c r="AB52" s="34">
        <f>Elect!BK55</f>
        <v>66271</v>
      </c>
      <c r="AC52" s="34">
        <f>Elect!BH55</f>
        <v>0</v>
      </c>
      <c r="AD52" s="34">
        <f>Elect!BN55</f>
        <v>0</v>
      </c>
      <c r="AE52" s="34">
        <f>Elect!BQ55</f>
        <v>0</v>
      </c>
      <c r="AF52" s="36">
        <f>('Wtr-Gas'!E54)*0.0038</f>
        <v>3543.2339999999999</v>
      </c>
      <c r="AG52" s="36">
        <f>('Wtr-Gas'!H54)*0.0038</f>
        <v>360.50599999999997</v>
      </c>
      <c r="AH52" s="36">
        <f>'Wtr-Gas'!K54*0.0038</f>
        <v>0.64600000000000002</v>
      </c>
      <c r="AI52" s="36">
        <f>'Wtr-Gas'!N54*0.0038</f>
        <v>2302.8000000000002</v>
      </c>
      <c r="AJ52" s="36">
        <f>'Wtr-Gas'!Q54*0.0038</f>
        <v>68.02</v>
      </c>
      <c r="AK52" s="39">
        <f>'Wtr-Gas'!U54*0.0038</f>
        <v>590.14</v>
      </c>
      <c r="AL52" s="39">
        <f>'Wtr-Gas'!X54*0.0038</f>
        <v>2029.2</v>
      </c>
      <c r="AM52" s="36">
        <f>'Wtr-Gas'!AB54*0.0038</f>
        <v>8664</v>
      </c>
      <c r="AN52" s="36">
        <f>'Wtr-Gas'!AD54*0.0038</f>
        <v>2149.0865799999997</v>
      </c>
      <c r="AO52" s="36">
        <f>'Wtr-Gas'!AF54*0.0038</f>
        <v>12.311999999999999</v>
      </c>
      <c r="AP52" s="36">
        <f>'Wtr-Gas'!AH54*0.0038</f>
        <v>391.89400000000001</v>
      </c>
      <c r="AQ52" s="36">
        <f>'Wtr-Gas'!AJ54*0.0038</f>
        <v>42.575200000000002</v>
      </c>
      <c r="AR52" s="36">
        <f>'Wtr-Gas'!AL54*0.0038</f>
        <v>623.20000000000005</v>
      </c>
      <c r="AS52" s="36">
        <f>'Wtr-Gas'!AN54*0.0038</f>
        <v>0</v>
      </c>
      <c r="AT52" s="36">
        <f>'Wtr-Gas'!AP54*0.0038</f>
        <v>12.16</v>
      </c>
      <c r="AU52" s="39">
        <f>'Wtr-Gas'!AT54*0.0038</f>
        <v>0.22420000000000001</v>
      </c>
      <c r="AV52" s="36">
        <f>'Wtr-Gas'!AW54*0.0038</f>
        <v>164.8022</v>
      </c>
      <c r="AW52" s="37">
        <f>'Wtr-Gas'!AY54*0.0038</f>
        <v>137.69341800000001</v>
      </c>
      <c r="AX52" s="36">
        <f>'Wtr-Gas'!AZ54*0.0038</f>
        <v>27.108781999999998</v>
      </c>
      <c r="AY52" s="36">
        <f>'Wtr-Gas'!BB54*0.0038</f>
        <v>8.74</v>
      </c>
      <c r="AZ52" s="36">
        <f>'Wtr-Gas'!BD54*0.0038</f>
        <v>2.66</v>
      </c>
      <c r="BA52" s="36">
        <f>'Wtr-Gas'!BF54*0.0038</f>
        <v>370.13139999999999</v>
      </c>
      <c r="BB52" s="191">
        <f>Elect!C55</f>
        <v>676</v>
      </c>
    </row>
    <row r="53" spans="1:54" x14ac:dyDescent="0.25">
      <c r="A53" s="3" t="s">
        <v>11</v>
      </c>
      <c r="B53" s="2">
        <v>9</v>
      </c>
      <c r="C53" s="2">
        <v>11</v>
      </c>
      <c r="D53" s="2">
        <v>2020</v>
      </c>
      <c r="E53" s="34">
        <f>Elect!AX56</f>
        <v>1900</v>
      </c>
      <c r="F53" s="34">
        <f>Elect!J56</f>
        <v>10702</v>
      </c>
      <c r="G53" s="34">
        <f>Elect!I56</f>
        <v>43360</v>
      </c>
      <c r="H53" s="34">
        <f>Elect!F56</f>
        <v>39360</v>
      </c>
      <c r="I53" s="34">
        <f>Elect!E56</f>
        <v>1.925</v>
      </c>
      <c r="J53" s="34">
        <f>Elect!Z56</f>
        <v>3.12</v>
      </c>
      <c r="K53" s="34">
        <f>Elect!Y56</f>
        <v>17603</v>
      </c>
      <c r="L53" s="34">
        <f>Elect!AT56</f>
        <v>44151</v>
      </c>
      <c r="M53" s="34">
        <f>Elect!AS56</f>
        <v>0</v>
      </c>
      <c r="N53" s="34">
        <f>Elect!AD56</f>
        <v>2560</v>
      </c>
      <c r="O53" s="34">
        <f>Elect!AC56</f>
        <v>1.74</v>
      </c>
      <c r="P53" s="34">
        <f>Elect!R56</f>
        <v>8000</v>
      </c>
      <c r="Q53" s="34">
        <f>Elect!Q56</f>
        <v>1.77</v>
      </c>
      <c r="R53" s="34">
        <f>Elect!N56</f>
        <v>1.63</v>
      </c>
      <c r="S53" s="34">
        <f>Elect!M56</f>
        <v>10623</v>
      </c>
      <c r="T53" s="34">
        <f>Elect!V56</f>
        <v>72703</v>
      </c>
      <c r="U53" s="34">
        <f>Elect!U56</f>
        <v>53700</v>
      </c>
      <c r="V53" s="34">
        <f>Elect!AH56</f>
        <v>17236</v>
      </c>
      <c r="W53" s="34">
        <f>Elect!AG56</f>
        <v>49600</v>
      </c>
      <c r="X53" s="34">
        <f>Elect!AL56</f>
        <v>508</v>
      </c>
      <c r="Y53" s="34">
        <f>Elect!AK56</f>
        <v>66779</v>
      </c>
      <c r="Z53" s="34">
        <f>Elect!AP56</f>
        <v>51120</v>
      </c>
      <c r="AA53" s="34">
        <f>Elect!AO56</f>
        <v>290788</v>
      </c>
      <c r="AB53" s="34">
        <f>Elect!BK56</f>
        <v>0</v>
      </c>
      <c r="AC53" s="34">
        <f>Elect!BH56</f>
        <v>0</v>
      </c>
      <c r="AD53" s="34">
        <f>Elect!BN56</f>
        <v>0</v>
      </c>
      <c r="AE53" s="34">
        <f>Elect!BQ56</f>
        <v>0</v>
      </c>
      <c r="AF53" s="36">
        <f>('Wtr-Gas'!E55)*0.0038</f>
        <v>3290.306</v>
      </c>
      <c r="AG53" s="36">
        <f>('Wtr-Gas'!H55)*0.0038</f>
        <v>489.70600000000002</v>
      </c>
      <c r="AH53" s="36">
        <f>'Wtr-Gas'!K55*0.0038</f>
        <v>0.64600000000000002</v>
      </c>
      <c r="AI53" s="36">
        <f>'Wtr-Gas'!N55*0.0038</f>
        <v>2048.1999999999998</v>
      </c>
      <c r="AJ53" s="36">
        <f>'Wtr-Gas'!Q55*0.0038</f>
        <v>68.78</v>
      </c>
      <c r="AK53" s="39">
        <f>'Wtr-Gas'!U55*0.0038</f>
        <v>659.3</v>
      </c>
      <c r="AL53" s="39">
        <f>'Wtr-Gas'!X55*0.0038</f>
        <v>4647.3999999999996</v>
      </c>
      <c r="AM53" s="36">
        <f>'Wtr-Gas'!AB55*0.0038</f>
        <v>5966</v>
      </c>
      <c r="AN53" s="36">
        <f>'Wtr-Gas'!AD55*0.0038</f>
        <v>680.51996000000008</v>
      </c>
      <c r="AO53" s="36">
        <f>'Wtr-Gas'!AF55*0.0038</f>
        <v>4.9020000000000001</v>
      </c>
      <c r="AP53" s="36">
        <f>'Wtr-Gas'!AH55*0.0038</f>
        <v>387.63799999999998</v>
      </c>
      <c r="AQ53" s="36">
        <f>'Wtr-Gas'!AJ55*0.0038</f>
        <v>37.2438</v>
      </c>
      <c r="AR53" s="36">
        <f>'Wtr-Gas'!AL55*0.0038</f>
        <v>668.8</v>
      </c>
      <c r="AS53" s="36">
        <f>'Wtr-Gas'!AN55*0.0038</f>
        <v>0</v>
      </c>
      <c r="AT53" s="36">
        <f>'Wtr-Gas'!AP55*0.0038</f>
        <v>3.42</v>
      </c>
      <c r="AU53" s="39">
        <f>'Wtr-Gas'!AT55*0.0038</f>
        <v>0.27739999999999998</v>
      </c>
      <c r="AV53" s="36">
        <f>'Wtr-Gas'!AW55*0.0038</f>
        <v>201.8142</v>
      </c>
      <c r="AW53" s="37">
        <f>'Wtr-Gas'!AY55*0.0038</f>
        <v>174.33982</v>
      </c>
      <c r="AX53" s="36">
        <f>'Wtr-Gas'!AZ55*0.0038</f>
        <v>27.474379999999993</v>
      </c>
      <c r="AY53" s="36">
        <f>'Wtr-Gas'!BB55*0.0038</f>
        <v>6.46</v>
      </c>
      <c r="AZ53" s="36">
        <f>'Wtr-Gas'!BD55*0.0038</f>
        <v>3.42</v>
      </c>
      <c r="BA53" s="36">
        <f>'Wtr-Gas'!BF55*0.0038</f>
        <v>2219.3519999999999</v>
      </c>
      <c r="BB53" s="191">
        <f>Elect!C56</f>
        <v>684</v>
      </c>
    </row>
    <row r="54" spans="1:54" x14ac:dyDescent="0.25">
      <c r="A54" s="3" t="s">
        <v>11</v>
      </c>
      <c r="B54" s="2">
        <v>16</v>
      </c>
      <c r="C54" s="2">
        <v>11</v>
      </c>
      <c r="D54" s="2">
        <v>2020</v>
      </c>
      <c r="E54" s="34">
        <f>Elect!AX57</f>
        <v>1500</v>
      </c>
      <c r="F54" s="34">
        <f>Elect!J57</f>
        <v>10724</v>
      </c>
      <c r="G54" s="34">
        <f>Elect!I57</f>
        <v>43840</v>
      </c>
      <c r="H54" s="34">
        <f>Elect!F57</f>
        <v>40320</v>
      </c>
      <c r="I54" s="34">
        <f>Elect!E57</f>
        <v>1.8</v>
      </c>
      <c r="J54" s="34">
        <f>Elect!Z57</f>
        <v>3.36</v>
      </c>
      <c r="K54" s="34">
        <f>Elect!Y57</f>
        <v>17639</v>
      </c>
      <c r="L54" s="34">
        <f>Elect!AT57</f>
        <v>44158</v>
      </c>
      <c r="M54" s="34">
        <f>Elect!AS57</f>
        <v>0</v>
      </c>
      <c r="N54" s="34">
        <f>Elect!AD57</f>
        <v>3040</v>
      </c>
      <c r="O54" s="34">
        <f>Elect!AC57</f>
        <v>1.45</v>
      </c>
      <c r="P54" s="34">
        <f>Elect!R57</f>
        <v>8400</v>
      </c>
      <c r="Q54" s="34">
        <f>Elect!Q57</f>
        <v>1.56</v>
      </c>
      <c r="R54" s="34">
        <f>Elect!N57</f>
        <v>1.65</v>
      </c>
      <c r="S54" s="34">
        <f>Elect!M57</f>
        <v>10645</v>
      </c>
      <c r="T54" s="34">
        <f>Elect!V57</f>
        <v>72856</v>
      </c>
      <c r="U54" s="34">
        <f>Elect!U57</f>
        <v>47400</v>
      </c>
      <c r="V54" s="34">
        <f>Elect!AH57</f>
        <v>17273</v>
      </c>
      <c r="W54" s="34">
        <f>Elect!AG57</f>
        <v>50400</v>
      </c>
      <c r="X54" s="34">
        <f>Elect!AL57</f>
        <v>525</v>
      </c>
      <c r="Y54" s="34">
        <f>Elect!AK57</f>
        <v>67304</v>
      </c>
      <c r="Z54" s="34">
        <f>Elect!AP57</f>
        <v>51880</v>
      </c>
      <c r="AA54" s="34">
        <f>Elect!AO57</f>
        <v>264665</v>
      </c>
      <c r="AB54" s="34">
        <f>Elect!BK57</f>
        <v>0</v>
      </c>
      <c r="AC54" s="34">
        <f>Elect!BH57</f>
        <v>0</v>
      </c>
      <c r="AD54" s="34">
        <f>Elect!BN57</f>
        <v>0</v>
      </c>
      <c r="AE54" s="34">
        <f>Elect!BQ57</f>
        <v>0</v>
      </c>
      <c r="AF54" s="36">
        <f>('Wtr-Gas'!E56)*0.0038</f>
        <v>3075.1880000000001</v>
      </c>
      <c r="AG54" s="36">
        <f>('Wtr-Gas'!H56)*0.0038</f>
        <v>237.994</v>
      </c>
      <c r="AH54" s="36">
        <f>'Wtr-Gas'!K56*0.0038</f>
        <v>0.64600000000000002</v>
      </c>
      <c r="AI54" s="36">
        <f>'Wtr-Gas'!N56*0.0038</f>
        <v>2223</v>
      </c>
      <c r="AJ54" s="36">
        <f>'Wtr-Gas'!Q56*0.0038</f>
        <v>70.680000000000007</v>
      </c>
      <c r="AK54" s="39">
        <f>'Wtr-Gas'!U56*0.0038</f>
        <v>669.56</v>
      </c>
      <c r="AL54" s="39">
        <f>'Wtr-Gas'!X56*0.0038</f>
        <v>2663.8</v>
      </c>
      <c r="AM54" s="36">
        <f>'Wtr-Gas'!AB56*0.0038</f>
        <v>8550</v>
      </c>
      <c r="AN54" s="36">
        <f>'Wtr-Gas'!AD56*0.0038</f>
        <v>1967.8999200000001</v>
      </c>
      <c r="AO54" s="36">
        <f>'Wtr-Gas'!AF56*0.0038</f>
        <v>1.216</v>
      </c>
      <c r="AP54" s="36">
        <f>'Wtr-Gas'!AH56*0.0038</f>
        <v>386.23199999999997</v>
      </c>
      <c r="AQ54" s="36">
        <f>'Wtr-Gas'!AJ56*0.0038</f>
        <v>14.7934</v>
      </c>
      <c r="AR54" s="36">
        <f>'Wtr-Gas'!AL56*0.0038</f>
        <v>345.8</v>
      </c>
      <c r="AS54" s="36">
        <f>'Wtr-Gas'!AN56*0.0038</f>
        <v>-1.52E-2</v>
      </c>
      <c r="AT54" s="36">
        <f>'Wtr-Gas'!AP56*0.0038</f>
        <v>3.8</v>
      </c>
      <c r="AU54" s="39">
        <f>'Wtr-Gas'!AT56*0.0038</f>
        <v>0.37240000000000001</v>
      </c>
      <c r="AV54" s="36">
        <f>'Wtr-Gas'!AW56*0.0038</f>
        <v>211.0026</v>
      </c>
      <c r="AW54" s="37">
        <f>'Wtr-Gas'!AY56*0.0038</f>
        <v>175.5866</v>
      </c>
      <c r="AX54" s="36">
        <f>'Wtr-Gas'!AZ56*0.0038</f>
        <v>35.417139999999996</v>
      </c>
      <c r="AY54" s="36">
        <f>'Wtr-Gas'!BB56*0.0038</f>
        <v>6.84</v>
      </c>
      <c r="AZ54" s="36">
        <f>'Wtr-Gas'!BD56*0.0038</f>
        <v>2.66</v>
      </c>
      <c r="BA54" s="36">
        <f>'Wtr-Gas'!BF56*0.0038</f>
        <v>35.298200000000001</v>
      </c>
      <c r="BB54" s="191">
        <f>Elect!C57</f>
        <v>870</v>
      </c>
    </row>
    <row r="55" spans="1:54" x14ac:dyDescent="0.25">
      <c r="A55" s="3" t="s">
        <v>11</v>
      </c>
      <c r="B55" s="2">
        <v>23</v>
      </c>
      <c r="C55" s="2">
        <v>11</v>
      </c>
      <c r="D55" s="2">
        <v>2020</v>
      </c>
      <c r="E55" s="34">
        <f>Elect!AX58</f>
        <v>1700</v>
      </c>
      <c r="F55" s="34">
        <f>Elect!J58</f>
        <v>10746</v>
      </c>
      <c r="G55" s="34">
        <f>Elect!I58</f>
        <v>45120</v>
      </c>
      <c r="H55" s="34">
        <f>Elect!F58</f>
        <v>41920</v>
      </c>
      <c r="I55" s="34">
        <f>Elect!E58</f>
        <v>2.0739999999999998</v>
      </c>
      <c r="J55" s="34">
        <f>Elect!Z58</f>
        <v>3.36</v>
      </c>
      <c r="K55" s="34">
        <f>Elect!Y58</f>
        <v>17670</v>
      </c>
      <c r="L55" s="34">
        <f>Elect!AT58</f>
        <v>44165</v>
      </c>
      <c r="M55" s="34">
        <f>Elect!AS58</f>
        <v>0</v>
      </c>
      <c r="N55" s="34">
        <f>Elect!AD58</f>
        <v>2560</v>
      </c>
      <c r="O55" s="34">
        <f>Elect!AC58</f>
        <v>1.6</v>
      </c>
      <c r="P55" s="34">
        <f>Elect!R58</f>
        <v>8400</v>
      </c>
      <c r="Q55" s="34">
        <f>Elect!Q58</f>
        <v>1.68</v>
      </c>
      <c r="R55" s="34">
        <f>Elect!N58</f>
        <v>1.92</v>
      </c>
      <c r="S55" s="34">
        <f>Elect!M58</f>
        <v>10670</v>
      </c>
      <c r="T55" s="34">
        <f>Elect!V58</f>
        <v>73038</v>
      </c>
      <c r="U55" s="34">
        <f>Elect!U58</f>
        <v>42900</v>
      </c>
      <c r="V55" s="34">
        <f>Elect!AH58</f>
        <v>17311</v>
      </c>
      <c r="W55" s="34">
        <f>Elect!AG58</f>
        <v>51000</v>
      </c>
      <c r="X55" s="34">
        <f>Elect!AL58</f>
        <v>530</v>
      </c>
      <c r="Y55" s="34">
        <f>Elect!AK58</f>
        <v>67834</v>
      </c>
      <c r="Z55" s="34">
        <f>Elect!AP58</f>
        <v>52520</v>
      </c>
      <c r="AA55" s="34">
        <f>Elect!AO58</f>
        <v>272310</v>
      </c>
      <c r="AB55" s="34">
        <f>Elect!BK58</f>
        <v>0</v>
      </c>
      <c r="AC55" s="34">
        <f>Elect!BH58</f>
        <v>0</v>
      </c>
      <c r="AD55" s="34">
        <f>Elect!BN58</f>
        <v>0</v>
      </c>
      <c r="AE55" s="34">
        <f>Elect!BQ58</f>
        <v>0</v>
      </c>
      <c r="AF55" s="36">
        <f>('Wtr-Gas'!E57)*0.0038</f>
        <v>3237.5619999999999</v>
      </c>
      <c r="AG55" s="36">
        <f>('Wtr-Gas'!H57)*0.0038</f>
        <v>434.834</v>
      </c>
      <c r="AH55" s="36">
        <f>'Wtr-Gas'!K57*0.0038</f>
        <v>0.60799999999999998</v>
      </c>
      <c r="AI55" s="36">
        <f>'Wtr-Gas'!N57*0.0038</f>
        <v>2124.1999999999998</v>
      </c>
      <c r="AJ55" s="36">
        <f>'Wtr-Gas'!Q57*0.0038</f>
        <v>75.62</v>
      </c>
      <c r="AK55" s="39">
        <f>'Wtr-Gas'!U57*0.0038</f>
        <v>745.18</v>
      </c>
      <c r="AL55" s="39">
        <f>'Wtr-Gas'!X57*0.0038</f>
        <v>4883</v>
      </c>
      <c r="AM55" s="36">
        <f>'Wtr-Gas'!AB57*0.0038</f>
        <v>6308</v>
      </c>
      <c r="AN55" s="36">
        <f>'Wtr-Gas'!AD57*0.0038</f>
        <v>1282.08656</v>
      </c>
      <c r="AO55" s="36">
        <f>'Wtr-Gas'!AF57*0.0038</f>
        <v>6.5359999999999996</v>
      </c>
      <c r="AP55" s="36">
        <f>'Wtr-Gas'!AH57*0.0038</f>
        <v>367.65</v>
      </c>
      <c r="AQ55" s="36">
        <f>'Wtr-Gas'!AJ57*0.0038</f>
        <v>33.223399999999998</v>
      </c>
      <c r="AR55" s="36">
        <f>'Wtr-Gas'!AL57*0.0038</f>
        <v>562.4</v>
      </c>
      <c r="AS55" s="36">
        <f>'Wtr-Gas'!AN57*0.0038</f>
        <v>0.1216</v>
      </c>
      <c r="AT55" s="36">
        <f>'Wtr-Gas'!AP57*0.0038</f>
        <v>14.44</v>
      </c>
      <c r="AU55" s="39">
        <f>'Wtr-Gas'!AT57*0.0038</f>
        <v>0.29260000000000003</v>
      </c>
      <c r="AV55" s="36">
        <f>'Wtr-Gas'!AW57*0.0038</f>
        <v>162.18020000000001</v>
      </c>
      <c r="AW55" s="37">
        <f>'Wtr-Gas'!AY57*0.0038</f>
        <v>130.49199999999999</v>
      </c>
      <c r="AX55" s="36">
        <f>'Wtr-Gas'!AZ57*0.0038</f>
        <v>31.688997999999998</v>
      </c>
      <c r="AY55" s="36">
        <f>'Wtr-Gas'!BB57*0.0038</f>
        <v>6.08</v>
      </c>
      <c r="AZ55" s="36">
        <f>'Wtr-Gas'!BD57*0.0038</f>
        <v>3.42</v>
      </c>
      <c r="BA55" s="36">
        <f>'Wtr-Gas'!BF57*0.0038</f>
        <v>27.063600000000001</v>
      </c>
      <c r="BB55" s="191">
        <f>Elect!C58</f>
        <v>1156</v>
      </c>
    </row>
    <row r="56" spans="1:54" x14ac:dyDescent="0.25">
      <c r="A56" s="3" t="s">
        <v>11</v>
      </c>
      <c r="B56" s="2">
        <v>30</v>
      </c>
      <c r="C56" s="2">
        <v>11</v>
      </c>
      <c r="D56" s="2">
        <v>2020</v>
      </c>
      <c r="E56" s="34">
        <f>Elect!AX59</f>
        <v>100</v>
      </c>
      <c r="F56" s="34">
        <f>Elect!J59</f>
        <v>10753</v>
      </c>
      <c r="G56" s="34">
        <f>Elect!I59</f>
        <v>13280</v>
      </c>
      <c r="H56" s="34">
        <f>Elect!F59</f>
        <v>12320</v>
      </c>
      <c r="I56" s="34">
        <f>Elect!E59</f>
        <v>2.0739999999999998</v>
      </c>
      <c r="J56" s="34">
        <f>Elect!Z59</f>
        <v>3.36</v>
      </c>
      <c r="K56" s="34">
        <f>Elect!Y59</f>
        <v>17680</v>
      </c>
      <c r="L56" s="34">
        <f>Elect!AT59</f>
        <v>44166</v>
      </c>
      <c r="M56" s="34">
        <f>Elect!AS59</f>
        <v>0</v>
      </c>
      <c r="N56" s="34">
        <f>Elect!AD59</f>
        <v>800</v>
      </c>
      <c r="O56" s="34">
        <f>Elect!AC59</f>
        <v>2.2999999999999998</v>
      </c>
      <c r="P56" s="34">
        <f>Elect!R59</f>
        <v>2400</v>
      </c>
      <c r="Q56" s="34">
        <f>Elect!Q59</f>
        <v>1.95</v>
      </c>
      <c r="R56" s="34">
        <f>Elect!N59</f>
        <v>1.95</v>
      </c>
      <c r="S56" s="34">
        <f>Elect!M59</f>
        <v>10677</v>
      </c>
      <c r="T56" s="34">
        <f>Elect!V59</f>
        <v>73081</v>
      </c>
      <c r="U56" s="34">
        <f>Elect!U59</f>
        <v>8100</v>
      </c>
      <c r="V56" s="34">
        <f>Elect!AH59</f>
        <v>17322</v>
      </c>
      <c r="W56" s="34">
        <f>Elect!AG59</f>
        <v>13400</v>
      </c>
      <c r="X56" s="34">
        <f>Elect!AL59</f>
        <v>193</v>
      </c>
      <c r="Y56" s="34">
        <f>Elect!AK59</f>
        <v>68027</v>
      </c>
      <c r="Z56" s="34">
        <f>Elect!AP59</f>
        <v>13840</v>
      </c>
      <c r="AA56" s="34">
        <f>Elect!AO59</f>
        <v>71033</v>
      </c>
      <c r="AB56" s="34">
        <f>Elect!BK59</f>
        <v>0</v>
      </c>
      <c r="AC56" s="34">
        <f>Elect!BH59</f>
        <v>0</v>
      </c>
      <c r="AD56" s="34">
        <f>Elect!BN59</f>
        <v>0</v>
      </c>
      <c r="AE56" s="34">
        <f>Elect!BQ59</f>
        <v>0</v>
      </c>
      <c r="AF56" s="36">
        <f>('Wtr-Gas'!E58)*0.0038</f>
        <v>3804.0659999999998</v>
      </c>
      <c r="AG56" s="36">
        <f>('Wtr-Gas'!H58)*0.0038</f>
        <v>414.73199999999997</v>
      </c>
      <c r="AH56" s="36">
        <f>'Wtr-Gas'!K58*0.0038</f>
        <v>0.64600000000000002</v>
      </c>
      <c r="AI56" s="36">
        <f>'Wtr-Gas'!N58*0.0038</f>
        <v>2603</v>
      </c>
      <c r="AJ56" s="36">
        <f>'Wtr-Gas'!Q58*0.0038</f>
        <v>79.040000000000006</v>
      </c>
      <c r="AK56" s="39">
        <f>'Wtr-Gas'!U58*0.0038</f>
        <v>804.46</v>
      </c>
      <c r="AL56" s="39">
        <f>'Wtr-Gas'!X58*0.0038</f>
        <v>4078.54</v>
      </c>
      <c r="AM56" s="36">
        <f>'Wtr-Gas'!AB58*0.0038</f>
        <v>6726</v>
      </c>
      <c r="AN56" s="36">
        <f>'Wtr-Gas'!AD58*0.0038</f>
        <v>1393.24416</v>
      </c>
      <c r="AO56" s="36">
        <f>'Wtr-Gas'!AF58*0.0038</f>
        <v>12.007999999999999</v>
      </c>
      <c r="AP56" s="36">
        <f>'Wtr-Gas'!AH58*0.0038</f>
        <v>307.11599999999999</v>
      </c>
      <c r="AQ56" s="36">
        <f>'Wtr-Gas'!AJ58*0.0038</f>
        <v>38.854999999999997</v>
      </c>
      <c r="AR56" s="36">
        <f>'Wtr-Gas'!AL58*0.0038</f>
        <v>691.6</v>
      </c>
      <c r="AS56" s="36">
        <f>'Wtr-Gas'!AN58*0.0038</f>
        <v>2.1698</v>
      </c>
      <c r="AT56" s="36">
        <f>'Wtr-Gas'!AP58*0.0038</f>
        <v>6.46</v>
      </c>
      <c r="AU56" s="39">
        <f>'Wtr-Gas'!AT58*0.0038</f>
        <v>0.36099999999999999</v>
      </c>
      <c r="AV56" s="36">
        <f>'Wtr-Gas'!AW58*0.0038</f>
        <v>190.5282</v>
      </c>
      <c r="AW56" s="37">
        <f>'Wtr-Gas'!AY58*0.0038</f>
        <v>151.4376</v>
      </c>
      <c r="AX56" s="36">
        <f>'Wtr-Gas'!AZ58*0.0038</f>
        <v>39.089117999999999</v>
      </c>
      <c r="AY56" s="36">
        <f>'Wtr-Gas'!BB58*0.0038</f>
        <v>15.96</v>
      </c>
      <c r="AZ56" s="36">
        <f>'Wtr-Gas'!BD58*0.0038</f>
        <v>4.18</v>
      </c>
      <c r="BA56" s="36">
        <f>'Wtr-Gas'!BF58*0.0038</f>
        <v>588.16399999999999</v>
      </c>
      <c r="BB56" s="191">
        <f>Elect!C59</f>
        <v>46</v>
      </c>
    </row>
    <row r="57" spans="1:54" x14ac:dyDescent="0.25">
      <c r="A57" s="3" t="s">
        <v>11</v>
      </c>
      <c r="B57" s="2">
        <v>1</v>
      </c>
      <c r="C57" s="2">
        <v>12</v>
      </c>
      <c r="D57" s="2">
        <v>2020</v>
      </c>
      <c r="E57" s="34">
        <f>Elect!AX60</f>
        <v>1300</v>
      </c>
      <c r="F57" s="34">
        <f>Elect!J60</f>
        <v>10771</v>
      </c>
      <c r="G57" s="34">
        <f>Elect!I60</f>
        <v>32160</v>
      </c>
      <c r="H57" s="34">
        <f>Elect!F60</f>
        <v>29920</v>
      </c>
      <c r="I57" s="34">
        <f>Elect!E60</f>
        <v>2.0739999999999998</v>
      </c>
      <c r="J57" s="34">
        <f>Elect!Z60</f>
        <v>3.36</v>
      </c>
      <c r="K57" s="34">
        <f>Elect!Y60</f>
        <v>17705</v>
      </c>
      <c r="L57" s="34">
        <f>Elect!AT60</f>
        <v>44172</v>
      </c>
      <c r="M57" s="34">
        <f>Elect!AS60</f>
        <v>0</v>
      </c>
      <c r="N57" s="34">
        <f>Elect!AD60</f>
        <v>1920</v>
      </c>
      <c r="O57" s="34">
        <f>Elect!AC60</f>
        <v>2.2999999999999998</v>
      </c>
      <c r="P57" s="34">
        <f>Elect!R60</f>
        <v>6800</v>
      </c>
      <c r="Q57" s="34">
        <f>Elect!Q60</f>
        <v>2.35</v>
      </c>
      <c r="R57" s="34">
        <f>Elect!N60</f>
        <v>2.23</v>
      </c>
      <c r="S57" s="34">
        <f>Elect!M60</f>
        <v>10696</v>
      </c>
      <c r="T57" s="34">
        <f>Elect!V60</f>
        <v>73171</v>
      </c>
      <c r="U57" s="34">
        <f>Elect!U60</f>
        <v>19200</v>
      </c>
      <c r="V57" s="34">
        <f>Elect!AH60</f>
        <v>17349</v>
      </c>
      <c r="W57" s="34">
        <f>Elect!AG60</f>
        <v>32200</v>
      </c>
      <c r="X57" s="34">
        <f>Elect!AL60</f>
        <v>474</v>
      </c>
      <c r="Y57" s="34">
        <f>Elect!AK60</f>
        <v>68501</v>
      </c>
      <c r="Z57" s="34">
        <f>Elect!AP60</f>
        <v>33280</v>
      </c>
      <c r="AA57" s="34">
        <f>Elect!AO60</f>
        <v>169554</v>
      </c>
      <c r="AB57" s="34">
        <f>Elect!BK60</f>
        <v>0</v>
      </c>
      <c r="AC57" s="34">
        <f>Elect!BH60</f>
        <v>0</v>
      </c>
      <c r="AD57" s="34">
        <f>Elect!BN60</f>
        <v>0</v>
      </c>
      <c r="AE57" s="34">
        <f>Elect!BQ60</f>
        <v>0</v>
      </c>
      <c r="AF57" s="36">
        <f>('Wtr-Gas'!E59)*0.0038</f>
        <v>916.14200000000005</v>
      </c>
      <c r="AG57" s="36">
        <f>('Wtr-Gas'!H59)*0.0038</f>
        <v>148.542</v>
      </c>
      <c r="AH57" s="36">
        <f>'Wtr-Gas'!K59*0.0038</f>
        <v>0.56999999999999995</v>
      </c>
      <c r="AI57" s="36">
        <f>'Wtr-Gas'!N59*0.0038</f>
        <v>528.20000000000005</v>
      </c>
      <c r="AJ57" s="36">
        <f>'Wtr-Gas'!Q59*0.0038</f>
        <v>22.42</v>
      </c>
      <c r="AK57" s="39">
        <f>'Wtr-Gas'!U59*0.0038</f>
        <v>244.34</v>
      </c>
      <c r="AL57" s="39">
        <f>'Wtr-Gas'!X59*0.0038</f>
        <v>2404.2600000000002</v>
      </c>
      <c r="AM57" s="36">
        <f>'Wtr-Gas'!AB59*0.0038</f>
        <v>1178</v>
      </c>
      <c r="AN57" s="36">
        <f>'Wtr-Gas'!AD59*0.0038</f>
        <v>415.91075999999998</v>
      </c>
      <c r="AO57" s="36">
        <f>'Wtr-Gas'!AF59*0.0038</f>
        <v>2.698</v>
      </c>
      <c r="AP57" s="36">
        <f>'Wtr-Gas'!AH59*0.0038</f>
        <v>95.075999999999993</v>
      </c>
      <c r="AQ57" s="36">
        <f>'Wtr-Gas'!AJ59*0.0038</f>
        <v>16.754200000000001</v>
      </c>
      <c r="AR57" s="36">
        <f>'Wtr-Gas'!AL59*0.0038</f>
        <v>231.8</v>
      </c>
      <c r="AS57" s="36">
        <f>'Wtr-Gas'!AN59*0.0038</f>
        <v>0.49399999999999999</v>
      </c>
      <c r="AT57" s="36">
        <f>'Wtr-Gas'!AP59*0.0038</f>
        <v>1.52</v>
      </c>
      <c r="AU57" s="39">
        <f>'Wtr-Gas'!AT59*0.0038</f>
        <v>3.7999999999999999E-2</v>
      </c>
      <c r="AV57" s="36">
        <f>'Wtr-Gas'!AW59*0.0038</f>
        <v>25.042000000000002</v>
      </c>
      <c r="AW57" s="37">
        <f>'Wtr-Gas'!AY59*0.0038</f>
        <v>22.382000000000001</v>
      </c>
      <c r="AX57" s="36">
        <f>'Wtr-Gas'!AZ59*0.0038</f>
        <v>2.6599240000000002</v>
      </c>
      <c r="AY57" s="36">
        <f>'Wtr-Gas'!BB59*0.0038</f>
        <v>0.38</v>
      </c>
      <c r="AZ57" s="36">
        <f>'Wtr-Gas'!BD59*0.0038</f>
        <v>0.76</v>
      </c>
      <c r="BA57" s="36">
        <f>'Wtr-Gas'!BF59*0.0038</f>
        <v>0</v>
      </c>
      <c r="BB57" s="191">
        <f>Elect!C60</f>
        <v>809</v>
      </c>
    </row>
    <row r="58" spans="1:54" x14ac:dyDescent="0.25">
      <c r="A58" s="3" t="s">
        <v>11</v>
      </c>
      <c r="B58" s="2">
        <v>7</v>
      </c>
      <c r="C58" s="2">
        <v>12</v>
      </c>
      <c r="D58" s="2">
        <v>2020</v>
      </c>
      <c r="E58" s="34">
        <f>Elect!AX61</f>
        <v>1600</v>
      </c>
      <c r="F58" s="34">
        <f>Elect!J61</f>
        <v>10795</v>
      </c>
      <c r="G58" s="34">
        <f>Elect!I61</f>
        <v>43040</v>
      </c>
      <c r="H58" s="34">
        <f>Elect!F61</f>
        <v>40000</v>
      </c>
      <c r="I58" s="34">
        <f>Elect!E61</f>
        <v>2.0739999999999998</v>
      </c>
      <c r="J58" s="34">
        <f>Elect!Z61</f>
        <v>3.36</v>
      </c>
      <c r="K58" s="34">
        <f>Elect!Y61</f>
        <v>17739</v>
      </c>
      <c r="L58" s="34">
        <f>Elect!AT61</f>
        <v>44179</v>
      </c>
      <c r="M58" s="34">
        <f>Elect!AS61</f>
        <v>0</v>
      </c>
      <c r="N58" s="34">
        <f>Elect!AD61</f>
        <v>2560</v>
      </c>
      <c r="O58" s="34">
        <f>Elect!AC61</f>
        <v>2.2999999999999998</v>
      </c>
      <c r="P58" s="34">
        <f>Elect!R61</f>
        <v>8800</v>
      </c>
      <c r="Q58" s="34">
        <f>Elect!Q61</f>
        <v>3.45</v>
      </c>
      <c r="R58" s="34">
        <f>Elect!N61</f>
        <v>3.01</v>
      </c>
      <c r="S58" s="34">
        <f>Elect!M61</f>
        <v>10718</v>
      </c>
      <c r="T58" s="34">
        <f>Elect!V61</f>
        <v>73257</v>
      </c>
      <c r="U58" s="34">
        <f>Elect!U61</f>
        <v>35700</v>
      </c>
      <c r="V58" s="34">
        <f>Elect!AH61</f>
        <v>17389</v>
      </c>
      <c r="W58" s="34">
        <f>Elect!AG61</f>
        <v>43200</v>
      </c>
      <c r="X58" s="34">
        <f>Elect!AL61</f>
        <v>448</v>
      </c>
      <c r="Y58" s="34">
        <f>Elect!AK61</f>
        <v>68949</v>
      </c>
      <c r="Z58" s="34">
        <f>Elect!AP61</f>
        <v>44800</v>
      </c>
      <c r="AA58" s="34">
        <f>Elect!AO61</f>
        <v>224988</v>
      </c>
      <c r="AB58" s="34">
        <f>Elect!BK61</f>
        <v>0</v>
      </c>
      <c r="AC58" s="34">
        <f>Elect!BH61</f>
        <v>0</v>
      </c>
      <c r="AD58" s="34">
        <f>Elect!BN61</f>
        <v>0</v>
      </c>
      <c r="AE58" s="34">
        <f>Elect!BQ61</f>
        <v>0</v>
      </c>
      <c r="AF58" s="36">
        <f>('Wtr-Gas'!E60)*0.0038</f>
        <v>2299.3040000000001</v>
      </c>
      <c r="AG58" s="36">
        <f>('Wtr-Gas'!H60)*0.0038</f>
        <v>336.41399999999999</v>
      </c>
      <c r="AH58" s="36">
        <f>'Wtr-Gas'!K60*0.0038</f>
        <v>0.60799999999999998</v>
      </c>
      <c r="AI58" s="36">
        <f>'Wtr-Gas'!N60*0.0038</f>
        <v>1402.2</v>
      </c>
      <c r="AJ58" s="36">
        <f>'Wtr-Gas'!Q60*0.0038</f>
        <v>54.34</v>
      </c>
      <c r="AK58" s="39">
        <f>'Wtr-Gas'!U60*0.0038</f>
        <v>572.28</v>
      </c>
      <c r="AL58" s="39">
        <f>'Wtr-Gas'!X60*0.0038</f>
        <v>4753.8</v>
      </c>
      <c r="AM58" s="36">
        <f>'Wtr-Gas'!AB60*0.0038</f>
        <v>2622</v>
      </c>
      <c r="AN58" s="36">
        <f>'Wtr-Gas'!AD60*0.0038</f>
        <v>669.96317999999997</v>
      </c>
      <c r="AO58" s="36">
        <f>'Wtr-Gas'!AF60*0.0038</f>
        <v>4.5220000000000002</v>
      </c>
      <c r="AP58" s="36">
        <f>'Wtr-Gas'!AH60*0.0038</f>
        <v>236.55</v>
      </c>
      <c r="AQ58" s="36">
        <f>'Wtr-Gas'!AJ60*0.0038</f>
        <v>27.557600000000001</v>
      </c>
      <c r="AR58" s="36">
        <f>'Wtr-Gas'!AL60*0.0038</f>
        <v>497.8</v>
      </c>
      <c r="AS58" s="36">
        <f>'Wtr-Gas'!AN60*0.0038</f>
        <v>1.4059999999999999</v>
      </c>
      <c r="AT58" s="36">
        <f>'Wtr-Gas'!AP60*0.0038</f>
        <v>3.04</v>
      </c>
      <c r="AU58" s="39">
        <f>'Wtr-Gas'!AT60*0.0038</f>
        <v>0.37240000000000001</v>
      </c>
      <c r="AV58" s="36">
        <f>'Wtr-Gas'!AW60*0.0038</f>
        <v>168.245</v>
      </c>
      <c r="AW58" s="37">
        <f>'Wtr-Gas'!AY60*0.0038</f>
        <v>130.4426</v>
      </c>
      <c r="AX58" s="36">
        <f>'Wtr-Gas'!AZ60*0.0038</f>
        <v>37.804034000000001</v>
      </c>
      <c r="AY58" s="36">
        <f>'Wtr-Gas'!BB60*0.0038</f>
        <v>15.2</v>
      </c>
      <c r="AZ58" s="36">
        <f>'Wtr-Gas'!BD60*0.0038</f>
        <v>4.18</v>
      </c>
      <c r="BA58" s="36">
        <f>'Wtr-Gas'!BF60*0.0038</f>
        <v>599.20299999999997</v>
      </c>
      <c r="BB58" s="191">
        <f>Elect!C61</f>
        <v>1067</v>
      </c>
    </row>
    <row r="59" spans="1:54" x14ac:dyDescent="0.25">
      <c r="A59" s="3" t="s">
        <v>11</v>
      </c>
      <c r="B59" s="2">
        <v>14</v>
      </c>
      <c r="C59" s="2">
        <v>12</v>
      </c>
      <c r="D59" s="2">
        <v>2020</v>
      </c>
      <c r="E59" s="34">
        <f>Elect!AX62</f>
        <v>1500</v>
      </c>
      <c r="F59" s="34">
        <f>Elect!J62</f>
        <v>10821</v>
      </c>
      <c r="G59" s="34">
        <f>Elect!I62</f>
        <v>44960</v>
      </c>
      <c r="H59" s="34">
        <f>Elect!F62</f>
        <v>39840</v>
      </c>
      <c r="I59" s="34">
        <f>Elect!E62</f>
        <v>2.0739999999999998</v>
      </c>
      <c r="J59" s="34">
        <f>Elect!Z62</f>
        <v>3.36</v>
      </c>
      <c r="K59" s="34">
        <f>Elect!Y62</f>
        <v>17774</v>
      </c>
      <c r="L59" s="34">
        <f>Elect!AT62</f>
        <v>44186</v>
      </c>
      <c r="M59" s="34">
        <f>Elect!AS62</f>
        <v>0</v>
      </c>
      <c r="N59" s="34">
        <f>Elect!AD62</f>
        <v>2720</v>
      </c>
      <c r="O59" s="34">
        <f>Elect!AC62</f>
        <v>2.2999999999999998</v>
      </c>
      <c r="P59" s="34">
        <f>Elect!R62</f>
        <v>9600</v>
      </c>
      <c r="Q59" s="34">
        <f>Elect!Q62</f>
        <v>3.45</v>
      </c>
      <c r="R59" s="34">
        <f>Elect!N62</f>
        <v>3.01</v>
      </c>
      <c r="S59" s="34">
        <f>Elect!M62</f>
        <v>10740</v>
      </c>
      <c r="T59" s="34">
        <f>Elect!V62</f>
        <v>73406</v>
      </c>
      <c r="U59" s="34">
        <f>Elect!U62</f>
        <v>31500</v>
      </c>
      <c r="V59" s="34">
        <f>Elect!AH62</f>
        <v>17420</v>
      </c>
      <c r="W59" s="34">
        <f>Elect!AG62</f>
        <v>45000</v>
      </c>
      <c r="X59" s="34">
        <f>Elect!AL62</f>
        <v>544</v>
      </c>
      <c r="Y59" s="34">
        <f>Elect!AK62</f>
        <v>69493</v>
      </c>
      <c r="Z59" s="34">
        <f>Elect!AP62</f>
        <v>46240</v>
      </c>
      <c r="AA59" s="34">
        <f>Elect!AO62</f>
        <v>244904</v>
      </c>
      <c r="AB59" s="34">
        <f>Elect!BK62</f>
        <v>0</v>
      </c>
      <c r="AC59" s="34">
        <f>Elect!BH62</f>
        <v>0</v>
      </c>
      <c r="AD59" s="34">
        <f>Elect!BN62</f>
        <v>0</v>
      </c>
      <c r="AE59" s="34">
        <f>Elect!BQ62</f>
        <v>0</v>
      </c>
      <c r="AF59" s="36">
        <f>('Wtr-Gas'!E61)*0.0038</f>
        <v>2861.8559999999998</v>
      </c>
      <c r="AG59" s="36">
        <f>('Wtr-Gas'!H61)*0.0038</f>
        <v>440.00200000000001</v>
      </c>
      <c r="AH59" s="36">
        <f>'Wtr-Gas'!K61*0.0038</f>
        <v>0.30399999999999999</v>
      </c>
      <c r="AI59" s="36">
        <f>'Wtr-Gas'!N61*0.0038</f>
        <v>1729</v>
      </c>
      <c r="AJ59" s="36">
        <f>'Wtr-Gas'!Q61*0.0038</f>
        <v>75.62</v>
      </c>
      <c r="AK59" s="39">
        <f>'Wtr-Gas'!U61*0.0038</f>
        <v>758.1</v>
      </c>
      <c r="AL59" s="39">
        <f>'Wtr-Gas'!X61*0.0038</f>
        <v>6904.6</v>
      </c>
      <c r="AM59" s="36">
        <f>'Wtr-Gas'!AB61*0.0038</f>
        <v>3192</v>
      </c>
      <c r="AN59" s="36">
        <f>'Wtr-Gas'!AD61*0.0038</f>
        <v>1001.1920799999999</v>
      </c>
      <c r="AO59" s="36">
        <f>'Wtr-Gas'!AF61*0.0038</f>
        <v>3.7240000000000002</v>
      </c>
      <c r="AP59" s="36">
        <f>'Wtr-Gas'!AH61*0.0038</f>
        <v>231.648</v>
      </c>
      <c r="AQ59" s="36">
        <f>'Wtr-Gas'!AJ61*0.0038</f>
        <v>86.233400000000003</v>
      </c>
      <c r="AR59" s="36">
        <f>'Wtr-Gas'!AL61*0.0038</f>
        <v>718.2</v>
      </c>
      <c r="AS59" s="36">
        <f>'Wtr-Gas'!AN61*0.0038</f>
        <v>0.21659999999999999</v>
      </c>
      <c r="AT59" s="36">
        <f>'Wtr-Gas'!AP61*0.0038</f>
        <v>4.18</v>
      </c>
      <c r="AU59" s="39">
        <f>'Wtr-Gas'!AT61*0.0038</f>
        <v>0.45600000000000002</v>
      </c>
      <c r="AV59" s="36">
        <f>'Wtr-Gas'!AW61*0.0038</f>
        <v>190.27359999999999</v>
      </c>
      <c r="AW59" s="37">
        <f>'Wtr-Gas'!AY61*0.0038</f>
        <v>152.66120000000001</v>
      </c>
      <c r="AX59" s="36">
        <f>'Wtr-Gas'!AZ61*0.0038</f>
        <v>37.612361999999997</v>
      </c>
      <c r="AY59" s="36">
        <f>'Wtr-Gas'!BB61*0.0038</f>
        <v>10.64</v>
      </c>
      <c r="AZ59" s="36">
        <f>'Wtr-Gas'!BD61*0.0038</f>
        <v>5.32</v>
      </c>
      <c r="BA59" s="36">
        <f>'Wtr-Gas'!BF61*0.0038</f>
        <v>0</v>
      </c>
      <c r="BB59" s="191">
        <f>Elect!C62</f>
        <v>757</v>
      </c>
    </row>
    <row r="60" spans="1:54" x14ac:dyDescent="0.25">
      <c r="A60" s="3" t="s">
        <v>11</v>
      </c>
      <c r="B60" s="2">
        <v>21</v>
      </c>
      <c r="C60" s="2">
        <v>12</v>
      </c>
      <c r="D60" s="2">
        <v>2020</v>
      </c>
      <c r="E60" s="34">
        <f>Elect!AX63</f>
        <v>1600</v>
      </c>
      <c r="F60" s="34">
        <f>Elect!J63</f>
        <v>10852</v>
      </c>
      <c r="G60" s="34">
        <f>Elect!I63</f>
        <v>47360</v>
      </c>
      <c r="H60" s="34">
        <f>Elect!F63</f>
        <v>42560</v>
      </c>
      <c r="I60" s="34">
        <f>Elect!E63</f>
        <v>1.99</v>
      </c>
      <c r="J60" s="34">
        <f>Elect!Z63</f>
        <v>2.5099999999999998</v>
      </c>
      <c r="K60" s="34">
        <f>Elect!Y63</f>
        <v>17806</v>
      </c>
      <c r="L60" s="34">
        <f>Elect!AT63</f>
        <v>44193</v>
      </c>
      <c r="M60" s="34">
        <f>Elect!AS63</f>
        <v>0</v>
      </c>
      <c r="N60" s="34">
        <f>Elect!AD63</f>
        <v>2400</v>
      </c>
      <c r="O60" s="34">
        <f>Elect!AC63</f>
        <v>1.54</v>
      </c>
      <c r="P60" s="34">
        <f>Elect!R63</f>
        <v>11200</v>
      </c>
      <c r="Q60" s="34">
        <f>Elect!Q63</f>
        <v>2.77</v>
      </c>
      <c r="R60" s="34">
        <f>Elect!N63</f>
        <v>2.48</v>
      </c>
      <c r="S60" s="34">
        <f>Elect!M63</f>
        <v>10769</v>
      </c>
      <c r="T60" s="34">
        <f>Elect!V63</f>
        <v>73488</v>
      </c>
      <c r="U60" s="34">
        <f>Elect!U63</f>
        <v>36900</v>
      </c>
      <c r="V60" s="34">
        <f>Elect!AH63</f>
        <v>17458</v>
      </c>
      <c r="W60" s="34">
        <f>Elect!AG63</f>
        <v>45400</v>
      </c>
      <c r="X60" s="34">
        <f>Elect!AL63</f>
        <v>562</v>
      </c>
      <c r="Y60" s="34">
        <f>Elect!AK63</f>
        <v>70055</v>
      </c>
      <c r="Z60" s="34">
        <f>Elect!AP63</f>
        <v>46920</v>
      </c>
      <c r="AA60" s="34">
        <f>Elect!AO63</f>
        <v>241622</v>
      </c>
      <c r="AB60" s="34">
        <f>Elect!BK63</f>
        <v>0</v>
      </c>
      <c r="AC60" s="34">
        <f>Elect!BH63</f>
        <v>0</v>
      </c>
      <c r="AD60" s="34">
        <f>Elect!BN63</f>
        <v>0</v>
      </c>
      <c r="AE60" s="34">
        <f>Elect!BQ63</f>
        <v>0</v>
      </c>
      <c r="AF60" s="36">
        <f>('Wtr-Gas'!E62)*0.0038</f>
        <v>3336.8939999999998</v>
      </c>
      <c r="AG60" s="36">
        <f>('Wtr-Gas'!H62)*0.0038</f>
        <v>548.34</v>
      </c>
      <c r="AH60" s="36">
        <f>'Wtr-Gas'!K62*0.0038</f>
        <v>0.83599999999999997</v>
      </c>
      <c r="AI60" s="36">
        <f>'Wtr-Gas'!N62*0.0038</f>
        <v>1938</v>
      </c>
      <c r="AJ60" s="36">
        <f>'Wtr-Gas'!Q62*0.0038</f>
        <v>72.2</v>
      </c>
      <c r="AK60" s="39">
        <f>'Wtr-Gas'!U62*0.0038</f>
        <v>803.7</v>
      </c>
      <c r="AL60" s="39">
        <f>'Wtr-Gas'!X62*0.0038</f>
        <v>6140.8</v>
      </c>
      <c r="AM60" s="36">
        <f>'Wtr-Gas'!AB62*0.0038</f>
        <v>4256</v>
      </c>
      <c r="AN60" s="36">
        <f>'Wtr-Gas'!AD62*0.0038</f>
        <v>1000.00192</v>
      </c>
      <c r="AO60" s="36">
        <f>'Wtr-Gas'!AF62*0.0038</f>
        <v>8.3219999999999992</v>
      </c>
      <c r="AP60" s="36">
        <f>'Wtr-Gas'!AH62*0.0038</f>
        <v>439.47</v>
      </c>
      <c r="AQ60" s="36">
        <f>'Wtr-Gas'!AJ62*0.0038</f>
        <v>49.464599999999997</v>
      </c>
      <c r="AR60" s="36">
        <f>'Wtr-Gas'!AL62*0.0038</f>
        <v>729.6</v>
      </c>
      <c r="AS60" s="36">
        <f>'Wtr-Gas'!AN62*0.0038</f>
        <v>7.9799999999999996E-2</v>
      </c>
      <c r="AT60" s="36">
        <f>'Wtr-Gas'!AP62*0.0038</f>
        <v>4.9400000000000004</v>
      </c>
      <c r="AU60" s="39">
        <f>'Wtr-Gas'!AT62*0.0038</f>
        <v>0.44080000000000003</v>
      </c>
      <c r="AV60" s="36">
        <f>'Wtr-Gas'!AW62*0.0038</f>
        <v>188.80680000000001</v>
      </c>
      <c r="AW60" s="37">
        <f>'Wtr-Gas'!AY62*0.0038</f>
        <v>153.4212</v>
      </c>
      <c r="AX60" s="36">
        <f>'Wtr-Gas'!AZ62*0.0038</f>
        <v>35.383776000000005</v>
      </c>
      <c r="AY60" s="36">
        <f>'Wtr-Gas'!BB62*0.0038</f>
        <v>20.14</v>
      </c>
      <c r="AZ60" s="36">
        <f>'Wtr-Gas'!BD62*0.0038</f>
        <v>6.08</v>
      </c>
      <c r="BA60" s="36">
        <f>'Wtr-Gas'!BF62*0.0038</f>
        <v>267.95319999999998</v>
      </c>
      <c r="BB60" s="191">
        <f>Elect!C63</f>
        <v>1353</v>
      </c>
    </row>
    <row r="61" spans="1:54" x14ac:dyDescent="0.25">
      <c r="A61" s="3" t="s">
        <v>11</v>
      </c>
      <c r="B61" s="2">
        <v>28</v>
      </c>
      <c r="C61" s="2">
        <v>12</v>
      </c>
      <c r="D61" s="2">
        <v>2020</v>
      </c>
      <c r="E61" s="34">
        <f>Elect!AX64</f>
        <v>900</v>
      </c>
      <c r="F61" s="34">
        <f>Elect!J64</f>
        <v>10869</v>
      </c>
      <c r="G61" s="34">
        <f>Elect!I64</f>
        <v>26880</v>
      </c>
      <c r="H61" s="34">
        <f>Elect!F64</f>
        <v>23840</v>
      </c>
      <c r="I61" s="34">
        <f>Elect!E64</f>
        <v>1.99</v>
      </c>
      <c r="J61" s="34">
        <f>Elect!Z64</f>
        <v>2.56</v>
      </c>
      <c r="K61" s="34">
        <f>Elect!Y64</f>
        <v>17824</v>
      </c>
      <c r="L61" s="34">
        <f>Elect!AT64</f>
        <v>44197</v>
      </c>
      <c r="M61" s="34">
        <f>Elect!AS64</f>
        <v>0</v>
      </c>
      <c r="N61" s="34">
        <f>Elect!AD64</f>
        <v>1600</v>
      </c>
      <c r="O61" s="34">
        <f>Elect!AC64</f>
        <v>1.73</v>
      </c>
      <c r="P61" s="34">
        <f>Elect!R64</f>
        <v>5600</v>
      </c>
      <c r="Q61" s="34">
        <f>Elect!Q64</f>
        <v>2.77</v>
      </c>
      <c r="R61" s="34">
        <f>Elect!N64</f>
        <v>2.48</v>
      </c>
      <c r="S61" s="34">
        <f>Elect!M64</f>
        <v>10784</v>
      </c>
      <c r="T61" s="34">
        <f>Elect!V64</f>
        <v>73548</v>
      </c>
      <c r="U61" s="34">
        <f>Elect!U64</f>
        <v>28800</v>
      </c>
      <c r="V61" s="34">
        <f>Elect!AH64</f>
        <v>17476</v>
      </c>
      <c r="W61" s="34">
        <f>Elect!AG64</f>
        <v>30400</v>
      </c>
      <c r="X61" s="34">
        <f>Elect!AL64</f>
        <v>285</v>
      </c>
      <c r="Y61" s="34">
        <f>Elect!AK64</f>
        <v>70340</v>
      </c>
      <c r="Z61" s="34">
        <f>Elect!AP64</f>
        <v>31120</v>
      </c>
      <c r="AA61" s="34">
        <f>Elect!AO64</f>
        <v>151805</v>
      </c>
      <c r="AB61" s="34">
        <f>Elect!BK64</f>
        <v>0</v>
      </c>
      <c r="AC61" s="34">
        <f>Elect!BH64</f>
        <v>0</v>
      </c>
      <c r="AD61" s="34">
        <f>Elect!BN64</f>
        <v>0</v>
      </c>
      <c r="AE61" s="34">
        <f>Elect!BQ64</f>
        <v>0</v>
      </c>
      <c r="AF61" s="36">
        <f>('Wtr-Gas'!E63)*0.0038</f>
        <v>3607.3020000000001</v>
      </c>
      <c r="AG61" s="36">
        <f>('Wtr-Gas'!H63)*0.0038</f>
        <v>272.536</v>
      </c>
      <c r="AH61" s="36">
        <f>'Wtr-Gas'!K63*0.0038</f>
        <v>0.874</v>
      </c>
      <c r="AI61" s="36">
        <f>'Wtr-Gas'!N63*0.0038</f>
        <v>2348.4</v>
      </c>
      <c r="AJ61" s="36">
        <f>'Wtr-Gas'!Q63*0.0038</f>
        <v>71.06</v>
      </c>
      <c r="AK61" s="39">
        <f>'Wtr-Gas'!U63*0.0038</f>
        <v>889.58</v>
      </c>
      <c r="AL61" s="39">
        <f>'Wtr-Gas'!X63*0.0038</f>
        <v>7964.8</v>
      </c>
      <c r="AM61" s="36">
        <f>'Wtr-Gas'!AB63*0.0038</f>
        <v>3192</v>
      </c>
      <c r="AN61" s="36">
        <f>'Wtr-Gas'!AD63*0.0038</f>
        <v>1034.6020599999999</v>
      </c>
      <c r="AO61" s="36">
        <f>'Wtr-Gas'!AF63*0.0038</f>
        <v>3.762</v>
      </c>
      <c r="AP61" s="36">
        <f>'Wtr-Gas'!AH63*0.0038</f>
        <v>311.29599999999999</v>
      </c>
      <c r="AQ61" s="36">
        <f>'Wtr-Gas'!AJ63*0.0038</f>
        <v>41.545400000000001</v>
      </c>
      <c r="AR61" s="36">
        <f>'Wtr-Gas'!AL63*0.0038</f>
        <v>714.4</v>
      </c>
      <c r="AS61" s="36">
        <f>'Wtr-Gas'!AN63*0.0038</f>
        <v>7.22E-2</v>
      </c>
      <c r="AT61" s="36">
        <f>'Wtr-Gas'!AP63*0.0038</f>
        <v>4.18</v>
      </c>
      <c r="AU61" s="39">
        <f>'Wtr-Gas'!AT63*0.0038</f>
        <v>0.49780000000000002</v>
      </c>
      <c r="AV61" s="36">
        <f>'Wtr-Gas'!AW63*0.0038</f>
        <v>202.33099999999999</v>
      </c>
      <c r="AW61" s="37">
        <f>'Wtr-Gas'!AY63*0.0038</f>
        <v>153.8544</v>
      </c>
      <c r="AX61" s="36">
        <f>'Wtr-Gas'!AZ63*0.0038</f>
        <v>48.476106000000001</v>
      </c>
      <c r="AY61" s="36">
        <f>'Wtr-Gas'!BB63*0.0038</f>
        <v>2.66</v>
      </c>
      <c r="AZ61" s="36">
        <f>'Wtr-Gas'!BD63*0.0038</f>
        <v>6.46</v>
      </c>
      <c r="BA61" s="36">
        <f>'Wtr-Gas'!BF63*0.0038</f>
        <v>0</v>
      </c>
      <c r="BB61" s="191">
        <f>Elect!C64</f>
        <v>563</v>
      </c>
    </row>
    <row r="62" spans="1:54" x14ac:dyDescent="0.25">
      <c r="A62" s="3" t="s">
        <v>11</v>
      </c>
      <c r="B62" s="2">
        <v>31</v>
      </c>
      <c r="C62" s="2">
        <v>12</v>
      </c>
      <c r="D62" s="2">
        <v>2021</v>
      </c>
      <c r="E62" s="34">
        <f>Elect!AX65</f>
        <v>0</v>
      </c>
      <c r="F62" s="34">
        <f>Elect!J65</f>
        <v>0</v>
      </c>
      <c r="G62" s="34">
        <f>Elect!I65</f>
        <v>0</v>
      </c>
      <c r="H62" s="34">
        <f>Elect!F65</f>
        <v>0</v>
      </c>
      <c r="I62" s="34">
        <f>Elect!E65</f>
        <v>0</v>
      </c>
      <c r="J62" s="34">
        <f>Elect!Z65</f>
        <v>0</v>
      </c>
      <c r="K62" s="34">
        <f>Elect!Y65</f>
        <v>0</v>
      </c>
      <c r="L62" s="34">
        <f>Elect!AT65</f>
        <v>0</v>
      </c>
      <c r="M62" s="34">
        <f>Elect!AS65</f>
        <v>0</v>
      </c>
      <c r="N62" s="34">
        <f>Elect!AD65</f>
        <v>0</v>
      </c>
      <c r="O62" s="34">
        <f>Elect!AC65</f>
        <v>0</v>
      </c>
      <c r="P62" s="34">
        <f>Elect!R65</f>
        <v>0</v>
      </c>
      <c r="Q62" s="34">
        <f>Elect!Q65</f>
        <v>0</v>
      </c>
      <c r="R62" s="34">
        <f>Elect!N65</f>
        <v>0</v>
      </c>
      <c r="S62" s="34">
        <f>Elect!M65</f>
        <v>0</v>
      </c>
      <c r="T62" s="34">
        <f>Elect!V65</f>
        <v>0</v>
      </c>
      <c r="U62" s="34">
        <f>Elect!U65</f>
        <v>0</v>
      </c>
      <c r="V62" s="34">
        <f>Elect!AH65</f>
        <v>0</v>
      </c>
      <c r="W62" s="34">
        <f>Elect!AG65</f>
        <v>0</v>
      </c>
      <c r="X62" s="34">
        <f>Elect!AL65</f>
        <v>0</v>
      </c>
      <c r="Y62" s="34">
        <f>Elect!AK65</f>
        <v>0</v>
      </c>
      <c r="Z62" s="34">
        <f>Elect!AP65</f>
        <v>0</v>
      </c>
      <c r="AA62" s="34">
        <f>Elect!AO65</f>
        <v>0</v>
      </c>
      <c r="AB62" s="34">
        <f>Elect!BK65</f>
        <v>0</v>
      </c>
      <c r="AC62" s="34">
        <f>Elect!BH65</f>
        <v>0</v>
      </c>
      <c r="AD62" s="34">
        <f>Elect!BN65</f>
        <v>0</v>
      </c>
      <c r="AE62" s="34">
        <f>Elect!BQ65</f>
        <v>0</v>
      </c>
      <c r="AF62" s="36">
        <f>('Wtr-Gas'!E64)*0.0038</f>
        <v>2580.0859999999998</v>
      </c>
      <c r="AG62" s="36">
        <f>('Wtr-Gas'!H64)*0.0038</f>
        <v>91.58</v>
      </c>
      <c r="AH62" s="36">
        <f>'Wtr-Gas'!K64*0.0038</f>
        <v>0.76</v>
      </c>
      <c r="AI62" s="36">
        <f>'Wtr-Gas'!N64*0.0038</f>
        <v>1770.8</v>
      </c>
      <c r="AJ62" s="36">
        <f>'Wtr-Gas'!Q64*0.0038</f>
        <v>25.46</v>
      </c>
      <c r="AK62" s="39">
        <f>'Wtr-Gas'!U64*0.0038</f>
        <v>529.72</v>
      </c>
      <c r="AL62" s="39">
        <f>'Wtr-Gas'!X64*0.0038</f>
        <v>3494.1</v>
      </c>
      <c r="AM62" s="36">
        <f>'Wtr-Gas'!AB64*0.0038</f>
        <v>2888</v>
      </c>
      <c r="AN62" s="36">
        <f>'Wtr-Gas'!AD64*0.0038</f>
        <v>559.51998000000003</v>
      </c>
      <c r="AO62" s="36">
        <f>'Wtr-Gas'!AF64*0.0038</f>
        <v>11.172000000000001</v>
      </c>
      <c r="AP62" s="36">
        <f>'Wtr-Gas'!AH64*0.0038</f>
        <v>177.84</v>
      </c>
      <c r="AQ62" s="36">
        <f>'Wtr-Gas'!AJ64*0.0038</f>
        <v>26.033799999999999</v>
      </c>
      <c r="AR62" s="36">
        <f>'Wtr-Gas'!AL64*0.0038</f>
        <v>418</v>
      </c>
      <c r="AS62" s="36">
        <f>'Wtr-Gas'!AN64*0.0038</f>
        <v>3.04E-2</v>
      </c>
      <c r="AT62" s="36">
        <f>'Wtr-Gas'!AP64*0.0038</f>
        <v>2.66</v>
      </c>
      <c r="AU62" s="39">
        <f>'Wtr-Gas'!AT64*0.0038</f>
        <v>0.247</v>
      </c>
      <c r="AV62" s="36">
        <f>'Wtr-Gas'!AW64*0.0038</f>
        <v>109.5274</v>
      </c>
      <c r="AW62" s="37">
        <f>'Wtr-Gas'!AY64*0.0038</f>
        <v>86.187799999999996</v>
      </c>
      <c r="AX62" s="36">
        <f>'Wtr-Gas'!AZ64*0.0038</f>
        <v>23.339371999999997</v>
      </c>
      <c r="AY62" s="36">
        <f>'Wtr-Gas'!BB64*0.0038</f>
        <v>4.18</v>
      </c>
      <c r="AZ62" s="36">
        <f>'Wtr-Gas'!BD64*0.0038</f>
        <v>4.5599999999999996</v>
      </c>
      <c r="BA62" s="36">
        <f>'Wtr-Gas'!BF64*0.0038</f>
        <v>0</v>
      </c>
      <c r="BB62" s="191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96" t="s">
        <v>62</v>
      </c>
      <c r="C4" s="166"/>
      <c r="D4" s="166"/>
      <c r="E4" s="166"/>
      <c r="F4" s="166"/>
      <c r="G4" s="166"/>
      <c r="H4" s="166"/>
      <c r="I4" s="166"/>
    </row>
    <row r="5" spans="2:9" x14ac:dyDescent="0.25"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166"/>
      <c r="I5" s="3" t="s">
        <v>69</v>
      </c>
    </row>
    <row r="6" spans="2:9" x14ac:dyDescent="0.25">
      <c r="B6" s="166" t="s">
        <v>70</v>
      </c>
      <c r="C6" s="166" t="s">
        <v>71</v>
      </c>
      <c r="D6" s="166" t="s">
        <v>72</v>
      </c>
      <c r="E6" s="166" t="s">
        <v>73</v>
      </c>
      <c r="F6" s="166"/>
      <c r="G6" s="166">
        <v>160</v>
      </c>
      <c r="H6" s="166"/>
      <c r="I6" s="166" t="s">
        <v>74</v>
      </c>
    </row>
    <row r="7" spans="2:9" x14ac:dyDescent="0.25">
      <c r="B7" s="166" t="s">
        <v>70</v>
      </c>
      <c r="C7" s="166" t="s">
        <v>75</v>
      </c>
      <c r="D7" s="166" t="s">
        <v>76</v>
      </c>
      <c r="E7" s="166" t="s">
        <v>77</v>
      </c>
      <c r="F7" s="166"/>
      <c r="G7" s="166">
        <v>160</v>
      </c>
      <c r="H7" s="166"/>
      <c r="I7" s="166" t="s">
        <v>78</v>
      </c>
    </row>
    <row r="8" spans="2:9" x14ac:dyDescent="0.25">
      <c r="B8" s="166" t="s">
        <v>70</v>
      </c>
      <c r="C8" s="166" t="s">
        <v>79</v>
      </c>
      <c r="D8" s="166" t="s">
        <v>80</v>
      </c>
      <c r="E8" s="166" t="s">
        <v>81</v>
      </c>
      <c r="F8" s="166"/>
      <c r="G8" s="166">
        <v>400</v>
      </c>
      <c r="H8" s="166"/>
      <c r="I8" s="166" t="s">
        <v>82</v>
      </c>
    </row>
    <row r="9" spans="2:9" x14ac:dyDescent="0.25">
      <c r="B9" s="166" t="s">
        <v>70</v>
      </c>
      <c r="C9" s="166" t="s">
        <v>83</v>
      </c>
      <c r="D9" s="166" t="s">
        <v>84</v>
      </c>
      <c r="E9" s="166" t="s">
        <v>85</v>
      </c>
      <c r="F9" s="166"/>
      <c r="G9" s="166">
        <v>400</v>
      </c>
      <c r="H9" s="166"/>
      <c r="I9" s="166" t="s">
        <v>86</v>
      </c>
    </row>
    <row r="10" spans="2:9" x14ac:dyDescent="0.25">
      <c r="B10" s="166" t="s">
        <v>70</v>
      </c>
      <c r="C10" s="166" t="s">
        <v>87</v>
      </c>
      <c r="D10" s="166" t="s">
        <v>88</v>
      </c>
      <c r="E10" s="166" t="s">
        <v>89</v>
      </c>
      <c r="F10" s="166"/>
      <c r="G10" s="166">
        <v>400</v>
      </c>
      <c r="H10" s="166"/>
      <c r="I10" s="166" t="s">
        <v>90</v>
      </c>
    </row>
    <row r="11" spans="2:9" x14ac:dyDescent="0.25">
      <c r="B11" s="166" t="s">
        <v>91</v>
      </c>
      <c r="C11" s="166" t="s">
        <v>92</v>
      </c>
      <c r="D11" s="166" t="s">
        <v>93</v>
      </c>
      <c r="E11" s="166" t="s">
        <v>94</v>
      </c>
      <c r="F11" s="166"/>
      <c r="G11" s="166">
        <v>300</v>
      </c>
      <c r="H11" s="166"/>
      <c r="I11" s="166" t="s">
        <v>95</v>
      </c>
    </row>
    <row r="12" spans="2:9" x14ac:dyDescent="0.25">
      <c r="B12" s="166" t="s">
        <v>91</v>
      </c>
      <c r="C12" s="166" t="s">
        <v>96</v>
      </c>
      <c r="D12" s="166" t="s">
        <v>97</v>
      </c>
      <c r="E12" s="166" t="s">
        <v>98</v>
      </c>
      <c r="F12" s="166"/>
      <c r="G12" s="166">
        <v>300</v>
      </c>
      <c r="H12" s="166"/>
      <c r="I12" s="166" t="s">
        <v>91</v>
      </c>
    </row>
    <row r="13" spans="2:9" x14ac:dyDescent="0.25">
      <c r="B13" s="166" t="s">
        <v>91</v>
      </c>
      <c r="C13" s="166" t="s">
        <v>99</v>
      </c>
      <c r="D13" s="166" t="s">
        <v>100</v>
      </c>
      <c r="E13" s="166" t="s">
        <v>101</v>
      </c>
      <c r="F13" s="166"/>
      <c r="G13" s="166">
        <v>160</v>
      </c>
      <c r="H13" s="166"/>
      <c r="I13" s="166" t="s">
        <v>102</v>
      </c>
    </row>
    <row r="14" spans="2:9" x14ac:dyDescent="0.25">
      <c r="B14" s="166" t="s">
        <v>91</v>
      </c>
      <c r="C14" s="166" t="s">
        <v>103</v>
      </c>
      <c r="D14" s="166" t="s">
        <v>104</v>
      </c>
      <c r="E14" s="166" t="s">
        <v>105</v>
      </c>
      <c r="F14" s="166"/>
      <c r="G14" s="166">
        <v>160</v>
      </c>
      <c r="H14" s="166"/>
      <c r="I14" s="166" t="s">
        <v>102</v>
      </c>
    </row>
    <row r="15" spans="2:9" x14ac:dyDescent="0.25">
      <c r="B15" s="166" t="s">
        <v>106</v>
      </c>
      <c r="C15" s="166" t="s">
        <v>107</v>
      </c>
      <c r="D15" s="166" t="s">
        <v>108</v>
      </c>
      <c r="E15" s="166" t="s">
        <v>109</v>
      </c>
      <c r="F15" s="166"/>
      <c r="G15" s="166">
        <v>200</v>
      </c>
      <c r="H15" s="166"/>
      <c r="I15" s="166" t="s">
        <v>110</v>
      </c>
    </row>
    <row r="16" spans="2:9" x14ac:dyDescent="0.25">
      <c r="B16" s="166" t="s">
        <v>106</v>
      </c>
      <c r="C16" s="166" t="s">
        <v>111</v>
      </c>
      <c r="D16" s="166" t="s">
        <v>112</v>
      </c>
      <c r="E16" s="166" t="s">
        <v>113</v>
      </c>
      <c r="F16" s="166" t="s">
        <v>114</v>
      </c>
      <c r="G16" s="166">
        <v>40</v>
      </c>
      <c r="H16" s="166"/>
      <c r="I16" s="166" t="s">
        <v>110</v>
      </c>
    </row>
    <row r="17" spans="2:9" x14ac:dyDescent="0.25">
      <c r="B17" s="166" t="s">
        <v>115</v>
      </c>
      <c r="C17" s="166" t="s">
        <v>116</v>
      </c>
      <c r="D17" s="166" t="s">
        <v>117</v>
      </c>
      <c r="E17" s="166" t="s">
        <v>118</v>
      </c>
      <c r="F17" s="166"/>
      <c r="G17" s="166">
        <v>1</v>
      </c>
      <c r="H17" s="166"/>
      <c r="I17" s="166" t="s">
        <v>119</v>
      </c>
    </row>
    <row r="18" spans="2:9" x14ac:dyDescent="0.25">
      <c r="B18" s="166" t="s">
        <v>120</v>
      </c>
      <c r="C18" s="166"/>
      <c r="D18" s="166">
        <v>67273163</v>
      </c>
      <c r="E18" s="166" t="s">
        <v>121</v>
      </c>
      <c r="F18" s="166"/>
      <c r="G18" s="166"/>
      <c r="H18" s="166"/>
      <c r="I18" s="166" t="s">
        <v>122</v>
      </c>
    </row>
    <row r="19" spans="2:9" x14ac:dyDescent="0.25">
      <c r="B19" s="166" t="s">
        <v>123</v>
      </c>
      <c r="C19" s="166"/>
      <c r="D19" s="166">
        <v>67662513</v>
      </c>
      <c r="E19" s="166" t="s">
        <v>124</v>
      </c>
      <c r="F19" s="166"/>
      <c r="G19" s="166"/>
      <c r="H19" s="166"/>
      <c r="I19" s="166" t="s">
        <v>123</v>
      </c>
    </row>
    <row r="20" spans="2:9" x14ac:dyDescent="0.25">
      <c r="B20" s="166" t="s">
        <v>125</v>
      </c>
      <c r="C20" s="166"/>
      <c r="D20" s="166">
        <v>61979920</v>
      </c>
      <c r="E20" s="166" t="s">
        <v>126</v>
      </c>
      <c r="F20" s="166"/>
      <c r="G20" s="166"/>
      <c r="H20" s="166"/>
      <c r="I20" s="166" t="s">
        <v>127</v>
      </c>
    </row>
    <row r="21" spans="2:9" x14ac:dyDescent="0.25">
      <c r="B21" s="166" t="s">
        <v>128</v>
      </c>
      <c r="C21" s="166"/>
      <c r="D21" s="166">
        <v>56253208</v>
      </c>
      <c r="E21" s="166" t="s">
        <v>129</v>
      </c>
      <c r="F21" s="166"/>
      <c r="G21" s="166"/>
      <c r="H21" s="166"/>
      <c r="I21" s="166" t="s">
        <v>130</v>
      </c>
    </row>
    <row r="24" spans="2:9" x14ac:dyDescent="0.25">
      <c r="B24" s="96" t="s">
        <v>131</v>
      </c>
      <c r="C24" s="166"/>
      <c r="D24" s="166"/>
      <c r="E24" s="166"/>
      <c r="F24" s="166"/>
      <c r="G24" s="166"/>
      <c r="H24" s="166"/>
      <c r="I24" s="166"/>
    </row>
    <row r="25" spans="2:9" x14ac:dyDescent="0.25">
      <c r="B25" s="166" t="s">
        <v>132</v>
      </c>
      <c r="C25" s="166"/>
      <c r="D25" s="166">
        <v>74860172</v>
      </c>
      <c r="E25" s="166" t="s">
        <v>133</v>
      </c>
      <c r="F25" s="166" t="s">
        <v>134</v>
      </c>
      <c r="G25" s="166"/>
      <c r="H25" s="166"/>
      <c r="I25" s="166" t="s">
        <v>131</v>
      </c>
    </row>
    <row r="26" spans="2:9" x14ac:dyDescent="0.25">
      <c r="B26" s="166" t="s">
        <v>132</v>
      </c>
      <c r="C26" s="166"/>
      <c r="D26" s="166">
        <v>74860173</v>
      </c>
      <c r="E26" s="166" t="s">
        <v>133</v>
      </c>
      <c r="F26" s="166" t="s">
        <v>135</v>
      </c>
      <c r="G26" s="166"/>
      <c r="H26" s="166"/>
      <c r="I26" s="166" t="s">
        <v>136</v>
      </c>
    </row>
    <row r="27" spans="2:9" x14ac:dyDescent="0.25">
      <c r="B27" s="166" t="s">
        <v>137</v>
      </c>
      <c r="C27" s="166"/>
      <c r="D27" s="166">
        <v>44553004</v>
      </c>
      <c r="E27" s="166" t="s">
        <v>133</v>
      </c>
      <c r="F27" s="166" t="s">
        <v>138</v>
      </c>
      <c r="G27" s="166"/>
      <c r="H27" s="166"/>
      <c r="I27" s="166"/>
    </row>
    <row r="28" spans="2:9" x14ac:dyDescent="0.25">
      <c r="B28" s="166" t="s">
        <v>137</v>
      </c>
      <c r="C28" s="166"/>
      <c r="D28" s="166">
        <v>70275191</v>
      </c>
      <c r="E28" s="166" t="s">
        <v>139</v>
      </c>
      <c r="F28" s="166" t="s">
        <v>140</v>
      </c>
      <c r="G28" s="166"/>
      <c r="H28" s="166"/>
      <c r="I28" s="166" t="s">
        <v>141</v>
      </c>
    </row>
    <row r="29" spans="2:9" x14ac:dyDescent="0.25">
      <c r="B29" s="166" t="s">
        <v>142</v>
      </c>
      <c r="C29" s="166"/>
      <c r="D29" s="166">
        <v>2130521</v>
      </c>
      <c r="E29" s="166" t="s">
        <v>139</v>
      </c>
      <c r="F29" s="166" t="s">
        <v>143</v>
      </c>
      <c r="G29" s="166"/>
      <c r="H29" s="166"/>
      <c r="I29" s="166" t="s">
        <v>144</v>
      </c>
    </row>
    <row r="31" spans="2:9" x14ac:dyDescent="0.25">
      <c r="B31" s="3" t="s">
        <v>145</v>
      </c>
      <c r="C31" s="3" t="s">
        <v>146</v>
      </c>
      <c r="D31" s="166"/>
      <c r="E31" s="166"/>
      <c r="F31" s="166"/>
      <c r="G31" s="166"/>
      <c r="H31" s="166"/>
      <c r="I31" s="166"/>
    </row>
    <row r="32" spans="2:9" x14ac:dyDescent="0.25">
      <c r="B32" s="166" t="s">
        <v>147</v>
      </c>
      <c r="C32" s="166"/>
      <c r="D32" s="166">
        <v>79177804</v>
      </c>
      <c r="E32" s="166" t="s">
        <v>148</v>
      </c>
      <c r="F32" s="166" t="s">
        <v>149</v>
      </c>
      <c r="G32" s="166"/>
      <c r="H32" s="166"/>
      <c r="I32" s="166"/>
    </row>
    <row r="33" spans="2:9" x14ac:dyDescent="0.25">
      <c r="B33" s="166" t="s">
        <v>147</v>
      </c>
      <c r="C33" s="166"/>
      <c r="D33" s="166">
        <v>79305675</v>
      </c>
      <c r="E33" s="166" t="s">
        <v>148</v>
      </c>
      <c r="F33" s="166" t="s">
        <v>150</v>
      </c>
      <c r="G33" s="166"/>
      <c r="H33" s="166"/>
      <c r="I33" s="166"/>
    </row>
    <row r="34" spans="2:9" x14ac:dyDescent="0.25">
      <c r="B34" s="166" t="s">
        <v>151</v>
      </c>
      <c r="C34" s="166"/>
      <c r="D34" s="97" t="s">
        <v>49</v>
      </c>
      <c r="E34" s="166" t="s">
        <v>152</v>
      </c>
      <c r="F34" s="166" t="s">
        <v>153</v>
      </c>
      <c r="G34" s="166"/>
      <c r="H34" s="166"/>
      <c r="I34" s="166"/>
    </row>
    <row r="35" spans="2:9" x14ac:dyDescent="0.25">
      <c r="B35" s="166" t="s">
        <v>151</v>
      </c>
      <c r="C35" s="166"/>
      <c r="D35" s="166">
        <v>79190041</v>
      </c>
      <c r="E35" s="166" t="s">
        <v>152</v>
      </c>
      <c r="F35" s="166" t="s">
        <v>154</v>
      </c>
      <c r="G35" s="166"/>
      <c r="H35" s="166"/>
      <c r="I35" s="166"/>
    </row>
    <row r="36" spans="2:9" x14ac:dyDescent="0.25">
      <c r="B36" s="166" t="s">
        <v>155</v>
      </c>
      <c r="C36" s="166"/>
      <c r="D36" s="166">
        <v>79190039</v>
      </c>
      <c r="E36" s="166" t="s">
        <v>148</v>
      </c>
      <c r="F36" s="166" t="s">
        <v>153</v>
      </c>
      <c r="G36" s="166"/>
      <c r="H36" s="166"/>
      <c r="I36" s="166"/>
    </row>
    <row r="37" spans="2:9" x14ac:dyDescent="0.25">
      <c r="B37" s="166" t="s">
        <v>156</v>
      </c>
      <c r="C37" s="3" t="s">
        <v>157</v>
      </c>
      <c r="D37" s="166">
        <v>79324776</v>
      </c>
      <c r="E37" s="166" t="s">
        <v>152</v>
      </c>
      <c r="F37" s="166" t="s">
        <v>158</v>
      </c>
      <c r="G37" s="166"/>
      <c r="H37" s="166"/>
      <c r="I37" s="166"/>
    </row>
    <row r="38" spans="2:9" x14ac:dyDescent="0.25">
      <c r="B38" s="166" t="s">
        <v>159</v>
      </c>
      <c r="C38" s="3" t="s">
        <v>160</v>
      </c>
      <c r="D38" s="98" t="s">
        <v>161</v>
      </c>
      <c r="E38" s="166" t="s">
        <v>139</v>
      </c>
      <c r="F38" s="166" t="s">
        <v>162</v>
      </c>
      <c r="G38" s="166"/>
      <c r="H38" s="166"/>
      <c r="I38" s="166"/>
    </row>
    <row r="39" spans="2:9" x14ac:dyDescent="0.25">
      <c r="B39" s="166" t="s">
        <v>70</v>
      </c>
      <c r="C39" s="3" t="s">
        <v>160</v>
      </c>
      <c r="D39" s="98" t="s">
        <v>163</v>
      </c>
      <c r="E39" s="166" t="s">
        <v>139</v>
      </c>
      <c r="F39" s="166" t="s">
        <v>164</v>
      </c>
      <c r="G39" s="166"/>
      <c r="H39" s="166"/>
      <c r="I39" s="166"/>
    </row>
    <row r="40" spans="2:9" x14ac:dyDescent="0.25">
      <c r="B40" s="166"/>
      <c r="C40" s="3"/>
      <c r="D40" s="166"/>
      <c r="E40" s="166"/>
      <c r="F40" s="166"/>
      <c r="G40" s="166"/>
      <c r="H40" s="166"/>
      <c r="I40" s="166"/>
    </row>
    <row r="41" spans="2:9" x14ac:dyDescent="0.25">
      <c r="B41" s="166"/>
      <c r="C41" s="3"/>
      <c r="D41" s="166"/>
      <c r="E41" s="166"/>
      <c r="F41" s="166"/>
      <c r="G41" s="166"/>
      <c r="H41" s="166"/>
      <c r="I41" s="166"/>
    </row>
    <row r="43" spans="2:9" x14ac:dyDescent="0.25">
      <c r="B43" s="96" t="s">
        <v>165</v>
      </c>
      <c r="C43" s="166"/>
      <c r="D43" s="166"/>
      <c r="E43" s="166"/>
      <c r="F43" s="166"/>
      <c r="G43" s="166"/>
      <c r="H43" s="166"/>
      <c r="I43" s="166"/>
    </row>
    <row r="44" spans="2:9" x14ac:dyDescent="0.25">
      <c r="B44" s="166" t="s">
        <v>166</v>
      </c>
      <c r="C44" s="166"/>
      <c r="D44" s="176" t="s">
        <v>167</v>
      </c>
      <c r="E44" s="166" t="s">
        <v>139</v>
      </c>
      <c r="F44" s="166" t="s">
        <v>168</v>
      </c>
      <c r="G44" s="166"/>
      <c r="H44" s="166"/>
      <c r="I44" s="166" t="s">
        <v>169</v>
      </c>
    </row>
    <row r="45" spans="2:9" x14ac:dyDescent="0.25">
      <c r="B45" s="166"/>
      <c r="C45" s="166"/>
      <c r="D45" s="166" t="s">
        <v>170</v>
      </c>
      <c r="E45" s="20">
        <v>41962</v>
      </c>
      <c r="F45" s="166"/>
      <c r="G45" s="166"/>
      <c r="H45" s="166"/>
      <c r="I45" s="166" t="s">
        <v>171</v>
      </c>
    </row>
    <row r="46" spans="2:9" x14ac:dyDescent="0.25">
      <c r="B46" s="166" t="s">
        <v>172</v>
      </c>
      <c r="C46" s="166"/>
      <c r="D46" s="166">
        <v>80606729</v>
      </c>
      <c r="E46" s="20">
        <v>42522</v>
      </c>
      <c r="F46" s="166"/>
      <c r="G46" s="166"/>
      <c r="H46" s="166"/>
      <c r="I46" s="166" t="s">
        <v>173</v>
      </c>
    </row>
    <row r="48" spans="2:9" x14ac:dyDescent="0.25">
      <c r="B48" s="166" t="s">
        <v>174</v>
      </c>
      <c r="C48" s="166"/>
      <c r="D48" s="166">
        <v>85492530</v>
      </c>
      <c r="E48" s="20">
        <v>43698</v>
      </c>
      <c r="F48" s="166"/>
      <c r="G48" s="166"/>
      <c r="H48" s="166"/>
      <c r="I48" s="166" t="s">
        <v>175</v>
      </c>
    </row>
    <row r="51" spans="2:9" x14ac:dyDescent="0.25">
      <c r="B51" s="166" t="s">
        <v>176</v>
      </c>
      <c r="C51" s="166"/>
      <c r="D51" s="166" t="s">
        <v>177</v>
      </c>
      <c r="E51" s="166" t="s">
        <v>178</v>
      </c>
      <c r="F51" s="166"/>
      <c r="G51" s="166"/>
      <c r="H51" s="166"/>
      <c r="I51" s="166"/>
    </row>
    <row r="52" spans="2:9" x14ac:dyDescent="0.25">
      <c r="B52" s="166"/>
      <c r="C52" s="166"/>
      <c r="D52" s="166">
        <v>10816233</v>
      </c>
      <c r="E52" s="166">
        <v>2236896</v>
      </c>
      <c r="F52" s="166"/>
      <c r="G52" s="166"/>
      <c r="H52" s="166"/>
      <c r="I52" s="166" t="s">
        <v>179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A1" s="166"/>
      <c r="B1" s="99" t="s">
        <v>180</v>
      </c>
      <c r="C1" s="99"/>
      <c r="D1" s="99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66"/>
      <c r="Q1" s="166"/>
      <c r="R1" s="166"/>
      <c r="S1" s="166"/>
    </row>
    <row r="2" spans="1:19" ht="15.75" thickBot="1" x14ac:dyDescent="0.3">
      <c r="A2" s="166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 t="s">
        <v>181</v>
      </c>
      <c r="O2" s="100"/>
      <c r="P2" s="166"/>
      <c r="Q2" s="166"/>
      <c r="R2" s="166"/>
      <c r="S2" s="166"/>
    </row>
    <row r="3" spans="1:19" ht="15.75" thickBot="1" x14ac:dyDescent="0.3">
      <c r="A3" s="166"/>
      <c r="B3" s="101" t="s">
        <v>182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3"/>
      <c r="O3" s="104"/>
      <c r="P3" s="166"/>
      <c r="Q3" s="166"/>
      <c r="R3" s="166"/>
      <c r="S3" s="166"/>
    </row>
    <row r="4" spans="1:19" x14ac:dyDescent="0.25">
      <c r="A4" s="166"/>
      <c r="B4" s="269">
        <v>74860172</v>
      </c>
      <c r="C4" s="270"/>
      <c r="D4" s="269">
        <v>74860173</v>
      </c>
      <c r="E4" s="270"/>
      <c r="F4" s="269">
        <v>44553004</v>
      </c>
      <c r="G4" s="270"/>
      <c r="H4" s="269">
        <v>70275191</v>
      </c>
      <c r="I4" s="270"/>
      <c r="J4" s="269">
        <v>2130521</v>
      </c>
      <c r="K4" s="270"/>
      <c r="L4" s="269" t="s">
        <v>170</v>
      </c>
      <c r="M4" s="270"/>
      <c r="N4" s="277">
        <v>93477704</v>
      </c>
      <c r="O4" s="278"/>
      <c r="P4" s="166"/>
      <c r="Q4" s="166"/>
      <c r="R4" s="166"/>
      <c r="S4" s="166"/>
    </row>
    <row r="5" spans="1:19" x14ac:dyDescent="0.25">
      <c r="A5" s="166"/>
      <c r="B5" s="105"/>
      <c r="C5" s="106"/>
      <c r="D5" s="105"/>
      <c r="E5" s="106"/>
      <c r="F5" s="105"/>
      <c r="G5" s="106"/>
      <c r="H5" s="105"/>
      <c r="I5" s="106" t="s">
        <v>183</v>
      </c>
      <c r="J5" s="105"/>
      <c r="K5" s="106"/>
      <c r="L5" s="105" t="s">
        <v>114</v>
      </c>
      <c r="M5" s="106" t="s">
        <v>114</v>
      </c>
      <c r="N5" s="105"/>
      <c r="O5" s="106"/>
      <c r="P5" s="166"/>
      <c r="Q5" s="166"/>
      <c r="R5" s="166"/>
      <c r="S5" s="166"/>
    </row>
    <row r="6" spans="1:19" x14ac:dyDescent="0.25">
      <c r="A6" s="166"/>
      <c r="B6" s="253" t="s">
        <v>184</v>
      </c>
      <c r="C6" s="254"/>
      <c r="D6" s="253" t="s">
        <v>185</v>
      </c>
      <c r="E6" s="254"/>
      <c r="F6" s="253" t="s">
        <v>186</v>
      </c>
      <c r="G6" s="254"/>
      <c r="H6" s="253" t="s">
        <v>187</v>
      </c>
      <c r="I6" s="254"/>
      <c r="J6" s="253" t="s">
        <v>188</v>
      </c>
      <c r="K6" s="254"/>
      <c r="L6" s="253" t="s">
        <v>189</v>
      </c>
      <c r="M6" s="254"/>
      <c r="N6" s="107" t="s">
        <v>190</v>
      </c>
      <c r="O6" s="108"/>
      <c r="P6" s="166"/>
      <c r="Q6" s="166"/>
      <c r="R6" s="166"/>
      <c r="S6" s="109"/>
    </row>
    <row r="7" spans="1:19" ht="26.25" customHeight="1" x14ac:dyDescent="0.5">
      <c r="A7" s="110"/>
      <c r="B7" s="255"/>
      <c r="C7" s="255"/>
      <c r="D7" s="255"/>
      <c r="E7" s="255"/>
      <c r="F7" s="255"/>
      <c r="G7" s="255"/>
      <c r="H7" s="255"/>
      <c r="I7" s="255"/>
      <c r="J7" s="247"/>
      <c r="K7" s="248"/>
      <c r="L7" s="247"/>
      <c r="M7" s="248"/>
      <c r="N7" s="111"/>
      <c r="O7" s="112"/>
      <c r="P7" s="166"/>
      <c r="Q7" s="166"/>
      <c r="R7" s="166"/>
      <c r="S7" s="166"/>
    </row>
    <row r="8" spans="1:19" ht="7.5" customHeight="1" x14ac:dyDescent="0.5">
      <c r="A8" s="110"/>
      <c r="B8" s="113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5"/>
      <c r="O8" s="106"/>
      <c r="P8" s="166"/>
      <c r="Q8" s="166"/>
      <c r="R8" s="166"/>
      <c r="S8" s="166"/>
    </row>
    <row r="9" spans="1:19" x14ac:dyDescent="0.25">
      <c r="A9" s="166"/>
      <c r="B9" s="260">
        <v>85492530</v>
      </c>
      <c r="C9" s="261"/>
      <c r="D9" s="260">
        <v>79305675</v>
      </c>
      <c r="E9" s="261"/>
      <c r="F9" s="260">
        <v>79190041</v>
      </c>
      <c r="G9" s="261"/>
      <c r="H9" s="260" t="s">
        <v>49</v>
      </c>
      <c r="I9" s="261"/>
      <c r="J9" s="260">
        <v>79190039</v>
      </c>
      <c r="K9" s="261"/>
      <c r="L9" s="260">
        <v>79324776</v>
      </c>
      <c r="M9" s="261"/>
      <c r="N9" s="116"/>
      <c r="O9" s="117"/>
      <c r="P9" s="166"/>
      <c r="Q9" s="166"/>
      <c r="R9" s="166"/>
      <c r="S9" s="166"/>
    </row>
    <row r="10" spans="1:19" x14ac:dyDescent="0.25">
      <c r="A10" s="166"/>
      <c r="B10" s="269" t="s">
        <v>147</v>
      </c>
      <c r="C10" s="270"/>
      <c r="D10" s="269" t="s">
        <v>147</v>
      </c>
      <c r="E10" s="270"/>
      <c r="F10" s="269" t="s">
        <v>151</v>
      </c>
      <c r="G10" s="270"/>
      <c r="H10" s="269" t="s">
        <v>151</v>
      </c>
      <c r="I10" s="270"/>
      <c r="J10" s="269" t="s">
        <v>155</v>
      </c>
      <c r="K10" s="270"/>
      <c r="L10" s="269" t="s">
        <v>156</v>
      </c>
      <c r="M10" s="270"/>
      <c r="N10" s="273" t="s">
        <v>191</v>
      </c>
      <c r="O10" s="274"/>
      <c r="P10" s="166"/>
      <c r="Q10" s="166"/>
      <c r="R10" s="166"/>
      <c r="S10" s="166"/>
    </row>
    <row r="11" spans="1:19" x14ac:dyDescent="0.25">
      <c r="A11" s="166"/>
      <c r="B11" s="253" t="s">
        <v>192</v>
      </c>
      <c r="C11" s="254"/>
      <c r="D11" s="253" t="s">
        <v>193</v>
      </c>
      <c r="E11" s="254"/>
      <c r="F11" s="253" t="s">
        <v>154</v>
      </c>
      <c r="G11" s="254"/>
      <c r="H11" s="253" t="s">
        <v>194</v>
      </c>
      <c r="I11" s="254"/>
      <c r="J11" s="253" t="s">
        <v>194</v>
      </c>
      <c r="K11" s="254"/>
      <c r="L11" s="253" t="s">
        <v>154</v>
      </c>
      <c r="M11" s="254"/>
      <c r="N11" s="275" t="s">
        <v>195</v>
      </c>
      <c r="O11" s="276"/>
      <c r="P11" s="166"/>
      <c r="Q11" s="166"/>
      <c r="R11" s="166"/>
      <c r="S11" s="166"/>
    </row>
    <row r="12" spans="1:19" ht="29.25" customHeight="1" x14ac:dyDescent="0.5">
      <c r="A12" s="110"/>
      <c r="B12" s="255"/>
      <c r="C12" s="255"/>
      <c r="D12" s="255"/>
      <c r="E12" s="255"/>
      <c r="F12" s="255"/>
      <c r="G12" s="255"/>
      <c r="H12" s="255"/>
      <c r="I12" s="255"/>
      <c r="J12" s="247"/>
      <c r="K12" s="248"/>
      <c r="L12" s="247"/>
      <c r="M12" s="248"/>
      <c r="N12" s="118"/>
      <c r="O12" s="119"/>
      <c r="P12" s="166"/>
      <c r="Q12" s="166"/>
      <c r="R12" s="166"/>
      <c r="S12" s="166"/>
    </row>
    <row r="13" spans="1:19" ht="7.5" customHeight="1" thickBot="1" x14ac:dyDescent="0.55000000000000004">
      <c r="A13" s="11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1"/>
      <c r="O13" s="121"/>
      <c r="P13" s="166"/>
      <c r="Q13" s="166"/>
      <c r="R13" s="166"/>
      <c r="S13" s="166"/>
    </row>
    <row r="14" spans="1:19" ht="15.75" thickBot="1" x14ac:dyDescent="0.3">
      <c r="A14" s="166"/>
      <c r="B14" s="271" t="s">
        <v>196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103"/>
      <c r="O14" s="104"/>
      <c r="P14" s="166"/>
      <c r="Q14" s="166"/>
      <c r="R14" s="166"/>
      <c r="S14" s="166"/>
    </row>
    <row r="15" spans="1:19" x14ac:dyDescent="0.25">
      <c r="A15" s="166"/>
      <c r="B15" s="269" t="s">
        <v>73</v>
      </c>
      <c r="C15" s="270"/>
      <c r="D15" s="269" t="s">
        <v>77</v>
      </c>
      <c r="E15" s="270"/>
      <c r="F15" s="269" t="s">
        <v>81</v>
      </c>
      <c r="G15" s="270"/>
      <c r="H15" s="269" t="s">
        <v>85</v>
      </c>
      <c r="I15" s="270"/>
      <c r="J15" s="269" t="s">
        <v>89</v>
      </c>
      <c r="K15" s="270"/>
      <c r="L15" s="262"/>
      <c r="M15" s="263"/>
      <c r="N15" s="122"/>
      <c r="O15" s="123"/>
      <c r="P15" s="166"/>
      <c r="Q15" s="166"/>
      <c r="R15" s="166"/>
      <c r="S15" s="166"/>
    </row>
    <row r="16" spans="1:19" x14ac:dyDescent="0.25">
      <c r="A16" s="166"/>
      <c r="B16" s="124" t="s">
        <v>72</v>
      </c>
      <c r="C16" s="124" t="s">
        <v>71</v>
      </c>
      <c r="D16" s="124" t="s">
        <v>76</v>
      </c>
      <c r="E16" s="124" t="s">
        <v>75</v>
      </c>
      <c r="F16" s="124" t="s">
        <v>80</v>
      </c>
      <c r="G16" s="124" t="s">
        <v>79</v>
      </c>
      <c r="H16" s="124" t="s">
        <v>84</v>
      </c>
      <c r="I16" s="124" t="s">
        <v>83</v>
      </c>
      <c r="J16" s="124" t="s">
        <v>88</v>
      </c>
      <c r="K16" s="124" t="s">
        <v>87</v>
      </c>
      <c r="L16" s="125"/>
      <c r="M16" s="125"/>
      <c r="N16" s="126"/>
      <c r="O16" s="126"/>
      <c r="P16" s="166"/>
      <c r="Q16" s="166"/>
      <c r="R16" s="166"/>
      <c r="S16" s="166"/>
    </row>
    <row r="17" spans="1:15" x14ac:dyDescent="0.25">
      <c r="A17" s="166"/>
      <c r="B17" s="239" t="s">
        <v>197</v>
      </c>
      <c r="C17" s="239" t="s">
        <v>198</v>
      </c>
      <c r="D17" s="239" t="s">
        <v>197</v>
      </c>
      <c r="E17" s="239" t="s">
        <v>198</v>
      </c>
      <c r="F17" s="239" t="s">
        <v>197</v>
      </c>
      <c r="G17" s="239" t="s">
        <v>198</v>
      </c>
      <c r="H17" s="239" t="s">
        <v>197</v>
      </c>
      <c r="I17" s="239" t="s">
        <v>198</v>
      </c>
      <c r="J17" s="239" t="s">
        <v>197</v>
      </c>
      <c r="K17" s="239" t="s">
        <v>198</v>
      </c>
      <c r="L17" s="125"/>
      <c r="M17" s="125"/>
      <c r="N17" s="126"/>
      <c r="O17" s="126"/>
    </row>
    <row r="18" spans="1:15" ht="30" customHeight="1" x14ac:dyDescent="0.5">
      <c r="A18" s="110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8"/>
      <c r="M18" s="128"/>
      <c r="N18" s="126"/>
      <c r="O18" s="126"/>
    </row>
    <row r="19" spans="1:15" ht="7.5" customHeight="1" thickBot="1" x14ac:dyDescent="0.55000000000000004">
      <c r="A19" s="110"/>
      <c r="B19" s="11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5"/>
      <c r="O19" s="106"/>
    </row>
    <row r="20" spans="1:15" x14ac:dyDescent="0.25">
      <c r="A20" s="166"/>
      <c r="B20" s="264" t="s">
        <v>199</v>
      </c>
      <c r="C20" s="265"/>
      <c r="D20" s="265"/>
      <c r="E20" s="265"/>
      <c r="F20" s="265"/>
      <c r="G20" s="265"/>
      <c r="H20" s="265"/>
      <c r="I20" s="266"/>
      <c r="J20" s="267" t="s">
        <v>151</v>
      </c>
      <c r="K20" s="265"/>
      <c r="L20" s="265"/>
      <c r="M20" s="265"/>
      <c r="N20" s="265"/>
      <c r="O20" s="129"/>
    </row>
    <row r="21" spans="1:15" x14ac:dyDescent="0.25">
      <c r="A21" s="166"/>
      <c r="B21" s="260" t="s">
        <v>94</v>
      </c>
      <c r="C21" s="261"/>
      <c r="D21" s="260" t="s">
        <v>98</v>
      </c>
      <c r="E21" s="261"/>
      <c r="F21" s="260" t="s">
        <v>101</v>
      </c>
      <c r="G21" s="261"/>
      <c r="H21" s="260" t="s">
        <v>105</v>
      </c>
      <c r="I21" s="261"/>
      <c r="J21" s="268" t="s">
        <v>109</v>
      </c>
      <c r="K21" s="268"/>
      <c r="L21" s="260" t="s">
        <v>113</v>
      </c>
      <c r="M21" s="261"/>
      <c r="N21" s="130"/>
      <c r="O21" s="131"/>
    </row>
    <row r="22" spans="1:15" x14ac:dyDescent="0.25">
      <c r="A22" s="166"/>
      <c r="B22" s="124" t="s">
        <v>93</v>
      </c>
      <c r="C22" s="124" t="s">
        <v>92</v>
      </c>
      <c r="D22" s="124" t="s">
        <v>97</v>
      </c>
      <c r="E22" s="124" t="s">
        <v>96</v>
      </c>
      <c r="F22" s="124" t="s">
        <v>100</v>
      </c>
      <c r="G22" s="124" t="s">
        <v>99</v>
      </c>
      <c r="H22" s="124" t="s">
        <v>104</v>
      </c>
      <c r="I22" s="124" t="s">
        <v>103</v>
      </c>
      <c r="J22" s="124" t="s">
        <v>108</v>
      </c>
      <c r="K22" s="124" t="s">
        <v>107</v>
      </c>
      <c r="L22" s="124" t="s">
        <v>112</v>
      </c>
      <c r="M22" s="124" t="s">
        <v>111</v>
      </c>
      <c r="N22" s="126"/>
      <c r="O22" s="126"/>
    </row>
    <row r="23" spans="1:15" x14ac:dyDescent="0.25">
      <c r="A23" s="166"/>
      <c r="B23" s="239" t="s">
        <v>197</v>
      </c>
      <c r="C23" s="239" t="s">
        <v>198</v>
      </c>
      <c r="D23" s="239" t="s">
        <v>197</v>
      </c>
      <c r="E23" s="239" t="s">
        <v>198</v>
      </c>
      <c r="F23" s="239" t="s">
        <v>197</v>
      </c>
      <c r="G23" s="239" t="s">
        <v>198</v>
      </c>
      <c r="H23" s="239" t="s">
        <v>197</v>
      </c>
      <c r="I23" s="239" t="s">
        <v>198</v>
      </c>
      <c r="J23" s="239" t="s">
        <v>197</v>
      </c>
      <c r="K23" s="239" t="s">
        <v>198</v>
      </c>
      <c r="L23" s="239" t="s">
        <v>197</v>
      </c>
      <c r="M23" s="239" t="s">
        <v>198</v>
      </c>
      <c r="N23" s="126"/>
      <c r="O23" s="126"/>
    </row>
    <row r="24" spans="1:15" ht="33" customHeight="1" x14ac:dyDescent="0.5">
      <c r="A24" s="110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6"/>
      <c r="O24" s="126"/>
    </row>
    <row r="25" spans="1:15" ht="7.5" customHeight="1" x14ac:dyDescent="0.5">
      <c r="A25" s="110"/>
      <c r="B25" s="113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5"/>
      <c r="O25" s="106"/>
    </row>
    <row r="26" spans="1:15" x14ac:dyDescent="0.25">
      <c r="A26" s="166"/>
      <c r="B26" s="256" t="s">
        <v>200</v>
      </c>
      <c r="C26" s="257"/>
      <c r="D26" s="256" t="s">
        <v>201</v>
      </c>
      <c r="E26" s="257"/>
      <c r="F26" s="132"/>
      <c r="G26" s="132"/>
      <c r="H26" s="132"/>
      <c r="I26" s="132"/>
      <c r="J26" s="258">
        <v>112014001775</v>
      </c>
      <c r="K26" s="259"/>
      <c r="L26" s="258">
        <v>112014001771</v>
      </c>
      <c r="M26" s="259"/>
      <c r="N26" s="130"/>
      <c r="O26" s="131"/>
    </row>
    <row r="27" spans="1:15" x14ac:dyDescent="0.25">
      <c r="A27" s="166"/>
      <c r="B27" s="260" t="s">
        <v>118</v>
      </c>
      <c r="C27" s="261"/>
      <c r="D27" s="260" t="s">
        <v>202</v>
      </c>
      <c r="E27" s="261"/>
      <c r="F27" s="115"/>
      <c r="G27" s="115"/>
      <c r="H27" s="115"/>
      <c r="I27" s="115"/>
      <c r="J27" s="260" t="s">
        <v>159</v>
      </c>
      <c r="K27" s="261"/>
      <c r="L27" s="260" t="s">
        <v>70</v>
      </c>
      <c r="M27" s="261"/>
      <c r="N27" s="133"/>
      <c r="O27" s="134"/>
    </row>
    <row r="28" spans="1:15" x14ac:dyDescent="0.25">
      <c r="A28" s="166"/>
      <c r="B28" s="239" t="s">
        <v>117</v>
      </c>
      <c r="C28" s="239" t="s">
        <v>116</v>
      </c>
      <c r="D28" s="249" t="s">
        <v>203</v>
      </c>
      <c r="E28" s="250"/>
      <c r="F28" s="115"/>
      <c r="G28" s="115"/>
      <c r="H28" s="115"/>
      <c r="I28" s="115"/>
      <c r="J28" s="251" t="s">
        <v>204</v>
      </c>
      <c r="K28" s="252"/>
      <c r="L28" s="253" t="s">
        <v>205</v>
      </c>
      <c r="M28" s="254"/>
      <c r="N28" s="122"/>
      <c r="O28" s="123"/>
    </row>
    <row r="29" spans="1:15" x14ac:dyDescent="0.25">
      <c r="A29" s="166"/>
      <c r="B29" s="249" t="s">
        <v>197</v>
      </c>
      <c r="C29" s="250"/>
      <c r="D29" s="249" t="s">
        <v>206</v>
      </c>
      <c r="E29" s="250"/>
      <c r="F29" s="115"/>
      <c r="G29" s="115"/>
      <c r="H29" s="115"/>
      <c r="I29" s="115"/>
      <c r="J29" s="255" t="s">
        <v>207</v>
      </c>
      <c r="K29" s="255"/>
      <c r="L29" s="255" t="s">
        <v>207</v>
      </c>
      <c r="M29" s="255"/>
      <c r="N29" s="130"/>
      <c r="O29" s="131"/>
    </row>
    <row r="30" spans="1:15" ht="33.75" x14ac:dyDescent="0.5">
      <c r="A30" s="110"/>
      <c r="B30" s="247"/>
      <c r="C30" s="248"/>
      <c r="D30" s="247"/>
      <c r="E30" s="248"/>
      <c r="F30" s="135"/>
      <c r="G30" s="135"/>
      <c r="H30" s="135"/>
      <c r="I30" s="135"/>
      <c r="J30" s="111"/>
      <c r="K30" s="112"/>
      <c r="L30" s="111"/>
      <c r="M30" s="112"/>
      <c r="N30" s="130"/>
      <c r="O30" s="131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A2" s="166"/>
      <c r="B2" s="287" t="s">
        <v>208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</row>
    <row r="3" spans="1:13" x14ac:dyDescent="0.25">
      <c r="A3" s="166"/>
      <c r="B3" s="288">
        <v>73337589</v>
      </c>
      <c r="C3" s="289"/>
      <c r="D3" s="288">
        <v>65956268</v>
      </c>
      <c r="E3" s="289"/>
      <c r="F3" s="288">
        <v>1334021</v>
      </c>
      <c r="G3" s="289"/>
      <c r="H3" s="288">
        <v>63265094</v>
      </c>
      <c r="I3" s="289"/>
      <c r="J3" s="288">
        <v>80606729</v>
      </c>
      <c r="K3" s="289"/>
      <c r="L3" s="288" t="s">
        <v>114</v>
      </c>
      <c r="M3" s="289"/>
    </row>
    <row r="4" spans="1:13" x14ac:dyDescent="0.25">
      <c r="A4" s="166"/>
      <c r="B4" s="25" t="s">
        <v>114</v>
      </c>
      <c r="C4" s="26" t="s">
        <v>114</v>
      </c>
      <c r="D4" s="25" t="s">
        <v>114</v>
      </c>
      <c r="E4" s="26" t="s">
        <v>114</v>
      </c>
      <c r="F4" s="25" t="s">
        <v>114</v>
      </c>
      <c r="G4" s="26" t="s">
        <v>114</v>
      </c>
      <c r="H4" s="25" t="s">
        <v>114</v>
      </c>
      <c r="I4" s="26" t="s">
        <v>114</v>
      </c>
      <c r="J4" s="25" t="s">
        <v>114</v>
      </c>
      <c r="K4" s="26" t="s">
        <v>114</v>
      </c>
      <c r="L4" s="25" t="s">
        <v>114</v>
      </c>
      <c r="M4" s="26" t="s">
        <v>114</v>
      </c>
    </row>
    <row r="5" spans="1:13" x14ac:dyDescent="0.25">
      <c r="A5" s="166"/>
      <c r="B5" s="279" t="s">
        <v>209</v>
      </c>
      <c r="C5" s="280"/>
      <c r="D5" s="279" t="s">
        <v>210</v>
      </c>
      <c r="E5" s="280"/>
      <c r="F5" s="279" t="s">
        <v>120</v>
      </c>
      <c r="G5" s="280"/>
      <c r="H5" s="279" t="s">
        <v>127</v>
      </c>
      <c r="I5" s="280"/>
      <c r="J5" s="279" t="s">
        <v>211</v>
      </c>
      <c r="K5" s="280"/>
      <c r="L5" s="279" t="s">
        <v>114</v>
      </c>
      <c r="M5" s="280"/>
    </row>
    <row r="6" spans="1:13" ht="33.75" x14ac:dyDescent="0.5">
      <c r="A6" s="110"/>
      <c r="B6" s="281"/>
      <c r="C6" s="281"/>
      <c r="D6" s="281"/>
      <c r="E6" s="281"/>
      <c r="F6" s="281"/>
      <c r="G6" s="281"/>
      <c r="H6" s="281"/>
      <c r="I6" s="281"/>
      <c r="J6" s="283"/>
      <c r="K6" s="284"/>
      <c r="L6" s="283"/>
      <c r="M6" s="284"/>
    </row>
    <row r="7" spans="1:13" ht="33.75" x14ac:dyDescent="0.5">
      <c r="A7" s="110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25">
      <c r="A8" s="166"/>
      <c r="B8" s="287" t="s">
        <v>212</v>
      </c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</row>
    <row r="9" spans="1:13" x14ac:dyDescent="0.25">
      <c r="A9" s="166"/>
      <c r="B9" s="288" t="s">
        <v>124</v>
      </c>
      <c r="C9" s="289"/>
      <c r="D9" s="288" t="s">
        <v>121</v>
      </c>
      <c r="E9" s="289"/>
      <c r="F9" s="288"/>
      <c r="G9" s="289"/>
      <c r="H9" s="288" t="s">
        <v>213</v>
      </c>
      <c r="I9" s="289"/>
      <c r="J9" s="288" t="s">
        <v>129</v>
      </c>
      <c r="K9" s="289"/>
      <c r="L9" s="288" t="s">
        <v>114</v>
      </c>
      <c r="M9" s="289"/>
    </row>
    <row r="10" spans="1:13" x14ac:dyDescent="0.25">
      <c r="A10" s="166"/>
      <c r="B10" s="25" t="s">
        <v>214</v>
      </c>
      <c r="C10" s="26" t="s">
        <v>114</v>
      </c>
      <c r="D10" s="25" t="s">
        <v>215</v>
      </c>
      <c r="E10" s="26" t="s">
        <v>114</v>
      </c>
      <c r="F10" s="25"/>
      <c r="G10" s="26"/>
      <c r="H10" s="25" t="s">
        <v>216</v>
      </c>
      <c r="I10" s="26" t="s">
        <v>114</v>
      </c>
      <c r="J10" s="285" t="s">
        <v>217</v>
      </c>
      <c r="K10" s="286"/>
      <c r="L10" s="25" t="s">
        <v>114</v>
      </c>
      <c r="M10" s="26" t="s">
        <v>114</v>
      </c>
    </row>
    <row r="11" spans="1:13" x14ac:dyDescent="0.25">
      <c r="A11" s="166"/>
      <c r="B11" s="279" t="s">
        <v>209</v>
      </c>
      <c r="C11" s="280"/>
      <c r="D11" s="279" t="s">
        <v>120</v>
      </c>
      <c r="E11" s="280"/>
      <c r="F11" s="279"/>
      <c r="G11" s="280"/>
      <c r="H11" s="279" t="s">
        <v>127</v>
      </c>
      <c r="I11" s="280"/>
      <c r="J11" s="279" t="s">
        <v>130</v>
      </c>
      <c r="K11" s="280"/>
      <c r="L11" s="279" t="s">
        <v>114</v>
      </c>
      <c r="M11" s="280"/>
    </row>
    <row r="12" spans="1:13" ht="33.75" x14ac:dyDescent="0.5">
      <c r="A12" s="110"/>
      <c r="B12" s="281"/>
      <c r="C12" s="281"/>
      <c r="D12" s="281"/>
      <c r="E12" s="281"/>
      <c r="F12" s="281"/>
      <c r="G12" s="281"/>
      <c r="H12" s="282"/>
      <c r="I12" s="282"/>
      <c r="J12" s="283"/>
      <c r="K12" s="284"/>
      <c r="L12" s="283"/>
      <c r="M12" s="284"/>
    </row>
    <row r="13" spans="1:13" ht="33.75" x14ac:dyDescent="0.5">
      <c r="A13" s="110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x14ac:dyDescent="0.25">
      <c r="A14" s="166"/>
      <c r="B14" s="287" t="s">
        <v>218</v>
      </c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</row>
    <row r="15" spans="1:13" x14ac:dyDescent="0.25">
      <c r="A15" s="166"/>
      <c r="B15" s="288" t="s">
        <v>219</v>
      </c>
      <c r="C15" s="289"/>
      <c r="D15" s="288" t="s">
        <v>220</v>
      </c>
      <c r="E15" s="289"/>
      <c r="F15" s="288" t="s">
        <v>221</v>
      </c>
      <c r="G15" s="289"/>
      <c r="H15" s="288" t="s">
        <v>222</v>
      </c>
      <c r="I15" s="289"/>
      <c r="J15" s="288" t="s">
        <v>223</v>
      </c>
      <c r="K15" s="289"/>
      <c r="L15" s="288" t="s">
        <v>224</v>
      </c>
      <c r="M15" s="289"/>
    </row>
    <row r="16" spans="1:13" x14ac:dyDescent="0.25">
      <c r="A16" s="166"/>
      <c r="B16" s="25">
        <v>46801014</v>
      </c>
      <c r="C16" s="26" t="s">
        <v>114</v>
      </c>
      <c r="D16" s="25" t="s">
        <v>114</v>
      </c>
      <c r="E16" s="26" t="s">
        <v>114</v>
      </c>
      <c r="F16" s="25" t="s">
        <v>114</v>
      </c>
      <c r="G16" s="26" t="s">
        <v>114</v>
      </c>
      <c r="H16" s="25" t="s">
        <v>114</v>
      </c>
      <c r="I16" s="26" t="s">
        <v>114</v>
      </c>
      <c r="J16" s="285" t="s">
        <v>114</v>
      </c>
      <c r="K16" s="286"/>
      <c r="L16" s="25" t="s">
        <v>114</v>
      </c>
      <c r="M16" s="26" t="s">
        <v>114</v>
      </c>
    </row>
    <row r="17" spans="1:13" x14ac:dyDescent="0.25">
      <c r="A17" s="166"/>
      <c r="B17" s="279" t="s">
        <v>225</v>
      </c>
      <c r="C17" s="280"/>
      <c r="D17" s="279" t="s">
        <v>120</v>
      </c>
      <c r="E17" s="280"/>
      <c r="F17" s="279" t="s">
        <v>120</v>
      </c>
      <c r="G17" s="280"/>
      <c r="H17" s="279" t="s">
        <v>226</v>
      </c>
      <c r="I17" s="280"/>
      <c r="J17" s="279" t="s">
        <v>120</v>
      </c>
      <c r="K17" s="280"/>
      <c r="L17" s="279" t="s">
        <v>120</v>
      </c>
      <c r="M17" s="280"/>
    </row>
    <row r="18" spans="1:13" ht="33.75" x14ac:dyDescent="0.5">
      <c r="A18" s="110"/>
      <c r="B18" s="281"/>
      <c r="C18" s="281"/>
      <c r="D18" s="281"/>
      <c r="E18" s="281"/>
      <c r="F18" s="281"/>
      <c r="G18" s="281"/>
      <c r="H18" s="282"/>
      <c r="I18" s="282"/>
      <c r="J18" s="283"/>
      <c r="K18" s="284"/>
      <c r="L18" s="283"/>
      <c r="M18" s="284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46" bestFit="1" customWidth="1"/>
  </cols>
  <sheetData>
    <row r="2" spans="2:27" x14ac:dyDescent="0.25">
      <c r="B2" s="166" t="s">
        <v>227</v>
      </c>
      <c r="C2" s="166" t="s">
        <v>228</v>
      </c>
      <c r="D2" s="166" t="s">
        <v>229</v>
      </c>
      <c r="E2" s="166" t="s">
        <v>230</v>
      </c>
      <c r="F2" s="166" t="s">
        <v>231</v>
      </c>
      <c r="G2" s="166" t="s">
        <v>232</v>
      </c>
      <c r="H2" s="166" t="s">
        <v>233</v>
      </c>
      <c r="I2" s="166" t="s">
        <v>234</v>
      </c>
      <c r="J2" s="166" t="s">
        <v>235</v>
      </c>
      <c r="K2" s="166" t="s">
        <v>236</v>
      </c>
      <c r="L2" s="166" t="s">
        <v>237</v>
      </c>
      <c r="M2" s="166" t="s">
        <v>238</v>
      </c>
      <c r="N2" s="166"/>
      <c r="O2" s="166" t="s">
        <v>197</v>
      </c>
      <c r="P2" s="166" t="s">
        <v>239</v>
      </c>
      <c r="Q2" s="166" t="s">
        <v>198</v>
      </c>
      <c r="R2" s="166"/>
      <c r="S2" s="166"/>
      <c r="T2" s="166"/>
      <c r="U2" s="166"/>
      <c r="V2" s="166"/>
      <c r="W2" s="166"/>
      <c r="X2" s="166"/>
      <c r="Y2" s="166"/>
      <c r="Z2" s="182"/>
      <c r="AA2" s="166"/>
    </row>
    <row r="3" spans="2:27" x14ac:dyDescent="0.25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82" t="s">
        <v>240</v>
      </c>
      <c r="AA3" s="166" t="s">
        <v>241</v>
      </c>
    </row>
    <row r="5" spans="2:27" x14ac:dyDescent="0.25"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>
        <v>2015</v>
      </c>
      <c r="Z5" s="182" t="e">
        <f>([1]Elect!#REF!)</f>
        <v>#REF!</v>
      </c>
      <c r="AA5" s="166"/>
    </row>
    <row r="6" spans="2:27" x14ac:dyDescent="0.25"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>
        <v>2016</v>
      </c>
      <c r="Z6" s="182" t="e">
        <f>([1]Elect!#REF!)</f>
        <v>#REF!</v>
      </c>
      <c r="AA6" s="166"/>
    </row>
    <row r="7" spans="2:27" x14ac:dyDescent="0.25"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>
        <v>2017</v>
      </c>
      <c r="Z7" s="182" t="e">
        <f>([1]Elect!#REF!)</f>
        <v>#REF!</v>
      </c>
      <c r="AA7" s="166"/>
    </row>
    <row r="8" spans="2:27" x14ac:dyDescent="0.25"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>
        <v>2018</v>
      </c>
      <c r="Z8" s="182" t="e">
        <f>([1]Elect!#REF!)</f>
        <v>#REF!</v>
      </c>
      <c r="AA8" s="166"/>
    </row>
    <row r="9" spans="2:27" x14ac:dyDescent="0.25"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>
        <v>2019</v>
      </c>
      <c r="Z9" s="182" t="e">
        <f>([1]Elect!#REF!)</f>
        <v>#REF!</v>
      </c>
      <c r="AA9" s="166"/>
    </row>
    <row r="21" spans="24:24" x14ac:dyDescent="0.25">
      <c r="X21" s="166" t="s">
        <v>242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36" t="s">
        <v>243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</row>
    <row r="4" spans="2:98" ht="18.75" x14ac:dyDescent="0.3">
      <c r="B4" s="136" t="s">
        <v>244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</row>
    <row r="5" spans="2:98" ht="18.75" x14ac:dyDescent="0.3">
      <c r="B5" s="136" t="s">
        <v>245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  <c r="BM5" s="166"/>
      <c r="BN5" s="166"/>
      <c r="BO5" s="166"/>
      <c r="BP5" s="166"/>
      <c r="BQ5" s="166"/>
      <c r="BR5" s="166"/>
      <c r="BS5" s="166"/>
      <c r="BT5" s="166"/>
      <c r="BU5" s="166"/>
      <c r="BV5" s="166"/>
      <c r="BW5" s="166"/>
      <c r="BX5" s="166"/>
      <c r="BY5" s="166"/>
      <c r="BZ5" s="166"/>
      <c r="CA5" s="166"/>
      <c r="CB5" s="166"/>
      <c r="CC5" s="166"/>
      <c r="CD5" s="166"/>
      <c r="CE5" s="166"/>
      <c r="CF5" s="166"/>
      <c r="CG5" s="166"/>
      <c r="CH5" s="166"/>
      <c r="CI5" s="166"/>
      <c r="CJ5" s="166"/>
      <c r="CK5" s="166"/>
      <c r="CL5" s="166"/>
      <c r="CM5" s="166"/>
      <c r="CN5" s="166"/>
      <c r="CO5" s="166"/>
      <c r="CP5" s="166"/>
      <c r="CQ5" s="166"/>
      <c r="CR5" s="166"/>
      <c r="CS5" s="166"/>
      <c r="CT5" s="166"/>
    </row>
    <row r="7" spans="2:98" x14ac:dyDescent="0.25"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</row>
    <row r="8" spans="2:98" x14ac:dyDescent="0.25"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2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66"/>
      <c r="CT8" s="138"/>
    </row>
    <row r="9" spans="2:98" x14ac:dyDescent="0.25"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2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166"/>
      <c r="BN9" s="166"/>
      <c r="BO9" s="166"/>
      <c r="BP9" s="166"/>
      <c r="BQ9" s="166"/>
      <c r="BR9" s="166"/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26"/>
    </row>
    <row r="10" spans="2:98" x14ac:dyDescent="0.25"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2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  <c r="CM10" s="166"/>
      <c r="CN10" s="166"/>
      <c r="CO10" s="166"/>
      <c r="CP10" s="166"/>
      <c r="CQ10" s="166"/>
      <c r="CR10" s="166"/>
      <c r="CS10" s="166"/>
      <c r="CT10" s="26"/>
    </row>
    <row r="11" spans="2:98" x14ac:dyDescent="0.25"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26"/>
      <c r="R11" s="166"/>
      <c r="S11" s="166"/>
      <c r="T11" s="166"/>
      <c r="U11" s="166"/>
      <c r="V11" s="166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166"/>
      <c r="CR11" s="166"/>
      <c r="CS11" s="166"/>
      <c r="CT11" s="26"/>
    </row>
    <row r="12" spans="2:98" x14ac:dyDescent="0.25"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26"/>
      <c r="R12" s="166"/>
      <c r="S12" s="166"/>
      <c r="T12" s="166"/>
      <c r="U12" s="166"/>
      <c r="V12" s="2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38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26"/>
    </row>
    <row r="13" spans="2:98" x14ac:dyDescent="0.25"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26"/>
      <c r="R13" s="166"/>
      <c r="S13" s="166"/>
      <c r="T13" s="166"/>
      <c r="U13" s="166"/>
      <c r="V13" s="2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2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26"/>
    </row>
    <row r="14" spans="2:98" x14ac:dyDescent="0.25"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26"/>
      <c r="R14" s="166"/>
      <c r="S14" s="166"/>
      <c r="T14" s="166"/>
      <c r="U14" s="166"/>
      <c r="V14" s="2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3" t="s">
        <v>246</v>
      </c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26"/>
      <c r="BT14" s="166"/>
      <c r="BU14" s="166"/>
      <c r="BV14" s="166"/>
      <c r="BW14" s="166"/>
      <c r="BX14" s="3" t="s">
        <v>247</v>
      </c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26"/>
    </row>
    <row r="15" spans="2:98" x14ac:dyDescent="0.25"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26"/>
      <c r="R15" s="166"/>
      <c r="S15" s="166"/>
      <c r="T15" s="166"/>
      <c r="U15" s="166"/>
      <c r="V15" s="2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3" t="s">
        <v>248</v>
      </c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26"/>
      <c r="BT15" s="166"/>
      <c r="BU15" s="166"/>
      <c r="BV15" s="166"/>
      <c r="BW15" s="166"/>
      <c r="BX15" s="3" t="s">
        <v>249</v>
      </c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26"/>
    </row>
    <row r="16" spans="2:98" x14ac:dyDescent="0.25"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26"/>
      <c r="R16" s="166"/>
      <c r="S16" s="166"/>
      <c r="T16" s="166"/>
      <c r="U16" s="166"/>
      <c r="V16" s="2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3" t="s">
        <v>250</v>
      </c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26"/>
      <c r="BT16" s="166"/>
      <c r="BU16" s="166"/>
      <c r="BV16" s="166"/>
      <c r="BW16" s="166"/>
      <c r="BX16" s="3" t="s">
        <v>250</v>
      </c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26"/>
    </row>
    <row r="17" spans="7:98" x14ac:dyDescent="0.25"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26"/>
      <c r="R17" s="166"/>
      <c r="S17" s="166"/>
      <c r="T17" s="166"/>
      <c r="U17" s="166"/>
      <c r="V17" s="2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37"/>
      <c r="AY17" s="137"/>
      <c r="AZ17" s="137"/>
      <c r="BA17" s="137"/>
      <c r="BB17" s="137"/>
      <c r="BC17" s="137"/>
      <c r="BD17" s="137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2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26"/>
    </row>
    <row r="18" spans="7:98" x14ac:dyDescent="0.25">
      <c r="G18" s="166"/>
      <c r="H18" s="166"/>
      <c r="I18" s="166"/>
      <c r="J18" s="166"/>
      <c r="K18" s="166"/>
      <c r="L18" s="166"/>
      <c r="M18" s="166"/>
      <c r="N18" s="166"/>
      <c r="O18" s="166"/>
      <c r="P18" s="40"/>
      <c r="Q18" s="26"/>
      <c r="R18" s="40"/>
      <c r="S18" s="40"/>
      <c r="T18" s="166"/>
      <c r="U18" s="166"/>
      <c r="V18" s="2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26"/>
      <c r="AX18" s="166"/>
      <c r="AY18" s="166" t="s">
        <v>251</v>
      </c>
      <c r="AZ18" s="166"/>
      <c r="BA18" s="166"/>
      <c r="BB18" s="166"/>
      <c r="BC18" s="166"/>
      <c r="BD18" s="138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26"/>
      <c r="BT18" s="166"/>
      <c r="BU18" s="166"/>
      <c r="BV18" s="166"/>
      <c r="BW18" s="166"/>
      <c r="BX18" s="139"/>
      <c r="BY18" s="140"/>
      <c r="BZ18" s="140"/>
      <c r="CA18" s="140"/>
      <c r="CB18" s="140"/>
      <c r="CC18" s="140"/>
      <c r="CD18" s="138"/>
      <c r="CE18" s="166"/>
      <c r="CF18" s="166"/>
      <c r="CG18" s="166"/>
      <c r="CH18" s="166"/>
      <c r="CI18" s="166"/>
      <c r="CJ18" s="166"/>
      <c r="CK18" s="139"/>
      <c r="CL18" s="140" t="s">
        <v>123</v>
      </c>
      <c r="CM18" s="140"/>
      <c r="CN18" s="140"/>
      <c r="CO18" s="140"/>
      <c r="CP18" s="140"/>
      <c r="CQ18" s="138"/>
      <c r="CR18" s="166"/>
      <c r="CS18" s="166"/>
      <c r="CT18" s="26"/>
    </row>
    <row r="19" spans="7:98" x14ac:dyDescent="0.25">
      <c r="G19" s="166"/>
      <c r="H19" s="166"/>
      <c r="I19" s="166"/>
      <c r="J19" s="166"/>
      <c r="K19" s="166"/>
      <c r="L19" s="166"/>
      <c r="M19" s="166"/>
      <c r="N19" s="166"/>
      <c r="O19" s="166"/>
      <c r="P19" s="40"/>
      <c r="Q19" s="26"/>
      <c r="R19" s="40"/>
      <c r="S19" s="40"/>
      <c r="T19" s="166"/>
      <c r="U19" s="166"/>
      <c r="V19" s="2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37"/>
      <c r="AU19" s="137"/>
      <c r="AV19" s="137"/>
      <c r="AW19" s="141"/>
      <c r="AX19" s="166"/>
      <c r="AY19" s="166" t="s">
        <v>252</v>
      </c>
      <c r="AZ19" s="166"/>
      <c r="BA19" s="166"/>
      <c r="BB19" s="166"/>
      <c r="BC19" s="166"/>
      <c r="BD19" s="2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26"/>
      <c r="BT19" s="142"/>
      <c r="BU19" s="137"/>
      <c r="BV19" s="137"/>
      <c r="BW19" s="137"/>
      <c r="BX19" s="25"/>
      <c r="BY19" s="40" t="s">
        <v>123</v>
      </c>
      <c r="BZ19" s="40"/>
      <c r="CA19" s="40"/>
      <c r="CB19" s="40"/>
      <c r="CC19" s="40"/>
      <c r="CD19" s="26"/>
      <c r="CE19" s="142"/>
      <c r="CF19" s="137"/>
      <c r="CG19" s="137"/>
      <c r="CH19" s="137"/>
      <c r="CI19" s="137"/>
      <c r="CJ19" s="137"/>
      <c r="CK19" s="25"/>
      <c r="CL19" s="40" t="s">
        <v>253</v>
      </c>
      <c r="CM19" s="40"/>
      <c r="CN19" s="40"/>
      <c r="CO19" s="40"/>
      <c r="CP19" s="40"/>
      <c r="CQ19" s="26"/>
      <c r="CR19" s="166"/>
      <c r="CS19" s="166"/>
      <c r="CT19" s="26"/>
    </row>
    <row r="20" spans="7:98" x14ac:dyDescent="0.25">
      <c r="G20" s="166"/>
      <c r="H20" s="166"/>
      <c r="I20" s="166"/>
      <c r="J20" s="166"/>
      <c r="K20" s="166"/>
      <c r="L20" s="166"/>
      <c r="M20" s="166"/>
      <c r="N20" s="166"/>
      <c r="O20" s="166"/>
      <c r="P20" s="40"/>
      <c r="Q20" s="143"/>
      <c r="R20" s="40"/>
      <c r="S20" s="40"/>
      <c r="T20" s="166"/>
      <c r="U20" s="166"/>
      <c r="V20" s="2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26"/>
      <c r="AT20" s="166"/>
      <c r="AU20" s="166"/>
      <c r="AV20" s="166"/>
      <c r="AW20" s="26"/>
      <c r="AX20" s="166"/>
      <c r="AY20" s="166" t="s">
        <v>254</v>
      </c>
      <c r="AZ20" s="166"/>
      <c r="BA20" s="166"/>
      <c r="BB20" s="166"/>
      <c r="BC20" s="166"/>
      <c r="BD20" s="2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26"/>
      <c r="BT20" s="166"/>
      <c r="BU20" s="166"/>
      <c r="BV20" s="166"/>
      <c r="BW20" s="166"/>
      <c r="BX20" s="25"/>
      <c r="BY20" s="296">
        <v>73337589</v>
      </c>
      <c r="BZ20" s="296"/>
      <c r="CA20" s="296"/>
      <c r="CB20" s="296"/>
      <c r="CC20" s="296"/>
      <c r="CD20" s="26"/>
      <c r="CE20" s="166"/>
      <c r="CF20" s="166"/>
      <c r="CG20" s="166"/>
      <c r="CH20" s="166"/>
      <c r="CI20" s="166"/>
      <c r="CJ20" s="166"/>
      <c r="CK20" s="25"/>
      <c r="CL20" s="40" t="s">
        <v>255</v>
      </c>
      <c r="CM20" s="40"/>
      <c r="CN20" s="40"/>
      <c r="CO20" s="40"/>
      <c r="CP20" s="40"/>
      <c r="CQ20" s="26"/>
      <c r="CR20" s="166"/>
      <c r="CS20" s="166"/>
      <c r="CT20" s="26"/>
    </row>
    <row r="21" spans="7:98" x14ac:dyDescent="0.25">
      <c r="G21" s="166"/>
      <c r="H21" s="166"/>
      <c r="I21" s="166"/>
      <c r="J21" s="166"/>
      <c r="K21" s="166"/>
      <c r="L21" s="166"/>
      <c r="M21" s="166"/>
      <c r="N21" s="166"/>
      <c r="O21" s="166"/>
      <c r="P21" s="40"/>
      <c r="Q21" s="143"/>
      <c r="R21" s="40"/>
      <c r="S21" s="40"/>
      <c r="T21" s="166"/>
      <c r="U21" s="166"/>
      <c r="V21" s="26"/>
      <c r="W21" s="166"/>
      <c r="X21" s="166"/>
      <c r="Y21" s="166"/>
      <c r="Z21" s="137"/>
      <c r="AA21" s="137"/>
      <c r="AB21" s="137"/>
      <c r="AC21" s="137"/>
      <c r="AD21" s="137"/>
      <c r="AE21" s="137"/>
      <c r="AF21" s="137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26"/>
      <c r="AT21" s="166"/>
      <c r="AU21" s="166"/>
      <c r="AV21" s="166"/>
      <c r="AW21" s="26"/>
      <c r="AX21" s="142"/>
      <c r="AY21" s="294">
        <v>44553004</v>
      </c>
      <c r="AZ21" s="294"/>
      <c r="BA21" s="294"/>
      <c r="BB21" s="294"/>
      <c r="BC21" s="294"/>
      <c r="BD21" s="141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26"/>
      <c r="BT21" s="166"/>
      <c r="BU21" s="166"/>
      <c r="BV21" s="166"/>
      <c r="BW21" s="166"/>
      <c r="BX21" s="142"/>
      <c r="BY21" s="137"/>
      <c r="BZ21" s="137"/>
      <c r="CA21" s="137"/>
      <c r="CB21" s="137"/>
      <c r="CC21" s="137"/>
      <c r="CD21" s="141"/>
      <c r="CE21" s="166"/>
      <c r="CF21" s="166"/>
      <c r="CG21" s="166"/>
      <c r="CH21" s="166"/>
      <c r="CI21" s="166"/>
      <c r="CJ21" s="166"/>
      <c r="CK21" s="142"/>
      <c r="CL21" s="294">
        <v>65956268</v>
      </c>
      <c r="CM21" s="294"/>
      <c r="CN21" s="294"/>
      <c r="CO21" s="294"/>
      <c r="CP21" s="294"/>
      <c r="CQ21" s="141"/>
      <c r="CR21" s="166"/>
      <c r="CS21" s="166"/>
      <c r="CT21" s="26"/>
    </row>
    <row r="22" spans="7:98" x14ac:dyDescent="0.25">
      <c r="G22" s="3" t="s">
        <v>256</v>
      </c>
      <c r="H22" s="166"/>
      <c r="I22" s="166"/>
      <c r="J22" s="40"/>
      <c r="K22" s="166"/>
      <c r="L22" s="166"/>
      <c r="M22" s="166"/>
      <c r="N22" s="166"/>
      <c r="O22" s="166"/>
      <c r="P22" s="166"/>
      <c r="Q22" s="143"/>
      <c r="R22" s="40"/>
      <c r="S22" s="40"/>
      <c r="T22" s="166"/>
      <c r="U22" s="166"/>
      <c r="V22" s="26"/>
      <c r="W22" s="166"/>
      <c r="X22" s="166"/>
      <c r="Y22" s="26"/>
      <c r="Z22" s="166"/>
      <c r="AA22" s="166" t="s">
        <v>257</v>
      </c>
      <c r="AB22" s="166"/>
      <c r="AC22" s="166"/>
      <c r="AD22" s="166"/>
      <c r="AE22" s="166"/>
      <c r="AF22" s="138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2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2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6"/>
      <c r="CL22" s="166"/>
      <c r="CM22" s="166"/>
      <c r="CN22" s="166"/>
      <c r="CO22" s="166"/>
      <c r="CP22" s="166"/>
      <c r="CQ22" s="166"/>
      <c r="CR22" s="166"/>
      <c r="CS22" s="166"/>
      <c r="CT22" s="26"/>
    </row>
    <row r="23" spans="7:98" x14ac:dyDescent="0.25">
      <c r="G23" s="3" t="s">
        <v>258</v>
      </c>
      <c r="H23" s="166"/>
      <c r="I23" s="166"/>
      <c r="J23" s="40"/>
      <c r="K23" s="166"/>
      <c r="L23" s="137"/>
      <c r="M23" s="137"/>
      <c r="N23" s="137"/>
      <c r="O23" s="137"/>
      <c r="P23" s="137"/>
      <c r="Q23" s="143"/>
      <c r="R23" s="40"/>
      <c r="S23" s="137"/>
      <c r="T23" s="137"/>
      <c r="U23" s="137"/>
      <c r="V23" s="141"/>
      <c r="W23" s="137"/>
      <c r="X23" s="137"/>
      <c r="Y23" s="141"/>
      <c r="Z23" s="166"/>
      <c r="AA23" s="166" t="s">
        <v>259</v>
      </c>
      <c r="AB23" s="166"/>
      <c r="AC23" s="166"/>
      <c r="AD23" s="166"/>
      <c r="AE23" s="166"/>
      <c r="AF23" s="26"/>
      <c r="AG23" s="142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41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2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26"/>
    </row>
    <row r="24" spans="7:98" x14ac:dyDescent="0.25">
      <c r="G24" s="3" t="s">
        <v>260</v>
      </c>
      <c r="H24" s="166"/>
      <c r="I24" s="166"/>
      <c r="J24" s="40"/>
      <c r="K24" s="166"/>
      <c r="L24" s="166"/>
      <c r="M24" s="166"/>
      <c r="N24" s="166"/>
      <c r="O24" s="166"/>
      <c r="P24" s="166"/>
      <c r="Q24" s="143"/>
      <c r="R24" s="40"/>
      <c r="S24" s="40"/>
      <c r="T24" s="166"/>
      <c r="U24" s="166"/>
      <c r="V24" s="166"/>
      <c r="W24" s="166"/>
      <c r="X24" s="166"/>
      <c r="Y24" s="26"/>
      <c r="Z24" s="166"/>
      <c r="AA24" s="295">
        <v>74860172</v>
      </c>
      <c r="AB24" s="295"/>
      <c r="AC24" s="295"/>
      <c r="AD24" s="295"/>
      <c r="AE24" s="295"/>
      <c r="AF24" s="2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26"/>
      <c r="AT24" s="166"/>
      <c r="AU24" s="166"/>
      <c r="AV24" s="166"/>
      <c r="AW24" s="166"/>
      <c r="AX24" s="137"/>
      <c r="AY24" s="137"/>
      <c r="AZ24" s="137"/>
      <c r="BA24" s="137"/>
      <c r="BB24" s="137"/>
      <c r="BC24" s="137"/>
      <c r="BD24" s="137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6"/>
      <c r="BQ24" s="166"/>
      <c r="BR24" s="166"/>
      <c r="BS24" s="2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166"/>
      <c r="CR24" s="166"/>
      <c r="CS24" s="166"/>
      <c r="CT24" s="26"/>
    </row>
    <row r="25" spans="7:98" x14ac:dyDescent="0.25">
      <c r="G25" s="166"/>
      <c r="H25" s="166"/>
      <c r="I25" s="166"/>
      <c r="J25" s="166"/>
      <c r="K25" s="166"/>
      <c r="L25" s="166"/>
      <c r="M25" s="166"/>
      <c r="N25" s="166"/>
      <c r="O25" s="166"/>
      <c r="P25" s="40"/>
      <c r="Q25" s="143"/>
      <c r="R25" s="40"/>
      <c r="S25" s="40"/>
      <c r="T25" s="166"/>
      <c r="U25" s="166"/>
      <c r="V25" s="166"/>
      <c r="W25" s="166"/>
      <c r="X25" s="166"/>
      <c r="Y25" s="26"/>
      <c r="Z25" s="142"/>
      <c r="AA25" s="137"/>
      <c r="AB25" s="137"/>
      <c r="AC25" s="137"/>
      <c r="AD25" s="137"/>
      <c r="AE25" s="137"/>
      <c r="AF25" s="141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26"/>
      <c r="AT25" s="166"/>
      <c r="AU25" s="166"/>
      <c r="AV25" s="166"/>
      <c r="AW25" s="26"/>
      <c r="AX25" s="166"/>
      <c r="AY25" s="166" t="s">
        <v>261</v>
      </c>
      <c r="AZ25" s="166"/>
      <c r="BA25" s="166"/>
      <c r="BB25" s="166"/>
      <c r="BC25" s="166"/>
      <c r="BD25" s="138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26"/>
      <c r="BT25" s="166"/>
      <c r="BU25" s="166"/>
      <c r="BV25" s="166"/>
      <c r="BW25" s="166"/>
      <c r="BX25" s="139"/>
      <c r="BY25" s="140" t="s">
        <v>262</v>
      </c>
      <c r="BZ25" s="140"/>
      <c r="CA25" s="140"/>
      <c r="CB25" s="140"/>
      <c r="CC25" s="140"/>
      <c r="CD25" s="138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26"/>
    </row>
    <row r="26" spans="7:98" x14ac:dyDescent="0.25">
      <c r="G26" s="166"/>
      <c r="H26" s="166"/>
      <c r="I26" s="166"/>
      <c r="J26" s="166"/>
      <c r="K26" s="166"/>
      <c r="L26" s="166"/>
      <c r="M26" s="166"/>
      <c r="N26" s="166"/>
      <c r="O26" s="166"/>
      <c r="P26" s="40"/>
      <c r="Q26" s="143"/>
      <c r="R26" s="137"/>
      <c r="S26" s="137"/>
      <c r="T26" s="137"/>
      <c r="U26" s="137"/>
      <c r="V26" s="137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26"/>
      <c r="AT26" s="142"/>
      <c r="AU26" s="137"/>
      <c r="AV26" s="137"/>
      <c r="AW26" s="141"/>
      <c r="AX26" s="166"/>
      <c r="AY26" s="166" t="s">
        <v>263</v>
      </c>
      <c r="AZ26" s="166"/>
      <c r="BA26" s="166"/>
      <c r="BB26" s="166"/>
      <c r="BC26" s="166"/>
      <c r="BD26" s="26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26"/>
      <c r="BT26" s="142"/>
      <c r="BU26" s="137"/>
      <c r="BV26" s="137"/>
      <c r="BW26" s="137"/>
      <c r="BX26" s="25"/>
      <c r="BY26" s="40" t="s">
        <v>264</v>
      </c>
      <c r="BZ26" s="40"/>
      <c r="CA26" s="40"/>
      <c r="CB26" s="40"/>
      <c r="CC26" s="40"/>
      <c r="CD26" s="26"/>
      <c r="CE26" s="166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166"/>
      <c r="CR26" s="166"/>
      <c r="CS26" s="166"/>
      <c r="CT26" s="26"/>
    </row>
    <row r="27" spans="7:98" x14ac:dyDescent="0.25">
      <c r="G27" s="166"/>
      <c r="H27" s="166"/>
      <c r="I27" s="166"/>
      <c r="J27" s="166"/>
      <c r="K27" s="166"/>
      <c r="L27" s="166"/>
      <c r="M27" s="166"/>
      <c r="N27" s="166"/>
      <c r="O27" s="166"/>
      <c r="P27" s="40"/>
      <c r="Q27" s="144"/>
      <c r="R27" s="40"/>
      <c r="S27" s="40"/>
      <c r="T27" s="166"/>
      <c r="U27" s="166"/>
      <c r="V27" s="2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26"/>
      <c r="AT27" s="166"/>
      <c r="AU27" s="166"/>
      <c r="AV27" s="166"/>
      <c r="AW27" s="26"/>
      <c r="AX27" s="166"/>
      <c r="AY27" s="295">
        <v>70275191</v>
      </c>
      <c r="AZ27" s="295"/>
      <c r="BA27" s="295"/>
      <c r="BB27" s="295"/>
      <c r="BC27" s="295"/>
      <c r="BD27" s="26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26"/>
      <c r="BT27" s="166"/>
      <c r="BU27" s="166"/>
      <c r="BV27" s="166"/>
      <c r="BW27" s="166"/>
      <c r="BX27" s="25"/>
      <c r="BY27" s="296">
        <v>1334021</v>
      </c>
      <c r="BZ27" s="296"/>
      <c r="CA27" s="296"/>
      <c r="CB27" s="296"/>
      <c r="CC27" s="296"/>
      <c r="CD27" s="26"/>
      <c r="CE27" s="166"/>
      <c r="CF27" s="166"/>
      <c r="CG27" s="166"/>
      <c r="CH27" s="166"/>
      <c r="CI27" s="166"/>
      <c r="CJ27" s="137"/>
      <c r="CK27" s="137"/>
      <c r="CL27" s="137"/>
      <c r="CM27" s="137"/>
      <c r="CN27" s="137"/>
      <c r="CO27" s="137"/>
      <c r="CP27" s="137"/>
      <c r="CQ27" s="166"/>
      <c r="CR27" s="166"/>
      <c r="CS27" s="166"/>
      <c r="CT27" s="26"/>
    </row>
    <row r="28" spans="7:98" x14ac:dyDescent="0.25">
      <c r="G28" s="166"/>
      <c r="H28" s="166"/>
      <c r="I28" s="166"/>
      <c r="J28" s="166"/>
      <c r="K28" s="166"/>
      <c r="L28" s="166"/>
      <c r="M28" s="166"/>
      <c r="N28" s="166"/>
      <c r="O28" s="166"/>
      <c r="P28" s="40"/>
      <c r="Q28" s="144"/>
      <c r="R28" s="40"/>
      <c r="S28" s="40"/>
      <c r="T28" s="166"/>
      <c r="U28" s="166"/>
      <c r="V28" s="26"/>
      <c r="W28" s="166"/>
      <c r="X28" s="166"/>
      <c r="Y28" s="166"/>
      <c r="Z28" s="137"/>
      <c r="AA28" s="137"/>
      <c r="AB28" s="137"/>
      <c r="AC28" s="137"/>
      <c r="AD28" s="137"/>
      <c r="AE28" s="137"/>
      <c r="AF28" s="137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26"/>
      <c r="AT28" s="166"/>
      <c r="AU28" s="166"/>
      <c r="AV28" s="166"/>
      <c r="AW28" s="26"/>
      <c r="AX28" s="142"/>
      <c r="AY28" s="137"/>
      <c r="AZ28" s="137"/>
      <c r="BA28" s="137"/>
      <c r="BB28" s="137"/>
      <c r="BC28" s="137"/>
      <c r="BD28" s="141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26"/>
      <c r="BT28" s="166"/>
      <c r="BU28" s="166"/>
      <c r="BV28" s="166"/>
      <c r="BW28" s="166"/>
      <c r="BX28" s="142"/>
      <c r="BY28" s="137"/>
      <c r="BZ28" s="137"/>
      <c r="CA28" s="137"/>
      <c r="CB28" s="137"/>
      <c r="CC28" s="137"/>
      <c r="CD28" s="141"/>
      <c r="CE28" s="166"/>
      <c r="CF28" s="166"/>
      <c r="CG28" s="166"/>
      <c r="CH28" s="166"/>
      <c r="CI28" s="26"/>
      <c r="CJ28" s="166"/>
      <c r="CK28" s="166" t="s">
        <v>265</v>
      </c>
      <c r="CL28" s="166"/>
      <c r="CM28" s="166"/>
      <c r="CN28" s="166"/>
      <c r="CO28" s="166"/>
      <c r="CP28" s="26"/>
      <c r="CQ28" s="166"/>
      <c r="CR28" s="166"/>
      <c r="CS28" s="166"/>
      <c r="CT28" s="26"/>
    </row>
    <row r="29" spans="7:98" x14ac:dyDescent="0.25">
      <c r="G29" s="166"/>
      <c r="H29" s="166"/>
      <c r="I29" s="166"/>
      <c r="J29" s="166"/>
      <c r="K29" s="166"/>
      <c r="L29" s="166"/>
      <c r="M29" s="3" t="s">
        <v>266</v>
      </c>
      <c r="N29" s="166"/>
      <c r="O29" s="166"/>
      <c r="P29" s="40"/>
      <c r="Q29" s="144"/>
      <c r="R29" s="40"/>
      <c r="S29" s="40"/>
      <c r="T29" s="166"/>
      <c r="U29" s="166"/>
      <c r="V29" s="26"/>
      <c r="W29" s="166"/>
      <c r="X29" s="166"/>
      <c r="Y29" s="26"/>
      <c r="Z29" s="166"/>
      <c r="AA29" s="166" t="s">
        <v>267</v>
      </c>
      <c r="AB29" s="166"/>
      <c r="AC29" s="166"/>
      <c r="AD29" s="166"/>
      <c r="AE29" s="166"/>
      <c r="AF29" s="138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2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2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26"/>
      <c r="CJ29" s="166"/>
      <c r="CK29" s="166" t="s">
        <v>268</v>
      </c>
      <c r="CL29" s="166"/>
      <c r="CM29" s="166"/>
      <c r="CN29" s="166"/>
      <c r="CO29" s="166"/>
      <c r="CP29" s="26"/>
      <c r="CQ29" s="137"/>
      <c r="CR29" s="137"/>
      <c r="CS29" s="137"/>
      <c r="CT29" s="141"/>
    </row>
    <row r="30" spans="7:98" x14ac:dyDescent="0.25">
      <c r="G30" s="166"/>
      <c r="H30" s="166"/>
      <c r="I30" s="166"/>
      <c r="J30" s="166"/>
      <c r="K30" s="166"/>
      <c r="L30" s="166"/>
      <c r="M30" s="3" t="s">
        <v>269</v>
      </c>
      <c r="N30" s="166"/>
      <c r="O30" s="166"/>
      <c r="P30" s="40"/>
      <c r="Q30" s="144"/>
      <c r="R30" s="40"/>
      <c r="S30" s="137"/>
      <c r="T30" s="137"/>
      <c r="U30" s="137"/>
      <c r="V30" s="141"/>
      <c r="W30" s="137"/>
      <c r="X30" s="137"/>
      <c r="Y30" s="141"/>
      <c r="Z30" s="166"/>
      <c r="AA30" s="166" t="s">
        <v>259</v>
      </c>
      <c r="AB30" s="166"/>
      <c r="AC30" s="166"/>
      <c r="AD30" s="166"/>
      <c r="AE30" s="166"/>
      <c r="AF30" s="26"/>
      <c r="AG30" s="142"/>
      <c r="AH30" s="137"/>
      <c r="AI30" s="137"/>
      <c r="AJ30" s="137"/>
      <c r="AK30" s="137"/>
      <c r="AL30" s="137"/>
      <c r="AM30" s="166"/>
      <c r="AN30" s="166"/>
      <c r="AO30" s="166"/>
      <c r="AP30" s="166"/>
      <c r="AQ30" s="166"/>
      <c r="AR30" s="166"/>
      <c r="AS30" s="2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2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26"/>
      <c r="CJ30" s="166"/>
      <c r="CK30" s="296">
        <v>67327447</v>
      </c>
      <c r="CL30" s="296"/>
      <c r="CM30" s="296"/>
      <c r="CN30" s="296"/>
      <c r="CO30" s="296"/>
      <c r="CP30" s="26"/>
      <c r="CQ30" s="166"/>
      <c r="CR30" s="166"/>
      <c r="CS30" s="166"/>
      <c r="CT30" s="166"/>
    </row>
    <row r="31" spans="7:98" x14ac:dyDescent="0.25">
      <c r="G31" s="166"/>
      <c r="H31" s="166"/>
      <c r="I31" s="166"/>
      <c r="J31" s="166"/>
      <c r="K31" s="166"/>
      <c r="L31" s="166"/>
      <c r="M31" s="3" t="s">
        <v>260</v>
      </c>
      <c r="N31" s="166"/>
      <c r="O31" s="166"/>
      <c r="P31" s="40"/>
      <c r="Q31" s="40"/>
      <c r="R31" s="40"/>
      <c r="S31" s="40"/>
      <c r="T31" s="166"/>
      <c r="U31" s="166"/>
      <c r="V31" s="166"/>
      <c r="W31" s="166"/>
      <c r="X31" s="166"/>
      <c r="Y31" s="26"/>
      <c r="Z31" s="166"/>
      <c r="AA31" s="295">
        <v>74860173</v>
      </c>
      <c r="AB31" s="295"/>
      <c r="AC31" s="295"/>
      <c r="AD31" s="295"/>
      <c r="AE31" s="295"/>
      <c r="AF31" s="26"/>
      <c r="AG31" s="166"/>
      <c r="AH31" s="166"/>
      <c r="AI31" s="166"/>
      <c r="AJ31" s="166"/>
      <c r="AK31" s="166"/>
      <c r="AL31" s="138"/>
      <c r="AM31" s="166"/>
      <c r="AN31" s="166"/>
      <c r="AO31" s="166"/>
      <c r="AP31" s="166"/>
      <c r="AQ31" s="166"/>
      <c r="AR31" s="166"/>
      <c r="AS31" s="2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26"/>
      <c r="BT31" s="166"/>
      <c r="BU31" s="166"/>
      <c r="BV31" s="166"/>
      <c r="BW31" s="166"/>
      <c r="BX31" s="137"/>
      <c r="BY31" s="137"/>
      <c r="BZ31" s="137"/>
      <c r="CA31" s="137"/>
      <c r="CB31" s="137"/>
      <c r="CC31" s="137"/>
      <c r="CD31" s="137"/>
      <c r="CE31" s="166"/>
      <c r="CF31" s="166"/>
      <c r="CG31" s="166"/>
      <c r="CH31" s="166"/>
      <c r="CI31" s="26"/>
      <c r="CJ31" s="142"/>
      <c r="CK31" s="137"/>
      <c r="CL31" s="137"/>
      <c r="CM31" s="137"/>
      <c r="CN31" s="137"/>
      <c r="CO31" s="137"/>
      <c r="CP31" s="141"/>
      <c r="CQ31" s="166"/>
      <c r="CR31" s="166"/>
      <c r="CS31" s="166"/>
      <c r="CT31" s="166"/>
    </row>
    <row r="32" spans="7:98" x14ac:dyDescent="0.25">
      <c r="G32" s="166"/>
      <c r="H32" s="166"/>
      <c r="I32" s="166"/>
      <c r="J32" s="166"/>
      <c r="K32" s="166"/>
      <c r="L32" s="166"/>
      <c r="M32" s="166"/>
      <c r="N32" s="166"/>
      <c r="O32" s="166"/>
      <c r="P32" s="40"/>
      <c r="Q32" s="40"/>
      <c r="R32" s="40"/>
      <c r="S32" s="40"/>
      <c r="T32" s="166"/>
      <c r="U32" s="166"/>
      <c r="V32" s="166"/>
      <c r="W32" s="166"/>
      <c r="X32" s="166"/>
      <c r="Y32" s="26"/>
      <c r="Z32" s="142"/>
      <c r="AA32" s="137"/>
      <c r="AB32" s="137"/>
      <c r="AC32" s="137"/>
      <c r="AD32" s="137"/>
      <c r="AE32" s="137"/>
      <c r="AF32" s="141"/>
      <c r="AG32" s="166"/>
      <c r="AH32" s="166"/>
      <c r="AI32" s="166"/>
      <c r="AJ32" s="166"/>
      <c r="AK32" s="166"/>
      <c r="AL32" s="26"/>
      <c r="AM32" s="166"/>
      <c r="AN32" s="166"/>
      <c r="AO32" s="166"/>
      <c r="AP32" s="166"/>
      <c r="AQ32" s="166"/>
      <c r="AR32" s="166"/>
      <c r="AS32" s="26"/>
      <c r="AT32" s="166"/>
      <c r="AU32" s="166"/>
      <c r="AV32" s="166"/>
      <c r="AW32" s="166"/>
      <c r="AX32" s="137"/>
      <c r="AY32" s="137"/>
      <c r="AZ32" s="137"/>
      <c r="BA32" s="137"/>
      <c r="BB32" s="137"/>
      <c r="BC32" s="137"/>
      <c r="BD32" s="137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26"/>
      <c r="BT32" s="166"/>
      <c r="BU32" s="166"/>
      <c r="BV32" s="166"/>
      <c r="BW32" s="26"/>
      <c r="BX32" s="166"/>
      <c r="BY32" s="166" t="s">
        <v>265</v>
      </c>
      <c r="BZ32" s="166"/>
      <c r="CA32" s="166"/>
      <c r="CB32" s="166"/>
      <c r="CC32" s="166"/>
      <c r="CD32" s="138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  <c r="CS32" s="166"/>
      <c r="CT32" s="166"/>
    </row>
    <row r="33" spans="3:82" x14ac:dyDescent="0.25"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40"/>
      <c r="Q33" s="40"/>
      <c r="R33" s="40"/>
      <c r="S33" s="40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26"/>
      <c r="AM33" s="166"/>
      <c r="AN33" s="166"/>
      <c r="AO33" s="166"/>
      <c r="AP33" s="166"/>
      <c r="AQ33" s="166"/>
      <c r="AR33" s="166"/>
      <c r="AS33" s="26"/>
      <c r="AT33" s="166"/>
      <c r="AU33" s="166"/>
      <c r="AV33" s="166"/>
      <c r="AW33" s="26"/>
      <c r="AX33" s="166"/>
      <c r="AY33" s="166" t="s">
        <v>270</v>
      </c>
      <c r="AZ33" s="166"/>
      <c r="BA33" s="166"/>
      <c r="BB33" s="166"/>
      <c r="BC33" s="166"/>
      <c r="BD33" s="138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42"/>
      <c r="BU33" s="137"/>
      <c r="BV33" s="137"/>
      <c r="BW33" s="141"/>
      <c r="BX33" s="166"/>
      <c r="BY33" s="166" t="s">
        <v>127</v>
      </c>
      <c r="BZ33" s="166"/>
      <c r="CA33" s="166"/>
      <c r="CB33" s="166"/>
      <c r="CC33" s="166"/>
      <c r="CD33" s="26"/>
    </row>
    <row r="34" spans="3:82" x14ac:dyDescent="0.25"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40"/>
      <c r="Q34" s="40"/>
      <c r="R34" s="40"/>
      <c r="S34" s="40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26"/>
      <c r="AM34" s="166"/>
      <c r="AN34" s="166"/>
      <c r="AO34" s="166"/>
      <c r="AP34" s="166"/>
      <c r="AQ34" s="166"/>
      <c r="AR34" s="166"/>
      <c r="AS34" s="26"/>
      <c r="AT34" s="142"/>
      <c r="AU34" s="137"/>
      <c r="AV34" s="137"/>
      <c r="AW34" s="141"/>
      <c r="AX34" s="166"/>
      <c r="AY34" s="166" t="s">
        <v>271</v>
      </c>
      <c r="AZ34" s="166"/>
      <c r="BA34" s="166"/>
      <c r="BB34" s="166"/>
      <c r="BC34" s="166"/>
      <c r="BD34" s="2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38"/>
      <c r="BX34" s="166"/>
      <c r="BY34" s="296">
        <v>63265094</v>
      </c>
      <c r="BZ34" s="296"/>
      <c r="CA34" s="296"/>
      <c r="CB34" s="296"/>
      <c r="CC34" s="296"/>
      <c r="CD34" s="26"/>
    </row>
    <row r="35" spans="3:82" x14ac:dyDescent="0.25"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26"/>
      <c r="AM35" s="166"/>
      <c r="AN35" s="166"/>
      <c r="AO35" s="166"/>
      <c r="AP35" s="166"/>
      <c r="AQ35" s="166"/>
      <c r="AR35" s="166"/>
      <c r="AS35" s="26"/>
      <c r="AT35" s="166"/>
      <c r="AU35" s="166"/>
      <c r="AV35" s="166"/>
      <c r="AW35" s="26"/>
      <c r="AX35" s="166"/>
      <c r="AY35" s="295">
        <v>2130521</v>
      </c>
      <c r="AZ35" s="295"/>
      <c r="BA35" s="295"/>
      <c r="BB35" s="295"/>
      <c r="BC35" s="295"/>
      <c r="BD35" s="2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26"/>
      <c r="BX35" s="142"/>
      <c r="BY35" s="137"/>
      <c r="BZ35" s="137"/>
      <c r="CA35" s="137"/>
      <c r="CB35" s="137"/>
      <c r="CC35" s="137"/>
      <c r="CD35" s="141"/>
    </row>
    <row r="36" spans="3:82" x14ac:dyDescent="0.25">
      <c r="C36" s="40"/>
      <c r="D36" s="290"/>
      <c r="E36" s="290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 t="s">
        <v>272</v>
      </c>
      <c r="AK36" s="166"/>
      <c r="AL36" s="166"/>
      <c r="AM36" s="166"/>
      <c r="AN36" s="166"/>
      <c r="AO36" s="166"/>
      <c r="AP36" s="166"/>
      <c r="AQ36" s="166"/>
      <c r="AR36" s="166"/>
      <c r="AS36" s="26"/>
      <c r="AT36" s="166"/>
      <c r="AU36" s="166"/>
      <c r="AV36" s="166"/>
      <c r="AW36" s="26"/>
      <c r="AX36" s="142"/>
      <c r="AY36" s="137"/>
      <c r="AZ36" s="137"/>
      <c r="BA36" s="137"/>
      <c r="BB36" s="137"/>
      <c r="BC36" s="137"/>
      <c r="BD36" s="141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</row>
    <row r="37" spans="3:82" x14ac:dyDescent="0.25">
      <c r="C37" s="40"/>
      <c r="D37" s="115"/>
      <c r="E37" s="115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 t="s">
        <v>273</v>
      </c>
      <c r="AK37" s="166"/>
      <c r="AL37" s="166"/>
      <c r="AM37" s="166"/>
      <c r="AN37" s="166"/>
      <c r="AO37" s="166"/>
      <c r="AP37" s="166"/>
      <c r="AQ37" s="166"/>
      <c r="AR37" s="166"/>
      <c r="AS37" s="2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</row>
    <row r="38" spans="3:82" x14ac:dyDescent="0.25">
      <c r="C38" s="40"/>
      <c r="D38" s="145"/>
      <c r="E38" s="145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2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</row>
    <row r="39" spans="3:82" x14ac:dyDescent="0.25"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26"/>
      <c r="AT39" s="166"/>
      <c r="AU39" s="166"/>
      <c r="AV39" s="166"/>
      <c r="AW39" s="166"/>
      <c r="AX39" s="137"/>
      <c r="AY39" s="137"/>
      <c r="AZ39" s="137"/>
      <c r="BA39" s="137"/>
      <c r="BB39" s="137"/>
      <c r="BC39" s="137"/>
      <c r="BD39" s="137"/>
      <c r="BE39" s="166"/>
      <c r="BF39" s="166"/>
      <c r="BG39" s="166"/>
      <c r="BH39" s="166"/>
      <c r="BI39" s="166"/>
      <c r="BJ39" s="166"/>
      <c r="BK39" s="137"/>
      <c r="BL39" s="137"/>
      <c r="BM39" s="137"/>
      <c r="BN39" s="137"/>
      <c r="BO39" s="137"/>
      <c r="BP39" s="137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</row>
    <row r="40" spans="3:82" x14ac:dyDescent="0.25"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26"/>
      <c r="AT40" s="166"/>
      <c r="AU40" s="166"/>
      <c r="AV40" s="166"/>
      <c r="AW40" s="26"/>
      <c r="AX40" s="166"/>
      <c r="AY40" s="166" t="s">
        <v>274</v>
      </c>
      <c r="AZ40" s="166"/>
      <c r="BA40" s="166"/>
      <c r="BB40" s="166"/>
      <c r="BC40" s="166"/>
      <c r="BD40" s="138"/>
      <c r="BE40" s="166"/>
      <c r="BF40" s="166"/>
      <c r="BG40" s="166"/>
      <c r="BH40" s="166"/>
      <c r="BI40" s="166"/>
      <c r="BJ40" s="26"/>
      <c r="BK40" s="166"/>
      <c r="BL40" s="166" t="s">
        <v>275</v>
      </c>
      <c r="BM40" s="166"/>
      <c r="BN40" s="166"/>
      <c r="BO40" s="166"/>
      <c r="BP40" s="138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</row>
    <row r="41" spans="3:82" x14ac:dyDescent="0.25"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39"/>
      <c r="AA41" s="140" t="s">
        <v>110</v>
      </c>
      <c r="AB41" s="140"/>
      <c r="AC41" s="140"/>
      <c r="AD41" s="140"/>
      <c r="AE41" s="140"/>
      <c r="AF41" s="138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26"/>
      <c r="AT41" s="142"/>
      <c r="AU41" s="137"/>
      <c r="AV41" s="137"/>
      <c r="AW41" s="141"/>
      <c r="AX41" s="166"/>
      <c r="AY41" s="166" t="s">
        <v>207</v>
      </c>
      <c r="AZ41" s="166"/>
      <c r="BA41" s="166"/>
      <c r="BB41" s="166"/>
      <c r="BC41" s="166"/>
      <c r="BD41" s="26"/>
      <c r="BE41" s="142"/>
      <c r="BF41" s="137"/>
      <c r="BG41" s="137"/>
      <c r="BH41" s="137"/>
      <c r="BI41" s="137"/>
      <c r="BJ41" s="141"/>
      <c r="BK41" s="166"/>
      <c r="BL41" s="166" t="s">
        <v>276</v>
      </c>
      <c r="BM41" s="166"/>
      <c r="BN41" s="166"/>
      <c r="BO41" s="166"/>
      <c r="BP41" s="2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</row>
    <row r="42" spans="3:82" x14ac:dyDescent="0.25"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37"/>
      <c r="X42" s="137"/>
      <c r="Y42" s="141"/>
      <c r="Z42" s="25"/>
      <c r="AA42" s="40" t="s">
        <v>277</v>
      </c>
      <c r="AB42" s="40"/>
      <c r="AC42" s="40"/>
      <c r="AD42" s="40"/>
      <c r="AE42" s="40"/>
      <c r="AF42" s="2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26"/>
      <c r="AT42" s="166"/>
      <c r="AU42" s="166"/>
      <c r="AV42" s="166"/>
      <c r="AW42" s="26"/>
      <c r="AX42" s="166"/>
      <c r="AY42" s="295">
        <v>79177804</v>
      </c>
      <c r="AZ42" s="295"/>
      <c r="BA42" s="295"/>
      <c r="BB42" s="295"/>
      <c r="BC42" s="295"/>
      <c r="BD42" s="26"/>
      <c r="BE42" s="166"/>
      <c r="BF42" s="166"/>
      <c r="BG42" s="166"/>
      <c r="BH42" s="166"/>
      <c r="BI42" s="166"/>
      <c r="BJ42" s="26"/>
      <c r="BK42" s="166"/>
      <c r="BL42" s="166" t="s">
        <v>278</v>
      </c>
      <c r="BM42" s="166"/>
      <c r="BN42" s="166"/>
      <c r="BO42" s="166"/>
      <c r="BP42" s="2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</row>
    <row r="43" spans="3:82" x14ac:dyDescent="0.25"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26"/>
      <c r="W43" s="166"/>
      <c r="X43" s="166"/>
      <c r="Y43" s="166"/>
      <c r="Z43" s="25"/>
      <c r="AA43" s="292">
        <v>93477704</v>
      </c>
      <c r="AB43" s="293"/>
      <c r="AC43" s="293"/>
      <c r="AD43" s="293"/>
      <c r="AE43" s="293"/>
      <c r="AF43" s="2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26"/>
      <c r="AT43" s="166"/>
      <c r="AU43" s="166"/>
      <c r="AV43" s="166"/>
      <c r="AW43" s="26"/>
      <c r="AX43" s="142"/>
      <c r="AY43" s="137"/>
      <c r="AZ43" s="137"/>
      <c r="BA43" s="137"/>
      <c r="BB43" s="137"/>
      <c r="BC43" s="137"/>
      <c r="BD43" s="141"/>
      <c r="BE43" s="166"/>
      <c r="BF43" s="166"/>
      <c r="BG43" s="166"/>
      <c r="BH43" s="166"/>
      <c r="BI43" s="166"/>
      <c r="BJ43" s="26"/>
      <c r="BK43" s="142"/>
      <c r="BL43" s="294">
        <v>79305675</v>
      </c>
      <c r="BM43" s="294"/>
      <c r="BN43" s="294"/>
      <c r="BO43" s="294"/>
      <c r="BP43" s="141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</row>
    <row r="44" spans="3:82" x14ac:dyDescent="0.25"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26"/>
      <c r="W44" s="166"/>
      <c r="X44" s="166"/>
      <c r="Y44" s="166"/>
      <c r="Z44" s="142"/>
      <c r="AA44" s="137"/>
      <c r="AB44" s="137"/>
      <c r="AC44" s="137"/>
      <c r="AD44" s="137"/>
      <c r="AE44" s="137"/>
      <c r="AF44" s="141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2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  <c r="BL44" s="166"/>
      <c r="BM44" s="166"/>
      <c r="BN44" s="166"/>
      <c r="BO44" s="166"/>
      <c r="BP44" s="166"/>
      <c r="BQ44" s="166"/>
      <c r="BR44" s="166"/>
      <c r="BS44" s="166"/>
      <c r="BT44" s="166"/>
      <c r="BU44" s="166"/>
      <c r="BV44" s="166"/>
      <c r="BW44" s="166"/>
      <c r="BX44" s="166"/>
      <c r="BY44" s="166"/>
      <c r="BZ44" s="166"/>
      <c r="CA44" s="166"/>
      <c r="CB44" s="166"/>
      <c r="CC44" s="166"/>
      <c r="CD44" s="166"/>
    </row>
    <row r="45" spans="3:82" x14ac:dyDescent="0.25"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3" t="s">
        <v>279</v>
      </c>
      <c r="N45" s="166"/>
      <c r="O45" s="166"/>
      <c r="P45" s="166"/>
      <c r="Q45" s="166"/>
      <c r="R45" s="166"/>
      <c r="S45" s="166"/>
      <c r="T45" s="166"/>
      <c r="U45" s="166"/>
      <c r="V45" s="2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2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6"/>
      <c r="BK45" s="166"/>
      <c r="BL45" s="166"/>
      <c r="BM45" s="166"/>
      <c r="BN45" s="166"/>
      <c r="BO45" s="166"/>
      <c r="BP45" s="166"/>
      <c r="BQ45" s="166"/>
      <c r="BR45" s="166"/>
      <c r="BS45" s="166"/>
      <c r="BT45" s="166"/>
      <c r="BU45" s="166"/>
      <c r="BV45" s="166"/>
      <c r="BW45" s="166"/>
      <c r="BX45" s="166"/>
      <c r="BY45" s="166"/>
      <c r="BZ45" s="166"/>
      <c r="CA45" s="166"/>
      <c r="CB45" s="166"/>
      <c r="CC45" s="166"/>
      <c r="CD45" s="166"/>
    </row>
    <row r="46" spans="3:82" x14ac:dyDescent="0.25"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3" t="s">
        <v>280</v>
      </c>
      <c r="N46" s="166"/>
      <c r="O46" s="166"/>
      <c r="P46" s="166"/>
      <c r="Q46" s="166"/>
      <c r="R46" s="166"/>
      <c r="S46" s="166"/>
      <c r="T46" s="166"/>
      <c r="U46" s="166"/>
      <c r="V46" s="2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2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166"/>
      <c r="BM46" s="166"/>
      <c r="BN46" s="166"/>
      <c r="BO46" s="166"/>
      <c r="BP46" s="166"/>
      <c r="BQ46" s="166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B46" s="166"/>
      <c r="CC46" s="166"/>
      <c r="CD46" s="166"/>
    </row>
    <row r="47" spans="3:82" x14ac:dyDescent="0.25"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3" t="s">
        <v>281</v>
      </c>
      <c r="N47" s="166"/>
      <c r="O47" s="166"/>
      <c r="P47" s="166"/>
      <c r="Q47" s="166"/>
      <c r="R47" s="166"/>
      <c r="S47" s="137"/>
      <c r="T47" s="137"/>
      <c r="U47" s="137"/>
      <c r="V47" s="141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26"/>
      <c r="AT47" s="166"/>
      <c r="AU47" s="166"/>
      <c r="AV47" s="166"/>
      <c r="AW47" s="166"/>
      <c r="AX47" s="139"/>
      <c r="AY47" s="140" t="s">
        <v>282</v>
      </c>
      <c r="AZ47" s="140"/>
      <c r="BA47" s="140"/>
      <c r="BB47" s="140"/>
      <c r="BC47" s="140"/>
      <c r="BD47" s="138"/>
      <c r="BE47" s="166"/>
      <c r="BF47" s="166"/>
      <c r="BG47" s="166"/>
      <c r="BH47" s="166"/>
      <c r="BI47" s="166"/>
      <c r="BJ47" s="166"/>
      <c r="BK47" s="166"/>
      <c r="BL47" s="166"/>
      <c r="BM47" s="166"/>
      <c r="BN47" s="166"/>
      <c r="BO47" s="166"/>
      <c r="BP47" s="166"/>
      <c r="BQ47" s="166"/>
      <c r="BR47" s="166"/>
      <c r="BS47" s="166"/>
      <c r="BT47" s="166"/>
      <c r="BU47" s="166"/>
      <c r="BV47" s="166"/>
      <c r="BW47" s="166"/>
      <c r="BX47" s="166"/>
      <c r="BY47" s="166"/>
      <c r="BZ47" s="166"/>
      <c r="CA47" s="166"/>
      <c r="CB47" s="166"/>
      <c r="CC47" s="166"/>
      <c r="CD47" s="166"/>
    </row>
    <row r="48" spans="3:82" x14ac:dyDescent="0.25"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3" t="s">
        <v>283</v>
      </c>
      <c r="N48" s="166"/>
      <c r="O48" s="166"/>
      <c r="P48" s="166"/>
      <c r="Q48" s="166"/>
      <c r="R48" s="166"/>
      <c r="S48" s="166"/>
      <c r="T48" s="166"/>
      <c r="U48" s="166"/>
      <c r="V48" s="138"/>
      <c r="W48" s="166"/>
      <c r="X48" s="166"/>
      <c r="Y48" s="166"/>
      <c r="Z48" s="139"/>
      <c r="AA48" s="140" t="s">
        <v>284</v>
      </c>
      <c r="AB48" s="140"/>
      <c r="AC48" s="140"/>
      <c r="AD48" s="140"/>
      <c r="AE48" s="140"/>
      <c r="AF48" s="138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26"/>
      <c r="AT48" s="142"/>
      <c r="AU48" s="137"/>
      <c r="AV48" s="137"/>
      <c r="AW48" s="137"/>
      <c r="AX48" s="25"/>
      <c r="AY48" s="40" t="s">
        <v>285</v>
      </c>
      <c r="AZ48" s="40"/>
      <c r="BA48" s="40"/>
      <c r="BB48" s="40"/>
      <c r="BC48" s="40"/>
      <c r="BD48" s="26"/>
      <c r="BE48" s="166"/>
      <c r="BF48" s="166"/>
      <c r="BG48" s="166"/>
      <c r="BH48" s="166"/>
      <c r="BI48" s="166"/>
      <c r="BJ48" s="166"/>
      <c r="BK48" s="166"/>
      <c r="BL48" s="166"/>
      <c r="BM48" s="166"/>
      <c r="BN48" s="166"/>
      <c r="BO48" s="166"/>
      <c r="BP48" s="166"/>
      <c r="BQ48" s="166"/>
      <c r="BR48" s="166"/>
      <c r="BS48" s="166"/>
      <c r="BT48" s="166"/>
      <c r="BU48" s="166"/>
      <c r="BV48" s="166"/>
      <c r="BW48" s="166"/>
      <c r="BX48" s="166"/>
      <c r="BY48" s="166"/>
      <c r="BZ48" s="166"/>
      <c r="CA48" s="166"/>
      <c r="CB48" s="166"/>
      <c r="CC48" s="166"/>
      <c r="CD48" s="166"/>
    </row>
    <row r="49" spans="2:56" x14ac:dyDescent="0.25"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3" t="s">
        <v>249</v>
      </c>
      <c r="N49" s="166"/>
      <c r="O49" s="166"/>
      <c r="P49" s="166"/>
      <c r="Q49" s="166"/>
      <c r="R49" s="166"/>
      <c r="S49" s="166"/>
      <c r="T49" s="166"/>
      <c r="U49" s="166"/>
      <c r="V49" s="26"/>
      <c r="W49" s="142"/>
      <c r="X49" s="137"/>
      <c r="Y49" s="137"/>
      <c r="Z49" s="25"/>
      <c r="AA49" s="40" t="s">
        <v>286</v>
      </c>
      <c r="AB49" s="40"/>
      <c r="AC49" s="40"/>
      <c r="AD49" s="40"/>
      <c r="AE49" s="40"/>
      <c r="AF49" s="2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26"/>
      <c r="AT49" s="166"/>
      <c r="AU49" s="166"/>
      <c r="AV49" s="166"/>
      <c r="AW49" s="166"/>
      <c r="AX49" s="25"/>
      <c r="AY49" s="295">
        <v>79190041</v>
      </c>
      <c r="AZ49" s="295"/>
      <c r="BA49" s="295"/>
      <c r="BB49" s="295"/>
      <c r="BC49" s="295"/>
      <c r="BD49" s="26"/>
    </row>
    <row r="50" spans="2:56" ht="15.75" x14ac:dyDescent="0.25"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26"/>
      <c r="W50" s="166"/>
      <c r="X50" s="166"/>
      <c r="Y50" s="166"/>
      <c r="Z50" s="25"/>
      <c r="AA50" s="146" t="s">
        <v>167</v>
      </c>
      <c r="AB50" s="146"/>
      <c r="AC50" s="147"/>
      <c r="AD50" s="40"/>
      <c r="AE50" s="40"/>
      <c r="AF50" s="2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26"/>
      <c r="AT50" s="166"/>
      <c r="AU50" s="166"/>
      <c r="AV50" s="166"/>
      <c r="AW50" s="166"/>
      <c r="AX50" s="142"/>
      <c r="AY50" s="137"/>
      <c r="AZ50" s="137"/>
      <c r="BA50" s="137"/>
      <c r="BB50" s="137"/>
      <c r="BC50" s="137"/>
      <c r="BD50" s="141"/>
    </row>
    <row r="51" spans="2:56" x14ac:dyDescent="0.25"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26"/>
      <c r="W51" s="166"/>
      <c r="X51" s="166"/>
      <c r="Y51" s="166"/>
      <c r="Z51" s="142"/>
      <c r="AA51" s="137"/>
      <c r="AB51" s="137"/>
      <c r="AC51" s="137"/>
      <c r="AD51" s="137"/>
      <c r="AE51" s="137"/>
      <c r="AF51" s="141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2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</row>
    <row r="52" spans="2:56" x14ac:dyDescent="0.25"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2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2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</row>
    <row r="53" spans="2:56" x14ac:dyDescent="0.25"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2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26"/>
      <c r="AT53" s="166"/>
      <c r="AU53" s="166"/>
      <c r="AV53" s="166"/>
      <c r="AW53" s="166"/>
      <c r="AX53" s="137"/>
      <c r="AY53" s="137"/>
      <c r="AZ53" s="137"/>
      <c r="BA53" s="137"/>
      <c r="BB53" s="137"/>
      <c r="BC53" s="137"/>
      <c r="BD53" s="137"/>
    </row>
    <row r="54" spans="2:56" x14ac:dyDescent="0.25"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2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26"/>
      <c r="AT54" s="166"/>
      <c r="AU54" s="166"/>
      <c r="AV54" s="166"/>
      <c r="AW54" s="26"/>
      <c r="AX54" s="166"/>
      <c r="AY54" s="166" t="s">
        <v>287</v>
      </c>
      <c r="AZ54" s="166"/>
      <c r="BA54" s="166"/>
      <c r="BB54" s="166"/>
      <c r="BC54" s="166"/>
      <c r="BD54" s="138"/>
    </row>
    <row r="55" spans="2:56" x14ac:dyDescent="0.25"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2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26"/>
      <c r="AT55" s="142"/>
      <c r="AU55" s="137"/>
      <c r="AV55" s="137"/>
      <c r="AW55" s="141"/>
      <c r="AX55" s="166"/>
      <c r="AY55" s="166" t="s">
        <v>285</v>
      </c>
      <c r="AZ55" s="166"/>
      <c r="BA55" s="166"/>
      <c r="BB55" s="166"/>
      <c r="BC55" s="166"/>
      <c r="BD55" s="26"/>
    </row>
    <row r="56" spans="2:56" x14ac:dyDescent="0.25"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26"/>
      <c r="W56" s="166"/>
      <c r="X56" s="166"/>
      <c r="Y56" s="166"/>
      <c r="Z56" s="139"/>
      <c r="AA56" s="140" t="s">
        <v>123</v>
      </c>
      <c r="AB56" s="140"/>
      <c r="AC56" s="140"/>
      <c r="AD56" s="140"/>
      <c r="AE56" s="140"/>
      <c r="AF56" s="138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26"/>
      <c r="AT56" s="166"/>
      <c r="AU56" s="166"/>
      <c r="AV56" s="166"/>
      <c r="AW56" s="26"/>
      <c r="AX56" s="166"/>
      <c r="AY56" s="295">
        <v>79190039</v>
      </c>
      <c r="AZ56" s="295"/>
      <c r="BA56" s="295"/>
      <c r="BB56" s="295"/>
      <c r="BC56" s="295"/>
      <c r="BD56" s="26"/>
    </row>
    <row r="57" spans="2:56" x14ac:dyDescent="0.25"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26"/>
      <c r="W57" s="142"/>
      <c r="X57" s="137"/>
      <c r="Y57" s="137"/>
      <c r="Z57" s="25"/>
      <c r="AA57" s="40" t="s">
        <v>279</v>
      </c>
      <c r="AB57" s="40"/>
      <c r="AC57" s="40"/>
      <c r="AD57" s="40"/>
      <c r="AE57" s="40"/>
      <c r="AF57" s="2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26"/>
      <c r="AT57" s="166"/>
      <c r="AU57" s="166"/>
      <c r="AV57" s="166"/>
      <c r="AW57" s="26"/>
      <c r="AX57" s="142"/>
      <c r="AY57" s="137"/>
      <c r="AZ57" s="137"/>
      <c r="BA57" s="137"/>
      <c r="BB57" s="137"/>
      <c r="BC57" s="137"/>
      <c r="BD57" s="141"/>
    </row>
    <row r="58" spans="2:56" x14ac:dyDescent="0.25"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25"/>
      <c r="AA58" s="40" t="s">
        <v>288</v>
      </c>
      <c r="AB58" s="40"/>
      <c r="AC58" s="40"/>
      <c r="AD58" s="40"/>
      <c r="AE58" s="40"/>
      <c r="AF58" s="2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2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</row>
    <row r="59" spans="2:56" x14ac:dyDescent="0.25"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42"/>
      <c r="AA59" s="148" t="s">
        <v>219</v>
      </c>
      <c r="AB59" s="149"/>
      <c r="AC59" s="137"/>
      <c r="AD59" s="137"/>
      <c r="AE59" s="137"/>
      <c r="AF59" s="141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2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</row>
    <row r="60" spans="2:56" x14ac:dyDescent="0.25"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2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</row>
    <row r="61" spans="2:56" x14ac:dyDescent="0.25">
      <c r="B61" s="166"/>
      <c r="C61" s="137"/>
      <c r="D61" s="137"/>
      <c r="E61" s="3" t="s">
        <v>289</v>
      </c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26"/>
      <c r="AT61" s="166"/>
      <c r="AU61" s="166"/>
      <c r="AV61" s="166"/>
      <c r="AW61" s="166"/>
      <c r="AX61" s="139"/>
      <c r="AY61" s="140" t="s">
        <v>156</v>
      </c>
      <c r="AZ61" s="140"/>
      <c r="BA61" s="140"/>
      <c r="BB61" s="140"/>
      <c r="BC61" s="140"/>
      <c r="BD61" s="138"/>
    </row>
    <row r="62" spans="2:56" x14ac:dyDescent="0.25">
      <c r="B62" s="26"/>
      <c r="C62" s="166"/>
      <c r="D62" s="166"/>
      <c r="E62" s="3" t="s">
        <v>290</v>
      </c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26"/>
      <c r="AT62" s="142"/>
      <c r="AU62" s="137"/>
      <c r="AV62" s="137"/>
      <c r="AW62" s="137"/>
      <c r="AX62" s="25"/>
      <c r="AY62" s="40" t="s">
        <v>291</v>
      </c>
      <c r="AZ62" s="40"/>
      <c r="BA62" s="40"/>
      <c r="BB62" s="40"/>
      <c r="BC62" s="40"/>
      <c r="BD62" s="26"/>
    </row>
    <row r="63" spans="2:56" x14ac:dyDescent="0.25">
      <c r="B63" s="2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26"/>
      <c r="AT63" s="166"/>
      <c r="AU63" s="166"/>
      <c r="AV63" s="166"/>
      <c r="AW63" s="166"/>
      <c r="AX63" s="25"/>
      <c r="AY63" s="295">
        <v>79324776</v>
      </c>
      <c r="AZ63" s="295"/>
      <c r="BA63" s="295"/>
      <c r="BB63" s="295"/>
      <c r="BC63" s="295"/>
      <c r="BD63" s="26"/>
    </row>
    <row r="64" spans="2:56" x14ac:dyDescent="0.25">
      <c r="B64" s="2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26"/>
      <c r="AT64" s="166"/>
      <c r="AU64" s="166"/>
      <c r="AV64" s="166"/>
      <c r="AW64" s="166"/>
      <c r="AX64" s="142"/>
      <c r="AY64" s="137"/>
      <c r="AZ64" s="137"/>
      <c r="BA64" s="137"/>
      <c r="BB64" s="137"/>
      <c r="BC64" s="137"/>
      <c r="BD64" s="141"/>
    </row>
    <row r="65" spans="2:56" x14ac:dyDescent="0.25">
      <c r="B65" s="2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2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</row>
    <row r="66" spans="2:56" x14ac:dyDescent="0.25">
      <c r="B66" s="26"/>
      <c r="C66" s="166"/>
      <c r="D66" s="166"/>
      <c r="E66" s="166"/>
      <c r="F66" s="166" t="s">
        <v>292</v>
      </c>
      <c r="G66" s="166"/>
      <c r="H66" s="166"/>
      <c r="I66" s="166"/>
      <c r="J66" s="166"/>
      <c r="K66" s="166"/>
      <c r="L66" s="166"/>
      <c r="M66" s="166"/>
      <c r="N66" s="166"/>
      <c r="O66" s="139"/>
      <c r="P66" s="140"/>
      <c r="Q66" s="140"/>
      <c r="R66" s="140"/>
      <c r="S66" s="138"/>
      <c r="T66" s="166"/>
      <c r="U66" s="166"/>
      <c r="V66" s="139"/>
      <c r="W66" s="140"/>
      <c r="X66" s="140"/>
      <c r="Y66" s="140"/>
      <c r="Z66" s="138"/>
      <c r="AA66" s="166"/>
      <c r="AB66" s="166"/>
      <c r="AC66" s="139"/>
      <c r="AD66" s="140"/>
      <c r="AE66" s="140"/>
      <c r="AF66" s="140"/>
      <c r="AG66" s="138"/>
      <c r="AH66" s="166"/>
      <c r="AI66" s="166"/>
      <c r="AJ66" s="139"/>
      <c r="AK66" s="140"/>
      <c r="AL66" s="140"/>
      <c r="AM66" s="140"/>
      <c r="AN66" s="138"/>
      <c r="AO66" s="166"/>
      <c r="AP66" s="166"/>
      <c r="AQ66" s="166"/>
      <c r="AR66" s="166"/>
      <c r="AS66" s="2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</row>
    <row r="67" spans="2:56" x14ac:dyDescent="0.25">
      <c r="B67" s="26"/>
      <c r="C67" s="142"/>
      <c r="D67" s="137"/>
      <c r="E67" s="137"/>
      <c r="F67" s="137" t="s">
        <v>293</v>
      </c>
      <c r="G67" s="137"/>
      <c r="H67" s="137"/>
      <c r="I67" s="137"/>
      <c r="J67" s="137"/>
      <c r="K67" s="137"/>
      <c r="L67" s="137"/>
      <c r="M67" s="137"/>
      <c r="N67" s="141"/>
      <c r="O67" s="25"/>
      <c r="P67" s="166" t="s">
        <v>92</v>
      </c>
      <c r="Q67" s="40"/>
      <c r="R67" s="40"/>
      <c r="S67" s="26"/>
      <c r="T67" s="166"/>
      <c r="U67" s="166"/>
      <c r="V67" s="25"/>
      <c r="W67" s="166" t="s">
        <v>96</v>
      </c>
      <c r="X67" s="40"/>
      <c r="Y67" s="40"/>
      <c r="Z67" s="26"/>
      <c r="AA67" s="142"/>
      <c r="AB67" s="141"/>
      <c r="AC67" s="25"/>
      <c r="AD67" s="166" t="s">
        <v>99</v>
      </c>
      <c r="AE67" s="40"/>
      <c r="AF67" s="40"/>
      <c r="AG67" s="26"/>
      <c r="AH67" s="142"/>
      <c r="AI67" s="141"/>
      <c r="AJ67" s="25"/>
      <c r="AK67" s="166" t="s">
        <v>103</v>
      </c>
      <c r="AL67" s="40"/>
      <c r="AM67" s="40"/>
      <c r="AN67" s="26"/>
      <c r="AO67" s="166"/>
      <c r="AP67" s="166"/>
      <c r="AQ67" s="166"/>
      <c r="AR67" s="166"/>
      <c r="AS67" s="2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</row>
    <row r="68" spans="2:56" x14ac:dyDescent="0.25">
      <c r="B68" s="26"/>
      <c r="C68" s="166"/>
      <c r="D68" s="166"/>
      <c r="E68" s="166"/>
      <c r="F68" s="166" t="s">
        <v>294</v>
      </c>
      <c r="G68" s="166"/>
      <c r="H68" s="166"/>
      <c r="I68" s="166"/>
      <c r="J68" s="166"/>
      <c r="K68" s="166"/>
      <c r="L68" s="166"/>
      <c r="M68" s="166"/>
      <c r="N68" s="166"/>
      <c r="O68" s="25"/>
      <c r="P68" s="166" t="s">
        <v>93</v>
      </c>
      <c r="Q68" s="40"/>
      <c r="R68" s="40"/>
      <c r="S68" s="26"/>
      <c r="T68" s="139"/>
      <c r="U68" s="138"/>
      <c r="V68" s="25"/>
      <c r="W68" s="166" t="s">
        <v>97</v>
      </c>
      <c r="X68" s="40"/>
      <c r="Y68" s="40"/>
      <c r="Z68" s="26"/>
      <c r="AA68" s="166"/>
      <c r="AB68" s="166"/>
      <c r="AC68" s="25"/>
      <c r="AD68" s="166" t="s">
        <v>100</v>
      </c>
      <c r="AE68" s="40"/>
      <c r="AF68" s="40"/>
      <c r="AG68" s="26"/>
      <c r="AH68" s="166"/>
      <c r="AI68" s="166"/>
      <c r="AJ68" s="25"/>
      <c r="AK68" s="166" t="s">
        <v>104</v>
      </c>
      <c r="AL68" s="40"/>
      <c r="AM68" s="40"/>
      <c r="AN68" s="26"/>
      <c r="AO68" s="166"/>
      <c r="AP68" s="166"/>
      <c r="AQ68" s="166"/>
      <c r="AR68" s="166"/>
      <c r="AS68" s="26"/>
      <c r="AT68" s="166"/>
      <c r="AU68" s="166"/>
      <c r="AV68" s="166"/>
      <c r="AW68" s="166"/>
      <c r="AX68" s="139"/>
      <c r="AY68" s="140" t="s">
        <v>295</v>
      </c>
      <c r="AZ68" s="140"/>
      <c r="BA68" s="140"/>
      <c r="BB68" s="140"/>
      <c r="BC68" s="140"/>
      <c r="BD68" s="138"/>
    </row>
    <row r="69" spans="2:56" x14ac:dyDescent="0.25">
      <c r="B69" s="2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42"/>
      <c r="P69" s="137"/>
      <c r="Q69" s="137"/>
      <c r="R69" s="137"/>
      <c r="S69" s="141"/>
      <c r="T69" s="166"/>
      <c r="U69" s="166"/>
      <c r="V69" s="142"/>
      <c r="W69" s="137"/>
      <c r="X69" s="137"/>
      <c r="Y69" s="137"/>
      <c r="Z69" s="141"/>
      <c r="AA69" s="166"/>
      <c r="AB69" s="166"/>
      <c r="AC69" s="142"/>
      <c r="AD69" s="137"/>
      <c r="AE69" s="137"/>
      <c r="AF69" s="137"/>
      <c r="AG69" s="141"/>
      <c r="AH69" s="166"/>
      <c r="AI69" s="166"/>
      <c r="AJ69" s="142"/>
      <c r="AK69" s="137"/>
      <c r="AL69" s="137"/>
      <c r="AM69" s="137"/>
      <c r="AN69" s="141"/>
      <c r="AO69" s="166"/>
      <c r="AP69" s="166"/>
      <c r="AQ69" s="166"/>
      <c r="AR69" s="166"/>
      <c r="AS69" s="26"/>
      <c r="AT69" s="142"/>
      <c r="AU69" s="137"/>
      <c r="AV69" s="137"/>
      <c r="AW69" s="137"/>
      <c r="AX69" s="25"/>
      <c r="AY69" s="40" t="s">
        <v>296</v>
      </c>
      <c r="AZ69" s="40"/>
      <c r="BA69" s="40"/>
      <c r="BB69" s="40"/>
      <c r="BC69" s="40"/>
      <c r="BD69" s="26"/>
    </row>
    <row r="70" spans="2:56" x14ac:dyDescent="0.25">
      <c r="B70" s="2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26"/>
      <c r="AT70" s="166"/>
      <c r="AU70" s="166"/>
      <c r="AV70" s="166"/>
      <c r="AW70" s="166"/>
      <c r="AX70" s="25"/>
      <c r="AY70" s="40" t="s">
        <v>297</v>
      </c>
      <c r="AZ70" s="40"/>
      <c r="BA70" s="40"/>
      <c r="BB70" s="40"/>
      <c r="BC70" s="40"/>
      <c r="BD70" s="26"/>
    </row>
    <row r="71" spans="2:56" x14ac:dyDescent="0.25">
      <c r="B71" s="2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26"/>
      <c r="AT71" s="166"/>
      <c r="AU71" s="166"/>
      <c r="AV71" s="166"/>
      <c r="AW71" s="166"/>
      <c r="AX71" s="142"/>
      <c r="AY71" s="291" t="s">
        <v>161</v>
      </c>
      <c r="AZ71" s="291"/>
      <c r="BA71" s="291"/>
      <c r="BB71" s="291"/>
      <c r="BC71" s="291"/>
      <c r="BD71" s="141"/>
    </row>
    <row r="72" spans="2:56" x14ac:dyDescent="0.25">
      <c r="B72" s="2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2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</row>
    <row r="73" spans="2:56" x14ac:dyDescent="0.25">
      <c r="B73" s="2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2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</row>
    <row r="74" spans="2:56" x14ac:dyDescent="0.25">
      <c r="B74" s="2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2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</row>
    <row r="75" spans="2:56" x14ac:dyDescent="0.25">
      <c r="B75" s="26"/>
      <c r="C75" s="166"/>
      <c r="D75" s="166" t="s">
        <v>292</v>
      </c>
      <c r="E75" s="166"/>
      <c r="F75" s="166"/>
      <c r="G75" s="166"/>
      <c r="H75" s="166"/>
      <c r="I75" s="139"/>
      <c r="J75" s="140"/>
      <c r="K75" s="140"/>
      <c r="L75" s="140"/>
      <c r="M75" s="138"/>
      <c r="N75" s="166"/>
      <c r="O75" s="166"/>
      <c r="P75" s="139"/>
      <c r="Q75" s="140"/>
      <c r="R75" s="140"/>
      <c r="S75" s="140"/>
      <c r="T75" s="138"/>
      <c r="U75" s="166"/>
      <c r="V75" s="166"/>
      <c r="W75" s="139"/>
      <c r="X75" s="140"/>
      <c r="Y75" s="140"/>
      <c r="Z75" s="140"/>
      <c r="AA75" s="138"/>
      <c r="AB75" s="166"/>
      <c r="AC75" s="166"/>
      <c r="AD75" s="139"/>
      <c r="AE75" s="140"/>
      <c r="AF75" s="140"/>
      <c r="AG75" s="140"/>
      <c r="AH75" s="138"/>
      <c r="AI75" s="166"/>
      <c r="AJ75" s="166"/>
      <c r="AK75" s="139"/>
      <c r="AL75" s="140"/>
      <c r="AM75" s="140"/>
      <c r="AN75" s="140"/>
      <c r="AO75" s="138"/>
      <c r="AP75" s="166"/>
      <c r="AQ75" s="166"/>
      <c r="AR75" s="166"/>
      <c r="AS75" s="26"/>
      <c r="AT75" s="166"/>
      <c r="AU75" s="166"/>
      <c r="AV75" s="166"/>
      <c r="AW75" s="166"/>
      <c r="AX75" s="139"/>
      <c r="AY75" s="140" t="s">
        <v>298</v>
      </c>
      <c r="AZ75" s="140"/>
      <c r="BA75" s="140"/>
      <c r="BB75" s="140"/>
      <c r="BC75" s="140"/>
      <c r="BD75" s="138"/>
    </row>
    <row r="76" spans="2:56" x14ac:dyDescent="0.25">
      <c r="B76" s="26"/>
      <c r="C76" s="142"/>
      <c r="D76" s="137" t="s">
        <v>299</v>
      </c>
      <c r="E76" s="137"/>
      <c r="F76" s="137"/>
      <c r="G76" s="137"/>
      <c r="H76" s="141"/>
      <c r="I76" s="25"/>
      <c r="J76" s="166" t="s">
        <v>71</v>
      </c>
      <c r="K76" s="40"/>
      <c r="L76" s="40"/>
      <c r="M76" s="26"/>
      <c r="N76" s="166"/>
      <c r="O76" s="166"/>
      <c r="P76" s="25"/>
      <c r="Q76" s="166" t="s">
        <v>75</v>
      </c>
      <c r="R76" s="40"/>
      <c r="S76" s="40"/>
      <c r="T76" s="26"/>
      <c r="U76" s="166"/>
      <c r="V76" s="166"/>
      <c r="W76" s="25"/>
      <c r="X76" s="166" t="s">
        <v>79</v>
      </c>
      <c r="Y76" s="40"/>
      <c r="Z76" s="40"/>
      <c r="AA76" s="26"/>
      <c r="AB76" s="166"/>
      <c r="AC76" s="166"/>
      <c r="AD76" s="25"/>
      <c r="AE76" s="166" t="s">
        <v>83</v>
      </c>
      <c r="AF76" s="40"/>
      <c r="AG76" s="40"/>
      <c r="AH76" s="26"/>
      <c r="AI76" s="166"/>
      <c r="AJ76" s="166"/>
      <c r="AK76" s="25"/>
      <c r="AL76" s="166" t="s">
        <v>87</v>
      </c>
      <c r="AM76" s="40"/>
      <c r="AN76" s="40"/>
      <c r="AO76" s="26"/>
      <c r="AP76" s="166"/>
      <c r="AQ76" s="166"/>
      <c r="AR76" s="166"/>
      <c r="AS76" s="26"/>
      <c r="AT76" s="137"/>
      <c r="AU76" s="137"/>
      <c r="AV76" s="137"/>
      <c r="AW76" s="137"/>
      <c r="AX76" s="25"/>
      <c r="AY76" s="40" t="s">
        <v>300</v>
      </c>
      <c r="AZ76" s="40"/>
      <c r="BA76" s="40"/>
      <c r="BB76" s="40"/>
      <c r="BC76" s="40"/>
      <c r="BD76" s="26"/>
    </row>
    <row r="77" spans="2:56" x14ac:dyDescent="0.25">
      <c r="B77" s="26"/>
      <c r="C77" s="166"/>
      <c r="D77" s="166" t="s">
        <v>301</v>
      </c>
      <c r="E77" s="166"/>
      <c r="F77" s="166"/>
      <c r="G77" s="166"/>
      <c r="H77" s="166"/>
      <c r="I77" s="25"/>
      <c r="J77" s="166" t="s">
        <v>72</v>
      </c>
      <c r="K77" s="40"/>
      <c r="L77" s="40"/>
      <c r="M77" s="26"/>
      <c r="N77" s="139"/>
      <c r="O77" s="138"/>
      <c r="P77" s="25"/>
      <c r="Q77" s="166" t="s">
        <v>76</v>
      </c>
      <c r="R77" s="40"/>
      <c r="S77" s="40"/>
      <c r="T77" s="26"/>
      <c r="U77" s="139"/>
      <c r="V77" s="138"/>
      <c r="W77" s="25"/>
      <c r="X77" s="166" t="s">
        <v>80</v>
      </c>
      <c r="Y77" s="40"/>
      <c r="Z77" s="40"/>
      <c r="AA77" s="26"/>
      <c r="AB77" s="139"/>
      <c r="AC77" s="138"/>
      <c r="AD77" s="25"/>
      <c r="AE77" s="166" t="s">
        <v>84</v>
      </c>
      <c r="AF77" s="40"/>
      <c r="AG77" s="40"/>
      <c r="AH77" s="26"/>
      <c r="AI77" s="139"/>
      <c r="AJ77" s="138"/>
      <c r="AK77" s="25"/>
      <c r="AL77" s="166" t="s">
        <v>88</v>
      </c>
      <c r="AM77" s="40"/>
      <c r="AN77" s="40"/>
      <c r="AO77" s="26"/>
      <c r="AP77" s="166"/>
      <c r="AQ77" s="166"/>
      <c r="AR77" s="166"/>
      <c r="AS77" s="166"/>
      <c r="AT77" s="166"/>
      <c r="AU77" s="166"/>
      <c r="AV77" s="166"/>
      <c r="AW77" s="166"/>
      <c r="AX77" s="25"/>
      <c r="AY77" s="40" t="s">
        <v>297</v>
      </c>
      <c r="AZ77" s="40"/>
      <c r="BA77" s="40"/>
      <c r="BB77" s="40"/>
      <c r="BC77" s="40"/>
      <c r="BD77" s="26"/>
    </row>
    <row r="78" spans="2:56" x14ac:dyDescent="0.25">
      <c r="B78" s="26"/>
      <c r="C78" s="166"/>
      <c r="D78" s="166"/>
      <c r="E78" s="166"/>
      <c r="F78" s="166"/>
      <c r="G78" s="166"/>
      <c r="H78" s="166"/>
      <c r="I78" s="142"/>
      <c r="J78" s="137"/>
      <c r="K78" s="137"/>
      <c r="L78" s="137"/>
      <c r="M78" s="141"/>
      <c r="N78" s="166"/>
      <c r="O78" s="166"/>
      <c r="P78" s="142"/>
      <c r="Q78" s="137"/>
      <c r="R78" s="137"/>
      <c r="S78" s="137"/>
      <c r="T78" s="141"/>
      <c r="U78" s="166"/>
      <c r="V78" s="166"/>
      <c r="W78" s="142"/>
      <c r="X78" s="137"/>
      <c r="Y78" s="137"/>
      <c r="Z78" s="137"/>
      <c r="AA78" s="141"/>
      <c r="AB78" s="166"/>
      <c r="AC78" s="166"/>
      <c r="AD78" s="142"/>
      <c r="AE78" s="137"/>
      <c r="AF78" s="137"/>
      <c r="AG78" s="137"/>
      <c r="AH78" s="141"/>
      <c r="AI78" s="166"/>
      <c r="AJ78" s="166"/>
      <c r="AK78" s="142"/>
      <c r="AL78" s="137"/>
      <c r="AM78" s="137"/>
      <c r="AN78" s="137"/>
      <c r="AO78" s="141"/>
      <c r="AP78" s="166"/>
      <c r="AQ78" s="166"/>
      <c r="AR78" s="166"/>
      <c r="AS78" s="166"/>
      <c r="AT78" s="166"/>
      <c r="AU78" s="166"/>
      <c r="AV78" s="166"/>
      <c r="AW78" s="166"/>
      <c r="AX78" s="142"/>
      <c r="AY78" s="291" t="s">
        <v>163</v>
      </c>
      <c r="AZ78" s="291"/>
      <c r="BA78" s="291"/>
      <c r="BB78" s="291"/>
      <c r="BC78" s="291"/>
      <c r="BD78" s="141"/>
    </row>
    <row r="79" spans="2:56" x14ac:dyDescent="0.25">
      <c r="B79" s="2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</row>
    <row r="80" spans="2:56" x14ac:dyDescent="0.25">
      <c r="B80" s="2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  <c r="AS80" s="166"/>
      <c r="AT80" s="166"/>
      <c r="AU80" s="166"/>
      <c r="AV80" s="166"/>
      <c r="AW80" s="166"/>
      <c r="AX80" s="166"/>
      <c r="AY80" s="166"/>
      <c r="AZ80" s="166"/>
      <c r="BA80" s="166"/>
      <c r="BB80" s="166"/>
      <c r="BC80" s="166"/>
      <c r="BD80" s="166"/>
    </row>
    <row r="81" spans="2:39" x14ac:dyDescent="0.25">
      <c r="B81" s="2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</row>
    <row r="82" spans="2:39" x14ac:dyDescent="0.25">
      <c r="B82" s="2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6"/>
      <c r="AM82" s="166"/>
    </row>
    <row r="83" spans="2:39" x14ac:dyDescent="0.25">
      <c r="B83" s="2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</row>
    <row r="84" spans="2:39" x14ac:dyDescent="0.25">
      <c r="B84" s="26"/>
      <c r="C84" s="166"/>
      <c r="D84" s="166"/>
      <c r="E84" s="166"/>
      <c r="F84" s="166"/>
      <c r="G84" s="166"/>
      <c r="H84" s="166"/>
      <c r="I84" s="166"/>
      <c r="J84" s="166" t="s">
        <v>292</v>
      </c>
      <c r="K84" s="166"/>
      <c r="L84" s="166"/>
      <c r="M84" s="166"/>
      <c r="N84" s="166"/>
      <c r="O84" s="166"/>
      <c r="P84" s="139"/>
      <c r="Q84" s="140"/>
      <c r="R84" s="140"/>
      <c r="S84" s="140"/>
      <c r="T84" s="138"/>
      <c r="U84" s="166"/>
      <c r="V84" s="166"/>
      <c r="W84" s="139"/>
      <c r="X84" s="140"/>
      <c r="Y84" s="140"/>
      <c r="Z84" s="140"/>
      <c r="AA84" s="138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</row>
    <row r="85" spans="2:39" x14ac:dyDescent="0.25">
      <c r="B85" s="26"/>
      <c r="C85" s="142"/>
      <c r="D85" s="137"/>
      <c r="E85" s="137"/>
      <c r="F85" s="137"/>
      <c r="G85" s="137"/>
      <c r="H85" s="137"/>
      <c r="I85" s="137"/>
      <c r="J85" s="137" t="s">
        <v>299</v>
      </c>
      <c r="K85" s="137"/>
      <c r="L85" s="137"/>
      <c r="M85" s="137"/>
      <c r="N85" s="137"/>
      <c r="O85" s="141"/>
      <c r="P85" s="25"/>
      <c r="Q85" s="166" t="s">
        <v>107</v>
      </c>
      <c r="R85" s="40"/>
      <c r="S85" s="40"/>
      <c r="T85" s="26"/>
      <c r="U85" s="166"/>
      <c r="V85" s="141"/>
      <c r="W85" s="25"/>
      <c r="X85" s="166" t="s">
        <v>111</v>
      </c>
      <c r="Y85" s="40"/>
      <c r="Z85" s="40"/>
      <c r="AA85" s="2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</row>
    <row r="86" spans="2:39" x14ac:dyDescent="0.25">
      <c r="B86" s="26"/>
      <c r="C86" s="166"/>
      <c r="D86" s="166"/>
      <c r="E86" s="166"/>
      <c r="F86" s="166"/>
      <c r="G86" s="166"/>
      <c r="H86" s="166"/>
      <c r="I86" s="166"/>
      <c r="J86" s="166" t="s">
        <v>302</v>
      </c>
      <c r="K86" s="166"/>
      <c r="L86" s="166"/>
      <c r="M86" s="166"/>
      <c r="N86" s="166"/>
      <c r="O86" s="166"/>
      <c r="P86" s="25"/>
      <c r="Q86" s="166" t="s">
        <v>108</v>
      </c>
      <c r="R86" s="40"/>
      <c r="S86" s="40"/>
      <c r="T86" s="26"/>
      <c r="U86" s="139"/>
      <c r="V86" s="166"/>
      <c r="W86" s="25"/>
      <c r="X86" s="166" t="s">
        <v>112</v>
      </c>
      <c r="Y86" s="40"/>
      <c r="Z86" s="40"/>
      <c r="AA86" s="2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</row>
    <row r="87" spans="2:39" x14ac:dyDescent="0.25">
      <c r="B87" s="2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42"/>
      <c r="Q87" s="137"/>
      <c r="R87" s="137"/>
      <c r="S87" s="137"/>
      <c r="T87" s="141"/>
      <c r="U87" s="166"/>
      <c r="V87" s="166"/>
      <c r="W87" s="142"/>
      <c r="X87" s="137"/>
      <c r="Y87" s="137"/>
      <c r="Z87" s="137"/>
      <c r="AA87" s="141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</row>
    <row r="88" spans="2:39" x14ac:dyDescent="0.25">
      <c r="B88" s="2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</row>
    <row r="89" spans="2:39" x14ac:dyDescent="0.25">
      <c r="B89" s="2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</row>
    <row r="90" spans="2:39" x14ac:dyDescent="0.25">
      <c r="B90" s="2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</row>
    <row r="91" spans="2:39" x14ac:dyDescent="0.25">
      <c r="B91" s="2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166"/>
      <c r="AM91" s="166"/>
    </row>
    <row r="92" spans="2:39" x14ac:dyDescent="0.25">
      <c r="B92" s="2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</row>
    <row r="93" spans="2:39" x14ac:dyDescent="0.25">
      <c r="B93" s="26"/>
      <c r="C93" s="166"/>
      <c r="D93" s="166"/>
      <c r="E93" s="166"/>
      <c r="F93" s="166"/>
      <c r="G93" s="166" t="s">
        <v>303</v>
      </c>
      <c r="H93" s="166"/>
      <c r="I93" s="166"/>
      <c r="J93" s="166"/>
      <c r="K93" s="166"/>
      <c r="L93" s="166"/>
      <c r="M93" s="166"/>
      <c r="N93" s="139"/>
      <c r="O93" s="140"/>
      <c r="P93" s="140"/>
      <c r="Q93" s="140"/>
      <c r="R93" s="138"/>
      <c r="S93" s="166"/>
      <c r="T93" s="166"/>
      <c r="U93" s="139"/>
      <c r="V93" s="140"/>
      <c r="W93" s="140"/>
      <c r="X93" s="140"/>
      <c r="Y93" s="138"/>
      <c r="Z93" s="166"/>
      <c r="AA93" s="166"/>
      <c r="AB93" s="139"/>
      <c r="AC93" s="140"/>
      <c r="AD93" s="140"/>
      <c r="AE93" s="140"/>
      <c r="AF93" s="138"/>
      <c r="AG93" s="166"/>
      <c r="AH93" s="166"/>
      <c r="AI93" s="139"/>
      <c r="AJ93" s="140"/>
      <c r="AK93" s="140"/>
      <c r="AL93" s="140"/>
      <c r="AM93" s="138"/>
    </row>
    <row r="94" spans="2:39" x14ac:dyDescent="0.25">
      <c r="B94" s="26"/>
      <c r="C94" s="142"/>
      <c r="D94" s="137"/>
      <c r="E94" s="137"/>
      <c r="F94" s="137"/>
      <c r="G94" s="137" t="s">
        <v>304</v>
      </c>
      <c r="H94" s="137"/>
      <c r="I94" s="137"/>
      <c r="J94" s="137"/>
      <c r="K94" s="137"/>
      <c r="L94" s="137"/>
      <c r="M94" s="141"/>
      <c r="N94" s="25"/>
      <c r="O94" s="150" t="s">
        <v>209</v>
      </c>
      <c r="P94" s="151"/>
      <c r="Q94" s="40"/>
      <c r="R94" s="26"/>
      <c r="S94" s="166"/>
      <c r="T94" s="166"/>
      <c r="U94" s="25"/>
      <c r="V94" s="150" t="s">
        <v>305</v>
      </c>
      <c r="W94" s="151"/>
      <c r="X94" s="40"/>
      <c r="Y94" s="26"/>
      <c r="Z94" s="166"/>
      <c r="AA94" s="166"/>
      <c r="AB94" s="152" t="s">
        <v>306</v>
      </c>
      <c r="AC94" s="166"/>
      <c r="AD94" s="151"/>
      <c r="AE94" s="40"/>
      <c r="AF94" s="26"/>
      <c r="AG94" s="142"/>
      <c r="AH94" s="141"/>
      <c r="AI94" s="25"/>
      <c r="AJ94" s="150" t="s">
        <v>194</v>
      </c>
      <c r="AK94" s="151"/>
      <c r="AL94" s="40"/>
      <c r="AM94" s="26"/>
    </row>
    <row r="95" spans="2:39" x14ac:dyDescent="0.25">
      <c r="B95" s="166"/>
      <c r="C95" s="166"/>
      <c r="D95" s="166"/>
      <c r="E95" s="166"/>
      <c r="F95" s="166"/>
      <c r="G95" s="166" t="s">
        <v>57</v>
      </c>
      <c r="H95" s="166"/>
      <c r="I95" s="166"/>
      <c r="J95" s="166"/>
      <c r="K95" s="166"/>
      <c r="L95" s="166"/>
      <c r="M95" s="166"/>
      <c r="N95" s="25"/>
      <c r="O95" s="40" t="s">
        <v>214</v>
      </c>
      <c r="P95" s="40"/>
      <c r="Q95" s="40"/>
      <c r="R95" s="26"/>
      <c r="S95" s="139"/>
      <c r="T95" s="138"/>
      <c r="U95" s="25"/>
      <c r="V95" s="40" t="s">
        <v>215</v>
      </c>
      <c r="W95" s="40"/>
      <c r="X95" s="40"/>
      <c r="Y95" s="26"/>
      <c r="Z95" s="139"/>
      <c r="AA95" s="138"/>
      <c r="AB95" s="25"/>
      <c r="AC95" s="40" t="s">
        <v>216</v>
      </c>
      <c r="AD95" s="40"/>
      <c r="AE95" s="40"/>
      <c r="AF95" s="26"/>
      <c r="AG95" s="166"/>
      <c r="AH95" s="166"/>
      <c r="AI95" s="25"/>
      <c r="AJ95" s="150" t="s">
        <v>217</v>
      </c>
      <c r="AK95" s="151"/>
      <c r="AL95" s="40"/>
      <c r="AM95" s="26"/>
    </row>
    <row r="96" spans="2:39" x14ac:dyDescent="0.25"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42"/>
      <c r="O96" s="137"/>
      <c r="P96" s="137"/>
      <c r="Q96" s="137"/>
      <c r="R96" s="141"/>
      <c r="S96" s="166"/>
      <c r="T96" s="166"/>
      <c r="U96" s="142"/>
      <c r="V96" s="137"/>
      <c r="W96" s="137"/>
      <c r="X96" s="137"/>
      <c r="Y96" s="141"/>
      <c r="Z96" s="166"/>
      <c r="AA96" s="166"/>
      <c r="AB96" s="142"/>
      <c r="AC96" s="137"/>
      <c r="AD96" s="137"/>
      <c r="AE96" s="137"/>
      <c r="AF96" s="141"/>
      <c r="AG96" s="166"/>
      <c r="AH96" s="166"/>
      <c r="AI96" s="142"/>
      <c r="AJ96" s="137"/>
      <c r="AK96" s="137"/>
      <c r="AL96" s="137"/>
      <c r="AM96" s="141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68"/>
  <sheetViews>
    <sheetView topLeftCell="G1" workbookViewId="0">
      <selection activeCell="T8" sqref="T8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  <col min="16" max="16" width="3" style="163" customWidth="1"/>
    <col min="17" max="17" width="18" style="163" customWidth="1"/>
    <col min="18" max="18" width="17.7109375" style="163" customWidth="1"/>
    <col min="19" max="19" width="14.28515625" style="163" customWidth="1"/>
  </cols>
  <sheetData>
    <row r="1" spans="1:19" x14ac:dyDescent="0.25">
      <c r="A1" s="166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0"/>
      <c r="Q1" s="160"/>
      <c r="R1" s="160" t="s">
        <v>307</v>
      </c>
      <c r="S1" s="160" t="s">
        <v>308</v>
      </c>
    </row>
    <row r="2" spans="1:19" x14ac:dyDescent="0.25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0"/>
      <c r="Q2" s="160"/>
      <c r="R2" s="160" t="s">
        <v>309</v>
      </c>
      <c r="S2" s="160"/>
    </row>
    <row r="3" spans="1:19" x14ac:dyDescent="0.25">
      <c r="A3" s="166"/>
      <c r="B3" s="3" t="s">
        <v>310</v>
      </c>
      <c r="C3" s="3" t="s">
        <v>311</v>
      </c>
      <c r="D3" s="166"/>
      <c r="E3" s="153" t="s">
        <v>312</v>
      </c>
      <c r="F3" s="3">
        <v>2020</v>
      </c>
      <c r="G3" s="3"/>
      <c r="H3" s="3"/>
      <c r="I3" s="3" t="s">
        <v>310</v>
      </c>
      <c r="J3" s="3" t="s">
        <v>311</v>
      </c>
      <c r="K3" s="166"/>
      <c r="L3" s="166"/>
      <c r="M3" s="166"/>
      <c r="N3" s="166"/>
      <c r="O3" s="166"/>
      <c r="P3" s="161" t="s">
        <v>313</v>
      </c>
      <c r="Q3" s="160" t="s">
        <v>314</v>
      </c>
      <c r="R3" s="160">
        <v>377</v>
      </c>
      <c r="S3" s="162">
        <f>+R3/444</f>
        <v>0.84909909909909909</v>
      </c>
    </row>
    <row r="4" spans="1:19" x14ac:dyDescent="0.25">
      <c r="A4" s="166" t="s">
        <v>227</v>
      </c>
      <c r="B4" s="166">
        <v>159</v>
      </c>
      <c r="C4" s="166">
        <v>46</v>
      </c>
      <c r="D4" s="166"/>
      <c r="E4" s="153">
        <v>71.400000000000006</v>
      </c>
      <c r="F4" s="166">
        <v>0.71399999999999997</v>
      </c>
      <c r="G4" s="166">
        <v>13764</v>
      </c>
      <c r="H4" s="166">
        <f>SUM(F4*G4)</f>
        <v>9827.4959999999992</v>
      </c>
      <c r="I4" s="166">
        <v>148</v>
      </c>
      <c r="J4" s="166">
        <v>102</v>
      </c>
      <c r="K4" s="166"/>
      <c r="L4" s="166"/>
      <c r="M4" s="166"/>
      <c r="N4" s="166"/>
      <c r="O4" s="166"/>
      <c r="P4" s="161" t="s">
        <v>315</v>
      </c>
      <c r="Q4" s="160" t="s">
        <v>314</v>
      </c>
      <c r="R4" s="160">
        <v>379</v>
      </c>
      <c r="S4" s="162">
        <f t="shared" ref="S4:S67" si="0">+R4/444</f>
        <v>0.85360360360360366</v>
      </c>
    </row>
    <row r="5" spans="1:19" x14ac:dyDescent="0.25">
      <c r="A5" s="166" t="s">
        <v>228</v>
      </c>
      <c r="B5" s="166">
        <v>156</v>
      </c>
      <c r="C5" s="166">
        <v>76</v>
      </c>
      <c r="D5" s="166"/>
      <c r="E5" s="153">
        <v>78.599999999999994</v>
      </c>
      <c r="F5" s="166">
        <v>0.78600000000000003</v>
      </c>
      <c r="G5" s="166">
        <v>12432</v>
      </c>
      <c r="H5" s="166">
        <f t="shared" ref="H5:H15" si="1">SUM(F5*G5)</f>
        <v>9771.5519999999997</v>
      </c>
      <c r="I5" s="166">
        <v>292</v>
      </c>
      <c r="J5" s="166">
        <v>30</v>
      </c>
      <c r="K5" s="166"/>
      <c r="L5" s="166"/>
      <c r="M5" s="166"/>
      <c r="N5" s="166"/>
      <c r="O5" s="166"/>
      <c r="P5" s="161" t="s">
        <v>316</v>
      </c>
      <c r="Q5" s="160" t="s">
        <v>314</v>
      </c>
      <c r="R5" s="160">
        <v>314</v>
      </c>
      <c r="S5" s="162">
        <f t="shared" si="0"/>
        <v>0.7072072072072072</v>
      </c>
    </row>
    <row r="6" spans="1:19" x14ac:dyDescent="0.25">
      <c r="A6" s="166" t="s">
        <v>229</v>
      </c>
      <c r="B6" s="166">
        <v>264</v>
      </c>
      <c r="C6" s="166">
        <v>18</v>
      </c>
      <c r="D6" s="166"/>
      <c r="E6" s="153">
        <v>28.3</v>
      </c>
      <c r="F6" s="166">
        <v>0.28299999999999997</v>
      </c>
      <c r="G6" s="166">
        <v>13764</v>
      </c>
      <c r="H6" s="166">
        <f t="shared" si="1"/>
        <v>3895.2119999999995</v>
      </c>
      <c r="I6" s="166">
        <v>313</v>
      </c>
      <c r="J6" s="166">
        <v>9</v>
      </c>
      <c r="K6" s="166"/>
      <c r="L6" s="166"/>
      <c r="M6" s="166"/>
      <c r="N6" s="166"/>
      <c r="O6" s="166"/>
      <c r="P6" s="161" t="s">
        <v>317</v>
      </c>
      <c r="Q6" s="160" t="s">
        <v>314</v>
      </c>
      <c r="R6" s="160">
        <v>210</v>
      </c>
      <c r="S6" s="162">
        <f t="shared" si="0"/>
        <v>0.47297297297297297</v>
      </c>
    </row>
    <row r="7" spans="1:19" x14ac:dyDescent="0.25">
      <c r="A7" s="166" t="s">
        <v>230</v>
      </c>
      <c r="B7" s="166">
        <v>415</v>
      </c>
      <c r="C7" s="166">
        <v>0</v>
      </c>
      <c r="D7" s="166"/>
      <c r="E7" s="153">
        <v>0</v>
      </c>
      <c r="F7" s="166">
        <v>0</v>
      </c>
      <c r="G7" s="166">
        <v>13320</v>
      </c>
      <c r="H7" s="166">
        <f t="shared" si="1"/>
        <v>0</v>
      </c>
      <c r="I7" s="166">
        <v>372</v>
      </c>
      <c r="J7" s="166">
        <v>6</v>
      </c>
      <c r="K7" s="166"/>
      <c r="L7" s="166"/>
      <c r="M7" s="166"/>
      <c r="N7" s="166"/>
      <c r="O7" s="166"/>
      <c r="P7" s="161" t="s">
        <v>318</v>
      </c>
      <c r="Q7" s="160" t="s">
        <v>314</v>
      </c>
      <c r="R7" s="160">
        <v>157</v>
      </c>
      <c r="S7" s="162">
        <f t="shared" si="0"/>
        <v>0.3536036036036036</v>
      </c>
    </row>
    <row r="8" spans="1:19" x14ac:dyDescent="0.25">
      <c r="A8" s="166" t="s">
        <v>231</v>
      </c>
      <c r="B8" s="166">
        <v>487</v>
      </c>
      <c r="C8" s="166">
        <v>0</v>
      </c>
      <c r="D8" s="166"/>
      <c r="E8" s="153">
        <v>0</v>
      </c>
      <c r="F8" s="166">
        <v>0</v>
      </c>
      <c r="G8" s="166">
        <v>13764</v>
      </c>
      <c r="H8" s="166">
        <f t="shared" si="1"/>
        <v>0</v>
      </c>
      <c r="I8" s="166">
        <v>480</v>
      </c>
      <c r="J8" s="166">
        <v>0</v>
      </c>
      <c r="K8" s="166"/>
      <c r="L8" s="166"/>
      <c r="M8" s="166"/>
      <c r="N8" s="166"/>
      <c r="O8" s="166"/>
      <c r="P8" s="161" t="s">
        <v>319</v>
      </c>
      <c r="Q8" s="160" t="s">
        <v>314</v>
      </c>
      <c r="R8" s="160">
        <v>146</v>
      </c>
      <c r="S8" s="162">
        <f t="shared" si="0"/>
        <v>0.32882882882882886</v>
      </c>
    </row>
    <row r="9" spans="1:19" x14ac:dyDescent="0.25">
      <c r="A9" s="166" t="s">
        <v>232</v>
      </c>
      <c r="B9" s="166">
        <v>502</v>
      </c>
      <c r="C9" s="166">
        <v>0</v>
      </c>
      <c r="D9" s="166"/>
      <c r="E9" s="153">
        <v>0</v>
      </c>
      <c r="F9" s="166">
        <v>0</v>
      </c>
      <c r="G9" s="166">
        <v>13320</v>
      </c>
      <c r="H9" s="166">
        <f t="shared" si="1"/>
        <v>0</v>
      </c>
      <c r="I9" s="166">
        <v>520</v>
      </c>
      <c r="J9" s="166">
        <v>0</v>
      </c>
      <c r="K9" s="166"/>
      <c r="L9" s="166"/>
      <c r="M9" s="166"/>
      <c r="N9" s="166"/>
      <c r="O9" s="166"/>
      <c r="P9" s="161" t="s">
        <v>320</v>
      </c>
      <c r="Q9" s="160" t="s">
        <v>314</v>
      </c>
      <c r="R9" s="160">
        <v>174</v>
      </c>
      <c r="S9" s="162">
        <f t="shared" si="0"/>
        <v>0.39189189189189189</v>
      </c>
    </row>
    <row r="10" spans="1:19" x14ac:dyDescent="0.25">
      <c r="A10" s="166" t="s">
        <v>233</v>
      </c>
      <c r="B10" s="166">
        <v>492</v>
      </c>
      <c r="C10" s="166">
        <v>0</v>
      </c>
      <c r="D10" s="166"/>
      <c r="E10" s="153">
        <v>20.5</v>
      </c>
      <c r="F10" s="166">
        <v>0.20499999999999999</v>
      </c>
      <c r="G10" s="166">
        <v>13764</v>
      </c>
      <c r="H10" s="166">
        <f t="shared" si="1"/>
        <v>2821.62</v>
      </c>
      <c r="I10" s="166"/>
      <c r="J10" s="166"/>
      <c r="K10" s="166"/>
      <c r="L10" s="166"/>
      <c r="M10" s="166"/>
      <c r="N10" s="166"/>
      <c r="O10" s="166"/>
      <c r="P10" s="161" t="s">
        <v>321</v>
      </c>
      <c r="Q10" s="160" t="s">
        <v>314</v>
      </c>
      <c r="R10" s="160">
        <v>219</v>
      </c>
      <c r="S10" s="162">
        <f t="shared" si="0"/>
        <v>0.49324324324324326</v>
      </c>
    </row>
    <row r="11" spans="1:19" x14ac:dyDescent="0.25">
      <c r="A11" s="166" t="s">
        <v>234</v>
      </c>
      <c r="B11" s="166">
        <v>475</v>
      </c>
      <c r="C11" s="166">
        <v>0</v>
      </c>
      <c r="D11" s="166"/>
      <c r="E11" s="153">
        <v>25.5</v>
      </c>
      <c r="F11" s="166">
        <v>0.255</v>
      </c>
      <c r="G11" s="166">
        <v>13764</v>
      </c>
      <c r="H11" s="166">
        <f t="shared" si="1"/>
        <v>3509.82</v>
      </c>
      <c r="I11" s="166"/>
      <c r="J11" s="166"/>
      <c r="K11" s="166"/>
      <c r="L11" s="166"/>
      <c r="M11" s="166"/>
      <c r="N11" s="166"/>
      <c r="O11" s="166"/>
      <c r="P11" s="161" t="s">
        <v>322</v>
      </c>
      <c r="Q11" s="160" t="s">
        <v>314</v>
      </c>
      <c r="R11" s="160">
        <v>190</v>
      </c>
      <c r="S11" s="162">
        <f t="shared" si="0"/>
        <v>0.42792792792792794</v>
      </c>
    </row>
    <row r="12" spans="1:19" x14ac:dyDescent="0.25">
      <c r="A12" s="166" t="s">
        <v>235</v>
      </c>
      <c r="B12" s="166">
        <v>500</v>
      </c>
      <c r="C12" s="166">
        <v>0</v>
      </c>
      <c r="D12" s="166"/>
      <c r="E12" s="153"/>
      <c r="F12" s="166"/>
      <c r="G12" s="166">
        <v>13320</v>
      </c>
      <c r="H12" s="166">
        <f t="shared" si="1"/>
        <v>0</v>
      </c>
      <c r="I12" s="166"/>
      <c r="J12" s="166"/>
      <c r="K12" s="166"/>
      <c r="L12" s="166"/>
      <c r="M12" s="166"/>
      <c r="N12" s="166"/>
      <c r="O12" s="166"/>
      <c r="P12" s="161" t="s">
        <v>323</v>
      </c>
      <c r="Q12" s="160" t="s">
        <v>314</v>
      </c>
      <c r="R12" s="160">
        <v>217</v>
      </c>
      <c r="S12" s="162">
        <f t="shared" si="0"/>
        <v>0.48873873873873874</v>
      </c>
    </row>
    <row r="13" spans="1:19" x14ac:dyDescent="0.25">
      <c r="A13" s="166" t="s">
        <v>236</v>
      </c>
      <c r="B13" s="166">
        <v>431</v>
      </c>
      <c r="C13" s="166">
        <v>66</v>
      </c>
      <c r="D13" s="166"/>
      <c r="E13" s="153"/>
      <c r="F13" s="166"/>
      <c r="G13" s="166">
        <v>13764</v>
      </c>
      <c r="H13" s="166">
        <f t="shared" si="1"/>
        <v>0</v>
      </c>
      <c r="I13" s="166"/>
      <c r="J13" s="166"/>
      <c r="K13" s="166"/>
      <c r="L13" s="166"/>
      <c r="M13" s="166"/>
      <c r="N13" s="166"/>
      <c r="O13" s="166"/>
      <c r="P13" s="161" t="s">
        <v>324</v>
      </c>
      <c r="Q13" s="160" t="s">
        <v>314</v>
      </c>
      <c r="R13" s="160">
        <v>232</v>
      </c>
      <c r="S13" s="162">
        <f t="shared" si="0"/>
        <v>0.52252252252252251</v>
      </c>
    </row>
    <row r="14" spans="1:19" x14ac:dyDescent="0.25">
      <c r="A14" s="166" t="s">
        <v>237</v>
      </c>
      <c r="B14" s="166">
        <v>167</v>
      </c>
      <c r="C14" s="166">
        <v>80</v>
      </c>
      <c r="D14" s="166"/>
      <c r="E14" s="153"/>
      <c r="F14" s="166"/>
      <c r="G14" s="166">
        <v>13320</v>
      </c>
      <c r="H14" s="166">
        <f t="shared" si="1"/>
        <v>0</v>
      </c>
      <c r="I14" s="166"/>
      <c r="J14" s="166"/>
      <c r="K14" s="166"/>
      <c r="L14" s="166"/>
      <c r="M14" s="166"/>
      <c r="N14" s="166"/>
      <c r="O14" s="166"/>
      <c r="P14" s="161" t="s">
        <v>325</v>
      </c>
      <c r="Q14" s="160" t="s">
        <v>314</v>
      </c>
      <c r="R14" s="160">
        <v>192</v>
      </c>
      <c r="S14" s="162">
        <f t="shared" si="0"/>
        <v>0.43243243243243246</v>
      </c>
    </row>
    <row r="15" spans="1:19" x14ac:dyDescent="0.25">
      <c r="A15" s="166" t="s">
        <v>238</v>
      </c>
      <c r="B15" s="166">
        <v>140</v>
      </c>
      <c r="C15" s="166">
        <v>133</v>
      </c>
      <c r="D15" s="166"/>
      <c r="E15" s="154"/>
      <c r="F15" s="166"/>
      <c r="G15" s="166">
        <v>13764</v>
      </c>
      <c r="H15" s="166">
        <f t="shared" si="1"/>
        <v>0</v>
      </c>
      <c r="I15" s="166"/>
      <c r="J15" s="166"/>
      <c r="K15" s="166"/>
      <c r="L15" s="166"/>
      <c r="M15" s="166"/>
      <c r="N15" s="166"/>
      <c r="O15" s="166"/>
      <c r="P15" s="161" t="s">
        <v>326</v>
      </c>
      <c r="Q15" s="160" t="s">
        <v>314</v>
      </c>
      <c r="R15" s="160">
        <v>369</v>
      </c>
      <c r="S15" s="162">
        <f t="shared" si="0"/>
        <v>0.83108108108108103</v>
      </c>
    </row>
    <row r="16" spans="1:19" x14ac:dyDescent="0.25">
      <c r="A16" s="166"/>
      <c r="B16" s="166"/>
      <c r="C16" s="166"/>
      <c r="D16" s="166"/>
      <c r="E16" s="153"/>
      <c r="F16" s="166"/>
      <c r="G16" s="166">
        <f>SUM(G4:G15)</f>
        <v>162060</v>
      </c>
      <c r="H16" s="166">
        <f>SUM(H4:H15)</f>
        <v>29825.699999999997</v>
      </c>
      <c r="I16" s="166"/>
      <c r="J16" s="166"/>
      <c r="K16" s="166"/>
      <c r="L16" s="166"/>
      <c r="M16" s="166"/>
      <c r="N16" s="166"/>
      <c r="O16" s="166"/>
      <c r="P16" s="161" t="s">
        <v>327</v>
      </c>
      <c r="Q16" s="160" t="s">
        <v>314</v>
      </c>
      <c r="R16" s="160">
        <v>369</v>
      </c>
      <c r="S16" s="162">
        <f t="shared" si="0"/>
        <v>0.83108108108108103</v>
      </c>
    </row>
    <row r="17" spans="11:19" x14ac:dyDescent="0.25">
      <c r="K17" s="166"/>
      <c r="L17" s="166"/>
      <c r="M17" s="166"/>
      <c r="N17" s="166"/>
      <c r="O17" s="166"/>
      <c r="P17" s="161" t="s">
        <v>328</v>
      </c>
      <c r="Q17" s="160" t="s">
        <v>314</v>
      </c>
      <c r="R17" s="160">
        <v>407</v>
      </c>
      <c r="S17" s="162">
        <f t="shared" si="0"/>
        <v>0.91666666666666663</v>
      </c>
    </row>
    <row r="18" spans="11:19" x14ac:dyDescent="0.25">
      <c r="K18" s="166"/>
      <c r="L18" s="166"/>
      <c r="M18" s="166"/>
      <c r="N18" s="166"/>
      <c r="O18" s="166"/>
      <c r="P18" s="161" t="s">
        <v>329</v>
      </c>
      <c r="Q18" s="160" t="s">
        <v>314</v>
      </c>
      <c r="R18" s="160">
        <v>407</v>
      </c>
      <c r="S18" s="162">
        <f t="shared" si="0"/>
        <v>0.91666666666666663</v>
      </c>
    </row>
    <row r="19" spans="11:19" x14ac:dyDescent="0.25">
      <c r="K19" s="166"/>
      <c r="L19" s="166"/>
      <c r="M19" s="166"/>
      <c r="N19" s="166"/>
      <c r="O19" s="166"/>
      <c r="P19" s="161" t="s">
        <v>330</v>
      </c>
      <c r="Q19" s="160" t="s">
        <v>314</v>
      </c>
      <c r="R19" s="160">
        <v>388</v>
      </c>
      <c r="S19" s="162">
        <f t="shared" si="0"/>
        <v>0.87387387387387383</v>
      </c>
    </row>
    <row r="20" spans="11:19" x14ac:dyDescent="0.25">
      <c r="K20" s="166"/>
      <c r="L20" s="166"/>
      <c r="M20" s="166"/>
      <c r="N20" s="166"/>
      <c r="O20" s="166"/>
      <c r="P20" s="161" t="s">
        <v>331</v>
      </c>
      <c r="Q20" s="160" t="s">
        <v>314</v>
      </c>
      <c r="R20" s="160">
        <v>394</v>
      </c>
      <c r="S20" s="162">
        <f t="shared" si="0"/>
        <v>0.88738738738738743</v>
      </c>
    </row>
    <row r="21" spans="11:19" x14ac:dyDescent="0.25">
      <c r="K21" s="166"/>
      <c r="L21" s="166"/>
      <c r="M21" s="166"/>
      <c r="N21" s="166"/>
      <c r="O21" s="166"/>
      <c r="P21" s="161" t="s">
        <v>332</v>
      </c>
      <c r="Q21" s="160" t="s">
        <v>314</v>
      </c>
      <c r="R21" s="160">
        <v>377</v>
      </c>
      <c r="S21" s="162">
        <f t="shared" si="0"/>
        <v>0.84909909909909909</v>
      </c>
    </row>
    <row r="22" spans="11:19" x14ac:dyDescent="0.25">
      <c r="K22" s="166"/>
      <c r="L22" s="166"/>
      <c r="M22" s="166"/>
      <c r="N22" s="166"/>
      <c r="O22" s="166"/>
      <c r="P22" s="161" t="s">
        <v>333</v>
      </c>
      <c r="Q22" s="160" t="s">
        <v>314</v>
      </c>
      <c r="R22" s="160">
        <v>387</v>
      </c>
      <c r="S22" s="162">
        <f t="shared" si="0"/>
        <v>0.8716216216216216</v>
      </c>
    </row>
    <row r="23" spans="11:19" x14ac:dyDescent="0.25">
      <c r="K23" s="166"/>
      <c r="L23" s="166"/>
      <c r="M23" s="166"/>
      <c r="N23" s="166"/>
      <c r="O23" s="166"/>
      <c r="P23" s="161" t="s">
        <v>334</v>
      </c>
      <c r="Q23" s="160" t="s">
        <v>314</v>
      </c>
      <c r="R23" s="160">
        <v>344</v>
      </c>
      <c r="S23" s="162">
        <f t="shared" si="0"/>
        <v>0.77477477477477474</v>
      </c>
    </row>
    <row r="24" spans="11:19" x14ac:dyDescent="0.25">
      <c r="K24" s="166"/>
      <c r="L24" s="166"/>
      <c r="M24" s="166"/>
      <c r="N24" s="166"/>
      <c r="O24" s="166"/>
      <c r="P24" s="161" t="s">
        <v>335</v>
      </c>
      <c r="Q24" s="160" t="s">
        <v>314</v>
      </c>
      <c r="R24" s="160">
        <v>401</v>
      </c>
      <c r="S24" s="162">
        <f t="shared" si="0"/>
        <v>0.90315315315315314</v>
      </c>
    </row>
    <row r="25" spans="11:19" x14ac:dyDescent="0.25">
      <c r="K25" s="168"/>
      <c r="L25" s="168">
        <v>2017</v>
      </c>
      <c r="M25" s="168">
        <v>2018</v>
      </c>
      <c r="N25" s="168">
        <v>2019</v>
      </c>
      <c r="O25" s="166"/>
      <c r="P25" s="161" t="s">
        <v>336</v>
      </c>
      <c r="Q25" s="160" t="s">
        <v>314</v>
      </c>
      <c r="R25" s="160">
        <v>392</v>
      </c>
      <c r="S25" s="162">
        <f t="shared" si="0"/>
        <v>0.88288288288288286</v>
      </c>
    </row>
    <row r="26" spans="11:19" x14ac:dyDescent="0.25">
      <c r="K26" s="168" t="s">
        <v>337</v>
      </c>
      <c r="L26" s="168">
        <v>120328</v>
      </c>
      <c r="M26" s="168">
        <v>119350</v>
      </c>
      <c r="N26" s="168">
        <v>91868</v>
      </c>
      <c r="O26" s="166"/>
      <c r="P26" s="161" t="s">
        <v>338</v>
      </c>
      <c r="Q26" s="160" t="s">
        <v>314</v>
      </c>
      <c r="R26" s="160">
        <v>416</v>
      </c>
      <c r="S26" s="162">
        <f t="shared" si="0"/>
        <v>0.93693693693693691</v>
      </c>
    </row>
    <row r="27" spans="11:19" x14ac:dyDescent="0.25">
      <c r="K27" s="168" t="s">
        <v>339</v>
      </c>
      <c r="L27" s="168">
        <v>17910500</v>
      </c>
      <c r="M27" s="168">
        <v>17636409</v>
      </c>
      <c r="N27" s="168">
        <v>13838299</v>
      </c>
      <c r="O27" s="166"/>
      <c r="P27" s="161" t="s">
        <v>340</v>
      </c>
      <c r="Q27" s="160" t="s">
        <v>314</v>
      </c>
      <c r="R27" s="160">
        <v>237</v>
      </c>
      <c r="S27" s="162">
        <f t="shared" si="0"/>
        <v>0.53378378378378377</v>
      </c>
    </row>
    <row r="28" spans="11:19" x14ac:dyDescent="0.25">
      <c r="K28" s="168" t="s">
        <v>341</v>
      </c>
      <c r="L28" s="168">
        <f>SUM(L27/L26)</f>
        <v>148.84731733262416</v>
      </c>
      <c r="M28" s="168">
        <f t="shared" ref="M28:N28" si="2">SUM(M27/M26)</f>
        <v>147.77049853372435</v>
      </c>
      <c r="N28" s="168">
        <f t="shared" si="2"/>
        <v>150.63241825227502</v>
      </c>
      <c r="O28" s="166"/>
      <c r="P28" s="161" t="s">
        <v>342</v>
      </c>
      <c r="Q28" s="160" t="s">
        <v>314</v>
      </c>
      <c r="R28" s="160">
        <v>374</v>
      </c>
      <c r="S28" s="162">
        <f t="shared" si="0"/>
        <v>0.84234234234234229</v>
      </c>
    </row>
    <row r="29" spans="11:19" x14ac:dyDescent="0.25">
      <c r="K29" s="168" t="s">
        <v>343</v>
      </c>
      <c r="L29" s="168">
        <v>600069</v>
      </c>
      <c r="M29" s="168">
        <v>584640</v>
      </c>
      <c r="N29" s="168">
        <v>432248</v>
      </c>
      <c r="O29" s="166"/>
      <c r="P29" s="161" t="s">
        <v>344</v>
      </c>
      <c r="Q29" s="160" t="s">
        <v>314</v>
      </c>
      <c r="R29" s="160">
        <v>383</v>
      </c>
      <c r="S29" s="162">
        <f t="shared" si="0"/>
        <v>0.86261261261261257</v>
      </c>
    </row>
    <row r="30" spans="11:19" x14ac:dyDescent="0.25">
      <c r="K30" s="168" t="s">
        <v>345</v>
      </c>
      <c r="L30" s="168">
        <f>SUM(L29/L26)</f>
        <v>4.9869440196795427</v>
      </c>
      <c r="M30" s="168">
        <f>SUM(M29/M26)</f>
        <v>4.8985337243401759</v>
      </c>
      <c r="N30" s="168">
        <f>SUM(N29/N26)</f>
        <v>4.7050986197587843</v>
      </c>
      <c r="O30" s="166"/>
      <c r="P30" s="161" t="s">
        <v>346</v>
      </c>
      <c r="Q30" s="160" t="s">
        <v>314</v>
      </c>
      <c r="R30" s="160">
        <v>352</v>
      </c>
      <c r="S30" s="162">
        <f t="shared" si="0"/>
        <v>0.7927927927927928</v>
      </c>
    </row>
    <row r="31" spans="11:19" x14ac:dyDescent="0.25">
      <c r="K31" s="166"/>
      <c r="L31" s="166"/>
      <c r="M31" s="166"/>
      <c r="N31" s="166"/>
      <c r="O31" s="166"/>
      <c r="P31" s="161" t="s">
        <v>347</v>
      </c>
      <c r="Q31" s="160" t="s">
        <v>314</v>
      </c>
      <c r="R31" s="160">
        <v>407</v>
      </c>
      <c r="S31" s="162">
        <f t="shared" si="0"/>
        <v>0.91666666666666663</v>
      </c>
    </row>
    <row r="32" spans="11:19" x14ac:dyDescent="0.25">
      <c r="K32" s="3" t="s">
        <v>348</v>
      </c>
      <c r="L32" s="166"/>
      <c r="M32" s="166"/>
      <c r="N32" s="166"/>
      <c r="O32" s="166"/>
      <c r="P32" s="161" t="s">
        <v>349</v>
      </c>
      <c r="Q32" s="160" t="s">
        <v>314</v>
      </c>
      <c r="R32" s="160">
        <v>364</v>
      </c>
      <c r="S32" s="162">
        <f t="shared" si="0"/>
        <v>0.81981981981981977</v>
      </c>
    </row>
    <row r="33" spans="16:19" x14ac:dyDescent="0.25">
      <c r="P33" s="161" t="s">
        <v>350</v>
      </c>
      <c r="Q33" s="160" t="s">
        <v>314</v>
      </c>
      <c r="R33" s="160">
        <v>246</v>
      </c>
      <c r="S33" s="162">
        <f t="shared" si="0"/>
        <v>0.55405405405405406</v>
      </c>
    </row>
    <row r="34" spans="16:19" x14ac:dyDescent="0.25">
      <c r="P34" s="161" t="s">
        <v>313</v>
      </c>
      <c r="Q34" s="160" t="s">
        <v>351</v>
      </c>
      <c r="R34" s="160">
        <v>264</v>
      </c>
      <c r="S34" s="162">
        <f t="shared" si="0"/>
        <v>0.59459459459459463</v>
      </c>
    </row>
    <row r="35" spans="16:19" x14ac:dyDescent="0.25">
      <c r="P35" s="161" t="s">
        <v>315</v>
      </c>
      <c r="Q35" s="160" t="s">
        <v>351</v>
      </c>
      <c r="R35" s="160">
        <v>271</v>
      </c>
      <c r="S35" s="162">
        <f t="shared" si="0"/>
        <v>0.61036036036036034</v>
      </c>
    </row>
    <row r="36" spans="16:19" x14ac:dyDescent="0.25">
      <c r="P36" s="161" t="s">
        <v>316</v>
      </c>
      <c r="Q36" s="160" t="s">
        <v>351</v>
      </c>
      <c r="R36" s="160">
        <v>418</v>
      </c>
      <c r="S36" s="162">
        <f t="shared" si="0"/>
        <v>0.94144144144144148</v>
      </c>
    </row>
    <row r="37" spans="16:19" x14ac:dyDescent="0.25">
      <c r="P37" s="161" t="s">
        <v>317</v>
      </c>
      <c r="Q37" s="160" t="s">
        <v>351</v>
      </c>
      <c r="R37" s="160">
        <v>417</v>
      </c>
      <c r="S37" s="162">
        <f t="shared" si="0"/>
        <v>0.93918918918918914</v>
      </c>
    </row>
    <row r="38" spans="16:19" x14ac:dyDescent="0.25">
      <c r="P38" s="161" t="s">
        <v>318</v>
      </c>
      <c r="Q38" s="160" t="s">
        <v>351</v>
      </c>
      <c r="R38" s="160">
        <v>349</v>
      </c>
      <c r="S38" s="162">
        <f t="shared" si="0"/>
        <v>0.786036036036036</v>
      </c>
    </row>
    <row r="39" spans="16:19" x14ac:dyDescent="0.25">
      <c r="P39" s="161" t="s">
        <v>319</v>
      </c>
      <c r="Q39" s="160" t="s">
        <v>351</v>
      </c>
      <c r="R39" s="160">
        <v>354</v>
      </c>
      <c r="S39" s="162">
        <f t="shared" si="0"/>
        <v>0.79729729729729726</v>
      </c>
    </row>
    <row r="40" spans="16:19" x14ac:dyDescent="0.25">
      <c r="P40" s="161" t="s">
        <v>320</v>
      </c>
      <c r="Q40" s="160" t="s">
        <v>351</v>
      </c>
      <c r="R40" s="160">
        <v>404</v>
      </c>
      <c r="S40" s="162">
        <f t="shared" si="0"/>
        <v>0.90990990990990994</v>
      </c>
    </row>
    <row r="41" spans="16:19" x14ac:dyDescent="0.25">
      <c r="P41" s="161" t="s">
        <v>321</v>
      </c>
      <c r="Q41" s="160" t="s">
        <v>351</v>
      </c>
      <c r="R41" s="160">
        <v>349</v>
      </c>
      <c r="S41" s="162">
        <f t="shared" si="0"/>
        <v>0.786036036036036</v>
      </c>
    </row>
    <row r="42" spans="16:19" x14ac:dyDescent="0.25">
      <c r="P42" s="161" t="s">
        <v>322</v>
      </c>
      <c r="Q42" s="160" t="s">
        <v>351</v>
      </c>
      <c r="R42" s="160">
        <v>296</v>
      </c>
      <c r="S42" s="162">
        <f t="shared" si="0"/>
        <v>0.66666666666666663</v>
      </c>
    </row>
    <row r="43" spans="16:19" x14ac:dyDescent="0.25">
      <c r="P43" s="161" t="s">
        <v>323</v>
      </c>
      <c r="Q43" s="160" t="s">
        <v>351</v>
      </c>
      <c r="R43" s="160">
        <v>290</v>
      </c>
      <c r="S43" s="162">
        <f t="shared" si="0"/>
        <v>0.65315315315315314</v>
      </c>
    </row>
    <row r="44" spans="16:19" x14ac:dyDescent="0.25">
      <c r="P44" s="161" t="s">
        <v>324</v>
      </c>
      <c r="Q44" s="160" t="s">
        <v>351</v>
      </c>
      <c r="R44" s="160">
        <v>232</v>
      </c>
      <c r="S44" s="162">
        <f t="shared" si="0"/>
        <v>0.52252252252252251</v>
      </c>
    </row>
    <row r="45" spans="16:19" x14ac:dyDescent="0.25">
      <c r="P45" s="161" t="s">
        <v>325</v>
      </c>
      <c r="Q45" s="160" t="s">
        <v>351</v>
      </c>
      <c r="R45" s="160">
        <v>267</v>
      </c>
      <c r="S45" s="162">
        <f t="shared" si="0"/>
        <v>0.60135135135135132</v>
      </c>
    </row>
    <row r="46" spans="16:19" x14ac:dyDescent="0.25">
      <c r="P46" s="161" t="s">
        <v>326</v>
      </c>
      <c r="Q46" s="160" t="s">
        <v>351</v>
      </c>
      <c r="R46" s="160">
        <v>329</v>
      </c>
      <c r="S46" s="162">
        <f t="shared" si="0"/>
        <v>0.74099099099099097</v>
      </c>
    </row>
    <row r="47" spans="16:19" x14ac:dyDescent="0.25">
      <c r="P47" s="161" t="s">
        <v>327</v>
      </c>
      <c r="Q47" s="160" t="s">
        <v>351</v>
      </c>
      <c r="R47" s="160">
        <v>377</v>
      </c>
      <c r="S47" s="162">
        <f t="shared" si="0"/>
        <v>0.84909909909909909</v>
      </c>
    </row>
    <row r="48" spans="16:19" x14ac:dyDescent="0.25">
      <c r="P48" s="161" t="s">
        <v>328</v>
      </c>
      <c r="Q48" s="160" t="s">
        <v>351</v>
      </c>
      <c r="R48" s="160">
        <v>435</v>
      </c>
      <c r="S48" s="162">
        <f t="shared" si="0"/>
        <v>0.97972972972972971</v>
      </c>
    </row>
    <row r="49" spans="16:19" x14ac:dyDescent="0.25">
      <c r="P49" s="161" t="s">
        <v>329</v>
      </c>
      <c r="Q49" s="160" t="s">
        <v>351</v>
      </c>
      <c r="R49" s="160">
        <v>425</v>
      </c>
      <c r="S49" s="162">
        <f t="shared" si="0"/>
        <v>0.9572072072072072</v>
      </c>
    </row>
    <row r="50" spans="16:19" x14ac:dyDescent="0.25">
      <c r="P50" s="161" t="s">
        <v>330</v>
      </c>
      <c r="Q50" s="160" t="s">
        <v>351</v>
      </c>
      <c r="R50" s="160">
        <v>317</v>
      </c>
      <c r="S50" s="162">
        <f t="shared" si="0"/>
        <v>0.713963963963964</v>
      </c>
    </row>
    <row r="51" spans="16:19" x14ac:dyDescent="0.25">
      <c r="P51" s="161" t="s">
        <v>331</v>
      </c>
      <c r="Q51" s="160" t="s">
        <v>351</v>
      </c>
      <c r="R51" s="160">
        <v>317</v>
      </c>
      <c r="S51" s="162">
        <f t="shared" si="0"/>
        <v>0.713963963963964</v>
      </c>
    </row>
    <row r="52" spans="16:19" x14ac:dyDescent="0.25">
      <c r="P52" s="161" t="s">
        <v>332</v>
      </c>
      <c r="Q52" s="160" t="s">
        <v>351</v>
      </c>
      <c r="R52" s="160">
        <v>436</v>
      </c>
      <c r="S52" s="162">
        <f t="shared" si="0"/>
        <v>0.98198198198198194</v>
      </c>
    </row>
    <row r="53" spans="16:19" x14ac:dyDescent="0.25">
      <c r="P53" s="161" t="s">
        <v>333</v>
      </c>
      <c r="Q53" s="160" t="s">
        <v>351</v>
      </c>
      <c r="R53" s="160">
        <v>432</v>
      </c>
      <c r="S53" s="162">
        <f t="shared" si="0"/>
        <v>0.97297297297297303</v>
      </c>
    </row>
    <row r="54" spans="16:19" x14ac:dyDescent="0.25">
      <c r="P54" s="161" t="s">
        <v>334</v>
      </c>
      <c r="Q54" s="160" t="s">
        <v>351</v>
      </c>
      <c r="R54" s="160">
        <v>369</v>
      </c>
      <c r="S54" s="162">
        <f t="shared" si="0"/>
        <v>0.83108108108108103</v>
      </c>
    </row>
    <row r="55" spans="16:19" x14ac:dyDescent="0.25">
      <c r="P55" s="161" t="s">
        <v>335</v>
      </c>
      <c r="Q55" s="160" t="s">
        <v>351</v>
      </c>
      <c r="R55" s="160">
        <v>388</v>
      </c>
      <c r="S55" s="162">
        <f t="shared" si="0"/>
        <v>0.87387387387387383</v>
      </c>
    </row>
    <row r="56" spans="16:19" x14ac:dyDescent="0.25">
      <c r="P56" s="161" t="s">
        <v>336</v>
      </c>
      <c r="Q56" s="160" t="s">
        <v>351</v>
      </c>
      <c r="R56" s="160">
        <v>364</v>
      </c>
      <c r="S56" s="162">
        <f t="shared" si="0"/>
        <v>0.81981981981981977</v>
      </c>
    </row>
    <row r="57" spans="16:19" x14ac:dyDescent="0.25">
      <c r="P57" s="161" t="s">
        <v>338</v>
      </c>
      <c r="Q57" s="160" t="s">
        <v>351</v>
      </c>
      <c r="R57" s="160">
        <v>382</v>
      </c>
      <c r="S57" s="162">
        <f t="shared" si="0"/>
        <v>0.86036036036036034</v>
      </c>
    </row>
    <row r="58" spans="16:19" x14ac:dyDescent="0.25">
      <c r="P58" s="161" t="s">
        <v>340</v>
      </c>
      <c r="Q58" s="160" t="s">
        <v>351</v>
      </c>
      <c r="R58" s="160">
        <v>334</v>
      </c>
      <c r="S58" s="162">
        <f t="shared" si="0"/>
        <v>0.75225225225225223</v>
      </c>
    </row>
    <row r="59" spans="16:19" x14ac:dyDescent="0.25">
      <c r="P59" s="161" t="s">
        <v>342</v>
      </c>
      <c r="Q59" s="160" t="s">
        <v>351</v>
      </c>
      <c r="R59" s="160">
        <v>389</v>
      </c>
      <c r="S59" s="162">
        <f t="shared" si="0"/>
        <v>0.87612612612612617</v>
      </c>
    </row>
    <row r="60" spans="16:19" x14ac:dyDescent="0.25">
      <c r="P60" s="161" t="s">
        <v>344</v>
      </c>
      <c r="Q60" s="160" t="s">
        <v>351</v>
      </c>
      <c r="R60" s="160">
        <v>355</v>
      </c>
      <c r="S60" s="162">
        <f t="shared" si="0"/>
        <v>0.7995495495495496</v>
      </c>
    </row>
    <row r="61" spans="16:19" x14ac:dyDescent="0.25">
      <c r="P61" s="161" t="s">
        <v>346</v>
      </c>
      <c r="Q61" s="160" t="s">
        <v>351</v>
      </c>
      <c r="R61" s="160">
        <v>274</v>
      </c>
      <c r="S61" s="162">
        <f t="shared" si="0"/>
        <v>0.61711711711711714</v>
      </c>
    </row>
    <row r="62" spans="16:19" x14ac:dyDescent="0.25">
      <c r="P62" s="161" t="s">
        <v>347</v>
      </c>
      <c r="Q62" s="160" t="s">
        <v>351</v>
      </c>
      <c r="R62" s="160">
        <v>284</v>
      </c>
      <c r="S62" s="162">
        <f t="shared" si="0"/>
        <v>0.63963963963963966</v>
      </c>
    </row>
    <row r="63" spans="16:19" x14ac:dyDescent="0.25">
      <c r="P63" s="161" t="s">
        <v>313</v>
      </c>
      <c r="Q63" s="160" t="s">
        <v>352</v>
      </c>
      <c r="R63" s="160">
        <v>260</v>
      </c>
      <c r="S63" s="162">
        <f t="shared" si="0"/>
        <v>0.5855855855855856</v>
      </c>
    </row>
    <row r="64" spans="16:19" x14ac:dyDescent="0.25">
      <c r="P64" s="161" t="s">
        <v>315</v>
      </c>
      <c r="Q64" s="160" t="s">
        <v>352</v>
      </c>
      <c r="R64" s="160">
        <v>311</v>
      </c>
      <c r="S64" s="162">
        <f t="shared" si="0"/>
        <v>0.7004504504504504</v>
      </c>
    </row>
    <row r="65" spans="16:19" x14ac:dyDescent="0.25">
      <c r="P65" s="161" t="s">
        <v>316</v>
      </c>
      <c r="Q65" s="160" t="s">
        <v>352</v>
      </c>
      <c r="R65" s="160">
        <v>314</v>
      </c>
      <c r="S65" s="162">
        <f t="shared" si="0"/>
        <v>0.7072072072072072</v>
      </c>
    </row>
    <row r="66" spans="16:19" x14ac:dyDescent="0.25">
      <c r="P66" s="161" t="s">
        <v>317</v>
      </c>
      <c r="Q66" s="160" t="s">
        <v>352</v>
      </c>
      <c r="R66" s="160">
        <v>368</v>
      </c>
      <c r="S66" s="162">
        <f t="shared" si="0"/>
        <v>0.8288288288288288</v>
      </c>
    </row>
    <row r="67" spans="16:19" x14ac:dyDescent="0.25">
      <c r="P67" s="161" t="s">
        <v>318</v>
      </c>
      <c r="Q67" s="160" t="s">
        <v>352</v>
      </c>
      <c r="R67" s="160">
        <v>332</v>
      </c>
      <c r="S67" s="162">
        <f t="shared" si="0"/>
        <v>0.74774774774774777</v>
      </c>
    </row>
    <row r="68" spans="16:19" x14ac:dyDescent="0.25">
      <c r="P68" s="161" t="s">
        <v>319</v>
      </c>
      <c r="Q68" s="160" t="s">
        <v>352</v>
      </c>
      <c r="R68" s="160">
        <v>291</v>
      </c>
      <c r="S68" s="162">
        <f t="shared" ref="S68:S131" si="3">+R68/444</f>
        <v>0.65540540540540537</v>
      </c>
    </row>
    <row r="69" spans="16:19" x14ac:dyDescent="0.25">
      <c r="P69" s="161" t="s">
        <v>320</v>
      </c>
      <c r="Q69" s="160" t="s">
        <v>352</v>
      </c>
      <c r="R69" s="160">
        <v>220</v>
      </c>
      <c r="S69" s="162">
        <f t="shared" si="3"/>
        <v>0.49549549549549549</v>
      </c>
    </row>
    <row r="70" spans="16:19" x14ac:dyDescent="0.25">
      <c r="P70" s="161" t="s">
        <v>321</v>
      </c>
      <c r="Q70" s="160" t="s">
        <v>352</v>
      </c>
      <c r="R70" s="160">
        <v>204</v>
      </c>
      <c r="S70" s="162">
        <f t="shared" si="3"/>
        <v>0.45945945945945948</v>
      </c>
    </row>
    <row r="71" spans="16:19" x14ac:dyDescent="0.25">
      <c r="P71" s="161" t="s">
        <v>322</v>
      </c>
      <c r="Q71" s="160" t="s">
        <v>352</v>
      </c>
      <c r="R71" s="160">
        <v>229</v>
      </c>
      <c r="S71" s="162">
        <f t="shared" si="3"/>
        <v>0.51576576576576572</v>
      </c>
    </row>
    <row r="72" spans="16:19" x14ac:dyDescent="0.25">
      <c r="P72" s="161" t="s">
        <v>323</v>
      </c>
      <c r="Q72" s="160" t="s">
        <v>352</v>
      </c>
      <c r="R72" s="160">
        <v>210</v>
      </c>
      <c r="S72" s="162">
        <f t="shared" si="3"/>
        <v>0.47297297297297297</v>
      </c>
    </row>
    <row r="73" spans="16:19" x14ac:dyDescent="0.25">
      <c r="P73" s="161" t="s">
        <v>324</v>
      </c>
      <c r="Q73" s="160" t="s">
        <v>352</v>
      </c>
      <c r="R73" s="160">
        <v>198</v>
      </c>
      <c r="S73" s="162">
        <f t="shared" si="3"/>
        <v>0.44594594594594594</v>
      </c>
    </row>
    <row r="74" spans="16:19" x14ac:dyDescent="0.25">
      <c r="P74" s="161" t="s">
        <v>325</v>
      </c>
      <c r="Q74" s="160" t="s">
        <v>352</v>
      </c>
      <c r="R74" s="160">
        <v>207</v>
      </c>
      <c r="S74" s="162">
        <f t="shared" si="3"/>
        <v>0.46621621621621623</v>
      </c>
    </row>
    <row r="75" spans="16:19" x14ac:dyDescent="0.25">
      <c r="P75" s="161" t="s">
        <v>326</v>
      </c>
      <c r="Q75" s="160" t="s">
        <v>352</v>
      </c>
      <c r="R75" s="160">
        <v>234</v>
      </c>
      <c r="S75" s="162">
        <f t="shared" si="3"/>
        <v>0.52702702702702697</v>
      </c>
    </row>
    <row r="76" spans="16:19" x14ac:dyDescent="0.25">
      <c r="P76" s="161" t="s">
        <v>327</v>
      </c>
      <c r="Q76" s="160" t="s">
        <v>352</v>
      </c>
      <c r="R76" s="160">
        <v>180</v>
      </c>
      <c r="S76" s="162">
        <f t="shared" si="3"/>
        <v>0.40540540540540543</v>
      </c>
    </row>
    <row r="77" spans="16:19" x14ac:dyDescent="0.25">
      <c r="P77" s="161" t="s">
        <v>328</v>
      </c>
      <c r="Q77" s="160" t="s">
        <v>352</v>
      </c>
      <c r="R77" s="160">
        <v>96</v>
      </c>
      <c r="S77" s="162">
        <f t="shared" si="3"/>
        <v>0.21621621621621623</v>
      </c>
    </row>
    <row r="78" spans="16:19" x14ac:dyDescent="0.25">
      <c r="P78" s="161" t="s">
        <v>329</v>
      </c>
      <c r="Q78" s="160" t="s">
        <v>352</v>
      </c>
      <c r="R78" s="160">
        <v>61</v>
      </c>
      <c r="S78" s="162">
        <f t="shared" si="3"/>
        <v>0.1373873873873874</v>
      </c>
    </row>
    <row r="79" spans="16:19" x14ac:dyDescent="0.25">
      <c r="P79" s="161" t="s">
        <v>330</v>
      </c>
      <c r="Q79" s="160" t="s">
        <v>352</v>
      </c>
      <c r="R79" s="160">
        <v>58</v>
      </c>
      <c r="S79" s="162">
        <f t="shared" si="3"/>
        <v>0.13063063063063063</v>
      </c>
    </row>
    <row r="80" spans="16:19" x14ac:dyDescent="0.25">
      <c r="P80" s="161" t="s">
        <v>331</v>
      </c>
      <c r="Q80" s="160" t="s">
        <v>352</v>
      </c>
      <c r="R80" s="160">
        <v>49</v>
      </c>
      <c r="S80" s="162">
        <f t="shared" si="3"/>
        <v>0.11036036036036036</v>
      </c>
    </row>
    <row r="81" spans="16:19" x14ac:dyDescent="0.25">
      <c r="P81" s="161" t="s">
        <v>332</v>
      </c>
      <c r="Q81" s="160" t="s">
        <v>352</v>
      </c>
      <c r="R81" s="160">
        <v>32</v>
      </c>
      <c r="S81" s="162">
        <f t="shared" si="3"/>
        <v>7.2072072072072071E-2</v>
      </c>
    </row>
    <row r="82" spans="16:19" x14ac:dyDescent="0.25">
      <c r="P82" s="161" t="s">
        <v>333</v>
      </c>
      <c r="Q82" s="160" t="s">
        <v>352</v>
      </c>
      <c r="R82" s="160">
        <v>23</v>
      </c>
      <c r="S82" s="162">
        <f t="shared" si="3"/>
        <v>5.18018018018018E-2</v>
      </c>
    </row>
    <row r="83" spans="16:19" x14ac:dyDescent="0.25">
      <c r="P83" s="161" t="s">
        <v>334</v>
      </c>
      <c r="Q83" s="160" t="s">
        <v>352</v>
      </c>
      <c r="R83" s="160">
        <v>14</v>
      </c>
      <c r="S83" s="162">
        <f t="shared" si="3"/>
        <v>3.1531531531531529E-2</v>
      </c>
    </row>
    <row r="84" spans="16:19" x14ac:dyDescent="0.25">
      <c r="P84" s="161" t="s">
        <v>335</v>
      </c>
      <c r="Q84" s="160" t="s">
        <v>352</v>
      </c>
      <c r="R84" s="160">
        <v>5</v>
      </c>
      <c r="S84" s="162">
        <f t="shared" si="3"/>
        <v>1.1261261261261261E-2</v>
      </c>
    </row>
    <row r="85" spans="16:19" x14ac:dyDescent="0.25">
      <c r="P85" s="161" t="s">
        <v>336</v>
      </c>
      <c r="Q85" s="160" t="s">
        <v>352</v>
      </c>
      <c r="R85" s="160">
        <v>0</v>
      </c>
      <c r="S85" s="162">
        <f t="shared" si="3"/>
        <v>0</v>
      </c>
    </row>
    <row r="86" spans="16:19" x14ac:dyDescent="0.25">
      <c r="P86" s="161" t="s">
        <v>338</v>
      </c>
      <c r="Q86" s="160" t="s">
        <v>352</v>
      </c>
      <c r="R86" s="160">
        <v>0</v>
      </c>
      <c r="S86" s="162">
        <f t="shared" si="3"/>
        <v>0</v>
      </c>
    </row>
    <row r="87" spans="16:19" x14ac:dyDescent="0.25">
      <c r="P87" s="161" t="s">
        <v>340</v>
      </c>
      <c r="Q87" s="160" t="s">
        <v>352</v>
      </c>
      <c r="R87" s="160">
        <v>0</v>
      </c>
      <c r="S87" s="162">
        <f t="shared" si="3"/>
        <v>0</v>
      </c>
    </row>
    <row r="88" spans="16:19" x14ac:dyDescent="0.25">
      <c r="P88" s="161" t="s">
        <v>342</v>
      </c>
      <c r="Q88" s="160" t="s">
        <v>352</v>
      </c>
      <c r="R88" s="160">
        <v>0</v>
      </c>
      <c r="S88" s="162">
        <f t="shared" si="3"/>
        <v>0</v>
      </c>
    </row>
    <row r="89" spans="16:19" x14ac:dyDescent="0.25">
      <c r="P89" s="161" t="s">
        <v>344</v>
      </c>
      <c r="Q89" s="160" t="s">
        <v>352</v>
      </c>
      <c r="R89" s="160">
        <v>0</v>
      </c>
      <c r="S89" s="162">
        <f t="shared" si="3"/>
        <v>0</v>
      </c>
    </row>
    <row r="90" spans="16:19" x14ac:dyDescent="0.25">
      <c r="P90" s="161" t="s">
        <v>346</v>
      </c>
      <c r="Q90" s="160" t="s">
        <v>352</v>
      </c>
      <c r="R90" s="160">
        <v>0</v>
      </c>
      <c r="S90" s="162">
        <f t="shared" si="3"/>
        <v>0</v>
      </c>
    </row>
    <row r="91" spans="16:19" x14ac:dyDescent="0.25">
      <c r="P91" s="161" t="s">
        <v>347</v>
      </c>
      <c r="Q91" s="160" t="s">
        <v>352</v>
      </c>
      <c r="R91" s="160">
        <v>0</v>
      </c>
      <c r="S91" s="162">
        <f t="shared" si="3"/>
        <v>0</v>
      </c>
    </row>
    <row r="92" spans="16:19" x14ac:dyDescent="0.25">
      <c r="P92" s="161" t="s">
        <v>349</v>
      </c>
      <c r="Q92" s="160" t="s">
        <v>352</v>
      </c>
      <c r="R92" s="160">
        <v>0</v>
      </c>
      <c r="S92" s="162">
        <f t="shared" si="3"/>
        <v>0</v>
      </c>
    </row>
    <row r="93" spans="16:19" x14ac:dyDescent="0.25">
      <c r="P93" s="161" t="s">
        <v>350</v>
      </c>
      <c r="Q93" s="160" t="s">
        <v>352</v>
      </c>
      <c r="R93" s="160">
        <v>0</v>
      </c>
      <c r="S93" s="162">
        <f t="shared" si="3"/>
        <v>0</v>
      </c>
    </row>
    <row r="94" spans="16:19" x14ac:dyDescent="0.25">
      <c r="P94" s="161" t="s">
        <v>313</v>
      </c>
      <c r="Q94" s="160" t="s">
        <v>353</v>
      </c>
      <c r="R94" s="160">
        <v>0</v>
      </c>
      <c r="S94" s="162">
        <f t="shared" si="3"/>
        <v>0</v>
      </c>
    </row>
    <row r="95" spans="16:19" x14ac:dyDescent="0.25">
      <c r="P95" s="161" t="s">
        <v>315</v>
      </c>
      <c r="Q95" s="160" t="s">
        <v>353</v>
      </c>
      <c r="R95" s="160">
        <v>0</v>
      </c>
      <c r="S95" s="162">
        <f t="shared" si="3"/>
        <v>0</v>
      </c>
    </row>
    <row r="96" spans="16:19" x14ac:dyDescent="0.25">
      <c r="P96" s="161" t="s">
        <v>316</v>
      </c>
      <c r="Q96" s="160" t="s">
        <v>353</v>
      </c>
      <c r="R96" s="160">
        <v>0</v>
      </c>
      <c r="S96" s="162">
        <f t="shared" si="3"/>
        <v>0</v>
      </c>
    </row>
    <row r="97" spans="16:19" x14ac:dyDescent="0.25">
      <c r="P97" s="161" t="s">
        <v>317</v>
      </c>
      <c r="Q97" s="160" t="s">
        <v>353</v>
      </c>
      <c r="R97" s="160">
        <v>0</v>
      </c>
      <c r="S97" s="162">
        <f t="shared" si="3"/>
        <v>0</v>
      </c>
    </row>
    <row r="98" spans="16:19" x14ac:dyDescent="0.25">
      <c r="P98" s="161" t="s">
        <v>318</v>
      </c>
      <c r="Q98" s="160" t="s">
        <v>353</v>
      </c>
      <c r="R98" s="160">
        <v>0</v>
      </c>
      <c r="S98" s="162">
        <f t="shared" si="3"/>
        <v>0</v>
      </c>
    </row>
    <row r="99" spans="16:19" x14ac:dyDescent="0.25">
      <c r="P99" s="161" t="s">
        <v>319</v>
      </c>
      <c r="Q99" s="160" t="s">
        <v>353</v>
      </c>
      <c r="R99" s="160">
        <v>0</v>
      </c>
      <c r="S99" s="162">
        <f t="shared" si="3"/>
        <v>0</v>
      </c>
    </row>
    <row r="100" spans="16:19" x14ac:dyDescent="0.25">
      <c r="P100" s="161" t="s">
        <v>320</v>
      </c>
      <c r="Q100" s="160" t="s">
        <v>353</v>
      </c>
      <c r="R100" s="160">
        <v>0</v>
      </c>
      <c r="S100" s="162">
        <f t="shared" si="3"/>
        <v>0</v>
      </c>
    </row>
    <row r="101" spans="16:19" x14ac:dyDescent="0.25">
      <c r="P101" s="161" t="s">
        <v>321</v>
      </c>
      <c r="Q101" s="160" t="s">
        <v>353</v>
      </c>
      <c r="R101" s="160">
        <v>0</v>
      </c>
      <c r="S101" s="162">
        <f t="shared" si="3"/>
        <v>0</v>
      </c>
    </row>
    <row r="102" spans="16:19" x14ac:dyDescent="0.25">
      <c r="P102" s="161" t="s">
        <v>322</v>
      </c>
      <c r="Q102" s="160" t="s">
        <v>353</v>
      </c>
      <c r="R102" s="160">
        <v>0</v>
      </c>
      <c r="S102" s="162">
        <f t="shared" si="3"/>
        <v>0</v>
      </c>
    </row>
    <row r="103" spans="16:19" x14ac:dyDescent="0.25">
      <c r="P103" s="161" t="s">
        <v>323</v>
      </c>
      <c r="Q103" s="160" t="s">
        <v>353</v>
      </c>
      <c r="R103" s="160">
        <v>0</v>
      </c>
      <c r="S103" s="162">
        <f t="shared" si="3"/>
        <v>0</v>
      </c>
    </row>
    <row r="104" spans="16:19" x14ac:dyDescent="0.25">
      <c r="P104" s="161" t="s">
        <v>324</v>
      </c>
      <c r="Q104" s="160" t="s">
        <v>353</v>
      </c>
      <c r="R104" s="160">
        <v>0</v>
      </c>
      <c r="S104" s="162">
        <f t="shared" si="3"/>
        <v>0</v>
      </c>
    </row>
    <row r="105" spans="16:19" x14ac:dyDescent="0.25">
      <c r="P105" s="161" t="s">
        <v>325</v>
      </c>
      <c r="Q105" s="160" t="s">
        <v>353</v>
      </c>
      <c r="R105" s="160">
        <v>0</v>
      </c>
      <c r="S105" s="162">
        <f t="shared" si="3"/>
        <v>0</v>
      </c>
    </row>
    <row r="106" spans="16:19" x14ac:dyDescent="0.25">
      <c r="P106" s="161" t="s">
        <v>326</v>
      </c>
      <c r="Q106" s="160" t="s">
        <v>353</v>
      </c>
      <c r="R106" s="160">
        <v>0</v>
      </c>
      <c r="S106" s="162">
        <f t="shared" si="3"/>
        <v>0</v>
      </c>
    </row>
    <row r="107" spans="16:19" x14ac:dyDescent="0.25">
      <c r="P107" s="161" t="s">
        <v>327</v>
      </c>
      <c r="Q107" s="160" t="s">
        <v>353</v>
      </c>
      <c r="R107" s="160">
        <v>0</v>
      </c>
      <c r="S107" s="162">
        <f t="shared" si="3"/>
        <v>0</v>
      </c>
    </row>
    <row r="108" spans="16:19" x14ac:dyDescent="0.25">
      <c r="P108" s="161" t="s">
        <v>328</v>
      </c>
      <c r="Q108" s="160" t="s">
        <v>353</v>
      </c>
      <c r="R108" s="160">
        <v>0</v>
      </c>
      <c r="S108" s="162">
        <f t="shared" si="3"/>
        <v>0</v>
      </c>
    </row>
    <row r="109" spans="16:19" x14ac:dyDescent="0.25">
      <c r="P109" s="161" t="s">
        <v>329</v>
      </c>
      <c r="Q109" s="160" t="s">
        <v>353</v>
      </c>
      <c r="R109" s="160">
        <v>0</v>
      </c>
      <c r="S109" s="162">
        <f t="shared" si="3"/>
        <v>0</v>
      </c>
    </row>
    <row r="110" spans="16:19" x14ac:dyDescent="0.25">
      <c r="P110" s="161" t="s">
        <v>330</v>
      </c>
      <c r="Q110" s="160" t="s">
        <v>353</v>
      </c>
      <c r="R110" s="160">
        <v>0</v>
      </c>
      <c r="S110" s="162">
        <f t="shared" si="3"/>
        <v>0</v>
      </c>
    </row>
    <row r="111" spans="16:19" x14ac:dyDescent="0.25">
      <c r="P111" s="161" t="s">
        <v>331</v>
      </c>
      <c r="Q111" s="160" t="s">
        <v>353</v>
      </c>
      <c r="R111" s="160">
        <v>0</v>
      </c>
      <c r="S111" s="162">
        <f t="shared" si="3"/>
        <v>0</v>
      </c>
    </row>
    <row r="112" spans="16:19" x14ac:dyDescent="0.25">
      <c r="P112" s="161" t="s">
        <v>332</v>
      </c>
      <c r="Q112" s="160" t="s">
        <v>353</v>
      </c>
      <c r="R112" s="160">
        <v>0</v>
      </c>
      <c r="S112" s="162">
        <f t="shared" si="3"/>
        <v>0</v>
      </c>
    </row>
    <row r="113" spans="16:19" x14ac:dyDescent="0.25">
      <c r="P113" s="161" t="s">
        <v>333</v>
      </c>
      <c r="Q113" s="160" t="s">
        <v>353</v>
      </c>
      <c r="R113" s="160">
        <v>0</v>
      </c>
      <c r="S113" s="162">
        <f t="shared" si="3"/>
        <v>0</v>
      </c>
    </row>
    <row r="114" spans="16:19" x14ac:dyDescent="0.25">
      <c r="P114" s="161" t="s">
        <v>334</v>
      </c>
      <c r="Q114" s="160" t="s">
        <v>353</v>
      </c>
      <c r="R114" s="160">
        <v>0</v>
      </c>
      <c r="S114" s="162">
        <f t="shared" si="3"/>
        <v>0</v>
      </c>
    </row>
    <row r="115" spans="16:19" x14ac:dyDescent="0.25">
      <c r="P115" s="161" t="s">
        <v>335</v>
      </c>
      <c r="Q115" s="160" t="s">
        <v>353</v>
      </c>
      <c r="R115" s="160">
        <v>0</v>
      </c>
      <c r="S115" s="162">
        <f t="shared" si="3"/>
        <v>0</v>
      </c>
    </row>
    <row r="116" spans="16:19" x14ac:dyDescent="0.25">
      <c r="P116" s="161" t="s">
        <v>336</v>
      </c>
      <c r="Q116" s="160" t="s">
        <v>353</v>
      </c>
      <c r="R116" s="160">
        <v>0</v>
      </c>
      <c r="S116" s="162">
        <f t="shared" si="3"/>
        <v>0</v>
      </c>
    </row>
    <row r="117" spans="16:19" x14ac:dyDescent="0.25">
      <c r="P117" s="161" t="s">
        <v>338</v>
      </c>
      <c r="Q117" s="160" t="s">
        <v>353</v>
      </c>
      <c r="R117" s="160">
        <v>0</v>
      </c>
      <c r="S117" s="162">
        <f t="shared" si="3"/>
        <v>0</v>
      </c>
    </row>
    <row r="118" spans="16:19" x14ac:dyDescent="0.25">
      <c r="P118" s="161" t="s">
        <v>340</v>
      </c>
      <c r="Q118" s="160" t="s">
        <v>353</v>
      </c>
      <c r="R118" s="160">
        <v>0</v>
      </c>
      <c r="S118" s="162">
        <f t="shared" si="3"/>
        <v>0</v>
      </c>
    </row>
    <row r="119" spans="16:19" x14ac:dyDescent="0.25">
      <c r="P119" s="161" t="s">
        <v>342</v>
      </c>
      <c r="Q119" s="160" t="s">
        <v>353</v>
      </c>
      <c r="R119" s="160">
        <v>0</v>
      </c>
      <c r="S119" s="162">
        <f t="shared" si="3"/>
        <v>0</v>
      </c>
    </row>
    <row r="120" spans="16:19" x14ac:dyDescent="0.25">
      <c r="P120" s="161" t="s">
        <v>344</v>
      </c>
      <c r="Q120" s="160" t="s">
        <v>353</v>
      </c>
      <c r="R120" s="160">
        <v>0</v>
      </c>
      <c r="S120" s="162">
        <f t="shared" si="3"/>
        <v>0</v>
      </c>
    </row>
    <row r="121" spans="16:19" x14ac:dyDescent="0.25">
      <c r="P121" s="161" t="s">
        <v>346</v>
      </c>
      <c r="Q121" s="160" t="s">
        <v>353</v>
      </c>
      <c r="R121" s="160">
        <v>0</v>
      </c>
      <c r="S121" s="162">
        <f t="shared" si="3"/>
        <v>0</v>
      </c>
    </row>
    <row r="122" spans="16:19" x14ac:dyDescent="0.25">
      <c r="P122" s="161" t="s">
        <v>347</v>
      </c>
      <c r="Q122" s="160" t="s">
        <v>353</v>
      </c>
      <c r="R122" s="160">
        <v>0</v>
      </c>
      <c r="S122" s="162">
        <f t="shared" si="3"/>
        <v>0</v>
      </c>
    </row>
    <row r="123" spans="16:19" x14ac:dyDescent="0.25">
      <c r="P123" s="161" t="s">
        <v>349</v>
      </c>
      <c r="Q123" s="160" t="s">
        <v>353</v>
      </c>
      <c r="R123" s="160">
        <v>0</v>
      </c>
      <c r="S123" s="162">
        <f t="shared" si="3"/>
        <v>0</v>
      </c>
    </row>
    <row r="124" spans="16:19" x14ac:dyDescent="0.25">
      <c r="P124" s="161" t="s">
        <v>313</v>
      </c>
      <c r="Q124" s="160" t="s">
        <v>354</v>
      </c>
      <c r="R124" s="160">
        <v>0</v>
      </c>
      <c r="S124" s="162">
        <f t="shared" si="3"/>
        <v>0</v>
      </c>
    </row>
    <row r="125" spans="16:19" x14ac:dyDescent="0.25">
      <c r="P125" s="161" t="s">
        <v>315</v>
      </c>
      <c r="Q125" s="160" t="s">
        <v>354</v>
      </c>
      <c r="R125" s="160">
        <v>0</v>
      </c>
      <c r="S125" s="162">
        <f t="shared" si="3"/>
        <v>0</v>
      </c>
    </row>
    <row r="126" spans="16:19" x14ac:dyDescent="0.25">
      <c r="P126" s="161" t="s">
        <v>316</v>
      </c>
      <c r="Q126" s="160" t="s">
        <v>354</v>
      </c>
      <c r="R126" s="160">
        <v>0</v>
      </c>
      <c r="S126" s="162">
        <f t="shared" si="3"/>
        <v>0</v>
      </c>
    </row>
    <row r="127" spans="16:19" x14ac:dyDescent="0.25">
      <c r="P127" s="161" t="s">
        <v>317</v>
      </c>
      <c r="Q127" s="160" t="s">
        <v>354</v>
      </c>
      <c r="R127" s="160">
        <v>0</v>
      </c>
      <c r="S127" s="162">
        <f t="shared" si="3"/>
        <v>0</v>
      </c>
    </row>
    <row r="128" spans="16:19" x14ac:dyDescent="0.25">
      <c r="P128" s="161" t="s">
        <v>318</v>
      </c>
      <c r="Q128" s="160" t="s">
        <v>354</v>
      </c>
      <c r="R128" s="160">
        <v>0</v>
      </c>
      <c r="S128" s="162">
        <f t="shared" si="3"/>
        <v>0</v>
      </c>
    </row>
    <row r="129" spans="16:19" x14ac:dyDescent="0.25">
      <c r="P129" s="161" t="s">
        <v>319</v>
      </c>
      <c r="Q129" s="160" t="s">
        <v>354</v>
      </c>
      <c r="R129" s="160">
        <v>0</v>
      </c>
      <c r="S129" s="162">
        <f t="shared" si="3"/>
        <v>0</v>
      </c>
    </row>
    <row r="130" spans="16:19" x14ac:dyDescent="0.25">
      <c r="P130" s="161" t="s">
        <v>320</v>
      </c>
      <c r="Q130" s="160" t="s">
        <v>354</v>
      </c>
      <c r="R130" s="160">
        <v>0</v>
      </c>
      <c r="S130" s="162">
        <f t="shared" si="3"/>
        <v>0</v>
      </c>
    </row>
    <row r="131" spans="16:19" x14ac:dyDescent="0.25">
      <c r="P131" s="161" t="s">
        <v>321</v>
      </c>
      <c r="Q131" s="160" t="s">
        <v>354</v>
      </c>
      <c r="R131" s="160">
        <v>0</v>
      </c>
      <c r="S131" s="162">
        <f t="shared" si="3"/>
        <v>0</v>
      </c>
    </row>
    <row r="132" spans="16:19" x14ac:dyDescent="0.25">
      <c r="P132" s="161" t="s">
        <v>322</v>
      </c>
      <c r="Q132" s="160" t="s">
        <v>354</v>
      </c>
      <c r="R132" s="160">
        <v>0</v>
      </c>
      <c r="S132" s="162">
        <f t="shared" ref="S132:S195" si="4">+R132/444</f>
        <v>0</v>
      </c>
    </row>
    <row r="133" spans="16:19" x14ac:dyDescent="0.25">
      <c r="P133" s="161" t="s">
        <v>323</v>
      </c>
      <c r="Q133" s="160" t="s">
        <v>354</v>
      </c>
      <c r="R133" s="160">
        <v>0</v>
      </c>
      <c r="S133" s="162">
        <f t="shared" si="4"/>
        <v>0</v>
      </c>
    </row>
    <row r="134" spans="16:19" x14ac:dyDescent="0.25">
      <c r="P134" s="161" t="s">
        <v>324</v>
      </c>
      <c r="Q134" s="160" t="s">
        <v>354</v>
      </c>
      <c r="R134" s="160">
        <v>0</v>
      </c>
      <c r="S134" s="162">
        <f t="shared" si="4"/>
        <v>0</v>
      </c>
    </row>
    <row r="135" spans="16:19" x14ac:dyDescent="0.25">
      <c r="P135" s="161" t="s">
        <v>325</v>
      </c>
      <c r="Q135" s="160" t="s">
        <v>354</v>
      </c>
      <c r="R135" s="160">
        <v>0</v>
      </c>
      <c r="S135" s="162">
        <f t="shared" si="4"/>
        <v>0</v>
      </c>
    </row>
    <row r="136" spans="16:19" x14ac:dyDescent="0.25">
      <c r="P136" s="161" t="s">
        <v>326</v>
      </c>
      <c r="Q136" s="160" t="s">
        <v>354</v>
      </c>
      <c r="R136" s="160">
        <v>0</v>
      </c>
      <c r="S136" s="162">
        <f t="shared" si="4"/>
        <v>0</v>
      </c>
    </row>
    <row r="137" spans="16:19" x14ac:dyDescent="0.25">
      <c r="P137" s="161" t="s">
        <v>327</v>
      </c>
      <c r="Q137" s="160" t="s">
        <v>354</v>
      </c>
      <c r="R137" s="160">
        <v>0</v>
      </c>
      <c r="S137" s="162">
        <f t="shared" si="4"/>
        <v>0</v>
      </c>
    </row>
    <row r="138" spans="16:19" x14ac:dyDescent="0.25">
      <c r="P138" s="161" t="s">
        <v>328</v>
      </c>
      <c r="Q138" s="160" t="s">
        <v>354</v>
      </c>
      <c r="R138" s="160">
        <v>0</v>
      </c>
      <c r="S138" s="162">
        <f t="shared" si="4"/>
        <v>0</v>
      </c>
    </row>
    <row r="139" spans="16:19" x14ac:dyDescent="0.25">
      <c r="P139" s="161" t="s">
        <v>329</v>
      </c>
      <c r="Q139" s="160" t="s">
        <v>354</v>
      </c>
      <c r="R139" s="160">
        <v>0</v>
      </c>
      <c r="S139" s="162">
        <f t="shared" si="4"/>
        <v>0</v>
      </c>
    </row>
    <row r="140" spans="16:19" x14ac:dyDescent="0.25">
      <c r="P140" s="161" t="s">
        <v>330</v>
      </c>
      <c r="Q140" s="160" t="s">
        <v>354</v>
      </c>
      <c r="R140" s="160">
        <v>0</v>
      </c>
      <c r="S140" s="162">
        <f t="shared" si="4"/>
        <v>0</v>
      </c>
    </row>
    <row r="141" spans="16:19" x14ac:dyDescent="0.25">
      <c r="P141" s="161" t="s">
        <v>331</v>
      </c>
      <c r="Q141" s="160" t="s">
        <v>354</v>
      </c>
      <c r="R141" s="160">
        <v>0</v>
      </c>
      <c r="S141" s="162">
        <f t="shared" si="4"/>
        <v>0</v>
      </c>
    </row>
    <row r="142" spans="16:19" x14ac:dyDescent="0.25">
      <c r="P142" s="161" t="s">
        <v>332</v>
      </c>
      <c r="Q142" s="160" t="s">
        <v>354</v>
      </c>
      <c r="R142" s="160">
        <v>0</v>
      </c>
      <c r="S142" s="162">
        <f t="shared" si="4"/>
        <v>0</v>
      </c>
    </row>
    <row r="143" spans="16:19" x14ac:dyDescent="0.25">
      <c r="P143" s="161" t="s">
        <v>333</v>
      </c>
      <c r="Q143" s="160" t="s">
        <v>354</v>
      </c>
      <c r="R143" s="160">
        <v>0</v>
      </c>
      <c r="S143" s="162">
        <f t="shared" si="4"/>
        <v>0</v>
      </c>
    </row>
    <row r="144" spans="16:19" x14ac:dyDescent="0.25">
      <c r="P144" s="161" t="s">
        <v>334</v>
      </c>
      <c r="Q144" s="160" t="s">
        <v>354</v>
      </c>
      <c r="R144" s="160">
        <v>0</v>
      </c>
      <c r="S144" s="162">
        <f t="shared" si="4"/>
        <v>0</v>
      </c>
    </row>
    <row r="145" spans="16:19" x14ac:dyDescent="0.25">
      <c r="P145" s="161" t="s">
        <v>335</v>
      </c>
      <c r="Q145" s="160" t="s">
        <v>354</v>
      </c>
      <c r="R145" s="160">
        <v>0</v>
      </c>
      <c r="S145" s="162">
        <f t="shared" si="4"/>
        <v>0</v>
      </c>
    </row>
    <row r="146" spans="16:19" x14ac:dyDescent="0.25">
      <c r="P146" s="161" t="s">
        <v>336</v>
      </c>
      <c r="Q146" s="160" t="s">
        <v>354</v>
      </c>
      <c r="R146" s="160">
        <v>0</v>
      </c>
      <c r="S146" s="162">
        <f t="shared" si="4"/>
        <v>0</v>
      </c>
    </row>
    <row r="147" spans="16:19" x14ac:dyDescent="0.25">
      <c r="P147" s="161" t="s">
        <v>338</v>
      </c>
      <c r="Q147" s="160" t="s">
        <v>354</v>
      </c>
      <c r="R147" s="160">
        <v>0</v>
      </c>
      <c r="S147" s="162">
        <f t="shared" si="4"/>
        <v>0</v>
      </c>
    </row>
    <row r="148" spans="16:19" x14ac:dyDescent="0.25">
      <c r="P148" s="161" t="s">
        <v>340</v>
      </c>
      <c r="Q148" s="160" t="s">
        <v>354</v>
      </c>
      <c r="R148" s="160">
        <v>0</v>
      </c>
      <c r="S148" s="162">
        <f t="shared" si="4"/>
        <v>0</v>
      </c>
    </row>
    <row r="149" spans="16:19" x14ac:dyDescent="0.25">
      <c r="P149" s="161" t="s">
        <v>342</v>
      </c>
      <c r="Q149" s="160" t="s">
        <v>354</v>
      </c>
      <c r="R149" s="160">
        <v>0</v>
      </c>
      <c r="S149" s="162">
        <f t="shared" si="4"/>
        <v>0</v>
      </c>
    </row>
    <row r="150" spans="16:19" x14ac:dyDescent="0.25">
      <c r="P150" s="161" t="s">
        <v>344</v>
      </c>
      <c r="Q150" s="160" t="s">
        <v>354</v>
      </c>
      <c r="R150" s="160">
        <v>0</v>
      </c>
      <c r="S150" s="162">
        <f t="shared" si="4"/>
        <v>0</v>
      </c>
    </row>
    <row r="151" spans="16:19" x14ac:dyDescent="0.25">
      <c r="P151" s="161" t="s">
        <v>346</v>
      </c>
      <c r="Q151" s="160" t="s">
        <v>354</v>
      </c>
      <c r="R151" s="160">
        <v>0</v>
      </c>
      <c r="S151" s="162">
        <f t="shared" si="4"/>
        <v>0</v>
      </c>
    </row>
    <row r="152" spans="16:19" x14ac:dyDescent="0.25">
      <c r="P152" s="161" t="s">
        <v>347</v>
      </c>
      <c r="Q152" s="160" t="s">
        <v>354</v>
      </c>
      <c r="R152" s="160">
        <v>0</v>
      </c>
      <c r="S152" s="162">
        <f t="shared" si="4"/>
        <v>0</v>
      </c>
    </row>
    <row r="153" spans="16:19" x14ac:dyDescent="0.25">
      <c r="P153" s="161" t="s">
        <v>349</v>
      </c>
      <c r="Q153" s="160" t="s">
        <v>354</v>
      </c>
      <c r="R153" s="160">
        <v>0</v>
      </c>
      <c r="S153" s="162">
        <f t="shared" si="4"/>
        <v>0</v>
      </c>
    </row>
    <row r="154" spans="16:19" x14ac:dyDescent="0.25">
      <c r="P154" s="161" t="s">
        <v>350</v>
      </c>
      <c r="Q154" s="160" t="s">
        <v>354</v>
      </c>
      <c r="R154" s="160">
        <v>0</v>
      </c>
      <c r="S154" s="162">
        <f t="shared" si="4"/>
        <v>0</v>
      </c>
    </row>
    <row r="155" spans="16:19" x14ac:dyDescent="0.25">
      <c r="P155" s="161" t="s">
        <v>313</v>
      </c>
      <c r="Q155" s="160" t="s">
        <v>355</v>
      </c>
      <c r="R155" s="160">
        <v>0</v>
      </c>
      <c r="S155" s="162">
        <f t="shared" si="4"/>
        <v>0</v>
      </c>
    </row>
    <row r="156" spans="16:19" x14ac:dyDescent="0.25">
      <c r="P156" s="161" t="s">
        <v>315</v>
      </c>
      <c r="Q156" s="160" t="s">
        <v>355</v>
      </c>
      <c r="R156" s="160">
        <v>0</v>
      </c>
      <c r="S156" s="162">
        <f t="shared" si="4"/>
        <v>0</v>
      </c>
    </row>
    <row r="157" spans="16:19" x14ac:dyDescent="0.25">
      <c r="P157" s="161" t="s">
        <v>316</v>
      </c>
      <c r="Q157" s="160" t="s">
        <v>355</v>
      </c>
      <c r="R157" s="160">
        <v>0</v>
      </c>
      <c r="S157" s="162">
        <f t="shared" si="4"/>
        <v>0</v>
      </c>
    </row>
    <row r="158" spans="16:19" x14ac:dyDescent="0.25">
      <c r="P158" s="161" t="s">
        <v>317</v>
      </c>
      <c r="Q158" s="160" t="s">
        <v>355</v>
      </c>
      <c r="R158" s="160">
        <v>0</v>
      </c>
      <c r="S158" s="162">
        <f t="shared" si="4"/>
        <v>0</v>
      </c>
    </row>
    <row r="159" spans="16:19" x14ac:dyDescent="0.25">
      <c r="P159" s="161" t="s">
        <v>318</v>
      </c>
      <c r="Q159" s="160" t="s">
        <v>355</v>
      </c>
      <c r="R159" s="160">
        <v>0</v>
      </c>
      <c r="S159" s="162">
        <f t="shared" si="4"/>
        <v>0</v>
      </c>
    </row>
    <row r="160" spans="16:19" x14ac:dyDescent="0.25">
      <c r="P160" s="161" t="s">
        <v>319</v>
      </c>
      <c r="Q160" s="160" t="s">
        <v>355</v>
      </c>
      <c r="R160" s="160">
        <v>0</v>
      </c>
      <c r="S160" s="162">
        <f t="shared" si="4"/>
        <v>0</v>
      </c>
    </row>
    <row r="161" spans="16:19" x14ac:dyDescent="0.25">
      <c r="P161" s="161" t="s">
        <v>320</v>
      </c>
      <c r="Q161" s="160" t="s">
        <v>355</v>
      </c>
      <c r="R161" s="160">
        <v>0</v>
      </c>
      <c r="S161" s="162">
        <f t="shared" si="4"/>
        <v>0</v>
      </c>
    </row>
    <row r="162" spans="16:19" x14ac:dyDescent="0.25">
      <c r="P162" s="161" t="s">
        <v>321</v>
      </c>
      <c r="Q162" s="160" t="s">
        <v>355</v>
      </c>
      <c r="R162" s="160">
        <v>0</v>
      </c>
      <c r="S162" s="162">
        <f t="shared" si="4"/>
        <v>0</v>
      </c>
    </row>
    <row r="163" spans="16:19" x14ac:dyDescent="0.25">
      <c r="P163" s="161" t="s">
        <v>322</v>
      </c>
      <c r="Q163" s="160" t="s">
        <v>355</v>
      </c>
      <c r="R163" s="160">
        <v>0</v>
      </c>
      <c r="S163" s="162">
        <f t="shared" si="4"/>
        <v>0</v>
      </c>
    </row>
    <row r="164" spans="16:19" x14ac:dyDescent="0.25">
      <c r="P164" s="161" t="s">
        <v>323</v>
      </c>
      <c r="Q164" s="160" t="s">
        <v>355</v>
      </c>
      <c r="R164" s="160">
        <v>0</v>
      </c>
      <c r="S164" s="162">
        <f t="shared" si="4"/>
        <v>0</v>
      </c>
    </row>
    <row r="165" spans="16:19" x14ac:dyDescent="0.25">
      <c r="P165" s="161" t="s">
        <v>324</v>
      </c>
      <c r="Q165" s="160" t="s">
        <v>355</v>
      </c>
      <c r="R165" s="160">
        <v>0</v>
      </c>
      <c r="S165" s="162">
        <f t="shared" si="4"/>
        <v>0</v>
      </c>
    </row>
    <row r="166" spans="16:19" x14ac:dyDescent="0.25">
      <c r="P166" s="161" t="s">
        <v>325</v>
      </c>
      <c r="Q166" s="160" t="s">
        <v>355</v>
      </c>
      <c r="R166" s="160">
        <v>0</v>
      </c>
      <c r="S166" s="162">
        <f t="shared" si="4"/>
        <v>0</v>
      </c>
    </row>
    <row r="167" spans="16:19" x14ac:dyDescent="0.25">
      <c r="P167" s="161" t="s">
        <v>326</v>
      </c>
      <c r="Q167" s="160" t="s">
        <v>355</v>
      </c>
      <c r="R167" s="160">
        <v>0</v>
      </c>
      <c r="S167" s="162">
        <f t="shared" si="4"/>
        <v>0</v>
      </c>
    </row>
    <row r="168" spans="16:19" x14ac:dyDescent="0.25">
      <c r="P168" s="161" t="s">
        <v>327</v>
      </c>
      <c r="Q168" s="160" t="s">
        <v>355</v>
      </c>
      <c r="R168" s="160">
        <v>0</v>
      </c>
      <c r="S168" s="162">
        <f t="shared" si="4"/>
        <v>0</v>
      </c>
    </row>
    <row r="169" spans="16:19" x14ac:dyDescent="0.25">
      <c r="P169" s="161" t="s">
        <v>328</v>
      </c>
      <c r="Q169" s="160" t="s">
        <v>355</v>
      </c>
      <c r="R169" s="160">
        <v>0</v>
      </c>
      <c r="S169" s="162">
        <f t="shared" si="4"/>
        <v>0</v>
      </c>
    </row>
    <row r="170" spans="16:19" x14ac:dyDescent="0.25">
      <c r="P170" s="161" t="s">
        <v>329</v>
      </c>
      <c r="Q170" s="160" t="s">
        <v>355</v>
      </c>
      <c r="R170" s="160">
        <v>0</v>
      </c>
      <c r="S170" s="162">
        <f t="shared" si="4"/>
        <v>0</v>
      </c>
    </row>
    <row r="171" spans="16:19" x14ac:dyDescent="0.25">
      <c r="P171" s="161" t="s">
        <v>330</v>
      </c>
      <c r="Q171" s="160" t="s">
        <v>355</v>
      </c>
      <c r="R171" s="160">
        <v>0</v>
      </c>
      <c r="S171" s="162">
        <f t="shared" si="4"/>
        <v>0</v>
      </c>
    </row>
    <row r="172" spans="16:19" x14ac:dyDescent="0.25">
      <c r="P172" s="161" t="s">
        <v>331</v>
      </c>
      <c r="Q172" s="160" t="s">
        <v>355</v>
      </c>
      <c r="R172" s="160">
        <v>0</v>
      </c>
      <c r="S172" s="162">
        <f t="shared" si="4"/>
        <v>0</v>
      </c>
    </row>
    <row r="173" spans="16:19" x14ac:dyDescent="0.25">
      <c r="P173" s="161" t="s">
        <v>332</v>
      </c>
      <c r="Q173" s="160" t="s">
        <v>355</v>
      </c>
      <c r="R173" s="160">
        <v>0</v>
      </c>
      <c r="S173" s="162">
        <f t="shared" si="4"/>
        <v>0</v>
      </c>
    </row>
    <row r="174" spans="16:19" x14ac:dyDescent="0.25">
      <c r="P174" s="161" t="s">
        <v>333</v>
      </c>
      <c r="Q174" s="160" t="s">
        <v>355</v>
      </c>
      <c r="R174" s="160">
        <v>0</v>
      </c>
      <c r="S174" s="162">
        <f t="shared" si="4"/>
        <v>0</v>
      </c>
    </row>
    <row r="175" spans="16:19" x14ac:dyDescent="0.25">
      <c r="P175" s="161" t="s">
        <v>334</v>
      </c>
      <c r="Q175" s="160" t="s">
        <v>355</v>
      </c>
      <c r="R175" s="160">
        <v>0</v>
      </c>
      <c r="S175" s="162">
        <f t="shared" si="4"/>
        <v>0</v>
      </c>
    </row>
    <row r="176" spans="16:19" x14ac:dyDescent="0.25">
      <c r="P176" s="161" t="s">
        <v>335</v>
      </c>
      <c r="Q176" s="160" t="s">
        <v>355</v>
      </c>
      <c r="R176" s="160">
        <v>0</v>
      </c>
      <c r="S176" s="162">
        <f t="shared" si="4"/>
        <v>0</v>
      </c>
    </row>
    <row r="177" spans="16:19" x14ac:dyDescent="0.25">
      <c r="P177" s="161" t="s">
        <v>336</v>
      </c>
      <c r="Q177" s="160" t="s">
        <v>355</v>
      </c>
      <c r="R177" s="160">
        <v>0</v>
      </c>
      <c r="S177" s="162">
        <f t="shared" si="4"/>
        <v>0</v>
      </c>
    </row>
    <row r="178" spans="16:19" x14ac:dyDescent="0.25">
      <c r="P178" s="161" t="s">
        <v>338</v>
      </c>
      <c r="Q178" s="160" t="s">
        <v>355</v>
      </c>
      <c r="R178" s="160">
        <v>0</v>
      </c>
      <c r="S178" s="162">
        <f t="shared" si="4"/>
        <v>0</v>
      </c>
    </row>
    <row r="179" spans="16:19" x14ac:dyDescent="0.25">
      <c r="P179" s="161" t="s">
        <v>340</v>
      </c>
      <c r="Q179" s="160" t="s">
        <v>355</v>
      </c>
      <c r="R179" s="160">
        <v>0</v>
      </c>
      <c r="S179" s="162">
        <f t="shared" si="4"/>
        <v>0</v>
      </c>
    </row>
    <row r="180" spans="16:19" x14ac:dyDescent="0.25">
      <c r="P180" s="161" t="s">
        <v>342</v>
      </c>
      <c r="Q180" s="160" t="s">
        <v>355</v>
      </c>
      <c r="R180" s="160">
        <v>0</v>
      </c>
      <c r="S180" s="162">
        <f t="shared" si="4"/>
        <v>0</v>
      </c>
    </row>
    <row r="181" spans="16:19" x14ac:dyDescent="0.25">
      <c r="P181" s="161" t="s">
        <v>344</v>
      </c>
      <c r="Q181" s="160" t="s">
        <v>355</v>
      </c>
      <c r="R181" s="160">
        <v>0</v>
      </c>
      <c r="S181" s="162">
        <f t="shared" si="4"/>
        <v>0</v>
      </c>
    </row>
    <row r="182" spans="16:19" x14ac:dyDescent="0.25">
      <c r="P182" s="161" t="s">
        <v>346</v>
      </c>
      <c r="Q182" s="160" t="s">
        <v>355</v>
      </c>
      <c r="R182" s="160">
        <v>0</v>
      </c>
      <c r="S182" s="162">
        <f t="shared" si="4"/>
        <v>0</v>
      </c>
    </row>
    <row r="183" spans="16:19" x14ac:dyDescent="0.25">
      <c r="P183" s="161" t="s">
        <v>347</v>
      </c>
      <c r="Q183" s="160" t="s">
        <v>355</v>
      </c>
      <c r="R183" s="160">
        <v>0</v>
      </c>
      <c r="S183" s="162">
        <f t="shared" si="4"/>
        <v>0</v>
      </c>
    </row>
    <row r="184" spans="16:19" x14ac:dyDescent="0.25">
      <c r="P184" s="161" t="s">
        <v>349</v>
      </c>
      <c r="Q184" s="160" t="s">
        <v>355</v>
      </c>
      <c r="R184" s="160">
        <v>0</v>
      </c>
      <c r="S184" s="162">
        <f t="shared" si="4"/>
        <v>0</v>
      </c>
    </row>
    <row r="185" spans="16:19" x14ac:dyDescent="0.25">
      <c r="P185" s="161" t="s">
        <v>313</v>
      </c>
      <c r="Q185" s="160" t="s">
        <v>356</v>
      </c>
      <c r="R185" s="160">
        <v>79</v>
      </c>
      <c r="S185" s="162">
        <f t="shared" si="4"/>
        <v>0.17792792792792791</v>
      </c>
    </row>
    <row r="186" spans="16:19" x14ac:dyDescent="0.25">
      <c r="P186" s="161" t="s">
        <v>315</v>
      </c>
      <c r="Q186" s="160" t="s">
        <v>356</v>
      </c>
      <c r="R186" s="160">
        <v>124</v>
      </c>
      <c r="S186" s="162">
        <f t="shared" si="4"/>
        <v>0.27927927927927926</v>
      </c>
    </row>
    <row r="187" spans="16:19" x14ac:dyDescent="0.25">
      <c r="P187" s="161" t="s">
        <v>316</v>
      </c>
      <c r="Q187" s="160" t="s">
        <v>356</v>
      </c>
      <c r="R187" s="160">
        <v>208</v>
      </c>
      <c r="S187" s="162">
        <f t="shared" si="4"/>
        <v>0.46846846846846846</v>
      </c>
    </row>
    <row r="188" spans="16:19" x14ac:dyDescent="0.25">
      <c r="P188" s="161" t="s">
        <v>317</v>
      </c>
      <c r="Q188" s="160" t="s">
        <v>356</v>
      </c>
      <c r="R188" s="160">
        <v>218</v>
      </c>
      <c r="S188" s="162">
        <f t="shared" si="4"/>
        <v>0.49099099099099097</v>
      </c>
    </row>
    <row r="189" spans="16:19" x14ac:dyDescent="0.25">
      <c r="P189" s="161" t="s">
        <v>318</v>
      </c>
      <c r="Q189" s="160" t="s">
        <v>356</v>
      </c>
      <c r="R189" s="160">
        <v>88</v>
      </c>
      <c r="S189" s="162">
        <f t="shared" si="4"/>
        <v>0.1981981981981982</v>
      </c>
    </row>
    <row r="190" spans="16:19" x14ac:dyDescent="0.25">
      <c r="P190" s="161" t="s">
        <v>319</v>
      </c>
      <c r="Q190" s="160" t="s">
        <v>356</v>
      </c>
      <c r="R190" s="160">
        <v>69</v>
      </c>
      <c r="S190" s="162">
        <f t="shared" si="4"/>
        <v>0.1554054054054054</v>
      </c>
    </row>
    <row r="191" spans="16:19" x14ac:dyDescent="0.25">
      <c r="P191" s="161" t="s">
        <v>320</v>
      </c>
      <c r="Q191" s="160" t="s">
        <v>356</v>
      </c>
      <c r="R191" s="160">
        <v>55</v>
      </c>
      <c r="S191" s="162">
        <f t="shared" si="4"/>
        <v>0.12387387387387387</v>
      </c>
    </row>
    <row r="192" spans="16:19" x14ac:dyDescent="0.25">
      <c r="P192" s="161" t="s">
        <v>321</v>
      </c>
      <c r="Q192" s="160" t="s">
        <v>356</v>
      </c>
      <c r="R192" s="160">
        <v>48</v>
      </c>
      <c r="S192" s="162">
        <f t="shared" si="4"/>
        <v>0.10810810810810811</v>
      </c>
    </row>
    <row r="193" spans="16:19" x14ac:dyDescent="0.25">
      <c r="P193" s="161" t="s">
        <v>322</v>
      </c>
      <c r="Q193" s="160" t="s">
        <v>356</v>
      </c>
      <c r="R193" s="160">
        <v>67</v>
      </c>
      <c r="S193" s="162">
        <f t="shared" si="4"/>
        <v>0.15090090090090091</v>
      </c>
    </row>
    <row r="194" spans="16:19" x14ac:dyDescent="0.25">
      <c r="P194" s="161" t="s">
        <v>323</v>
      </c>
      <c r="Q194" s="160" t="s">
        <v>356</v>
      </c>
      <c r="R194" s="160">
        <v>100</v>
      </c>
      <c r="S194" s="162">
        <f t="shared" si="4"/>
        <v>0.22522522522522523</v>
      </c>
    </row>
    <row r="195" spans="16:19" x14ac:dyDescent="0.25">
      <c r="P195" s="161" t="s">
        <v>324</v>
      </c>
      <c r="Q195" s="160" t="s">
        <v>356</v>
      </c>
      <c r="R195" s="160">
        <v>111</v>
      </c>
      <c r="S195" s="162">
        <f t="shared" si="4"/>
        <v>0.25</v>
      </c>
    </row>
    <row r="196" spans="16:19" x14ac:dyDescent="0.25">
      <c r="P196" s="161" t="s">
        <v>325</v>
      </c>
      <c r="Q196" s="160" t="s">
        <v>356</v>
      </c>
      <c r="R196" s="160">
        <v>59</v>
      </c>
      <c r="S196" s="162">
        <f t="shared" ref="S196:S259" si="5">+R196/444</f>
        <v>0.13288288288288289</v>
      </c>
    </row>
    <row r="197" spans="16:19" x14ac:dyDescent="0.25">
      <c r="P197" s="161" t="s">
        <v>326</v>
      </c>
      <c r="Q197" s="160" t="s">
        <v>356</v>
      </c>
      <c r="R197" s="160">
        <v>39</v>
      </c>
      <c r="S197" s="162">
        <f t="shared" si="5"/>
        <v>8.7837837837837843E-2</v>
      </c>
    </row>
    <row r="198" spans="16:19" x14ac:dyDescent="0.25">
      <c r="P198" s="161" t="s">
        <v>327</v>
      </c>
      <c r="Q198" s="160" t="s">
        <v>356</v>
      </c>
      <c r="R198" s="160">
        <v>42</v>
      </c>
      <c r="S198" s="162">
        <f t="shared" si="5"/>
        <v>9.45945945945946E-2</v>
      </c>
    </row>
    <row r="199" spans="16:19" x14ac:dyDescent="0.25">
      <c r="P199" s="161" t="s">
        <v>328</v>
      </c>
      <c r="Q199" s="160" t="s">
        <v>356</v>
      </c>
      <c r="R199" s="160">
        <v>55</v>
      </c>
      <c r="S199" s="162">
        <f t="shared" si="5"/>
        <v>0.12387387387387387</v>
      </c>
    </row>
    <row r="200" spans="16:19" x14ac:dyDescent="0.25">
      <c r="P200" s="161" t="s">
        <v>329</v>
      </c>
      <c r="Q200" s="160" t="s">
        <v>356</v>
      </c>
      <c r="R200" s="160">
        <v>84</v>
      </c>
      <c r="S200" s="162">
        <f t="shared" si="5"/>
        <v>0.1891891891891892</v>
      </c>
    </row>
    <row r="201" spans="16:19" x14ac:dyDescent="0.25">
      <c r="P201" s="161" t="s">
        <v>330</v>
      </c>
      <c r="Q201" s="160" t="s">
        <v>356</v>
      </c>
      <c r="R201" s="160">
        <v>123</v>
      </c>
      <c r="S201" s="162">
        <f t="shared" si="5"/>
        <v>0.27702702702702703</v>
      </c>
    </row>
    <row r="202" spans="16:19" x14ac:dyDescent="0.25">
      <c r="P202" s="161" t="s">
        <v>331</v>
      </c>
      <c r="Q202" s="160" t="s">
        <v>356</v>
      </c>
      <c r="R202" s="160">
        <v>152</v>
      </c>
      <c r="S202" s="162">
        <f t="shared" si="5"/>
        <v>0.34234234234234234</v>
      </c>
    </row>
    <row r="203" spans="16:19" x14ac:dyDescent="0.25">
      <c r="P203" s="161" t="s">
        <v>332</v>
      </c>
      <c r="Q203" s="160" t="s">
        <v>356</v>
      </c>
      <c r="R203" s="160">
        <v>92</v>
      </c>
      <c r="S203" s="162">
        <f t="shared" si="5"/>
        <v>0.2072072072072072</v>
      </c>
    </row>
    <row r="204" spans="16:19" x14ac:dyDescent="0.25">
      <c r="P204" s="161" t="s">
        <v>333</v>
      </c>
      <c r="Q204" s="160" t="s">
        <v>356</v>
      </c>
      <c r="R204" s="160">
        <v>63</v>
      </c>
      <c r="S204" s="162">
        <f t="shared" si="5"/>
        <v>0.14189189189189189</v>
      </c>
    </row>
    <row r="205" spans="16:19" x14ac:dyDescent="0.25">
      <c r="P205" s="161" t="s">
        <v>334</v>
      </c>
      <c r="Q205" s="160" t="s">
        <v>356</v>
      </c>
      <c r="R205" s="160">
        <v>50</v>
      </c>
      <c r="S205" s="162">
        <f t="shared" si="5"/>
        <v>0.11261261261261261</v>
      </c>
    </row>
    <row r="206" spans="16:19" x14ac:dyDescent="0.25">
      <c r="P206" s="161" t="s">
        <v>335</v>
      </c>
      <c r="Q206" s="160" t="s">
        <v>356</v>
      </c>
      <c r="R206" s="160">
        <v>66</v>
      </c>
      <c r="S206" s="162">
        <f t="shared" si="5"/>
        <v>0.14864864864864866</v>
      </c>
    </row>
    <row r="207" spans="16:19" x14ac:dyDescent="0.25">
      <c r="P207" s="161" t="s">
        <v>336</v>
      </c>
      <c r="Q207" s="160" t="s">
        <v>356</v>
      </c>
      <c r="R207" s="160">
        <v>72</v>
      </c>
      <c r="S207" s="162">
        <f t="shared" si="5"/>
        <v>0.16216216216216217</v>
      </c>
    </row>
    <row r="208" spans="16:19" x14ac:dyDescent="0.25">
      <c r="P208" s="161" t="s">
        <v>338</v>
      </c>
      <c r="Q208" s="160" t="s">
        <v>356</v>
      </c>
      <c r="R208" s="160">
        <v>125</v>
      </c>
      <c r="S208" s="162">
        <f t="shared" si="5"/>
        <v>0.28153153153153154</v>
      </c>
    </row>
    <row r="209" spans="16:19" x14ac:dyDescent="0.25">
      <c r="P209" s="161" t="s">
        <v>340</v>
      </c>
      <c r="Q209" s="160" t="s">
        <v>356</v>
      </c>
      <c r="R209" s="160">
        <v>138</v>
      </c>
      <c r="S209" s="162">
        <f t="shared" si="5"/>
        <v>0.3108108108108108</v>
      </c>
    </row>
    <row r="210" spans="16:19" x14ac:dyDescent="0.25">
      <c r="P210" s="161" t="s">
        <v>342</v>
      </c>
      <c r="Q210" s="160" t="s">
        <v>356</v>
      </c>
      <c r="R210" s="160">
        <v>78</v>
      </c>
      <c r="S210" s="162">
        <f t="shared" si="5"/>
        <v>0.17567567567567569</v>
      </c>
    </row>
    <row r="211" spans="16:19" x14ac:dyDescent="0.25">
      <c r="P211" s="161" t="s">
        <v>344</v>
      </c>
      <c r="Q211" s="160" t="s">
        <v>356</v>
      </c>
      <c r="R211" s="160">
        <v>68</v>
      </c>
      <c r="S211" s="162">
        <f t="shared" si="5"/>
        <v>0.15315315315315314</v>
      </c>
    </row>
    <row r="212" spans="16:19" x14ac:dyDescent="0.25">
      <c r="P212" s="161" t="s">
        <v>346</v>
      </c>
      <c r="Q212" s="160" t="s">
        <v>356</v>
      </c>
      <c r="R212" s="160">
        <v>71</v>
      </c>
      <c r="S212" s="162">
        <f t="shared" si="5"/>
        <v>0.15990990990990991</v>
      </c>
    </row>
    <row r="213" spans="16:19" x14ac:dyDescent="0.25">
      <c r="P213" s="161" t="s">
        <v>347</v>
      </c>
      <c r="Q213" s="160" t="s">
        <v>356</v>
      </c>
      <c r="R213" s="160">
        <v>68</v>
      </c>
      <c r="S213" s="162">
        <f t="shared" si="5"/>
        <v>0.15315315315315314</v>
      </c>
    </row>
    <row r="214" spans="16:19" x14ac:dyDescent="0.25">
      <c r="P214" s="161" t="s">
        <v>349</v>
      </c>
      <c r="Q214" s="160" t="s">
        <v>356</v>
      </c>
      <c r="R214" s="160">
        <v>84</v>
      </c>
      <c r="S214" s="162">
        <f t="shared" si="5"/>
        <v>0.1891891891891892</v>
      </c>
    </row>
    <row r="215" spans="16:19" x14ac:dyDescent="0.25">
      <c r="P215" s="161" t="s">
        <v>350</v>
      </c>
      <c r="Q215" s="160" t="s">
        <v>356</v>
      </c>
      <c r="R215" s="160">
        <v>120</v>
      </c>
      <c r="S215" s="162">
        <f t="shared" si="5"/>
        <v>0.27027027027027029</v>
      </c>
    </row>
    <row r="216" spans="16:19" x14ac:dyDescent="0.25">
      <c r="P216" s="161" t="s">
        <v>313</v>
      </c>
      <c r="Q216" s="160" t="s">
        <v>357</v>
      </c>
      <c r="R216" s="160">
        <v>124</v>
      </c>
      <c r="S216" s="162">
        <f t="shared" si="5"/>
        <v>0.27927927927927926</v>
      </c>
    </row>
    <row r="217" spans="16:19" x14ac:dyDescent="0.25">
      <c r="P217" s="161" t="s">
        <v>315</v>
      </c>
      <c r="Q217" s="160" t="s">
        <v>357</v>
      </c>
      <c r="R217" s="160">
        <v>67</v>
      </c>
      <c r="S217" s="162">
        <f t="shared" si="5"/>
        <v>0.15090090090090091</v>
      </c>
    </row>
    <row r="218" spans="16:19" x14ac:dyDescent="0.25">
      <c r="P218" s="161" t="s">
        <v>316</v>
      </c>
      <c r="Q218" s="160" t="s">
        <v>357</v>
      </c>
      <c r="R218" s="160">
        <v>69</v>
      </c>
      <c r="S218" s="162">
        <f t="shared" si="5"/>
        <v>0.1554054054054054</v>
      </c>
    </row>
    <row r="219" spans="16:19" x14ac:dyDescent="0.25">
      <c r="P219" s="161" t="s">
        <v>317</v>
      </c>
      <c r="Q219" s="160" t="s">
        <v>357</v>
      </c>
      <c r="R219" s="160">
        <v>92</v>
      </c>
      <c r="S219" s="162">
        <f t="shared" si="5"/>
        <v>0.2072072072072072</v>
      </c>
    </row>
    <row r="220" spans="16:19" x14ac:dyDescent="0.25">
      <c r="P220" s="161" t="s">
        <v>318</v>
      </c>
      <c r="Q220" s="160" t="s">
        <v>357</v>
      </c>
      <c r="R220" s="160">
        <v>122</v>
      </c>
      <c r="S220" s="162">
        <f t="shared" si="5"/>
        <v>0.2747747747747748</v>
      </c>
    </row>
    <row r="221" spans="16:19" x14ac:dyDescent="0.25">
      <c r="P221" s="161" t="s">
        <v>319</v>
      </c>
      <c r="Q221" s="160" t="s">
        <v>357</v>
      </c>
      <c r="R221" s="160">
        <v>141</v>
      </c>
      <c r="S221" s="162">
        <f t="shared" si="5"/>
        <v>0.31756756756756754</v>
      </c>
    </row>
    <row r="222" spans="16:19" x14ac:dyDescent="0.25">
      <c r="P222" s="161" t="s">
        <v>320</v>
      </c>
      <c r="Q222" s="160" t="s">
        <v>357</v>
      </c>
      <c r="R222" s="160">
        <v>194</v>
      </c>
      <c r="S222" s="162">
        <f t="shared" si="5"/>
        <v>0.43693693693693691</v>
      </c>
    </row>
    <row r="223" spans="16:19" x14ac:dyDescent="0.25">
      <c r="P223" s="161" t="s">
        <v>321</v>
      </c>
      <c r="Q223" s="160" t="s">
        <v>357</v>
      </c>
      <c r="R223" s="160">
        <v>183</v>
      </c>
      <c r="S223" s="162">
        <f t="shared" si="5"/>
        <v>0.41216216216216217</v>
      </c>
    </row>
    <row r="224" spans="16:19" x14ac:dyDescent="0.25">
      <c r="P224" s="161" t="s">
        <v>322</v>
      </c>
      <c r="Q224" s="160" t="s">
        <v>357</v>
      </c>
      <c r="R224" s="160">
        <v>106</v>
      </c>
      <c r="S224" s="162">
        <f t="shared" si="5"/>
        <v>0.23873873873873874</v>
      </c>
    </row>
    <row r="225" spans="16:19" x14ac:dyDescent="0.25">
      <c r="P225" s="161" t="s">
        <v>323</v>
      </c>
      <c r="Q225" s="160" t="s">
        <v>357</v>
      </c>
      <c r="R225" s="160">
        <v>102</v>
      </c>
      <c r="S225" s="162">
        <f t="shared" si="5"/>
        <v>0.22972972972972974</v>
      </c>
    </row>
    <row r="226" spans="16:19" x14ac:dyDescent="0.25">
      <c r="P226" s="161" t="s">
        <v>324</v>
      </c>
      <c r="Q226" s="160" t="s">
        <v>357</v>
      </c>
      <c r="R226" s="160">
        <v>95</v>
      </c>
      <c r="S226" s="162">
        <f t="shared" si="5"/>
        <v>0.21396396396396397</v>
      </c>
    </row>
    <row r="227" spans="16:19" x14ac:dyDescent="0.25">
      <c r="P227" s="161" t="s">
        <v>325</v>
      </c>
      <c r="Q227" s="160" t="s">
        <v>357</v>
      </c>
      <c r="R227" s="160">
        <v>95</v>
      </c>
      <c r="S227" s="162">
        <f t="shared" si="5"/>
        <v>0.21396396396396397</v>
      </c>
    </row>
    <row r="228" spans="16:19" x14ac:dyDescent="0.25">
      <c r="P228" s="161" t="s">
        <v>326</v>
      </c>
      <c r="Q228" s="160" t="s">
        <v>357</v>
      </c>
      <c r="R228" s="160">
        <v>125</v>
      </c>
      <c r="S228" s="162">
        <f t="shared" si="5"/>
        <v>0.28153153153153154</v>
      </c>
    </row>
    <row r="229" spans="16:19" x14ac:dyDescent="0.25">
      <c r="P229" s="161" t="s">
        <v>327</v>
      </c>
      <c r="Q229" s="160" t="s">
        <v>357</v>
      </c>
      <c r="R229" s="160">
        <v>195</v>
      </c>
      <c r="S229" s="162">
        <f t="shared" si="5"/>
        <v>0.4391891891891892</v>
      </c>
    </row>
    <row r="230" spans="16:19" x14ac:dyDescent="0.25">
      <c r="P230" s="161" t="s">
        <v>328</v>
      </c>
      <c r="Q230" s="160" t="s">
        <v>357</v>
      </c>
      <c r="R230" s="160">
        <v>209</v>
      </c>
      <c r="S230" s="162">
        <f t="shared" si="5"/>
        <v>0.47072072072072074</v>
      </c>
    </row>
    <row r="231" spans="16:19" x14ac:dyDescent="0.25">
      <c r="P231" s="161" t="s">
        <v>329</v>
      </c>
      <c r="Q231" s="160" t="s">
        <v>357</v>
      </c>
      <c r="R231" s="160">
        <v>77</v>
      </c>
      <c r="S231" s="162">
        <f t="shared" si="5"/>
        <v>0.17342342342342343</v>
      </c>
    </row>
    <row r="232" spans="16:19" x14ac:dyDescent="0.25">
      <c r="P232" s="161" t="s">
        <v>330</v>
      </c>
      <c r="Q232" s="160" t="s">
        <v>357</v>
      </c>
      <c r="R232" s="160">
        <v>60</v>
      </c>
      <c r="S232" s="162">
        <f t="shared" si="5"/>
        <v>0.13513513513513514</v>
      </c>
    </row>
    <row r="233" spans="16:19" x14ac:dyDescent="0.25">
      <c r="P233" s="161" t="s">
        <v>331</v>
      </c>
      <c r="Q233" s="160" t="s">
        <v>357</v>
      </c>
      <c r="R233" s="160">
        <v>75</v>
      </c>
      <c r="S233" s="162">
        <f t="shared" si="5"/>
        <v>0.16891891891891891</v>
      </c>
    </row>
    <row r="234" spans="16:19" x14ac:dyDescent="0.25">
      <c r="P234" s="161" t="s">
        <v>332</v>
      </c>
      <c r="Q234" s="160" t="s">
        <v>357</v>
      </c>
      <c r="R234" s="160">
        <v>68</v>
      </c>
      <c r="S234" s="162">
        <f t="shared" si="5"/>
        <v>0.15315315315315314</v>
      </c>
    </row>
    <row r="235" spans="16:19" x14ac:dyDescent="0.25">
      <c r="P235" s="161" t="s">
        <v>333</v>
      </c>
      <c r="Q235" s="160" t="s">
        <v>357</v>
      </c>
      <c r="R235" s="160">
        <v>90</v>
      </c>
      <c r="S235" s="162">
        <f t="shared" si="5"/>
        <v>0.20270270270270271</v>
      </c>
    </row>
    <row r="236" spans="16:19" x14ac:dyDescent="0.25">
      <c r="P236" s="161" t="s">
        <v>334</v>
      </c>
      <c r="Q236" s="160" t="s">
        <v>357</v>
      </c>
      <c r="R236" s="160">
        <v>180</v>
      </c>
      <c r="S236" s="162">
        <f t="shared" si="5"/>
        <v>0.40540540540540543</v>
      </c>
    </row>
    <row r="237" spans="16:19" x14ac:dyDescent="0.25">
      <c r="P237" s="161" t="s">
        <v>335</v>
      </c>
      <c r="Q237" s="160" t="s">
        <v>357</v>
      </c>
      <c r="R237" s="160">
        <v>223</v>
      </c>
      <c r="S237" s="162">
        <f t="shared" si="5"/>
        <v>0.50225225225225223</v>
      </c>
    </row>
    <row r="238" spans="16:19" x14ac:dyDescent="0.25">
      <c r="P238" s="161" t="s">
        <v>336</v>
      </c>
      <c r="Q238" s="160" t="s">
        <v>357</v>
      </c>
      <c r="R238" s="160">
        <v>99</v>
      </c>
      <c r="S238" s="162">
        <f t="shared" si="5"/>
        <v>0.22297297297297297</v>
      </c>
    </row>
    <row r="239" spans="16:19" x14ac:dyDescent="0.25">
      <c r="P239" s="161" t="s">
        <v>338</v>
      </c>
      <c r="Q239" s="160" t="s">
        <v>357</v>
      </c>
      <c r="R239" s="160">
        <v>60</v>
      </c>
      <c r="S239" s="162">
        <f t="shared" si="5"/>
        <v>0.13513513513513514</v>
      </c>
    </row>
    <row r="240" spans="16:19" x14ac:dyDescent="0.25">
      <c r="P240" s="161" t="s">
        <v>340</v>
      </c>
      <c r="Q240" s="160" t="s">
        <v>357</v>
      </c>
      <c r="R240" s="160">
        <v>56</v>
      </c>
      <c r="S240" s="162">
        <f t="shared" si="5"/>
        <v>0.12612612612612611</v>
      </c>
    </row>
    <row r="241" spans="16:19" x14ac:dyDescent="0.25">
      <c r="P241" s="161" t="s">
        <v>342</v>
      </c>
      <c r="Q241" s="160" t="s">
        <v>357</v>
      </c>
      <c r="R241" s="160">
        <v>67</v>
      </c>
      <c r="S241" s="162">
        <f t="shared" si="5"/>
        <v>0.15090090090090091</v>
      </c>
    </row>
    <row r="242" spans="16:19" x14ac:dyDescent="0.25">
      <c r="P242" s="161" t="s">
        <v>344</v>
      </c>
      <c r="Q242" s="160" t="s">
        <v>357</v>
      </c>
      <c r="R242" s="160">
        <v>82</v>
      </c>
      <c r="S242" s="162">
        <f t="shared" si="5"/>
        <v>0.18468468468468469</v>
      </c>
    </row>
    <row r="243" spans="16:19" x14ac:dyDescent="0.25">
      <c r="P243" s="161" t="s">
        <v>346</v>
      </c>
      <c r="Q243" s="160" t="s">
        <v>357</v>
      </c>
      <c r="R243" s="160">
        <v>145</v>
      </c>
      <c r="S243" s="162">
        <f t="shared" si="5"/>
        <v>0.32657657657657657</v>
      </c>
    </row>
    <row r="244" spans="16:19" x14ac:dyDescent="0.25">
      <c r="P244" s="161" t="s">
        <v>347</v>
      </c>
      <c r="Q244" s="160" t="s">
        <v>357</v>
      </c>
      <c r="R244" s="160">
        <v>185</v>
      </c>
      <c r="S244" s="162">
        <f t="shared" si="5"/>
        <v>0.41666666666666669</v>
      </c>
    </row>
    <row r="245" spans="16:19" x14ac:dyDescent="0.25">
      <c r="P245" s="161" t="s">
        <v>349</v>
      </c>
      <c r="Q245" s="160" t="s">
        <v>357</v>
      </c>
      <c r="R245" s="160">
        <v>68</v>
      </c>
      <c r="S245" s="162">
        <f t="shared" si="5"/>
        <v>0.15315315315315314</v>
      </c>
    </row>
    <row r="246" spans="16:19" x14ac:dyDescent="0.25">
      <c r="P246" s="161" t="s">
        <v>350</v>
      </c>
      <c r="Q246" s="160" t="s">
        <v>357</v>
      </c>
      <c r="R246" s="160">
        <v>56</v>
      </c>
      <c r="S246" s="162">
        <f t="shared" si="5"/>
        <v>0.12612612612612611</v>
      </c>
    </row>
    <row r="247" spans="16:19" x14ac:dyDescent="0.25">
      <c r="P247" s="161" t="s">
        <v>313</v>
      </c>
      <c r="Q247" s="160" t="s">
        <v>358</v>
      </c>
      <c r="R247" s="160">
        <v>45</v>
      </c>
      <c r="S247" s="162">
        <f t="shared" si="5"/>
        <v>0.10135135135135136</v>
      </c>
    </row>
    <row r="248" spans="16:19" x14ac:dyDescent="0.25">
      <c r="P248" s="161" t="s">
        <v>315</v>
      </c>
      <c r="Q248" s="160" t="s">
        <v>358</v>
      </c>
      <c r="R248" s="160">
        <v>53</v>
      </c>
      <c r="S248" s="162">
        <f t="shared" si="5"/>
        <v>0.11936936936936937</v>
      </c>
    </row>
    <row r="249" spans="16:19" x14ac:dyDescent="0.25">
      <c r="P249" s="161" t="s">
        <v>316</v>
      </c>
      <c r="Q249" s="160" t="s">
        <v>358</v>
      </c>
      <c r="R249" s="160">
        <v>69</v>
      </c>
      <c r="S249" s="162">
        <f t="shared" si="5"/>
        <v>0.1554054054054054</v>
      </c>
    </row>
    <row r="250" spans="16:19" x14ac:dyDescent="0.25">
      <c r="P250" s="161" t="s">
        <v>317</v>
      </c>
      <c r="Q250" s="160" t="s">
        <v>358</v>
      </c>
      <c r="R250" s="160">
        <v>177</v>
      </c>
      <c r="S250" s="162">
        <f t="shared" si="5"/>
        <v>0.39864864864864863</v>
      </c>
    </row>
    <row r="251" spans="16:19" x14ac:dyDescent="0.25">
      <c r="P251" s="161" t="s">
        <v>318</v>
      </c>
      <c r="Q251" s="160" t="s">
        <v>358</v>
      </c>
      <c r="R251" s="160">
        <v>244</v>
      </c>
      <c r="S251" s="162">
        <f t="shared" si="5"/>
        <v>0.5495495495495496</v>
      </c>
    </row>
    <row r="252" spans="16:19" x14ac:dyDescent="0.25">
      <c r="P252" s="161" t="s">
        <v>319</v>
      </c>
      <c r="Q252" s="160" t="s">
        <v>358</v>
      </c>
      <c r="R252" s="160">
        <v>235</v>
      </c>
      <c r="S252" s="162">
        <f t="shared" si="5"/>
        <v>0.52927927927927931</v>
      </c>
    </row>
    <row r="253" spans="16:19" x14ac:dyDescent="0.25">
      <c r="P253" s="161" t="s">
        <v>320</v>
      </c>
      <c r="Q253" s="160" t="s">
        <v>358</v>
      </c>
      <c r="R253" s="160">
        <v>59</v>
      </c>
      <c r="S253" s="162">
        <f t="shared" si="5"/>
        <v>0.13288288288288289</v>
      </c>
    </row>
    <row r="254" spans="16:19" x14ac:dyDescent="0.25">
      <c r="P254" s="161" t="s">
        <v>321</v>
      </c>
      <c r="Q254" s="160" t="s">
        <v>358</v>
      </c>
      <c r="R254" s="160">
        <v>65</v>
      </c>
      <c r="S254" s="162">
        <f t="shared" si="5"/>
        <v>0.1463963963963964</v>
      </c>
    </row>
    <row r="255" spans="16:19" x14ac:dyDescent="0.25">
      <c r="P255" s="161" t="s">
        <v>322</v>
      </c>
      <c r="Q255" s="160" t="s">
        <v>358</v>
      </c>
      <c r="R255" s="160">
        <v>77</v>
      </c>
      <c r="S255" s="162">
        <f t="shared" si="5"/>
        <v>0.17342342342342343</v>
      </c>
    </row>
    <row r="256" spans="16:19" x14ac:dyDescent="0.25">
      <c r="P256" s="161" t="s">
        <v>323</v>
      </c>
      <c r="Q256" s="160" t="s">
        <v>358</v>
      </c>
      <c r="R256" s="160">
        <v>90</v>
      </c>
      <c r="S256" s="162">
        <f t="shared" si="5"/>
        <v>0.20270270270270271</v>
      </c>
    </row>
    <row r="257" spans="16:19" x14ac:dyDescent="0.25">
      <c r="P257" s="161" t="s">
        <v>324</v>
      </c>
      <c r="Q257" s="160" t="s">
        <v>358</v>
      </c>
      <c r="R257" s="160">
        <v>165</v>
      </c>
      <c r="S257" s="162">
        <f t="shared" si="5"/>
        <v>0.3716216216216216</v>
      </c>
    </row>
    <row r="258" spans="16:19" x14ac:dyDescent="0.25">
      <c r="P258" s="161" t="s">
        <v>325</v>
      </c>
      <c r="Q258" s="160" t="s">
        <v>358</v>
      </c>
      <c r="R258" s="160">
        <v>199</v>
      </c>
      <c r="S258" s="162">
        <f t="shared" si="5"/>
        <v>0.44819819819819817</v>
      </c>
    </row>
    <row r="259" spans="16:19" x14ac:dyDescent="0.25">
      <c r="P259" s="161" t="s">
        <v>326</v>
      </c>
      <c r="Q259" s="160" t="s">
        <v>358</v>
      </c>
      <c r="R259" s="160">
        <v>64</v>
      </c>
      <c r="S259" s="162">
        <f t="shared" si="5"/>
        <v>0.14414414414414414</v>
      </c>
    </row>
    <row r="260" spans="16:19" x14ac:dyDescent="0.25">
      <c r="P260" s="161" t="s">
        <v>327</v>
      </c>
      <c r="Q260" s="160" t="s">
        <v>358</v>
      </c>
      <c r="R260" s="160">
        <v>40</v>
      </c>
      <c r="S260" s="162">
        <f t="shared" ref="S260:S306" si="6">+R260/444</f>
        <v>9.0090090090090086E-2</v>
      </c>
    </row>
    <row r="261" spans="16:19" x14ac:dyDescent="0.25">
      <c r="P261" s="161" t="s">
        <v>328</v>
      </c>
      <c r="Q261" s="160" t="s">
        <v>358</v>
      </c>
      <c r="R261" s="160">
        <v>41</v>
      </c>
      <c r="S261" s="162">
        <f t="shared" si="6"/>
        <v>9.2342342342342343E-2</v>
      </c>
    </row>
    <row r="262" spans="16:19" x14ac:dyDescent="0.25">
      <c r="P262" s="161" t="s">
        <v>329</v>
      </c>
      <c r="Q262" s="160" t="s">
        <v>358</v>
      </c>
      <c r="R262" s="160">
        <v>36</v>
      </c>
      <c r="S262" s="162">
        <f t="shared" si="6"/>
        <v>8.1081081081081086E-2</v>
      </c>
    </row>
    <row r="263" spans="16:19" x14ac:dyDescent="0.25">
      <c r="P263" s="161" t="s">
        <v>330</v>
      </c>
      <c r="Q263" s="160" t="s">
        <v>358</v>
      </c>
      <c r="R263" s="160">
        <v>57</v>
      </c>
      <c r="S263" s="162">
        <f t="shared" si="6"/>
        <v>0.12837837837837837</v>
      </c>
    </row>
    <row r="264" spans="16:19" x14ac:dyDescent="0.25">
      <c r="P264" s="161" t="s">
        <v>331</v>
      </c>
      <c r="Q264" s="160" t="s">
        <v>358</v>
      </c>
      <c r="R264" s="160">
        <v>157</v>
      </c>
      <c r="S264" s="162">
        <f t="shared" si="6"/>
        <v>0.3536036036036036</v>
      </c>
    </row>
    <row r="265" spans="16:19" x14ac:dyDescent="0.25">
      <c r="P265" s="161" t="s">
        <v>332</v>
      </c>
      <c r="Q265" s="160" t="s">
        <v>358</v>
      </c>
      <c r="R265" s="160">
        <v>196</v>
      </c>
      <c r="S265" s="162">
        <f t="shared" si="6"/>
        <v>0.44144144144144143</v>
      </c>
    </row>
    <row r="266" spans="16:19" x14ac:dyDescent="0.25">
      <c r="P266" s="161" t="s">
        <v>333</v>
      </c>
      <c r="Q266" s="160" t="s">
        <v>358</v>
      </c>
      <c r="R266" s="160">
        <v>69</v>
      </c>
      <c r="S266" s="162">
        <f t="shared" si="6"/>
        <v>0.1554054054054054</v>
      </c>
    </row>
    <row r="267" spans="16:19" x14ac:dyDescent="0.25">
      <c r="P267" s="161" t="s">
        <v>334</v>
      </c>
      <c r="Q267" s="160" t="s">
        <v>358</v>
      </c>
      <c r="R267" s="160">
        <v>69</v>
      </c>
      <c r="S267" s="162">
        <f t="shared" si="6"/>
        <v>0.1554054054054054</v>
      </c>
    </row>
    <row r="268" spans="16:19" x14ac:dyDescent="0.25">
      <c r="P268" s="161" t="s">
        <v>335</v>
      </c>
      <c r="Q268" s="160" t="s">
        <v>358</v>
      </c>
      <c r="R268" s="160">
        <v>65</v>
      </c>
      <c r="S268" s="162">
        <f t="shared" si="6"/>
        <v>0.1463963963963964</v>
      </c>
    </row>
    <row r="269" spans="16:19" x14ac:dyDescent="0.25">
      <c r="P269" s="161" t="s">
        <v>336</v>
      </c>
      <c r="Q269" s="160" t="s">
        <v>358</v>
      </c>
      <c r="R269" s="160">
        <v>79</v>
      </c>
      <c r="S269" s="162">
        <f t="shared" si="6"/>
        <v>0.17792792792792791</v>
      </c>
    </row>
    <row r="270" spans="16:19" x14ac:dyDescent="0.25">
      <c r="P270" s="161" t="s">
        <v>338</v>
      </c>
      <c r="Q270" s="160" t="s">
        <v>358</v>
      </c>
      <c r="R270" s="160">
        <v>142</v>
      </c>
      <c r="S270" s="162">
        <f t="shared" si="6"/>
        <v>0.31981981981981983</v>
      </c>
    </row>
    <row r="271" spans="16:19" x14ac:dyDescent="0.25">
      <c r="P271" s="161" t="s">
        <v>340</v>
      </c>
      <c r="Q271" s="160" t="s">
        <v>358</v>
      </c>
      <c r="R271" s="160">
        <v>226</v>
      </c>
      <c r="S271" s="162">
        <f t="shared" si="6"/>
        <v>0.50900900900900903</v>
      </c>
    </row>
    <row r="272" spans="16:19" x14ac:dyDescent="0.25">
      <c r="P272" s="161" t="s">
        <v>342</v>
      </c>
      <c r="Q272" s="160" t="s">
        <v>358</v>
      </c>
      <c r="R272" s="160">
        <v>239</v>
      </c>
      <c r="S272" s="162">
        <f t="shared" si="6"/>
        <v>0.53828828828828834</v>
      </c>
    </row>
    <row r="273" spans="16:19" x14ac:dyDescent="0.25">
      <c r="P273" s="161" t="s">
        <v>344</v>
      </c>
      <c r="Q273" s="160" t="s">
        <v>358</v>
      </c>
      <c r="R273" s="160">
        <v>136</v>
      </c>
      <c r="S273" s="162">
        <f t="shared" si="6"/>
        <v>0.30630630630630629</v>
      </c>
    </row>
    <row r="274" spans="16:19" x14ac:dyDescent="0.25">
      <c r="P274" s="161" t="s">
        <v>346</v>
      </c>
      <c r="Q274" s="160" t="s">
        <v>358</v>
      </c>
      <c r="R274" s="160">
        <v>93</v>
      </c>
      <c r="S274" s="162">
        <f t="shared" si="6"/>
        <v>0.20945945945945946</v>
      </c>
    </row>
    <row r="275" spans="16:19" x14ac:dyDescent="0.25">
      <c r="P275" s="161" t="s">
        <v>347</v>
      </c>
      <c r="Q275" s="160" t="s">
        <v>358</v>
      </c>
      <c r="R275" s="160">
        <v>67</v>
      </c>
      <c r="S275" s="162">
        <f t="shared" si="6"/>
        <v>0.15090090090090091</v>
      </c>
    </row>
    <row r="276" spans="16:19" x14ac:dyDescent="0.25">
      <c r="P276" s="161" t="s">
        <v>349</v>
      </c>
      <c r="Q276" s="160" t="s">
        <v>358</v>
      </c>
      <c r="R276" s="160">
        <v>68</v>
      </c>
      <c r="S276" s="162">
        <f t="shared" si="6"/>
        <v>0.15315315315315314</v>
      </c>
    </row>
    <row r="277" spans="16:19" x14ac:dyDescent="0.25">
      <c r="P277" s="161" t="s">
        <v>313</v>
      </c>
      <c r="Q277" s="160" t="s">
        <v>359</v>
      </c>
      <c r="R277" s="160">
        <v>73</v>
      </c>
      <c r="S277" s="162">
        <f t="shared" si="6"/>
        <v>0.16441441441441443</v>
      </c>
    </row>
    <row r="278" spans="16:19" x14ac:dyDescent="0.25">
      <c r="P278" s="161" t="s">
        <v>315</v>
      </c>
      <c r="Q278" s="160" t="s">
        <v>359</v>
      </c>
      <c r="R278" s="160">
        <v>121</v>
      </c>
      <c r="S278" s="162">
        <f t="shared" si="6"/>
        <v>0.27252252252252251</v>
      </c>
    </row>
    <row r="279" spans="16:19" x14ac:dyDescent="0.25">
      <c r="P279" s="161" t="s">
        <v>316</v>
      </c>
      <c r="Q279" s="160" t="s">
        <v>359</v>
      </c>
      <c r="R279" s="160">
        <v>130</v>
      </c>
      <c r="S279" s="162">
        <f t="shared" si="6"/>
        <v>0.2927927927927928</v>
      </c>
    </row>
    <row r="280" spans="16:19" x14ac:dyDescent="0.25">
      <c r="P280" s="161" t="s">
        <v>317</v>
      </c>
      <c r="Q280" s="160" t="s">
        <v>359</v>
      </c>
      <c r="R280" s="160">
        <v>64</v>
      </c>
      <c r="S280" s="162">
        <f t="shared" si="6"/>
        <v>0.14414414414414414</v>
      </c>
    </row>
    <row r="281" spans="16:19" x14ac:dyDescent="0.25">
      <c r="P281" s="161" t="s">
        <v>318</v>
      </c>
      <c r="Q281" s="160" t="s">
        <v>359</v>
      </c>
      <c r="R281" s="160">
        <v>70</v>
      </c>
      <c r="S281" s="162">
        <f t="shared" si="6"/>
        <v>0.15765765765765766</v>
      </c>
    </row>
    <row r="282" spans="16:19" x14ac:dyDescent="0.25">
      <c r="P282" s="161" t="s">
        <v>319</v>
      </c>
      <c r="Q282" s="160" t="s">
        <v>359</v>
      </c>
      <c r="R282" s="160">
        <v>67</v>
      </c>
      <c r="S282" s="162">
        <f t="shared" si="6"/>
        <v>0.15090090090090091</v>
      </c>
    </row>
    <row r="283" spans="16:19" x14ac:dyDescent="0.25">
      <c r="P283" s="161" t="s">
        <v>320</v>
      </c>
      <c r="Q283" s="160" t="s">
        <v>359</v>
      </c>
      <c r="R283" s="160">
        <v>81</v>
      </c>
      <c r="S283" s="162">
        <f t="shared" si="6"/>
        <v>0.18243243243243243</v>
      </c>
    </row>
    <row r="284" spans="16:19" x14ac:dyDescent="0.25">
      <c r="P284" s="161" t="s">
        <v>321</v>
      </c>
      <c r="Q284" s="160" t="s">
        <v>359</v>
      </c>
      <c r="R284" s="160">
        <v>125</v>
      </c>
      <c r="S284" s="162">
        <f t="shared" si="6"/>
        <v>0.28153153153153154</v>
      </c>
    </row>
    <row r="285" spans="16:19" x14ac:dyDescent="0.25">
      <c r="P285" s="161" t="s">
        <v>322</v>
      </c>
      <c r="Q285" s="160" t="s">
        <v>359</v>
      </c>
      <c r="R285" s="160">
        <v>199</v>
      </c>
      <c r="S285" s="162">
        <f t="shared" si="6"/>
        <v>0.44819819819819817</v>
      </c>
    </row>
    <row r="286" spans="16:19" x14ac:dyDescent="0.25">
      <c r="P286" s="161" t="s">
        <v>323</v>
      </c>
      <c r="Q286" s="160" t="s">
        <v>359</v>
      </c>
      <c r="R286" s="160">
        <v>205</v>
      </c>
      <c r="S286" s="162">
        <f t="shared" si="6"/>
        <v>0.46171171171171171</v>
      </c>
    </row>
    <row r="287" spans="16:19" x14ac:dyDescent="0.25">
      <c r="P287" s="161" t="s">
        <v>324</v>
      </c>
      <c r="Q287" s="160" t="s">
        <v>359</v>
      </c>
      <c r="R287" s="160">
        <v>124</v>
      </c>
      <c r="S287" s="162">
        <f t="shared" si="6"/>
        <v>0.27927927927927926</v>
      </c>
    </row>
    <row r="288" spans="16:19" x14ac:dyDescent="0.25">
      <c r="P288" s="161" t="s">
        <v>325</v>
      </c>
      <c r="Q288" s="160" t="s">
        <v>359</v>
      </c>
      <c r="R288" s="160">
        <v>81</v>
      </c>
      <c r="S288" s="162">
        <f t="shared" si="6"/>
        <v>0.18243243243243243</v>
      </c>
    </row>
    <row r="289" spans="16:19" x14ac:dyDescent="0.25">
      <c r="P289" s="161" t="s">
        <v>326</v>
      </c>
      <c r="Q289" s="160" t="s">
        <v>359</v>
      </c>
      <c r="R289" s="160">
        <v>51</v>
      </c>
      <c r="S289" s="162">
        <f t="shared" si="6"/>
        <v>0.11486486486486487</v>
      </c>
    </row>
    <row r="290" spans="16:19" x14ac:dyDescent="0.25">
      <c r="P290" s="161" t="s">
        <v>327</v>
      </c>
      <c r="Q290" s="160" t="s">
        <v>359</v>
      </c>
      <c r="R290" s="160">
        <v>90</v>
      </c>
      <c r="S290" s="162">
        <f t="shared" si="6"/>
        <v>0.20270270270270271</v>
      </c>
    </row>
    <row r="291" spans="16:19" x14ac:dyDescent="0.25">
      <c r="P291" s="161" t="s">
        <v>328</v>
      </c>
      <c r="Q291" s="160" t="s">
        <v>359</v>
      </c>
      <c r="R291" s="160">
        <v>111</v>
      </c>
      <c r="S291" s="162">
        <f t="shared" si="6"/>
        <v>0.25</v>
      </c>
    </row>
    <row r="292" spans="16:19" x14ac:dyDescent="0.25">
      <c r="P292" s="161" t="s">
        <v>329</v>
      </c>
      <c r="Q292" s="160" t="s">
        <v>359</v>
      </c>
      <c r="R292" s="160">
        <v>149</v>
      </c>
      <c r="S292" s="162">
        <f t="shared" si="6"/>
        <v>0.3355855855855856</v>
      </c>
    </row>
    <row r="293" spans="16:19" x14ac:dyDescent="0.25">
      <c r="P293" s="161" t="s">
        <v>330</v>
      </c>
      <c r="Q293" s="160" t="s">
        <v>359</v>
      </c>
      <c r="R293" s="160">
        <v>165</v>
      </c>
      <c r="S293" s="162">
        <f t="shared" si="6"/>
        <v>0.3716216216216216</v>
      </c>
    </row>
    <row r="294" spans="16:19" x14ac:dyDescent="0.25">
      <c r="P294" s="161" t="s">
        <v>331</v>
      </c>
      <c r="Q294" s="160" t="s">
        <v>359</v>
      </c>
      <c r="R294" s="160">
        <v>95</v>
      </c>
      <c r="S294" s="162">
        <f t="shared" si="6"/>
        <v>0.21396396396396397</v>
      </c>
    </row>
    <row r="295" spans="16:19" x14ac:dyDescent="0.25">
      <c r="P295" s="161" t="s">
        <v>332</v>
      </c>
      <c r="Q295" s="160" t="s">
        <v>359</v>
      </c>
      <c r="R295" s="160">
        <v>70</v>
      </c>
      <c r="S295" s="162">
        <f t="shared" si="6"/>
        <v>0.15765765765765766</v>
      </c>
    </row>
    <row r="296" spans="16:19" x14ac:dyDescent="0.25">
      <c r="P296" s="161" t="s">
        <v>333</v>
      </c>
      <c r="Q296" s="160" t="s">
        <v>359</v>
      </c>
      <c r="R296" s="160">
        <v>68</v>
      </c>
      <c r="S296" s="162">
        <f t="shared" si="6"/>
        <v>0.15315315315315314</v>
      </c>
    </row>
    <row r="297" spans="16:19" x14ac:dyDescent="0.25">
      <c r="P297" s="161" t="s">
        <v>334</v>
      </c>
      <c r="Q297" s="160" t="s">
        <v>359</v>
      </c>
      <c r="R297" s="160">
        <v>58</v>
      </c>
      <c r="S297" s="162">
        <f t="shared" si="6"/>
        <v>0.13063063063063063</v>
      </c>
    </row>
    <row r="298" spans="16:19" x14ac:dyDescent="0.25">
      <c r="P298" s="161" t="s">
        <v>335</v>
      </c>
      <c r="Q298" s="160" t="s">
        <v>359</v>
      </c>
      <c r="R298" s="160">
        <v>83</v>
      </c>
      <c r="S298" s="162">
        <f t="shared" si="6"/>
        <v>0.18693693693693694</v>
      </c>
    </row>
    <row r="299" spans="16:19" x14ac:dyDescent="0.25">
      <c r="P299" s="161" t="s">
        <v>336</v>
      </c>
      <c r="Q299" s="160" t="s">
        <v>359</v>
      </c>
      <c r="R299" s="160">
        <v>131</v>
      </c>
      <c r="S299" s="162">
        <f t="shared" si="6"/>
        <v>0.29504504504504503</v>
      </c>
    </row>
    <row r="300" spans="16:19" x14ac:dyDescent="0.25">
      <c r="P300" s="161" t="s">
        <v>338</v>
      </c>
      <c r="Q300" s="160" t="s">
        <v>359</v>
      </c>
      <c r="R300" s="160">
        <v>151</v>
      </c>
      <c r="S300" s="162">
        <f t="shared" si="6"/>
        <v>0.34009009009009011</v>
      </c>
    </row>
    <row r="301" spans="16:19" x14ac:dyDescent="0.25">
      <c r="P301" s="161" t="s">
        <v>340</v>
      </c>
      <c r="Q301" s="160" t="s">
        <v>359</v>
      </c>
      <c r="R301" s="160">
        <v>62</v>
      </c>
      <c r="S301" s="162">
        <f t="shared" si="6"/>
        <v>0.13963963963963963</v>
      </c>
    </row>
    <row r="302" spans="16:19" x14ac:dyDescent="0.25">
      <c r="P302" s="161" t="s">
        <v>342</v>
      </c>
      <c r="Q302" s="160" t="s">
        <v>359</v>
      </c>
      <c r="R302" s="160">
        <v>58</v>
      </c>
      <c r="S302" s="162">
        <f t="shared" si="6"/>
        <v>0.13063063063063063</v>
      </c>
    </row>
    <row r="303" spans="16:19" x14ac:dyDescent="0.25">
      <c r="P303" s="161" t="s">
        <v>344</v>
      </c>
      <c r="Q303" s="160" t="s">
        <v>359</v>
      </c>
      <c r="R303" s="160">
        <v>54</v>
      </c>
      <c r="S303" s="162">
        <f t="shared" si="6"/>
        <v>0.12162162162162163</v>
      </c>
    </row>
    <row r="304" spans="16:19" x14ac:dyDescent="0.25">
      <c r="P304" s="161" t="s">
        <v>346</v>
      </c>
      <c r="Q304" s="160" t="s">
        <v>359</v>
      </c>
      <c r="R304" s="160">
        <v>58</v>
      </c>
      <c r="S304" s="162">
        <f t="shared" si="6"/>
        <v>0.13063063063063063</v>
      </c>
    </row>
    <row r="305" spans="16:19" x14ac:dyDescent="0.25">
      <c r="P305" s="161" t="s">
        <v>347</v>
      </c>
      <c r="Q305" s="160" t="s">
        <v>359</v>
      </c>
      <c r="R305" s="160">
        <v>71</v>
      </c>
      <c r="S305" s="162">
        <f t="shared" si="6"/>
        <v>0.15990990990990991</v>
      </c>
    </row>
    <row r="306" spans="16:19" x14ac:dyDescent="0.25">
      <c r="P306" s="161" t="s">
        <v>349</v>
      </c>
      <c r="Q306" s="160" t="s">
        <v>359</v>
      </c>
      <c r="R306" s="160">
        <v>122</v>
      </c>
      <c r="S306" s="162">
        <f t="shared" si="6"/>
        <v>0.2747747747747748</v>
      </c>
    </row>
    <row r="307" spans="16:19" x14ac:dyDescent="0.25">
      <c r="P307" s="161"/>
      <c r="Q307" s="160"/>
      <c r="R307" s="160"/>
      <c r="S307" s="160"/>
    </row>
    <row r="308" spans="16:19" x14ac:dyDescent="0.25">
      <c r="P308" s="161"/>
      <c r="Q308" s="160"/>
      <c r="R308" s="160"/>
      <c r="S308" s="160"/>
    </row>
    <row r="309" spans="16:19" x14ac:dyDescent="0.25">
      <c r="P309" s="161"/>
      <c r="Q309" s="160"/>
      <c r="R309" s="160"/>
      <c r="S309" s="160"/>
    </row>
    <row r="310" spans="16:19" x14ac:dyDescent="0.25">
      <c r="P310" s="161"/>
      <c r="Q310" s="160"/>
      <c r="R310" s="160"/>
      <c r="S310" s="160"/>
    </row>
    <row r="311" spans="16:19" x14ac:dyDescent="0.25">
      <c r="P311" s="161"/>
      <c r="Q311" s="160"/>
      <c r="R311" s="160"/>
      <c r="S311" s="160"/>
    </row>
    <row r="312" spans="16:19" x14ac:dyDescent="0.25">
      <c r="P312" s="161"/>
      <c r="Q312" s="160"/>
      <c r="R312" s="160"/>
      <c r="S312" s="160"/>
    </row>
    <row r="313" spans="16:19" x14ac:dyDescent="0.25">
      <c r="P313" s="161"/>
      <c r="Q313" s="160"/>
      <c r="R313" s="160"/>
      <c r="S313" s="160"/>
    </row>
    <row r="314" spans="16:19" x14ac:dyDescent="0.25">
      <c r="P314" s="161"/>
      <c r="Q314" s="160"/>
      <c r="R314" s="160"/>
      <c r="S314" s="160"/>
    </row>
    <row r="315" spans="16:19" x14ac:dyDescent="0.25">
      <c r="P315" s="161"/>
      <c r="Q315" s="160"/>
      <c r="R315" s="160"/>
      <c r="S315" s="160"/>
    </row>
    <row r="316" spans="16:19" x14ac:dyDescent="0.25">
      <c r="P316" s="161"/>
      <c r="Q316" s="160"/>
      <c r="R316" s="160"/>
      <c r="S316" s="160"/>
    </row>
    <row r="317" spans="16:19" x14ac:dyDescent="0.25">
      <c r="P317" s="161"/>
      <c r="Q317" s="160"/>
      <c r="R317" s="160"/>
      <c r="S317" s="160"/>
    </row>
    <row r="318" spans="16:19" x14ac:dyDescent="0.25">
      <c r="P318" s="161"/>
      <c r="Q318" s="160"/>
      <c r="R318" s="160"/>
      <c r="S318" s="160"/>
    </row>
    <row r="319" spans="16:19" x14ac:dyDescent="0.25">
      <c r="P319" s="161"/>
      <c r="Q319" s="160"/>
      <c r="R319" s="160"/>
      <c r="S319" s="160"/>
    </row>
    <row r="320" spans="16:19" x14ac:dyDescent="0.25">
      <c r="P320" s="161"/>
      <c r="Q320" s="160"/>
      <c r="R320" s="160"/>
      <c r="S320" s="160"/>
    </row>
    <row r="321" spans="16:19" x14ac:dyDescent="0.25">
      <c r="P321" s="161"/>
      <c r="Q321" s="160"/>
      <c r="R321" s="160"/>
      <c r="S321" s="160"/>
    </row>
    <row r="322" spans="16:19" x14ac:dyDescent="0.25">
      <c r="P322" s="161"/>
      <c r="Q322" s="160"/>
      <c r="R322" s="160"/>
      <c r="S322" s="160"/>
    </row>
    <row r="323" spans="16:19" x14ac:dyDescent="0.25">
      <c r="P323" s="161"/>
      <c r="Q323" s="160"/>
      <c r="R323" s="160"/>
      <c r="S323" s="160"/>
    </row>
    <row r="324" spans="16:19" x14ac:dyDescent="0.25">
      <c r="P324" s="161"/>
      <c r="Q324" s="160"/>
      <c r="R324" s="160"/>
      <c r="S324" s="160"/>
    </row>
    <row r="325" spans="16:19" x14ac:dyDescent="0.25">
      <c r="P325" s="161"/>
      <c r="Q325" s="160"/>
      <c r="R325" s="160"/>
      <c r="S325" s="160"/>
    </row>
    <row r="326" spans="16:19" x14ac:dyDescent="0.25">
      <c r="P326" s="161"/>
      <c r="Q326" s="160"/>
      <c r="R326" s="160"/>
      <c r="S326" s="160"/>
    </row>
    <row r="327" spans="16:19" x14ac:dyDescent="0.25">
      <c r="P327" s="161"/>
      <c r="Q327" s="160"/>
      <c r="R327" s="160"/>
      <c r="S327" s="160"/>
    </row>
    <row r="328" spans="16:19" x14ac:dyDescent="0.25">
      <c r="P328" s="161"/>
      <c r="Q328" s="160"/>
      <c r="R328" s="160"/>
      <c r="S328" s="160"/>
    </row>
    <row r="329" spans="16:19" x14ac:dyDescent="0.25">
      <c r="P329" s="161"/>
      <c r="Q329" s="160"/>
      <c r="R329" s="160"/>
      <c r="S329" s="160"/>
    </row>
    <row r="330" spans="16:19" x14ac:dyDescent="0.25">
      <c r="P330" s="161"/>
      <c r="Q330" s="160"/>
      <c r="R330" s="160"/>
      <c r="S330" s="160"/>
    </row>
    <row r="331" spans="16:19" x14ac:dyDescent="0.25">
      <c r="P331" s="161"/>
      <c r="Q331" s="160"/>
      <c r="R331" s="160"/>
      <c r="S331" s="160"/>
    </row>
    <row r="332" spans="16:19" x14ac:dyDescent="0.25">
      <c r="P332" s="161"/>
      <c r="Q332" s="160"/>
      <c r="R332" s="160"/>
      <c r="S332" s="160"/>
    </row>
    <row r="333" spans="16:19" x14ac:dyDescent="0.25">
      <c r="P333" s="161"/>
      <c r="Q333" s="160"/>
      <c r="R333" s="160"/>
      <c r="S333" s="160"/>
    </row>
    <row r="334" spans="16:19" x14ac:dyDescent="0.25">
      <c r="P334" s="161"/>
      <c r="Q334" s="160"/>
      <c r="R334" s="160"/>
      <c r="S334" s="160"/>
    </row>
    <row r="335" spans="16:19" x14ac:dyDescent="0.25">
      <c r="P335" s="161"/>
      <c r="Q335" s="160"/>
      <c r="R335" s="160"/>
      <c r="S335" s="160"/>
    </row>
    <row r="336" spans="16:19" x14ac:dyDescent="0.25">
      <c r="P336" s="161"/>
      <c r="Q336" s="160"/>
      <c r="R336" s="160"/>
      <c r="S336" s="160"/>
    </row>
    <row r="337" spans="16:19" x14ac:dyDescent="0.25">
      <c r="P337" s="161"/>
      <c r="Q337" s="160"/>
      <c r="R337" s="160"/>
      <c r="S337" s="160"/>
    </row>
    <row r="338" spans="16:19" x14ac:dyDescent="0.25">
      <c r="P338" s="161"/>
      <c r="Q338" s="160"/>
      <c r="R338" s="160"/>
      <c r="S338" s="160"/>
    </row>
    <row r="339" spans="16:19" x14ac:dyDescent="0.25">
      <c r="P339" s="161"/>
      <c r="Q339" s="160"/>
      <c r="R339" s="160"/>
      <c r="S339" s="160"/>
    </row>
    <row r="340" spans="16:19" x14ac:dyDescent="0.25">
      <c r="P340" s="161"/>
      <c r="Q340" s="160"/>
      <c r="R340" s="160"/>
      <c r="S340" s="160"/>
    </row>
    <row r="341" spans="16:19" x14ac:dyDescent="0.25">
      <c r="P341" s="161"/>
      <c r="Q341" s="160"/>
      <c r="R341" s="160"/>
      <c r="S341" s="160"/>
    </row>
    <row r="342" spans="16:19" x14ac:dyDescent="0.25">
      <c r="P342" s="161"/>
      <c r="Q342" s="160"/>
      <c r="R342" s="160"/>
      <c r="S342" s="160"/>
    </row>
    <row r="343" spans="16:19" x14ac:dyDescent="0.25">
      <c r="P343" s="161"/>
      <c r="Q343" s="160"/>
      <c r="R343" s="160"/>
      <c r="S343" s="160"/>
    </row>
    <row r="344" spans="16:19" x14ac:dyDescent="0.25">
      <c r="P344" s="161"/>
      <c r="Q344" s="160"/>
      <c r="R344" s="160"/>
      <c r="S344" s="160"/>
    </row>
    <row r="345" spans="16:19" x14ac:dyDescent="0.25">
      <c r="P345" s="161"/>
      <c r="Q345" s="160"/>
      <c r="R345" s="160"/>
      <c r="S345" s="160"/>
    </row>
    <row r="346" spans="16:19" x14ac:dyDescent="0.25">
      <c r="P346" s="161"/>
      <c r="Q346" s="160"/>
      <c r="R346" s="160"/>
      <c r="S346" s="160"/>
    </row>
    <row r="347" spans="16:19" x14ac:dyDescent="0.25">
      <c r="P347" s="161"/>
      <c r="Q347" s="160"/>
      <c r="R347" s="160"/>
      <c r="S347" s="160"/>
    </row>
    <row r="348" spans="16:19" x14ac:dyDescent="0.25">
      <c r="P348" s="161"/>
      <c r="Q348" s="160"/>
      <c r="R348" s="160"/>
      <c r="S348" s="160"/>
    </row>
    <row r="349" spans="16:19" x14ac:dyDescent="0.25">
      <c r="P349" s="161"/>
      <c r="Q349" s="160"/>
      <c r="R349" s="160"/>
      <c r="S349" s="160"/>
    </row>
    <row r="350" spans="16:19" x14ac:dyDescent="0.25">
      <c r="P350" s="161"/>
      <c r="Q350" s="160"/>
      <c r="R350" s="160"/>
      <c r="S350" s="160"/>
    </row>
    <row r="351" spans="16:19" x14ac:dyDescent="0.25">
      <c r="P351" s="161"/>
      <c r="Q351" s="160"/>
      <c r="R351" s="160"/>
      <c r="S351" s="160"/>
    </row>
    <row r="352" spans="16:19" x14ac:dyDescent="0.25">
      <c r="P352" s="161"/>
      <c r="Q352" s="160"/>
      <c r="R352" s="160"/>
      <c r="S352" s="160"/>
    </row>
    <row r="353" spans="16:19" x14ac:dyDescent="0.25">
      <c r="P353" s="161"/>
      <c r="Q353" s="160"/>
      <c r="R353" s="160"/>
      <c r="S353" s="160"/>
    </row>
    <row r="354" spans="16:19" x14ac:dyDescent="0.25">
      <c r="P354" s="161"/>
      <c r="Q354" s="160"/>
      <c r="R354" s="160"/>
      <c r="S354" s="160"/>
    </row>
    <row r="355" spans="16:19" x14ac:dyDescent="0.25">
      <c r="P355" s="161"/>
      <c r="Q355" s="160"/>
      <c r="R355" s="160"/>
      <c r="S355" s="160"/>
    </row>
    <row r="356" spans="16:19" x14ac:dyDescent="0.25">
      <c r="P356" s="161"/>
      <c r="Q356" s="160"/>
      <c r="R356" s="160"/>
      <c r="S356" s="160"/>
    </row>
    <row r="357" spans="16:19" x14ac:dyDescent="0.25">
      <c r="P357" s="161"/>
      <c r="Q357" s="160"/>
      <c r="R357" s="160"/>
      <c r="S357" s="160"/>
    </row>
    <row r="358" spans="16:19" x14ac:dyDescent="0.25">
      <c r="P358" s="161"/>
      <c r="Q358" s="160"/>
      <c r="R358" s="160"/>
      <c r="S358" s="160"/>
    </row>
    <row r="359" spans="16:19" x14ac:dyDescent="0.25">
      <c r="P359" s="161"/>
      <c r="Q359" s="160"/>
      <c r="R359" s="160"/>
      <c r="S359" s="160"/>
    </row>
    <row r="360" spans="16:19" x14ac:dyDescent="0.25">
      <c r="P360" s="161"/>
      <c r="Q360" s="160"/>
      <c r="R360" s="160"/>
      <c r="S360" s="160"/>
    </row>
    <row r="361" spans="16:19" x14ac:dyDescent="0.25">
      <c r="P361" s="161"/>
      <c r="Q361" s="160"/>
      <c r="R361" s="160"/>
      <c r="S361" s="160"/>
    </row>
    <row r="362" spans="16:19" x14ac:dyDescent="0.25">
      <c r="P362" s="161"/>
      <c r="Q362" s="160"/>
      <c r="R362" s="160"/>
      <c r="S362" s="160"/>
    </row>
    <row r="363" spans="16:19" x14ac:dyDescent="0.25">
      <c r="P363" s="161"/>
      <c r="Q363" s="160"/>
      <c r="R363" s="160"/>
      <c r="S363" s="160"/>
    </row>
    <row r="364" spans="16:19" x14ac:dyDescent="0.25">
      <c r="P364" s="161"/>
      <c r="Q364" s="160"/>
      <c r="R364" s="160"/>
      <c r="S364" s="160"/>
    </row>
    <row r="365" spans="16:19" x14ac:dyDescent="0.25">
      <c r="P365" s="161"/>
      <c r="Q365" s="160"/>
      <c r="R365" s="160"/>
      <c r="S365" s="160"/>
    </row>
    <row r="366" spans="16:19" x14ac:dyDescent="0.25">
      <c r="P366" s="161"/>
      <c r="Q366" s="160"/>
      <c r="R366" s="160"/>
      <c r="S366" s="160"/>
    </row>
    <row r="367" spans="16:19" x14ac:dyDescent="0.25">
      <c r="P367" s="161"/>
      <c r="Q367" s="160"/>
      <c r="R367" s="160"/>
      <c r="S367" s="160"/>
    </row>
    <row r="368" spans="16:19" x14ac:dyDescent="0.25">
      <c r="P368" s="161"/>
      <c r="Q368" s="160"/>
      <c r="R368" s="160"/>
      <c r="S368" s="160"/>
    </row>
  </sheetData>
  <dataValidations count="1">
    <dataValidation type="list" allowBlank="1" showInputMessage="1" sqref="R1:S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Y65"/>
  <sheetViews>
    <sheetView topLeftCell="B37" zoomScaleNormal="100" workbookViewId="0">
      <pane xSplit="1" topLeftCell="AF1" activePane="topRight" state="frozen"/>
      <selection activeCell="B223" sqref="B223"/>
      <selection pane="topRight" activeCell="AU64" sqref="AU64:BB6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13" customWidth="1"/>
    <col min="4" max="4" width="11.140625" customWidth="1"/>
    <col min="6" max="6" width="11.28515625" customWidth="1"/>
    <col min="7" max="7" width="9.140625" customWidth="1"/>
    <col min="8" max="8" width="11" customWidth="1"/>
    <col min="9" max="9" width="9.5703125" bestFit="1" customWidth="1"/>
    <col min="10" max="10" width="10.42578125" customWidth="1"/>
    <col min="11" max="11" width="9.140625" customWidth="1"/>
    <col min="12" max="12" width="10.85546875" customWidth="1"/>
    <col min="14" max="14" width="10.28515625" customWidth="1"/>
    <col min="15" max="15" width="9.140625" customWidth="1"/>
    <col min="16" max="16" width="10.28515625" customWidth="1"/>
    <col min="18" max="18" width="10.42578125" customWidth="1"/>
    <col min="19" max="19" width="9.140625" customWidth="1"/>
    <col min="20" max="20" width="10.28515625" customWidth="1"/>
    <col min="22" max="22" width="10.140625" customWidth="1"/>
    <col min="23" max="23" width="9.140625" customWidth="1"/>
    <col min="24" max="24" width="10.140625" customWidth="1"/>
    <col min="26" max="26" width="12" bestFit="1" customWidth="1"/>
    <col min="27" max="27" width="9.140625" customWidth="1"/>
    <col min="28" max="28" width="10.42578125" customWidth="1"/>
    <col min="30" max="30" width="10.140625" bestFit="1" customWidth="1"/>
    <col min="31" max="31" width="9.140625" customWidth="1"/>
    <col min="32" max="32" width="10.85546875" customWidth="1"/>
    <col min="35" max="35" width="9.140625" customWidth="1"/>
    <col min="36" max="36" width="10.140625" customWidth="1"/>
    <col min="38" max="38" width="10.42578125" customWidth="1"/>
    <col min="39" max="39" width="9.140625" customWidth="1"/>
    <col min="40" max="40" width="9.85546875" customWidth="1"/>
    <col min="42" max="42" width="10.7109375" customWidth="1"/>
    <col min="43" max="43" width="9.140625" customWidth="1"/>
    <col min="44" max="44" width="9.85546875" customWidth="1"/>
    <col min="45" max="45" width="2.7109375" customWidth="1"/>
    <col min="46" max="46" width="13.7109375" customWidth="1"/>
    <col min="47" max="47" width="9.140625" customWidth="1"/>
    <col min="50" max="50" width="10.7109375" customWidth="1"/>
    <col min="51" max="51" width="9.140625" customWidth="1"/>
    <col min="52" max="52" width="6" customWidth="1"/>
    <col min="53" max="53" width="11.42578125" customWidth="1"/>
    <col min="56" max="56" width="2.7109375" customWidth="1"/>
    <col min="57" max="57" width="9.140625" customWidth="1"/>
    <col min="58" max="58" width="12.5703125" customWidth="1"/>
    <col min="59" max="59" width="12.7109375" customWidth="1"/>
    <col min="60" max="60" width="10.7109375" customWidth="1"/>
    <col min="61" max="61" width="9.140625" customWidth="1"/>
    <col min="62" max="62" width="12.7109375" customWidth="1"/>
    <col min="63" max="63" width="9.85546875" customWidth="1"/>
    <col min="64" max="64" width="9.140625" customWidth="1"/>
    <col min="65" max="65" width="12.7109375" customWidth="1"/>
    <col min="66" max="66" width="10.28515625" customWidth="1"/>
    <col min="67" max="67" width="9.140625" customWidth="1"/>
    <col min="68" max="68" width="12.7109375" customWidth="1"/>
    <col min="69" max="69" width="10.7109375" customWidth="1"/>
    <col min="70" max="70" width="9.140625" customWidth="1"/>
    <col min="71" max="71" width="1.7109375" style="41" customWidth="1"/>
    <col min="72" max="74" width="10.7109375" style="41" customWidth="1"/>
    <col min="75" max="75" width="9.140625" style="41"/>
    <col min="76" max="76" width="1.7109375" customWidth="1"/>
    <col min="78" max="78" width="11.85546875" customWidth="1"/>
    <col min="79" max="80" width="10.7109375" customWidth="1"/>
    <col min="81" max="81" width="10.7109375" style="42" customWidth="1"/>
    <col min="82" max="84" width="8.7109375" customWidth="1"/>
    <col min="85" max="85" width="10.85546875" customWidth="1"/>
    <col min="86" max="86" width="8.7109375" customWidth="1"/>
    <col min="87" max="87" width="11.85546875" customWidth="1"/>
    <col min="88" max="88" width="12.7109375" customWidth="1"/>
    <col min="89" max="89" width="10.7109375" customWidth="1"/>
    <col min="90" max="90" width="13.28515625" style="42" customWidth="1"/>
    <col min="91" max="95" width="8.7109375" customWidth="1"/>
    <col min="96" max="96" width="10.7109375" customWidth="1"/>
    <col min="97" max="97" width="12.7109375" customWidth="1"/>
    <col min="98" max="98" width="10.7109375" customWidth="1"/>
    <col min="99" max="99" width="12" style="42" customWidth="1"/>
    <col min="100" max="104" width="8.7109375" customWidth="1"/>
    <col min="105" max="105" width="11.7109375" customWidth="1"/>
    <col min="106" max="106" width="12.7109375" customWidth="1"/>
    <col min="107" max="107" width="10.7109375" customWidth="1"/>
    <col min="108" max="108" width="11.7109375" style="42" customWidth="1"/>
    <col min="109" max="113" width="8.7109375" customWidth="1"/>
    <col min="114" max="114" width="10.7109375" customWidth="1"/>
    <col min="115" max="115" width="12.7109375" customWidth="1"/>
    <col min="116" max="116" width="10.7109375" customWidth="1"/>
    <col min="117" max="117" width="10.7109375" style="42" customWidth="1"/>
    <col min="118" max="121" width="8.7109375" customWidth="1"/>
    <col min="122" max="122" width="8.7109375" style="43" customWidth="1"/>
    <col min="123" max="123" width="11.7109375" customWidth="1"/>
    <col min="124" max="124" width="12.7109375" customWidth="1"/>
    <col min="125" max="125" width="10.7109375" customWidth="1"/>
    <col min="126" max="126" width="11.7109375" style="42" customWidth="1"/>
    <col min="127" max="130" width="8.7109375" customWidth="1"/>
    <col min="131" max="131" width="8.7109375" style="43" customWidth="1"/>
    <col min="132" max="132" width="10.7109375" customWidth="1"/>
    <col min="133" max="133" width="12.7109375" customWidth="1"/>
    <col min="134" max="134" width="10.7109375" customWidth="1"/>
    <col min="135" max="135" width="10.7109375" style="42" customWidth="1"/>
    <col min="136" max="140" width="8.7109375" customWidth="1"/>
    <col min="141" max="141" width="10.7109375" customWidth="1"/>
    <col min="142" max="142" width="12.7109375" customWidth="1"/>
    <col min="143" max="143" width="10.7109375" customWidth="1"/>
    <col min="144" max="144" width="10.7109375" style="42" customWidth="1"/>
    <col min="145" max="149" width="8.7109375" customWidth="1"/>
    <col min="150" max="150" width="10.7109375" customWidth="1"/>
    <col min="151" max="151" width="12.7109375" customWidth="1"/>
    <col min="152" max="152" width="10.7109375" customWidth="1"/>
    <col min="153" max="153" width="10.7109375" style="42" customWidth="1"/>
    <col min="154" max="158" width="8.7109375" customWidth="1"/>
    <col min="159" max="159" width="10.7109375" customWidth="1"/>
    <col min="160" max="160" width="12.7109375" customWidth="1"/>
    <col min="161" max="161" width="10.7109375" customWidth="1"/>
    <col min="162" max="162" width="10.7109375" style="42" customWidth="1"/>
    <col min="163" max="167" width="8.7109375" customWidth="1"/>
    <col min="168" max="168" width="10.7109375" customWidth="1"/>
    <col min="169" max="169" width="12.7109375" customWidth="1"/>
    <col min="170" max="170" width="10.7109375" customWidth="1"/>
    <col min="171" max="171" width="10.7109375" style="42" customWidth="1"/>
    <col min="172" max="172" width="10.7109375" style="44" customWidth="1"/>
    <col min="173" max="174" width="10.7109375" style="45" customWidth="1"/>
    <col min="175" max="175" width="11.7109375" style="44" customWidth="1"/>
    <col min="176" max="176" width="10.7109375" style="44" customWidth="1"/>
    <col min="177" max="177" width="13.140625" style="44" customWidth="1"/>
    <col min="178" max="178" width="12.7109375" customWidth="1"/>
    <col min="179" max="179" width="10.7109375" style="44" customWidth="1"/>
    <col min="180" max="180" width="12.28515625" style="44" customWidth="1"/>
    <col min="181" max="181" width="2.7109375" style="44" customWidth="1"/>
    <col min="182" max="182" width="12.7109375" style="46" customWidth="1"/>
    <col min="183" max="183" width="12.7109375" customWidth="1"/>
    <col min="184" max="184" width="13.7109375" customWidth="1"/>
    <col min="185" max="185" width="11.140625" bestFit="1" customWidth="1"/>
    <col min="186" max="186" width="1.7109375" customWidth="1"/>
    <col min="187" max="187" width="2.7109375" customWidth="1"/>
    <col min="188" max="192" width="8.7109375" customWidth="1"/>
    <col min="193" max="195" width="10.7109375" customWidth="1"/>
    <col min="196" max="196" width="14.85546875" style="42" customWidth="1"/>
    <col min="197" max="201" width="8.7109375" customWidth="1"/>
    <col min="202" max="204" width="10.7109375" customWidth="1"/>
    <col min="205" max="205" width="10.7109375" style="42" customWidth="1"/>
    <col min="206" max="208" width="8.7109375" customWidth="1"/>
    <col min="209" max="210" width="10.7109375" customWidth="1"/>
    <col min="211" max="211" width="10.7109375" style="42" customWidth="1"/>
    <col min="212" max="216" width="8.7109375" customWidth="1"/>
    <col min="217" max="219" width="10.7109375" customWidth="1"/>
    <col min="220" max="220" width="10.7109375" style="42" customWidth="1"/>
    <col min="222" max="222" width="12" customWidth="1"/>
    <col min="224" max="224" width="12" customWidth="1"/>
    <col min="225" max="225" width="2.7109375" customWidth="1"/>
    <col min="226" max="226" width="15.85546875" customWidth="1"/>
    <col min="227" max="227" width="14.28515625" customWidth="1"/>
    <col min="228" max="228" width="13.140625" customWidth="1"/>
    <col min="229" max="229" width="13" customWidth="1"/>
    <col min="230" max="230" width="3.28515625" customWidth="1"/>
    <col min="232" max="232" width="16.7109375" customWidth="1"/>
  </cols>
  <sheetData>
    <row r="1" spans="2:229" s="60" customFormat="1" ht="26.25" x14ac:dyDescent="0.4">
      <c r="B1" s="61">
        <v>2020</v>
      </c>
      <c r="C1" s="157"/>
      <c r="D1" s="297" t="s">
        <v>73</v>
      </c>
      <c r="E1" s="298"/>
      <c r="F1" s="298"/>
      <c r="G1" s="299"/>
      <c r="H1" s="297" t="s">
        <v>77</v>
      </c>
      <c r="I1" s="298"/>
      <c r="J1" s="298"/>
      <c r="K1" s="299"/>
      <c r="L1" s="297" t="s">
        <v>81</v>
      </c>
      <c r="M1" s="298"/>
      <c r="N1" s="298"/>
      <c r="O1" s="299"/>
      <c r="P1" s="297" t="s">
        <v>85</v>
      </c>
      <c r="Q1" s="298"/>
      <c r="R1" s="298"/>
      <c r="S1" s="299"/>
      <c r="T1" s="297" t="s">
        <v>89</v>
      </c>
      <c r="U1" s="298"/>
      <c r="V1" s="298"/>
      <c r="W1" s="299"/>
      <c r="X1" s="297" t="s">
        <v>94</v>
      </c>
      <c r="Y1" s="298"/>
      <c r="Z1" s="298"/>
      <c r="AA1" s="299"/>
      <c r="AB1" s="297" t="s">
        <v>98</v>
      </c>
      <c r="AC1" s="298"/>
      <c r="AD1" s="298"/>
      <c r="AE1" s="299"/>
      <c r="AF1" s="297" t="s">
        <v>101</v>
      </c>
      <c r="AG1" s="298"/>
      <c r="AH1" s="298"/>
      <c r="AI1" s="299"/>
      <c r="AJ1" s="297" t="s">
        <v>105</v>
      </c>
      <c r="AK1" s="298"/>
      <c r="AL1" s="298"/>
      <c r="AM1" s="299"/>
      <c r="AN1" s="297" t="s">
        <v>109</v>
      </c>
      <c r="AO1" s="298"/>
      <c r="AP1" s="298"/>
      <c r="AQ1" s="299"/>
      <c r="AR1" s="297" t="s">
        <v>113</v>
      </c>
      <c r="AS1" s="298"/>
      <c r="AT1" s="298"/>
      <c r="AU1" s="299"/>
      <c r="AV1" s="297" t="s">
        <v>118</v>
      </c>
      <c r="AW1" s="298"/>
      <c r="AX1" s="298"/>
      <c r="AY1" s="299"/>
      <c r="AZ1" s="62"/>
      <c r="BA1" s="62"/>
      <c r="BB1" s="63" t="s">
        <v>360</v>
      </c>
      <c r="BC1" s="63" t="s">
        <v>361</v>
      </c>
      <c r="BD1" s="63"/>
      <c r="BE1" s="62"/>
      <c r="BF1" s="62"/>
      <c r="BG1" s="297" t="s">
        <v>124</v>
      </c>
      <c r="BH1" s="298"/>
      <c r="BI1" s="299"/>
      <c r="BJ1" s="297" t="s">
        <v>121</v>
      </c>
      <c r="BK1" s="298"/>
      <c r="BL1" s="299"/>
      <c r="BM1" s="297" t="s">
        <v>126</v>
      </c>
      <c r="BN1" s="298"/>
      <c r="BO1" s="299"/>
      <c r="BP1" s="297" t="s">
        <v>362</v>
      </c>
      <c r="BQ1" s="298"/>
      <c r="BR1" s="299"/>
      <c r="BS1" s="59"/>
      <c r="BT1" s="59"/>
      <c r="BU1" s="59"/>
      <c r="BV1" s="14" t="s">
        <v>197</v>
      </c>
      <c r="BW1" s="59"/>
      <c r="BZ1" s="300" t="s">
        <v>363</v>
      </c>
      <c r="CA1" s="301"/>
      <c r="CB1" s="301"/>
      <c r="CC1" s="302"/>
      <c r="CD1" s="300" t="s">
        <v>364</v>
      </c>
      <c r="CE1" s="301"/>
      <c r="CF1" s="301"/>
      <c r="CG1" s="301"/>
      <c r="CH1" s="301"/>
      <c r="CI1" s="301"/>
      <c r="CJ1" s="301"/>
      <c r="CK1" s="301"/>
      <c r="CL1" s="302"/>
      <c r="CM1" s="300" t="s">
        <v>365</v>
      </c>
      <c r="CN1" s="301"/>
      <c r="CO1" s="301"/>
      <c r="CP1" s="301"/>
      <c r="CQ1" s="301"/>
      <c r="CR1" s="301"/>
      <c r="CS1" s="301"/>
      <c r="CT1" s="301"/>
      <c r="CU1" s="302"/>
      <c r="CV1" s="300" t="s">
        <v>366</v>
      </c>
      <c r="CW1" s="301"/>
      <c r="CX1" s="301"/>
      <c r="CY1" s="301"/>
      <c r="CZ1" s="301"/>
      <c r="DA1" s="301"/>
      <c r="DB1" s="301"/>
      <c r="DC1" s="301"/>
      <c r="DD1" s="302"/>
      <c r="DE1" s="300" t="s">
        <v>367</v>
      </c>
      <c r="DF1" s="301"/>
      <c r="DG1" s="301"/>
      <c r="DH1" s="301"/>
      <c r="DI1" s="301"/>
      <c r="DJ1" s="301"/>
      <c r="DK1" s="301"/>
      <c r="DL1" s="301"/>
      <c r="DM1" s="302"/>
      <c r="DN1" s="300" t="s">
        <v>368</v>
      </c>
      <c r="DO1" s="301"/>
      <c r="DP1" s="301"/>
      <c r="DQ1" s="301"/>
      <c r="DR1" s="301"/>
      <c r="DS1" s="301"/>
      <c r="DT1" s="301"/>
      <c r="DU1" s="301"/>
      <c r="DV1" s="302"/>
      <c r="DW1" s="300" t="s">
        <v>369</v>
      </c>
      <c r="DX1" s="301"/>
      <c r="DY1" s="301"/>
      <c r="DZ1" s="301"/>
      <c r="EA1" s="301"/>
      <c r="EB1" s="301"/>
      <c r="EC1" s="301"/>
      <c r="ED1" s="301"/>
      <c r="EE1" s="302"/>
      <c r="EF1" s="300" t="s">
        <v>370</v>
      </c>
      <c r="EG1" s="301"/>
      <c r="EH1" s="301"/>
      <c r="EI1" s="301"/>
      <c r="EJ1" s="301"/>
      <c r="EK1" s="301"/>
      <c r="EL1" s="301"/>
      <c r="EM1" s="301"/>
      <c r="EN1" s="302"/>
      <c r="EO1" s="300" t="s">
        <v>371</v>
      </c>
      <c r="EP1" s="301"/>
      <c r="EQ1" s="301"/>
      <c r="ER1" s="301"/>
      <c r="ES1" s="301"/>
      <c r="ET1" s="301"/>
      <c r="EU1" s="301"/>
      <c r="EV1" s="301"/>
      <c r="EW1" s="302"/>
      <c r="EX1" s="300" t="s">
        <v>372</v>
      </c>
      <c r="EY1" s="301"/>
      <c r="EZ1" s="301"/>
      <c r="FA1" s="301"/>
      <c r="FB1" s="301"/>
      <c r="FC1" s="301"/>
      <c r="FD1" s="301"/>
      <c r="FE1" s="301"/>
      <c r="FF1" s="302"/>
      <c r="FG1" s="300" t="s">
        <v>373</v>
      </c>
      <c r="FH1" s="301"/>
      <c r="FI1" s="301"/>
      <c r="FJ1" s="301"/>
      <c r="FK1" s="301"/>
      <c r="FL1" s="301"/>
      <c r="FM1" s="301"/>
      <c r="FN1" s="301"/>
      <c r="FO1" s="302"/>
      <c r="FP1" s="300" t="s">
        <v>374</v>
      </c>
      <c r="FQ1" s="301"/>
      <c r="FR1" s="301"/>
      <c r="FS1" s="301"/>
      <c r="FT1" s="301"/>
      <c r="FU1" s="301"/>
      <c r="FV1" s="301"/>
      <c r="FW1" s="301"/>
      <c r="FX1" s="302"/>
      <c r="FY1" s="179"/>
      <c r="FZ1" s="64"/>
      <c r="GA1" s="65" t="s">
        <v>375</v>
      </c>
      <c r="GB1" s="65" t="s">
        <v>114</v>
      </c>
      <c r="GC1" s="65"/>
      <c r="GD1" s="176"/>
      <c r="GE1" s="65"/>
      <c r="GF1" s="300" t="s">
        <v>376</v>
      </c>
      <c r="GG1" s="301"/>
      <c r="GH1" s="301"/>
      <c r="GI1" s="301"/>
      <c r="GJ1" s="301"/>
      <c r="GK1" s="301"/>
      <c r="GL1" s="301"/>
      <c r="GM1" s="301"/>
      <c r="GN1" s="302"/>
      <c r="GO1" s="300" t="s">
        <v>377</v>
      </c>
      <c r="GP1" s="301"/>
      <c r="GQ1" s="301"/>
      <c r="GR1" s="301"/>
      <c r="GS1" s="301"/>
      <c r="GT1" s="301"/>
      <c r="GU1" s="301"/>
      <c r="GV1" s="301"/>
      <c r="GW1" s="302"/>
      <c r="GX1" s="300" t="s">
        <v>378</v>
      </c>
      <c r="GY1" s="301"/>
      <c r="GZ1" s="301"/>
      <c r="HA1" s="301"/>
      <c r="HB1" s="301"/>
      <c r="HC1" s="302"/>
      <c r="HD1" s="300" t="s">
        <v>379</v>
      </c>
      <c r="HE1" s="301"/>
      <c r="HF1" s="301"/>
      <c r="HG1" s="301"/>
      <c r="HH1" s="301"/>
      <c r="HI1" s="301"/>
      <c r="HJ1" s="301"/>
      <c r="HK1" s="301"/>
      <c r="HL1" s="302"/>
      <c r="HM1" s="66"/>
      <c r="HN1" s="65" t="s">
        <v>114</v>
      </c>
      <c r="HQ1" s="177"/>
    </row>
    <row r="2" spans="2:229" ht="18.75" x14ac:dyDescent="0.3">
      <c r="B2" s="27" t="s">
        <v>380</v>
      </c>
      <c r="C2" s="158" t="s">
        <v>381</v>
      </c>
      <c r="D2" s="18" t="s">
        <v>72</v>
      </c>
      <c r="E2" s="241" t="s">
        <v>71</v>
      </c>
      <c r="F2" s="48" t="s">
        <v>382</v>
      </c>
      <c r="G2" s="48" t="s">
        <v>198</v>
      </c>
      <c r="H2" s="244" t="s">
        <v>76</v>
      </c>
      <c r="I2" s="241" t="s">
        <v>75</v>
      </c>
      <c r="J2" s="48" t="s">
        <v>382</v>
      </c>
      <c r="K2" s="48" t="s">
        <v>198</v>
      </c>
      <c r="L2" s="241" t="s">
        <v>80</v>
      </c>
      <c r="M2" s="241" t="s">
        <v>79</v>
      </c>
      <c r="N2" s="48" t="s">
        <v>382</v>
      </c>
      <c r="O2" s="48" t="s">
        <v>198</v>
      </c>
      <c r="P2" s="241" t="s">
        <v>84</v>
      </c>
      <c r="Q2" s="241" t="s">
        <v>83</v>
      </c>
      <c r="R2" s="48" t="s">
        <v>382</v>
      </c>
      <c r="S2" s="48" t="s">
        <v>198</v>
      </c>
      <c r="T2" s="241" t="s">
        <v>88</v>
      </c>
      <c r="U2" s="241" t="s">
        <v>87</v>
      </c>
      <c r="V2" s="48" t="s">
        <v>382</v>
      </c>
      <c r="W2" s="48" t="s">
        <v>198</v>
      </c>
      <c r="X2" s="241" t="s">
        <v>93</v>
      </c>
      <c r="Y2" s="241" t="s">
        <v>92</v>
      </c>
      <c r="Z2" s="48" t="s">
        <v>382</v>
      </c>
      <c r="AA2" s="48" t="s">
        <v>198</v>
      </c>
      <c r="AB2" s="241" t="s">
        <v>97</v>
      </c>
      <c r="AC2" s="241" t="s">
        <v>96</v>
      </c>
      <c r="AD2" s="48" t="s">
        <v>382</v>
      </c>
      <c r="AE2" s="48" t="s">
        <v>198</v>
      </c>
      <c r="AF2" s="241" t="s">
        <v>100</v>
      </c>
      <c r="AG2" s="241" t="s">
        <v>99</v>
      </c>
      <c r="AH2" s="48" t="s">
        <v>382</v>
      </c>
      <c r="AI2" s="48" t="s">
        <v>198</v>
      </c>
      <c r="AJ2" s="241" t="s">
        <v>104</v>
      </c>
      <c r="AK2" s="241" t="s">
        <v>103</v>
      </c>
      <c r="AL2" s="48" t="s">
        <v>382</v>
      </c>
      <c r="AM2" s="48" t="s">
        <v>198</v>
      </c>
      <c r="AN2" s="241" t="s">
        <v>108</v>
      </c>
      <c r="AO2" s="241" t="s">
        <v>107</v>
      </c>
      <c r="AP2" s="48" t="s">
        <v>382</v>
      </c>
      <c r="AQ2" s="48" t="s">
        <v>198</v>
      </c>
      <c r="AR2" s="241" t="s">
        <v>112</v>
      </c>
      <c r="AS2" s="241" t="s">
        <v>111</v>
      </c>
      <c r="AT2" s="48" t="s">
        <v>382</v>
      </c>
      <c r="AU2" s="48" t="s">
        <v>198</v>
      </c>
      <c r="AV2" s="283" t="s">
        <v>117</v>
      </c>
      <c r="AW2" s="284"/>
      <c r="AX2" s="48" t="s">
        <v>382</v>
      </c>
      <c r="AY2" s="48" t="s">
        <v>198</v>
      </c>
      <c r="AZ2" s="166"/>
      <c r="BA2" s="49" t="s">
        <v>383</v>
      </c>
      <c r="BB2" s="49" t="s">
        <v>197</v>
      </c>
      <c r="BC2" s="47"/>
      <c r="BD2" s="166" t="s">
        <v>384</v>
      </c>
      <c r="BE2" s="16"/>
      <c r="BF2" s="47"/>
      <c r="BG2" s="243" t="s">
        <v>214</v>
      </c>
      <c r="BH2" s="48" t="s">
        <v>382</v>
      </c>
      <c r="BI2" s="48" t="s">
        <v>198</v>
      </c>
      <c r="BJ2" s="243" t="s">
        <v>215</v>
      </c>
      <c r="BK2" s="48" t="s">
        <v>382</v>
      </c>
      <c r="BL2" s="48" t="s">
        <v>198</v>
      </c>
      <c r="BM2" s="243" t="s">
        <v>216</v>
      </c>
      <c r="BN2" s="48" t="s">
        <v>382</v>
      </c>
      <c r="BO2" s="48" t="s">
        <v>198</v>
      </c>
      <c r="BP2" s="243" t="s">
        <v>217</v>
      </c>
      <c r="BQ2" s="48" t="s">
        <v>382</v>
      </c>
      <c r="BR2" s="48" t="s">
        <v>198</v>
      </c>
      <c r="BS2" s="16"/>
      <c r="BT2" s="14" t="s">
        <v>383</v>
      </c>
      <c r="BU2" s="14" t="s">
        <v>384</v>
      </c>
      <c r="BV2" s="50" t="s">
        <v>385</v>
      </c>
      <c r="BW2" s="47"/>
      <c r="BX2" s="16"/>
      <c r="BY2" s="166"/>
      <c r="BZ2" s="303" t="s">
        <v>386</v>
      </c>
      <c r="CA2" s="304"/>
      <c r="CB2" s="304"/>
      <c r="CC2" s="304"/>
      <c r="CD2" s="14" t="s">
        <v>288</v>
      </c>
      <c r="CE2" s="14" t="s">
        <v>387</v>
      </c>
      <c r="CF2" s="14"/>
      <c r="CG2" s="14" t="s">
        <v>197</v>
      </c>
      <c r="CH2" s="14" t="s">
        <v>198</v>
      </c>
      <c r="CI2" s="14" t="s">
        <v>197</v>
      </c>
      <c r="CJ2" s="14" t="s">
        <v>388</v>
      </c>
      <c r="CK2" s="14" t="s">
        <v>198</v>
      </c>
      <c r="CL2" s="14" t="s">
        <v>385</v>
      </c>
      <c r="CM2" s="14" t="s">
        <v>288</v>
      </c>
      <c r="CN2" s="14" t="s">
        <v>387</v>
      </c>
      <c r="CO2" s="14"/>
      <c r="CP2" s="14" t="s">
        <v>197</v>
      </c>
      <c r="CQ2" s="14" t="s">
        <v>198</v>
      </c>
      <c r="CR2" s="14" t="s">
        <v>197</v>
      </c>
      <c r="CS2" s="14" t="s">
        <v>388</v>
      </c>
      <c r="CT2" s="14" t="s">
        <v>198</v>
      </c>
      <c r="CU2" s="14" t="s">
        <v>385</v>
      </c>
      <c r="CV2" s="14" t="s">
        <v>288</v>
      </c>
      <c r="CW2" s="14" t="s">
        <v>387</v>
      </c>
      <c r="CX2" s="14"/>
      <c r="CY2" s="14" t="s">
        <v>197</v>
      </c>
      <c r="CZ2" s="14" t="s">
        <v>198</v>
      </c>
      <c r="DA2" s="14" t="s">
        <v>197</v>
      </c>
      <c r="DB2" s="14" t="s">
        <v>388</v>
      </c>
      <c r="DC2" s="14" t="s">
        <v>198</v>
      </c>
      <c r="DD2" s="14" t="s">
        <v>385</v>
      </c>
      <c r="DE2" s="14" t="s">
        <v>288</v>
      </c>
      <c r="DF2" s="14" t="s">
        <v>387</v>
      </c>
      <c r="DG2" s="14"/>
      <c r="DH2" s="14" t="s">
        <v>197</v>
      </c>
      <c r="DI2" s="14" t="s">
        <v>198</v>
      </c>
      <c r="DJ2" s="14" t="s">
        <v>197</v>
      </c>
      <c r="DK2" s="14" t="s">
        <v>388</v>
      </c>
      <c r="DL2" s="14" t="s">
        <v>198</v>
      </c>
      <c r="DM2" s="14" t="s">
        <v>385</v>
      </c>
      <c r="DN2" s="14" t="s">
        <v>288</v>
      </c>
      <c r="DO2" s="14" t="s">
        <v>387</v>
      </c>
      <c r="DP2" s="14"/>
      <c r="DQ2" s="14" t="s">
        <v>197</v>
      </c>
      <c r="DR2" s="15" t="s">
        <v>198</v>
      </c>
      <c r="DS2" s="14" t="s">
        <v>197</v>
      </c>
      <c r="DT2" s="14" t="s">
        <v>388</v>
      </c>
      <c r="DU2" s="14" t="s">
        <v>198</v>
      </c>
      <c r="DV2" s="14" t="s">
        <v>385</v>
      </c>
      <c r="DW2" s="14" t="s">
        <v>288</v>
      </c>
      <c r="DX2" s="14" t="s">
        <v>387</v>
      </c>
      <c r="DY2" s="14"/>
      <c r="DZ2" s="14" t="s">
        <v>197</v>
      </c>
      <c r="EA2" s="15" t="s">
        <v>198</v>
      </c>
      <c r="EB2" s="14" t="s">
        <v>197</v>
      </c>
      <c r="EC2" s="14" t="s">
        <v>388</v>
      </c>
      <c r="ED2" s="14" t="s">
        <v>198</v>
      </c>
      <c r="EE2" s="14" t="s">
        <v>385</v>
      </c>
      <c r="EF2" s="14" t="s">
        <v>288</v>
      </c>
      <c r="EG2" s="14" t="s">
        <v>387</v>
      </c>
      <c r="EH2" s="14"/>
      <c r="EI2" s="14" t="s">
        <v>197</v>
      </c>
      <c r="EJ2" s="14" t="s">
        <v>198</v>
      </c>
      <c r="EK2" s="14" t="s">
        <v>197</v>
      </c>
      <c r="EL2" s="14" t="s">
        <v>388</v>
      </c>
      <c r="EM2" s="14" t="s">
        <v>198</v>
      </c>
      <c r="EN2" s="14" t="s">
        <v>385</v>
      </c>
      <c r="EO2" s="14" t="s">
        <v>288</v>
      </c>
      <c r="EP2" s="14" t="s">
        <v>387</v>
      </c>
      <c r="EQ2" s="14"/>
      <c r="ER2" s="14" t="s">
        <v>197</v>
      </c>
      <c r="ES2" s="14" t="s">
        <v>198</v>
      </c>
      <c r="ET2" s="14" t="s">
        <v>197</v>
      </c>
      <c r="EU2" s="14" t="s">
        <v>388</v>
      </c>
      <c r="EV2" s="14" t="s">
        <v>198</v>
      </c>
      <c r="EW2" s="14" t="s">
        <v>385</v>
      </c>
      <c r="EX2" s="14" t="s">
        <v>288</v>
      </c>
      <c r="EY2" s="14" t="s">
        <v>387</v>
      </c>
      <c r="EZ2" s="14"/>
      <c r="FA2" s="14" t="s">
        <v>197</v>
      </c>
      <c r="FB2" s="14" t="s">
        <v>198</v>
      </c>
      <c r="FC2" s="14" t="s">
        <v>197</v>
      </c>
      <c r="FD2" s="14" t="s">
        <v>388</v>
      </c>
      <c r="FE2" s="14" t="s">
        <v>198</v>
      </c>
      <c r="FF2" s="14" t="s">
        <v>385</v>
      </c>
      <c r="FG2" s="14" t="s">
        <v>288</v>
      </c>
      <c r="FH2" s="14" t="s">
        <v>387</v>
      </c>
      <c r="FI2" s="14"/>
      <c r="FJ2" s="14" t="s">
        <v>197</v>
      </c>
      <c r="FK2" s="14" t="s">
        <v>198</v>
      </c>
      <c r="FL2" s="14" t="s">
        <v>197</v>
      </c>
      <c r="FM2" s="14" t="s">
        <v>388</v>
      </c>
      <c r="FN2" s="14" t="s">
        <v>198</v>
      </c>
      <c r="FO2" s="14" t="s">
        <v>385</v>
      </c>
      <c r="FP2" s="14" t="s">
        <v>288</v>
      </c>
      <c r="FQ2" s="51" t="s">
        <v>387</v>
      </c>
      <c r="FR2" s="51"/>
      <c r="FS2" s="14" t="s">
        <v>197</v>
      </c>
      <c r="FT2" s="14" t="s">
        <v>198</v>
      </c>
      <c r="FU2" s="14" t="s">
        <v>197</v>
      </c>
      <c r="FV2" s="14" t="s">
        <v>388</v>
      </c>
      <c r="FW2" s="14" t="s">
        <v>198</v>
      </c>
      <c r="FX2" s="14" t="s">
        <v>385</v>
      </c>
      <c r="FY2" s="16"/>
      <c r="FZ2" s="182" t="s">
        <v>385</v>
      </c>
      <c r="GA2" s="47" t="s">
        <v>385</v>
      </c>
      <c r="GB2" s="52" t="s">
        <v>198</v>
      </c>
      <c r="GC2" s="52" t="s">
        <v>385</v>
      </c>
      <c r="GD2" s="176"/>
      <c r="GE2" s="166"/>
      <c r="GF2" s="14" t="s">
        <v>288</v>
      </c>
      <c r="GG2" s="14" t="s">
        <v>387</v>
      </c>
      <c r="GH2" s="14"/>
      <c r="GI2" s="14" t="s">
        <v>197</v>
      </c>
      <c r="GJ2" s="14" t="s">
        <v>198</v>
      </c>
      <c r="GK2" s="14" t="s">
        <v>197</v>
      </c>
      <c r="GL2" s="14" t="s">
        <v>388</v>
      </c>
      <c r="GM2" s="14" t="s">
        <v>198</v>
      </c>
      <c r="GN2" s="14" t="s">
        <v>385</v>
      </c>
      <c r="GO2" s="14" t="s">
        <v>288</v>
      </c>
      <c r="GP2" s="14" t="s">
        <v>387</v>
      </c>
      <c r="GQ2" s="14"/>
      <c r="GR2" s="14" t="s">
        <v>197</v>
      </c>
      <c r="GS2" s="14" t="s">
        <v>198</v>
      </c>
      <c r="GT2" s="14" t="s">
        <v>197</v>
      </c>
      <c r="GU2" s="14" t="s">
        <v>388</v>
      </c>
      <c r="GV2" s="14" t="s">
        <v>198</v>
      </c>
      <c r="GW2" s="14" t="s">
        <v>385</v>
      </c>
      <c r="GX2" s="14" t="s">
        <v>288</v>
      </c>
      <c r="GY2" s="14" t="s">
        <v>387</v>
      </c>
      <c r="GZ2" s="14" t="s">
        <v>197</v>
      </c>
      <c r="HA2" s="14" t="s">
        <v>197</v>
      </c>
      <c r="HB2" s="14" t="s">
        <v>388</v>
      </c>
      <c r="HC2" s="14" t="s">
        <v>385</v>
      </c>
      <c r="HD2" s="14" t="s">
        <v>288</v>
      </c>
      <c r="HE2" s="14" t="s">
        <v>387</v>
      </c>
      <c r="HF2" s="14"/>
      <c r="HG2" s="14" t="s">
        <v>197</v>
      </c>
      <c r="HH2" s="14" t="s">
        <v>198</v>
      </c>
      <c r="HI2" s="14" t="s">
        <v>197</v>
      </c>
      <c r="HJ2" s="14" t="s">
        <v>388</v>
      </c>
      <c r="HK2" s="14" t="s">
        <v>198</v>
      </c>
      <c r="HL2" s="14" t="s">
        <v>385</v>
      </c>
      <c r="HM2" s="68" t="s">
        <v>385</v>
      </c>
      <c r="HN2" s="167" t="s">
        <v>385</v>
      </c>
      <c r="HO2" s="167" t="s">
        <v>385</v>
      </c>
      <c r="HP2" s="167" t="s">
        <v>385</v>
      </c>
      <c r="HQ2" s="187"/>
      <c r="HR2" s="48" t="s">
        <v>389</v>
      </c>
      <c r="HS2" s="48" t="s">
        <v>389</v>
      </c>
      <c r="HT2" s="48" t="s">
        <v>389</v>
      </c>
      <c r="HU2" s="48" t="s">
        <v>389</v>
      </c>
    </row>
    <row r="3" spans="2:229" x14ac:dyDescent="0.25">
      <c r="B3" s="53"/>
      <c r="C3" s="159" t="s">
        <v>10</v>
      </c>
      <c r="D3" s="241" t="s">
        <v>197</v>
      </c>
      <c r="E3" s="243" t="s">
        <v>198</v>
      </c>
      <c r="F3" s="18" t="s">
        <v>390</v>
      </c>
      <c r="G3" s="18" t="s">
        <v>385</v>
      </c>
      <c r="H3" s="244" t="s">
        <v>197</v>
      </c>
      <c r="I3" s="241" t="s">
        <v>198</v>
      </c>
      <c r="J3" s="18" t="s">
        <v>390</v>
      </c>
      <c r="K3" s="18" t="s">
        <v>385</v>
      </c>
      <c r="L3" s="241" t="s">
        <v>197</v>
      </c>
      <c r="M3" s="241" t="s">
        <v>198</v>
      </c>
      <c r="N3" s="18" t="s">
        <v>391</v>
      </c>
      <c r="O3" s="18" t="s">
        <v>385</v>
      </c>
      <c r="P3" s="241" t="s">
        <v>197</v>
      </c>
      <c r="Q3" s="241" t="s">
        <v>198</v>
      </c>
      <c r="R3" s="18" t="s">
        <v>391</v>
      </c>
      <c r="S3" s="18" t="s">
        <v>385</v>
      </c>
      <c r="T3" s="241" t="s">
        <v>197</v>
      </c>
      <c r="U3" s="241" t="s">
        <v>198</v>
      </c>
      <c r="V3" s="18" t="s">
        <v>391</v>
      </c>
      <c r="W3" s="18" t="s">
        <v>385</v>
      </c>
      <c r="X3" s="241" t="s">
        <v>197</v>
      </c>
      <c r="Y3" s="241" t="s">
        <v>198</v>
      </c>
      <c r="Z3" s="18" t="s">
        <v>392</v>
      </c>
      <c r="AA3" s="18" t="s">
        <v>385</v>
      </c>
      <c r="AB3" s="241" t="s">
        <v>197</v>
      </c>
      <c r="AC3" s="241" t="s">
        <v>198</v>
      </c>
      <c r="AD3" s="18" t="s">
        <v>392</v>
      </c>
      <c r="AE3" s="18" t="s">
        <v>385</v>
      </c>
      <c r="AF3" s="241" t="s">
        <v>197</v>
      </c>
      <c r="AG3" s="241" t="s">
        <v>198</v>
      </c>
      <c r="AH3" s="18" t="s">
        <v>390</v>
      </c>
      <c r="AI3" s="18" t="s">
        <v>385</v>
      </c>
      <c r="AJ3" s="241" t="s">
        <v>197</v>
      </c>
      <c r="AK3" s="241" t="s">
        <v>198</v>
      </c>
      <c r="AL3" s="18" t="s">
        <v>390</v>
      </c>
      <c r="AM3" s="18" t="s">
        <v>385</v>
      </c>
      <c r="AN3" s="241" t="s">
        <v>197</v>
      </c>
      <c r="AO3" s="241" t="s">
        <v>198</v>
      </c>
      <c r="AP3" s="18" t="s">
        <v>393</v>
      </c>
      <c r="AQ3" s="18" t="s">
        <v>385</v>
      </c>
      <c r="AR3" s="241" t="s">
        <v>197</v>
      </c>
      <c r="AS3" s="241" t="s">
        <v>198</v>
      </c>
      <c r="AT3" s="18" t="s">
        <v>394</v>
      </c>
      <c r="AU3" s="18" t="s">
        <v>385</v>
      </c>
      <c r="AV3" s="283" t="s">
        <v>197</v>
      </c>
      <c r="AW3" s="284"/>
      <c r="AX3" s="18" t="s">
        <v>395</v>
      </c>
      <c r="AY3" s="18" t="s">
        <v>385</v>
      </c>
      <c r="AZ3" s="166"/>
      <c r="BA3" s="166"/>
      <c r="BB3" s="166"/>
      <c r="BC3" s="166"/>
      <c r="BD3" s="47" t="s">
        <v>197</v>
      </c>
      <c r="BE3" s="176"/>
      <c r="BF3" s="166"/>
      <c r="BG3" s="243" t="s">
        <v>197</v>
      </c>
      <c r="BH3" s="18" t="s">
        <v>396</v>
      </c>
      <c r="BI3" s="18" t="s">
        <v>385</v>
      </c>
      <c r="BJ3" s="243" t="s">
        <v>197</v>
      </c>
      <c r="BK3" s="18" t="s">
        <v>396</v>
      </c>
      <c r="BL3" s="18" t="s">
        <v>385</v>
      </c>
      <c r="BM3" s="243" t="s">
        <v>197</v>
      </c>
      <c r="BN3" s="18" t="s">
        <v>395</v>
      </c>
      <c r="BO3" s="18" t="s">
        <v>385</v>
      </c>
      <c r="BP3" s="243" t="s">
        <v>197</v>
      </c>
      <c r="BQ3" s="18" t="s">
        <v>394</v>
      </c>
      <c r="BR3" s="18" t="s">
        <v>385</v>
      </c>
      <c r="BS3" s="16"/>
      <c r="BT3" s="21" t="s">
        <v>397</v>
      </c>
      <c r="BU3" s="21" t="s">
        <v>397</v>
      </c>
      <c r="BV3" s="21" t="s">
        <v>398</v>
      </c>
      <c r="BW3" s="47"/>
      <c r="BX3" s="176"/>
      <c r="BY3" s="166"/>
      <c r="BZ3" s="170" t="s">
        <v>399</v>
      </c>
      <c r="CA3" s="168" t="s">
        <v>400</v>
      </c>
      <c r="CB3" s="170" t="s">
        <v>375</v>
      </c>
      <c r="CC3" s="54" t="s">
        <v>385</v>
      </c>
      <c r="CD3" s="17" t="s">
        <v>401</v>
      </c>
      <c r="CE3" s="18" t="s">
        <v>401</v>
      </c>
      <c r="CF3" s="18" t="s">
        <v>402</v>
      </c>
      <c r="CG3" s="17" t="s">
        <v>375</v>
      </c>
      <c r="CH3" s="17" t="s">
        <v>375</v>
      </c>
      <c r="CI3" s="17" t="s">
        <v>385</v>
      </c>
      <c r="CJ3" s="17" t="s">
        <v>385</v>
      </c>
      <c r="CK3" s="17" t="s">
        <v>385</v>
      </c>
      <c r="CL3" s="55" t="s">
        <v>375</v>
      </c>
      <c r="CM3" s="17" t="s">
        <v>401</v>
      </c>
      <c r="CN3" s="18" t="s">
        <v>401</v>
      </c>
      <c r="CO3" s="18" t="s">
        <v>402</v>
      </c>
      <c r="CP3" s="17" t="s">
        <v>375</v>
      </c>
      <c r="CQ3" s="17" t="s">
        <v>375</v>
      </c>
      <c r="CR3" s="17" t="s">
        <v>385</v>
      </c>
      <c r="CS3" s="17" t="s">
        <v>385</v>
      </c>
      <c r="CT3" s="17" t="s">
        <v>385</v>
      </c>
      <c r="CU3" s="55" t="s">
        <v>375</v>
      </c>
      <c r="CV3" s="17" t="s">
        <v>401</v>
      </c>
      <c r="CW3" s="18" t="s">
        <v>401</v>
      </c>
      <c r="CX3" s="18" t="s">
        <v>402</v>
      </c>
      <c r="CY3" s="17" t="s">
        <v>375</v>
      </c>
      <c r="CZ3" s="17" t="s">
        <v>375</v>
      </c>
      <c r="DA3" s="17" t="s">
        <v>385</v>
      </c>
      <c r="DB3" s="17" t="s">
        <v>385</v>
      </c>
      <c r="DC3" s="17" t="s">
        <v>385</v>
      </c>
      <c r="DD3" s="55" t="s">
        <v>375</v>
      </c>
      <c r="DE3" s="17" t="s">
        <v>401</v>
      </c>
      <c r="DF3" s="18" t="s">
        <v>401</v>
      </c>
      <c r="DG3" s="18" t="s">
        <v>402</v>
      </c>
      <c r="DH3" s="17" t="s">
        <v>375</v>
      </c>
      <c r="DI3" s="17" t="s">
        <v>375</v>
      </c>
      <c r="DJ3" s="17" t="s">
        <v>385</v>
      </c>
      <c r="DK3" s="17" t="s">
        <v>385</v>
      </c>
      <c r="DL3" s="17" t="s">
        <v>385</v>
      </c>
      <c r="DM3" s="55" t="s">
        <v>375</v>
      </c>
      <c r="DN3" s="17" t="s">
        <v>401</v>
      </c>
      <c r="DO3" s="18" t="s">
        <v>401</v>
      </c>
      <c r="DP3" s="18" t="s">
        <v>402</v>
      </c>
      <c r="DQ3" s="17" t="s">
        <v>375</v>
      </c>
      <c r="DR3" s="56" t="s">
        <v>375</v>
      </c>
      <c r="DS3" s="17" t="s">
        <v>385</v>
      </c>
      <c r="DT3" s="17" t="s">
        <v>385</v>
      </c>
      <c r="DU3" s="17" t="s">
        <v>385</v>
      </c>
      <c r="DV3" s="55" t="s">
        <v>375</v>
      </c>
      <c r="DW3" s="17" t="s">
        <v>401</v>
      </c>
      <c r="DX3" s="18" t="s">
        <v>401</v>
      </c>
      <c r="DY3" s="18" t="s">
        <v>402</v>
      </c>
      <c r="DZ3" s="17" t="s">
        <v>375</v>
      </c>
      <c r="EA3" s="56" t="s">
        <v>375</v>
      </c>
      <c r="EB3" s="17" t="s">
        <v>385</v>
      </c>
      <c r="EC3" s="17" t="s">
        <v>385</v>
      </c>
      <c r="ED3" s="17" t="s">
        <v>385</v>
      </c>
      <c r="EE3" s="55" t="s">
        <v>375</v>
      </c>
      <c r="EF3" s="17" t="s">
        <v>401</v>
      </c>
      <c r="EG3" s="18" t="s">
        <v>401</v>
      </c>
      <c r="EH3" s="18" t="s">
        <v>402</v>
      </c>
      <c r="EI3" s="17" t="s">
        <v>375</v>
      </c>
      <c r="EJ3" s="17" t="s">
        <v>375</v>
      </c>
      <c r="EK3" s="17" t="s">
        <v>385</v>
      </c>
      <c r="EL3" s="17" t="s">
        <v>385</v>
      </c>
      <c r="EM3" s="17" t="s">
        <v>385</v>
      </c>
      <c r="EN3" s="55" t="s">
        <v>375</v>
      </c>
      <c r="EO3" s="17" t="s">
        <v>401</v>
      </c>
      <c r="EP3" s="18" t="s">
        <v>401</v>
      </c>
      <c r="EQ3" s="18" t="s">
        <v>402</v>
      </c>
      <c r="ER3" s="17" t="s">
        <v>375</v>
      </c>
      <c r="ES3" s="17" t="s">
        <v>375</v>
      </c>
      <c r="ET3" s="17" t="s">
        <v>385</v>
      </c>
      <c r="EU3" s="17" t="s">
        <v>385</v>
      </c>
      <c r="EV3" s="17" t="s">
        <v>385</v>
      </c>
      <c r="EW3" s="55" t="s">
        <v>375</v>
      </c>
      <c r="EX3" s="17" t="s">
        <v>401</v>
      </c>
      <c r="EY3" s="18" t="s">
        <v>401</v>
      </c>
      <c r="EZ3" s="18" t="s">
        <v>402</v>
      </c>
      <c r="FA3" s="17" t="s">
        <v>375</v>
      </c>
      <c r="FB3" s="17" t="s">
        <v>375</v>
      </c>
      <c r="FC3" s="17" t="s">
        <v>385</v>
      </c>
      <c r="FD3" s="17" t="s">
        <v>385</v>
      </c>
      <c r="FE3" s="17" t="s">
        <v>385</v>
      </c>
      <c r="FF3" s="55" t="s">
        <v>375</v>
      </c>
      <c r="FG3" s="17" t="s">
        <v>401</v>
      </c>
      <c r="FH3" s="18" t="s">
        <v>401</v>
      </c>
      <c r="FI3" s="18" t="s">
        <v>402</v>
      </c>
      <c r="FJ3" s="17" t="s">
        <v>375</v>
      </c>
      <c r="FK3" s="17" t="s">
        <v>375</v>
      </c>
      <c r="FL3" s="17" t="s">
        <v>385</v>
      </c>
      <c r="FM3" s="17" t="s">
        <v>385</v>
      </c>
      <c r="FN3" s="17" t="s">
        <v>385</v>
      </c>
      <c r="FO3" s="55" t="s">
        <v>375</v>
      </c>
      <c r="FP3" s="17" t="s">
        <v>401</v>
      </c>
      <c r="FQ3" s="57" t="s">
        <v>401</v>
      </c>
      <c r="FR3" s="57" t="s">
        <v>402</v>
      </c>
      <c r="FS3" s="17" t="s">
        <v>375</v>
      </c>
      <c r="FT3" s="17" t="s">
        <v>375</v>
      </c>
      <c r="FU3" s="17" t="s">
        <v>385</v>
      </c>
      <c r="FV3" s="17" t="s">
        <v>385</v>
      </c>
      <c r="FW3" s="17" t="s">
        <v>385</v>
      </c>
      <c r="FX3" s="55" t="s">
        <v>375</v>
      </c>
      <c r="FY3" s="58"/>
      <c r="FZ3" s="182" t="s">
        <v>403</v>
      </c>
      <c r="GA3" s="166" t="s">
        <v>404</v>
      </c>
      <c r="GB3" s="166" t="s">
        <v>385</v>
      </c>
      <c r="GC3" s="166" t="s">
        <v>240</v>
      </c>
      <c r="GD3" s="176"/>
      <c r="GE3" s="166"/>
      <c r="GF3" s="17" t="s">
        <v>401</v>
      </c>
      <c r="GG3" s="18" t="s">
        <v>401</v>
      </c>
      <c r="GH3" s="18" t="s">
        <v>402</v>
      </c>
      <c r="GI3" s="17" t="s">
        <v>375</v>
      </c>
      <c r="GJ3" s="17" t="s">
        <v>375</v>
      </c>
      <c r="GK3" s="17" t="s">
        <v>385</v>
      </c>
      <c r="GL3" s="17" t="s">
        <v>385</v>
      </c>
      <c r="GM3" s="17" t="s">
        <v>385</v>
      </c>
      <c r="GN3" s="55" t="s">
        <v>375</v>
      </c>
      <c r="GO3" s="17" t="s">
        <v>401</v>
      </c>
      <c r="GP3" s="18" t="s">
        <v>401</v>
      </c>
      <c r="GQ3" s="18" t="s">
        <v>402</v>
      </c>
      <c r="GR3" s="17" t="s">
        <v>375</v>
      </c>
      <c r="GS3" s="17" t="s">
        <v>375</v>
      </c>
      <c r="GT3" s="17" t="s">
        <v>385</v>
      </c>
      <c r="GU3" s="17" t="s">
        <v>385</v>
      </c>
      <c r="GV3" s="17" t="s">
        <v>385</v>
      </c>
      <c r="GW3" s="55" t="s">
        <v>375</v>
      </c>
      <c r="GX3" s="17" t="s">
        <v>401</v>
      </c>
      <c r="GY3" s="18" t="s">
        <v>401</v>
      </c>
      <c r="GZ3" s="17" t="s">
        <v>375</v>
      </c>
      <c r="HA3" s="17" t="s">
        <v>385</v>
      </c>
      <c r="HB3" s="17" t="s">
        <v>385</v>
      </c>
      <c r="HC3" s="55" t="s">
        <v>375</v>
      </c>
      <c r="HD3" s="17" t="s">
        <v>401</v>
      </c>
      <c r="HE3" s="18" t="s">
        <v>401</v>
      </c>
      <c r="HF3" s="18" t="s">
        <v>402</v>
      </c>
      <c r="HG3" s="17" t="s">
        <v>375</v>
      </c>
      <c r="HH3" s="17" t="s">
        <v>375</v>
      </c>
      <c r="HI3" s="17" t="s">
        <v>385</v>
      </c>
      <c r="HJ3" s="17" t="s">
        <v>385</v>
      </c>
      <c r="HK3" s="17" t="s">
        <v>385</v>
      </c>
      <c r="HL3" s="55" t="s">
        <v>375</v>
      </c>
      <c r="HM3" s="69" t="s">
        <v>197</v>
      </c>
      <c r="HN3" s="19" t="s">
        <v>404</v>
      </c>
      <c r="HO3" s="19" t="s">
        <v>198</v>
      </c>
      <c r="HP3" s="19" t="s">
        <v>405</v>
      </c>
      <c r="HQ3" s="187"/>
      <c r="HR3" s="18" t="s">
        <v>197</v>
      </c>
      <c r="HS3" s="18" t="s">
        <v>404</v>
      </c>
      <c r="HT3" s="18" t="s">
        <v>198</v>
      </c>
      <c r="HU3" s="18" t="s">
        <v>405</v>
      </c>
    </row>
    <row r="4" spans="2:229" x14ac:dyDescent="0.25">
      <c r="B4" s="164">
        <v>43831</v>
      </c>
      <c r="C4" s="165"/>
      <c r="D4" s="168">
        <v>86230</v>
      </c>
      <c r="E4" s="168">
        <v>2.15</v>
      </c>
      <c r="F4" s="192">
        <v>0</v>
      </c>
      <c r="G4" s="168">
        <v>81797</v>
      </c>
      <c r="H4" s="168">
        <v>2.5379999999999998</v>
      </c>
      <c r="I4" s="192">
        <v>0</v>
      </c>
      <c r="J4" s="168">
        <v>9749</v>
      </c>
      <c r="K4" s="168">
        <v>0.32400000000000001</v>
      </c>
      <c r="L4" s="192">
        <v>0</v>
      </c>
      <c r="M4" s="168">
        <v>9644</v>
      </c>
      <c r="N4" s="168">
        <v>0.27100000000000002</v>
      </c>
      <c r="O4" s="192">
        <v>0</v>
      </c>
      <c r="P4" s="168">
        <v>10343</v>
      </c>
      <c r="Q4" s="168">
        <v>0.311</v>
      </c>
      <c r="R4" s="192">
        <v>0</v>
      </c>
      <c r="S4" s="168">
        <v>68047</v>
      </c>
      <c r="T4" s="168">
        <v>2.516</v>
      </c>
      <c r="U4" s="192">
        <v>0</v>
      </c>
      <c r="V4" s="168">
        <v>64573</v>
      </c>
      <c r="W4" s="168">
        <v>1.679</v>
      </c>
      <c r="X4" s="192">
        <v>0</v>
      </c>
      <c r="Y4" s="168">
        <v>16096</v>
      </c>
      <c r="Z4" s="168">
        <v>0.312</v>
      </c>
      <c r="AA4" s="192">
        <v>0</v>
      </c>
      <c r="AB4" s="168">
        <v>10963</v>
      </c>
      <c r="AC4" s="168">
        <v>0.217</v>
      </c>
      <c r="AD4" s="192">
        <v>0</v>
      </c>
      <c r="AE4" s="168">
        <v>82267</v>
      </c>
      <c r="AF4" s="168">
        <v>1.976</v>
      </c>
      <c r="AG4" s="192">
        <v>0</v>
      </c>
      <c r="AH4" s="168">
        <v>15574</v>
      </c>
      <c r="AI4" s="168">
        <v>0.313</v>
      </c>
      <c r="AJ4" s="192">
        <v>0</v>
      </c>
      <c r="AK4" s="241">
        <v>49414</v>
      </c>
      <c r="AL4" s="192">
        <v>0</v>
      </c>
      <c r="AM4" s="192"/>
      <c r="AN4" s="166"/>
      <c r="AO4" s="192">
        <v>0</v>
      </c>
      <c r="AP4" s="168">
        <v>0</v>
      </c>
      <c r="AQ4" s="168">
        <v>0</v>
      </c>
      <c r="AR4" s="168"/>
      <c r="AS4" s="176"/>
      <c r="AT4" s="181">
        <v>43831</v>
      </c>
      <c r="AU4" s="168">
        <v>56373</v>
      </c>
      <c r="AV4" s="192">
        <v>0</v>
      </c>
      <c r="AW4" s="168">
        <v>7133</v>
      </c>
      <c r="AX4" s="192">
        <v>0</v>
      </c>
      <c r="AY4" s="168">
        <v>85497</v>
      </c>
      <c r="AZ4" s="192">
        <v>0</v>
      </c>
      <c r="BA4" s="168">
        <v>46922</v>
      </c>
      <c r="BB4" s="192">
        <v>0</v>
      </c>
      <c r="BC4" s="166"/>
      <c r="BD4" s="178"/>
      <c r="BE4" s="192">
        <v>0</v>
      </c>
      <c r="BF4" s="168"/>
      <c r="BG4" s="168"/>
      <c r="BH4" s="177"/>
      <c r="BI4" s="176"/>
      <c r="BJ4" s="166"/>
      <c r="BK4" s="170">
        <v>49414</v>
      </c>
      <c r="BL4" s="168">
        <v>48845</v>
      </c>
      <c r="BM4" s="166"/>
      <c r="BN4" s="171"/>
      <c r="BO4" s="174">
        <v>81797</v>
      </c>
      <c r="BP4" s="168">
        <v>81830</v>
      </c>
      <c r="BQ4" s="168">
        <v>2.4830000000000001</v>
      </c>
      <c r="BR4" s="166"/>
      <c r="BS4" s="166"/>
      <c r="BT4" s="166"/>
      <c r="BU4" s="166"/>
      <c r="BV4" s="166"/>
      <c r="BW4" s="171"/>
      <c r="BX4" s="174">
        <v>86230</v>
      </c>
      <c r="BY4" s="168">
        <v>86258</v>
      </c>
      <c r="BZ4" s="168">
        <v>2.2320000000000002</v>
      </c>
      <c r="CA4" s="166"/>
      <c r="CB4" s="166"/>
      <c r="CC4" s="166"/>
      <c r="CD4" s="166"/>
      <c r="CE4" s="166"/>
      <c r="CF4" s="171"/>
      <c r="CG4" s="174">
        <v>68047</v>
      </c>
      <c r="CH4" s="168">
        <v>67906</v>
      </c>
      <c r="CI4" s="168">
        <v>2.3879999999999999</v>
      </c>
      <c r="CJ4" s="166"/>
      <c r="CK4" s="166"/>
      <c r="CL4" s="166"/>
      <c r="CM4" s="166"/>
      <c r="CN4" s="166"/>
      <c r="CO4" s="171"/>
      <c r="CP4" s="174">
        <v>15574</v>
      </c>
      <c r="CQ4" s="168">
        <v>15553</v>
      </c>
      <c r="CR4" s="168">
        <v>0.315</v>
      </c>
      <c r="CS4" s="166"/>
      <c r="CT4" s="166"/>
      <c r="CU4" s="166"/>
      <c r="CV4" s="166"/>
      <c r="CW4" s="166"/>
      <c r="CX4" s="171"/>
      <c r="CY4" s="174">
        <v>64573</v>
      </c>
      <c r="CZ4" s="168">
        <v>64505</v>
      </c>
      <c r="DA4" s="168">
        <v>1.9119999999999999</v>
      </c>
      <c r="DB4" s="166"/>
      <c r="DC4" s="183"/>
      <c r="DD4" s="166"/>
      <c r="DE4" s="166"/>
      <c r="DF4" s="166"/>
      <c r="DG4" s="171"/>
      <c r="DH4" s="174">
        <v>9644</v>
      </c>
      <c r="DI4" s="168">
        <v>9621</v>
      </c>
      <c r="DJ4" s="168">
        <v>0.28399999999999997</v>
      </c>
      <c r="DK4" s="166"/>
      <c r="DL4" s="183"/>
      <c r="DM4" s="166"/>
      <c r="DN4" s="166"/>
      <c r="DO4" s="166"/>
      <c r="DP4" s="171"/>
      <c r="DQ4" s="174">
        <v>68047</v>
      </c>
      <c r="DR4" s="168">
        <v>9753</v>
      </c>
      <c r="DS4" s="168">
        <v>0.33600000000000002</v>
      </c>
      <c r="DT4" s="166"/>
      <c r="DU4" s="166"/>
      <c r="DV4" s="166"/>
      <c r="DW4" s="166"/>
      <c r="DX4" s="166"/>
      <c r="DY4" s="171"/>
      <c r="DZ4" s="174">
        <v>10343</v>
      </c>
      <c r="EA4" s="168">
        <v>10346</v>
      </c>
      <c r="EB4" s="168">
        <v>0.32900000000000001</v>
      </c>
      <c r="EC4" s="166"/>
      <c r="ED4" s="166"/>
      <c r="EE4" s="166"/>
      <c r="EF4" s="166"/>
      <c r="EG4" s="166"/>
      <c r="EH4" s="171"/>
      <c r="EI4" s="174">
        <v>16096</v>
      </c>
      <c r="EJ4" s="168">
        <v>16079</v>
      </c>
      <c r="EK4" s="168">
        <v>0.38300000000000001</v>
      </c>
      <c r="EL4" s="166"/>
      <c r="EM4" s="166"/>
      <c r="EN4" s="166"/>
      <c r="EO4" s="166"/>
      <c r="EP4" s="166"/>
      <c r="EQ4" s="171"/>
      <c r="ER4" s="174">
        <v>10963</v>
      </c>
      <c r="ES4" s="168">
        <v>10951</v>
      </c>
      <c r="ET4" s="168">
        <v>0.442</v>
      </c>
      <c r="EU4" s="166"/>
      <c r="EV4" s="166"/>
      <c r="EW4" s="166"/>
      <c r="EX4" s="166"/>
      <c r="EY4" s="166"/>
      <c r="EZ4" s="171"/>
      <c r="FA4" s="170">
        <v>82267</v>
      </c>
      <c r="FB4" s="186">
        <v>82046</v>
      </c>
      <c r="FC4" s="186">
        <v>2.0129999999999999</v>
      </c>
      <c r="FD4" s="175"/>
      <c r="FE4" s="175"/>
      <c r="FF4" s="175"/>
      <c r="FG4" s="166"/>
      <c r="FH4" s="175"/>
      <c r="FI4" s="175"/>
      <c r="FJ4" s="179"/>
      <c r="FK4" s="182"/>
      <c r="FL4" s="166"/>
      <c r="FM4" s="166"/>
      <c r="FN4" s="166"/>
      <c r="FO4" s="176"/>
      <c r="FP4" s="166"/>
      <c r="FQ4" s="174">
        <v>7133</v>
      </c>
      <c r="FR4" s="168">
        <v>7119</v>
      </c>
      <c r="FS4" s="168">
        <v>0.222</v>
      </c>
      <c r="FT4" s="166"/>
      <c r="FU4" s="166"/>
      <c r="FV4" s="166"/>
      <c r="FW4" s="166"/>
      <c r="FX4" s="166"/>
      <c r="FY4" s="171"/>
      <c r="FZ4" s="174">
        <v>56373</v>
      </c>
      <c r="GA4" s="168">
        <v>56256</v>
      </c>
      <c r="GB4" s="168">
        <v>1.575</v>
      </c>
      <c r="GC4" s="166"/>
      <c r="GD4" s="166"/>
      <c r="GE4" s="166"/>
      <c r="GF4" s="166"/>
      <c r="GG4" s="166"/>
      <c r="GH4" s="171"/>
      <c r="GI4" s="174">
        <v>85497</v>
      </c>
      <c r="GJ4" s="168">
        <v>85579</v>
      </c>
      <c r="GK4" s="166"/>
      <c r="GL4" s="166"/>
      <c r="GM4" s="166"/>
      <c r="GN4" s="171"/>
      <c r="GO4" s="174">
        <v>46922</v>
      </c>
      <c r="GP4" s="168">
        <v>46925</v>
      </c>
      <c r="GQ4" s="168">
        <v>3.7040000000000002</v>
      </c>
      <c r="GR4" s="166"/>
      <c r="GS4" s="166"/>
      <c r="GT4" s="166"/>
      <c r="GU4" s="166"/>
      <c r="GV4" s="166"/>
      <c r="GW4" s="171"/>
      <c r="GX4" s="166"/>
      <c r="GY4" s="166"/>
      <c r="GZ4" s="166"/>
      <c r="HA4" s="166"/>
      <c r="HB4" s="187"/>
      <c r="HC4" s="166"/>
      <c r="HD4" s="166"/>
      <c r="HE4" s="166"/>
      <c r="HF4" s="166"/>
      <c r="HG4" s="166"/>
      <c r="HH4" s="166"/>
      <c r="HI4" s="166"/>
      <c r="HJ4" s="166"/>
      <c r="HK4" s="166"/>
      <c r="HL4" s="171"/>
      <c r="HM4" s="166"/>
      <c r="HN4" s="166"/>
      <c r="HO4" s="166"/>
      <c r="HP4" s="166"/>
      <c r="HQ4" s="187"/>
      <c r="HR4" s="166"/>
      <c r="HS4" s="166"/>
      <c r="HT4" s="166"/>
      <c r="HU4" s="166"/>
    </row>
    <row r="5" spans="2:229" x14ac:dyDescent="0.25">
      <c r="B5" s="164">
        <v>43835</v>
      </c>
      <c r="C5" s="165">
        <v>1437</v>
      </c>
      <c r="D5" s="168">
        <v>86475</v>
      </c>
      <c r="E5" s="168">
        <v>2.2909999999999999</v>
      </c>
      <c r="F5" s="192">
        <v>39200</v>
      </c>
      <c r="G5" s="168">
        <v>82057</v>
      </c>
      <c r="H5" s="168">
        <v>2.6030000000000002</v>
      </c>
      <c r="I5" s="192">
        <v>41600</v>
      </c>
      <c r="J5" s="168">
        <v>9777</v>
      </c>
      <c r="K5" s="168">
        <v>0.33900000000000002</v>
      </c>
      <c r="L5" s="192">
        <v>11200</v>
      </c>
      <c r="M5" s="168">
        <v>9669</v>
      </c>
      <c r="N5" s="168">
        <v>0.28599999999999998</v>
      </c>
      <c r="O5" s="192">
        <v>10000</v>
      </c>
      <c r="P5" s="168">
        <v>10371</v>
      </c>
      <c r="Q5" s="168">
        <v>0.315</v>
      </c>
      <c r="R5" s="192">
        <v>11200</v>
      </c>
      <c r="S5" s="168">
        <v>68173</v>
      </c>
      <c r="T5" s="168">
        <v>2.516</v>
      </c>
      <c r="U5" s="192">
        <v>37800</v>
      </c>
      <c r="V5" s="168">
        <v>64685</v>
      </c>
      <c r="W5" s="168">
        <v>1.968</v>
      </c>
      <c r="X5" s="192">
        <v>33600</v>
      </c>
      <c r="Y5" s="168">
        <v>16123</v>
      </c>
      <c r="Z5" s="168">
        <v>0.312</v>
      </c>
      <c r="AA5" s="192">
        <v>4320</v>
      </c>
      <c r="AB5" s="168">
        <v>10980</v>
      </c>
      <c r="AC5" s="168">
        <v>0.27800000000000002</v>
      </c>
      <c r="AD5" s="192">
        <v>2720</v>
      </c>
      <c r="AE5" s="168">
        <v>82444</v>
      </c>
      <c r="AF5" s="168">
        <v>1.976</v>
      </c>
      <c r="AG5" s="192">
        <v>35400</v>
      </c>
      <c r="AH5" s="168">
        <v>15606</v>
      </c>
      <c r="AI5" s="168">
        <v>0.313</v>
      </c>
      <c r="AJ5" s="192">
        <v>1280</v>
      </c>
      <c r="AK5" s="241">
        <v>49756</v>
      </c>
      <c r="AL5" s="192">
        <v>342</v>
      </c>
      <c r="AM5" s="192"/>
      <c r="AN5" s="166"/>
      <c r="AO5" s="192">
        <v>228662</v>
      </c>
      <c r="AP5" s="168">
        <v>36680</v>
      </c>
      <c r="AQ5" s="168">
        <v>0.1604114369681014</v>
      </c>
      <c r="AR5" s="168"/>
      <c r="AS5" s="176"/>
      <c r="AT5" s="181">
        <v>43835</v>
      </c>
      <c r="AU5" s="168">
        <v>56483</v>
      </c>
      <c r="AV5" s="192">
        <v>11000</v>
      </c>
      <c r="AW5" s="168">
        <v>7146</v>
      </c>
      <c r="AX5" s="192">
        <v>1300</v>
      </c>
      <c r="AY5" s="168">
        <v>86351</v>
      </c>
      <c r="AZ5" s="192">
        <v>854</v>
      </c>
      <c r="BA5" s="168">
        <v>46935</v>
      </c>
      <c r="BB5" s="192">
        <v>520</v>
      </c>
      <c r="BC5" s="166"/>
      <c r="BD5" s="178"/>
      <c r="BE5" s="169">
        <v>13674</v>
      </c>
      <c r="BF5" s="168"/>
      <c r="BG5" s="168"/>
      <c r="BH5" s="177"/>
      <c r="BI5" s="176"/>
      <c r="BJ5" s="166"/>
      <c r="BK5" s="170">
        <v>49756</v>
      </c>
      <c r="BL5" s="166"/>
      <c r="BM5" s="166"/>
      <c r="BN5" s="171"/>
      <c r="BO5" s="174">
        <v>82057</v>
      </c>
      <c r="BP5" s="166"/>
      <c r="BQ5" s="166"/>
      <c r="BR5" s="166"/>
      <c r="BS5" s="166"/>
      <c r="BT5" s="166"/>
      <c r="BU5" s="166"/>
      <c r="BV5" s="166"/>
      <c r="BW5" s="171"/>
      <c r="BX5" s="174">
        <v>86475</v>
      </c>
      <c r="BY5" s="166"/>
      <c r="BZ5" s="166"/>
      <c r="CA5" s="166"/>
      <c r="CB5" s="166"/>
      <c r="CC5" s="166"/>
      <c r="CD5" s="166"/>
      <c r="CE5" s="166"/>
      <c r="CF5" s="171"/>
      <c r="CG5" s="174">
        <v>68173</v>
      </c>
      <c r="CH5" s="166"/>
      <c r="CI5" s="166"/>
      <c r="CJ5" s="166"/>
      <c r="CK5" s="166"/>
      <c r="CL5" s="166"/>
      <c r="CM5" s="166"/>
      <c r="CN5" s="166"/>
      <c r="CO5" s="171"/>
      <c r="CP5" s="174">
        <v>15606</v>
      </c>
      <c r="CQ5" s="166"/>
      <c r="CR5" s="166"/>
      <c r="CS5" s="166"/>
      <c r="CT5" s="166"/>
      <c r="CU5" s="166"/>
      <c r="CV5" s="166"/>
      <c r="CW5" s="166"/>
      <c r="CX5" s="171"/>
      <c r="CY5" s="174">
        <v>64685</v>
      </c>
      <c r="CZ5" s="166"/>
      <c r="DA5" s="166"/>
      <c r="DB5" s="166"/>
      <c r="DC5" s="183"/>
      <c r="DD5" s="166"/>
      <c r="DE5" s="166"/>
      <c r="DF5" s="166"/>
      <c r="DG5" s="171"/>
      <c r="DH5" s="174">
        <v>9669</v>
      </c>
      <c r="DI5" s="166"/>
      <c r="DJ5" s="166"/>
      <c r="DK5" s="166"/>
      <c r="DL5" s="183"/>
      <c r="DM5" s="166"/>
      <c r="DN5" s="166"/>
      <c r="DO5" s="166"/>
      <c r="DP5" s="171"/>
      <c r="DQ5" s="174">
        <v>68173</v>
      </c>
      <c r="DR5" s="166"/>
      <c r="DS5" s="166"/>
      <c r="DT5" s="166"/>
      <c r="DU5" s="166"/>
      <c r="DV5" s="166"/>
      <c r="DW5" s="166"/>
      <c r="DX5" s="166"/>
      <c r="DY5" s="171"/>
      <c r="DZ5" s="174">
        <v>10371</v>
      </c>
      <c r="EA5" s="166"/>
      <c r="EB5" s="166"/>
      <c r="EC5" s="166"/>
      <c r="ED5" s="166"/>
      <c r="EE5" s="166"/>
      <c r="EF5" s="166"/>
      <c r="EG5" s="166"/>
      <c r="EH5" s="171"/>
      <c r="EI5" s="174">
        <v>16123</v>
      </c>
      <c r="EJ5" s="166"/>
      <c r="EK5" s="166"/>
      <c r="EL5" s="166"/>
      <c r="EM5" s="166"/>
      <c r="EN5" s="166"/>
      <c r="EO5" s="166"/>
      <c r="EP5" s="166"/>
      <c r="EQ5" s="171"/>
      <c r="ER5" s="174">
        <v>10980</v>
      </c>
      <c r="ES5" s="166"/>
      <c r="ET5" s="166"/>
      <c r="EU5" s="166"/>
      <c r="EV5" s="166"/>
      <c r="EW5" s="166"/>
      <c r="EX5" s="166"/>
      <c r="EY5" s="166"/>
      <c r="EZ5" s="171"/>
      <c r="FA5" s="170">
        <v>82444</v>
      </c>
      <c r="FB5" s="185"/>
      <c r="FC5" s="185"/>
      <c r="FD5" s="175"/>
      <c r="FE5" s="175"/>
      <c r="FF5" s="175"/>
      <c r="FG5" s="166"/>
      <c r="FH5" s="175"/>
      <c r="FI5" s="175"/>
      <c r="FJ5" s="179"/>
      <c r="FK5" s="182"/>
      <c r="FL5" s="166"/>
      <c r="FM5" s="166"/>
      <c r="FN5" s="166"/>
      <c r="FO5" s="176"/>
      <c r="FP5" s="166"/>
      <c r="FQ5" s="174">
        <v>7146</v>
      </c>
      <c r="FR5" s="166"/>
      <c r="FS5" s="166"/>
      <c r="FT5" s="166"/>
      <c r="FU5" s="166"/>
      <c r="FV5" s="166"/>
      <c r="FW5" s="166"/>
      <c r="FX5" s="166"/>
      <c r="FY5" s="171"/>
      <c r="FZ5" s="174">
        <v>56483</v>
      </c>
      <c r="GA5" s="166"/>
      <c r="GB5" s="166"/>
      <c r="GC5" s="166"/>
      <c r="GD5" s="166"/>
      <c r="GE5" s="166"/>
      <c r="GF5" s="166"/>
      <c r="GG5" s="166"/>
      <c r="GH5" s="171"/>
      <c r="GI5" s="174">
        <v>86351</v>
      </c>
      <c r="GJ5" s="166"/>
      <c r="GK5" s="166"/>
      <c r="GL5" s="166"/>
      <c r="GM5" s="166"/>
      <c r="GN5" s="171"/>
      <c r="GO5" s="174">
        <v>46935</v>
      </c>
      <c r="GP5" s="166"/>
      <c r="GQ5" s="166"/>
      <c r="GR5" s="166"/>
      <c r="GS5" s="166"/>
      <c r="GT5" s="166"/>
      <c r="GU5" s="166"/>
      <c r="GV5" s="166"/>
      <c r="GW5" s="171"/>
      <c r="GX5" s="166"/>
      <c r="GY5" s="166"/>
      <c r="GZ5" s="166"/>
      <c r="HA5" s="166"/>
      <c r="HB5" s="187"/>
      <c r="HC5" s="166"/>
      <c r="HD5" s="166"/>
      <c r="HE5" s="166"/>
      <c r="HF5" s="166"/>
      <c r="HG5" s="166"/>
      <c r="HH5" s="166"/>
      <c r="HI5" s="166"/>
      <c r="HJ5" s="166"/>
      <c r="HK5" s="166"/>
      <c r="HL5" s="171"/>
      <c r="HM5" s="166"/>
      <c r="HN5" s="166"/>
      <c r="HO5" s="166"/>
      <c r="HP5" s="166"/>
      <c r="HQ5" s="187"/>
      <c r="HR5" s="166"/>
      <c r="HS5" s="166"/>
      <c r="HT5" s="166"/>
      <c r="HU5" s="166"/>
    </row>
    <row r="6" spans="2:229" x14ac:dyDescent="0.25">
      <c r="B6" s="164">
        <v>43842</v>
      </c>
      <c r="C6" s="165">
        <v>1370</v>
      </c>
      <c r="D6" s="168">
        <v>86771</v>
      </c>
      <c r="E6" s="168">
        <v>2.2909999999999999</v>
      </c>
      <c r="F6" s="192">
        <v>47360</v>
      </c>
      <c r="G6" s="168">
        <v>82369</v>
      </c>
      <c r="H6" s="168">
        <v>2.6030000000000002</v>
      </c>
      <c r="I6" s="192">
        <v>49920</v>
      </c>
      <c r="J6" s="168">
        <v>9807</v>
      </c>
      <c r="K6" s="168">
        <v>0.33900000000000002</v>
      </c>
      <c r="L6" s="192">
        <v>12000</v>
      </c>
      <c r="M6" s="168">
        <v>9698</v>
      </c>
      <c r="N6" s="168">
        <v>0.28599999999999998</v>
      </c>
      <c r="O6" s="192">
        <v>11600</v>
      </c>
      <c r="P6" s="168">
        <v>10402</v>
      </c>
      <c r="Q6" s="168">
        <v>0.315</v>
      </c>
      <c r="R6" s="192">
        <v>12400</v>
      </c>
      <c r="S6" s="168">
        <v>68322</v>
      </c>
      <c r="T6" s="168">
        <v>2.516</v>
      </c>
      <c r="U6" s="192">
        <v>44700</v>
      </c>
      <c r="V6" s="168">
        <v>64833</v>
      </c>
      <c r="W6" s="168">
        <v>1.992</v>
      </c>
      <c r="X6" s="192">
        <v>44400</v>
      </c>
      <c r="Y6" s="168">
        <v>16161</v>
      </c>
      <c r="Z6" s="168">
        <v>0.36499999999999999</v>
      </c>
      <c r="AA6" s="192">
        <v>6080</v>
      </c>
      <c r="AB6" s="168">
        <v>11007</v>
      </c>
      <c r="AC6" s="168">
        <v>0.31</v>
      </c>
      <c r="AD6" s="192">
        <v>4320</v>
      </c>
      <c r="AE6" s="168">
        <v>82666</v>
      </c>
      <c r="AF6" s="168">
        <v>1.976</v>
      </c>
      <c r="AG6" s="192">
        <v>44400</v>
      </c>
      <c r="AH6" s="168">
        <v>15646</v>
      </c>
      <c r="AI6" s="168">
        <v>0.313</v>
      </c>
      <c r="AJ6" s="192">
        <v>1600</v>
      </c>
      <c r="AK6" s="241">
        <v>50224</v>
      </c>
      <c r="AL6" s="192">
        <v>468</v>
      </c>
      <c r="AM6" s="192"/>
      <c r="AN6" s="166"/>
      <c r="AO6" s="192">
        <v>279248</v>
      </c>
      <c r="AP6" s="168">
        <v>46000</v>
      </c>
      <c r="AQ6" s="168">
        <v>0.16472812696957542</v>
      </c>
      <c r="AR6" s="168"/>
      <c r="AS6" s="176"/>
      <c r="AT6" s="181">
        <v>43842</v>
      </c>
      <c r="AU6" s="168">
        <v>56615</v>
      </c>
      <c r="AV6" s="192">
        <v>13200</v>
      </c>
      <c r="AW6" s="168">
        <v>7164</v>
      </c>
      <c r="AX6" s="192">
        <v>1800</v>
      </c>
      <c r="AY6" s="168">
        <v>87331</v>
      </c>
      <c r="AZ6" s="192">
        <v>980</v>
      </c>
      <c r="BA6" s="168">
        <v>46957</v>
      </c>
      <c r="BB6" s="192">
        <v>880</v>
      </c>
      <c r="BC6" s="166"/>
      <c r="BD6" s="178"/>
      <c r="BE6" s="169">
        <v>16860</v>
      </c>
      <c r="BF6" s="168"/>
      <c r="BG6" s="168"/>
      <c r="BH6" s="177"/>
      <c r="BI6" s="176"/>
      <c r="BJ6" s="166"/>
      <c r="BK6" s="170">
        <v>50224</v>
      </c>
      <c r="BL6" s="166"/>
      <c r="BM6" s="166"/>
      <c r="BN6" s="171"/>
      <c r="BO6" s="174">
        <v>82369</v>
      </c>
      <c r="BP6" s="166"/>
      <c r="BQ6" s="166"/>
      <c r="BR6" s="166"/>
      <c r="BS6" s="166"/>
      <c r="BT6" s="166"/>
      <c r="BU6" s="166"/>
      <c r="BV6" s="166"/>
      <c r="BW6" s="171"/>
      <c r="BX6" s="174">
        <v>86771</v>
      </c>
      <c r="BY6" s="166"/>
      <c r="BZ6" s="166"/>
      <c r="CA6" s="166"/>
      <c r="CB6" s="166"/>
      <c r="CC6" s="166"/>
      <c r="CD6" s="166"/>
      <c r="CE6" s="166"/>
      <c r="CF6" s="171"/>
      <c r="CG6" s="174">
        <v>68322</v>
      </c>
      <c r="CH6" s="166"/>
      <c r="CI6" s="166"/>
      <c r="CJ6" s="166"/>
      <c r="CK6" s="166"/>
      <c r="CL6" s="166"/>
      <c r="CM6" s="166"/>
      <c r="CN6" s="166"/>
      <c r="CO6" s="171"/>
      <c r="CP6" s="174">
        <v>15646</v>
      </c>
      <c r="CQ6" s="166"/>
      <c r="CR6" s="166"/>
      <c r="CS6" s="166"/>
      <c r="CT6" s="166"/>
      <c r="CU6" s="166"/>
      <c r="CV6" s="166"/>
      <c r="CW6" s="166"/>
      <c r="CX6" s="171"/>
      <c r="CY6" s="174">
        <v>64833</v>
      </c>
      <c r="CZ6" s="166"/>
      <c r="DA6" s="166"/>
      <c r="DB6" s="166"/>
      <c r="DC6" s="183"/>
      <c r="DD6" s="166"/>
      <c r="DE6" s="166"/>
      <c r="DF6" s="166"/>
      <c r="DG6" s="171"/>
      <c r="DH6" s="174">
        <v>9698</v>
      </c>
      <c r="DI6" s="166"/>
      <c r="DJ6" s="166"/>
      <c r="DK6" s="166"/>
      <c r="DL6" s="183"/>
      <c r="DM6" s="166"/>
      <c r="DN6" s="166"/>
      <c r="DO6" s="166"/>
      <c r="DP6" s="171"/>
      <c r="DQ6" s="174">
        <v>68322</v>
      </c>
      <c r="DR6" s="166"/>
      <c r="DS6" s="166"/>
      <c r="DT6" s="166"/>
      <c r="DU6" s="166"/>
      <c r="DV6" s="166"/>
      <c r="DW6" s="166"/>
      <c r="DX6" s="166"/>
      <c r="DY6" s="171"/>
      <c r="DZ6" s="174">
        <v>10402</v>
      </c>
      <c r="EA6" s="166"/>
      <c r="EB6" s="166"/>
      <c r="EC6" s="166"/>
      <c r="ED6" s="166"/>
      <c r="EE6" s="166"/>
      <c r="EF6" s="166"/>
      <c r="EG6" s="166"/>
      <c r="EH6" s="171"/>
      <c r="EI6" s="174">
        <v>16161</v>
      </c>
      <c r="EJ6" s="166"/>
      <c r="EK6" s="166"/>
      <c r="EL6" s="166"/>
      <c r="EM6" s="166"/>
      <c r="EN6" s="166"/>
      <c r="EO6" s="166"/>
      <c r="EP6" s="166"/>
      <c r="EQ6" s="171"/>
      <c r="ER6" s="174">
        <v>11007</v>
      </c>
      <c r="ES6" s="166"/>
      <c r="ET6" s="166"/>
      <c r="EU6" s="166"/>
      <c r="EV6" s="166"/>
      <c r="EW6" s="166"/>
      <c r="EX6" s="166"/>
      <c r="EY6" s="166"/>
      <c r="EZ6" s="171"/>
      <c r="FA6" s="170">
        <v>82666</v>
      </c>
      <c r="FB6" s="185"/>
      <c r="FC6" s="185"/>
      <c r="FD6" s="175"/>
      <c r="FE6" s="175"/>
      <c r="FF6" s="175"/>
      <c r="FG6" s="166"/>
      <c r="FH6" s="175"/>
      <c r="FI6" s="175"/>
      <c r="FJ6" s="179"/>
      <c r="FK6" s="182"/>
      <c r="FL6" s="166"/>
      <c r="FM6" s="166"/>
      <c r="FN6" s="166"/>
      <c r="FO6" s="176"/>
      <c r="FP6" s="166"/>
      <c r="FQ6" s="174">
        <v>7164</v>
      </c>
      <c r="FR6" s="166"/>
      <c r="FS6" s="166"/>
      <c r="FT6" s="166"/>
      <c r="FU6" s="166"/>
      <c r="FV6" s="166"/>
      <c r="FW6" s="166"/>
      <c r="FX6" s="166"/>
      <c r="FY6" s="171"/>
      <c r="FZ6" s="174">
        <v>56615</v>
      </c>
      <c r="GA6" s="166"/>
      <c r="GB6" s="166"/>
      <c r="GC6" s="166"/>
      <c r="GD6" s="166"/>
      <c r="GE6" s="166"/>
      <c r="GF6" s="166"/>
      <c r="GG6" s="166"/>
      <c r="GH6" s="171"/>
      <c r="GI6" s="174">
        <v>87331</v>
      </c>
      <c r="GJ6" s="166"/>
      <c r="GK6" s="166"/>
      <c r="GL6" s="166"/>
      <c r="GM6" s="166"/>
      <c r="GN6" s="171"/>
      <c r="GO6" s="174">
        <v>46957</v>
      </c>
      <c r="GP6" s="166"/>
      <c r="GQ6" s="166"/>
      <c r="GR6" s="166"/>
      <c r="GS6" s="166"/>
      <c r="GT6" s="166"/>
      <c r="GU6" s="166"/>
      <c r="GV6" s="166"/>
      <c r="GW6" s="171"/>
      <c r="GX6" s="166"/>
      <c r="GY6" s="166"/>
      <c r="GZ6" s="166"/>
      <c r="HA6" s="166"/>
      <c r="HB6" s="187"/>
      <c r="HC6" s="166"/>
      <c r="HD6" s="166"/>
      <c r="HE6" s="166"/>
      <c r="HF6" s="166"/>
      <c r="HG6" s="166"/>
      <c r="HH6" s="166"/>
      <c r="HI6" s="166"/>
      <c r="HJ6" s="166"/>
      <c r="HK6" s="166"/>
      <c r="HL6" s="171"/>
      <c r="HM6" s="166"/>
      <c r="HN6" s="166"/>
      <c r="HO6" s="166"/>
      <c r="HP6" s="166"/>
      <c r="HQ6" s="187"/>
      <c r="HR6" s="171"/>
      <c r="HS6" s="166"/>
      <c r="HT6" s="166"/>
      <c r="HU6" s="166"/>
    </row>
    <row r="7" spans="2:229" x14ac:dyDescent="0.25">
      <c r="B7" s="164">
        <v>43849</v>
      </c>
      <c r="C7" s="165">
        <v>2711</v>
      </c>
      <c r="D7" s="168">
        <v>87066</v>
      </c>
      <c r="E7" s="168">
        <v>2.2909999999999999</v>
      </c>
      <c r="F7" s="192">
        <v>47200</v>
      </c>
      <c r="G7" s="168">
        <v>82677</v>
      </c>
      <c r="H7" s="168">
        <v>2.6030000000000002</v>
      </c>
      <c r="I7" s="192">
        <v>49280</v>
      </c>
      <c r="J7" s="168">
        <v>9838</v>
      </c>
      <c r="K7" s="168">
        <v>0.33900000000000002</v>
      </c>
      <c r="L7" s="192">
        <v>12400</v>
      </c>
      <c r="M7" s="168">
        <v>9727</v>
      </c>
      <c r="N7" s="168">
        <v>0.28599999999999998</v>
      </c>
      <c r="O7" s="192">
        <v>11600</v>
      </c>
      <c r="P7" s="168">
        <v>10432</v>
      </c>
      <c r="Q7" s="168">
        <v>0.315</v>
      </c>
      <c r="R7" s="192">
        <v>12000</v>
      </c>
      <c r="S7" s="168">
        <v>68493</v>
      </c>
      <c r="T7" s="168">
        <v>2.516</v>
      </c>
      <c r="U7" s="192">
        <v>51300</v>
      </c>
      <c r="V7" s="168">
        <v>65036</v>
      </c>
      <c r="W7" s="168">
        <v>2.0019999999999998</v>
      </c>
      <c r="X7" s="192">
        <v>60900</v>
      </c>
      <c r="Y7" s="168">
        <v>16205</v>
      </c>
      <c r="Z7" s="168">
        <v>0.38400000000000001</v>
      </c>
      <c r="AA7" s="192">
        <v>7040</v>
      </c>
      <c r="AB7" s="168">
        <v>11041</v>
      </c>
      <c r="AC7" s="168">
        <v>0.39100000000000001</v>
      </c>
      <c r="AD7" s="192">
        <v>5440</v>
      </c>
      <c r="AE7" s="168">
        <v>82901</v>
      </c>
      <c r="AF7" s="168">
        <v>1.976</v>
      </c>
      <c r="AG7" s="192">
        <v>47000</v>
      </c>
      <c r="AH7" s="168">
        <v>15687</v>
      </c>
      <c r="AI7" s="168">
        <v>0.313</v>
      </c>
      <c r="AJ7" s="192">
        <v>1640</v>
      </c>
      <c r="AK7" s="241">
        <v>50689</v>
      </c>
      <c r="AL7" s="192">
        <v>465</v>
      </c>
      <c r="AM7" s="192"/>
      <c r="AN7" s="166"/>
      <c r="AO7" s="192">
        <v>306265</v>
      </c>
      <c r="AP7" s="168">
        <v>48640</v>
      </c>
      <c r="AQ7" s="168">
        <v>0.15881671101823583</v>
      </c>
      <c r="AR7" s="168"/>
      <c r="AS7" s="176"/>
      <c r="AT7" s="181">
        <v>43849</v>
      </c>
      <c r="AU7" s="168">
        <v>56779</v>
      </c>
      <c r="AV7" s="192">
        <v>16400</v>
      </c>
      <c r="AW7" s="168">
        <v>7187</v>
      </c>
      <c r="AX7" s="192">
        <v>2300</v>
      </c>
      <c r="AY7" s="168">
        <v>88331</v>
      </c>
      <c r="AZ7" s="192">
        <v>1000</v>
      </c>
      <c r="BA7" s="168">
        <v>46968</v>
      </c>
      <c r="BB7" s="192">
        <v>440</v>
      </c>
      <c r="BC7" s="166"/>
      <c r="BD7" s="178"/>
      <c r="BE7" s="169">
        <v>20140</v>
      </c>
      <c r="BF7" s="168"/>
      <c r="BG7" s="168"/>
      <c r="BH7" s="177"/>
      <c r="BI7" s="176"/>
      <c r="BJ7" s="166"/>
      <c r="BK7" s="170">
        <v>50689</v>
      </c>
      <c r="BL7" s="166"/>
      <c r="BM7" s="166"/>
      <c r="BN7" s="171"/>
      <c r="BO7" s="174">
        <v>82677</v>
      </c>
      <c r="BP7" s="166"/>
      <c r="BQ7" s="166"/>
      <c r="BR7" s="166"/>
      <c r="BS7" s="166"/>
      <c r="BT7" s="166"/>
      <c r="BU7" s="166"/>
      <c r="BV7" s="166"/>
      <c r="BW7" s="171"/>
      <c r="BX7" s="174">
        <v>87066</v>
      </c>
      <c r="BY7" s="166"/>
      <c r="BZ7" s="166"/>
      <c r="CA7" s="166"/>
      <c r="CB7" s="166"/>
      <c r="CC7" s="166"/>
      <c r="CD7" s="166"/>
      <c r="CE7" s="166"/>
      <c r="CF7" s="171"/>
      <c r="CG7" s="174">
        <v>68493</v>
      </c>
      <c r="CH7" s="166"/>
      <c r="CI7" s="166"/>
      <c r="CJ7" s="166"/>
      <c r="CK7" s="166"/>
      <c r="CL7" s="166"/>
      <c r="CM7" s="166"/>
      <c r="CN7" s="166"/>
      <c r="CO7" s="171"/>
      <c r="CP7" s="174">
        <v>15687</v>
      </c>
      <c r="CQ7" s="166"/>
      <c r="CR7" s="166"/>
      <c r="CS7" s="166"/>
      <c r="CT7" s="166"/>
      <c r="CU7" s="166"/>
      <c r="CV7" s="166"/>
      <c r="CW7" s="166"/>
      <c r="CX7" s="171"/>
      <c r="CY7" s="174">
        <v>65036</v>
      </c>
      <c r="CZ7" s="166"/>
      <c r="DA7" s="166"/>
      <c r="DB7" s="166"/>
      <c r="DC7" s="183"/>
      <c r="DD7" s="166"/>
      <c r="DE7" s="166"/>
      <c r="DF7" s="166"/>
      <c r="DG7" s="171"/>
      <c r="DH7" s="174">
        <v>9727</v>
      </c>
      <c r="DI7" s="166"/>
      <c r="DJ7" s="166"/>
      <c r="DK7" s="166"/>
      <c r="DL7" s="183"/>
      <c r="DM7" s="166"/>
      <c r="DN7" s="166"/>
      <c r="DO7" s="166"/>
      <c r="DP7" s="171"/>
      <c r="DQ7" s="174">
        <v>68493</v>
      </c>
      <c r="DR7" s="166"/>
      <c r="DS7" s="166"/>
      <c r="DT7" s="166"/>
      <c r="DU7" s="166"/>
      <c r="DV7" s="166"/>
      <c r="DW7" s="166"/>
      <c r="DX7" s="166"/>
      <c r="DY7" s="171"/>
      <c r="DZ7" s="174">
        <v>10432</v>
      </c>
      <c r="EA7" s="166"/>
      <c r="EB7" s="166"/>
      <c r="EC7" s="166"/>
      <c r="ED7" s="166"/>
      <c r="EE7" s="166"/>
      <c r="EF7" s="166"/>
      <c r="EG7" s="166"/>
      <c r="EH7" s="171"/>
      <c r="EI7" s="174">
        <v>16205</v>
      </c>
      <c r="EJ7" s="166"/>
      <c r="EK7" s="166"/>
      <c r="EL7" s="166"/>
      <c r="EM7" s="166"/>
      <c r="EN7" s="166"/>
      <c r="EO7" s="166"/>
      <c r="EP7" s="166"/>
      <c r="EQ7" s="171"/>
      <c r="ER7" s="174">
        <v>11041</v>
      </c>
      <c r="ES7" s="166"/>
      <c r="ET7" s="166"/>
      <c r="EU7" s="166"/>
      <c r="EV7" s="166"/>
      <c r="EW7" s="166"/>
      <c r="EX7" s="166"/>
      <c r="EY7" s="166"/>
      <c r="EZ7" s="171"/>
      <c r="FA7" s="170">
        <v>82901</v>
      </c>
      <c r="FB7" s="185"/>
      <c r="FC7" s="185"/>
      <c r="FD7" s="175"/>
      <c r="FE7" s="175"/>
      <c r="FF7" s="175"/>
      <c r="FG7" s="166"/>
      <c r="FH7" s="175"/>
      <c r="FI7" s="175"/>
      <c r="FJ7" s="179"/>
      <c r="FK7" s="182"/>
      <c r="FL7" s="166"/>
      <c r="FM7" s="166"/>
      <c r="FN7" s="166"/>
      <c r="FO7" s="176"/>
      <c r="FP7" s="166"/>
      <c r="FQ7" s="174">
        <v>7187</v>
      </c>
      <c r="FR7" s="166"/>
      <c r="FS7" s="166"/>
      <c r="FT7" s="166"/>
      <c r="FU7" s="166"/>
      <c r="FV7" s="166"/>
      <c r="FW7" s="166"/>
      <c r="FX7" s="166"/>
      <c r="FY7" s="171"/>
      <c r="FZ7" s="174">
        <v>56779</v>
      </c>
      <c r="GA7" s="166"/>
      <c r="GB7" s="166"/>
      <c r="GC7" s="166"/>
      <c r="GD7" s="166"/>
      <c r="GE7" s="166"/>
      <c r="GF7" s="166"/>
      <c r="GG7" s="166"/>
      <c r="GH7" s="171"/>
      <c r="GI7" s="174">
        <v>88331</v>
      </c>
      <c r="GJ7" s="166"/>
      <c r="GK7" s="166"/>
      <c r="GL7" s="166"/>
      <c r="GM7" s="166"/>
      <c r="GN7" s="171"/>
      <c r="GO7" s="174">
        <v>46968</v>
      </c>
      <c r="GP7" s="166"/>
      <c r="GQ7" s="166"/>
      <c r="GR7" s="166"/>
      <c r="GS7" s="166"/>
      <c r="GT7" s="166"/>
      <c r="GU7" s="166"/>
      <c r="GV7" s="166"/>
      <c r="GW7" s="171"/>
      <c r="GX7" s="166"/>
      <c r="GY7" s="166"/>
      <c r="GZ7" s="166"/>
      <c r="HA7" s="166"/>
      <c r="HB7" s="187"/>
      <c r="HC7" s="166"/>
      <c r="HD7" s="166"/>
      <c r="HE7" s="166"/>
      <c r="HF7" s="166"/>
      <c r="HG7" s="166"/>
      <c r="HH7" s="166"/>
      <c r="HI7" s="166"/>
      <c r="HJ7" s="166"/>
      <c r="HK7" s="166"/>
      <c r="HL7" s="171"/>
      <c r="HM7" s="166"/>
      <c r="HN7" s="166"/>
      <c r="HO7" s="166"/>
      <c r="HP7" s="166"/>
      <c r="HQ7" s="187"/>
      <c r="HR7" s="166"/>
      <c r="HS7" s="166"/>
      <c r="HT7" s="166"/>
      <c r="HU7" s="166"/>
    </row>
    <row r="8" spans="2:229" x14ac:dyDescent="0.25">
      <c r="B8" s="164">
        <v>43856</v>
      </c>
      <c r="C8" s="165">
        <v>2551</v>
      </c>
      <c r="D8" s="168">
        <v>87365</v>
      </c>
      <c r="E8" s="168">
        <v>2.1629999999999998</v>
      </c>
      <c r="F8" s="192">
        <v>47840</v>
      </c>
      <c r="G8" s="168">
        <v>83002</v>
      </c>
      <c r="H8" s="168">
        <v>2.5059999999999998</v>
      </c>
      <c r="I8" s="192">
        <v>52000</v>
      </c>
      <c r="J8" s="168">
        <v>9878</v>
      </c>
      <c r="K8" s="168">
        <v>0.35199999999999998</v>
      </c>
      <c r="L8" s="192">
        <v>16000</v>
      </c>
      <c r="M8" s="168">
        <v>9762</v>
      </c>
      <c r="N8" s="168">
        <v>0.33300000000000002</v>
      </c>
      <c r="O8" s="192">
        <v>14000</v>
      </c>
      <c r="P8" s="168">
        <v>10470</v>
      </c>
      <c r="Q8" s="168">
        <v>0.4</v>
      </c>
      <c r="R8" s="192">
        <v>15200</v>
      </c>
      <c r="S8" s="168">
        <v>68620</v>
      </c>
      <c r="T8" s="168">
        <v>1.655</v>
      </c>
      <c r="U8" s="192">
        <v>38100</v>
      </c>
      <c r="V8" s="168">
        <v>65146</v>
      </c>
      <c r="W8" s="168">
        <v>1.488</v>
      </c>
      <c r="X8" s="192">
        <v>33000</v>
      </c>
      <c r="Y8" s="168">
        <v>16250</v>
      </c>
      <c r="Z8" s="168">
        <v>0.38900000000000001</v>
      </c>
      <c r="AA8" s="192">
        <v>7200</v>
      </c>
      <c r="AB8" s="168">
        <v>11078</v>
      </c>
      <c r="AC8" s="168">
        <v>0.45100000000000001</v>
      </c>
      <c r="AD8" s="192">
        <v>5920</v>
      </c>
      <c r="AE8" s="168">
        <v>83092</v>
      </c>
      <c r="AF8" s="168">
        <v>1.6419999999999999</v>
      </c>
      <c r="AG8" s="192">
        <v>38200</v>
      </c>
      <c r="AH8" s="168">
        <v>15727</v>
      </c>
      <c r="AI8" s="168">
        <v>0.31</v>
      </c>
      <c r="AJ8" s="192">
        <v>1600</v>
      </c>
      <c r="AK8" s="241">
        <v>51154</v>
      </c>
      <c r="AL8" s="192">
        <v>465</v>
      </c>
      <c r="AM8" s="192"/>
      <c r="AN8" s="166"/>
      <c r="AO8" s="192">
        <v>269525</v>
      </c>
      <c r="AP8" s="168">
        <v>39800</v>
      </c>
      <c r="AQ8" s="168">
        <v>0.1476671922827196</v>
      </c>
      <c r="AR8" s="168"/>
      <c r="AS8" s="176"/>
      <c r="AT8" s="181">
        <v>43856</v>
      </c>
      <c r="AU8" s="168">
        <v>56895</v>
      </c>
      <c r="AV8" s="192">
        <v>11600</v>
      </c>
      <c r="AW8" s="168">
        <v>7204</v>
      </c>
      <c r="AX8" s="192">
        <v>1700</v>
      </c>
      <c r="AY8" s="168">
        <v>89304</v>
      </c>
      <c r="AZ8" s="192">
        <v>973</v>
      </c>
      <c r="BA8" s="168">
        <v>47035</v>
      </c>
      <c r="BB8" s="192">
        <v>2680</v>
      </c>
      <c r="BC8" s="166"/>
      <c r="BD8" s="178"/>
      <c r="BE8" s="169">
        <v>16953</v>
      </c>
      <c r="BF8" s="168"/>
      <c r="BG8" s="168"/>
      <c r="BH8" s="177"/>
      <c r="BI8" s="176"/>
      <c r="BJ8" s="166"/>
      <c r="BK8" s="170">
        <v>51154</v>
      </c>
      <c r="BL8" s="166"/>
      <c r="BM8" s="166"/>
      <c r="BN8" s="171"/>
      <c r="BO8" s="174">
        <v>83002</v>
      </c>
      <c r="BP8" s="166"/>
      <c r="BQ8" s="166"/>
      <c r="BR8" s="166"/>
      <c r="BS8" s="166"/>
      <c r="BT8" s="166"/>
      <c r="BU8" s="166"/>
      <c r="BV8" s="166"/>
      <c r="BW8" s="171"/>
      <c r="BX8" s="174">
        <v>87365</v>
      </c>
      <c r="BY8" s="166"/>
      <c r="BZ8" s="166"/>
      <c r="CA8" s="166"/>
      <c r="CB8" s="166"/>
      <c r="CC8" s="166"/>
      <c r="CD8" s="166"/>
      <c r="CE8" s="166"/>
      <c r="CF8" s="171"/>
      <c r="CG8" s="174">
        <v>68620</v>
      </c>
      <c r="CH8" s="166"/>
      <c r="CI8" s="166"/>
      <c r="CJ8" s="166"/>
      <c r="CK8" s="166"/>
      <c r="CL8" s="166"/>
      <c r="CM8" s="166"/>
      <c r="CN8" s="166"/>
      <c r="CO8" s="171"/>
      <c r="CP8" s="174">
        <v>15727</v>
      </c>
      <c r="CQ8" s="166"/>
      <c r="CR8" s="166"/>
      <c r="CS8" s="166"/>
      <c r="CT8" s="166"/>
      <c r="CU8" s="166"/>
      <c r="CV8" s="166"/>
      <c r="CW8" s="166"/>
      <c r="CX8" s="171"/>
      <c r="CY8" s="174">
        <v>65146</v>
      </c>
      <c r="CZ8" s="166"/>
      <c r="DA8" s="166"/>
      <c r="DB8" s="166"/>
      <c r="DC8" s="183"/>
      <c r="DD8" s="166"/>
      <c r="DE8" s="166"/>
      <c r="DF8" s="166"/>
      <c r="DG8" s="171"/>
      <c r="DH8" s="174">
        <v>9762</v>
      </c>
      <c r="DI8" s="166"/>
      <c r="DJ8" s="166"/>
      <c r="DK8" s="166"/>
      <c r="DL8" s="183"/>
      <c r="DM8" s="166"/>
      <c r="DN8" s="166"/>
      <c r="DO8" s="166"/>
      <c r="DP8" s="171"/>
      <c r="DQ8" s="174">
        <v>68620</v>
      </c>
      <c r="DR8" s="166"/>
      <c r="DS8" s="166"/>
      <c r="DT8" s="166"/>
      <c r="DU8" s="166"/>
      <c r="DV8" s="166"/>
      <c r="DW8" s="166"/>
      <c r="DX8" s="166"/>
      <c r="DY8" s="171"/>
      <c r="DZ8" s="174">
        <v>10470</v>
      </c>
      <c r="EA8" s="166"/>
      <c r="EB8" s="166"/>
      <c r="EC8" s="166"/>
      <c r="ED8" s="166"/>
      <c r="EE8" s="166"/>
      <c r="EF8" s="166"/>
      <c r="EG8" s="166"/>
      <c r="EH8" s="171"/>
      <c r="EI8" s="174">
        <v>16250</v>
      </c>
      <c r="EJ8" s="166"/>
      <c r="EK8" s="166"/>
      <c r="EL8" s="166"/>
      <c r="EM8" s="166"/>
      <c r="EN8" s="166"/>
      <c r="EO8" s="166"/>
      <c r="EP8" s="166"/>
      <c r="EQ8" s="171"/>
      <c r="ER8" s="174">
        <v>11078</v>
      </c>
      <c r="ES8" s="166"/>
      <c r="ET8" s="166"/>
      <c r="EU8" s="166"/>
      <c r="EV8" s="166"/>
      <c r="EW8" s="166"/>
      <c r="EX8" s="166"/>
      <c r="EY8" s="166"/>
      <c r="EZ8" s="171"/>
      <c r="FA8" s="170">
        <v>83092</v>
      </c>
      <c r="FB8" s="185"/>
      <c r="FC8" s="185"/>
      <c r="FD8" s="175"/>
      <c r="FE8" s="175"/>
      <c r="FF8" s="175"/>
      <c r="FG8" s="166"/>
      <c r="FH8" s="175"/>
      <c r="FI8" s="175"/>
      <c r="FJ8" s="179"/>
      <c r="FK8" s="182"/>
      <c r="FL8" s="166"/>
      <c r="FM8" s="166"/>
      <c r="FN8" s="166"/>
      <c r="FO8" s="176"/>
      <c r="FP8" s="166"/>
      <c r="FQ8" s="174">
        <v>7204</v>
      </c>
      <c r="FR8" s="166"/>
      <c r="FS8" s="166"/>
      <c r="FT8" s="166"/>
      <c r="FU8" s="166"/>
      <c r="FV8" s="166"/>
      <c r="FW8" s="166"/>
      <c r="FX8" s="166"/>
      <c r="FY8" s="171"/>
      <c r="FZ8" s="174">
        <v>56895</v>
      </c>
      <c r="GA8" s="166"/>
      <c r="GB8" s="166"/>
      <c r="GC8" s="166"/>
      <c r="GD8" s="166"/>
      <c r="GE8" s="166"/>
      <c r="GF8" s="166"/>
      <c r="GG8" s="166"/>
      <c r="GH8" s="171"/>
      <c r="GI8" s="174">
        <v>89304</v>
      </c>
      <c r="GJ8" s="166"/>
      <c r="GK8" s="166"/>
      <c r="GL8" s="166"/>
      <c r="GM8" s="166"/>
      <c r="GN8" s="171"/>
      <c r="GO8" s="174">
        <v>47035</v>
      </c>
      <c r="GP8" s="166"/>
      <c r="GQ8" s="166"/>
      <c r="GR8" s="166"/>
      <c r="GS8" s="166"/>
      <c r="GT8" s="166"/>
      <c r="GU8" s="166"/>
      <c r="GV8" s="166"/>
      <c r="GW8" s="171"/>
      <c r="GX8" s="166"/>
      <c r="GY8" s="166"/>
      <c r="GZ8" s="166"/>
      <c r="HA8" s="166"/>
      <c r="HB8" s="187"/>
      <c r="HC8" s="166"/>
      <c r="HD8" s="166"/>
      <c r="HE8" s="166"/>
      <c r="HF8" s="166"/>
      <c r="HG8" s="166"/>
      <c r="HH8" s="166"/>
      <c r="HI8" s="166"/>
      <c r="HJ8" s="166"/>
      <c r="HK8" s="166"/>
      <c r="HL8" s="171"/>
      <c r="HM8" s="166"/>
      <c r="HN8" s="166"/>
      <c r="HO8" s="166"/>
      <c r="HP8" s="166"/>
      <c r="HQ8" s="187"/>
      <c r="HR8" s="166"/>
      <c r="HS8" s="166"/>
      <c r="HT8" s="166"/>
      <c r="HU8" s="166"/>
    </row>
    <row r="9" spans="2:229" x14ac:dyDescent="0.25">
      <c r="B9" s="164">
        <v>43862</v>
      </c>
      <c r="C9" s="165">
        <v>2016</v>
      </c>
      <c r="D9" s="168">
        <v>87663</v>
      </c>
      <c r="E9" s="168">
        <v>2.1629999999999998</v>
      </c>
      <c r="F9" s="192">
        <v>47680</v>
      </c>
      <c r="G9" s="168">
        <v>83312</v>
      </c>
      <c r="H9" s="168">
        <v>2.5059999999999998</v>
      </c>
      <c r="I9" s="192">
        <v>49600</v>
      </c>
      <c r="J9" s="168">
        <v>9914</v>
      </c>
      <c r="K9" s="168">
        <v>0.35199999999999998</v>
      </c>
      <c r="L9" s="192">
        <v>14400</v>
      </c>
      <c r="M9" s="168">
        <v>9793</v>
      </c>
      <c r="N9" s="168">
        <v>0.33300000000000002</v>
      </c>
      <c r="O9" s="192">
        <v>12400</v>
      </c>
      <c r="P9" s="168">
        <v>10503</v>
      </c>
      <c r="Q9" s="168">
        <v>0.4</v>
      </c>
      <c r="R9" s="192">
        <v>13200</v>
      </c>
      <c r="S9" s="168">
        <v>68734</v>
      </c>
      <c r="T9" s="168">
        <v>1.903</v>
      </c>
      <c r="U9" s="192">
        <v>34200</v>
      </c>
      <c r="V9" s="168">
        <v>65273</v>
      </c>
      <c r="W9" s="168">
        <v>1.706</v>
      </c>
      <c r="X9" s="192">
        <v>38100</v>
      </c>
      <c r="Y9" s="168">
        <v>16293</v>
      </c>
      <c r="Z9" s="168">
        <v>0.41499999999999998</v>
      </c>
      <c r="AA9" s="192">
        <v>6880</v>
      </c>
      <c r="AB9" s="168">
        <v>11109</v>
      </c>
      <c r="AC9" s="168">
        <v>0.45100000000000001</v>
      </c>
      <c r="AD9" s="192">
        <v>4960</v>
      </c>
      <c r="AE9" s="168">
        <v>83295</v>
      </c>
      <c r="AF9" s="168">
        <v>1.7889999999999999</v>
      </c>
      <c r="AG9" s="192">
        <v>40600</v>
      </c>
      <c r="AH9" s="168">
        <v>15763</v>
      </c>
      <c r="AI9" s="168">
        <v>0.31</v>
      </c>
      <c r="AJ9" s="192">
        <v>1440</v>
      </c>
      <c r="AK9" s="241">
        <v>51620</v>
      </c>
      <c r="AL9" s="192">
        <v>466</v>
      </c>
      <c r="AM9" s="192"/>
      <c r="AN9" s="166"/>
      <c r="AO9" s="192">
        <v>263926</v>
      </c>
      <c r="AP9" s="168">
        <v>42040</v>
      </c>
      <c r="AQ9" s="168">
        <v>0.15928707289164387</v>
      </c>
      <c r="AR9" s="168">
        <v>1347626</v>
      </c>
      <c r="AS9" s="176"/>
      <c r="AT9" s="181">
        <v>43862</v>
      </c>
      <c r="AU9" s="168">
        <v>57019</v>
      </c>
      <c r="AV9" s="192">
        <v>12400</v>
      </c>
      <c r="AW9" s="168">
        <v>7219</v>
      </c>
      <c r="AX9" s="192">
        <v>1500</v>
      </c>
      <c r="AY9" s="168">
        <v>90281</v>
      </c>
      <c r="AZ9" s="192">
        <v>977</v>
      </c>
      <c r="BA9" s="168">
        <v>47077</v>
      </c>
      <c r="BB9" s="192">
        <v>1680</v>
      </c>
      <c r="BC9" s="166"/>
      <c r="BD9" s="178"/>
      <c r="BE9" s="169">
        <v>16557</v>
      </c>
      <c r="BF9" s="168">
        <v>84184</v>
      </c>
      <c r="BG9" s="168">
        <v>1431810</v>
      </c>
      <c r="BH9" s="177"/>
      <c r="BI9" s="176"/>
      <c r="BJ9" s="166"/>
      <c r="BK9" s="170">
        <v>51620</v>
      </c>
      <c r="BL9" s="168">
        <v>50726</v>
      </c>
      <c r="BM9" s="170">
        <v>1881</v>
      </c>
      <c r="BN9" s="173">
        <v>298.62483539999999</v>
      </c>
      <c r="BO9" s="174">
        <v>83312</v>
      </c>
      <c r="BP9" s="168">
        <v>82766</v>
      </c>
      <c r="BQ9" s="168">
        <v>2.4830000000000001</v>
      </c>
      <c r="BR9" s="170">
        <v>149760</v>
      </c>
      <c r="BS9" s="170">
        <v>397.28000000000003</v>
      </c>
      <c r="BT9" s="173">
        <v>6080.2559999999994</v>
      </c>
      <c r="BU9" s="173">
        <v>3790.4256</v>
      </c>
      <c r="BV9" s="173">
        <v>2776.9872000000005</v>
      </c>
      <c r="BW9" s="173">
        <v>10759.042944000001</v>
      </c>
      <c r="BX9" s="174">
        <v>87663</v>
      </c>
      <c r="BY9" s="168">
        <v>87147</v>
      </c>
      <c r="BZ9" s="168">
        <v>2.2320000000000002</v>
      </c>
      <c r="CA9" s="170">
        <v>142240</v>
      </c>
      <c r="CB9" s="170">
        <v>357.12</v>
      </c>
      <c r="CC9" s="173">
        <v>5774.9439999999995</v>
      </c>
      <c r="CD9" s="173">
        <v>3600.0944</v>
      </c>
      <c r="CE9" s="173">
        <v>2496.2688000000003</v>
      </c>
      <c r="CF9" s="173">
        <v>10146.641471999999</v>
      </c>
      <c r="CG9" s="174">
        <v>68734</v>
      </c>
      <c r="CH9" s="168">
        <v>68526</v>
      </c>
      <c r="CI9" s="168">
        <v>2.3879999999999999</v>
      </c>
      <c r="CJ9" s="170">
        <v>186000</v>
      </c>
      <c r="CK9" s="170">
        <v>716.4</v>
      </c>
      <c r="CL9" s="173">
        <v>7551.5999999999995</v>
      </c>
      <c r="CM9" s="173">
        <v>4707.66</v>
      </c>
      <c r="CN9" s="173">
        <v>5007.6360000000004</v>
      </c>
      <c r="CO9" s="173">
        <v>13384.393399999999</v>
      </c>
      <c r="CP9" s="174">
        <v>15763</v>
      </c>
      <c r="CQ9" s="168">
        <v>15698</v>
      </c>
      <c r="CR9" s="168">
        <v>0.315</v>
      </c>
      <c r="CS9" s="170">
        <v>5800</v>
      </c>
      <c r="CT9" s="170">
        <v>12.6</v>
      </c>
      <c r="CU9" s="173">
        <v>235.48</v>
      </c>
      <c r="CV9" s="173">
        <v>146.798</v>
      </c>
      <c r="CW9" s="173">
        <v>88.073999999999998</v>
      </c>
      <c r="CX9" s="173">
        <v>438.48302000000007</v>
      </c>
      <c r="CY9" s="174">
        <v>65273</v>
      </c>
      <c r="CZ9" s="168">
        <v>65061</v>
      </c>
      <c r="DA9" s="168">
        <v>1.9119999999999999</v>
      </c>
      <c r="DB9" s="170">
        <v>166800</v>
      </c>
      <c r="DC9" s="184">
        <v>573.6</v>
      </c>
      <c r="DD9" s="173">
        <v>6772.08</v>
      </c>
      <c r="DE9" s="173">
        <v>4221.7079999999996</v>
      </c>
      <c r="DF9" s="173">
        <v>4009.4640000000004</v>
      </c>
      <c r="DG9" s="173">
        <v>11949.95998</v>
      </c>
      <c r="DH9" s="174">
        <v>9793</v>
      </c>
      <c r="DI9" s="168">
        <v>9738</v>
      </c>
      <c r="DJ9" s="168">
        <v>0.28399999999999997</v>
      </c>
      <c r="DK9" s="170">
        <v>46800</v>
      </c>
      <c r="DL9" s="184">
        <v>113.6</v>
      </c>
      <c r="DM9" s="173">
        <v>1900.08</v>
      </c>
      <c r="DN9" s="173">
        <v>1184.508</v>
      </c>
      <c r="DO9" s="173">
        <v>794.06399999999996</v>
      </c>
      <c r="DP9" s="173">
        <v>3384.00092</v>
      </c>
      <c r="DQ9" s="174">
        <v>68734</v>
      </c>
      <c r="DR9" s="168">
        <v>9849</v>
      </c>
      <c r="DS9" s="168">
        <v>0.33600000000000002</v>
      </c>
      <c r="DT9" s="170">
        <v>38400</v>
      </c>
      <c r="DU9" s="170">
        <v>134.4</v>
      </c>
      <c r="DV9" s="173">
        <v>1559.04</v>
      </c>
      <c r="DW9" s="173">
        <v>971.904</v>
      </c>
      <c r="DX9" s="173">
        <v>939.45600000000002</v>
      </c>
      <c r="DY9" s="173">
        <v>2780.5289600000001</v>
      </c>
      <c r="DZ9" s="174">
        <v>10503</v>
      </c>
      <c r="EA9" s="168">
        <v>10444</v>
      </c>
      <c r="EB9" s="168">
        <v>0.32900000000000001</v>
      </c>
      <c r="EC9" s="170">
        <v>39200</v>
      </c>
      <c r="ED9" s="170">
        <v>131.6</v>
      </c>
      <c r="EE9" s="173">
        <v>1591.52</v>
      </c>
      <c r="EF9" s="173">
        <v>992.15199999999993</v>
      </c>
      <c r="EG9" s="173">
        <v>919.88400000000001</v>
      </c>
      <c r="EH9" s="173">
        <v>2838.0024800000001</v>
      </c>
      <c r="EI9" s="174">
        <v>16293</v>
      </c>
      <c r="EJ9" s="168">
        <v>16219</v>
      </c>
      <c r="EK9" s="168">
        <v>0.38300000000000001</v>
      </c>
      <c r="EL9" s="170">
        <v>22400</v>
      </c>
      <c r="EM9" s="170">
        <v>61.28</v>
      </c>
      <c r="EN9" s="173">
        <v>909.43999999999994</v>
      </c>
      <c r="EO9" s="173">
        <v>566.94399999999996</v>
      </c>
      <c r="EP9" s="173">
        <v>428.34720000000004</v>
      </c>
      <c r="EQ9" s="173">
        <v>1631.0585600000002</v>
      </c>
      <c r="ER9" s="174">
        <v>11109</v>
      </c>
      <c r="ES9" s="168">
        <v>11051</v>
      </c>
      <c r="ET9" s="168">
        <v>0.442</v>
      </c>
      <c r="EU9" s="170">
        <v>16000</v>
      </c>
      <c r="EV9" s="170">
        <v>70.72</v>
      </c>
      <c r="EW9" s="173">
        <v>649.59999999999991</v>
      </c>
      <c r="EX9" s="173">
        <v>404.96</v>
      </c>
      <c r="EY9" s="173">
        <v>494.33280000000002</v>
      </c>
      <c r="EZ9" s="173">
        <v>1171.2704000000001</v>
      </c>
      <c r="FA9" s="170">
        <v>83295</v>
      </c>
      <c r="FB9" s="186">
        <v>82953</v>
      </c>
      <c r="FC9" s="186">
        <v>2.0129999999999999</v>
      </c>
      <c r="FD9" s="170">
        <v>181400</v>
      </c>
      <c r="FE9" s="170">
        <v>402.59999999999997</v>
      </c>
      <c r="FF9" s="173">
        <v>7364.8399999999992</v>
      </c>
      <c r="FG9" s="173">
        <v>4591.2339999999995</v>
      </c>
      <c r="FH9" s="173">
        <v>2814.174</v>
      </c>
      <c r="FI9" s="173">
        <v>13053.92066</v>
      </c>
      <c r="FJ9" s="179"/>
      <c r="FK9" s="188">
        <v>996681</v>
      </c>
      <c r="FL9" s="172">
        <v>71835.927631400002</v>
      </c>
      <c r="FM9" s="172">
        <v>20768.688000000002</v>
      </c>
      <c r="FN9" s="172">
        <v>92604.615631399996</v>
      </c>
      <c r="FO9" s="176"/>
      <c r="FP9" s="166"/>
      <c r="FQ9" s="174">
        <v>7219</v>
      </c>
      <c r="FR9" s="168">
        <v>7191</v>
      </c>
      <c r="FS9" s="168">
        <v>0.222</v>
      </c>
      <c r="FT9" s="170">
        <v>7200</v>
      </c>
      <c r="FU9" s="170">
        <v>22.2</v>
      </c>
      <c r="FV9" s="180">
        <v>292.32</v>
      </c>
      <c r="FW9" s="180">
        <v>182.232</v>
      </c>
      <c r="FX9" s="180">
        <v>155.178</v>
      </c>
      <c r="FY9" s="173">
        <v>546.38104959999998</v>
      </c>
      <c r="FZ9" s="174">
        <v>57019</v>
      </c>
      <c r="GA9" s="168">
        <v>56805</v>
      </c>
      <c r="GB9" s="168">
        <v>1.575</v>
      </c>
      <c r="GC9" s="170">
        <v>54900</v>
      </c>
      <c r="GD9" s="170">
        <v>157.5</v>
      </c>
      <c r="GE9" s="180">
        <v>2228.94</v>
      </c>
      <c r="GF9" s="180">
        <v>1389.519</v>
      </c>
      <c r="GG9" s="180">
        <v>1100.925</v>
      </c>
      <c r="GH9" s="173">
        <v>4019.7695031999997</v>
      </c>
      <c r="GI9" s="174">
        <v>90281</v>
      </c>
      <c r="GJ9" s="168">
        <v>88571</v>
      </c>
      <c r="GK9" s="170">
        <v>2992</v>
      </c>
      <c r="GL9" s="173">
        <v>355.89839999999998</v>
      </c>
      <c r="GM9" s="173">
        <v>75.727519999999998</v>
      </c>
      <c r="GN9" s="173">
        <v>464.32213439999998</v>
      </c>
      <c r="GO9" s="174">
        <v>47077</v>
      </c>
      <c r="GP9" s="168">
        <v>46991</v>
      </c>
      <c r="GQ9" s="168">
        <v>3.7040000000000002</v>
      </c>
      <c r="GR9" s="170">
        <v>2640</v>
      </c>
      <c r="GS9" s="170">
        <v>148.16</v>
      </c>
      <c r="GT9" s="173">
        <v>107.184</v>
      </c>
      <c r="GU9" s="173">
        <v>66.818399999999997</v>
      </c>
      <c r="GV9" s="173">
        <v>1035.6384</v>
      </c>
      <c r="GW9" s="173">
        <v>232.80287999999999</v>
      </c>
      <c r="GX9" s="168">
        <v>67732</v>
      </c>
      <c r="GY9" s="172">
        <v>5263.2755671999994</v>
      </c>
      <c r="GZ9" s="172">
        <v>2291.7413999999999</v>
      </c>
      <c r="HA9" s="172">
        <v>7555.0169671999993</v>
      </c>
      <c r="HB9" s="187"/>
      <c r="HC9" s="188">
        <v>1064413</v>
      </c>
      <c r="HD9" s="172">
        <v>77099.203198600007</v>
      </c>
      <c r="HE9" s="172">
        <v>23060.429400000001</v>
      </c>
      <c r="HF9" s="172">
        <v>100159.6325986</v>
      </c>
      <c r="HG9" s="170">
        <f>SUM(HE9-HE4)*40</f>
        <v>922417.17599999998</v>
      </c>
      <c r="HH9" s="170">
        <f>SUM(HF9)*40</f>
        <v>4006385.303944</v>
      </c>
      <c r="HI9" s="173">
        <f>SUM(HG9*0.0406)</f>
        <v>37450.1373456</v>
      </c>
      <c r="HJ9" s="173">
        <f>SUM(HG9*0.02531)</f>
        <v>23346.37872456</v>
      </c>
      <c r="HK9" s="173">
        <f>SUM(HH9*6.99)</f>
        <v>28004633.274568561</v>
      </c>
      <c r="HL9" s="173">
        <f>SUM(HJ9+HI9+20)*1.2</f>
        <v>72979.819284191995</v>
      </c>
      <c r="HM9" s="168">
        <f>SUM(GI9+GR9+GZ9+HG9)</f>
        <v>1017629.9173999999</v>
      </c>
      <c r="HN9" s="172">
        <f>SUM(HL9+HC9+GW9+GN9)</f>
        <v>1138089.9442985922</v>
      </c>
      <c r="HO9" s="172">
        <f>SUM(GM9+GV9+HK9)</f>
        <v>28005744.640488561</v>
      </c>
      <c r="HP9" s="172">
        <f>SUM(HN9:HO9)</f>
        <v>29143834.584787153</v>
      </c>
      <c r="HQ9" s="187"/>
      <c r="HR9" s="188">
        <f t="shared" ref="HR9:HT9" si="0">(FZ9+HM9)</f>
        <v>1074648.9173999999</v>
      </c>
      <c r="HS9" s="172">
        <f t="shared" si="0"/>
        <v>1194894.9442985922</v>
      </c>
      <c r="HT9" s="172">
        <f t="shared" si="0"/>
        <v>28005746.21548856</v>
      </c>
      <c r="HU9" s="172">
        <f t="shared" ref="HU9" si="1">(HS9+HT9)</f>
        <v>29200641.159787152</v>
      </c>
    </row>
    <row r="10" spans="2:229" x14ac:dyDescent="0.25">
      <c r="B10" s="164">
        <v>43870</v>
      </c>
      <c r="C10" s="165">
        <v>2858</v>
      </c>
      <c r="D10" s="168">
        <v>87959</v>
      </c>
      <c r="E10" s="168">
        <v>2.1629999999999998</v>
      </c>
      <c r="F10" s="192">
        <v>47360</v>
      </c>
      <c r="G10" s="168">
        <v>83618</v>
      </c>
      <c r="H10" s="168">
        <v>2.5059999999999998</v>
      </c>
      <c r="I10" s="192">
        <v>48960</v>
      </c>
      <c r="J10" s="168">
        <v>9949</v>
      </c>
      <c r="K10" s="168">
        <v>0.35199999999999998</v>
      </c>
      <c r="L10" s="192">
        <v>14000</v>
      </c>
      <c r="M10" s="168">
        <v>9825</v>
      </c>
      <c r="N10" s="168">
        <v>0.33300000000000002</v>
      </c>
      <c r="O10" s="192">
        <v>12800</v>
      </c>
      <c r="P10" s="168">
        <v>10535</v>
      </c>
      <c r="Q10" s="168">
        <v>0.4</v>
      </c>
      <c r="R10" s="192">
        <v>12800</v>
      </c>
      <c r="S10" s="168">
        <v>68875</v>
      </c>
      <c r="T10" s="168">
        <v>2.4950000000000001</v>
      </c>
      <c r="U10" s="192">
        <v>42300</v>
      </c>
      <c r="V10" s="168">
        <v>65431</v>
      </c>
      <c r="W10" s="168">
        <v>1.9279999999999999</v>
      </c>
      <c r="X10" s="192">
        <v>47400</v>
      </c>
      <c r="Y10" s="168">
        <v>16339</v>
      </c>
      <c r="Z10" s="168">
        <v>0.49099999999999999</v>
      </c>
      <c r="AA10" s="192">
        <v>7360</v>
      </c>
      <c r="AB10" s="168">
        <v>11142</v>
      </c>
      <c r="AC10" s="168">
        <v>0.45100000000000001</v>
      </c>
      <c r="AD10" s="192">
        <v>5280</v>
      </c>
      <c r="AE10" s="168">
        <v>83528</v>
      </c>
      <c r="AF10" s="168">
        <v>1.865</v>
      </c>
      <c r="AG10" s="192">
        <v>46600</v>
      </c>
      <c r="AH10" s="168">
        <v>15809</v>
      </c>
      <c r="AI10" s="168">
        <v>0.34899999999999998</v>
      </c>
      <c r="AJ10" s="192">
        <v>1840</v>
      </c>
      <c r="AK10" s="241">
        <v>52074</v>
      </c>
      <c r="AL10" s="192">
        <v>454</v>
      </c>
      <c r="AM10" s="192"/>
      <c r="AN10" s="166"/>
      <c r="AO10" s="192">
        <v>287154</v>
      </c>
      <c r="AP10" s="168">
        <v>48440</v>
      </c>
      <c r="AQ10" s="168">
        <v>0.16868997123494711</v>
      </c>
      <c r="AR10" s="168"/>
      <c r="AS10" s="176"/>
      <c r="AT10" s="181">
        <v>43870</v>
      </c>
      <c r="AU10" s="168">
        <v>57151</v>
      </c>
      <c r="AV10" s="192">
        <v>13200</v>
      </c>
      <c r="AW10" s="168">
        <v>7235</v>
      </c>
      <c r="AX10" s="192">
        <v>1600</v>
      </c>
      <c r="AY10" s="167">
        <v>91280</v>
      </c>
      <c r="AZ10" s="192">
        <v>999</v>
      </c>
      <c r="BA10" s="168">
        <v>47109</v>
      </c>
      <c r="BB10" s="192">
        <v>1280</v>
      </c>
      <c r="BC10" s="166"/>
      <c r="BD10" s="178"/>
      <c r="BE10" s="169">
        <v>17079</v>
      </c>
      <c r="BF10" s="168"/>
      <c r="BG10" s="168"/>
      <c r="BH10" s="177"/>
      <c r="BI10" s="176"/>
      <c r="BJ10" s="166"/>
      <c r="BK10" s="170">
        <v>52074</v>
      </c>
      <c r="BL10" s="166"/>
      <c r="BM10" s="166"/>
      <c r="BN10" s="171"/>
      <c r="BO10" s="174">
        <v>83618</v>
      </c>
      <c r="BP10" s="166"/>
      <c r="BQ10" s="166"/>
      <c r="BR10" s="166"/>
      <c r="BS10" s="166"/>
      <c r="BT10" s="166"/>
      <c r="BU10" s="166"/>
      <c r="BV10" s="166"/>
      <c r="BW10" s="171"/>
      <c r="BX10" s="174">
        <v>87959</v>
      </c>
      <c r="BY10" s="166"/>
      <c r="BZ10" s="166"/>
      <c r="CA10" s="166"/>
      <c r="CB10" s="166"/>
      <c r="CC10" s="166"/>
      <c r="CD10" s="166"/>
      <c r="CE10" s="166"/>
      <c r="CF10" s="171"/>
      <c r="CG10" s="174">
        <v>68875</v>
      </c>
      <c r="CH10" s="166"/>
      <c r="CI10" s="166"/>
      <c r="CJ10" s="166"/>
      <c r="CK10" s="166"/>
      <c r="CL10" s="166"/>
      <c r="CM10" s="166"/>
      <c r="CN10" s="166"/>
      <c r="CO10" s="171"/>
      <c r="CP10" s="174">
        <v>15809</v>
      </c>
      <c r="CQ10" s="166"/>
      <c r="CR10" s="166"/>
      <c r="CS10" s="166"/>
      <c r="CT10" s="166"/>
      <c r="CU10" s="166"/>
      <c r="CV10" s="166"/>
      <c r="CW10" s="166"/>
      <c r="CX10" s="171"/>
      <c r="CY10" s="174">
        <v>65431</v>
      </c>
      <c r="CZ10" s="166"/>
      <c r="DA10" s="166"/>
      <c r="DB10" s="166"/>
      <c r="DC10" s="183"/>
      <c r="DD10" s="166"/>
      <c r="DE10" s="166"/>
      <c r="DF10" s="166"/>
      <c r="DG10" s="171"/>
      <c r="DH10" s="174">
        <v>9825</v>
      </c>
      <c r="DI10" s="166"/>
      <c r="DJ10" s="166"/>
      <c r="DK10" s="166"/>
      <c r="DL10" s="183"/>
      <c r="DM10" s="166"/>
      <c r="DN10" s="166"/>
      <c r="DO10" s="166"/>
      <c r="DP10" s="171"/>
      <c r="DQ10" s="174">
        <v>68875</v>
      </c>
      <c r="DR10" s="166"/>
      <c r="DS10" s="166"/>
      <c r="DT10" s="166"/>
      <c r="DU10" s="166"/>
      <c r="DV10" s="166"/>
      <c r="DW10" s="166"/>
      <c r="DX10" s="166"/>
      <c r="DY10" s="171"/>
      <c r="DZ10" s="174">
        <v>10535</v>
      </c>
      <c r="EA10" s="166"/>
      <c r="EB10" s="166"/>
      <c r="EC10" s="166"/>
      <c r="ED10" s="166"/>
      <c r="EE10" s="166"/>
      <c r="EF10" s="166"/>
      <c r="EG10" s="166"/>
      <c r="EH10" s="171"/>
      <c r="EI10" s="174">
        <v>16339</v>
      </c>
      <c r="EJ10" s="166"/>
      <c r="EK10" s="166"/>
      <c r="EL10" s="166"/>
      <c r="EM10" s="166"/>
      <c r="EN10" s="166"/>
      <c r="EO10" s="166"/>
      <c r="EP10" s="166"/>
      <c r="EQ10" s="171"/>
      <c r="ER10" s="174">
        <v>11142</v>
      </c>
      <c r="ES10" s="166"/>
      <c r="ET10" s="166"/>
      <c r="EU10" s="166"/>
      <c r="EV10" s="166"/>
      <c r="EW10" s="166"/>
      <c r="EX10" s="166"/>
      <c r="EY10" s="166"/>
      <c r="EZ10" s="171"/>
      <c r="FA10" s="170">
        <v>83528</v>
      </c>
      <c r="FB10" s="185"/>
      <c r="FC10" s="185"/>
      <c r="FD10" s="175"/>
      <c r="FE10" s="175"/>
      <c r="FF10" s="175"/>
      <c r="FG10" s="166"/>
      <c r="FH10" s="175"/>
      <c r="FI10" s="175"/>
      <c r="FJ10" s="179"/>
      <c r="FK10" s="182"/>
      <c r="FL10" s="166"/>
      <c r="FM10" s="166"/>
      <c r="FN10" s="166"/>
      <c r="FO10" s="176"/>
      <c r="FP10" s="166"/>
      <c r="FQ10" s="174">
        <v>7235</v>
      </c>
      <c r="FR10" s="166"/>
      <c r="FS10" s="166"/>
      <c r="FT10" s="166"/>
      <c r="FU10" s="166"/>
      <c r="FV10" s="166"/>
      <c r="FW10" s="166"/>
      <c r="FX10" s="166"/>
      <c r="FY10" s="171"/>
      <c r="FZ10" s="174">
        <v>57151</v>
      </c>
      <c r="GA10" s="166"/>
      <c r="GB10" s="166"/>
      <c r="GC10" s="166"/>
      <c r="GD10" s="166"/>
      <c r="GE10" s="166"/>
      <c r="GF10" s="166"/>
      <c r="GG10" s="166"/>
      <c r="GH10" s="171"/>
      <c r="GI10" s="174">
        <v>91280</v>
      </c>
      <c r="GJ10" s="166"/>
      <c r="GK10" s="166"/>
      <c r="GL10" s="166"/>
      <c r="GM10" s="166"/>
      <c r="GN10" s="171"/>
      <c r="GO10" s="174">
        <v>47109</v>
      </c>
      <c r="GP10" s="166"/>
      <c r="GQ10" s="166"/>
      <c r="GR10" s="166"/>
      <c r="GS10" s="166"/>
      <c r="GT10" s="166"/>
      <c r="GU10" s="166"/>
      <c r="GV10" s="166"/>
      <c r="GW10" s="171"/>
      <c r="GX10" s="166"/>
      <c r="GY10" s="166"/>
      <c r="GZ10" s="166"/>
      <c r="HA10" s="166"/>
      <c r="HB10" s="187"/>
      <c r="HC10" s="166"/>
      <c r="HD10" s="166"/>
      <c r="HE10" s="166"/>
      <c r="HF10" s="166"/>
      <c r="HG10" s="166"/>
      <c r="HH10" s="166"/>
      <c r="HI10" s="166"/>
      <c r="HJ10" s="166"/>
      <c r="HK10" s="166"/>
      <c r="HL10" s="171"/>
      <c r="HM10" s="166"/>
      <c r="HN10" s="166"/>
      <c r="HO10" s="166"/>
      <c r="HP10" s="166"/>
      <c r="HQ10" s="187"/>
      <c r="HR10" s="166"/>
      <c r="HS10" s="166"/>
      <c r="HT10" s="166"/>
      <c r="HU10" s="166"/>
    </row>
    <row r="11" spans="2:229" x14ac:dyDescent="0.25">
      <c r="B11" s="164">
        <v>43877</v>
      </c>
      <c r="C11" s="165">
        <v>2355</v>
      </c>
      <c r="D11" s="168">
        <v>88261</v>
      </c>
      <c r="E11" s="168">
        <v>2.222</v>
      </c>
      <c r="F11" s="192">
        <v>48320</v>
      </c>
      <c r="G11" s="168">
        <v>83932</v>
      </c>
      <c r="H11" s="168">
        <v>2.5059999999999998</v>
      </c>
      <c r="I11" s="192">
        <v>50240</v>
      </c>
      <c r="J11" s="168">
        <v>9979</v>
      </c>
      <c r="K11" s="168">
        <v>0.35199999999999998</v>
      </c>
      <c r="L11" s="192">
        <v>12000</v>
      </c>
      <c r="M11" s="168">
        <v>9854</v>
      </c>
      <c r="N11" s="168">
        <v>0.33300000000000002</v>
      </c>
      <c r="O11" s="192">
        <v>11600</v>
      </c>
      <c r="P11" s="168">
        <v>10565</v>
      </c>
      <c r="Q11" s="168">
        <v>0.4</v>
      </c>
      <c r="R11" s="192">
        <v>12000</v>
      </c>
      <c r="S11" s="168">
        <v>69114</v>
      </c>
      <c r="T11" s="168">
        <v>2.508</v>
      </c>
      <c r="U11" s="192">
        <v>71700</v>
      </c>
      <c r="V11" s="168">
        <v>65604</v>
      </c>
      <c r="W11" s="168">
        <v>1.9279999999999999</v>
      </c>
      <c r="X11" s="192">
        <v>51900</v>
      </c>
      <c r="Y11" s="168">
        <v>16381</v>
      </c>
      <c r="Z11" s="168">
        <v>0.49099999999999999</v>
      </c>
      <c r="AA11" s="192">
        <v>6720</v>
      </c>
      <c r="AB11" s="168">
        <v>11172</v>
      </c>
      <c r="AC11" s="168">
        <v>0.45100000000000001</v>
      </c>
      <c r="AD11" s="192">
        <v>4800</v>
      </c>
      <c r="AE11" s="168">
        <v>83773</v>
      </c>
      <c r="AF11" s="168">
        <v>2.0489999999999999</v>
      </c>
      <c r="AG11" s="192">
        <v>49000</v>
      </c>
      <c r="AH11" s="168">
        <v>15853</v>
      </c>
      <c r="AI11" s="168">
        <v>0.34899999999999998</v>
      </c>
      <c r="AJ11" s="192">
        <v>1760</v>
      </c>
      <c r="AK11" s="241">
        <v>52515</v>
      </c>
      <c r="AL11" s="192">
        <v>441</v>
      </c>
      <c r="AM11" s="192"/>
      <c r="AN11" s="166"/>
      <c r="AO11" s="192">
        <v>320481</v>
      </c>
      <c r="AP11" s="168">
        <v>50760</v>
      </c>
      <c r="AQ11" s="168">
        <v>0.15838692465387963</v>
      </c>
      <c r="AR11" s="168"/>
      <c r="AS11" s="176"/>
      <c r="AT11" s="181">
        <v>43877</v>
      </c>
      <c r="AU11" s="168">
        <v>57294</v>
      </c>
      <c r="AV11" s="192">
        <v>14300</v>
      </c>
      <c r="AW11" s="168">
        <v>7251</v>
      </c>
      <c r="AX11" s="192">
        <v>1600</v>
      </c>
      <c r="AY11" s="189">
        <v>92228</v>
      </c>
      <c r="AZ11" s="190">
        <v>948</v>
      </c>
      <c r="BA11" s="168">
        <v>47173</v>
      </c>
      <c r="BB11" s="192">
        <v>2560</v>
      </c>
      <c r="BC11" s="166"/>
      <c r="BD11" s="178"/>
      <c r="BE11" s="169">
        <v>19408</v>
      </c>
      <c r="BF11" s="168"/>
      <c r="BG11" s="168"/>
      <c r="BH11" s="177"/>
      <c r="BI11" s="176"/>
      <c r="BJ11" s="166"/>
      <c r="BK11" s="170">
        <v>52515</v>
      </c>
      <c r="BL11" s="166"/>
      <c r="BM11" s="166"/>
      <c r="BN11" s="171"/>
      <c r="BO11" s="174">
        <v>83932</v>
      </c>
      <c r="BP11" s="166"/>
      <c r="BQ11" s="166"/>
      <c r="BR11" s="166"/>
      <c r="BS11" s="166"/>
      <c r="BT11" s="166"/>
      <c r="BU11" s="166"/>
      <c r="BV11" s="166"/>
      <c r="BW11" s="171"/>
      <c r="BX11" s="174">
        <v>88261</v>
      </c>
      <c r="BY11" s="166"/>
      <c r="BZ11" s="166"/>
      <c r="CA11" s="166"/>
      <c r="CB11" s="166"/>
      <c r="CC11" s="166"/>
      <c r="CD11" s="166"/>
      <c r="CE11" s="166"/>
      <c r="CF11" s="171"/>
      <c r="CG11" s="174">
        <v>69114</v>
      </c>
      <c r="CH11" s="166"/>
      <c r="CI11" s="166"/>
      <c r="CJ11" s="166"/>
      <c r="CK11" s="166"/>
      <c r="CL11" s="166"/>
      <c r="CM11" s="166"/>
      <c r="CN11" s="166"/>
      <c r="CO11" s="171"/>
      <c r="CP11" s="174">
        <v>15853</v>
      </c>
      <c r="CQ11" s="166"/>
      <c r="CR11" s="166"/>
      <c r="CS11" s="166"/>
      <c r="CT11" s="166"/>
      <c r="CU11" s="166"/>
      <c r="CV11" s="166"/>
      <c r="CW11" s="166"/>
      <c r="CX11" s="171"/>
      <c r="CY11" s="174">
        <v>65604</v>
      </c>
      <c r="CZ11" s="166"/>
      <c r="DA11" s="166"/>
      <c r="DB11" s="166"/>
      <c r="DC11" s="183"/>
      <c r="DD11" s="166"/>
      <c r="DE11" s="166"/>
      <c r="DF11" s="166"/>
      <c r="DG11" s="171"/>
      <c r="DH11" s="174">
        <v>9854</v>
      </c>
      <c r="DI11" s="166"/>
      <c r="DJ11" s="166"/>
      <c r="DK11" s="166"/>
      <c r="DL11" s="183"/>
      <c r="DM11" s="166"/>
      <c r="DN11" s="166"/>
      <c r="DO11" s="166"/>
      <c r="DP11" s="171"/>
      <c r="DQ11" s="174">
        <v>69114</v>
      </c>
      <c r="DR11" s="166"/>
      <c r="DS11" s="166"/>
      <c r="DT11" s="166"/>
      <c r="DU11" s="166"/>
      <c r="DV11" s="166"/>
      <c r="DW11" s="166"/>
      <c r="DX11" s="166"/>
      <c r="DY11" s="171"/>
      <c r="DZ11" s="174">
        <v>10565</v>
      </c>
      <c r="EA11" s="166"/>
      <c r="EB11" s="166"/>
      <c r="EC11" s="166"/>
      <c r="ED11" s="166"/>
      <c r="EE11" s="166"/>
      <c r="EF11" s="166"/>
      <c r="EG11" s="166"/>
      <c r="EH11" s="171"/>
      <c r="EI11" s="174">
        <v>16381</v>
      </c>
      <c r="EJ11" s="166"/>
      <c r="EK11" s="166"/>
      <c r="EL11" s="166"/>
      <c r="EM11" s="166"/>
      <c r="EN11" s="166"/>
      <c r="EO11" s="166"/>
      <c r="EP11" s="166"/>
      <c r="EQ11" s="171"/>
      <c r="ER11" s="174">
        <v>11172</v>
      </c>
      <c r="ES11" s="166"/>
      <c r="ET11" s="166"/>
      <c r="EU11" s="166"/>
      <c r="EV11" s="166"/>
      <c r="EW11" s="166"/>
      <c r="EX11" s="166"/>
      <c r="EY11" s="166"/>
      <c r="EZ11" s="171"/>
      <c r="FA11" s="170">
        <v>83773</v>
      </c>
      <c r="FB11" s="185"/>
      <c r="FC11" s="185"/>
      <c r="FD11" s="175"/>
      <c r="FE11" s="175"/>
      <c r="FF11" s="175"/>
      <c r="FG11" s="166"/>
      <c r="FH11" s="175"/>
      <c r="FI11" s="175"/>
      <c r="FJ11" s="179"/>
      <c r="FK11" s="182"/>
      <c r="FL11" s="166"/>
      <c r="FM11" s="166"/>
      <c r="FN11" s="166"/>
      <c r="FO11" s="176"/>
      <c r="FP11" s="166"/>
      <c r="FQ11" s="174">
        <v>7251</v>
      </c>
      <c r="FR11" s="166"/>
      <c r="FS11" s="166"/>
      <c r="FT11" s="166"/>
      <c r="FU11" s="166"/>
      <c r="FV11" s="166"/>
      <c r="FW11" s="166"/>
      <c r="FX11" s="166"/>
      <c r="FY11" s="171"/>
      <c r="FZ11" s="174">
        <v>57294</v>
      </c>
      <c r="GA11" s="166"/>
      <c r="GB11" s="166"/>
      <c r="GC11" s="166"/>
      <c r="GD11" s="166"/>
      <c r="GE11" s="166"/>
      <c r="GF11" s="166"/>
      <c r="GG11" s="166"/>
      <c r="GH11" s="171"/>
      <c r="GI11" s="174">
        <v>92228</v>
      </c>
      <c r="GJ11" s="166"/>
      <c r="GK11" s="166"/>
      <c r="GL11" s="166"/>
      <c r="GM11" s="166"/>
      <c r="GN11" s="171"/>
      <c r="GO11" s="174">
        <v>47173</v>
      </c>
      <c r="GP11" s="166"/>
      <c r="GQ11" s="166"/>
      <c r="GR11" s="166"/>
      <c r="GS11" s="166"/>
      <c r="GT11" s="166"/>
      <c r="GU11" s="166"/>
      <c r="GV11" s="166"/>
      <c r="GW11" s="171"/>
      <c r="GX11" s="166"/>
      <c r="GY11" s="166"/>
      <c r="GZ11" s="166"/>
      <c r="HA11" s="166"/>
      <c r="HB11" s="187"/>
      <c r="HC11" s="166"/>
      <c r="HD11" s="166"/>
      <c r="HE11" s="166"/>
      <c r="HF11" s="166"/>
      <c r="HG11" s="166"/>
      <c r="HH11" s="166"/>
      <c r="HI11" s="166"/>
      <c r="HJ11" s="166"/>
      <c r="HK11" s="166"/>
      <c r="HL11" s="171"/>
      <c r="HM11" s="166"/>
      <c r="HN11" s="166"/>
      <c r="HO11" s="166"/>
      <c r="HP11" s="166"/>
      <c r="HQ11" s="187"/>
      <c r="HR11" s="166"/>
      <c r="HS11" s="166"/>
      <c r="HT11" s="166"/>
      <c r="HU11" s="166"/>
    </row>
    <row r="12" spans="2:229" x14ac:dyDescent="0.25">
      <c r="B12" s="164">
        <v>43885</v>
      </c>
      <c r="C12" s="165">
        <v>3005</v>
      </c>
      <c r="D12" s="168">
        <v>88558</v>
      </c>
      <c r="E12" s="168">
        <v>2.133</v>
      </c>
      <c r="F12" s="192">
        <v>47520</v>
      </c>
      <c r="G12" s="168">
        <v>84243</v>
      </c>
      <c r="H12" s="168">
        <v>2.3780000000000001</v>
      </c>
      <c r="I12" s="192">
        <v>49760</v>
      </c>
      <c r="J12" s="168">
        <v>10014</v>
      </c>
      <c r="K12" s="168">
        <v>0.32400000000000001</v>
      </c>
      <c r="L12" s="192">
        <v>14000</v>
      </c>
      <c r="M12" s="168">
        <v>9885</v>
      </c>
      <c r="N12" s="168">
        <v>0.254</v>
      </c>
      <c r="O12" s="192">
        <v>12400</v>
      </c>
      <c r="P12" s="168">
        <v>10597</v>
      </c>
      <c r="Q12" s="168">
        <v>0.29799999999999999</v>
      </c>
      <c r="R12" s="192">
        <v>12800</v>
      </c>
      <c r="S12" s="168">
        <v>69289</v>
      </c>
      <c r="T12" s="168">
        <v>0.874</v>
      </c>
      <c r="U12" s="192">
        <v>52500</v>
      </c>
      <c r="V12" s="168">
        <v>65797</v>
      </c>
      <c r="W12" s="168">
        <v>1.345</v>
      </c>
      <c r="X12" s="192">
        <v>57900</v>
      </c>
      <c r="Y12" s="168">
        <v>16435</v>
      </c>
      <c r="Z12" s="168">
        <v>0.36699999999999999</v>
      </c>
      <c r="AA12" s="192">
        <v>8640</v>
      </c>
      <c r="AB12" s="168">
        <v>11203</v>
      </c>
      <c r="AC12" s="168">
        <v>0.28899999999999998</v>
      </c>
      <c r="AD12" s="192">
        <v>4960</v>
      </c>
      <c r="AE12" s="168">
        <v>84025</v>
      </c>
      <c r="AF12" s="168">
        <v>1.9770000000000001</v>
      </c>
      <c r="AG12" s="192">
        <v>50400</v>
      </c>
      <c r="AH12" s="168">
        <v>15894</v>
      </c>
      <c r="AI12" s="168">
        <v>0.30399999999999999</v>
      </c>
      <c r="AJ12" s="192">
        <v>1640</v>
      </c>
      <c r="AK12" s="241">
        <v>52959</v>
      </c>
      <c r="AL12" s="192">
        <v>444</v>
      </c>
      <c r="AM12" s="192"/>
      <c r="AN12" s="166"/>
      <c r="AO12" s="192">
        <v>312964</v>
      </c>
      <c r="AP12" s="168">
        <v>52040</v>
      </c>
      <c r="AQ12" s="168">
        <v>0.16628110581408725</v>
      </c>
      <c r="AR12" s="168"/>
      <c r="AS12" s="176"/>
      <c r="AT12" s="181">
        <v>43885</v>
      </c>
      <c r="AU12" s="168">
        <v>57441</v>
      </c>
      <c r="AV12" s="192">
        <v>14700</v>
      </c>
      <c r="AW12" s="168">
        <v>7267</v>
      </c>
      <c r="AX12" s="192">
        <v>1600</v>
      </c>
      <c r="AY12" s="189">
        <v>93255</v>
      </c>
      <c r="AZ12" s="190">
        <v>1027</v>
      </c>
      <c r="BA12" s="168">
        <v>47258</v>
      </c>
      <c r="BB12" s="192">
        <v>3400</v>
      </c>
      <c r="BC12" s="166"/>
      <c r="BD12" s="178"/>
      <c r="BE12" s="169">
        <v>20727</v>
      </c>
      <c r="BF12" s="168"/>
      <c r="BG12" s="168"/>
      <c r="BH12" s="177"/>
      <c r="BI12" s="176"/>
      <c r="BJ12" s="166"/>
      <c r="BK12" s="170">
        <v>52959</v>
      </c>
      <c r="BL12" s="166"/>
      <c r="BM12" s="166"/>
      <c r="BN12" s="171"/>
      <c r="BO12" s="174">
        <v>84243</v>
      </c>
      <c r="BP12" s="166"/>
      <c r="BQ12" s="166"/>
      <c r="BR12" s="166"/>
      <c r="BS12" s="166"/>
      <c r="BT12" s="166"/>
      <c r="BU12" s="166"/>
      <c r="BV12" s="166"/>
      <c r="BW12" s="171"/>
      <c r="BX12" s="174">
        <v>88558</v>
      </c>
      <c r="BY12" s="166"/>
      <c r="BZ12" s="166"/>
      <c r="CA12" s="166"/>
      <c r="CB12" s="166"/>
      <c r="CC12" s="166"/>
      <c r="CD12" s="166"/>
      <c r="CE12" s="166"/>
      <c r="CF12" s="171"/>
      <c r="CG12" s="174">
        <v>69289</v>
      </c>
      <c r="CH12" s="166"/>
      <c r="CI12" s="166"/>
      <c r="CJ12" s="166"/>
      <c r="CK12" s="166"/>
      <c r="CL12" s="166"/>
      <c r="CM12" s="166"/>
      <c r="CN12" s="166"/>
      <c r="CO12" s="171"/>
      <c r="CP12" s="174">
        <v>15894</v>
      </c>
      <c r="CQ12" s="166"/>
      <c r="CR12" s="166"/>
      <c r="CS12" s="166"/>
      <c r="CT12" s="166"/>
      <c r="CU12" s="166"/>
      <c r="CV12" s="166"/>
      <c r="CW12" s="166"/>
      <c r="CX12" s="171"/>
      <c r="CY12" s="174">
        <v>65797</v>
      </c>
      <c r="CZ12" s="166"/>
      <c r="DA12" s="166"/>
      <c r="DB12" s="166"/>
      <c r="DC12" s="183"/>
      <c r="DD12" s="166"/>
      <c r="DE12" s="166"/>
      <c r="DF12" s="166"/>
      <c r="DG12" s="171"/>
      <c r="DH12" s="174">
        <v>9885</v>
      </c>
      <c r="DI12" s="166"/>
      <c r="DJ12" s="166"/>
      <c r="DK12" s="166"/>
      <c r="DL12" s="183"/>
      <c r="DM12" s="166"/>
      <c r="DN12" s="166"/>
      <c r="DO12" s="166"/>
      <c r="DP12" s="171"/>
      <c r="DQ12" s="174">
        <v>69289</v>
      </c>
      <c r="DR12" s="166"/>
      <c r="DS12" s="166"/>
      <c r="DT12" s="166"/>
      <c r="DU12" s="166"/>
      <c r="DV12" s="166"/>
      <c r="DW12" s="166"/>
      <c r="DX12" s="166"/>
      <c r="DY12" s="171"/>
      <c r="DZ12" s="174">
        <v>10597</v>
      </c>
      <c r="EA12" s="166"/>
      <c r="EB12" s="166"/>
      <c r="EC12" s="166"/>
      <c r="ED12" s="166"/>
      <c r="EE12" s="166"/>
      <c r="EF12" s="166"/>
      <c r="EG12" s="166"/>
      <c r="EH12" s="171"/>
      <c r="EI12" s="174">
        <v>16435</v>
      </c>
      <c r="EJ12" s="166"/>
      <c r="EK12" s="166"/>
      <c r="EL12" s="166"/>
      <c r="EM12" s="166"/>
      <c r="EN12" s="166"/>
      <c r="EO12" s="166"/>
      <c r="EP12" s="166"/>
      <c r="EQ12" s="171"/>
      <c r="ER12" s="174">
        <v>11203</v>
      </c>
      <c r="ES12" s="166"/>
      <c r="ET12" s="166"/>
      <c r="EU12" s="166"/>
      <c r="EV12" s="166"/>
      <c r="EW12" s="166"/>
      <c r="EX12" s="166"/>
      <c r="EY12" s="166"/>
      <c r="EZ12" s="171"/>
      <c r="FA12" s="170">
        <v>84025</v>
      </c>
      <c r="FB12" s="185"/>
      <c r="FC12" s="185"/>
      <c r="FD12" s="175"/>
      <c r="FE12" s="175"/>
      <c r="FF12" s="175"/>
      <c r="FG12" s="166"/>
      <c r="FH12" s="175"/>
      <c r="FI12" s="175"/>
      <c r="FJ12" s="179"/>
      <c r="FK12" s="182"/>
      <c r="FL12" s="166"/>
      <c r="FM12" s="166"/>
      <c r="FN12" s="166"/>
      <c r="FO12" s="176"/>
      <c r="FP12" s="166"/>
      <c r="FQ12" s="174">
        <v>7267</v>
      </c>
      <c r="FR12" s="166"/>
      <c r="FS12" s="166"/>
      <c r="FT12" s="166"/>
      <c r="FU12" s="166"/>
      <c r="FV12" s="166"/>
      <c r="FW12" s="166"/>
      <c r="FX12" s="166"/>
      <c r="FY12" s="171"/>
      <c r="FZ12" s="174">
        <v>57441</v>
      </c>
      <c r="GA12" s="166"/>
      <c r="GB12" s="166"/>
      <c r="GC12" s="166"/>
      <c r="GD12" s="166"/>
      <c r="GE12" s="166"/>
      <c r="GF12" s="166"/>
      <c r="GG12" s="166"/>
      <c r="GH12" s="171"/>
      <c r="GI12" s="174">
        <v>93255</v>
      </c>
      <c r="GJ12" s="166"/>
      <c r="GK12" s="166"/>
      <c r="GL12" s="166"/>
      <c r="GM12" s="166"/>
      <c r="GN12" s="171"/>
      <c r="GO12" s="174">
        <v>47258</v>
      </c>
      <c r="GP12" s="166"/>
      <c r="GQ12" s="166"/>
      <c r="GR12" s="166"/>
      <c r="GS12" s="166"/>
      <c r="GT12" s="166"/>
      <c r="GU12" s="166"/>
      <c r="GV12" s="166"/>
      <c r="GW12" s="171"/>
      <c r="GX12" s="166"/>
      <c r="GY12" s="166"/>
      <c r="GZ12" s="166"/>
      <c r="HA12" s="166"/>
      <c r="HB12" s="187"/>
      <c r="HC12" s="166"/>
      <c r="HD12" s="166"/>
      <c r="HE12" s="166"/>
      <c r="HF12" s="166"/>
      <c r="HG12" s="166"/>
      <c r="HH12" s="166"/>
      <c r="HI12" s="166"/>
      <c r="HJ12" s="166"/>
      <c r="HK12" s="166"/>
      <c r="HL12" s="171"/>
      <c r="HM12" s="166"/>
      <c r="HN12" s="166"/>
      <c r="HO12" s="166"/>
      <c r="HP12" s="166"/>
      <c r="HQ12" s="187"/>
      <c r="HR12" s="166"/>
      <c r="HS12" s="166"/>
      <c r="HT12" s="166"/>
      <c r="HU12" s="166"/>
    </row>
    <row r="13" spans="2:229" x14ac:dyDescent="0.25">
      <c r="B13" s="164">
        <v>43891</v>
      </c>
      <c r="C13" s="165">
        <v>1896</v>
      </c>
      <c r="D13" s="168">
        <v>88827</v>
      </c>
      <c r="E13" s="168">
        <v>2.33</v>
      </c>
      <c r="F13" s="192">
        <v>43040</v>
      </c>
      <c r="G13" s="168">
        <v>84520</v>
      </c>
      <c r="H13" s="168">
        <v>2.4260000000000002</v>
      </c>
      <c r="I13" s="192">
        <v>44320</v>
      </c>
      <c r="J13" s="168">
        <v>10045</v>
      </c>
      <c r="K13" s="168">
        <v>0.32400000000000001</v>
      </c>
      <c r="L13" s="192">
        <v>12400</v>
      </c>
      <c r="M13" s="168">
        <v>9912</v>
      </c>
      <c r="N13" s="168">
        <v>0.254</v>
      </c>
      <c r="O13" s="192">
        <v>10800</v>
      </c>
      <c r="P13" s="168">
        <v>10626</v>
      </c>
      <c r="Q13" s="168">
        <v>0.29799999999999999</v>
      </c>
      <c r="R13" s="192">
        <v>11600</v>
      </c>
      <c r="S13" s="168">
        <v>69429</v>
      </c>
      <c r="T13" s="168">
        <v>1.7829999999999999</v>
      </c>
      <c r="U13" s="192">
        <v>42000</v>
      </c>
      <c r="V13" s="168">
        <v>65909</v>
      </c>
      <c r="W13" s="168">
        <v>1.8320000000000001</v>
      </c>
      <c r="X13" s="192">
        <v>33600</v>
      </c>
      <c r="Y13" s="168">
        <v>16477</v>
      </c>
      <c r="Z13" s="168">
        <v>0.51100000000000001</v>
      </c>
      <c r="AA13" s="192">
        <v>6720</v>
      </c>
      <c r="AB13" s="168">
        <v>11228</v>
      </c>
      <c r="AC13" s="168">
        <v>0.34699999999999998</v>
      </c>
      <c r="AD13" s="192">
        <v>4000</v>
      </c>
      <c r="AE13" s="168">
        <v>84251</v>
      </c>
      <c r="AF13" s="168">
        <v>2</v>
      </c>
      <c r="AG13" s="192">
        <v>45200</v>
      </c>
      <c r="AH13" s="168">
        <v>15930</v>
      </c>
      <c r="AI13" s="168">
        <v>0.311</v>
      </c>
      <c r="AJ13" s="192">
        <v>1440</v>
      </c>
      <c r="AK13" s="241">
        <v>53341</v>
      </c>
      <c r="AL13" s="192">
        <v>382</v>
      </c>
      <c r="AM13" s="192"/>
      <c r="AN13" s="166"/>
      <c r="AO13" s="192">
        <v>255502</v>
      </c>
      <c r="AP13" s="168">
        <v>46640</v>
      </c>
      <c r="AQ13" s="168">
        <v>0.1825426024062434</v>
      </c>
      <c r="AR13" s="168">
        <v>1176101</v>
      </c>
      <c r="AS13" s="176"/>
      <c r="AT13" s="181">
        <v>43891</v>
      </c>
      <c r="AU13" s="168">
        <v>57568</v>
      </c>
      <c r="AV13" s="192">
        <v>12700</v>
      </c>
      <c r="AW13" s="168">
        <v>7283</v>
      </c>
      <c r="AX13" s="192">
        <v>1600</v>
      </c>
      <c r="AY13" s="189">
        <v>94139</v>
      </c>
      <c r="AZ13" s="190">
        <v>884</v>
      </c>
      <c r="BA13" s="168">
        <v>47374</v>
      </c>
      <c r="BB13" s="192">
        <v>4640</v>
      </c>
      <c r="BC13" s="166"/>
      <c r="BD13" s="178"/>
      <c r="BE13" s="169">
        <v>19824</v>
      </c>
      <c r="BF13" s="168">
        <v>77038</v>
      </c>
      <c r="BG13" s="168">
        <v>1253139</v>
      </c>
      <c r="BH13" s="177"/>
      <c r="BI13" s="176"/>
      <c r="BJ13" s="166"/>
      <c r="BK13" s="170">
        <v>53341</v>
      </c>
      <c r="BL13" s="168">
        <v>53030</v>
      </c>
      <c r="BM13" s="170">
        <v>2304</v>
      </c>
      <c r="BN13" s="173">
        <v>365.13879359999999</v>
      </c>
      <c r="BO13" s="174">
        <v>84520</v>
      </c>
      <c r="BP13" s="168">
        <v>84291</v>
      </c>
      <c r="BQ13" s="168">
        <v>2.5059999999999998</v>
      </c>
      <c r="BR13" s="170">
        <v>244000</v>
      </c>
      <c r="BS13" s="170">
        <v>400.96</v>
      </c>
      <c r="BT13" s="173">
        <v>9906.4</v>
      </c>
      <c r="BU13" s="173">
        <v>6175.6399999999994</v>
      </c>
      <c r="BV13" s="173">
        <v>2802.7103999999999</v>
      </c>
      <c r="BW13" s="173">
        <v>17529.423600000002</v>
      </c>
      <c r="BX13" s="174">
        <v>88827</v>
      </c>
      <c r="BY13" s="168">
        <v>88605</v>
      </c>
      <c r="BZ13" s="168">
        <v>2.222</v>
      </c>
      <c r="CA13" s="170">
        <v>233280</v>
      </c>
      <c r="CB13" s="170">
        <v>355.52</v>
      </c>
      <c r="CC13" s="173">
        <v>9471.1679999999997</v>
      </c>
      <c r="CD13" s="173">
        <v>5904.3167999999996</v>
      </c>
      <c r="CE13" s="173">
        <v>2485.0848000000001</v>
      </c>
      <c r="CF13" s="173">
        <v>16627.123584000001</v>
      </c>
      <c r="CG13" s="174">
        <v>69429</v>
      </c>
      <c r="CH13" s="168">
        <v>69310</v>
      </c>
      <c r="CI13" s="168">
        <v>2.6080000000000001</v>
      </c>
      <c r="CJ13" s="170">
        <v>235200</v>
      </c>
      <c r="CK13" s="170">
        <v>782.4</v>
      </c>
      <c r="CL13" s="173">
        <v>9549.119999999999</v>
      </c>
      <c r="CM13" s="173">
        <v>5952.9119999999994</v>
      </c>
      <c r="CN13" s="173">
        <v>5468.9759999999997</v>
      </c>
      <c r="CO13" s="173">
        <v>16919.014879999999</v>
      </c>
      <c r="CP13" s="174">
        <v>15930</v>
      </c>
      <c r="CQ13" s="168">
        <v>15901</v>
      </c>
      <c r="CR13" s="168">
        <v>0.34899999999999998</v>
      </c>
      <c r="CS13" s="170">
        <v>8120</v>
      </c>
      <c r="CT13" s="170">
        <v>13.959999999999999</v>
      </c>
      <c r="CU13" s="173">
        <v>329.67199999999997</v>
      </c>
      <c r="CV13" s="173">
        <v>205.5172</v>
      </c>
      <c r="CW13" s="173">
        <v>97.580399999999997</v>
      </c>
      <c r="CX13" s="173">
        <v>605.15622800000006</v>
      </c>
      <c r="CY13" s="174">
        <v>65909</v>
      </c>
      <c r="CZ13" s="168">
        <v>65820</v>
      </c>
      <c r="DA13" s="168">
        <v>1.9850000000000001</v>
      </c>
      <c r="DB13" s="170">
        <v>227700</v>
      </c>
      <c r="DC13" s="184">
        <v>595.5</v>
      </c>
      <c r="DD13" s="173">
        <v>9244.619999999999</v>
      </c>
      <c r="DE13" s="173">
        <v>5763.0869999999995</v>
      </c>
      <c r="DF13" s="173">
        <v>4162.5450000000001</v>
      </c>
      <c r="DG13" s="173">
        <v>16305.062094999997</v>
      </c>
      <c r="DH13" s="174">
        <v>9912</v>
      </c>
      <c r="DI13" s="168">
        <v>9890</v>
      </c>
      <c r="DJ13" s="168">
        <v>0.33300000000000002</v>
      </c>
      <c r="DK13" s="170">
        <v>60800</v>
      </c>
      <c r="DL13" s="184">
        <v>133.20000000000002</v>
      </c>
      <c r="DM13" s="173">
        <v>2468.48</v>
      </c>
      <c r="DN13" s="173">
        <v>1538.848</v>
      </c>
      <c r="DO13" s="173">
        <v>931.0680000000001</v>
      </c>
      <c r="DP13" s="173">
        <v>4389.7875199999999</v>
      </c>
      <c r="DQ13" s="174">
        <v>69429</v>
      </c>
      <c r="DR13" s="168">
        <v>10018</v>
      </c>
      <c r="DS13" s="168">
        <v>0.35199999999999998</v>
      </c>
      <c r="DT13" s="170">
        <v>67600</v>
      </c>
      <c r="DU13" s="170">
        <v>140.79999999999998</v>
      </c>
      <c r="DV13" s="173">
        <v>2744.56</v>
      </c>
      <c r="DW13" s="173">
        <v>1710.9559999999999</v>
      </c>
      <c r="DX13" s="173">
        <v>984.19199999999989</v>
      </c>
      <c r="DY13" s="173">
        <v>4878.3124399999997</v>
      </c>
      <c r="DZ13" s="174">
        <v>10626</v>
      </c>
      <c r="EA13" s="168">
        <v>10602</v>
      </c>
      <c r="EB13" s="168">
        <v>0.4</v>
      </c>
      <c r="EC13" s="170">
        <v>63200</v>
      </c>
      <c r="ED13" s="170">
        <v>160</v>
      </c>
      <c r="EE13" s="173">
        <v>2565.9199999999996</v>
      </c>
      <c r="EF13" s="173">
        <v>1599.5919999999999</v>
      </c>
      <c r="EG13" s="173">
        <v>1118.4000000000001</v>
      </c>
      <c r="EH13" s="173">
        <v>4562.2080800000003</v>
      </c>
      <c r="EI13" s="174">
        <v>16477</v>
      </c>
      <c r="EJ13" s="168">
        <v>16441</v>
      </c>
      <c r="EK13" s="168">
        <v>0.56699999999999995</v>
      </c>
      <c r="EL13" s="170">
        <v>35520</v>
      </c>
      <c r="EM13" s="170">
        <v>90.72</v>
      </c>
      <c r="EN13" s="173">
        <v>1442.1119999999999</v>
      </c>
      <c r="EO13" s="173">
        <v>899.01119999999992</v>
      </c>
      <c r="EP13" s="173">
        <v>634.13279999999997</v>
      </c>
      <c r="EQ13" s="173">
        <v>2573.624288</v>
      </c>
      <c r="ER13" s="174">
        <v>11228</v>
      </c>
      <c r="ES13" s="168">
        <v>11207</v>
      </c>
      <c r="ET13" s="168">
        <v>0.45100000000000001</v>
      </c>
      <c r="EU13" s="170">
        <v>24960</v>
      </c>
      <c r="EV13" s="170">
        <v>72.16</v>
      </c>
      <c r="EW13" s="173">
        <v>1013.376</v>
      </c>
      <c r="EX13" s="173">
        <v>631.73759999999993</v>
      </c>
      <c r="EY13" s="173">
        <v>504.39839999999998</v>
      </c>
      <c r="EZ13" s="173">
        <v>1814.9738239999999</v>
      </c>
      <c r="FA13" s="170">
        <v>84251</v>
      </c>
      <c r="FB13" s="186">
        <v>84064</v>
      </c>
      <c r="FC13" s="186">
        <v>2.1179999999999999</v>
      </c>
      <c r="FD13" s="170">
        <v>222200</v>
      </c>
      <c r="FE13" s="170">
        <v>423.59999999999997</v>
      </c>
      <c r="FF13" s="173">
        <v>9021.32</v>
      </c>
      <c r="FG13" s="173">
        <v>5623.8819999999996</v>
      </c>
      <c r="FH13" s="173">
        <v>2960.9639999999999</v>
      </c>
      <c r="FI13" s="173">
        <v>15985.070180000001</v>
      </c>
      <c r="FJ13" s="179"/>
      <c r="FK13" s="188">
        <v>1424884</v>
      </c>
      <c r="FL13" s="172">
        <v>102554.89551259999</v>
      </c>
      <c r="FM13" s="172">
        <v>22150.051799999997</v>
      </c>
      <c r="FN13" s="172">
        <v>124704.94731259999</v>
      </c>
      <c r="FO13" s="176"/>
      <c r="FP13" s="166"/>
      <c r="FQ13" s="174">
        <v>7283</v>
      </c>
      <c r="FR13" s="168">
        <v>7269</v>
      </c>
      <c r="FS13" s="168">
        <v>0.23400000000000001</v>
      </c>
      <c r="FT13" s="170">
        <v>7800</v>
      </c>
      <c r="FU13" s="170">
        <v>23.400000000000002</v>
      </c>
      <c r="FV13" s="180">
        <v>316.67999999999995</v>
      </c>
      <c r="FW13" s="180">
        <v>197.41800000000001</v>
      </c>
      <c r="FX13" s="180">
        <v>163.56600000000003</v>
      </c>
      <c r="FY13" s="173">
        <v>590.07147039999995</v>
      </c>
      <c r="FZ13" s="174">
        <v>57568</v>
      </c>
      <c r="GA13" s="168">
        <v>57455</v>
      </c>
      <c r="GB13" s="168">
        <v>1.6140000000000001</v>
      </c>
      <c r="GC13" s="170">
        <v>65000</v>
      </c>
      <c r="GD13" s="170">
        <v>161.4</v>
      </c>
      <c r="GE13" s="180">
        <v>2639</v>
      </c>
      <c r="GF13" s="180">
        <v>1645.1499999999999</v>
      </c>
      <c r="GG13" s="180">
        <v>1128.1860000000001</v>
      </c>
      <c r="GH13" s="173">
        <v>4755.2249199999997</v>
      </c>
      <c r="GI13" s="174">
        <v>94139</v>
      </c>
      <c r="GJ13" s="168">
        <v>93346</v>
      </c>
      <c r="GK13" s="170">
        <v>4775</v>
      </c>
      <c r="GL13" s="173">
        <v>567.98625000000004</v>
      </c>
      <c r="GM13" s="173">
        <v>120.85525</v>
      </c>
      <c r="GN13" s="173">
        <v>739.54280500000004</v>
      </c>
      <c r="GO13" s="174">
        <v>47374</v>
      </c>
      <c r="GP13" s="168">
        <v>47282</v>
      </c>
      <c r="GQ13" s="168">
        <v>3.976</v>
      </c>
      <c r="GR13" s="170">
        <v>11640</v>
      </c>
      <c r="GS13" s="170">
        <v>159.04</v>
      </c>
      <c r="GT13" s="173">
        <v>472.58399999999995</v>
      </c>
      <c r="GU13" s="173">
        <v>294.60840000000002</v>
      </c>
      <c r="GV13" s="173">
        <v>1111.6895999999999</v>
      </c>
      <c r="GW13" s="173">
        <v>944.63087999999982</v>
      </c>
      <c r="GX13" s="168">
        <v>89215</v>
      </c>
      <c r="GY13" s="172">
        <v>7029.4700753999996</v>
      </c>
      <c r="GZ13" s="172">
        <v>2403.4416000000001</v>
      </c>
      <c r="HA13" s="172">
        <v>9432.9116753999988</v>
      </c>
      <c r="HB13" s="187"/>
      <c r="HC13" s="188">
        <v>1514099</v>
      </c>
      <c r="HD13" s="172">
        <v>109584.36558799999</v>
      </c>
      <c r="HE13" s="172">
        <v>24553.493399999999</v>
      </c>
      <c r="HF13" s="172">
        <v>134137.85898799999</v>
      </c>
      <c r="HG13" s="170">
        <f>SUM(HE13-HE9)*40</f>
        <v>59722.559999999939</v>
      </c>
      <c r="HH13" s="170">
        <f>SUM(HF13)*40</f>
        <v>5365514.3595199995</v>
      </c>
      <c r="HI13" s="173">
        <f>SUM(HG13*0.0406)</f>
        <v>2424.7359359999973</v>
      </c>
      <c r="HJ13" s="173">
        <f>SUM(HG13*0.02531)</f>
        <v>1511.5779935999983</v>
      </c>
      <c r="HK13" s="173">
        <f>SUM(HH13*6.99)</f>
        <v>37504945.373044796</v>
      </c>
      <c r="HL13" s="173">
        <f>SUM(HJ13+HI13+20)*1.2</f>
        <v>4747.5767155199947</v>
      </c>
      <c r="HM13" s="168">
        <f>SUM(GI13+GR13+GZ13+HG13)</f>
        <v>167905.00159999996</v>
      </c>
      <c r="HN13" s="172">
        <f>SUM(HL13+HC13+GW13+GN13)</f>
        <v>1520530.7504005199</v>
      </c>
      <c r="HO13" s="172">
        <f>SUM(GM13+GV13+HK13)</f>
        <v>37506177.917894796</v>
      </c>
      <c r="HP13" s="172">
        <f>SUM(HN13:HO13)</f>
        <v>39026708.668295316</v>
      </c>
      <c r="HQ13" s="187"/>
      <c r="HR13" s="188">
        <f t="shared" ref="HR13:HT13" si="2">(FZ13+HM13)</f>
        <v>225473.00159999996</v>
      </c>
      <c r="HS13" s="172">
        <f t="shared" si="2"/>
        <v>1577985.7504005199</v>
      </c>
      <c r="HT13" s="172">
        <f t="shared" si="2"/>
        <v>37506179.531894796</v>
      </c>
      <c r="HU13" s="172">
        <f t="shared" ref="HU13" si="3">(HS13+HT13)</f>
        <v>39084165.282295316</v>
      </c>
    </row>
    <row r="14" spans="2:229" x14ac:dyDescent="0.25">
      <c r="B14" s="164">
        <v>43898</v>
      </c>
      <c r="C14" s="165">
        <v>2040</v>
      </c>
      <c r="D14" s="168">
        <v>89161</v>
      </c>
      <c r="E14" s="168">
        <v>2.2330000000000001</v>
      </c>
      <c r="F14" s="192">
        <v>53440</v>
      </c>
      <c r="G14" s="168">
        <v>84863</v>
      </c>
      <c r="H14" s="168">
        <v>2.4260000000000002</v>
      </c>
      <c r="I14" s="192">
        <v>54880</v>
      </c>
      <c r="J14" s="168">
        <v>10079</v>
      </c>
      <c r="K14" s="168">
        <v>0.32400000000000001</v>
      </c>
      <c r="L14" s="192">
        <v>13600</v>
      </c>
      <c r="M14" s="168">
        <v>9945</v>
      </c>
      <c r="N14" s="168">
        <v>0.254</v>
      </c>
      <c r="O14" s="192">
        <v>13200</v>
      </c>
      <c r="P14" s="168">
        <v>10660</v>
      </c>
      <c r="Q14" s="168">
        <v>0.29799999999999999</v>
      </c>
      <c r="R14" s="192">
        <v>13600</v>
      </c>
      <c r="S14" s="168">
        <v>69629</v>
      </c>
      <c r="T14" s="168">
        <v>2.2519999999999998</v>
      </c>
      <c r="U14" s="192">
        <v>60000</v>
      </c>
      <c r="V14" s="168">
        <v>66075</v>
      </c>
      <c r="W14" s="168">
        <v>2.0070000000000001</v>
      </c>
      <c r="X14" s="192">
        <v>49800</v>
      </c>
      <c r="Y14" s="168">
        <v>16538</v>
      </c>
      <c r="Z14" s="168">
        <v>0.63700000000000001</v>
      </c>
      <c r="AA14" s="192">
        <v>9760</v>
      </c>
      <c r="AB14" s="168">
        <v>11259</v>
      </c>
      <c r="AC14" s="168">
        <v>0.34699999999999998</v>
      </c>
      <c r="AD14" s="192">
        <v>4960</v>
      </c>
      <c r="AE14" s="168">
        <v>84527</v>
      </c>
      <c r="AF14" s="168">
        <v>2.0649999999999999</v>
      </c>
      <c r="AG14" s="192">
        <v>55200</v>
      </c>
      <c r="AH14" s="168">
        <v>15975</v>
      </c>
      <c r="AI14" s="168">
        <v>0.32800000000000001</v>
      </c>
      <c r="AJ14" s="192">
        <v>1800</v>
      </c>
      <c r="AK14" s="241">
        <v>53811</v>
      </c>
      <c r="AL14" s="192">
        <v>470</v>
      </c>
      <c r="AM14" s="192"/>
      <c r="AN14" s="166"/>
      <c r="AO14" s="192">
        <v>330710</v>
      </c>
      <c r="AP14" s="168">
        <v>57000</v>
      </c>
      <c r="AQ14" s="168">
        <v>0.17235644522391219</v>
      </c>
      <c r="AR14" s="168"/>
      <c r="AS14" s="176"/>
      <c r="AT14" s="181">
        <v>43898</v>
      </c>
      <c r="AU14" s="168">
        <v>57706</v>
      </c>
      <c r="AV14" s="192">
        <v>13800</v>
      </c>
      <c r="AW14" s="168">
        <v>7300</v>
      </c>
      <c r="AX14" s="192">
        <v>1700</v>
      </c>
      <c r="AY14" s="189">
        <v>95088</v>
      </c>
      <c r="AZ14" s="190">
        <v>949</v>
      </c>
      <c r="BA14" s="168">
        <v>47454</v>
      </c>
      <c r="BB14" s="192">
        <v>3200</v>
      </c>
      <c r="BC14" s="166"/>
      <c r="BD14" s="178"/>
      <c r="BE14" s="169">
        <v>19649</v>
      </c>
      <c r="BF14" s="168"/>
      <c r="BG14" s="168"/>
      <c r="BH14" s="177"/>
      <c r="BI14" s="176"/>
      <c r="BJ14" s="166"/>
      <c r="BK14" s="170">
        <v>53811</v>
      </c>
      <c r="BL14" s="166"/>
      <c r="BM14" s="166"/>
      <c r="BN14" s="171"/>
      <c r="BO14" s="174">
        <v>84863</v>
      </c>
      <c r="BP14" s="166"/>
      <c r="BQ14" s="166"/>
      <c r="BR14" s="166"/>
      <c r="BS14" s="166"/>
      <c r="BT14" s="166"/>
      <c r="BU14" s="166"/>
      <c r="BV14" s="166"/>
      <c r="BW14" s="171"/>
      <c r="BX14" s="174">
        <v>89161</v>
      </c>
      <c r="BY14" s="166"/>
      <c r="BZ14" s="166"/>
      <c r="CA14" s="166"/>
      <c r="CB14" s="166"/>
      <c r="CC14" s="166"/>
      <c r="CD14" s="166"/>
      <c r="CE14" s="166"/>
      <c r="CF14" s="171"/>
      <c r="CG14" s="174">
        <v>69629</v>
      </c>
      <c r="CH14" s="166"/>
      <c r="CI14" s="166"/>
      <c r="CJ14" s="166"/>
      <c r="CK14" s="166"/>
      <c r="CL14" s="166"/>
      <c r="CM14" s="166"/>
      <c r="CN14" s="166"/>
      <c r="CO14" s="171"/>
      <c r="CP14" s="174">
        <v>15975</v>
      </c>
      <c r="CQ14" s="166"/>
      <c r="CR14" s="166"/>
      <c r="CS14" s="166"/>
      <c r="CT14" s="166"/>
      <c r="CU14" s="166"/>
      <c r="CV14" s="166"/>
      <c r="CW14" s="166"/>
      <c r="CX14" s="171"/>
      <c r="CY14" s="174">
        <v>66075</v>
      </c>
      <c r="CZ14" s="166"/>
      <c r="DA14" s="166"/>
      <c r="DB14" s="166"/>
      <c r="DC14" s="183"/>
      <c r="DD14" s="166"/>
      <c r="DE14" s="166"/>
      <c r="DF14" s="166"/>
      <c r="DG14" s="171"/>
      <c r="DH14" s="174">
        <v>9945</v>
      </c>
      <c r="DI14" s="166"/>
      <c r="DJ14" s="166"/>
      <c r="DK14" s="166"/>
      <c r="DL14" s="183"/>
      <c r="DM14" s="166"/>
      <c r="DN14" s="166"/>
      <c r="DO14" s="166"/>
      <c r="DP14" s="171"/>
      <c r="DQ14" s="174">
        <v>69629</v>
      </c>
      <c r="DR14" s="166"/>
      <c r="DS14" s="166"/>
      <c r="DT14" s="166"/>
      <c r="DU14" s="166"/>
      <c r="DV14" s="166"/>
      <c r="DW14" s="166"/>
      <c r="DX14" s="166"/>
      <c r="DY14" s="171"/>
      <c r="DZ14" s="174">
        <v>10660</v>
      </c>
      <c r="EA14" s="166"/>
      <c r="EB14" s="166"/>
      <c r="EC14" s="166"/>
      <c r="ED14" s="166"/>
      <c r="EE14" s="166"/>
      <c r="EF14" s="166"/>
      <c r="EG14" s="166"/>
      <c r="EH14" s="171"/>
      <c r="EI14" s="174">
        <v>16538</v>
      </c>
      <c r="EJ14" s="166"/>
      <c r="EK14" s="166"/>
      <c r="EL14" s="166"/>
      <c r="EM14" s="166"/>
      <c r="EN14" s="166"/>
      <c r="EO14" s="166"/>
      <c r="EP14" s="166"/>
      <c r="EQ14" s="171"/>
      <c r="ER14" s="174">
        <v>11259</v>
      </c>
      <c r="ES14" s="166"/>
      <c r="ET14" s="166"/>
      <c r="EU14" s="166"/>
      <c r="EV14" s="166"/>
      <c r="EW14" s="166"/>
      <c r="EX14" s="166"/>
      <c r="EY14" s="166"/>
      <c r="EZ14" s="171"/>
      <c r="FA14" s="170">
        <v>84527</v>
      </c>
      <c r="FB14" s="185"/>
      <c r="FC14" s="185"/>
      <c r="FD14" s="175"/>
      <c r="FE14" s="175"/>
      <c r="FF14" s="175"/>
      <c r="FG14" s="166"/>
      <c r="FH14" s="175"/>
      <c r="FI14" s="175"/>
      <c r="FJ14" s="179"/>
      <c r="FK14" s="182"/>
      <c r="FL14" s="166"/>
      <c r="FM14" s="166"/>
      <c r="FN14" s="166"/>
      <c r="FO14" s="176"/>
      <c r="FP14" s="166"/>
      <c r="FQ14" s="174">
        <v>7300</v>
      </c>
      <c r="FR14" s="166"/>
      <c r="FS14" s="166"/>
      <c r="FT14" s="166"/>
      <c r="FU14" s="166"/>
      <c r="FV14" s="166"/>
      <c r="FW14" s="166"/>
      <c r="FX14" s="166"/>
      <c r="FY14" s="171"/>
      <c r="FZ14" s="174">
        <v>57706</v>
      </c>
      <c r="GA14" s="166"/>
      <c r="GB14" s="166"/>
      <c r="GC14" s="166"/>
      <c r="GD14" s="166"/>
      <c r="GE14" s="166"/>
      <c r="GF14" s="166"/>
      <c r="GG14" s="166"/>
      <c r="GH14" s="171"/>
      <c r="GI14" s="174">
        <v>95088</v>
      </c>
      <c r="GJ14" s="166"/>
      <c r="GK14" s="166"/>
      <c r="GL14" s="166"/>
      <c r="GM14" s="166"/>
      <c r="GN14" s="171"/>
      <c r="GO14" s="174">
        <v>47454</v>
      </c>
      <c r="GP14" s="166"/>
      <c r="GQ14" s="166"/>
      <c r="GR14" s="166"/>
      <c r="GS14" s="166"/>
      <c r="GT14" s="166"/>
      <c r="GU14" s="166"/>
      <c r="GV14" s="166"/>
      <c r="GW14" s="171"/>
      <c r="GX14" s="166"/>
      <c r="GY14" s="166"/>
      <c r="GZ14" s="166"/>
      <c r="HA14" s="166"/>
      <c r="HB14" s="187"/>
      <c r="HC14" s="166"/>
      <c r="HD14" s="166"/>
      <c r="HE14" s="166"/>
      <c r="HF14" s="166"/>
      <c r="HG14" s="166"/>
      <c r="HH14" s="166"/>
      <c r="HI14" s="166"/>
      <c r="HJ14" s="166"/>
      <c r="HK14" s="166"/>
      <c r="HL14" s="171"/>
      <c r="HM14" s="166"/>
      <c r="HN14" s="166"/>
      <c r="HO14" s="166"/>
      <c r="HP14" s="166"/>
      <c r="HQ14" s="187"/>
      <c r="HR14" s="166"/>
      <c r="HS14" s="166"/>
      <c r="HT14" s="166"/>
      <c r="HU14" s="166"/>
    </row>
    <row r="15" spans="2:229" x14ac:dyDescent="0.25">
      <c r="B15" s="164">
        <v>43905</v>
      </c>
      <c r="C15" s="165">
        <v>1354</v>
      </c>
      <c r="D15" s="168">
        <v>89452</v>
      </c>
      <c r="E15" s="168">
        <v>2.2330000000000001</v>
      </c>
      <c r="F15" s="192">
        <v>46560</v>
      </c>
      <c r="G15" s="168">
        <v>85157</v>
      </c>
      <c r="H15" s="168">
        <v>2.4260000000000002</v>
      </c>
      <c r="I15" s="192">
        <v>47040</v>
      </c>
      <c r="J15" s="168">
        <v>10106</v>
      </c>
      <c r="K15" s="168">
        <v>0.32400000000000001</v>
      </c>
      <c r="L15" s="192">
        <v>10800</v>
      </c>
      <c r="M15" s="168">
        <v>9972</v>
      </c>
      <c r="N15" s="168">
        <v>0.254</v>
      </c>
      <c r="O15" s="192">
        <v>10800</v>
      </c>
      <c r="P15" s="168">
        <v>10688</v>
      </c>
      <c r="Q15" s="168">
        <v>0.29799999999999999</v>
      </c>
      <c r="R15" s="192">
        <v>11200</v>
      </c>
      <c r="S15" s="168">
        <v>69797</v>
      </c>
      <c r="T15" s="168">
        <v>2.2519999999999998</v>
      </c>
      <c r="U15" s="192">
        <v>50400</v>
      </c>
      <c r="V15" s="168">
        <v>66254</v>
      </c>
      <c r="W15" s="168">
        <v>2.0070000000000001</v>
      </c>
      <c r="X15" s="192">
        <v>53700</v>
      </c>
      <c r="Y15" s="168">
        <v>16575</v>
      </c>
      <c r="Z15" s="168">
        <v>0.63700000000000001</v>
      </c>
      <c r="AA15" s="192">
        <v>5920</v>
      </c>
      <c r="AB15" s="168">
        <v>11285</v>
      </c>
      <c r="AC15" s="168">
        <v>0.34699999999999998</v>
      </c>
      <c r="AD15" s="192">
        <v>4160</v>
      </c>
      <c r="AE15" s="168">
        <v>84772</v>
      </c>
      <c r="AF15" s="168">
        <v>2.0649999999999999</v>
      </c>
      <c r="AG15" s="192">
        <v>49000</v>
      </c>
      <c r="AH15" s="168">
        <v>16015</v>
      </c>
      <c r="AI15" s="168">
        <v>0.32800000000000001</v>
      </c>
      <c r="AJ15" s="192">
        <v>1600</v>
      </c>
      <c r="AK15" s="241">
        <v>54228</v>
      </c>
      <c r="AL15" s="192">
        <v>417</v>
      </c>
      <c r="AM15" s="192"/>
      <c r="AN15" s="166"/>
      <c r="AO15" s="192">
        <v>291597</v>
      </c>
      <c r="AP15" s="168">
        <v>50600</v>
      </c>
      <c r="AQ15" s="168">
        <v>0.17352716248795427</v>
      </c>
      <c r="AR15" s="168"/>
      <c r="AS15" s="176"/>
      <c r="AT15" s="181">
        <v>43905</v>
      </c>
      <c r="AU15" s="168">
        <v>57846</v>
      </c>
      <c r="AV15" s="192">
        <v>14000</v>
      </c>
      <c r="AW15" s="168">
        <v>7317</v>
      </c>
      <c r="AX15" s="192">
        <v>1700</v>
      </c>
      <c r="AY15" s="189">
        <v>95939</v>
      </c>
      <c r="AZ15" s="190">
        <v>851</v>
      </c>
      <c r="BA15" s="168">
        <v>47562</v>
      </c>
      <c r="BB15" s="192">
        <v>4320</v>
      </c>
      <c r="BC15" s="166"/>
      <c r="BD15" s="178"/>
      <c r="BE15" s="169">
        <v>20871</v>
      </c>
      <c r="BF15" s="168"/>
      <c r="BG15" s="168"/>
      <c r="BH15" s="177"/>
      <c r="BI15" s="176"/>
      <c r="BJ15" s="166"/>
      <c r="BK15" s="170">
        <v>54228</v>
      </c>
      <c r="BL15" s="166"/>
      <c r="BM15" s="166"/>
      <c r="BN15" s="171"/>
      <c r="BO15" s="174">
        <v>85157</v>
      </c>
      <c r="BP15" s="166"/>
      <c r="BQ15" s="166"/>
      <c r="BR15" s="166"/>
      <c r="BS15" s="166"/>
      <c r="BT15" s="166"/>
      <c r="BU15" s="166"/>
      <c r="BV15" s="166"/>
      <c r="BW15" s="171"/>
      <c r="BX15" s="174">
        <v>89452</v>
      </c>
      <c r="BY15" s="166"/>
      <c r="BZ15" s="166"/>
      <c r="CA15" s="166"/>
      <c r="CB15" s="166"/>
      <c r="CC15" s="166"/>
      <c r="CD15" s="166"/>
      <c r="CE15" s="166"/>
      <c r="CF15" s="171"/>
      <c r="CG15" s="174">
        <v>69797</v>
      </c>
      <c r="CH15" s="166"/>
      <c r="CI15" s="166"/>
      <c r="CJ15" s="166"/>
      <c r="CK15" s="166"/>
      <c r="CL15" s="166"/>
      <c r="CM15" s="166"/>
      <c r="CN15" s="166"/>
      <c r="CO15" s="171"/>
      <c r="CP15" s="174">
        <v>16015</v>
      </c>
      <c r="CQ15" s="166"/>
      <c r="CR15" s="166"/>
      <c r="CS15" s="166"/>
      <c r="CT15" s="166"/>
      <c r="CU15" s="166"/>
      <c r="CV15" s="166"/>
      <c r="CW15" s="166"/>
      <c r="CX15" s="171"/>
      <c r="CY15" s="174">
        <v>66254</v>
      </c>
      <c r="CZ15" s="166"/>
      <c r="DA15" s="166"/>
      <c r="DB15" s="166"/>
      <c r="DC15" s="183"/>
      <c r="DD15" s="166"/>
      <c r="DE15" s="166"/>
      <c r="DF15" s="166"/>
      <c r="DG15" s="171"/>
      <c r="DH15" s="174">
        <v>9972</v>
      </c>
      <c r="DI15" s="166"/>
      <c r="DJ15" s="166"/>
      <c r="DK15" s="166"/>
      <c r="DL15" s="183"/>
      <c r="DM15" s="166"/>
      <c r="DN15" s="166"/>
      <c r="DO15" s="166"/>
      <c r="DP15" s="171"/>
      <c r="DQ15" s="174">
        <v>69797</v>
      </c>
      <c r="DR15" s="166"/>
      <c r="DS15" s="166"/>
      <c r="DT15" s="166"/>
      <c r="DU15" s="166"/>
      <c r="DV15" s="166"/>
      <c r="DW15" s="166"/>
      <c r="DX15" s="166"/>
      <c r="DY15" s="171"/>
      <c r="DZ15" s="174">
        <v>10688</v>
      </c>
      <c r="EA15" s="166"/>
      <c r="EB15" s="166"/>
      <c r="EC15" s="166"/>
      <c r="ED15" s="166"/>
      <c r="EE15" s="166"/>
      <c r="EF15" s="166"/>
      <c r="EG15" s="166"/>
      <c r="EH15" s="171"/>
      <c r="EI15" s="174">
        <v>16575</v>
      </c>
      <c r="EJ15" s="166"/>
      <c r="EK15" s="166"/>
      <c r="EL15" s="166"/>
      <c r="EM15" s="166"/>
      <c r="EN15" s="166"/>
      <c r="EO15" s="166"/>
      <c r="EP15" s="166"/>
      <c r="EQ15" s="171"/>
      <c r="ER15" s="174">
        <v>11285</v>
      </c>
      <c r="ES15" s="166"/>
      <c r="ET15" s="166"/>
      <c r="EU15" s="166"/>
      <c r="EV15" s="166"/>
      <c r="EW15" s="166"/>
      <c r="EX15" s="166"/>
      <c r="EY15" s="166"/>
      <c r="EZ15" s="171"/>
      <c r="FA15" s="170">
        <v>84772</v>
      </c>
      <c r="FB15" s="185"/>
      <c r="FC15" s="185"/>
      <c r="FD15" s="175"/>
      <c r="FE15" s="175"/>
      <c r="FF15" s="175"/>
      <c r="FG15" s="166"/>
      <c r="FH15" s="175"/>
      <c r="FI15" s="175"/>
      <c r="FJ15" s="179"/>
      <c r="FK15" s="182"/>
      <c r="FL15" s="166"/>
      <c r="FM15" s="166"/>
      <c r="FN15" s="166"/>
      <c r="FO15" s="176"/>
      <c r="FP15" s="166"/>
      <c r="FQ15" s="174">
        <v>7317</v>
      </c>
      <c r="FR15" s="166"/>
      <c r="FS15" s="166"/>
      <c r="FT15" s="166"/>
      <c r="FU15" s="166"/>
      <c r="FV15" s="166"/>
      <c r="FW15" s="166"/>
      <c r="FX15" s="166"/>
      <c r="FY15" s="171"/>
      <c r="FZ15" s="174">
        <v>57846</v>
      </c>
      <c r="GA15" s="166"/>
      <c r="GB15" s="166"/>
      <c r="GC15" s="166"/>
      <c r="GD15" s="166"/>
      <c r="GE15" s="166"/>
      <c r="GF15" s="166"/>
      <c r="GG15" s="166"/>
      <c r="GH15" s="171"/>
      <c r="GI15" s="174">
        <v>95939</v>
      </c>
      <c r="GJ15" s="166"/>
      <c r="GK15" s="166"/>
      <c r="GL15" s="166"/>
      <c r="GM15" s="166"/>
      <c r="GN15" s="171"/>
      <c r="GO15" s="174">
        <v>47562</v>
      </c>
      <c r="GP15" s="166"/>
      <c r="GQ15" s="166"/>
      <c r="GR15" s="166"/>
      <c r="GS15" s="166"/>
      <c r="GT15" s="166"/>
      <c r="GU15" s="166"/>
      <c r="GV15" s="166"/>
      <c r="GW15" s="171"/>
      <c r="GX15" s="166"/>
      <c r="GY15" s="166"/>
      <c r="GZ15" s="166"/>
      <c r="HA15" s="166"/>
      <c r="HB15" s="187"/>
      <c r="HC15" s="166"/>
      <c r="HD15" s="166"/>
      <c r="HE15" s="166"/>
      <c r="HF15" s="166"/>
      <c r="HG15" s="166"/>
      <c r="HH15" s="166"/>
      <c r="HI15" s="166"/>
      <c r="HJ15" s="166"/>
      <c r="HK15" s="166"/>
      <c r="HL15" s="171"/>
      <c r="HM15" s="166"/>
      <c r="HN15" s="166"/>
      <c r="HO15" s="166"/>
      <c r="HP15" s="166"/>
      <c r="HQ15" s="187"/>
      <c r="HR15" s="166"/>
      <c r="HS15" s="166"/>
      <c r="HT15" s="166"/>
      <c r="HU15" s="166"/>
    </row>
    <row r="16" spans="2:229" x14ac:dyDescent="0.25">
      <c r="B16" s="164">
        <v>43912</v>
      </c>
      <c r="C16" s="165">
        <v>242</v>
      </c>
      <c r="D16" s="168">
        <v>89712</v>
      </c>
      <c r="E16" s="168">
        <v>1.536</v>
      </c>
      <c r="F16" s="192">
        <v>41600</v>
      </c>
      <c r="G16" s="168">
        <v>85419</v>
      </c>
      <c r="H16" s="168">
        <v>1.7829999999999999</v>
      </c>
      <c r="I16" s="192">
        <v>41920</v>
      </c>
      <c r="J16" s="168">
        <v>10127</v>
      </c>
      <c r="K16" s="168">
        <v>0.1</v>
      </c>
      <c r="L16" s="192">
        <v>8400</v>
      </c>
      <c r="M16" s="168">
        <v>9994</v>
      </c>
      <c r="N16" s="168">
        <v>0.115</v>
      </c>
      <c r="O16" s="192">
        <v>8800</v>
      </c>
      <c r="P16" s="168">
        <v>10710</v>
      </c>
      <c r="Q16" s="168">
        <v>0.111</v>
      </c>
      <c r="R16" s="192">
        <v>8800</v>
      </c>
      <c r="S16" s="168">
        <v>69979</v>
      </c>
      <c r="T16" s="168">
        <v>1.417</v>
      </c>
      <c r="U16" s="192">
        <v>54600</v>
      </c>
      <c r="V16" s="168">
        <v>66420</v>
      </c>
      <c r="W16" s="168">
        <v>1.645</v>
      </c>
      <c r="X16" s="192">
        <v>49800</v>
      </c>
      <c r="Y16" s="168">
        <v>16604</v>
      </c>
      <c r="Z16" s="168">
        <v>0.21199999999999999</v>
      </c>
      <c r="AA16" s="192">
        <v>4640</v>
      </c>
      <c r="AB16" s="168">
        <v>11300</v>
      </c>
      <c r="AC16" s="168">
        <v>0.10199999999999999</v>
      </c>
      <c r="AD16" s="192">
        <v>2400</v>
      </c>
      <c r="AE16" s="168">
        <v>85007</v>
      </c>
      <c r="AF16" s="168">
        <v>1.7</v>
      </c>
      <c r="AG16" s="192">
        <v>47000</v>
      </c>
      <c r="AH16" s="168">
        <v>16054</v>
      </c>
      <c r="AI16" s="168">
        <v>0.29799999999999999</v>
      </c>
      <c r="AJ16" s="192">
        <v>1560</v>
      </c>
      <c r="AK16" s="241">
        <v>54638</v>
      </c>
      <c r="AL16" s="192">
        <v>410</v>
      </c>
      <c r="AM16" s="192"/>
      <c r="AN16" s="166"/>
      <c r="AO16" s="192">
        <v>269930</v>
      </c>
      <c r="AP16" s="168">
        <v>48560</v>
      </c>
      <c r="AQ16" s="168">
        <v>0.17989849220168191</v>
      </c>
      <c r="AR16" s="168"/>
      <c r="AS16" s="176"/>
      <c r="AT16" s="181">
        <v>43912</v>
      </c>
      <c r="AU16" s="168">
        <v>57988</v>
      </c>
      <c r="AV16" s="192">
        <v>14200</v>
      </c>
      <c r="AW16" s="168">
        <v>7333</v>
      </c>
      <c r="AX16" s="192">
        <v>1600</v>
      </c>
      <c r="AY16" s="189">
        <v>96790</v>
      </c>
      <c r="AZ16" s="190">
        <v>851</v>
      </c>
      <c r="BA16" s="168">
        <v>47645</v>
      </c>
      <c r="BB16" s="192">
        <v>3320</v>
      </c>
      <c r="BC16" s="166"/>
      <c r="BD16" s="178"/>
      <c r="BE16" s="169">
        <v>19971</v>
      </c>
      <c r="BF16" s="168"/>
      <c r="BG16" s="168"/>
      <c r="BH16" s="177"/>
      <c r="BI16" s="176"/>
      <c r="BJ16" s="166"/>
      <c r="BK16" s="170">
        <v>54638</v>
      </c>
      <c r="BL16" s="166"/>
      <c r="BM16" s="166"/>
      <c r="BN16" s="171"/>
      <c r="BO16" s="174">
        <v>85419</v>
      </c>
      <c r="BP16" s="166"/>
      <c r="BQ16" s="166"/>
      <c r="BR16" s="166"/>
      <c r="BS16" s="166"/>
      <c r="BT16" s="166"/>
      <c r="BU16" s="166"/>
      <c r="BV16" s="166"/>
      <c r="BW16" s="171"/>
      <c r="BX16" s="174">
        <v>89712</v>
      </c>
      <c r="BY16" s="166"/>
      <c r="BZ16" s="166"/>
      <c r="CA16" s="166"/>
      <c r="CB16" s="166"/>
      <c r="CC16" s="166"/>
      <c r="CD16" s="166"/>
      <c r="CE16" s="166"/>
      <c r="CF16" s="171"/>
      <c r="CG16" s="174">
        <v>69979</v>
      </c>
      <c r="CH16" s="166"/>
      <c r="CI16" s="166"/>
      <c r="CJ16" s="166"/>
      <c r="CK16" s="166"/>
      <c r="CL16" s="166"/>
      <c r="CM16" s="166"/>
      <c r="CN16" s="166"/>
      <c r="CO16" s="171"/>
      <c r="CP16" s="174">
        <v>16054</v>
      </c>
      <c r="CQ16" s="166"/>
      <c r="CR16" s="166"/>
      <c r="CS16" s="166"/>
      <c r="CT16" s="166"/>
      <c r="CU16" s="166"/>
      <c r="CV16" s="166"/>
      <c r="CW16" s="166"/>
      <c r="CX16" s="171"/>
      <c r="CY16" s="174">
        <v>66420</v>
      </c>
      <c r="CZ16" s="166"/>
      <c r="DA16" s="166"/>
      <c r="DB16" s="166"/>
      <c r="DC16" s="183"/>
      <c r="DD16" s="166"/>
      <c r="DE16" s="166"/>
      <c r="DF16" s="166"/>
      <c r="DG16" s="171"/>
      <c r="DH16" s="174">
        <v>9994</v>
      </c>
      <c r="DI16" s="166"/>
      <c r="DJ16" s="166"/>
      <c r="DK16" s="166"/>
      <c r="DL16" s="183"/>
      <c r="DM16" s="166"/>
      <c r="DN16" s="166"/>
      <c r="DO16" s="166"/>
      <c r="DP16" s="171"/>
      <c r="DQ16" s="174">
        <v>69979</v>
      </c>
      <c r="DR16" s="166"/>
      <c r="DS16" s="166"/>
      <c r="DT16" s="166"/>
      <c r="DU16" s="166"/>
      <c r="DV16" s="166"/>
      <c r="DW16" s="166"/>
      <c r="DX16" s="166"/>
      <c r="DY16" s="171"/>
      <c r="DZ16" s="174">
        <v>10710</v>
      </c>
      <c r="EA16" s="166"/>
      <c r="EB16" s="166"/>
      <c r="EC16" s="166"/>
      <c r="ED16" s="166"/>
      <c r="EE16" s="166"/>
      <c r="EF16" s="166"/>
      <c r="EG16" s="166"/>
      <c r="EH16" s="171"/>
      <c r="EI16" s="174">
        <v>16604</v>
      </c>
      <c r="EJ16" s="166"/>
      <c r="EK16" s="166"/>
      <c r="EL16" s="166"/>
      <c r="EM16" s="166"/>
      <c r="EN16" s="166"/>
      <c r="EO16" s="166"/>
      <c r="EP16" s="166"/>
      <c r="EQ16" s="171"/>
      <c r="ER16" s="174">
        <v>11300</v>
      </c>
      <c r="ES16" s="166"/>
      <c r="ET16" s="166"/>
      <c r="EU16" s="166"/>
      <c r="EV16" s="166"/>
      <c r="EW16" s="166"/>
      <c r="EX16" s="166"/>
      <c r="EY16" s="166"/>
      <c r="EZ16" s="171"/>
      <c r="FA16" s="170">
        <v>85007</v>
      </c>
      <c r="FB16" s="185"/>
      <c r="FC16" s="185"/>
      <c r="FD16" s="175"/>
      <c r="FE16" s="175"/>
      <c r="FF16" s="175"/>
      <c r="FG16" s="166"/>
      <c r="FH16" s="175"/>
      <c r="FI16" s="175"/>
      <c r="FJ16" s="179"/>
      <c r="FK16" s="182"/>
      <c r="FL16" s="166"/>
      <c r="FM16" s="166"/>
      <c r="FN16" s="166"/>
      <c r="FO16" s="176"/>
      <c r="FP16" s="166"/>
      <c r="FQ16" s="174">
        <v>7333</v>
      </c>
      <c r="FR16" s="166"/>
      <c r="FS16" s="166"/>
      <c r="FT16" s="166"/>
      <c r="FU16" s="166"/>
      <c r="FV16" s="166"/>
      <c r="FW16" s="166"/>
      <c r="FX16" s="166"/>
      <c r="FY16" s="171"/>
      <c r="FZ16" s="174">
        <v>57988</v>
      </c>
      <c r="GA16" s="166"/>
      <c r="GB16" s="166"/>
      <c r="GC16" s="166"/>
      <c r="GD16" s="166"/>
      <c r="GE16" s="166"/>
      <c r="GF16" s="166"/>
      <c r="GG16" s="166"/>
      <c r="GH16" s="171"/>
      <c r="GI16" s="174">
        <v>96790</v>
      </c>
      <c r="GJ16" s="166"/>
      <c r="GK16" s="166"/>
      <c r="GL16" s="166"/>
      <c r="GM16" s="166"/>
      <c r="GN16" s="171"/>
      <c r="GO16" s="174">
        <v>47645</v>
      </c>
      <c r="GP16" s="166"/>
      <c r="GQ16" s="166"/>
      <c r="GR16" s="166"/>
      <c r="GS16" s="166"/>
      <c r="GT16" s="166"/>
      <c r="GU16" s="166"/>
      <c r="GV16" s="166"/>
      <c r="GW16" s="171"/>
      <c r="GX16" s="166"/>
      <c r="GY16" s="166"/>
      <c r="GZ16" s="166"/>
      <c r="HA16" s="166"/>
      <c r="HB16" s="187"/>
      <c r="HC16" s="166"/>
      <c r="HD16" s="166"/>
      <c r="HE16" s="166"/>
      <c r="HF16" s="166"/>
      <c r="HG16" s="166"/>
      <c r="HH16" s="166"/>
      <c r="HI16" s="166"/>
      <c r="HJ16" s="166"/>
      <c r="HK16" s="166"/>
      <c r="HL16" s="171"/>
      <c r="HM16" s="166"/>
      <c r="HN16" s="166"/>
      <c r="HO16" s="166"/>
      <c r="HP16" s="166"/>
      <c r="HQ16" s="187"/>
      <c r="HR16" s="166"/>
      <c r="HS16" s="166"/>
      <c r="HT16" s="166"/>
      <c r="HU16" s="166"/>
    </row>
    <row r="17" spans="2:233" x14ac:dyDescent="0.25">
      <c r="B17" s="164">
        <v>43919</v>
      </c>
      <c r="C17" s="165">
        <v>0</v>
      </c>
      <c r="D17" s="168">
        <v>89858</v>
      </c>
      <c r="E17" s="168">
        <v>1.536</v>
      </c>
      <c r="F17" s="192">
        <v>23360</v>
      </c>
      <c r="G17" s="168">
        <v>85569</v>
      </c>
      <c r="H17" s="168">
        <v>1.7829999999999999</v>
      </c>
      <c r="I17" s="192">
        <v>24000</v>
      </c>
      <c r="J17" s="168">
        <v>10141</v>
      </c>
      <c r="K17" s="168">
        <v>1.1499999999999999</v>
      </c>
      <c r="L17" s="192">
        <v>5600</v>
      </c>
      <c r="M17" s="168">
        <v>10009</v>
      </c>
      <c r="N17" s="168">
        <v>1.23</v>
      </c>
      <c r="O17" s="192">
        <v>6000</v>
      </c>
      <c r="P17" s="168">
        <v>10723</v>
      </c>
      <c r="Q17" s="168">
        <v>0.111</v>
      </c>
      <c r="R17" s="192">
        <v>5200</v>
      </c>
      <c r="S17" s="168">
        <v>70116</v>
      </c>
      <c r="T17" s="168">
        <v>1.4510000000000001</v>
      </c>
      <c r="U17" s="192">
        <v>41100</v>
      </c>
      <c r="V17" s="168">
        <v>66514</v>
      </c>
      <c r="W17" s="168">
        <v>1.645</v>
      </c>
      <c r="X17" s="192">
        <v>28200</v>
      </c>
      <c r="Y17" s="168">
        <v>16626</v>
      </c>
      <c r="Z17" s="168">
        <v>0.21199999999999999</v>
      </c>
      <c r="AA17" s="192">
        <v>3520</v>
      </c>
      <c r="AB17" s="168">
        <v>11307</v>
      </c>
      <c r="AC17" s="168">
        <v>0.10199999999999999</v>
      </c>
      <c r="AD17" s="192">
        <v>1120</v>
      </c>
      <c r="AE17" s="168">
        <v>85132</v>
      </c>
      <c r="AF17" s="168">
        <v>1.7</v>
      </c>
      <c r="AG17" s="192">
        <v>25000</v>
      </c>
      <c r="AH17" s="168">
        <v>16085</v>
      </c>
      <c r="AI17" s="168">
        <v>0.30099999999999999</v>
      </c>
      <c r="AJ17" s="192">
        <v>1240</v>
      </c>
      <c r="AK17" s="241">
        <v>54918</v>
      </c>
      <c r="AL17" s="192">
        <v>280</v>
      </c>
      <c r="AM17" s="192"/>
      <c r="AN17" s="166"/>
      <c r="AO17" s="192">
        <v>164620</v>
      </c>
      <c r="AP17" s="168">
        <v>26240</v>
      </c>
      <c r="AQ17" s="168">
        <v>0.15939740007289516</v>
      </c>
      <c r="AR17" s="168"/>
      <c r="AS17" s="176"/>
      <c r="AT17" s="181">
        <v>43919</v>
      </c>
      <c r="AU17" s="168">
        <v>58064</v>
      </c>
      <c r="AV17" s="192">
        <v>7600</v>
      </c>
      <c r="AW17" s="168">
        <v>7350</v>
      </c>
      <c r="AX17" s="192">
        <v>1700</v>
      </c>
      <c r="AY17" s="189">
        <v>97134</v>
      </c>
      <c r="AZ17" s="190">
        <v>344</v>
      </c>
      <c r="BA17" s="168">
        <v>47737</v>
      </c>
      <c r="BB17" s="192">
        <v>3680</v>
      </c>
      <c r="BC17" s="166"/>
      <c r="BD17" s="178"/>
      <c r="BE17" s="169">
        <v>13324</v>
      </c>
      <c r="BF17" s="168"/>
      <c r="BG17" s="168"/>
      <c r="BH17" s="177"/>
      <c r="BI17" s="176"/>
      <c r="BJ17" s="166"/>
      <c r="BK17" s="170">
        <v>54918</v>
      </c>
      <c r="BL17" s="168">
        <v>54675</v>
      </c>
      <c r="BM17" s="170">
        <v>1645</v>
      </c>
      <c r="BN17" s="173">
        <v>261.51539300000007</v>
      </c>
      <c r="BO17" s="174">
        <v>85569</v>
      </c>
      <c r="BP17" s="168">
        <v>85488</v>
      </c>
      <c r="BQ17" s="168">
        <v>2.4260000000000002</v>
      </c>
      <c r="BR17" s="170">
        <v>191520</v>
      </c>
      <c r="BS17" s="170">
        <v>388.16</v>
      </c>
      <c r="BT17" s="173">
        <v>7775.7119999999995</v>
      </c>
      <c r="BU17" s="173">
        <v>4847.3711999999996</v>
      </c>
      <c r="BV17" s="173">
        <v>2713.2384000000002</v>
      </c>
      <c r="BW17" s="173">
        <v>13759.160688</v>
      </c>
      <c r="BX17" s="174">
        <v>89858</v>
      </c>
      <c r="BY17" s="168">
        <v>89781</v>
      </c>
      <c r="BZ17" s="168">
        <v>2.2330000000000001</v>
      </c>
      <c r="CA17" s="170">
        <v>188160</v>
      </c>
      <c r="CB17" s="170">
        <v>357.28000000000003</v>
      </c>
      <c r="CC17" s="173">
        <v>7639.2959999999994</v>
      </c>
      <c r="CD17" s="173">
        <v>4762.3296</v>
      </c>
      <c r="CE17" s="173">
        <v>2497.3872000000001</v>
      </c>
      <c r="CF17" s="173">
        <v>13415.355648000001</v>
      </c>
      <c r="CG17" s="174">
        <v>70116</v>
      </c>
      <c r="CH17" s="168">
        <v>70037</v>
      </c>
      <c r="CI17" s="168">
        <v>2.2519999999999998</v>
      </c>
      <c r="CJ17" s="170">
        <v>218100</v>
      </c>
      <c r="CK17" s="170">
        <v>675.59999999999991</v>
      </c>
      <c r="CL17" s="173">
        <v>8854.8599999999988</v>
      </c>
      <c r="CM17" s="173">
        <v>5520.1109999999999</v>
      </c>
      <c r="CN17" s="173">
        <v>4722.4439999999995</v>
      </c>
      <c r="CO17" s="173">
        <v>15690.518389999999</v>
      </c>
      <c r="CP17" s="174">
        <v>16085</v>
      </c>
      <c r="CQ17" s="168">
        <v>16068</v>
      </c>
      <c r="CR17" s="168">
        <v>0.32800000000000001</v>
      </c>
      <c r="CS17" s="170">
        <v>6680</v>
      </c>
      <c r="CT17" s="170">
        <v>13.120000000000001</v>
      </c>
      <c r="CU17" s="173">
        <v>271.20799999999997</v>
      </c>
      <c r="CV17" s="173">
        <v>169.07079999999999</v>
      </c>
      <c r="CW17" s="173">
        <v>91.708800000000011</v>
      </c>
      <c r="CX17" s="173">
        <v>501.70389199999994</v>
      </c>
      <c r="CY17" s="174">
        <v>66514</v>
      </c>
      <c r="CZ17" s="168">
        <v>66449</v>
      </c>
      <c r="DA17" s="168">
        <v>2.0070000000000001</v>
      </c>
      <c r="DB17" s="170">
        <v>188700</v>
      </c>
      <c r="DC17" s="184">
        <v>602.1</v>
      </c>
      <c r="DD17" s="173">
        <v>7661.2199999999993</v>
      </c>
      <c r="DE17" s="173">
        <v>4775.9969999999994</v>
      </c>
      <c r="DF17" s="173">
        <v>4208.6790000000001</v>
      </c>
      <c r="DG17" s="173">
        <v>13516.080444999998</v>
      </c>
      <c r="DH17" s="174">
        <v>10009</v>
      </c>
      <c r="DI17" s="168">
        <v>10001</v>
      </c>
      <c r="DJ17" s="168">
        <v>0.254</v>
      </c>
      <c r="DK17" s="170">
        <v>44400</v>
      </c>
      <c r="DL17" s="184">
        <v>101.6</v>
      </c>
      <c r="DM17" s="173">
        <v>1802.6399999999999</v>
      </c>
      <c r="DN17" s="173">
        <v>1123.7639999999999</v>
      </c>
      <c r="DO17" s="173">
        <v>710.18399999999997</v>
      </c>
      <c r="DP17" s="173">
        <v>3211.5803599999999</v>
      </c>
      <c r="DQ17" s="174">
        <v>70116</v>
      </c>
      <c r="DR17" s="168">
        <v>10133</v>
      </c>
      <c r="DS17" s="168">
        <v>0.32400000000000001</v>
      </c>
      <c r="DT17" s="170">
        <v>46000</v>
      </c>
      <c r="DU17" s="170">
        <v>129.6</v>
      </c>
      <c r="DV17" s="173">
        <v>1867.6</v>
      </c>
      <c r="DW17" s="173">
        <v>1164.26</v>
      </c>
      <c r="DX17" s="173">
        <v>905.904</v>
      </c>
      <c r="DY17" s="173">
        <v>3326.5273999999999</v>
      </c>
      <c r="DZ17" s="174">
        <v>10723</v>
      </c>
      <c r="EA17" s="168">
        <v>10716</v>
      </c>
      <c r="EB17" s="168">
        <v>0.29799999999999999</v>
      </c>
      <c r="EC17" s="170">
        <v>45600</v>
      </c>
      <c r="ED17" s="170">
        <v>119.19999999999999</v>
      </c>
      <c r="EE17" s="173">
        <v>1851.36</v>
      </c>
      <c r="EF17" s="173">
        <v>1154.136</v>
      </c>
      <c r="EG17" s="173">
        <v>833.20799999999997</v>
      </c>
      <c r="EH17" s="173">
        <v>3297.7906400000002</v>
      </c>
      <c r="EI17" s="174">
        <v>16626</v>
      </c>
      <c r="EJ17" s="168">
        <v>16614</v>
      </c>
      <c r="EK17" s="168">
        <v>0.63700000000000001</v>
      </c>
      <c r="EL17" s="170">
        <v>27680</v>
      </c>
      <c r="EM17" s="170">
        <v>101.92</v>
      </c>
      <c r="EN17" s="173">
        <v>1123.808</v>
      </c>
      <c r="EO17" s="173">
        <v>700.58079999999995</v>
      </c>
      <c r="EP17" s="173">
        <v>712.42079999999999</v>
      </c>
      <c r="EQ17" s="173">
        <v>2010.3837920000001</v>
      </c>
      <c r="ER17" s="174">
        <v>11307</v>
      </c>
      <c r="ES17" s="168">
        <v>11304</v>
      </c>
      <c r="ET17" s="168">
        <v>0.34699999999999998</v>
      </c>
      <c r="EU17" s="170">
        <v>15520</v>
      </c>
      <c r="EV17" s="170">
        <v>55.519999999999996</v>
      </c>
      <c r="EW17" s="173">
        <v>630.11199999999997</v>
      </c>
      <c r="EX17" s="173">
        <v>392.81119999999999</v>
      </c>
      <c r="EY17" s="173">
        <v>388.08479999999997</v>
      </c>
      <c r="EZ17" s="173">
        <v>1136.786288</v>
      </c>
      <c r="FA17" s="170">
        <v>85132</v>
      </c>
      <c r="FB17" s="186">
        <v>85061</v>
      </c>
      <c r="FC17" s="186">
        <v>2.0649999999999999</v>
      </c>
      <c r="FD17" s="170">
        <v>199400</v>
      </c>
      <c r="FE17" s="170">
        <v>413</v>
      </c>
      <c r="FF17" s="173">
        <v>8095.6399999999994</v>
      </c>
      <c r="FG17" s="173">
        <v>5046.8139999999994</v>
      </c>
      <c r="FH17" s="173">
        <v>2886.87</v>
      </c>
      <c r="FI17" s="173">
        <v>14347.074859999999</v>
      </c>
      <c r="FJ17" s="179"/>
      <c r="FK17" s="188">
        <v>1173405</v>
      </c>
      <c r="FL17" s="172">
        <v>84474.477795999992</v>
      </c>
      <c r="FM17" s="172">
        <v>20670.128999999997</v>
      </c>
      <c r="FN17" s="172">
        <v>105144.60679599999</v>
      </c>
      <c r="FO17" s="176"/>
      <c r="FP17" s="166"/>
      <c r="FQ17" s="174">
        <v>7350</v>
      </c>
      <c r="FR17" s="168">
        <v>7336</v>
      </c>
      <c r="FS17" s="168">
        <v>0.22500000000000001</v>
      </c>
      <c r="FT17" s="170">
        <v>6700</v>
      </c>
      <c r="FU17" s="170">
        <v>22.5</v>
      </c>
      <c r="FV17" s="180">
        <v>272.02</v>
      </c>
      <c r="FW17" s="180">
        <v>169.577</v>
      </c>
      <c r="FX17" s="180">
        <v>157.27500000000001</v>
      </c>
      <c r="FY17" s="173">
        <v>509.97236559999999</v>
      </c>
      <c r="FZ17" s="174">
        <v>58064</v>
      </c>
      <c r="GA17" s="168">
        <v>58001</v>
      </c>
      <c r="GB17" s="168">
        <v>1.599</v>
      </c>
      <c r="GC17" s="170">
        <v>54600</v>
      </c>
      <c r="GD17" s="170">
        <v>159.9</v>
      </c>
      <c r="GE17" s="180">
        <v>2216.7599999999998</v>
      </c>
      <c r="GF17" s="180">
        <v>1381.9259999999999</v>
      </c>
      <c r="GG17" s="180">
        <v>1117.701</v>
      </c>
      <c r="GH17" s="173">
        <v>3997.9242927999999</v>
      </c>
      <c r="GI17" s="174">
        <v>97134</v>
      </c>
      <c r="GJ17" s="168">
        <v>96920</v>
      </c>
      <c r="GK17" s="170">
        <v>3574</v>
      </c>
      <c r="GL17" s="173">
        <v>425.12729999999999</v>
      </c>
      <c r="GM17" s="173">
        <v>90.457939999999994</v>
      </c>
      <c r="GN17" s="173">
        <v>554.15860680000003</v>
      </c>
      <c r="GO17" s="174">
        <v>47737</v>
      </c>
      <c r="GP17" s="168">
        <v>47671</v>
      </c>
      <c r="GQ17" s="168">
        <v>3.9740000000000002</v>
      </c>
      <c r="GR17" s="170">
        <v>15560</v>
      </c>
      <c r="GS17" s="170">
        <v>158.96</v>
      </c>
      <c r="GT17" s="173">
        <v>631.73599999999999</v>
      </c>
      <c r="GU17" s="173">
        <v>393.8236</v>
      </c>
      <c r="GV17" s="173">
        <v>1111.1304</v>
      </c>
      <c r="GW17" s="173">
        <v>1254.6715200000001</v>
      </c>
      <c r="GX17" s="168">
        <v>80434</v>
      </c>
      <c r="GY17" s="172">
        <v>6316.7267851999995</v>
      </c>
      <c r="GZ17" s="172">
        <v>2386.1064000000001</v>
      </c>
      <c r="HA17" s="172">
        <v>8702.8331851999992</v>
      </c>
      <c r="HB17" s="187"/>
      <c r="HC17" s="188">
        <v>1253839</v>
      </c>
      <c r="HD17" s="172">
        <v>90791.204581199985</v>
      </c>
      <c r="HE17" s="172">
        <v>23056.235399999998</v>
      </c>
      <c r="HF17" s="172">
        <v>113847.43998119998</v>
      </c>
      <c r="HG17" s="170">
        <f>SUM(HE17-HE13)*40</f>
        <v>-59890.320000000065</v>
      </c>
      <c r="HH17" s="170">
        <f>SUM(HF17)*40</f>
        <v>4553897.5992479995</v>
      </c>
      <c r="HI17" s="173">
        <f>SUM(HG17*0.0406)</f>
        <v>-2431.5469920000023</v>
      </c>
      <c r="HJ17" s="173">
        <f>SUM(HG17*0.02531)</f>
        <v>-1515.8239992000017</v>
      </c>
      <c r="HK17" s="173">
        <f>SUM(HH17*6.99)</f>
        <v>31831744.218743518</v>
      </c>
      <c r="HL17" s="173">
        <f>SUM(HJ17+HI17+20)*1.2</f>
        <v>-4712.845189440005</v>
      </c>
      <c r="HM17" s="168">
        <f>SUM(GI17+GR17+GZ17+HG17)</f>
        <v>55189.786399999939</v>
      </c>
      <c r="HN17" s="172">
        <f>SUM(HL17+HC17+GW17+GN17)</f>
        <v>1250934.98493736</v>
      </c>
      <c r="HO17" s="172">
        <f>SUM(GM17+GV17+HK17)</f>
        <v>31832945.807083517</v>
      </c>
      <c r="HP17" s="172">
        <f>SUM(HN17:HO17)</f>
        <v>33083880.792020876</v>
      </c>
      <c r="HQ17" s="187"/>
      <c r="HR17" s="188">
        <f t="shared" ref="HR17:HT17" si="4">(FZ17+HM17)</f>
        <v>113253.78639999994</v>
      </c>
      <c r="HS17" s="172">
        <f t="shared" si="4"/>
        <v>1308935.98493736</v>
      </c>
      <c r="HT17" s="172">
        <f t="shared" si="4"/>
        <v>31832947.406083517</v>
      </c>
      <c r="HU17" s="172">
        <f t="shared" ref="HU17" si="5">(HS17+HT17)</f>
        <v>33141883.391020875</v>
      </c>
      <c r="HV17" s="166"/>
      <c r="HW17" s="166"/>
      <c r="HX17" s="166"/>
      <c r="HY17" s="166"/>
    </row>
    <row r="18" spans="2:233" x14ac:dyDescent="0.25">
      <c r="B18" s="164">
        <v>43922</v>
      </c>
      <c r="C18" s="165">
        <v>0</v>
      </c>
      <c r="D18" s="168">
        <v>89897</v>
      </c>
      <c r="E18" s="168">
        <v>1.536</v>
      </c>
      <c r="F18" s="192">
        <v>6240</v>
      </c>
      <c r="G18" s="168">
        <v>85610</v>
      </c>
      <c r="H18" s="168">
        <v>1.7829999999999999</v>
      </c>
      <c r="I18" s="192">
        <v>6560</v>
      </c>
      <c r="J18" s="168">
        <v>10145</v>
      </c>
      <c r="K18" s="168">
        <v>1.1499999999999999</v>
      </c>
      <c r="L18" s="192">
        <v>1600</v>
      </c>
      <c r="M18" s="168">
        <v>10013</v>
      </c>
      <c r="N18" s="168">
        <v>1.23</v>
      </c>
      <c r="O18" s="192">
        <v>1600</v>
      </c>
      <c r="P18" s="168">
        <v>10727</v>
      </c>
      <c r="Q18" s="168">
        <v>0.111</v>
      </c>
      <c r="R18" s="192">
        <v>1600</v>
      </c>
      <c r="S18" s="168">
        <v>70158</v>
      </c>
      <c r="T18" s="168">
        <v>1.4510000000000001</v>
      </c>
      <c r="U18" s="192">
        <v>12600</v>
      </c>
      <c r="V18" s="168">
        <v>66537</v>
      </c>
      <c r="W18" s="168">
        <v>1.645</v>
      </c>
      <c r="X18" s="192">
        <v>6900</v>
      </c>
      <c r="Y18" s="168">
        <v>16632</v>
      </c>
      <c r="Z18" s="168">
        <v>0.21199999999999999</v>
      </c>
      <c r="AA18" s="192">
        <v>960</v>
      </c>
      <c r="AB18" s="168">
        <v>11309</v>
      </c>
      <c r="AC18" s="168">
        <v>0.10199999999999999</v>
      </c>
      <c r="AD18" s="192">
        <v>320</v>
      </c>
      <c r="AE18" s="168">
        <v>85164</v>
      </c>
      <c r="AF18" s="168">
        <v>1.7</v>
      </c>
      <c r="AG18" s="192">
        <v>6400</v>
      </c>
      <c r="AH18" s="168">
        <v>16094</v>
      </c>
      <c r="AI18" s="168">
        <v>0.30099999999999999</v>
      </c>
      <c r="AJ18" s="192">
        <v>360</v>
      </c>
      <c r="AK18" s="241">
        <v>54990</v>
      </c>
      <c r="AL18" s="192">
        <v>72</v>
      </c>
      <c r="AM18" s="192"/>
      <c r="AN18" s="166"/>
      <c r="AO18" s="192">
        <v>45212</v>
      </c>
      <c r="AP18" s="168">
        <v>6760</v>
      </c>
      <c r="AQ18" s="168">
        <v>0.1495178271255419</v>
      </c>
      <c r="AR18" s="168">
        <v>1102069</v>
      </c>
      <c r="AS18" s="176"/>
      <c r="AT18" s="181">
        <v>43922</v>
      </c>
      <c r="AU18" s="168">
        <v>58086</v>
      </c>
      <c r="AV18" s="192">
        <v>2200</v>
      </c>
      <c r="AW18" s="168">
        <v>7355</v>
      </c>
      <c r="AX18" s="192">
        <v>500</v>
      </c>
      <c r="AY18" s="189">
        <v>97225</v>
      </c>
      <c r="AZ18" s="190">
        <v>91</v>
      </c>
      <c r="BA18" s="168">
        <v>47783</v>
      </c>
      <c r="BB18" s="192">
        <v>1840</v>
      </c>
      <c r="BC18" s="166"/>
      <c r="BD18" s="178"/>
      <c r="BE18" s="169">
        <v>4631</v>
      </c>
      <c r="BF18" s="168">
        <v>78446</v>
      </c>
      <c r="BG18" s="168">
        <v>1180515</v>
      </c>
      <c r="BH18" s="177"/>
      <c r="BI18" s="176"/>
      <c r="BJ18" s="166"/>
      <c r="BK18" s="170">
        <v>54990</v>
      </c>
      <c r="BL18" s="166"/>
      <c r="BM18" s="166"/>
      <c r="BN18" s="171"/>
      <c r="BO18" s="174">
        <v>85610</v>
      </c>
      <c r="BP18" s="166"/>
      <c r="BQ18" s="166"/>
      <c r="BR18" s="166"/>
      <c r="BS18" s="166"/>
      <c r="BT18" s="166"/>
      <c r="BU18" s="166"/>
      <c r="BV18" s="166"/>
      <c r="BW18" s="171"/>
      <c r="BX18" s="174">
        <v>89897</v>
      </c>
      <c r="BY18" s="166"/>
      <c r="BZ18" s="166"/>
      <c r="CA18" s="166"/>
      <c r="CB18" s="166"/>
      <c r="CC18" s="166"/>
      <c r="CD18" s="166"/>
      <c r="CE18" s="166"/>
      <c r="CF18" s="171"/>
      <c r="CG18" s="174">
        <v>70158</v>
      </c>
      <c r="CH18" s="166"/>
      <c r="CI18" s="166"/>
      <c r="CJ18" s="166"/>
      <c r="CK18" s="166"/>
      <c r="CL18" s="166"/>
      <c r="CM18" s="166"/>
      <c r="CN18" s="166"/>
      <c r="CO18" s="171"/>
      <c r="CP18" s="174">
        <v>16094</v>
      </c>
      <c r="CQ18" s="166"/>
      <c r="CR18" s="166"/>
      <c r="CS18" s="166"/>
      <c r="CT18" s="166"/>
      <c r="CU18" s="166"/>
      <c r="CV18" s="166"/>
      <c r="CW18" s="166"/>
      <c r="CX18" s="171"/>
      <c r="CY18" s="174">
        <v>66537</v>
      </c>
      <c r="CZ18" s="166"/>
      <c r="DA18" s="166"/>
      <c r="DB18" s="166"/>
      <c r="DC18" s="183"/>
      <c r="DD18" s="166"/>
      <c r="DE18" s="166"/>
      <c r="DF18" s="166"/>
      <c r="DG18" s="171"/>
      <c r="DH18" s="174">
        <v>10013</v>
      </c>
      <c r="DI18" s="166"/>
      <c r="DJ18" s="166"/>
      <c r="DK18" s="166"/>
      <c r="DL18" s="183"/>
      <c r="DM18" s="166"/>
      <c r="DN18" s="166"/>
      <c r="DO18" s="166"/>
      <c r="DP18" s="171"/>
      <c r="DQ18" s="174">
        <v>70158</v>
      </c>
      <c r="DR18" s="166"/>
      <c r="DS18" s="166"/>
      <c r="DT18" s="166"/>
      <c r="DU18" s="166"/>
      <c r="DV18" s="166"/>
      <c r="DW18" s="166"/>
      <c r="DX18" s="166"/>
      <c r="DY18" s="171"/>
      <c r="DZ18" s="174">
        <v>10727</v>
      </c>
      <c r="EA18" s="166"/>
      <c r="EB18" s="166"/>
      <c r="EC18" s="166"/>
      <c r="ED18" s="166"/>
      <c r="EE18" s="166"/>
      <c r="EF18" s="166"/>
      <c r="EG18" s="166"/>
      <c r="EH18" s="171"/>
      <c r="EI18" s="174">
        <v>16632</v>
      </c>
      <c r="EJ18" s="166"/>
      <c r="EK18" s="166"/>
      <c r="EL18" s="166"/>
      <c r="EM18" s="166"/>
      <c r="EN18" s="166"/>
      <c r="EO18" s="166"/>
      <c r="EP18" s="166"/>
      <c r="EQ18" s="171"/>
      <c r="ER18" s="174">
        <v>11309</v>
      </c>
      <c r="ES18" s="166"/>
      <c r="ET18" s="166"/>
      <c r="EU18" s="166"/>
      <c r="EV18" s="166"/>
      <c r="EW18" s="166"/>
      <c r="EX18" s="166"/>
      <c r="EY18" s="166"/>
      <c r="EZ18" s="171"/>
      <c r="FA18" s="170">
        <v>85164</v>
      </c>
      <c r="FB18" s="185"/>
      <c r="FC18" s="185"/>
      <c r="FD18" s="175"/>
      <c r="FE18" s="175"/>
      <c r="FF18" s="175"/>
      <c r="FG18" s="166"/>
      <c r="FH18" s="175"/>
      <c r="FI18" s="175"/>
      <c r="FJ18" s="179"/>
      <c r="FK18" s="182"/>
      <c r="FL18" s="166"/>
      <c r="FM18" s="166"/>
      <c r="FN18" s="166"/>
      <c r="FO18" s="176"/>
      <c r="FP18" s="166"/>
      <c r="FQ18" s="174">
        <v>7355</v>
      </c>
      <c r="FR18" s="166"/>
      <c r="FS18" s="166"/>
      <c r="FT18" s="166"/>
      <c r="FU18" s="166"/>
      <c r="FV18" s="166"/>
      <c r="FW18" s="166"/>
      <c r="FX18" s="166"/>
      <c r="FY18" s="171"/>
      <c r="FZ18" s="174">
        <v>58086</v>
      </c>
      <c r="GA18" s="166"/>
      <c r="GB18" s="166"/>
      <c r="GC18" s="166"/>
      <c r="GD18" s="166"/>
      <c r="GE18" s="166"/>
      <c r="GF18" s="166"/>
      <c r="GG18" s="166"/>
      <c r="GH18" s="171"/>
      <c r="GI18" s="174">
        <v>97225</v>
      </c>
      <c r="GJ18" s="166"/>
      <c r="GK18" s="166"/>
      <c r="GL18" s="166"/>
      <c r="GM18" s="166"/>
      <c r="GN18" s="171"/>
      <c r="GO18" s="174">
        <v>47783</v>
      </c>
      <c r="GP18" s="166"/>
      <c r="GQ18" s="166"/>
      <c r="GR18" s="166"/>
      <c r="GS18" s="166"/>
      <c r="GT18" s="166"/>
      <c r="GU18" s="166"/>
      <c r="GV18" s="166"/>
      <c r="GW18" s="171"/>
      <c r="GX18" s="166"/>
      <c r="GY18" s="166"/>
      <c r="GZ18" s="166"/>
      <c r="HA18" s="166"/>
      <c r="HB18" s="187"/>
      <c r="HC18" s="166"/>
      <c r="HD18" s="166"/>
      <c r="HE18" s="166"/>
      <c r="HF18" s="166"/>
      <c r="HG18" s="166"/>
      <c r="HH18" s="166"/>
      <c r="HI18" s="166"/>
      <c r="HJ18" s="166"/>
      <c r="HK18" s="166"/>
      <c r="HL18" s="171"/>
      <c r="HM18" s="166"/>
      <c r="HN18" s="166"/>
      <c r="HO18" s="166"/>
      <c r="HP18" s="166"/>
      <c r="HQ18" s="187"/>
      <c r="HR18" s="166"/>
      <c r="HS18" s="166"/>
      <c r="HT18" s="166"/>
      <c r="HU18" s="166"/>
      <c r="HV18" s="166"/>
      <c r="HW18" s="166"/>
      <c r="HX18" s="166"/>
      <c r="HY18" s="166"/>
    </row>
    <row r="19" spans="2:233" x14ac:dyDescent="0.25">
      <c r="B19" s="164">
        <v>43926</v>
      </c>
      <c r="C19" s="165">
        <v>0</v>
      </c>
      <c r="D19" s="168">
        <v>89959</v>
      </c>
      <c r="E19" s="168">
        <v>1.536</v>
      </c>
      <c r="F19" s="192">
        <v>9920</v>
      </c>
      <c r="G19" s="168">
        <v>85708</v>
      </c>
      <c r="H19" s="168">
        <v>1.7829999999999999</v>
      </c>
      <c r="I19" s="192">
        <v>15680</v>
      </c>
      <c r="J19" s="168">
        <v>10154</v>
      </c>
      <c r="K19" s="168">
        <v>1.6</v>
      </c>
      <c r="L19" s="192">
        <v>3600</v>
      </c>
      <c r="M19" s="168">
        <v>10023</v>
      </c>
      <c r="N19" s="168">
        <v>1.3</v>
      </c>
      <c r="O19" s="192">
        <v>4000</v>
      </c>
      <c r="P19" s="168">
        <v>10735</v>
      </c>
      <c r="Q19" s="168">
        <v>1.46</v>
      </c>
      <c r="R19" s="192">
        <v>3200</v>
      </c>
      <c r="S19" s="168">
        <v>70231</v>
      </c>
      <c r="T19" s="168">
        <v>1.4510000000000001</v>
      </c>
      <c r="U19" s="192">
        <v>21900</v>
      </c>
      <c r="V19" s="168">
        <v>66597</v>
      </c>
      <c r="W19" s="168">
        <v>1.645</v>
      </c>
      <c r="X19" s="192">
        <v>18000</v>
      </c>
      <c r="Y19" s="168">
        <v>16647</v>
      </c>
      <c r="Z19" s="168">
        <v>0.21199999999999999</v>
      </c>
      <c r="AA19" s="192">
        <v>2400</v>
      </c>
      <c r="AB19" s="168">
        <v>11313</v>
      </c>
      <c r="AC19" s="168">
        <v>0.10199999999999999</v>
      </c>
      <c r="AD19" s="192">
        <v>640</v>
      </c>
      <c r="AE19" s="168">
        <v>85244</v>
      </c>
      <c r="AF19" s="168">
        <v>1.7</v>
      </c>
      <c r="AG19" s="192">
        <v>16000</v>
      </c>
      <c r="AH19" s="168">
        <v>16115</v>
      </c>
      <c r="AI19" s="168">
        <v>0.30099999999999999</v>
      </c>
      <c r="AJ19" s="192">
        <v>840</v>
      </c>
      <c r="AK19" s="241">
        <v>55165</v>
      </c>
      <c r="AL19" s="192">
        <v>175</v>
      </c>
      <c r="AM19" s="192"/>
      <c r="AN19" s="166"/>
      <c r="AO19" s="192">
        <v>96355</v>
      </c>
      <c r="AP19" s="168">
        <v>16840</v>
      </c>
      <c r="AQ19" s="168">
        <v>0.17477038036427794</v>
      </c>
      <c r="AR19" s="168"/>
      <c r="AS19" s="176"/>
      <c r="AT19" s="181">
        <v>43926</v>
      </c>
      <c r="AU19" s="168">
        <v>58135</v>
      </c>
      <c r="AV19" s="192">
        <v>4900</v>
      </c>
      <c r="AW19" s="168">
        <v>7367</v>
      </c>
      <c r="AX19" s="192">
        <v>1200</v>
      </c>
      <c r="AY19" s="189">
        <v>97442</v>
      </c>
      <c r="AZ19" s="190">
        <v>217</v>
      </c>
      <c r="BA19" s="168">
        <v>47858</v>
      </c>
      <c r="BB19" s="192">
        <v>3000</v>
      </c>
      <c r="BC19" s="166"/>
      <c r="BD19" s="178"/>
      <c r="BE19" s="169">
        <v>9317</v>
      </c>
      <c r="BF19" s="168"/>
      <c r="BG19" s="168"/>
      <c r="BH19" s="177"/>
      <c r="BI19" s="176"/>
      <c r="BJ19" s="166"/>
      <c r="BK19" s="170">
        <v>55165</v>
      </c>
      <c r="BL19" s="166"/>
      <c r="BM19" s="166"/>
      <c r="BN19" s="171"/>
      <c r="BO19" s="174">
        <v>85708</v>
      </c>
      <c r="BP19" s="166"/>
      <c r="BQ19" s="166"/>
      <c r="BR19" s="166"/>
      <c r="BS19" s="166"/>
      <c r="BT19" s="166"/>
      <c r="BU19" s="166"/>
      <c r="BV19" s="166"/>
      <c r="BW19" s="171"/>
      <c r="BX19" s="174">
        <v>89959</v>
      </c>
      <c r="BY19" s="166"/>
      <c r="BZ19" s="166"/>
      <c r="CA19" s="166"/>
      <c r="CB19" s="166"/>
      <c r="CC19" s="166"/>
      <c r="CD19" s="166"/>
      <c r="CE19" s="166"/>
      <c r="CF19" s="171"/>
      <c r="CG19" s="174">
        <v>70231</v>
      </c>
      <c r="CH19" s="166"/>
      <c r="CI19" s="166"/>
      <c r="CJ19" s="166"/>
      <c r="CK19" s="166"/>
      <c r="CL19" s="166"/>
      <c r="CM19" s="166"/>
      <c r="CN19" s="166"/>
      <c r="CO19" s="171"/>
      <c r="CP19" s="174">
        <v>16115</v>
      </c>
      <c r="CQ19" s="166"/>
      <c r="CR19" s="166"/>
      <c r="CS19" s="166"/>
      <c r="CT19" s="166"/>
      <c r="CU19" s="166"/>
      <c r="CV19" s="166"/>
      <c r="CW19" s="166"/>
      <c r="CX19" s="171"/>
      <c r="CY19" s="174">
        <v>66597</v>
      </c>
      <c r="CZ19" s="166"/>
      <c r="DA19" s="166"/>
      <c r="DB19" s="166"/>
      <c r="DC19" s="183"/>
      <c r="DD19" s="166"/>
      <c r="DE19" s="166"/>
      <c r="DF19" s="166"/>
      <c r="DG19" s="171"/>
      <c r="DH19" s="174">
        <v>10023</v>
      </c>
      <c r="DI19" s="166"/>
      <c r="DJ19" s="166"/>
      <c r="DK19" s="166"/>
      <c r="DL19" s="183"/>
      <c r="DM19" s="166"/>
      <c r="DN19" s="166"/>
      <c r="DO19" s="166"/>
      <c r="DP19" s="171"/>
      <c r="DQ19" s="174">
        <v>70231</v>
      </c>
      <c r="DR19" s="166"/>
      <c r="DS19" s="166"/>
      <c r="DT19" s="166"/>
      <c r="DU19" s="166"/>
      <c r="DV19" s="166"/>
      <c r="DW19" s="166"/>
      <c r="DX19" s="166"/>
      <c r="DY19" s="171"/>
      <c r="DZ19" s="174">
        <v>10735</v>
      </c>
      <c r="EA19" s="166"/>
      <c r="EB19" s="166"/>
      <c r="EC19" s="166"/>
      <c r="ED19" s="166"/>
      <c r="EE19" s="166"/>
      <c r="EF19" s="166"/>
      <c r="EG19" s="166"/>
      <c r="EH19" s="171"/>
      <c r="EI19" s="174">
        <v>16647</v>
      </c>
      <c r="EJ19" s="166"/>
      <c r="EK19" s="166"/>
      <c r="EL19" s="166"/>
      <c r="EM19" s="166"/>
      <c r="EN19" s="166"/>
      <c r="EO19" s="166"/>
      <c r="EP19" s="166"/>
      <c r="EQ19" s="171"/>
      <c r="ER19" s="174">
        <v>11313</v>
      </c>
      <c r="ES19" s="166"/>
      <c r="ET19" s="166"/>
      <c r="EU19" s="166"/>
      <c r="EV19" s="166"/>
      <c r="EW19" s="166"/>
      <c r="EX19" s="166"/>
      <c r="EY19" s="166"/>
      <c r="EZ19" s="171"/>
      <c r="FA19" s="170">
        <v>85244</v>
      </c>
      <c r="FB19" s="185"/>
      <c r="FC19" s="185"/>
      <c r="FD19" s="175"/>
      <c r="FE19" s="175"/>
      <c r="FF19" s="175"/>
      <c r="FG19" s="166"/>
      <c r="FH19" s="175"/>
      <c r="FI19" s="175"/>
      <c r="FJ19" s="179"/>
      <c r="FK19" s="182"/>
      <c r="FL19" s="166"/>
      <c r="FM19" s="166"/>
      <c r="FN19" s="166"/>
      <c r="FO19" s="176"/>
      <c r="FP19" s="166"/>
      <c r="FQ19" s="174">
        <v>7367</v>
      </c>
      <c r="FR19" s="166"/>
      <c r="FS19" s="166"/>
      <c r="FT19" s="166"/>
      <c r="FU19" s="166"/>
      <c r="FV19" s="166"/>
      <c r="FW19" s="166"/>
      <c r="FX19" s="166"/>
      <c r="FY19" s="171"/>
      <c r="FZ19" s="174">
        <v>58135</v>
      </c>
      <c r="GA19" s="166"/>
      <c r="GB19" s="166"/>
      <c r="GC19" s="166"/>
      <c r="GD19" s="166"/>
      <c r="GE19" s="166"/>
      <c r="GF19" s="166"/>
      <c r="GG19" s="166"/>
      <c r="GH19" s="171"/>
      <c r="GI19" s="174">
        <v>97442</v>
      </c>
      <c r="GJ19" s="166"/>
      <c r="GK19" s="166"/>
      <c r="GL19" s="166"/>
      <c r="GM19" s="166"/>
      <c r="GN19" s="171"/>
      <c r="GO19" s="174">
        <v>47858</v>
      </c>
      <c r="GP19" s="166"/>
      <c r="GQ19" s="166"/>
      <c r="GR19" s="166"/>
      <c r="GS19" s="166"/>
      <c r="GT19" s="166"/>
      <c r="GU19" s="166"/>
      <c r="GV19" s="166"/>
      <c r="GW19" s="171"/>
      <c r="GX19" s="166"/>
      <c r="GY19" s="166"/>
      <c r="GZ19" s="166"/>
      <c r="HA19" s="166"/>
      <c r="HB19" s="187"/>
      <c r="HC19" s="166"/>
      <c r="HD19" s="166"/>
      <c r="HE19" s="166"/>
      <c r="HF19" s="166"/>
      <c r="HG19" s="166"/>
      <c r="HH19" s="166"/>
      <c r="HI19" s="166"/>
      <c r="HJ19" s="166"/>
      <c r="HK19" s="166"/>
      <c r="HL19" s="171"/>
      <c r="HM19" s="166"/>
      <c r="HN19" s="166"/>
      <c r="HO19" s="166"/>
      <c r="HP19" s="166"/>
      <c r="HQ19" s="187"/>
      <c r="HR19" s="166"/>
      <c r="HS19" s="166"/>
      <c r="HT19" s="166"/>
      <c r="HU19" s="166"/>
      <c r="HV19" s="166"/>
      <c r="HW19" s="166"/>
      <c r="HX19" s="166"/>
      <c r="HY19" s="166"/>
    </row>
    <row r="20" spans="2:233" x14ac:dyDescent="0.25">
      <c r="B20" s="164">
        <v>43933</v>
      </c>
      <c r="C20" s="165">
        <v>0</v>
      </c>
      <c r="D20" s="168">
        <v>90115</v>
      </c>
      <c r="E20" s="168">
        <v>1.536</v>
      </c>
      <c r="F20" s="192">
        <v>24960</v>
      </c>
      <c r="G20" s="168">
        <v>85848</v>
      </c>
      <c r="H20" s="168">
        <v>1.7829999999999999</v>
      </c>
      <c r="I20" s="192">
        <v>22400</v>
      </c>
      <c r="J20" s="168">
        <v>10166</v>
      </c>
      <c r="K20" s="168">
        <v>1.6</v>
      </c>
      <c r="L20" s="192">
        <v>4800</v>
      </c>
      <c r="M20" s="168">
        <v>10036</v>
      </c>
      <c r="N20" s="168">
        <v>1.3</v>
      </c>
      <c r="O20" s="192">
        <v>5200</v>
      </c>
      <c r="P20" s="168">
        <v>10746</v>
      </c>
      <c r="Q20" s="168">
        <v>1.46</v>
      </c>
      <c r="R20" s="192">
        <v>4400</v>
      </c>
      <c r="S20" s="168">
        <v>70361</v>
      </c>
      <c r="T20" s="168">
        <v>1.4510000000000001</v>
      </c>
      <c r="U20" s="192">
        <v>39000</v>
      </c>
      <c r="V20" s="168">
        <v>66654</v>
      </c>
      <c r="W20" s="168">
        <v>1.645</v>
      </c>
      <c r="X20" s="192">
        <v>17100</v>
      </c>
      <c r="Y20" s="168">
        <v>16666</v>
      </c>
      <c r="Z20" s="168">
        <v>0.21199999999999999</v>
      </c>
      <c r="AA20" s="192">
        <v>3040</v>
      </c>
      <c r="AB20" s="168">
        <v>11317</v>
      </c>
      <c r="AC20" s="168">
        <v>0.10199999999999999</v>
      </c>
      <c r="AD20" s="192">
        <v>640</v>
      </c>
      <c r="AE20" s="168">
        <v>85357</v>
      </c>
      <c r="AF20" s="168">
        <v>1.7</v>
      </c>
      <c r="AG20" s="192">
        <v>22600</v>
      </c>
      <c r="AH20" s="168">
        <v>16143</v>
      </c>
      <c r="AI20" s="168">
        <v>0.30099999999999999</v>
      </c>
      <c r="AJ20" s="192">
        <v>1120</v>
      </c>
      <c r="AK20" s="241">
        <v>55395</v>
      </c>
      <c r="AL20" s="192">
        <v>230</v>
      </c>
      <c r="AM20" s="192"/>
      <c r="AN20" s="166"/>
      <c r="AO20" s="192">
        <v>145490</v>
      </c>
      <c r="AP20" s="168">
        <v>23720</v>
      </c>
      <c r="AQ20" s="168">
        <v>0.16303526015533715</v>
      </c>
      <c r="AR20" s="168"/>
      <c r="AS20" s="176"/>
      <c r="AT20" s="181">
        <v>43933</v>
      </c>
      <c r="AU20" s="168">
        <v>58202</v>
      </c>
      <c r="AV20" s="192">
        <v>6700</v>
      </c>
      <c r="AW20" s="168">
        <v>7384</v>
      </c>
      <c r="AX20" s="192">
        <v>1700</v>
      </c>
      <c r="AY20" s="189">
        <v>97662</v>
      </c>
      <c r="AZ20" s="190">
        <v>220</v>
      </c>
      <c r="BA20" s="168">
        <v>47984</v>
      </c>
      <c r="BB20" s="192">
        <v>5040</v>
      </c>
      <c r="BC20" s="166"/>
      <c r="BD20" s="178"/>
      <c r="BE20" s="169">
        <v>13660</v>
      </c>
      <c r="BF20" s="168"/>
      <c r="BG20" s="168"/>
      <c r="BH20" s="177"/>
      <c r="BI20" s="176"/>
      <c r="BJ20" s="166"/>
      <c r="BK20" s="170">
        <v>55395</v>
      </c>
      <c r="BL20" s="166"/>
      <c r="BM20" s="166"/>
      <c r="BN20" s="171"/>
      <c r="BO20" s="174">
        <v>85848</v>
      </c>
      <c r="BP20" s="166"/>
      <c r="BQ20" s="166"/>
      <c r="BR20" s="166"/>
      <c r="BS20" s="166"/>
      <c r="BT20" s="166"/>
      <c r="BU20" s="166"/>
      <c r="BV20" s="166"/>
      <c r="BW20" s="171"/>
      <c r="BX20" s="174">
        <v>90115</v>
      </c>
      <c r="BY20" s="166"/>
      <c r="BZ20" s="166"/>
      <c r="CA20" s="166"/>
      <c r="CB20" s="166"/>
      <c r="CC20" s="166"/>
      <c r="CD20" s="166"/>
      <c r="CE20" s="166"/>
      <c r="CF20" s="171"/>
      <c r="CG20" s="174">
        <v>70361</v>
      </c>
      <c r="CH20" s="166"/>
      <c r="CI20" s="166"/>
      <c r="CJ20" s="166"/>
      <c r="CK20" s="166"/>
      <c r="CL20" s="166"/>
      <c r="CM20" s="166"/>
      <c r="CN20" s="166"/>
      <c r="CO20" s="171"/>
      <c r="CP20" s="174">
        <v>16143</v>
      </c>
      <c r="CQ20" s="166"/>
      <c r="CR20" s="166"/>
      <c r="CS20" s="166"/>
      <c r="CT20" s="166"/>
      <c r="CU20" s="166"/>
      <c r="CV20" s="166"/>
      <c r="CW20" s="166"/>
      <c r="CX20" s="171"/>
      <c r="CY20" s="174">
        <v>66654</v>
      </c>
      <c r="CZ20" s="166"/>
      <c r="DA20" s="166"/>
      <c r="DB20" s="166"/>
      <c r="DC20" s="183"/>
      <c r="DD20" s="166"/>
      <c r="DE20" s="166"/>
      <c r="DF20" s="166"/>
      <c r="DG20" s="171"/>
      <c r="DH20" s="174">
        <v>10036</v>
      </c>
      <c r="DI20" s="166"/>
      <c r="DJ20" s="166"/>
      <c r="DK20" s="166"/>
      <c r="DL20" s="183"/>
      <c r="DM20" s="166"/>
      <c r="DN20" s="166"/>
      <c r="DO20" s="166"/>
      <c r="DP20" s="171"/>
      <c r="DQ20" s="174">
        <v>70361</v>
      </c>
      <c r="DR20" s="166"/>
      <c r="DS20" s="166"/>
      <c r="DT20" s="166"/>
      <c r="DU20" s="166"/>
      <c r="DV20" s="166"/>
      <c r="DW20" s="166"/>
      <c r="DX20" s="166"/>
      <c r="DY20" s="171"/>
      <c r="DZ20" s="174">
        <v>10746</v>
      </c>
      <c r="EA20" s="166"/>
      <c r="EB20" s="166"/>
      <c r="EC20" s="166"/>
      <c r="ED20" s="166"/>
      <c r="EE20" s="166"/>
      <c r="EF20" s="166"/>
      <c r="EG20" s="166"/>
      <c r="EH20" s="171"/>
      <c r="EI20" s="174">
        <v>16666</v>
      </c>
      <c r="EJ20" s="166"/>
      <c r="EK20" s="166"/>
      <c r="EL20" s="166"/>
      <c r="EM20" s="166"/>
      <c r="EN20" s="166"/>
      <c r="EO20" s="166"/>
      <c r="EP20" s="166"/>
      <c r="EQ20" s="171"/>
      <c r="ER20" s="174">
        <v>11317</v>
      </c>
      <c r="ES20" s="166"/>
      <c r="ET20" s="166"/>
      <c r="EU20" s="166"/>
      <c r="EV20" s="166"/>
      <c r="EW20" s="166"/>
      <c r="EX20" s="166"/>
      <c r="EY20" s="166"/>
      <c r="EZ20" s="171"/>
      <c r="FA20" s="170">
        <v>85357</v>
      </c>
      <c r="FB20" s="185"/>
      <c r="FC20" s="185"/>
      <c r="FD20" s="175"/>
      <c r="FE20" s="175"/>
      <c r="FF20" s="175"/>
      <c r="FG20" s="166"/>
      <c r="FH20" s="175"/>
      <c r="FI20" s="175"/>
      <c r="FJ20" s="179"/>
      <c r="FK20" s="182"/>
      <c r="FL20" s="166"/>
      <c r="FM20" s="166"/>
      <c r="FN20" s="166"/>
      <c r="FO20" s="176"/>
      <c r="FP20" s="166"/>
      <c r="FQ20" s="174">
        <v>7384</v>
      </c>
      <c r="FR20" s="166"/>
      <c r="FS20" s="166"/>
      <c r="FT20" s="166"/>
      <c r="FU20" s="166"/>
      <c r="FV20" s="166"/>
      <c r="FW20" s="166"/>
      <c r="FX20" s="166"/>
      <c r="FY20" s="171"/>
      <c r="FZ20" s="174">
        <v>58202</v>
      </c>
      <c r="GA20" s="166"/>
      <c r="GB20" s="166"/>
      <c r="GC20" s="166"/>
      <c r="GD20" s="166"/>
      <c r="GE20" s="166"/>
      <c r="GF20" s="166"/>
      <c r="GG20" s="166"/>
      <c r="GH20" s="171"/>
      <c r="GI20" s="174">
        <v>97662</v>
      </c>
      <c r="GJ20" s="166"/>
      <c r="GK20" s="166"/>
      <c r="GL20" s="166"/>
      <c r="GM20" s="166"/>
      <c r="GN20" s="171"/>
      <c r="GO20" s="174">
        <v>47984</v>
      </c>
      <c r="GP20" s="166"/>
      <c r="GQ20" s="166"/>
      <c r="GR20" s="166"/>
      <c r="GS20" s="166"/>
      <c r="GT20" s="166"/>
      <c r="GU20" s="166"/>
      <c r="GV20" s="166"/>
      <c r="GW20" s="171"/>
      <c r="GX20" s="166"/>
      <c r="GY20" s="166"/>
      <c r="GZ20" s="166"/>
      <c r="HA20" s="166"/>
      <c r="HB20" s="187"/>
      <c r="HC20" s="166"/>
      <c r="HD20" s="166"/>
      <c r="HE20" s="166"/>
      <c r="HF20" s="166"/>
      <c r="HG20" s="166"/>
      <c r="HH20" s="166"/>
      <c r="HI20" s="166"/>
      <c r="HJ20" s="166"/>
      <c r="HK20" s="166"/>
      <c r="HL20" s="171"/>
      <c r="HM20" s="166"/>
      <c r="HN20" s="166"/>
      <c r="HO20" s="166"/>
      <c r="HP20" s="166"/>
      <c r="HQ20" s="187"/>
      <c r="HR20" s="166"/>
      <c r="HS20" s="166"/>
      <c r="HT20" s="166"/>
      <c r="HU20" s="166"/>
      <c r="HV20" s="166"/>
      <c r="HW20" s="166"/>
      <c r="HX20" s="166"/>
      <c r="HY20" s="166"/>
    </row>
    <row r="21" spans="2:233" x14ac:dyDescent="0.25">
      <c r="B21" s="164">
        <v>43940</v>
      </c>
      <c r="C21" s="165">
        <v>0</v>
      </c>
      <c r="D21" s="168">
        <v>90238</v>
      </c>
      <c r="E21" s="168">
        <v>1.536</v>
      </c>
      <c r="F21" s="192">
        <v>19680</v>
      </c>
      <c r="G21" s="168">
        <v>85989</v>
      </c>
      <c r="H21" s="168">
        <v>1.7829999999999999</v>
      </c>
      <c r="I21" s="192">
        <v>22560</v>
      </c>
      <c r="J21" s="168">
        <v>10179</v>
      </c>
      <c r="K21" s="168">
        <v>1.6</v>
      </c>
      <c r="L21" s="192">
        <v>5200</v>
      </c>
      <c r="M21" s="168">
        <v>10049</v>
      </c>
      <c r="N21" s="168">
        <v>1.3</v>
      </c>
      <c r="O21" s="192">
        <v>5200</v>
      </c>
      <c r="P21" s="168">
        <v>10758</v>
      </c>
      <c r="Q21" s="168">
        <v>1.46</v>
      </c>
      <c r="R21" s="192">
        <v>4800</v>
      </c>
      <c r="S21" s="168">
        <v>70489</v>
      </c>
      <c r="T21" s="168">
        <v>1.4510000000000001</v>
      </c>
      <c r="U21" s="192">
        <v>38400</v>
      </c>
      <c r="V21" s="168">
        <v>66749</v>
      </c>
      <c r="W21" s="168">
        <v>1.645</v>
      </c>
      <c r="X21" s="192">
        <v>28500</v>
      </c>
      <c r="Y21" s="168">
        <v>16684</v>
      </c>
      <c r="Z21" s="168">
        <v>0.21199999999999999</v>
      </c>
      <c r="AA21" s="192">
        <v>2880</v>
      </c>
      <c r="AB21" s="168">
        <v>11321</v>
      </c>
      <c r="AC21" s="168">
        <v>0.10199999999999999</v>
      </c>
      <c r="AD21" s="192">
        <v>640</v>
      </c>
      <c r="AE21" s="168">
        <v>85473</v>
      </c>
      <c r="AF21" s="168">
        <v>1.7</v>
      </c>
      <c r="AG21" s="192">
        <v>23200</v>
      </c>
      <c r="AH21" s="168">
        <v>16173</v>
      </c>
      <c r="AI21" s="168">
        <v>0.30099999999999999</v>
      </c>
      <c r="AJ21" s="192">
        <v>1200</v>
      </c>
      <c r="AK21" s="241">
        <v>55636</v>
      </c>
      <c r="AL21" s="192">
        <v>241</v>
      </c>
      <c r="AM21" s="192"/>
      <c r="AN21" s="166"/>
      <c r="AO21" s="192">
        <v>152501</v>
      </c>
      <c r="AP21" s="168">
        <v>24400</v>
      </c>
      <c r="AQ21" s="168">
        <v>0.15999895082655197</v>
      </c>
      <c r="AR21" s="168"/>
      <c r="AS21" s="176"/>
      <c r="AT21" s="181">
        <v>43940</v>
      </c>
      <c r="AU21" s="168">
        <v>58291</v>
      </c>
      <c r="AV21" s="192">
        <v>8900</v>
      </c>
      <c r="AW21" s="168">
        <v>7403</v>
      </c>
      <c r="AX21" s="192">
        <v>1900</v>
      </c>
      <c r="AY21" s="189">
        <v>97922</v>
      </c>
      <c r="AZ21" s="190">
        <v>260</v>
      </c>
      <c r="BA21" s="168">
        <v>48014</v>
      </c>
      <c r="BB21" s="192">
        <v>1200</v>
      </c>
      <c r="BC21" s="166"/>
      <c r="BD21" s="178"/>
      <c r="BE21" s="169">
        <v>12260</v>
      </c>
      <c r="BF21" s="168"/>
      <c r="BG21" s="168"/>
      <c r="BH21" s="177"/>
      <c r="BI21" s="176"/>
      <c r="BJ21" s="166"/>
      <c r="BK21" s="170">
        <v>55636</v>
      </c>
      <c r="BL21" s="166"/>
      <c r="BM21" s="166"/>
      <c r="BN21" s="171"/>
      <c r="BO21" s="174">
        <v>85989</v>
      </c>
      <c r="BP21" s="166"/>
      <c r="BQ21" s="166"/>
      <c r="BR21" s="166"/>
      <c r="BS21" s="166"/>
      <c r="BT21" s="166"/>
      <c r="BU21" s="166"/>
      <c r="BV21" s="166"/>
      <c r="BW21" s="171"/>
      <c r="BX21" s="174">
        <v>90238</v>
      </c>
      <c r="BY21" s="166"/>
      <c r="BZ21" s="166"/>
      <c r="CA21" s="166"/>
      <c r="CB21" s="166"/>
      <c r="CC21" s="166"/>
      <c r="CD21" s="166"/>
      <c r="CE21" s="166"/>
      <c r="CF21" s="171"/>
      <c r="CG21" s="174">
        <v>70489</v>
      </c>
      <c r="CH21" s="166"/>
      <c r="CI21" s="166"/>
      <c r="CJ21" s="166"/>
      <c r="CK21" s="166"/>
      <c r="CL21" s="166"/>
      <c r="CM21" s="166"/>
      <c r="CN21" s="166"/>
      <c r="CO21" s="171"/>
      <c r="CP21" s="174">
        <v>16173</v>
      </c>
      <c r="CQ21" s="166"/>
      <c r="CR21" s="166"/>
      <c r="CS21" s="166"/>
      <c r="CT21" s="166"/>
      <c r="CU21" s="166"/>
      <c r="CV21" s="166"/>
      <c r="CW21" s="166"/>
      <c r="CX21" s="171"/>
      <c r="CY21" s="174">
        <v>66749</v>
      </c>
      <c r="CZ21" s="166"/>
      <c r="DA21" s="166"/>
      <c r="DB21" s="166"/>
      <c r="DC21" s="183"/>
      <c r="DD21" s="166"/>
      <c r="DE21" s="166"/>
      <c r="DF21" s="166"/>
      <c r="DG21" s="171"/>
      <c r="DH21" s="174">
        <v>10049</v>
      </c>
      <c r="DI21" s="166"/>
      <c r="DJ21" s="166"/>
      <c r="DK21" s="166"/>
      <c r="DL21" s="183"/>
      <c r="DM21" s="166"/>
      <c r="DN21" s="166"/>
      <c r="DO21" s="166"/>
      <c r="DP21" s="171"/>
      <c r="DQ21" s="174">
        <v>70489</v>
      </c>
      <c r="DR21" s="166"/>
      <c r="DS21" s="166"/>
      <c r="DT21" s="166"/>
      <c r="DU21" s="166"/>
      <c r="DV21" s="166"/>
      <c r="DW21" s="166"/>
      <c r="DX21" s="166"/>
      <c r="DY21" s="171"/>
      <c r="DZ21" s="174">
        <v>10758</v>
      </c>
      <c r="EA21" s="166"/>
      <c r="EB21" s="166"/>
      <c r="EC21" s="166"/>
      <c r="ED21" s="166"/>
      <c r="EE21" s="166"/>
      <c r="EF21" s="166"/>
      <c r="EG21" s="166"/>
      <c r="EH21" s="171"/>
      <c r="EI21" s="174">
        <v>16684</v>
      </c>
      <c r="EJ21" s="166"/>
      <c r="EK21" s="166"/>
      <c r="EL21" s="166"/>
      <c r="EM21" s="166"/>
      <c r="EN21" s="166"/>
      <c r="EO21" s="166"/>
      <c r="EP21" s="166"/>
      <c r="EQ21" s="171"/>
      <c r="ER21" s="174">
        <v>11321</v>
      </c>
      <c r="ES21" s="166"/>
      <c r="ET21" s="166"/>
      <c r="EU21" s="166"/>
      <c r="EV21" s="166"/>
      <c r="EW21" s="166"/>
      <c r="EX21" s="166"/>
      <c r="EY21" s="166"/>
      <c r="EZ21" s="171"/>
      <c r="FA21" s="170">
        <v>85473</v>
      </c>
      <c r="FB21" s="185"/>
      <c r="FC21" s="185"/>
      <c r="FD21" s="175"/>
      <c r="FE21" s="175"/>
      <c r="FF21" s="175"/>
      <c r="FG21" s="166"/>
      <c r="FH21" s="175"/>
      <c r="FI21" s="175"/>
      <c r="FJ21" s="179"/>
      <c r="FK21" s="182"/>
      <c r="FL21" s="166"/>
      <c r="FM21" s="166"/>
      <c r="FN21" s="166"/>
      <c r="FO21" s="176"/>
      <c r="FP21" s="166"/>
      <c r="FQ21" s="174">
        <v>7403</v>
      </c>
      <c r="FR21" s="166"/>
      <c r="FS21" s="166"/>
      <c r="FT21" s="166"/>
      <c r="FU21" s="166"/>
      <c r="FV21" s="166"/>
      <c r="FW21" s="166"/>
      <c r="FX21" s="166"/>
      <c r="FY21" s="171"/>
      <c r="FZ21" s="174">
        <v>58291</v>
      </c>
      <c r="GA21" s="166"/>
      <c r="GB21" s="166"/>
      <c r="GC21" s="166"/>
      <c r="GD21" s="166"/>
      <c r="GE21" s="166"/>
      <c r="GF21" s="166"/>
      <c r="GG21" s="166"/>
      <c r="GH21" s="171"/>
      <c r="GI21" s="174">
        <v>97922</v>
      </c>
      <c r="GJ21" s="166"/>
      <c r="GK21" s="166"/>
      <c r="GL21" s="166"/>
      <c r="GM21" s="166"/>
      <c r="GN21" s="171"/>
      <c r="GO21" s="174">
        <v>48014</v>
      </c>
      <c r="GP21" s="166"/>
      <c r="GQ21" s="166"/>
      <c r="GR21" s="166"/>
      <c r="GS21" s="166"/>
      <c r="GT21" s="166"/>
      <c r="GU21" s="166"/>
      <c r="GV21" s="166"/>
      <c r="GW21" s="171"/>
      <c r="GX21" s="166"/>
      <c r="GY21" s="166"/>
      <c r="GZ21" s="166"/>
      <c r="HA21" s="166"/>
      <c r="HB21" s="187"/>
      <c r="HC21" s="166"/>
      <c r="HD21" s="166"/>
      <c r="HE21" s="166"/>
      <c r="HF21" s="166"/>
      <c r="HG21" s="166"/>
      <c r="HH21" s="166"/>
      <c r="HI21" s="166"/>
      <c r="HJ21" s="166"/>
      <c r="HK21" s="166"/>
      <c r="HL21" s="171"/>
      <c r="HM21" s="166"/>
      <c r="HN21" s="166"/>
      <c r="HO21" s="166"/>
      <c r="HP21" s="166"/>
      <c r="HQ21" s="187"/>
      <c r="HR21" s="166"/>
      <c r="HS21" s="166"/>
      <c r="HT21" s="166"/>
      <c r="HU21" s="166"/>
      <c r="HV21" s="166"/>
      <c r="HW21" s="166"/>
      <c r="HX21" s="166"/>
      <c r="HY21" s="166"/>
    </row>
    <row r="22" spans="2:233" x14ac:dyDescent="0.25">
      <c r="B22" s="164">
        <v>43947</v>
      </c>
      <c r="C22" s="165">
        <v>0</v>
      </c>
      <c r="D22" s="168">
        <v>90362</v>
      </c>
      <c r="E22" s="168">
        <v>0.91500000000000004</v>
      </c>
      <c r="F22" s="192">
        <v>19840</v>
      </c>
      <c r="G22" s="168">
        <v>86133</v>
      </c>
      <c r="H22" s="168">
        <v>1.18</v>
      </c>
      <c r="I22" s="192">
        <v>23040</v>
      </c>
      <c r="J22" s="168">
        <v>10193</v>
      </c>
      <c r="K22" s="168">
        <v>0.09</v>
      </c>
      <c r="L22" s="192">
        <v>5600</v>
      </c>
      <c r="M22" s="168">
        <v>10062</v>
      </c>
      <c r="N22" s="168">
        <v>0.87</v>
      </c>
      <c r="O22" s="192">
        <v>5200</v>
      </c>
      <c r="P22" s="168">
        <v>10770</v>
      </c>
      <c r="Q22" s="168">
        <v>0.81</v>
      </c>
      <c r="R22" s="192">
        <v>4800</v>
      </c>
      <c r="S22" s="168">
        <v>70544</v>
      </c>
      <c r="T22" s="168">
        <v>1.2889999999999999</v>
      </c>
      <c r="U22" s="192">
        <v>16500</v>
      </c>
      <c r="V22" s="168">
        <v>66923</v>
      </c>
      <c r="W22" s="168">
        <v>1.659</v>
      </c>
      <c r="X22" s="192">
        <v>52200</v>
      </c>
      <c r="Y22" s="168">
        <v>16702</v>
      </c>
      <c r="Z22" s="168">
        <v>0.11899999999999999</v>
      </c>
      <c r="AA22" s="192">
        <v>2880</v>
      </c>
      <c r="AB22" s="168">
        <v>11325</v>
      </c>
      <c r="AC22" s="168">
        <v>6.0999999999999999E-2</v>
      </c>
      <c r="AD22" s="192">
        <v>640</v>
      </c>
      <c r="AE22" s="168">
        <v>85590</v>
      </c>
      <c r="AF22" s="168">
        <v>0.88900000000000001</v>
      </c>
      <c r="AG22" s="192">
        <v>23400</v>
      </c>
      <c r="AH22" s="168">
        <v>16201</v>
      </c>
      <c r="AI22" s="168">
        <v>0.24399999999999999</v>
      </c>
      <c r="AJ22" s="192">
        <v>1120</v>
      </c>
      <c r="AK22" s="241">
        <v>55876</v>
      </c>
      <c r="AL22" s="192">
        <v>240</v>
      </c>
      <c r="AM22" s="192"/>
      <c r="AN22" s="166"/>
      <c r="AO22" s="192">
        <v>155460</v>
      </c>
      <c r="AP22" s="168">
        <v>24520</v>
      </c>
      <c r="AQ22" s="168">
        <v>0.15772545992538273</v>
      </c>
      <c r="AR22" s="168"/>
      <c r="AS22" s="176"/>
      <c r="AT22" s="181">
        <v>43947</v>
      </c>
      <c r="AU22" s="168">
        <v>58358</v>
      </c>
      <c r="AV22" s="192">
        <v>6700</v>
      </c>
      <c r="AW22" s="168">
        <v>7417</v>
      </c>
      <c r="AX22" s="192">
        <v>1400</v>
      </c>
      <c r="AY22" s="189">
        <v>98110</v>
      </c>
      <c r="AZ22" s="190">
        <v>188</v>
      </c>
      <c r="BA22" s="168">
        <v>48049</v>
      </c>
      <c r="BB22" s="192">
        <v>1400</v>
      </c>
      <c r="BC22" s="166"/>
      <c r="BD22" s="178"/>
      <c r="BE22" s="169">
        <v>9688</v>
      </c>
      <c r="BF22" s="168"/>
      <c r="BG22" s="168"/>
      <c r="BH22" s="177"/>
      <c r="BI22" s="176"/>
      <c r="BJ22" s="166"/>
      <c r="BK22" s="170">
        <v>55876</v>
      </c>
      <c r="BL22" s="166"/>
      <c r="BM22" s="166"/>
      <c r="BN22" s="171"/>
      <c r="BO22" s="174">
        <v>86133</v>
      </c>
      <c r="BP22" s="166"/>
      <c r="BQ22" s="166"/>
      <c r="BR22" s="166"/>
      <c r="BS22" s="166"/>
      <c r="BT22" s="166"/>
      <c r="BU22" s="166"/>
      <c r="BV22" s="166"/>
      <c r="BW22" s="171"/>
      <c r="BX22" s="174">
        <v>90362</v>
      </c>
      <c r="BY22" s="166"/>
      <c r="BZ22" s="166"/>
      <c r="CA22" s="166"/>
      <c r="CB22" s="166"/>
      <c r="CC22" s="166"/>
      <c r="CD22" s="166"/>
      <c r="CE22" s="166"/>
      <c r="CF22" s="171"/>
      <c r="CG22" s="174">
        <v>70544</v>
      </c>
      <c r="CH22" s="166"/>
      <c r="CI22" s="166"/>
      <c r="CJ22" s="166"/>
      <c r="CK22" s="166"/>
      <c r="CL22" s="166"/>
      <c r="CM22" s="166"/>
      <c r="CN22" s="166"/>
      <c r="CO22" s="171"/>
      <c r="CP22" s="174">
        <v>16201</v>
      </c>
      <c r="CQ22" s="166"/>
      <c r="CR22" s="166"/>
      <c r="CS22" s="166"/>
      <c r="CT22" s="166"/>
      <c r="CU22" s="166"/>
      <c r="CV22" s="166"/>
      <c r="CW22" s="166"/>
      <c r="CX22" s="171"/>
      <c r="CY22" s="174">
        <v>66923</v>
      </c>
      <c r="CZ22" s="166"/>
      <c r="DA22" s="166"/>
      <c r="DB22" s="166"/>
      <c r="DC22" s="183"/>
      <c r="DD22" s="166"/>
      <c r="DE22" s="166"/>
      <c r="DF22" s="166"/>
      <c r="DG22" s="171"/>
      <c r="DH22" s="174">
        <v>10062</v>
      </c>
      <c r="DI22" s="166"/>
      <c r="DJ22" s="166"/>
      <c r="DK22" s="166"/>
      <c r="DL22" s="183"/>
      <c r="DM22" s="166"/>
      <c r="DN22" s="166"/>
      <c r="DO22" s="166"/>
      <c r="DP22" s="171"/>
      <c r="DQ22" s="174">
        <v>70544</v>
      </c>
      <c r="DR22" s="166"/>
      <c r="DS22" s="166"/>
      <c r="DT22" s="166"/>
      <c r="DU22" s="166"/>
      <c r="DV22" s="166"/>
      <c r="DW22" s="166"/>
      <c r="DX22" s="166"/>
      <c r="DY22" s="171"/>
      <c r="DZ22" s="174">
        <v>10770</v>
      </c>
      <c r="EA22" s="166"/>
      <c r="EB22" s="166"/>
      <c r="EC22" s="166"/>
      <c r="ED22" s="166"/>
      <c r="EE22" s="166"/>
      <c r="EF22" s="166"/>
      <c r="EG22" s="166"/>
      <c r="EH22" s="171"/>
      <c r="EI22" s="174">
        <v>16702</v>
      </c>
      <c r="EJ22" s="166"/>
      <c r="EK22" s="166"/>
      <c r="EL22" s="166"/>
      <c r="EM22" s="166"/>
      <c r="EN22" s="166"/>
      <c r="EO22" s="166"/>
      <c r="EP22" s="166"/>
      <c r="EQ22" s="171"/>
      <c r="ER22" s="174">
        <v>11325</v>
      </c>
      <c r="ES22" s="166"/>
      <c r="ET22" s="166"/>
      <c r="EU22" s="166"/>
      <c r="EV22" s="166"/>
      <c r="EW22" s="166"/>
      <c r="EX22" s="166"/>
      <c r="EY22" s="166"/>
      <c r="EZ22" s="171"/>
      <c r="FA22" s="170">
        <v>85590</v>
      </c>
      <c r="FB22" s="185"/>
      <c r="FC22" s="185"/>
      <c r="FD22" s="175"/>
      <c r="FE22" s="175"/>
      <c r="FF22" s="175"/>
      <c r="FG22" s="166"/>
      <c r="FH22" s="175"/>
      <c r="FI22" s="175"/>
      <c r="FJ22" s="179"/>
      <c r="FK22" s="182"/>
      <c r="FL22" s="166"/>
      <c r="FM22" s="166"/>
      <c r="FN22" s="166"/>
      <c r="FO22" s="176"/>
      <c r="FP22" s="166"/>
      <c r="FQ22" s="174">
        <v>7417</v>
      </c>
      <c r="FR22" s="166"/>
      <c r="FS22" s="166"/>
      <c r="FT22" s="166"/>
      <c r="FU22" s="166"/>
      <c r="FV22" s="166"/>
      <c r="FW22" s="166"/>
      <c r="FX22" s="166"/>
      <c r="FY22" s="171"/>
      <c r="FZ22" s="174">
        <v>58358</v>
      </c>
      <c r="GA22" s="166"/>
      <c r="GB22" s="166"/>
      <c r="GC22" s="166"/>
      <c r="GD22" s="166"/>
      <c r="GE22" s="166"/>
      <c r="GF22" s="166"/>
      <c r="GG22" s="166"/>
      <c r="GH22" s="171"/>
      <c r="GI22" s="174">
        <v>98110</v>
      </c>
      <c r="GJ22" s="166"/>
      <c r="GK22" s="166"/>
      <c r="GL22" s="166"/>
      <c r="GM22" s="166"/>
      <c r="GN22" s="171"/>
      <c r="GO22" s="174">
        <v>48049</v>
      </c>
      <c r="GP22" s="166"/>
      <c r="GQ22" s="166"/>
      <c r="GR22" s="166"/>
      <c r="GS22" s="166"/>
      <c r="GT22" s="166"/>
      <c r="GU22" s="166"/>
      <c r="GV22" s="166"/>
      <c r="GW22" s="171"/>
      <c r="GX22" s="166"/>
      <c r="GY22" s="166"/>
      <c r="GZ22" s="166"/>
      <c r="HA22" s="166"/>
      <c r="HB22" s="187"/>
      <c r="HC22" s="166"/>
      <c r="HD22" s="166"/>
      <c r="HE22" s="166"/>
      <c r="HF22" s="166"/>
      <c r="HG22" s="166"/>
      <c r="HH22" s="166"/>
      <c r="HI22" s="166"/>
      <c r="HJ22" s="166"/>
      <c r="HK22" s="166"/>
      <c r="HL22" s="171"/>
      <c r="HM22" s="166"/>
      <c r="HN22" s="166"/>
      <c r="HO22" s="166"/>
      <c r="HP22" s="166"/>
      <c r="HQ22" s="187"/>
      <c r="HR22" s="166"/>
      <c r="HS22" s="166"/>
      <c r="HT22" s="166"/>
      <c r="HU22" s="166"/>
      <c r="HV22" s="166"/>
      <c r="HW22" s="166"/>
      <c r="HX22" s="166"/>
      <c r="HY22" s="166"/>
    </row>
    <row r="23" spans="2:233" x14ac:dyDescent="0.25">
      <c r="B23" s="164">
        <v>43952</v>
      </c>
      <c r="C23" s="165">
        <v>0</v>
      </c>
      <c r="D23" s="168">
        <v>90433</v>
      </c>
      <c r="E23" s="168">
        <v>0.91500000000000004</v>
      </c>
      <c r="F23" s="192">
        <v>11360</v>
      </c>
      <c r="G23" s="168">
        <v>86220</v>
      </c>
      <c r="H23" s="168">
        <v>1.2709999999999999</v>
      </c>
      <c r="I23" s="192">
        <v>13920</v>
      </c>
      <c r="J23" s="168">
        <v>10199</v>
      </c>
      <c r="K23" s="168">
        <v>1.07</v>
      </c>
      <c r="L23" s="192">
        <v>2400</v>
      </c>
      <c r="M23" s="168">
        <v>10070</v>
      </c>
      <c r="N23" s="168">
        <v>1.17</v>
      </c>
      <c r="O23" s="192">
        <v>3200</v>
      </c>
      <c r="P23" s="168">
        <v>10776</v>
      </c>
      <c r="Q23" s="168">
        <v>0.98</v>
      </c>
      <c r="R23" s="192">
        <v>2400</v>
      </c>
      <c r="S23" s="168">
        <v>70578</v>
      </c>
      <c r="T23" s="168">
        <v>1.2889999999999999</v>
      </c>
      <c r="U23" s="192">
        <v>10200</v>
      </c>
      <c r="V23" s="168">
        <v>66983</v>
      </c>
      <c r="W23" s="168">
        <v>1.659</v>
      </c>
      <c r="X23" s="192">
        <v>18000</v>
      </c>
      <c r="Y23" s="168">
        <v>16712</v>
      </c>
      <c r="Z23" s="168">
        <v>1.24</v>
      </c>
      <c r="AA23" s="192">
        <v>1600</v>
      </c>
      <c r="AB23" s="168">
        <v>11327</v>
      </c>
      <c r="AC23" s="168">
        <v>6.0999999999999999E-2</v>
      </c>
      <c r="AD23" s="192">
        <v>320</v>
      </c>
      <c r="AE23" s="168">
        <v>85654</v>
      </c>
      <c r="AF23" s="168">
        <v>0.88900000000000001</v>
      </c>
      <c r="AG23" s="192">
        <v>12800</v>
      </c>
      <c r="AH23" s="168">
        <v>16219</v>
      </c>
      <c r="AI23" s="168">
        <v>0.28000000000000003</v>
      </c>
      <c r="AJ23" s="192">
        <v>720</v>
      </c>
      <c r="AK23" s="241">
        <v>56024</v>
      </c>
      <c r="AL23" s="192">
        <v>148</v>
      </c>
      <c r="AM23" s="192"/>
      <c r="AN23" s="166"/>
      <c r="AO23" s="192">
        <v>77068</v>
      </c>
      <c r="AP23" s="168">
        <v>13520</v>
      </c>
      <c r="AQ23" s="168">
        <v>0.17542949083925882</v>
      </c>
      <c r="AR23" s="168">
        <v>626874</v>
      </c>
      <c r="AS23" s="176"/>
      <c r="AT23" s="181">
        <v>43952</v>
      </c>
      <c r="AU23" s="168">
        <v>58420</v>
      </c>
      <c r="AV23" s="192">
        <v>6200</v>
      </c>
      <c r="AW23" s="168">
        <v>7430</v>
      </c>
      <c r="AX23" s="192">
        <v>1300</v>
      </c>
      <c r="AY23" s="189">
        <v>98267</v>
      </c>
      <c r="AZ23" s="190">
        <v>157</v>
      </c>
      <c r="BA23" s="168">
        <v>48106</v>
      </c>
      <c r="BB23" s="192">
        <v>2280</v>
      </c>
      <c r="BC23" s="166"/>
      <c r="BD23" s="178"/>
      <c r="BE23" s="169">
        <v>9937</v>
      </c>
      <c r="BF23" s="168">
        <v>54862</v>
      </c>
      <c r="BG23" s="168">
        <v>681736</v>
      </c>
      <c r="BH23" s="177"/>
      <c r="BI23" s="176"/>
      <c r="BJ23" s="166"/>
      <c r="BK23" s="170">
        <v>56024</v>
      </c>
      <c r="BL23" s="168">
        <v>55637</v>
      </c>
      <c r="BM23" s="170">
        <v>962</v>
      </c>
      <c r="BN23" s="173">
        <v>169.23867439999998</v>
      </c>
      <c r="BO23" s="174">
        <v>86220</v>
      </c>
      <c r="BP23" s="168">
        <v>86018</v>
      </c>
      <c r="BQ23" s="168">
        <v>2.4260000000000002</v>
      </c>
      <c r="BR23" s="170">
        <v>84800</v>
      </c>
      <c r="BS23" s="170">
        <v>388.16</v>
      </c>
      <c r="BT23" s="173">
        <v>4371.4399999999996</v>
      </c>
      <c r="BU23" s="173">
        <v>1776.56</v>
      </c>
      <c r="BV23" s="173">
        <v>2984.5622400000002</v>
      </c>
      <c r="BW23" s="173">
        <v>6824.2800000000007</v>
      </c>
      <c r="BX23" s="174">
        <v>90433</v>
      </c>
      <c r="BY23" s="168">
        <v>90264</v>
      </c>
      <c r="BZ23" s="168">
        <v>2.2330000000000001</v>
      </c>
      <c r="CA23" s="170">
        <v>77280</v>
      </c>
      <c r="CB23" s="170">
        <v>357.28000000000003</v>
      </c>
      <c r="CC23" s="173">
        <v>3983.7840000000001</v>
      </c>
      <c r="CD23" s="173">
        <v>1619.0160000000001</v>
      </c>
      <c r="CE23" s="173">
        <v>2747.1259200000004</v>
      </c>
      <c r="CF23" s="173">
        <v>6241.3080000000009</v>
      </c>
      <c r="CG23" s="174">
        <v>70578</v>
      </c>
      <c r="CH23" s="168">
        <v>70493</v>
      </c>
      <c r="CI23" s="168">
        <v>2.2519999999999998</v>
      </c>
      <c r="CJ23" s="170">
        <v>136800</v>
      </c>
      <c r="CK23" s="170">
        <v>675.59999999999991</v>
      </c>
      <c r="CL23" s="173">
        <v>7052.04</v>
      </c>
      <c r="CM23" s="173">
        <v>2865.96</v>
      </c>
      <c r="CN23" s="173">
        <v>5194.6883999999991</v>
      </c>
      <c r="CO23" s="173">
        <v>11031.18</v>
      </c>
      <c r="CP23" s="174">
        <v>16219</v>
      </c>
      <c r="CQ23" s="168">
        <v>16176</v>
      </c>
      <c r="CR23" s="168">
        <v>0.32800000000000001</v>
      </c>
      <c r="CS23" s="170">
        <v>4320</v>
      </c>
      <c r="CT23" s="170">
        <v>13.120000000000001</v>
      </c>
      <c r="CU23" s="173">
        <v>222.696</v>
      </c>
      <c r="CV23" s="173">
        <v>90.504000000000005</v>
      </c>
      <c r="CW23" s="173">
        <v>100.87968000000001</v>
      </c>
      <c r="CX23" s="173">
        <v>369.85200000000003</v>
      </c>
      <c r="CY23" s="174">
        <v>66983</v>
      </c>
      <c r="CZ23" s="168">
        <v>66771</v>
      </c>
      <c r="DA23" s="168">
        <v>2.0070000000000001</v>
      </c>
      <c r="DB23" s="170">
        <v>96600</v>
      </c>
      <c r="DC23" s="184">
        <v>602.1</v>
      </c>
      <c r="DD23" s="173">
        <v>4979.7299999999996</v>
      </c>
      <c r="DE23" s="173">
        <v>2023.77</v>
      </c>
      <c r="DF23" s="173">
        <v>4629.5469000000003</v>
      </c>
      <c r="DG23" s="173">
        <v>7866.3200000000006</v>
      </c>
      <c r="DH23" s="174">
        <v>10070</v>
      </c>
      <c r="DI23" s="168">
        <v>10052</v>
      </c>
      <c r="DJ23" s="168">
        <v>0.254</v>
      </c>
      <c r="DK23" s="170">
        <v>20400</v>
      </c>
      <c r="DL23" s="184">
        <v>101.6</v>
      </c>
      <c r="DM23" s="173">
        <v>1051.6199999999999</v>
      </c>
      <c r="DN23" s="173">
        <v>427.38</v>
      </c>
      <c r="DO23" s="173">
        <v>781.20240000000001</v>
      </c>
      <c r="DP23" s="173">
        <v>1678.88</v>
      </c>
      <c r="DQ23" s="174">
        <v>70578</v>
      </c>
      <c r="DR23" s="168">
        <v>10182</v>
      </c>
      <c r="DS23" s="168">
        <v>0.32400000000000001</v>
      </c>
      <c r="DT23" s="170">
        <v>19600</v>
      </c>
      <c r="DU23" s="170">
        <v>129.6</v>
      </c>
      <c r="DV23" s="173">
        <v>1010.38</v>
      </c>
      <c r="DW23" s="173">
        <v>410.62</v>
      </c>
      <c r="DX23" s="173">
        <v>996.49439999999993</v>
      </c>
      <c r="DY23" s="173">
        <v>1613.92</v>
      </c>
      <c r="DZ23" s="174">
        <v>10776</v>
      </c>
      <c r="EA23" s="168">
        <v>10761</v>
      </c>
      <c r="EB23" s="168">
        <v>0.29799999999999999</v>
      </c>
      <c r="EC23" s="170">
        <v>18000</v>
      </c>
      <c r="ED23" s="170">
        <v>119.19999999999999</v>
      </c>
      <c r="EE23" s="173">
        <v>927.9</v>
      </c>
      <c r="EF23" s="173">
        <v>377.1</v>
      </c>
      <c r="EG23" s="173">
        <v>916.52879999999993</v>
      </c>
      <c r="EH23" s="173">
        <v>1484.0000000000002</v>
      </c>
      <c r="EI23" s="174">
        <v>16712</v>
      </c>
      <c r="EJ23" s="168">
        <v>16686</v>
      </c>
      <c r="EK23" s="168">
        <v>0.63700000000000001</v>
      </c>
      <c r="EL23" s="170">
        <v>11520</v>
      </c>
      <c r="EM23" s="170">
        <v>101.92</v>
      </c>
      <c r="EN23" s="173">
        <v>593.85599999999999</v>
      </c>
      <c r="EO23" s="173">
        <v>241.34399999999999</v>
      </c>
      <c r="EP23" s="173">
        <v>783.66287999999997</v>
      </c>
      <c r="EQ23" s="173">
        <v>957.82400000000018</v>
      </c>
      <c r="ER23" s="174">
        <v>11327</v>
      </c>
      <c r="ES23" s="168">
        <v>11322</v>
      </c>
      <c r="ET23" s="168">
        <v>0.34699999999999998</v>
      </c>
      <c r="EU23" s="170">
        <v>2880</v>
      </c>
      <c r="EV23" s="170">
        <v>55.519999999999996</v>
      </c>
      <c r="EW23" s="173">
        <v>148.464</v>
      </c>
      <c r="EX23" s="173">
        <v>60.335999999999999</v>
      </c>
      <c r="EY23" s="173">
        <v>426.89327999999995</v>
      </c>
      <c r="EZ23" s="173">
        <v>256.25600000000003</v>
      </c>
      <c r="FA23" s="170">
        <v>85654</v>
      </c>
      <c r="FB23" s="186">
        <v>85483</v>
      </c>
      <c r="FC23" s="186">
        <v>2.0649999999999999</v>
      </c>
      <c r="FD23" s="170">
        <v>84400</v>
      </c>
      <c r="FE23" s="170">
        <v>413</v>
      </c>
      <c r="FF23" s="173">
        <v>4350.82</v>
      </c>
      <c r="FG23" s="173">
        <v>1768.18</v>
      </c>
      <c r="FH23" s="173">
        <v>3175.5570000000002</v>
      </c>
      <c r="FI23" s="173">
        <v>6875.68</v>
      </c>
      <c r="FJ23" s="179"/>
      <c r="FK23" s="188">
        <v>557562</v>
      </c>
      <c r="FL23" s="172">
        <v>45368.738674399996</v>
      </c>
      <c r="FM23" s="172">
        <v>22737.141899999999</v>
      </c>
      <c r="FN23" s="172">
        <v>68105.880574399998</v>
      </c>
      <c r="FO23" s="176"/>
      <c r="FP23" s="166"/>
      <c r="FQ23" s="174">
        <v>7430</v>
      </c>
      <c r="FR23" s="168">
        <v>7401</v>
      </c>
      <c r="FS23" s="168">
        <v>0.22500000000000001</v>
      </c>
      <c r="FT23" s="170">
        <v>6500</v>
      </c>
      <c r="FU23" s="170">
        <v>22.5</v>
      </c>
      <c r="FV23" s="180">
        <v>335.07499999999999</v>
      </c>
      <c r="FW23" s="180">
        <v>136.17500000000001</v>
      </c>
      <c r="FX23" s="180">
        <v>173.0025</v>
      </c>
      <c r="FY23" s="173">
        <v>542.73299999999995</v>
      </c>
      <c r="FZ23" s="174">
        <v>58420</v>
      </c>
      <c r="GA23" s="168">
        <v>58281</v>
      </c>
      <c r="GB23" s="168">
        <v>1.599</v>
      </c>
      <c r="GC23" s="170">
        <v>28000</v>
      </c>
      <c r="GD23" s="170">
        <v>159.9</v>
      </c>
      <c r="GE23" s="180">
        <v>1443.3999999999999</v>
      </c>
      <c r="GF23" s="180">
        <v>586.6</v>
      </c>
      <c r="GG23" s="180">
        <v>1229.4711</v>
      </c>
      <c r="GH23" s="173">
        <v>2264.84</v>
      </c>
      <c r="GI23" s="174">
        <v>98267</v>
      </c>
      <c r="GJ23" s="168">
        <v>97983</v>
      </c>
      <c r="GK23" s="170">
        <v>1063</v>
      </c>
      <c r="GL23" s="173">
        <v>146.40698999999998</v>
      </c>
      <c r="GM23" s="173">
        <v>22.269849999999998</v>
      </c>
      <c r="GN23" s="173">
        <v>182.96661879999996</v>
      </c>
      <c r="GO23" s="174">
        <v>48106</v>
      </c>
      <c r="GP23" s="168">
        <v>48036</v>
      </c>
      <c r="GQ23" s="168">
        <v>3.4540000000000002</v>
      </c>
      <c r="GR23" s="170">
        <v>14600</v>
      </c>
      <c r="GS23" s="170">
        <v>138.16</v>
      </c>
      <c r="GT23" s="173">
        <v>752.63</v>
      </c>
      <c r="GU23" s="173">
        <v>305.87</v>
      </c>
      <c r="GV23" s="173">
        <v>1062.31224</v>
      </c>
      <c r="GW23" s="173">
        <v>1294.2</v>
      </c>
      <c r="GX23" s="168">
        <v>50163</v>
      </c>
      <c r="GY23" s="172">
        <v>4284.7396188000002</v>
      </c>
      <c r="GZ23" s="172">
        <v>2464.78584</v>
      </c>
      <c r="HA23" s="172">
        <v>6749.5254588000007</v>
      </c>
      <c r="HB23" s="187"/>
      <c r="HC23" s="188">
        <v>607725</v>
      </c>
      <c r="HD23" s="172">
        <v>49653.478293199994</v>
      </c>
      <c r="HE23" s="172">
        <v>25201.927739999999</v>
      </c>
      <c r="HF23" s="172">
        <v>74855.406033199994</v>
      </c>
      <c r="HG23" s="170">
        <f>SUM(HE23-HE17)*40</f>
        <v>85827.693600000057</v>
      </c>
      <c r="HH23" s="170">
        <f>SUM(HF23)*40</f>
        <v>2994216.2413279996</v>
      </c>
      <c r="HI23" s="173">
        <f>SUM(HG23*0.05155)</f>
        <v>4424.4176050800024</v>
      </c>
      <c r="HJ23" s="173">
        <f>SUM(HG23*0.02095)</f>
        <v>1798.0901809200011</v>
      </c>
      <c r="HK23" s="173">
        <f>SUM(HH23*7.689)</f>
        <v>23022528.679570988</v>
      </c>
      <c r="HL23" s="173">
        <f>SUM(HJ23+HI23+20)*1.2</f>
        <v>7491.009343200004</v>
      </c>
      <c r="HM23" s="168">
        <f>SUM(GI23+GR23+GZ23+HG23)</f>
        <v>201159.47944000005</v>
      </c>
      <c r="HN23" s="172">
        <f>SUM(HL23+HC23+GW23+GN23)</f>
        <v>616693.17596199992</v>
      </c>
      <c r="HO23" s="172">
        <f>SUM(GM23+GV23+HK23)</f>
        <v>23023613.261660989</v>
      </c>
      <c r="HP23" s="172">
        <f>SUM(HN23:HO23)</f>
        <v>23640306.43762299</v>
      </c>
      <c r="HQ23" s="187"/>
      <c r="HR23" s="188">
        <f t="shared" ref="HR23:HT23" si="6">(FZ23+HM23)</f>
        <v>259579.47944000005</v>
      </c>
      <c r="HS23" s="172">
        <f t="shared" si="6"/>
        <v>674974.17596199992</v>
      </c>
      <c r="HT23" s="172">
        <f t="shared" si="6"/>
        <v>23023614.860660989</v>
      </c>
      <c r="HU23" s="172">
        <f t="shared" ref="HU23" si="7">(HS23+HT23)</f>
        <v>23698589.03662299</v>
      </c>
      <c r="HV23" s="166"/>
      <c r="HW23" s="166">
        <v>5.1549999999999999E-2</v>
      </c>
      <c r="HX23" s="166">
        <v>2.095E-2</v>
      </c>
      <c r="HY23" s="166">
        <v>7.6890000000000001</v>
      </c>
    </row>
    <row r="24" spans="2:233" x14ac:dyDescent="0.25">
      <c r="B24" s="164">
        <v>43955</v>
      </c>
      <c r="C24" s="165">
        <v>0</v>
      </c>
      <c r="D24" s="168">
        <v>90479</v>
      </c>
      <c r="E24" s="168">
        <v>0.91500000000000004</v>
      </c>
      <c r="F24" s="192">
        <v>7360</v>
      </c>
      <c r="G24" s="168">
        <v>86276</v>
      </c>
      <c r="H24" s="168">
        <v>1.2709999999999999</v>
      </c>
      <c r="I24" s="192">
        <v>8960</v>
      </c>
      <c r="J24" s="168">
        <v>10203</v>
      </c>
      <c r="K24" s="168">
        <v>1.07</v>
      </c>
      <c r="L24" s="192">
        <v>1600</v>
      </c>
      <c r="M24" s="168">
        <v>10074</v>
      </c>
      <c r="N24" s="168">
        <v>1.17</v>
      </c>
      <c r="O24" s="192">
        <v>1600</v>
      </c>
      <c r="P24" s="168">
        <v>10780</v>
      </c>
      <c r="Q24" s="168">
        <v>0.98</v>
      </c>
      <c r="R24" s="192">
        <v>1600</v>
      </c>
      <c r="S24" s="168">
        <v>70588</v>
      </c>
      <c r="T24" s="168">
        <v>1.2889999999999999</v>
      </c>
      <c r="U24" s="192">
        <v>3000</v>
      </c>
      <c r="V24" s="168">
        <v>67028</v>
      </c>
      <c r="W24" s="168">
        <v>1.659</v>
      </c>
      <c r="X24" s="192">
        <v>13500</v>
      </c>
      <c r="Y24" s="168">
        <v>16719</v>
      </c>
      <c r="Z24" s="168">
        <v>1.24</v>
      </c>
      <c r="AA24" s="192">
        <v>1120</v>
      </c>
      <c r="AB24" s="168">
        <v>11329</v>
      </c>
      <c r="AC24" s="168">
        <v>6.0999999999999999E-2</v>
      </c>
      <c r="AD24" s="192">
        <v>320</v>
      </c>
      <c r="AE24" s="168">
        <v>85692</v>
      </c>
      <c r="AF24" s="168">
        <v>0.88900000000000001</v>
      </c>
      <c r="AG24" s="192">
        <v>7600</v>
      </c>
      <c r="AH24" s="168">
        <v>16230</v>
      </c>
      <c r="AI24" s="168">
        <v>0.28000000000000003</v>
      </c>
      <c r="AJ24" s="192">
        <v>440</v>
      </c>
      <c r="AK24" s="241">
        <v>56107</v>
      </c>
      <c r="AL24" s="192">
        <v>83</v>
      </c>
      <c r="AM24" s="192"/>
      <c r="AN24" s="166"/>
      <c r="AO24" s="192">
        <v>47183</v>
      </c>
      <c r="AP24" s="168">
        <v>8040</v>
      </c>
      <c r="AQ24" s="168">
        <v>0.17040035606044551</v>
      </c>
      <c r="AR24" s="168"/>
      <c r="AS24" s="176"/>
      <c r="AT24" s="181">
        <v>43955</v>
      </c>
      <c r="AU24" s="168">
        <v>58430</v>
      </c>
      <c r="AV24" s="192">
        <v>1000</v>
      </c>
      <c r="AW24" s="168">
        <v>7432</v>
      </c>
      <c r="AX24" s="192">
        <v>200</v>
      </c>
      <c r="AY24" s="189">
        <v>98294</v>
      </c>
      <c r="AZ24" s="190">
        <v>27</v>
      </c>
      <c r="BA24" s="168">
        <v>48125</v>
      </c>
      <c r="BB24" s="192">
        <v>760</v>
      </c>
      <c r="BC24" s="166"/>
      <c r="BD24" s="178"/>
      <c r="BE24" s="169">
        <v>1987</v>
      </c>
      <c r="BF24" s="168"/>
      <c r="BG24" s="168"/>
      <c r="BH24" s="177"/>
      <c r="BI24" s="176"/>
      <c r="BJ24" s="166"/>
      <c r="BK24" s="170">
        <v>56107</v>
      </c>
      <c r="BL24" s="166"/>
      <c r="BM24" s="166"/>
      <c r="BN24" s="171"/>
      <c r="BO24" s="174">
        <v>86276</v>
      </c>
      <c r="BP24" s="166"/>
      <c r="BQ24" s="166"/>
      <c r="BR24" s="166"/>
      <c r="BS24" s="166"/>
      <c r="BT24" s="166"/>
      <c r="BU24" s="166"/>
      <c r="BV24" s="166"/>
      <c r="BW24" s="171"/>
      <c r="BX24" s="174">
        <v>90479</v>
      </c>
      <c r="BY24" s="166"/>
      <c r="BZ24" s="166"/>
      <c r="CA24" s="166"/>
      <c r="CB24" s="166"/>
      <c r="CC24" s="166"/>
      <c r="CD24" s="166"/>
      <c r="CE24" s="166"/>
      <c r="CF24" s="171"/>
      <c r="CG24" s="174">
        <v>70588</v>
      </c>
      <c r="CH24" s="166"/>
      <c r="CI24" s="166"/>
      <c r="CJ24" s="166"/>
      <c r="CK24" s="166"/>
      <c r="CL24" s="166"/>
      <c r="CM24" s="166"/>
      <c r="CN24" s="166"/>
      <c r="CO24" s="171"/>
      <c r="CP24" s="174">
        <v>16230</v>
      </c>
      <c r="CQ24" s="166"/>
      <c r="CR24" s="166"/>
      <c r="CS24" s="166"/>
      <c r="CT24" s="166"/>
      <c r="CU24" s="166"/>
      <c r="CV24" s="166"/>
      <c r="CW24" s="166"/>
      <c r="CX24" s="171"/>
      <c r="CY24" s="174">
        <v>67028</v>
      </c>
      <c r="CZ24" s="166"/>
      <c r="DA24" s="166"/>
      <c r="DB24" s="166"/>
      <c r="DC24" s="183"/>
      <c r="DD24" s="166"/>
      <c r="DE24" s="166"/>
      <c r="DF24" s="166"/>
      <c r="DG24" s="171"/>
      <c r="DH24" s="174">
        <v>10074</v>
      </c>
      <c r="DI24" s="166"/>
      <c r="DJ24" s="166"/>
      <c r="DK24" s="166"/>
      <c r="DL24" s="183"/>
      <c r="DM24" s="166"/>
      <c r="DN24" s="166"/>
      <c r="DO24" s="166"/>
      <c r="DP24" s="171"/>
      <c r="DQ24" s="174">
        <v>70588</v>
      </c>
      <c r="DR24" s="166"/>
      <c r="DS24" s="166"/>
      <c r="DT24" s="166"/>
      <c r="DU24" s="166"/>
      <c r="DV24" s="166"/>
      <c r="DW24" s="166"/>
      <c r="DX24" s="166"/>
      <c r="DY24" s="171"/>
      <c r="DZ24" s="174">
        <v>10780</v>
      </c>
      <c r="EA24" s="166"/>
      <c r="EB24" s="166"/>
      <c r="EC24" s="166"/>
      <c r="ED24" s="166"/>
      <c r="EE24" s="166"/>
      <c r="EF24" s="166"/>
      <c r="EG24" s="166"/>
      <c r="EH24" s="171"/>
      <c r="EI24" s="174">
        <v>16719</v>
      </c>
      <c r="EJ24" s="166"/>
      <c r="EK24" s="166"/>
      <c r="EL24" s="166"/>
      <c r="EM24" s="166"/>
      <c r="EN24" s="166"/>
      <c r="EO24" s="166"/>
      <c r="EP24" s="166"/>
      <c r="EQ24" s="171"/>
      <c r="ER24" s="174">
        <v>11329</v>
      </c>
      <c r="ES24" s="166"/>
      <c r="ET24" s="166"/>
      <c r="EU24" s="166"/>
      <c r="EV24" s="166"/>
      <c r="EW24" s="166"/>
      <c r="EX24" s="166"/>
      <c r="EY24" s="166"/>
      <c r="EZ24" s="171"/>
      <c r="FA24" s="170">
        <v>85692</v>
      </c>
      <c r="FB24" s="185"/>
      <c r="FC24" s="185"/>
      <c r="FD24" s="175"/>
      <c r="FE24" s="175"/>
      <c r="FF24" s="175"/>
      <c r="FG24" s="166"/>
      <c r="FH24" s="175"/>
      <c r="FI24" s="175"/>
      <c r="FJ24" s="179"/>
      <c r="FK24" s="182"/>
      <c r="FL24" s="166"/>
      <c r="FM24" s="166"/>
      <c r="FN24" s="166"/>
      <c r="FO24" s="176"/>
      <c r="FP24" s="166"/>
      <c r="FQ24" s="174">
        <v>7432</v>
      </c>
      <c r="FR24" s="166"/>
      <c r="FS24" s="166"/>
      <c r="FT24" s="166"/>
      <c r="FU24" s="166"/>
      <c r="FV24" s="166"/>
      <c r="FW24" s="166"/>
      <c r="FX24" s="166"/>
      <c r="FY24" s="171"/>
      <c r="FZ24" s="174">
        <v>58430</v>
      </c>
      <c r="GA24" s="166"/>
      <c r="GB24" s="166"/>
      <c r="GC24" s="166"/>
      <c r="GD24" s="166"/>
      <c r="GE24" s="166"/>
      <c r="GF24" s="166"/>
      <c r="GG24" s="166"/>
      <c r="GH24" s="171"/>
      <c r="GI24" s="174">
        <v>98294</v>
      </c>
      <c r="GJ24" s="166"/>
      <c r="GK24" s="166"/>
      <c r="GL24" s="166"/>
      <c r="GM24" s="166"/>
      <c r="GN24" s="171"/>
      <c r="GO24" s="174">
        <v>48125</v>
      </c>
      <c r="GP24" s="166"/>
      <c r="GQ24" s="166"/>
      <c r="GR24" s="166"/>
      <c r="GS24" s="166"/>
      <c r="GT24" s="166"/>
      <c r="GU24" s="166"/>
      <c r="GV24" s="166"/>
      <c r="GW24" s="171"/>
      <c r="GX24" s="166"/>
      <c r="GY24" s="166"/>
      <c r="GZ24" s="166"/>
      <c r="HA24" s="166"/>
      <c r="HB24" s="187"/>
      <c r="HC24" s="166"/>
      <c r="HD24" s="166"/>
      <c r="HE24" s="166"/>
      <c r="HF24" s="166"/>
      <c r="HG24" s="166"/>
      <c r="HH24" s="166"/>
      <c r="HI24" s="166"/>
      <c r="HJ24" s="166"/>
      <c r="HK24" s="166"/>
      <c r="HL24" s="171"/>
      <c r="HM24" s="166"/>
      <c r="HN24" s="166"/>
      <c r="HO24" s="166"/>
      <c r="HP24" s="166"/>
      <c r="HQ24" s="187"/>
      <c r="HR24" s="166"/>
      <c r="HS24" s="166"/>
      <c r="HT24" s="166"/>
      <c r="HU24" s="166"/>
      <c r="HV24" s="166"/>
      <c r="HW24" s="166" t="e">
        <f>SUM(HW23/#REF!)</f>
        <v>#REF!</v>
      </c>
      <c r="HX24" s="166" t="e">
        <f>SUM(HX23/#REF!)</f>
        <v>#REF!</v>
      </c>
      <c r="HY24" s="166" t="e">
        <f>SUM(HY23/#REF!)</f>
        <v>#REF!</v>
      </c>
    </row>
    <row r="25" spans="2:233" x14ac:dyDescent="0.25">
      <c r="B25" s="164">
        <v>43961</v>
      </c>
      <c r="C25" s="165">
        <v>0</v>
      </c>
      <c r="D25" s="168">
        <v>90602</v>
      </c>
      <c r="E25" s="168">
        <v>0.91500000000000004</v>
      </c>
      <c r="F25" s="192">
        <v>19680</v>
      </c>
      <c r="G25" s="168">
        <v>86429</v>
      </c>
      <c r="H25" s="168">
        <v>1.2709999999999999</v>
      </c>
      <c r="I25" s="192">
        <v>24480</v>
      </c>
      <c r="J25" s="168">
        <v>10212</v>
      </c>
      <c r="K25" s="168">
        <v>1.07</v>
      </c>
      <c r="L25" s="192">
        <v>3600</v>
      </c>
      <c r="M25" s="168">
        <v>10086</v>
      </c>
      <c r="N25" s="168">
        <v>1.17</v>
      </c>
      <c r="O25" s="192">
        <v>4800</v>
      </c>
      <c r="P25" s="168">
        <v>10789</v>
      </c>
      <c r="Q25" s="168">
        <v>0.98</v>
      </c>
      <c r="R25" s="192">
        <v>3600</v>
      </c>
      <c r="S25" s="168">
        <v>70619</v>
      </c>
      <c r="T25" s="168">
        <v>1.2889999999999999</v>
      </c>
      <c r="U25" s="192">
        <v>9300</v>
      </c>
      <c r="V25" s="168">
        <v>67177</v>
      </c>
      <c r="W25" s="168">
        <v>1.659</v>
      </c>
      <c r="X25" s="192">
        <v>44700</v>
      </c>
      <c r="Y25" s="168">
        <v>16737</v>
      </c>
      <c r="Z25" s="168">
        <v>1.3</v>
      </c>
      <c r="AA25" s="192">
        <v>2880</v>
      </c>
      <c r="AB25" s="168">
        <v>11333</v>
      </c>
      <c r="AC25" s="168">
        <v>0.76</v>
      </c>
      <c r="AD25" s="192">
        <v>640</v>
      </c>
      <c r="AE25" s="168">
        <v>85810</v>
      </c>
      <c r="AF25" s="168">
        <v>0.88900000000000001</v>
      </c>
      <c r="AG25" s="192">
        <v>23600</v>
      </c>
      <c r="AH25" s="168">
        <v>16259</v>
      </c>
      <c r="AI25" s="168">
        <v>0.28000000000000003</v>
      </c>
      <c r="AJ25" s="192">
        <v>1160</v>
      </c>
      <c r="AK25" s="241">
        <v>56343</v>
      </c>
      <c r="AL25" s="192">
        <v>236</v>
      </c>
      <c r="AM25" s="192"/>
      <c r="AN25" s="166"/>
      <c r="AO25" s="192">
        <v>138676</v>
      </c>
      <c r="AP25" s="168">
        <v>24760</v>
      </c>
      <c r="AQ25" s="168">
        <v>0.1785456748103493</v>
      </c>
      <c r="AR25" s="168"/>
      <c r="AS25" s="176"/>
      <c r="AT25" s="181">
        <v>43961</v>
      </c>
      <c r="AU25" s="168">
        <v>58525</v>
      </c>
      <c r="AV25" s="192">
        <v>9500</v>
      </c>
      <c r="AW25" s="168">
        <v>7450</v>
      </c>
      <c r="AX25" s="192">
        <v>1800</v>
      </c>
      <c r="AY25" s="189">
        <v>99018</v>
      </c>
      <c r="AZ25" s="190">
        <v>724</v>
      </c>
      <c r="BA25" s="168">
        <v>48215</v>
      </c>
      <c r="BB25" s="192">
        <v>3600</v>
      </c>
      <c r="BC25" s="166"/>
      <c r="BD25" s="178"/>
      <c r="BE25" s="169">
        <v>15624</v>
      </c>
      <c r="BF25" s="168"/>
      <c r="BG25" s="168"/>
      <c r="BH25" s="177"/>
      <c r="BI25" s="176"/>
      <c r="BJ25" s="166"/>
      <c r="BK25" s="170">
        <v>56343</v>
      </c>
      <c r="BL25" s="166"/>
      <c r="BM25" s="166"/>
      <c r="BN25" s="171"/>
      <c r="BO25" s="174">
        <v>86429</v>
      </c>
      <c r="BP25" s="166"/>
      <c r="BQ25" s="166"/>
      <c r="BR25" s="166"/>
      <c r="BS25" s="166"/>
      <c r="BT25" s="166"/>
      <c r="BU25" s="166"/>
      <c r="BV25" s="166"/>
      <c r="BW25" s="171"/>
      <c r="BX25" s="174">
        <v>90602</v>
      </c>
      <c r="BY25" s="166"/>
      <c r="BZ25" s="166"/>
      <c r="CA25" s="166"/>
      <c r="CB25" s="166"/>
      <c r="CC25" s="166"/>
      <c r="CD25" s="166"/>
      <c r="CE25" s="166"/>
      <c r="CF25" s="171"/>
      <c r="CG25" s="174">
        <v>70619</v>
      </c>
      <c r="CH25" s="166"/>
      <c r="CI25" s="166"/>
      <c r="CJ25" s="166"/>
      <c r="CK25" s="166"/>
      <c r="CL25" s="166"/>
      <c r="CM25" s="166"/>
      <c r="CN25" s="166"/>
      <c r="CO25" s="171"/>
      <c r="CP25" s="174">
        <v>16259</v>
      </c>
      <c r="CQ25" s="166"/>
      <c r="CR25" s="166"/>
      <c r="CS25" s="166"/>
      <c r="CT25" s="166"/>
      <c r="CU25" s="166"/>
      <c r="CV25" s="166"/>
      <c r="CW25" s="166"/>
      <c r="CX25" s="171"/>
      <c r="CY25" s="174">
        <v>67177</v>
      </c>
      <c r="CZ25" s="166"/>
      <c r="DA25" s="166"/>
      <c r="DB25" s="166"/>
      <c r="DC25" s="183"/>
      <c r="DD25" s="166"/>
      <c r="DE25" s="166"/>
      <c r="DF25" s="166"/>
      <c r="DG25" s="171"/>
      <c r="DH25" s="174">
        <v>10086</v>
      </c>
      <c r="DI25" s="166"/>
      <c r="DJ25" s="166"/>
      <c r="DK25" s="166"/>
      <c r="DL25" s="183"/>
      <c r="DM25" s="166"/>
      <c r="DN25" s="166"/>
      <c r="DO25" s="166"/>
      <c r="DP25" s="171"/>
      <c r="DQ25" s="174">
        <v>70619</v>
      </c>
      <c r="DR25" s="166"/>
      <c r="DS25" s="166"/>
      <c r="DT25" s="166"/>
      <c r="DU25" s="166"/>
      <c r="DV25" s="166"/>
      <c r="DW25" s="166"/>
      <c r="DX25" s="166"/>
      <c r="DY25" s="171"/>
      <c r="DZ25" s="174">
        <v>10789</v>
      </c>
      <c r="EA25" s="166"/>
      <c r="EB25" s="166"/>
      <c r="EC25" s="166"/>
      <c r="ED25" s="166"/>
      <c r="EE25" s="166"/>
      <c r="EF25" s="166"/>
      <c r="EG25" s="166"/>
      <c r="EH25" s="171"/>
      <c r="EI25" s="174">
        <v>16737</v>
      </c>
      <c r="EJ25" s="166"/>
      <c r="EK25" s="166"/>
      <c r="EL25" s="166"/>
      <c r="EM25" s="166"/>
      <c r="EN25" s="166"/>
      <c r="EO25" s="166"/>
      <c r="EP25" s="166"/>
      <c r="EQ25" s="171"/>
      <c r="ER25" s="174">
        <v>11333</v>
      </c>
      <c r="ES25" s="166"/>
      <c r="ET25" s="166"/>
      <c r="EU25" s="166"/>
      <c r="EV25" s="166"/>
      <c r="EW25" s="166"/>
      <c r="EX25" s="166"/>
      <c r="EY25" s="166"/>
      <c r="EZ25" s="171"/>
      <c r="FA25" s="170">
        <v>85810</v>
      </c>
      <c r="FB25" s="185"/>
      <c r="FC25" s="185"/>
      <c r="FD25" s="175"/>
      <c r="FE25" s="175"/>
      <c r="FF25" s="175"/>
      <c r="FG25" s="166"/>
      <c r="FH25" s="175"/>
      <c r="FI25" s="175"/>
      <c r="FJ25" s="179"/>
      <c r="FK25" s="182"/>
      <c r="FL25" s="166"/>
      <c r="FM25" s="166"/>
      <c r="FN25" s="166"/>
      <c r="FO25" s="176"/>
      <c r="FP25" s="166"/>
      <c r="FQ25" s="174">
        <v>7450</v>
      </c>
      <c r="FR25" s="166"/>
      <c r="FS25" s="166"/>
      <c r="FT25" s="166"/>
      <c r="FU25" s="166"/>
      <c r="FV25" s="166"/>
      <c r="FW25" s="166"/>
      <c r="FX25" s="166"/>
      <c r="FY25" s="171"/>
      <c r="FZ25" s="174">
        <v>58525</v>
      </c>
      <c r="GA25" s="166"/>
      <c r="GB25" s="166"/>
      <c r="GC25" s="166"/>
      <c r="GD25" s="166"/>
      <c r="GE25" s="166"/>
      <c r="GF25" s="166"/>
      <c r="GG25" s="166"/>
      <c r="GH25" s="171"/>
      <c r="GI25" s="174">
        <v>99018</v>
      </c>
      <c r="GJ25" s="166"/>
      <c r="GK25" s="166"/>
      <c r="GL25" s="166"/>
      <c r="GM25" s="166"/>
      <c r="GN25" s="171"/>
      <c r="GO25" s="174">
        <v>48215</v>
      </c>
      <c r="GP25" s="166"/>
      <c r="GQ25" s="166"/>
      <c r="GR25" s="166"/>
      <c r="GS25" s="166"/>
      <c r="GT25" s="166"/>
      <c r="GU25" s="166"/>
      <c r="GV25" s="166"/>
      <c r="GW25" s="171"/>
      <c r="GX25" s="166"/>
      <c r="GY25" s="166"/>
      <c r="GZ25" s="166"/>
      <c r="HA25" s="166"/>
      <c r="HB25" s="187"/>
      <c r="HC25" s="166"/>
      <c r="HD25" s="166"/>
      <c r="HE25" s="166"/>
      <c r="HF25" s="166"/>
      <c r="HG25" s="166"/>
      <c r="HH25" s="166"/>
      <c r="HI25" s="166"/>
      <c r="HJ25" s="166"/>
      <c r="HK25" s="166"/>
      <c r="HL25" s="171"/>
      <c r="HM25" s="166"/>
      <c r="HN25" s="166"/>
      <c r="HO25" s="166"/>
      <c r="HP25" s="166"/>
      <c r="HQ25" s="187"/>
      <c r="HR25" s="166"/>
      <c r="HS25" s="166"/>
      <c r="HT25" s="166"/>
      <c r="HU25" s="166"/>
      <c r="HV25" s="166"/>
      <c r="HW25" s="166"/>
      <c r="HX25" s="166"/>
      <c r="HY25" s="166"/>
    </row>
    <row r="26" spans="2:233" x14ac:dyDescent="0.25">
      <c r="B26" s="164">
        <v>43968</v>
      </c>
      <c r="C26" s="165">
        <v>0</v>
      </c>
      <c r="D26" s="168">
        <v>90722</v>
      </c>
      <c r="E26" s="168">
        <v>0.91500000000000004</v>
      </c>
      <c r="F26" s="192">
        <v>19200</v>
      </c>
      <c r="G26" s="168">
        <v>86578</v>
      </c>
      <c r="H26" s="168">
        <v>1.2709999999999999</v>
      </c>
      <c r="I26" s="192">
        <v>23840</v>
      </c>
      <c r="J26" s="168">
        <v>10222</v>
      </c>
      <c r="K26" s="168">
        <v>1.07</v>
      </c>
      <c r="L26" s="192">
        <v>4000</v>
      </c>
      <c r="M26" s="168">
        <v>10098</v>
      </c>
      <c r="N26" s="168">
        <v>1.17</v>
      </c>
      <c r="O26" s="192">
        <v>4800</v>
      </c>
      <c r="P26" s="168">
        <v>10799</v>
      </c>
      <c r="Q26" s="168">
        <v>0.98</v>
      </c>
      <c r="R26" s="192">
        <v>4000</v>
      </c>
      <c r="S26" s="168">
        <v>70734</v>
      </c>
      <c r="T26" s="168">
        <v>1.2889999999999999</v>
      </c>
      <c r="U26" s="192">
        <v>34500</v>
      </c>
      <c r="V26" s="168">
        <v>67263</v>
      </c>
      <c r="W26" s="168">
        <v>1.659</v>
      </c>
      <c r="X26" s="192">
        <v>25800</v>
      </c>
      <c r="Y26" s="168">
        <v>16755</v>
      </c>
      <c r="Z26" s="168">
        <v>1.3</v>
      </c>
      <c r="AA26" s="192">
        <v>2880</v>
      </c>
      <c r="AB26" s="168">
        <v>11338</v>
      </c>
      <c r="AC26" s="168">
        <v>0.76</v>
      </c>
      <c r="AD26" s="192">
        <v>800</v>
      </c>
      <c r="AE26" s="168">
        <v>85924</v>
      </c>
      <c r="AF26" s="168">
        <v>0.88900000000000001</v>
      </c>
      <c r="AG26" s="192">
        <v>22800</v>
      </c>
      <c r="AH26" s="168">
        <v>16281</v>
      </c>
      <c r="AI26" s="168">
        <v>0.28000000000000003</v>
      </c>
      <c r="AJ26" s="192">
        <v>880</v>
      </c>
      <c r="AK26" s="241">
        <v>56572</v>
      </c>
      <c r="AL26" s="192">
        <v>229</v>
      </c>
      <c r="AM26" s="192"/>
      <c r="AN26" s="166"/>
      <c r="AO26" s="192">
        <v>143729</v>
      </c>
      <c r="AP26" s="168">
        <v>23680</v>
      </c>
      <c r="AQ26" s="168">
        <v>0.16475450326656416</v>
      </c>
      <c r="AR26" s="168"/>
      <c r="AS26" s="176"/>
      <c r="AT26" s="181">
        <v>43968</v>
      </c>
      <c r="AU26" s="168">
        <v>58632</v>
      </c>
      <c r="AV26" s="192">
        <v>10700</v>
      </c>
      <c r="AW26" s="168">
        <v>7467</v>
      </c>
      <c r="AX26" s="192">
        <v>1700</v>
      </c>
      <c r="AY26" s="189">
        <v>99692</v>
      </c>
      <c r="AZ26" s="190">
        <v>674</v>
      </c>
      <c r="BA26" s="168">
        <v>48403</v>
      </c>
      <c r="BB26" s="192">
        <v>7520</v>
      </c>
      <c r="BC26" s="166"/>
      <c r="BD26" s="178"/>
      <c r="BE26" s="169">
        <v>20594</v>
      </c>
      <c r="BF26" s="168"/>
      <c r="BG26" s="168"/>
      <c r="BH26" s="177"/>
      <c r="BI26" s="176"/>
      <c r="BJ26" s="166"/>
      <c r="BK26" s="170">
        <v>56572</v>
      </c>
      <c r="BL26" s="166"/>
      <c r="BM26" s="166"/>
      <c r="BN26" s="171"/>
      <c r="BO26" s="174">
        <v>86578</v>
      </c>
      <c r="BP26" s="166"/>
      <c r="BQ26" s="166"/>
      <c r="BR26" s="166"/>
      <c r="BS26" s="166"/>
      <c r="BT26" s="166"/>
      <c r="BU26" s="166"/>
      <c r="BV26" s="166"/>
      <c r="BW26" s="171"/>
      <c r="BX26" s="174">
        <v>90722</v>
      </c>
      <c r="BY26" s="166"/>
      <c r="BZ26" s="166"/>
      <c r="CA26" s="166"/>
      <c r="CB26" s="166"/>
      <c r="CC26" s="166"/>
      <c r="CD26" s="166"/>
      <c r="CE26" s="166"/>
      <c r="CF26" s="171"/>
      <c r="CG26" s="174">
        <v>70734</v>
      </c>
      <c r="CH26" s="166"/>
      <c r="CI26" s="166"/>
      <c r="CJ26" s="166"/>
      <c r="CK26" s="166"/>
      <c r="CL26" s="166"/>
      <c r="CM26" s="166"/>
      <c r="CN26" s="166"/>
      <c r="CO26" s="171"/>
      <c r="CP26" s="174">
        <v>16281</v>
      </c>
      <c r="CQ26" s="166"/>
      <c r="CR26" s="166"/>
      <c r="CS26" s="166"/>
      <c r="CT26" s="166"/>
      <c r="CU26" s="166"/>
      <c r="CV26" s="166"/>
      <c r="CW26" s="166"/>
      <c r="CX26" s="171"/>
      <c r="CY26" s="174">
        <v>67263</v>
      </c>
      <c r="CZ26" s="166"/>
      <c r="DA26" s="166"/>
      <c r="DB26" s="166"/>
      <c r="DC26" s="183"/>
      <c r="DD26" s="166"/>
      <c r="DE26" s="166"/>
      <c r="DF26" s="166"/>
      <c r="DG26" s="171"/>
      <c r="DH26" s="174">
        <v>10098</v>
      </c>
      <c r="DI26" s="166"/>
      <c r="DJ26" s="166"/>
      <c r="DK26" s="166"/>
      <c r="DL26" s="183"/>
      <c r="DM26" s="166"/>
      <c r="DN26" s="166"/>
      <c r="DO26" s="166"/>
      <c r="DP26" s="171"/>
      <c r="DQ26" s="174">
        <v>70734</v>
      </c>
      <c r="DR26" s="166"/>
      <c r="DS26" s="166"/>
      <c r="DT26" s="166"/>
      <c r="DU26" s="166"/>
      <c r="DV26" s="166"/>
      <c r="DW26" s="166"/>
      <c r="DX26" s="166"/>
      <c r="DY26" s="171"/>
      <c r="DZ26" s="174">
        <v>10799</v>
      </c>
      <c r="EA26" s="166"/>
      <c r="EB26" s="166"/>
      <c r="EC26" s="166"/>
      <c r="ED26" s="166"/>
      <c r="EE26" s="166"/>
      <c r="EF26" s="166"/>
      <c r="EG26" s="166"/>
      <c r="EH26" s="171"/>
      <c r="EI26" s="174">
        <v>16755</v>
      </c>
      <c r="EJ26" s="166"/>
      <c r="EK26" s="166"/>
      <c r="EL26" s="166"/>
      <c r="EM26" s="166"/>
      <c r="EN26" s="166"/>
      <c r="EO26" s="166"/>
      <c r="EP26" s="166"/>
      <c r="EQ26" s="171"/>
      <c r="ER26" s="174">
        <v>11338</v>
      </c>
      <c r="ES26" s="166"/>
      <c r="ET26" s="166"/>
      <c r="EU26" s="166"/>
      <c r="EV26" s="166"/>
      <c r="EW26" s="166"/>
      <c r="EX26" s="166"/>
      <c r="EY26" s="166"/>
      <c r="EZ26" s="171"/>
      <c r="FA26" s="170">
        <v>85924</v>
      </c>
      <c r="FB26" s="185"/>
      <c r="FC26" s="185"/>
      <c r="FD26" s="175"/>
      <c r="FE26" s="175"/>
      <c r="FF26" s="175"/>
      <c r="FG26" s="166"/>
      <c r="FH26" s="175"/>
      <c r="FI26" s="175"/>
      <c r="FJ26" s="179"/>
      <c r="FK26" s="182"/>
      <c r="FL26" s="166"/>
      <c r="FM26" s="166"/>
      <c r="FN26" s="166"/>
      <c r="FO26" s="176"/>
      <c r="FP26" s="166"/>
      <c r="FQ26" s="174">
        <v>7467</v>
      </c>
      <c r="FR26" s="166"/>
      <c r="FS26" s="166"/>
      <c r="FT26" s="166"/>
      <c r="FU26" s="166"/>
      <c r="FV26" s="166"/>
      <c r="FW26" s="166"/>
      <c r="FX26" s="166"/>
      <c r="FY26" s="171"/>
      <c r="FZ26" s="174">
        <v>58632</v>
      </c>
      <c r="GA26" s="166"/>
      <c r="GB26" s="166"/>
      <c r="GC26" s="166"/>
      <c r="GD26" s="166"/>
      <c r="GE26" s="166"/>
      <c r="GF26" s="166"/>
      <c r="GG26" s="166"/>
      <c r="GH26" s="171"/>
      <c r="GI26" s="174">
        <v>99692</v>
      </c>
      <c r="GJ26" s="166"/>
      <c r="GK26" s="166"/>
      <c r="GL26" s="166"/>
      <c r="GM26" s="166"/>
      <c r="GN26" s="171"/>
      <c r="GO26" s="174">
        <v>48403</v>
      </c>
      <c r="GP26" s="166"/>
      <c r="GQ26" s="166"/>
      <c r="GR26" s="166"/>
      <c r="GS26" s="166"/>
      <c r="GT26" s="166"/>
      <c r="GU26" s="166"/>
      <c r="GV26" s="166"/>
      <c r="GW26" s="171"/>
      <c r="GX26" s="166"/>
      <c r="GY26" s="166"/>
      <c r="GZ26" s="166"/>
      <c r="HA26" s="166"/>
      <c r="HB26" s="187"/>
      <c r="HC26" s="166"/>
      <c r="HD26" s="166"/>
      <c r="HE26" s="166"/>
      <c r="HF26" s="166"/>
      <c r="HG26" s="166"/>
      <c r="HH26" s="166"/>
      <c r="HI26" s="166"/>
      <c r="HJ26" s="166"/>
      <c r="HK26" s="166"/>
      <c r="HL26" s="171"/>
      <c r="HM26" s="166"/>
      <c r="HN26" s="166"/>
      <c r="HO26" s="166"/>
      <c r="HP26" s="166"/>
      <c r="HQ26" s="187"/>
      <c r="HR26" s="166"/>
      <c r="HS26" s="166"/>
      <c r="HT26" s="166"/>
      <c r="HU26" s="166"/>
      <c r="HV26" s="166"/>
      <c r="HW26" s="166"/>
      <c r="HX26" s="166"/>
      <c r="HY26" s="166"/>
    </row>
    <row r="27" spans="2:233" x14ac:dyDescent="0.25">
      <c r="B27" s="164">
        <v>43975</v>
      </c>
      <c r="C27" s="165">
        <v>0</v>
      </c>
      <c r="D27" s="168">
        <v>90843</v>
      </c>
      <c r="E27" s="168">
        <v>0.878</v>
      </c>
      <c r="F27" s="192">
        <v>19360</v>
      </c>
      <c r="G27" s="168">
        <v>86729</v>
      </c>
      <c r="H27" s="168">
        <v>1.226</v>
      </c>
      <c r="I27" s="192">
        <v>24160</v>
      </c>
      <c r="J27" s="168">
        <v>10232</v>
      </c>
      <c r="K27" s="168">
        <v>0.67</v>
      </c>
      <c r="L27" s="192">
        <v>4000</v>
      </c>
      <c r="M27" s="168">
        <v>10110</v>
      </c>
      <c r="N27" s="168">
        <v>0.81</v>
      </c>
      <c r="O27" s="192">
        <v>4800</v>
      </c>
      <c r="P27" s="168">
        <v>10809</v>
      </c>
      <c r="Q27" s="168">
        <v>0.72</v>
      </c>
      <c r="R27" s="192">
        <v>4000</v>
      </c>
      <c r="S27" s="168">
        <v>70825</v>
      </c>
      <c r="T27" s="168">
        <v>0.76500000000000001</v>
      </c>
      <c r="U27" s="192">
        <v>27300</v>
      </c>
      <c r="V27" s="168">
        <v>67419</v>
      </c>
      <c r="W27" s="168">
        <v>1.7030000000000001</v>
      </c>
      <c r="X27" s="192">
        <v>46800</v>
      </c>
      <c r="Y27" s="168">
        <v>16772</v>
      </c>
      <c r="Z27" s="168">
        <v>1.24</v>
      </c>
      <c r="AA27" s="192">
        <v>2720</v>
      </c>
      <c r="AB27" s="168">
        <v>11342</v>
      </c>
      <c r="AC27" s="168">
        <v>0.78</v>
      </c>
      <c r="AD27" s="192">
        <v>640</v>
      </c>
      <c r="AE27" s="168">
        <v>86039</v>
      </c>
      <c r="AF27" s="168">
        <v>0.82</v>
      </c>
      <c r="AG27" s="192">
        <v>23000</v>
      </c>
      <c r="AH27" s="168">
        <v>16306</v>
      </c>
      <c r="AI27" s="168">
        <v>0.255</v>
      </c>
      <c r="AJ27" s="192">
        <v>1000</v>
      </c>
      <c r="AK27" s="241">
        <v>56791</v>
      </c>
      <c r="AL27" s="192">
        <v>219</v>
      </c>
      <c r="AM27" s="192"/>
      <c r="AN27" s="166"/>
      <c r="AO27" s="192">
        <v>157999</v>
      </c>
      <c r="AP27" s="168">
        <v>24000</v>
      </c>
      <c r="AQ27" s="168">
        <v>0.15189969556769348</v>
      </c>
      <c r="AR27" s="168"/>
      <c r="AS27" s="176"/>
      <c r="AT27" s="181">
        <v>43975</v>
      </c>
      <c r="AU27" s="168">
        <v>58750</v>
      </c>
      <c r="AV27" s="192">
        <v>11800</v>
      </c>
      <c r="AW27" s="168">
        <v>7486</v>
      </c>
      <c r="AX27" s="192">
        <v>1900</v>
      </c>
      <c r="AY27" s="189">
        <v>100399</v>
      </c>
      <c r="AZ27" s="190">
        <v>707</v>
      </c>
      <c r="BA27" s="168">
        <v>48488</v>
      </c>
      <c r="BB27" s="192">
        <v>3400</v>
      </c>
      <c r="BC27" s="166"/>
      <c r="BD27" s="178"/>
      <c r="BE27" s="169">
        <v>17807</v>
      </c>
      <c r="BF27" s="168"/>
      <c r="BG27" s="168"/>
      <c r="BH27" s="177"/>
      <c r="BI27" s="176"/>
      <c r="BJ27" s="166"/>
      <c r="BK27" s="170">
        <v>56791</v>
      </c>
      <c r="BL27" s="166"/>
      <c r="BM27" s="166"/>
      <c r="BN27" s="171"/>
      <c r="BO27" s="174">
        <v>86729</v>
      </c>
      <c r="BP27" s="166"/>
      <c r="BQ27" s="166"/>
      <c r="BR27" s="166"/>
      <c r="BS27" s="166"/>
      <c r="BT27" s="166"/>
      <c r="BU27" s="166"/>
      <c r="BV27" s="166"/>
      <c r="BW27" s="171"/>
      <c r="BX27" s="174">
        <v>90843</v>
      </c>
      <c r="BY27" s="166"/>
      <c r="BZ27" s="166"/>
      <c r="CA27" s="166"/>
      <c r="CB27" s="166"/>
      <c r="CC27" s="166"/>
      <c r="CD27" s="166"/>
      <c r="CE27" s="166"/>
      <c r="CF27" s="171"/>
      <c r="CG27" s="174">
        <v>70825</v>
      </c>
      <c r="CH27" s="166"/>
      <c r="CI27" s="166"/>
      <c r="CJ27" s="166"/>
      <c r="CK27" s="166"/>
      <c r="CL27" s="166"/>
      <c r="CM27" s="166"/>
      <c r="CN27" s="166"/>
      <c r="CO27" s="171"/>
      <c r="CP27" s="174">
        <v>16306</v>
      </c>
      <c r="CQ27" s="166"/>
      <c r="CR27" s="166"/>
      <c r="CS27" s="166"/>
      <c r="CT27" s="166"/>
      <c r="CU27" s="166"/>
      <c r="CV27" s="166"/>
      <c r="CW27" s="166"/>
      <c r="CX27" s="171"/>
      <c r="CY27" s="174">
        <v>67419</v>
      </c>
      <c r="CZ27" s="166"/>
      <c r="DA27" s="166"/>
      <c r="DB27" s="166"/>
      <c r="DC27" s="183"/>
      <c r="DD27" s="166"/>
      <c r="DE27" s="166"/>
      <c r="DF27" s="166"/>
      <c r="DG27" s="171"/>
      <c r="DH27" s="174">
        <v>10110</v>
      </c>
      <c r="DI27" s="166"/>
      <c r="DJ27" s="166"/>
      <c r="DK27" s="166"/>
      <c r="DL27" s="183"/>
      <c r="DM27" s="166"/>
      <c r="DN27" s="166"/>
      <c r="DO27" s="166"/>
      <c r="DP27" s="171"/>
      <c r="DQ27" s="174">
        <v>70825</v>
      </c>
      <c r="DR27" s="166"/>
      <c r="DS27" s="166"/>
      <c r="DT27" s="166"/>
      <c r="DU27" s="166"/>
      <c r="DV27" s="166"/>
      <c r="DW27" s="166"/>
      <c r="DX27" s="166"/>
      <c r="DY27" s="171"/>
      <c r="DZ27" s="174">
        <v>10809</v>
      </c>
      <c r="EA27" s="166"/>
      <c r="EB27" s="166"/>
      <c r="EC27" s="166"/>
      <c r="ED27" s="166"/>
      <c r="EE27" s="166"/>
      <c r="EF27" s="166"/>
      <c r="EG27" s="166"/>
      <c r="EH27" s="171"/>
      <c r="EI27" s="174">
        <v>16772</v>
      </c>
      <c r="EJ27" s="166"/>
      <c r="EK27" s="166"/>
      <c r="EL27" s="166"/>
      <c r="EM27" s="166"/>
      <c r="EN27" s="166"/>
      <c r="EO27" s="166"/>
      <c r="EP27" s="166"/>
      <c r="EQ27" s="171"/>
      <c r="ER27" s="174">
        <v>11342</v>
      </c>
      <c r="ES27" s="166"/>
      <c r="ET27" s="166"/>
      <c r="EU27" s="166"/>
      <c r="EV27" s="166"/>
      <c r="EW27" s="166"/>
      <c r="EX27" s="166"/>
      <c r="EY27" s="166"/>
      <c r="EZ27" s="171"/>
      <c r="FA27" s="170">
        <v>86039</v>
      </c>
      <c r="FB27" s="185"/>
      <c r="FC27" s="185"/>
      <c r="FD27" s="175"/>
      <c r="FE27" s="175"/>
      <c r="FF27" s="175"/>
      <c r="FG27" s="166"/>
      <c r="FH27" s="175"/>
      <c r="FI27" s="175"/>
      <c r="FJ27" s="179"/>
      <c r="FK27" s="182"/>
      <c r="FL27" s="166"/>
      <c r="FM27" s="166"/>
      <c r="FN27" s="166"/>
      <c r="FO27" s="176"/>
      <c r="FP27" s="166"/>
      <c r="FQ27" s="174">
        <v>7486</v>
      </c>
      <c r="FR27" s="166"/>
      <c r="FS27" s="166"/>
      <c r="FT27" s="166"/>
      <c r="FU27" s="166"/>
      <c r="FV27" s="166"/>
      <c r="FW27" s="166"/>
      <c r="FX27" s="166"/>
      <c r="FY27" s="171"/>
      <c r="FZ27" s="174">
        <v>58750</v>
      </c>
      <c r="GA27" s="166"/>
      <c r="GB27" s="166"/>
      <c r="GC27" s="166"/>
      <c r="GD27" s="166"/>
      <c r="GE27" s="166"/>
      <c r="GF27" s="166"/>
      <c r="GG27" s="166"/>
      <c r="GH27" s="171"/>
      <c r="GI27" s="174">
        <v>100399</v>
      </c>
      <c r="GJ27" s="166"/>
      <c r="GK27" s="166"/>
      <c r="GL27" s="166"/>
      <c r="GM27" s="166"/>
      <c r="GN27" s="171"/>
      <c r="GO27" s="174">
        <v>48488</v>
      </c>
      <c r="GP27" s="166"/>
      <c r="GQ27" s="166"/>
      <c r="GR27" s="166"/>
      <c r="GS27" s="166"/>
      <c r="GT27" s="166"/>
      <c r="GU27" s="166"/>
      <c r="GV27" s="166"/>
      <c r="GW27" s="171"/>
      <c r="GX27" s="166"/>
      <c r="GY27" s="166"/>
      <c r="GZ27" s="166"/>
      <c r="HA27" s="166"/>
      <c r="HB27" s="187"/>
      <c r="HC27" s="166"/>
      <c r="HD27" s="166"/>
      <c r="HE27" s="166"/>
      <c r="HF27" s="166"/>
      <c r="HG27" s="166"/>
      <c r="HH27" s="166"/>
      <c r="HI27" s="166"/>
      <c r="HJ27" s="166"/>
      <c r="HK27" s="166"/>
      <c r="HL27" s="171"/>
      <c r="HM27" s="166"/>
      <c r="HN27" s="166"/>
      <c r="HO27" s="166"/>
      <c r="HP27" s="166"/>
      <c r="HQ27" s="187"/>
      <c r="HR27" s="166"/>
      <c r="HS27" s="166"/>
      <c r="HT27" s="166"/>
      <c r="HU27" s="166"/>
      <c r="HV27" s="166"/>
      <c r="HW27" s="166"/>
      <c r="HX27" s="166"/>
      <c r="HY27" s="166"/>
    </row>
    <row r="28" spans="2:233" x14ac:dyDescent="0.25">
      <c r="B28" s="164">
        <v>43983</v>
      </c>
      <c r="C28" s="165">
        <v>0</v>
      </c>
      <c r="D28" s="168">
        <v>90968</v>
      </c>
      <c r="E28" s="168">
        <v>0.89100000000000001</v>
      </c>
      <c r="F28" s="192">
        <v>20000</v>
      </c>
      <c r="G28" s="168">
        <v>86883</v>
      </c>
      <c r="H28" s="168">
        <v>1.258</v>
      </c>
      <c r="I28" s="192">
        <v>24640</v>
      </c>
      <c r="J28" s="168">
        <v>10241</v>
      </c>
      <c r="K28" s="168">
        <v>0.75</v>
      </c>
      <c r="L28" s="192">
        <v>3600</v>
      </c>
      <c r="M28" s="168">
        <v>10121</v>
      </c>
      <c r="N28" s="168">
        <v>0.81</v>
      </c>
      <c r="O28" s="192">
        <v>4400</v>
      </c>
      <c r="P28" s="168">
        <v>10820</v>
      </c>
      <c r="Q28" s="168">
        <v>0.78</v>
      </c>
      <c r="R28" s="192">
        <v>4400</v>
      </c>
      <c r="S28" s="168">
        <v>70948</v>
      </c>
      <c r="T28" s="168">
        <v>1.3129999999999999</v>
      </c>
      <c r="U28" s="192">
        <v>36900</v>
      </c>
      <c r="V28" s="168">
        <v>67563</v>
      </c>
      <c r="W28" s="168">
        <v>1.8049999999999999</v>
      </c>
      <c r="X28" s="192">
        <v>43200</v>
      </c>
      <c r="Y28" s="168">
        <v>16791</v>
      </c>
      <c r="Z28" s="168">
        <v>1.54</v>
      </c>
      <c r="AA28" s="192">
        <v>3040</v>
      </c>
      <c r="AB28" s="168">
        <v>11345</v>
      </c>
      <c r="AC28" s="168">
        <v>0.49</v>
      </c>
      <c r="AD28" s="192">
        <v>480</v>
      </c>
      <c r="AE28" s="168">
        <v>86161</v>
      </c>
      <c r="AF28" s="168">
        <v>0.94099999999999995</v>
      </c>
      <c r="AG28" s="192">
        <v>24400</v>
      </c>
      <c r="AH28" s="168">
        <v>16334</v>
      </c>
      <c r="AI28" s="168">
        <v>0.28899999999999998</v>
      </c>
      <c r="AJ28" s="192">
        <v>1120</v>
      </c>
      <c r="AK28" s="241">
        <v>57014</v>
      </c>
      <c r="AL28" s="192">
        <v>223</v>
      </c>
      <c r="AM28" s="192"/>
      <c r="AN28" s="166"/>
      <c r="AO28" s="192">
        <v>166403</v>
      </c>
      <c r="AP28" s="168">
        <v>25520</v>
      </c>
      <c r="AQ28" s="168">
        <v>0.15336261966430895</v>
      </c>
      <c r="AR28" s="168">
        <v>653990</v>
      </c>
      <c r="AS28" s="176"/>
      <c r="AT28" s="181">
        <v>43983</v>
      </c>
      <c r="AU28" s="168">
        <v>58879</v>
      </c>
      <c r="AV28" s="192">
        <v>12900</v>
      </c>
      <c r="AW28" s="168">
        <v>7503</v>
      </c>
      <c r="AX28" s="192">
        <v>1700</v>
      </c>
      <c r="AY28" s="189">
        <v>1110</v>
      </c>
      <c r="AZ28" s="190">
        <v>711</v>
      </c>
      <c r="BA28" s="168">
        <v>48513</v>
      </c>
      <c r="BB28" s="192">
        <v>1000</v>
      </c>
      <c r="BC28" s="166"/>
      <c r="BD28" s="178"/>
      <c r="BE28" s="169">
        <v>16311</v>
      </c>
      <c r="BF28" s="168">
        <v>72323</v>
      </c>
      <c r="BG28" s="168">
        <v>726313</v>
      </c>
      <c r="BH28" s="177"/>
      <c r="BI28" s="176"/>
      <c r="BJ28" s="166"/>
      <c r="BK28" s="170">
        <v>57014</v>
      </c>
      <c r="BL28" s="168">
        <v>56811</v>
      </c>
      <c r="BM28" s="170">
        <v>1174</v>
      </c>
      <c r="BN28" s="173">
        <v>205.90644880000002</v>
      </c>
      <c r="BO28" s="174">
        <v>86883</v>
      </c>
      <c r="BP28" s="168">
        <v>86775</v>
      </c>
      <c r="BQ28" s="168">
        <v>1.2709999999999999</v>
      </c>
      <c r="BR28" s="170">
        <v>121120</v>
      </c>
      <c r="BS28" s="170">
        <v>203.35999999999999</v>
      </c>
      <c r="BT28" s="173">
        <v>6243.7359999999999</v>
      </c>
      <c r="BU28" s="173">
        <v>2537.4639999999999</v>
      </c>
      <c r="BV28" s="173">
        <v>1563.6350399999999</v>
      </c>
      <c r="BW28" s="173">
        <v>9747.1320000000014</v>
      </c>
      <c r="BX28" s="174">
        <v>90968</v>
      </c>
      <c r="BY28" s="168">
        <v>90883</v>
      </c>
      <c r="BZ28" s="168">
        <v>0.92400000000000004</v>
      </c>
      <c r="CA28" s="170">
        <v>99040</v>
      </c>
      <c r="CB28" s="170">
        <v>147.84</v>
      </c>
      <c r="CC28" s="173">
        <v>5105.5119999999997</v>
      </c>
      <c r="CD28" s="173">
        <v>2074.8879999999999</v>
      </c>
      <c r="CE28" s="173">
        <v>1136.7417600000001</v>
      </c>
      <c r="CF28" s="173">
        <v>7992.4440000000004</v>
      </c>
      <c r="CG28" s="174">
        <v>70948</v>
      </c>
      <c r="CH28" s="168">
        <v>70846</v>
      </c>
      <c r="CI28" s="168">
        <v>1.29</v>
      </c>
      <c r="CJ28" s="170">
        <v>105900</v>
      </c>
      <c r="CK28" s="170">
        <v>387</v>
      </c>
      <c r="CL28" s="173">
        <v>5459.1449999999995</v>
      </c>
      <c r="CM28" s="173">
        <v>2218.605</v>
      </c>
      <c r="CN28" s="173">
        <v>2975.643</v>
      </c>
      <c r="CO28" s="173">
        <v>8544.5025000000005</v>
      </c>
      <c r="CP28" s="174">
        <v>16334</v>
      </c>
      <c r="CQ28" s="168">
        <v>16315</v>
      </c>
      <c r="CR28" s="168">
        <v>0.28000000000000003</v>
      </c>
      <c r="CS28" s="170">
        <v>5560</v>
      </c>
      <c r="CT28" s="170">
        <v>11.200000000000001</v>
      </c>
      <c r="CU28" s="173">
        <v>286.61799999999999</v>
      </c>
      <c r="CV28" s="173">
        <v>116.482</v>
      </c>
      <c r="CW28" s="173">
        <v>86.116800000000012</v>
      </c>
      <c r="CX28" s="173">
        <v>469.64100000000008</v>
      </c>
      <c r="CY28" s="174">
        <v>67563</v>
      </c>
      <c r="CZ28" s="168">
        <v>67480</v>
      </c>
      <c r="DA28" s="168">
        <v>1.659</v>
      </c>
      <c r="DB28" s="170">
        <v>212700</v>
      </c>
      <c r="DC28" s="184">
        <v>497.7</v>
      </c>
      <c r="DD28" s="173">
        <v>10964.684999999999</v>
      </c>
      <c r="DE28" s="173">
        <v>4456.0649999999996</v>
      </c>
      <c r="DF28" s="173">
        <v>3826.8152999999998</v>
      </c>
      <c r="DG28" s="173">
        <v>17293.640000000003</v>
      </c>
      <c r="DH28" s="174">
        <v>10121</v>
      </c>
      <c r="DI28" s="168">
        <v>10113</v>
      </c>
      <c r="DJ28" s="168">
        <v>0.11700000000000001</v>
      </c>
      <c r="DK28" s="170">
        <v>24400</v>
      </c>
      <c r="DL28" s="184">
        <v>46.800000000000004</v>
      </c>
      <c r="DM28" s="173">
        <v>1257.82</v>
      </c>
      <c r="DN28" s="173">
        <v>511.18</v>
      </c>
      <c r="DO28" s="173">
        <v>359.84520000000003</v>
      </c>
      <c r="DP28" s="173">
        <v>2003.6800000000003</v>
      </c>
      <c r="DQ28" s="174">
        <v>70948</v>
      </c>
      <c r="DR28" s="168">
        <v>10235</v>
      </c>
      <c r="DS28" s="168">
        <v>0.107</v>
      </c>
      <c r="DT28" s="170">
        <v>21200</v>
      </c>
      <c r="DU28" s="170">
        <v>42.8</v>
      </c>
      <c r="DV28" s="173">
        <v>1092.8599999999999</v>
      </c>
      <c r="DW28" s="173">
        <v>444.14</v>
      </c>
      <c r="DX28" s="173">
        <v>329.08920000000001</v>
      </c>
      <c r="DY28" s="173">
        <v>1743.8400000000001</v>
      </c>
      <c r="DZ28" s="174">
        <v>10820</v>
      </c>
      <c r="EA28" s="168">
        <v>10813</v>
      </c>
      <c r="EB28" s="168">
        <v>9.8000000000000004E-2</v>
      </c>
      <c r="EC28" s="170">
        <v>20800</v>
      </c>
      <c r="ED28" s="170">
        <v>39.200000000000003</v>
      </c>
      <c r="EE28" s="173">
        <v>1072.24</v>
      </c>
      <c r="EF28" s="173">
        <v>435.76</v>
      </c>
      <c r="EG28" s="173">
        <v>301.40880000000004</v>
      </c>
      <c r="EH28" s="173">
        <v>1711.3600000000001</v>
      </c>
      <c r="EI28" s="174">
        <v>16791</v>
      </c>
      <c r="EJ28" s="168">
        <v>16778</v>
      </c>
      <c r="EK28" s="168">
        <v>0.13100000000000001</v>
      </c>
      <c r="EL28" s="170">
        <v>14720</v>
      </c>
      <c r="EM28" s="170">
        <v>20.96</v>
      </c>
      <c r="EN28" s="173">
        <v>758.81600000000003</v>
      </c>
      <c r="EO28" s="173">
        <v>308.38400000000001</v>
      </c>
      <c r="EP28" s="173">
        <v>161.16144</v>
      </c>
      <c r="EQ28" s="173">
        <v>1217.6640000000002</v>
      </c>
      <c r="ER28" s="174">
        <v>11345</v>
      </c>
      <c r="ES28" s="168">
        <v>11343</v>
      </c>
      <c r="ET28" s="168">
        <v>7.5999999999999998E-2</v>
      </c>
      <c r="EU28" s="170">
        <v>3360</v>
      </c>
      <c r="EV28" s="170">
        <v>12.16</v>
      </c>
      <c r="EW28" s="173">
        <v>173.208</v>
      </c>
      <c r="EX28" s="173">
        <v>70.391999999999996</v>
      </c>
      <c r="EY28" s="173">
        <v>93.498239999999996</v>
      </c>
      <c r="EZ28" s="173">
        <v>295.23200000000003</v>
      </c>
      <c r="FA28" s="170">
        <v>86161</v>
      </c>
      <c r="FB28" s="186">
        <v>86076</v>
      </c>
      <c r="FC28" s="186">
        <v>0.97599999999999998</v>
      </c>
      <c r="FD28" s="170">
        <v>118600</v>
      </c>
      <c r="FE28" s="170">
        <v>195.2</v>
      </c>
      <c r="FF28" s="173">
        <v>6113.83</v>
      </c>
      <c r="FG28" s="173">
        <v>2484.67</v>
      </c>
      <c r="FH28" s="173">
        <v>1500.8927999999999</v>
      </c>
      <c r="FI28" s="173">
        <v>9652.7200000000012</v>
      </c>
      <c r="FJ28" s="179"/>
      <c r="FK28" s="188">
        <v>748574</v>
      </c>
      <c r="FL28" s="172">
        <v>60877.761948800005</v>
      </c>
      <c r="FM28" s="172">
        <v>12334.84758</v>
      </c>
      <c r="FN28" s="172">
        <v>73212.609528800007</v>
      </c>
      <c r="FO28" s="176"/>
      <c r="FP28" s="166"/>
      <c r="FQ28" s="174">
        <v>7503</v>
      </c>
      <c r="FR28" s="168">
        <v>7491</v>
      </c>
      <c r="FS28" s="168">
        <v>0.25700000000000001</v>
      </c>
      <c r="FT28" s="170">
        <v>9000</v>
      </c>
      <c r="FU28" s="170">
        <v>25.7</v>
      </c>
      <c r="FV28" s="180">
        <v>463.95</v>
      </c>
      <c r="FW28" s="180">
        <v>188.55</v>
      </c>
      <c r="FX28" s="180">
        <v>197.60730000000001</v>
      </c>
      <c r="FY28" s="173">
        <v>742.97799999999995</v>
      </c>
      <c r="FZ28" s="174">
        <v>58879</v>
      </c>
      <c r="GA28" s="168">
        <v>58783</v>
      </c>
      <c r="GB28" s="168">
        <v>1.341</v>
      </c>
      <c r="GC28" s="170">
        <v>50200</v>
      </c>
      <c r="GD28" s="170">
        <v>134.1</v>
      </c>
      <c r="GE28" s="180">
        <v>2587.81</v>
      </c>
      <c r="GF28" s="180">
        <v>1051.69</v>
      </c>
      <c r="GG28" s="180">
        <v>1031.0949000000001</v>
      </c>
      <c r="GH28" s="173">
        <v>4043.0156000000002</v>
      </c>
      <c r="GI28" s="174">
        <v>1110</v>
      </c>
      <c r="GJ28" s="168">
        <v>601</v>
      </c>
      <c r="GK28" s="170">
        <v>2618</v>
      </c>
      <c r="GL28" s="173">
        <v>360.57713999999999</v>
      </c>
      <c r="GM28" s="173">
        <v>54.847099999999998</v>
      </c>
      <c r="GN28" s="173">
        <v>446.9863368</v>
      </c>
      <c r="GO28" s="174">
        <v>48513</v>
      </c>
      <c r="GP28" s="168">
        <v>48494</v>
      </c>
      <c r="GQ28" s="168">
        <v>3.6549999999999998</v>
      </c>
      <c r="GR28" s="170">
        <v>18320</v>
      </c>
      <c r="GS28" s="170">
        <v>146.19999999999999</v>
      </c>
      <c r="GT28" s="173">
        <v>944.39599999999996</v>
      </c>
      <c r="GU28" s="173">
        <v>383.80399999999997</v>
      </c>
      <c r="GV28" s="173">
        <v>1124.1317999999999</v>
      </c>
      <c r="GW28" s="173">
        <v>1617.8399999999997</v>
      </c>
      <c r="GX28" s="168">
        <v>80138</v>
      </c>
      <c r="GY28" s="172">
        <v>6850.8199367999996</v>
      </c>
      <c r="GZ28" s="172">
        <v>2352.8339999999998</v>
      </c>
      <c r="HA28" s="172">
        <v>9203.6539367999994</v>
      </c>
      <c r="HB28" s="187"/>
      <c r="HC28" s="188">
        <v>828712</v>
      </c>
      <c r="HD28" s="172">
        <v>67728.581885600011</v>
      </c>
      <c r="HE28" s="172">
        <v>14687.68158</v>
      </c>
      <c r="HF28" s="172">
        <v>82416.263465600015</v>
      </c>
      <c r="HG28" s="170">
        <f>SUM(HE28-HE23)*40</f>
        <v>-420569.84639999992</v>
      </c>
      <c r="HH28" s="170">
        <f>SUM(HF28)*40</f>
        <v>3296650.5386240007</v>
      </c>
      <c r="HI28" s="173">
        <f>SUM(HG28*0.05155)</f>
        <v>-21680.375581919994</v>
      </c>
      <c r="HJ28" s="173">
        <f>SUM(HG28*0.02095)</f>
        <v>-8810.9382820799983</v>
      </c>
      <c r="HK28" s="173">
        <f>SUM(HH28*7.689)</f>
        <v>25347945.991479941</v>
      </c>
      <c r="HL28" s="173">
        <f>SUM(HJ28+HI28+20)*1.2</f>
        <v>-36565.57663679999</v>
      </c>
      <c r="HM28" s="168">
        <f>SUM(GI28+GR28+GZ28+HG28)</f>
        <v>-398787.01239999995</v>
      </c>
      <c r="HN28" s="172">
        <f>SUM(HL28+HC28+GW28+GN28)</f>
        <v>794211.24970000004</v>
      </c>
      <c r="HO28" s="172">
        <f>SUM(GM28+GV28+HK28)</f>
        <v>25349124.970379941</v>
      </c>
      <c r="HP28" s="172">
        <f>SUM(HN28:HO28)</f>
        <v>26143336.22007994</v>
      </c>
      <c r="HQ28" s="187"/>
      <c r="HR28" s="188">
        <f t="shared" ref="HR28:HT28" si="8">(FZ28+HM28)</f>
        <v>-339908.01239999995</v>
      </c>
      <c r="HS28" s="172">
        <f t="shared" si="8"/>
        <v>852994.24970000004</v>
      </c>
      <c r="HT28" s="172">
        <f t="shared" si="8"/>
        <v>25349126.311379939</v>
      </c>
      <c r="HU28" s="172">
        <f t="shared" ref="HU28" si="9">(HS28+HT28)</f>
        <v>26202120.561079938</v>
      </c>
      <c r="HV28" s="166"/>
      <c r="HW28" s="166"/>
      <c r="HX28" s="166"/>
      <c r="HY28" s="166"/>
    </row>
    <row r="29" spans="2:233" x14ac:dyDescent="0.25">
      <c r="B29" s="164">
        <v>43990</v>
      </c>
      <c r="C29" s="165">
        <v>0</v>
      </c>
      <c r="D29" s="168">
        <v>91089</v>
      </c>
      <c r="E29" s="168">
        <v>0.98199999999999998</v>
      </c>
      <c r="F29" s="192">
        <v>19360</v>
      </c>
      <c r="G29" s="168">
        <v>87032</v>
      </c>
      <c r="H29" s="168">
        <v>1.3240000000000001</v>
      </c>
      <c r="I29" s="192">
        <v>23840</v>
      </c>
      <c r="J29" s="168">
        <v>10251</v>
      </c>
      <c r="K29" s="168">
        <v>0.75</v>
      </c>
      <c r="L29" s="192">
        <v>4000</v>
      </c>
      <c r="M29" s="168">
        <v>10132</v>
      </c>
      <c r="N29" s="168">
        <v>0.81</v>
      </c>
      <c r="O29" s="192">
        <v>4400</v>
      </c>
      <c r="P29" s="168">
        <v>10831</v>
      </c>
      <c r="Q29" s="168">
        <v>0.78</v>
      </c>
      <c r="R29" s="192">
        <v>4400</v>
      </c>
      <c r="S29" s="168">
        <v>71035</v>
      </c>
      <c r="T29" s="168">
        <v>1.3144</v>
      </c>
      <c r="U29" s="192">
        <v>26100</v>
      </c>
      <c r="V29" s="168">
        <v>67748</v>
      </c>
      <c r="W29" s="168">
        <v>1.8049999999999999</v>
      </c>
      <c r="X29" s="192">
        <v>55500</v>
      </c>
      <c r="Y29" s="168">
        <v>16810</v>
      </c>
      <c r="Z29" s="168">
        <v>1.54</v>
      </c>
      <c r="AA29" s="192">
        <v>3040</v>
      </c>
      <c r="AB29" s="168">
        <v>11350</v>
      </c>
      <c r="AC29" s="168">
        <v>0.69</v>
      </c>
      <c r="AD29" s="192">
        <v>800</v>
      </c>
      <c r="AE29" s="168">
        <v>86276</v>
      </c>
      <c r="AF29" s="168">
        <v>0.94099999999999995</v>
      </c>
      <c r="AG29" s="192">
        <v>23000</v>
      </c>
      <c r="AH29" s="168">
        <v>16359</v>
      </c>
      <c r="AI29" s="168">
        <v>0.28899999999999998</v>
      </c>
      <c r="AJ29" s="192">
        <v>1000</v>
      </c>
      <c r="AK29" s="241">
        <v>57082</v>
      </c>
      <c r="AL29" s="192">
        <v>68</v>
      </c>
      <c r="AM29" s="192"/>
      <c r="AN29" s="166"/>
      <c r="AO29" s="192">
        <v>165508</v>
      </c>
      <c r="AP29" s="168">
        <v>24000</v>
      </c>
      <c r="AQ29" s="168">
        <v>0.14500809628537592</v>
      </c>
      <c r="AR29" s="168"/>
      <c r="AS29" s="176"/>
      <c r="AT29" s="181">
        <v>43990</v>
      </c>
      <c r="AU29" s="168">
        <v>59007</v>
      </c>
      <c r="AV29" s="192">
        <v>12800</v>
      </c>
      <c r="AW29" s="168">
        <v>7521</v>
      </c>
      <c r="AX29" s="192">
        <v>1800</v>
      </c>
      <c r="AY29" s="189">
        <v>1931</v>
      </c>
      <c r="AZ29" s="190">
        <v>821</v>
      </c>
      <c r="BA29" s="168">
        <v>48553</v>
      </c>
      <c r="BB29" s="192">
        <v>1600</v>
      </c>
      <c r="BC29" s="166"/>
      <c r="BD29" s="178"/>
      <c r="BE29" s="169">
        <v>17021</v>
      </c>
      <c r="BF29" s="168"/>
      <c r="BG29" s="168"/>
      <c r="BH29" s="177"/>
      <c r="BI29" s="176"/>
      <c r="BJ29" s="166"/>
      <c r="BK29" s="170">
        <v>57082</v>
      </c>
      <c r="BL29" s="166"/>
      <c r="BM29" s="166"/>
      <c r="BN29" s="171"/>
      <c r="BO29" s="174">
        <v>87032</v>
      </c>
      <c r="BP29" s="166"/>
      <c r="BQ29" s="166"/>
      <c r="BR29" s="166"/>
      <c r="BS29" s="166"/>
      <c r="BT29" s="166"/>
      <c r="BU29" s="166"/>
      <c r="BV29" s="166"/>
      <c r="BW29" s="171"/>
      <c r="BX29" s="174">
        <v>91089</v>
      </c>
      <c r="BY29" s="166"/>
      <c r="BZ29" s="166"/>
      <c r="CA29" s="166"/>
      <c r="CB29" s="166"/>
      <c r="CC29" s="166"/>
      <c r="CD29" s="166"/>
      <c r="CE29" s="166"/>
      <c r="CF29" s="171"/>
      <c r="CG29" s="174">
        <v>71035</v>
      </c>
      <c r="CH29" s="166"/>
      <c r="CI29" s="166"/>
      <c r="CJ29" s="166"/>
      <c r="CK29" s="166"/>
      <c r="CL29" s="166"/>
      <c r="CM29" s="166"/>
      <c r="CN29" s="166"/>
      <c r="CO29" s="171"/>
      <c r="CP29" s="174">
        <v>16359</v>
      </c>
      <c r="CQ29" s="166"/>
      <c r="CR29" s="166"/>
      <c r="CS29" s="166"/>
      <c r="CT29" s="166"/>
      <c r="CU29" s="166"/>
      <c r="CV29" s="166"/>
      <c r="CW29" s="166"/>
      <c r="CX29" s="171"/>
      <c r="CY29" s="174">
        <v>67748</v>
      </c>
      <c r="CZ29" s="166"/>
      <c r="DA29" s="166"/>
      <c r="DB29" s="166"/>
      <c r="DC29" s="183"/>
      <c r="DD29" s="166"/>
      <c r="DE29" s="166"/>
      <c r="DF29" s="166"/>
      <c r="DG29" s="171"/>
      <c r="DH29" s="174">
        <v>10132</v>
      </c>
      <c r="DI29" s="166"/>
      <c r="DJ29" s="166"/>
      <c r="DK29" s="166"/>
      <c r="DL29" s="183"/>
      <c r="DM29" s="166"/>
      <c r="DN29" s="166"/>
      <c r="DO29" s="166"/>
      <c r="DP29" s="171"/>
      <c r="DQ29" s="174">
        <v>71035</v>
      </c>
      <c r="DR29" s="166"/>
      <c r="DS29" s="166"/>
      <c r="DT29" s="166"/>
      <c r="DU29" s="166"/>
      <c r="DV29" s="166"/>
      <c r="DW29" s="166"/>
      <c r="DX29" s="166"/>
      <c r="DY29" s="171"/>
      <c r="DZ29" s="174">
        <v>10831</v>
      </c>
      <c r="EA29" s="166"/>
      <c r="EB29" s="166"/>
      <c r="EC29" s="166"/>
      <c r="ED29" s="166"/>
      <c r="EE29" s="166"/>
      <c r="EF29" s="166"/>
      <c r="EG29" s="166"/>
      <c r="EH29" s="171"/>
      <c r="EI29" s="174">
        <v>16810</v>
      </c>
      <c r="EJ29" s="166"/>
      <c r="EK29" s="166"/>
      <c r="EL29" s="166"/>
      <c r="EM29" s="166"/>
      <c r="EN29" s="166"/>
      <c r="EO29" s="166"/>
      <c r="EP29" s="166"/>
      <c r="EQ29" s="171"/>
      <c r="ER29" s="174">
        <v>11350</v>
      </c>
      <c r="ES29" s="166"/>
      <c r="ET29" s="166"/>
      <c r="EU29" s="166"/>
      <c r="EV29" s="166"/>
      <c r="EW29" s="166"/>
      <c r="EX29" s="166"/>
      <c r="EY29" s="166"/>
      <c r="EZ29" s="171"/>
      <c r="FA29" s="170">
        <v>86276</v>
      </c>
      <c r="FB29" s="185"/>
      <c r="FC29" s="185"/>
      <c r="FD29" s="175"/>
      <c r="FE29" s="175"/>
      <c r="FF29" s="175"/>
      <c r="FG29" s="166"/>
      <c r="FH29" s="175"/>
      <c r="FI29" s="175"/>
      <c r="FJ29" s="179"/>
      <c r="FK29" s="182"/>
      <c r="FL29" s="166"/>
      <c r="FM29" s="166"/>
      <c r="FN29" s="166"/>
      <c r="FO29" s="176"/>
      <c r="FP29" s="166"/>
      <c r="FQ29" s="174">
        <v>7521</v>
      </c>
      <c r="FR29" s="166"/>
      <c r="FS29" s="166"/>
      <c r="FT29" s="166"/>
      <c r="FU29" s="166"/>
      <c r="FV29" s="166"/>
      <c r="FW29" s="166"/>
      <c r="FX29" s="166"/>
      <c r="FY29" s="171"/>
      <c r="FZ29" s="174">
        <v>59007</v>
      </c>
      <c r="GA29" s="166"/>
      <c r="GB29" s="166"/>
      <c r="GC29" s="166"/>
      <c r="GD29" s="166"/>
      <c r="GE29" s="166"/>
      <c r="GF29" s="166"/>
      <c r="GG29" s="166"/>
      <c r="GH29" s="171"/>
      <c r="GI29" s="174">
        <v>1931</v>
      </c>
      <c r="GJ29" s="166"/>
      <c r="GK29" s="166"/>
      <c r="GL29" s="166"/>
      <c r="GM29" s="166"/>
      <c r="GN29" s="171"/>
      <c r="GO29" s="174">
        <v>48553</v>
      </c>
      <c r="GP29" s="166"/>
      <c r="GQ29" s="166"/>
      <c r="GR29" s="166"/>
      <c r="GS29" s="166"/>
      <c r="GT29" s="166"/>
      <c r="GU29" s="166"/>
      <c r="GV29" s="166"/>
      <c r="GW29" s="171"/>
      <c r="GX29" s="166"/>
      <c r="GY29" s="166"/>
      <c r="GZ29" s="166"/>
      <c r="HA29" s="166"/>
      <c r="HB29" s="187"/>
      <c r="HC29" s="166"/>
      <c r="HD29" s="166"/>
      <c r="HE29" s="166"/>
      <c r="HF29" s="166"/>
      <c r="HG29" s="166"/>
      <c r="HH29" s="166"/>
      <c r="HI29" s="166"/>
      <c r="HJ29" s="166"/>
      <c r="HK29" s="166"/>
      <c r="HL29" s="171"/>
      <c r="HM29" s="166"/>
      <c r="HN29" s="166"/>
      <c r="HO29" s="166"/>
      <c r="HP29" s="166"/>
      <c r="HQ29" s="187"/>
      <c r="HR29" s="166"/>
      <c r="HS29" s="166"/>
      <c r="HT29" s="166"/>
      <c r="HU29" s="166"/>
      <c r="HV29" s="166"/>
      <c r="HW29" s="166"/>
      <c r="HX29" s="166"/>
      <c r="HY29" s="166"/>
    </row>
    <row r="30" spans="2:233" x14ac:dyDescent="0.25">
      <c r="B30" s="164">
        <v>43997</v>
      </c>
      <c r="C30" s="165">
        <v>0</v>
      </c>
      <c r="D30" s="168">
        <v>91217</v>
      </c>
      <c r="E30" s="168">
        <v>1.0589999999999999</v>
      </c>
      <c r="F30" s="192">
        <v>20480</v>
      </c>
      <c r="G30" s="168">
        <v>87191</v>
      </c>
      <c r="H30" s="168">
        <v>1.3240000000000001</v>
      </c>
      <c r="I30" s="192">
        <v>25440</v>
      </c>
      <c r="J30" s="168">
        <v>10262</v>
      </c>
      <c r="K30" s="168">
        <v>7.8E-2</v>
      </c>
      <c r="L30" s="192">
        <v>4400</v>
      </c>
      <c r="M30" s="168">
        <v>10144</v>
      </c>
      <c r="N30" s="168">
        <v>0.81</v>
      </c>
      <c r="O30" s="192">
        <v>4800</v>
      </c>
      <c r="P30" s="168">
        <v>10842</v>
      </c>
      <c r="Q30" s="168">
        <v>0.85</v>
      </c>
      <c r="R30" s="192">
        <v>4400</v>
      </c>
      <c r="S30" s="168">
        <v>71220</v>
      </c>
      <c r="T30" s="168">
        <v>1.7410000000000001</v>
      </c>
      <c r="U30" s="192">
        <v>55500</v>
      </c>
      <c r="V30" s="168">
        <v>67865</v>
      </c>
      <c r="W30" s="168">
        <v>1.8049999999999999</v>
      </c>
      <c r="X30" s="192">
        <v>35100</v>
      </c>
      <c r="Y30" s="168">
        <v>16833</v>
      </c>
      <c r="Z30" s="168">
        <v>1.79</v>
      </c>
      <c r="AA30" s="192">
        <v>3680</v>
      </c>
      <c r="AB30" s="168">
        <v>11355</v>
      </c>
      <c r="AC30" s="168">
        <v>0.77</v>
      </c>
      <c r="AD30" s="192">
        <v>800</v>
      </c>
      <c r="AE30" s="168">
        <v>86399</v>
      </c>
      <c r="AF30" s="168">
        <v>0.94799999999999995</v>
      </c>
      <c r="AG30" s="192">
        <v>24600</v>
      </c>
      <c r="AH30" s="168">
        <v>16386</v>
      </c>
      <c r="AI30" s="168">
        <v>0.28899999999999998</v>
      </c>
      <c r="AJ30" s="192">
        <v>1080</v>
      </c>
      <c r="AK30" s="241">
        <v>57427</v>
      </c>
      <c r="AL30" s="192">
        <v>345</v>
      </c>
      <c r="AM30" s="192"/>
      <c r="AN30" s="166"/>
      <c r="AO30" s="192">
        <v>180625</v>
      </c>
      <c r="AP30" s="168">
        <v>25680</v>
      </c>
      <c r="AQ30" s="168">
        <v>0.14217301038062283</v>
      </c>
      <c r="AR30" s="168"/>
      <c r="AS30" s="176"/>
      <c r="AT30" s="181">
        <v>43997</v>
      </c>
      <c r="AU30" s="168">
        <v>59137</v>
      </c>
      <c r="AV30" s="192">
        <v>13000</v>
      </c>
      <c r="AW30" s="168">
        <v>7540</v>
      </c>
      <c r="AX30" s="192">
        <v>1900</v>
      </c>
      <c r="AY30" s="189">
        <v>2792</v>
      </c>
      <c r="AZ30" s="190">
        <v>861</v>
      </c>
      <c r="BA30" s="168">
        <v>48577</v>
      </c>
      <c r="BB30" s="192">
        <v>960</v>
      </c>
      <c r="BC30" s="166"/>
      <c r="BD30" s="178"/>
      <c r="BE30" s="169">
        <v>16721</v>
      </c>
      <c r="BF30" s="168"/>
      <c r="BG30" s="168"/>
      <c r="BH30" s="177"/>
      <c r="BI30" s="176"/>
      <c r="BJ30" s="166"/>
      <c r="BK30" s="170">
        <v>57427</v>
      </c>
      <c r="BL30" s="166"/>
      <c r="BM30" s="166"/>
      <c r="BN30" s="171"/>
      <c r="BO30" s="174">
        <v>87191</v>
      </c>
      <c r="BP30" s="166"/>
      <c r="BQ30" s="166"/>
      <c r="BR30" s="166"/>
      <c r="BS30" s="166"/>
      <c r="BT30" s="166"/>
      <c r="BU30" s="166"/>
      <c r="BV30" s="166"/>
      <c r="BW30" s="171"/>
      <c r="BX30" s="174">
        <v>91217</v>
      </c>
      <c r="BY30" s="166"/>
      <c r="BZ30" s="166"/>
      <c r="CA30" s="166"/>
      <c r="CB30" s="166"/>
      <c r="CC30" s="166"/>
      <c r="CD30" s="166"/>
      <c r="CE30" s="166"/>
      <c r="CF30" s="171"/>
      <c r="CG30" s="174">
        <v>71220</v>
      </c>
      <c r="CH30" s="166"/>
      <c r="CI30" s="166"/>
      <c r="CJ30" s="166"/>
      <c r="CK30" s="166"/>
      <c r="CL30" s="166"/>
      <c r="CM30" s="166"/>
      <c r="CN30" s="166"/>
      <c r="CO30" s="171"/>
      <c r="CP30" s="174">
        <v>16386</v>
      </c>
      <c r="CQ30" s="166"/>
      <c r="CR30" s="166"/>
      <c r="CS30" s="166"/>
      <c r="CT30" s="166"/>
      <c r="CU30" s="166"/>
      <c r="CV30" s="166"/>
      <c r="CW30" s="166"/>
      <c r="CX30" s="171"/>
      <c r="CY30" s="174">
        <v>67865</v>
      </c>
      <c r="CZ30" s="166"/>
      <c r="DA30" s="166"/>
      <c r="DB30" s="166"/>
      <c r="DC30" s="183"/>
      <c r="DD30" s="166"/>
      <c r="DE30" s="166"/>
      <c r="DF30" s="166"/>
      <c r="DG30" s="171"/>
      <c r="DH30" s="174">
        <v>10144</v>
      </c>
      <c r="DI30" s="166"/>
      <c r="DJ30" s="166"/>
      <c r="DK30" s="166"/>
      <c r="DL30" s="183"/>
      <c r="DM30" s="166"/>
      <c r="DN30" s="166"/>
      <c r="DO30" s="166"/>
      <c r="DP30" s="171"/>
      <c r="DQ30" s="174">
        <v>71220</v>
      </c>
      <c r="DR30" s="166"/>
      <c r="DS30" s="166"/>
      <c r="DT30" s="166"/>
      <c r="DU30" s="166"/>
      <c r="DV30" s="166"/>
      <c r="DW30" s="166"/>
      <c r="DX30" s="166"/>
      <c r="DY30" s="171"/>
      <c r="DZ30" s="174">
        <v>10842</v>
      </c>
      <c r="EA30" s="166"/>
      <c r="EB30" s="166"/>
      <c r="EC30" s="166"/>
      <c r="ED30" s="166"/>
      <c r="EE30" s="166"/>
      <c r="EF30" s="166"/>
      <c r="EG30" s="166"/>
      <c r="EH30" s="171"/>
      <c r="EI30" s="174">
        <v>16833</v>
      </c>
      <c r="EJ30" s="166"/>
      <c r="EK30" s="166"/>
      <c r="EL30" s="166"/>
      <c r="EM30" s="166"/>
      <c r="EN30" s="166"/>
      <c r="EO30" s="166"/>
      <c r="EP30" s="166"/>
      <c r="EQ30" s="171"/>
      <c r="ER30" s="174">
        <v>11355</v>
      </c>
      <c r="ES30" s="166"/>
      <c r="ET30" s="166"/>
      <c r="EU30" s="166"/>
      <c r="EV30" s="166"/>
      <c r="EW30" s="166"/>
      <c r="EX30" s="166"/>
      <c r="EY30" s="166"/>
      <c r="EZ30" s="171"/>
      <c r="FA30" s="170">
        <v>86399</v>
      </c>
      <c r="FB30" s="185"/>
      <c r="FC30" s="185"/>
      <c r="FD30" s="175"/>
      <c r="FE30" s="175"/>
      <c r="FF30" s="175"/>
      <c r="FG30" s="166"/>
      <c r="FH30" s="175"/>
      <c r="FI30" s="175"/>
      <c r="FJ30" s="179"/>
      <c r="FK30" s="182"/>
      <c r="FL30" s="166"/>
      <c r="FM30" s="166"/>
      <c r="FN30" s="166"/>
      <c r="FO30" s="176"/>
      <c r="FP30" s="166"/>
      <c r="FQ30" s="174">
        <v>7540</v>
      </c>
      <c r="FR30" s="166"/>
      <c r="FS30" s="166"/>
      <c r="FT30" s="166"/>
      <c r="FU30" s="166"/>
      <c r="FV30" s="166"/>
      <c r="FW30" s="166"/>
      <c r="FX30" s="166"/>
      <c r="FY30" s="171"/>
      <c r="FZ30" s="174">
        <v>59137</v>
      </c>
      <c r="GA30" s="166"/>
      <c r="GB30" s="166"/>
      <c r="GC30" s="166"/>
      <c r="GD30" s="166"/>
      <c r="GE30" s="166"/>
      <c r="GF30" s="166"/>
      <c r="GG30" s="166"/>
      <c r="GH30" s="171"/>
      <c r="GI30" s="174">
        <v>2792</v>
      </c>
      <c r="GJ30" s="166"/>
      <c r="GK30" s="166"/>
      <c r="GL30" s="166"/>
      <c r="GM30" s="166"/>
      <c r="GN30" s="171"/>
      <c r="GO30" s="174">
        <v>48577</v>
      </c>
      <c r="GP30" s="166"/>
      <c r="GQ30" s="166"/>
      <c r="GR30" s="166"/>
      <c r="GS30" s="166"/>
      <c r="GT30" s="166"/>
      <c r="GU30" s="166"/>
      <c r="GV30" s="166"/>
      <c r="GW30" s="171"/>
      <c r="GX30" s="166"/>
      <c r="GY30" s="166"/>
      <c r="GZ30" s="166"/>
      <c r="HA30" s="166"/>
      <c r="HB30" s="187"/>
      <c r="HC30" s="166"/>
      <c r="HD30" s="166"/>
      <c r="HE30" s="166"/>
      <c r="HF30" s="166"/>
      <c r="HG30" s="166"/>
      <c r="HH30" s="166"/>
      <c r="HI30" s="166"/>
      <c r="HJ30" s="166"/>
      <c r="HK30" s="166"/>
      <c r="HL30" s="171"/>
      <c r="HM30" s="166"/>
      <c r="HN30" s="166"/>
      <c r="HO30" s="166"/>
      <c r="HP30" s="166"/>
      <c r="HQ30" s="187"/>
      <c r="HR30" s="166"/>
      <c r="HS30" s="166"/>
      <c r="HT30" s="166"/>
      <c r="HU30" s="166"/>
      <c r="HV30" s="166"/>
      <c r="HW30" s="166"/>
      <c r="HX30" s="166"/>
      <c r="HY30" s="166"/>
    </row>
    <row r="31" spans="2:233" x14ac:dyDescent="0.25">
      <c r="B31" s="164">
        <v>44004</v>
      </c>
      <c r="C31" s="165">
        <v>0</v>
      </c>
      <c r="D31" s="168">
        <v>91384</v>
      </c>
      <c r="E31" s="168">
        <v>1.125</v>
      </c>
      <c r="F31" s="192">
        <v>26720</v>
      </c>
      <c r="G31" s="168">
        <v>87384</v>
      </c>
      <c r="H31" s="168">
        <v>1.38</v>
      </c>
      <c r="I31" s="192">
        <v>30880</v>
      </c>
      <c r="J31" s="168">
        <v>10281</v>
      </c>
      <c r="K31" s="168">
        <v>1.65</v>
      </c>
      <c r="L31" s="192">
        <v>7600</v>
      </c>
      <c r="M31" s="168">
        <v>10164</v>
      </c>
      <c r="N31" s="168">
        <v>1.65</v>
      </c>
      <c r="O31" s="192">
        <v>8000</v>
      </c>
      <c r="P31" s="168">
        <v>10860</v>
      </c>
      <c r="Q31" s="168">
        <v>1.42</v>
      </c>
      <c r="R31" s="192">
        <v>7200</v>
      </c>
      <c r="S31" s="168">
        <v>71435</v>
      </c>
      <c r="T31" s="168">
        <v>2.0329999999999999</v>
      </c>
      <c r="U31" s="192">
        <v>64500</v>
      </c>
      <c r="V31" s="168">
        <v>68036</v>
      </c>
      <c r="W31" s="168">
        <v>0.92600000000000005</v>
      </c>
      <c r="X31" s="192">
        <v>51300</v>
      </c>
      <c r="Y31" s="168">
        <v>16861</v>
      </c>
      <c r="Z31" s="168">
        <v>1.99</v>
      </c>
      <c r="AA31" s="192">
        <v>4480</v>
      </c>
      <c r="AB31" s="168">
        <v>11363</v>
      </c>
      <c r="AC31" s="168">
        <v>1.27</v>
      </c>
      <c r="AD31" s="192">
        <v>1280</v>
      </c>
      <c r="AE31" s="168">
        <v>86541</v>
      </c>
      <c r="AF31" s="168">
        <v>0.83899999999999997</v>
      </c>
      <c r="AG31" s="192">
        <v>28400</v>
      </c>
      <c r="AH31" s="168">
        <v>16421</v>
      </c>
      <c r="AI31" s="168">
        <v>0.255</v>
      </c>
      <c r="AJ31" s="192">
        <v>1400</v>
      </c>
      <c r="AK31" s="241">
        <v>57676</v>
      </c>
      <c r="AL31" s="192">
        <v>249</v>
      </c>
      <c r="AM31" s="192"/>
      <c r="AN31" s="166"/>
      <c r="AO31" s="192">
        <v>232009</v>
      </c>
      <c r="AP31" s="168">
        <v>29800</v>
      </c>
      <c r="AQ31" s="168">
        <v>0.12844329314811062</v>
      </c>
      <c r="AR31" s="168"/>
      <c r="AS31" s="176"/>
      <c r="AT31" s="181">
        <v>44004</v>
      </c>
      <c r="AU31" s="168">
        <v>59275</v>
      </c>
      <c r="AV31" s="192">
        <v>13800</v>
      </c>
      <c r="AW31" s="168">
        <v>7559</v>
      </c>
      <c r="AX31" s="192">
        <v>1900</v>
      </c>
      <c r="AY31" s="189">
        <v>3694</v>
      </c>
      <c r="AZ31" s="190">
        <v>902</v>
      </c>
      <c r="BA31" s="168">
        <v>48701</v>
      </c>
      <c r="BB31" s="192">
        <v>4960</v>
      </c>
      <c r="BC31" s="166"/>
      <c r="BD31" s="178"/>
      <c r="BE31" s="169">
        <v>21562</v>
      </c>
      <c r="BF31" s="168"/>
      <c r="BG31" s="168"/>
      <c r="BH31" s="177"/>
      <c r="BI31" s="176"/>
      <c r="BJ31" s="166"/>
      <c r="BK31" s="170">
        <v>57676</v>
      </c>
      <c r="BL31" s="166"/>
      <c r="BM31" s="166"/>
      <c r="BN31" s="171"/>
      <c r="BO31" s="174">
        <v>87384</v>
      </c>
      <c r="BP31" s="166"/>
      <c r="BQ31" s="166"/>
      <c r="BR31" s="166"/>
      <c r="BS31" s="166"/>
      <c r="BT31" s="166"/>
      <c r="BU31" s="166"/>
      <c r="BV31" s="166"/>
      <c r="BW31" s="171"/>
      <c r="BX31" s="174">
        <v>91384</v>
      </c>
      <c r="BY31" s="166"/>
      <c r="BZ31" s="166"/>
      <c r="CA31" s="166"/>
      <c r="CB31" s="166"/>
      <c r="CC31" s="166"/>
      <c r="CD31" s="166"/>
      <c r="CE31" s="166"/>
      <c r="CF31" s="171"/>
      <c r="CG31" s="174">
        <v>71435</v>
      </c>
      <c r="CH31" s="166"/>
      <c r="CI31" s="166"/>
      <c r="CJ31" s="166"/>
      <c r="CK31" s="166"/>
      <c r="CL31" s="166"/>
      <c r="CM31" s="166"/>
      <c r="CN31" s="166"/>
      <c r="CO31" s="171"/>
      <c r="CP31" s="174">
        <v>16421</v>
      </c>
      <c r="CQ31" s="166"/>
      <c r="CR31" s="166"/>
      <c r="CS31" s="166"/>
      <c r="CT31" s="166"/>
      <c r="CU31" s="166"/>
      <c r="CV31" s="166"/>
      <c r="CW31" s="166"/>
      <c r="CX31" s="171"/>
      <c r="CY31" s="174">
        <v>68036</v>
      </c>
      <c r="CZ31" s="166"/>
      <c r="DA31" s="166"/>
      <c r="DB31" s="166"/>
      <c r="DC31" s="183"/>
      <c r="DD31" s="166"/>
      <c r="DE31" s="166"/>
      <c r="DF31" s="166"/>
      <c r="DG31" s="171"/>
      <c r="DH31" s="174">
        <v>10164</v>
      </c>
      <c r="DI31" s="166"/>
      <c r="DJ31" s="166"/>
      <c r="DK31" s="166"/>
      <c r="DL31" s="183"/>
      <c r="DM31" s="166"/>
      <c r="DN31" s="166"/>
      <c r="DO31" s="166"/>
      <c r="DP31" s="171"/>
      <c r="DQ31" s="174">
        <v>71435</v>
      </c>
      <c r="DR31" s="166"/>
      <c r="DS31" s="166"/>
      <c r="DT31" s="166"/>
      <c r="DU31" s="166"/>
      <c r="DV31" s="166"/>
      <c r="DW31" s="166"/>
      <c r="DX31" s="166"/>
      <c r="DY31" s="171"/>
      <c r="DZ31" s="174">
        <v>10860</v>
      </c>
      <c r="EA31" s="166"/>
      <c r="EB31" s="166"/>
      <c r="EC31" s="166"/>
      <c r="ED31" s="166"/>
      <c r="EE31" s="166"/>
      <c r="EF31" s="166"/>
      <c r="EG31" s="166"/>
      <c r="EH31" s="171"/>
      <c r="EI31" s="174">
        <v>16861</v>
      </c>
      <c r="EJ31" s="166"/>
      <c r="EK31" s="166"/>
      <c r="EL31" s="166"/>
      <c r="EM31" s="166"/>
      <c r="EN31" s="166"/>
      <c r="EO31" s="166"/>
      <c r="EP31" s="166"/>
      <c r="EQ31" s="171"/>
      <c r="ER31" s="174">
        <v>11363</v>
      </c>
      <c r="ES31" s="166"/>
      <c r="ET31" s="166"/>
      <c r="EU31" s="166"/>
      <c r="EV31" s="166"/>
      <c r="EW31" s="166"/>
      <c r="EX31" s="166"/>
      <c r="EY31" s="166"/>
      <c r="EZ31" s="171"/>
      <c r="FA31" s="170">
        <v>86541</v>
      </c>
      <c r="FB31" s="185"/>
      <c r="FC31" s="185"/>
      <c r="FD31" s="175"/>
      <c r="FE31" s="175"/>
      <c r="FF31" s="175"/>
      <c r="FG31" s="166"/>
      <c r="FH31" s="175"/>
      <c r="FI31" s="175"/>
      <c r="FJ31" s="179"/>
      <c r="FK31" s="182"/>
      <c r="FL31" s="166"/>
      <c r="FM31" s="166"/>
      <c r="FN31" s="166"/>
      <c r="FO31" s="176"/>
      <c r="FP31" s="166"/>
      <c r="FQ31" s="174">
        <v>7559</v>
      </c>
      <c r="FR31" s="166"/>
      <c r="FS31" s="166"/>
      <c r="FT31" s="166"/>
      <c r="FU31" s="166"/>
      <c r="FV31" s="166"/>
      <c r="FW31" s="166"/>
      <c r="FX31" s="166"/>
      <c r="FY31" s="171"/>
      <c r="FZ31" s="174">
        <v>59275</v>
      </c>
      <c r="GA31" s="166"/>
      <c r="GB31" s="166"/>
      <c r="GC31" s="166"/>
      <c r="GD31" s="166"/>
      <c r="GE31" s="166"/>
      <c r="GF31" s="166"/>
      <c r="GG31" s="166"/>
      <c r="GH31" s="171"/>
      <c r="GI31" s="174">
        <v>3694</v>
      </c>
      <c r="GJ31" s="166"/>
      <c r="GK31" s="166"/>
      <c r="GL31" s="166"/>
      <c r="GM31" s="166"/>
      <c r="GN31" s="171"/>
      <c r="GO31" s="174">
        <v>48701</v>
      </c>
      <c r="GP31" s="166"/>
      <c r="GQ31" s="166"/>
      <c r="GR31" s="166"/>
      <c r="GS31" s="166"/>
      <c r="GT31" s="166"/>
      <c r="GU31" s="166"/>
      <c r="GV31" s="166"/>
      <c r="GW31" s="171"/>
      <c r="GX31" s="166"/>
      <c r="GY31" s="166"/>
      <c r="GZ31" s="166"/>
      <c r="HA31" s="166"/>
      <c r="HB31" s="187"/>
      <c r="HC31" s="166"/>
      <c r="HD31" s="166"/>
      <c r="HE31" s="166"/>
      <c r="HF31" s="166"/>
      <c r="HG31" s="166"/>
      <c r="HH31" s="166"/>
      <c r="HI31" s="166"/>
      <c r="HJ31" s="166"/>
      <c r="HK31" s="166"/>
      <c r="HL31" s="171"/>
      <c r="HM31" s="166"/>
      <c r="HN31" s="166"/>
      <c r="HO31" s="166"/>
      <c r="HP31" s="166"/>
      <c r="HQ31" s="187"/>
      <c r="HR31" s="166"/>
      <c r="HS31" s="166"/>
      <c r="HT31" s="166"/>
      <c r="HU31" s="166"/>
      <c r="HV31" s="166"/>
      <c r="HW31" s="166"/>
      <c r="HX31" s="166"/>
      <c r="HY31" s="166"/>
    </row>
    <row r="32" spans="2:233" x14ac:dyDescent="0.25">
      <c r="B32" s="164">
        <v>44011</v>
      </c>
      <c r="C32" s="165">
        <v>0</v>
      </c>
      <c r="D32" s="168">
        <v>91553</v>
      </c>
      <c r="E32" s="168">
        <v>1.5349999999999999</v>
      </c>
      <c r="F32" s="192">
        <v>27040</v>
      </c>
      <c r="G32" s="168">
        <v>87553</v>
      </c>
      <c r="H32" s="168">
        <v>1.0531999999999999</v>
      </c>
      <c r="I32" s="192">
        <v>27040</v>
      </c>
      <c r="J32" s="168">
        <v>10298</v>
      </c>
      <c r="K32" s="168">
        <v>1.65</v>
      </c>
      <c r="L32" s="192">
        <v>6800</v>
      </c>
      <c r="M32" s="168">
        <v>10181</v>
      </c>
      <c r="N32" s="168">
        <v>1.63</v>
      </c>
      <c r="O32" s="192">
        <v>6800</v>
      </c>
      <c r="P32" s="168">
        <v>10877</v>
      </c>
      <c r="Q32" s="168">
        <v>1.42</v>
      </c>
      <c r="R32" s="192">
        <v>6800</v>
      </c>
      <c r="S32" s="168">
        <v>71612</v>
      </c>
      <c r="T32" s="168">
        <v>2.0329999999999999</v>
      </c>
      <c r="U32" s="192">
        <v>53100</v>
      </c>
      <c r="V32" s="168">
        <v>68245</v>
      </c>
      <c r="W32" s="168">
        <v>1.8640000000000001</v>
      </c>
      <c r="X32" s="192">
        <v>62700</v>
      </c>
      <c r="Y32" s="168">
        <v>16890</v>
      </c>
      <c r="Z32" s="168">
        <v>2.5299999999999998</v>
      </c>
      <c r="AA32" s="192">
        <v>4640</v>
      </c>
      <c r="AB32" s="168">
        <v>11374</v>
      </c>
      <c r="AC32" s="168">
        <v>1.37</v>
      </c>
      <c r="AD32" s="192">
        <v>1760</v>
      </c>
      <c r="AE32" s="168">
        <v>86684</v>
      </c>
      <c r="AF32" s="168">
        <v>1.468</v>
      </c>
      <c r="AG32" s="192">
        <v>28600</v>
      </c>
      <c r="AH32" s="168">
        <v>16451</v>
      </c>
      <c r="AI32" s="168">
        <v>0.30499999999999999</v>
      </c>
      <c r="AJ32" s="192">
        <v>1200</v>
      </c>
      <c r="AK32" s="241">
        <v>57908</v>
      </c>
      <c r="AL32" s="192">
        <v>232</v>
      </c>
      <c r="AM32" s="192"/>
      <c r="AN32" s="166"/>
      <c r="AO32" s="192">
        <v>226712</v>
      </c>
      <c r="AP32" s="168">
        <v>29800</v>
      </c>
      <c r="AQ32" s="168">
        <v>0.13144429937541904</v>
      </c>
      <c r="AR32" s="168"/>
      <c r="AS32" s="176"/>
      <c r="AT32" s="181">
        <v>44011</v>
      </c>
      <c r="AU32" s="168">
        <v>59413</v>
      </c>
      <c r="AV32" s="192">
        <v>13800</v>
      </c>
      <c r="AW32" s="168">
        <v>7578</v>
      </c>
      <c r="AX32" s="192">
        <v>1900</v>
      </c>
      <c r="AY32" s="189">
        <v>4506</v>
      </c>
      <c r="AZ32" s="190">
        <v>812</v>
      </c>
      <c r="BA32" s="168">
        <v>48808</v>
      </c>
      <c r="BB32" s="192">
        <v>4280</v>
      </c>
      <c r="BC32" s="166"/>
      <c r="BD32" s="178"/>
      <c r="BE32" s="169">
        <v>20792</v>
      </c>
      <c r="BF32" s="168"/>
      <c r="BG32" s="168"/>
      <c r="BH32" s="177"/>
      <c r="BI32" s="176"/>
      <c r="BJ32" s="166"/>
      <c r="BK32" s="170">
        <v>57908</v>
      </c>
      <c r="BL32" s="166"/>
      <c r="BM32" s="166"/>
      <c r="BN32" s="171"/>
      <c r="BO32" s="174">
        <v>87553</v>
      </c>
      <c r="BP32" s="166"/>
      <c r="BQ32" s="166"/>
      <c r="BR32" s="166"/>
      <c r="BS32" s="166"/>
      <c r="BT32" s="166"/>
      <c r="BU32" s="166"/>
      <c r="BV32" s="166"/>
      <c r="BW32" s="171"/>
      <c r="BX32" s="174">
        <v>91553</v>
      </c>
      <c r="BY32" s="166"/>
      <c r="BZ32" s="166"/>
      <c r="CA32" s="166"/>
      <c r="CB32" s="166"/>
      <c r="CC32" s="166"/>
      <c r="CD32" s="166"/>
      <c r="CE32" s="166"/>
      <c r="CF32" s="171"/>
      <c r="CG32" s="174">
        <v>71612</v>
      </c>
      <c r="CH32" s="166"/>
      <c r="CI32" s="166"/>
      <c r="CJ32" s="166"/>
      <c r="CK32" s="166"/>
      <c r="CL32" s="166"/>
      <c r="CM32" s="166"/>
      <c r="CN32" s="166"/>
      <c r="CO32" s="171"/>
      <c r="CP32" s="174">
        <v>16451</v>
      </c>
      <c r="CQ32" s="166"/>
      <c r="CR32" s="166"/>
      <c r="CS32" s="166"/>
      <c r="CT32" s="166"/>
      <c r="CU32" s="166"/>
      <c r="CV32" s="166"/>
      <c r="CW32" s="166"/>
      <c r="CX32" s="171"/>
      <c r="CY32" s="174">
        <v>68245</v>
      </c>
      <c r="CZ32" s="166"/>
      <c r="DA32" s="166"/>
      <c r="DB32" s="166"/>
      <c r="DC32" s="183"/>
      <c r="DD32" s="166"/>
      <c r="DE32" s="166"/>
      <c r="DF32" s="166"/>
      <c r="DG32" s="171"/>
      <c r="DH32" s="174">
        <v>10181</v>
      </c>
      <c r="DI32" s="166"/>
      <c r="DJ32" s="166"/>
      <c r="DK32" s="166"/>
      <c r="DL32" s="183"/>
      <c r="DM32" s="166"/>
      <c r="DN32" s="166"/>
      <c r="DO32" s="166"/>
      <c r="DP32" s="171"/>
      <c r="DQ32" s="174">
        <v>71612</v>
      </c>
      <c r="DR32" s="166"/>
      <c r="DS32" s="166"/>
      <c r="DT32" s="166"/>
      <c r="DU32" s="166"/>
      <c r="DV32" s="166"/>
      <c r="DW32" s="166"/>
      <c r="DX32" s="166"/>
      <c r="DY32" s="171"/>
      <c r="DZ32" s="174">
        <v>10877</v>
      </c>
      <c r="EA32" s="166"/>
      <c r="EB32" s="166"/>
      <c r="EC32" s="166"/>
      <c r="ED32" s="166"/>
      <c r="EE32" s="166"/>
      <c r="EF32" s="166"/>
      <c r="EG32" s="166"/>
      <c r="EH32" s="171"/>
      <c r="EI32" s="174">
        <v>16890</v>
      </c>
      <c r="EJ32" s="166"/>
      <c r="EK32" s="166"/>
      <c r="EL32" s="166"/>
      <c r="EM32" s="166"/>
      <c r="EN32" s="166"/>
      <c r="EO32" s="166"/>
      <c r="EP32" s="166"/>
      <c r="EQ32" s="171"/>
      <c r="ER32" s="174">
        <v>11374</v>
      </c>
      <c r="ES32" s="166"/>
      <c r="ET32" s="166"/>
      <c r="EU32" s="166"/>
      <c r="EV32" s="166"/>
      <c r="EW32" s="166"/>
      <c r="EX32" s="166"/>
      <c r="EY32" s="166"/>
      <c r="EZ32" s="171"/>
      <c r="FA32" s="170">
        <v>86684</v>
      </c>
      <c r="FB32" s="185"/>
      <c r="FC32" s="185"/>
      <c r="FD32" s="175"/>
      <c r="FE32" s="175"/>
      <c r="FF32" s="175"/>
      <c r="FG32" s="166"/>
      <c r="FH32" s="175"/>
      <c r="FI32" s="175"/>
      <c r="FJ32" s="179"/>
      <c r="FK32" s="182"/>
      <c r="FL32" s="166"/>
      <c r="FM32" s="166"/>
      <c r="FN32" s="166"/>
      <c r="FO32" s="176"/>
      <c r="FP32" s="166"/>
      <c r="FQ32" s="174">
        <v>7578</v>
      </c>
      <c r="FR32" s="166"/>
      <c r="FS32" s="166"/>
      <c r="FT32" s="166"/>
      <c r="FU32" s="166"/>
      <c r="FV32" s="166"/>
      <c r="FW32" s="166"/>
      <c r="FX32" s="166"/>
      <c r="FY32" s="171"/>
      <c r="FZ32" s="174">
        <v>59413</v>
      </c>
      <c r="GA32" s="166"/>
      <c r="GB32" s="166"/>
      <c r="GC32" s="166"/>
      <c r="GD32" s="166"/>
      <c r="GE32" s="166"/>
      <c r="GF32" s="166"/>
      <c r="GG32" s="166"/>
      <c r="GH32" s="171"/>
      <c r="GI32" s="174">
        <v>4506</v>
      </c>
      <c r="GJ32" s="166"/>
      <c r="GK32" s="166"/>
      <c r="GL32" s="166"/>
      <c r="GM32" s="166"/>
      <c r="GN32" s="171"/>
      <c r="GO32" s="174">
        <v>48808</v>
      </c>
      <c r="GP32" s="166"/>
      <c r="GQ32" s="166"/>
      <c r="GR32" s="166"/>
      <c r="GS32" s="166"/>
      <c r="GT32" s="166"/>
      <c r="GU32" s="166"/>
      <c r="GV32" s="166"/>
      <c r="GW32" s="171"/>
      <c r="GX32" s="166"/>
      <c r="GY32" s="166"/>
      <c r="GZ32" s="166"/>
      <c r="HA32" s="166"/>
      <c r="HB32" s="187"/>
      <c r="HC32" s="166"/>
      <c r="HD32" s="166"/>
      <c r="HE32" s="166"/>
      <c r="HF32" s="166"/>
      <c r="HG32" s="166"/>
      <c r="HH32" s="166"/>
      <c r="HI32" s="166"/>
      <c r="HJ32" s="166"/>
      <c r="HK32" s="166"/>
      <c r="HL32" s="171"/>
      <c r="HM32" s="166"/>
      <c r="HN32" s="166"/>
      <c r="HO32" s="166"/>
      <c r="HP32" s="166"/>
      <c r="HQ32" s="187"/>
      <c r="HR32" s="166"/>
      <c r="HS32" s="166"/>
      <c r="HT32" s="166"/>
      <c r="HU32" s="166"/>
      <c r="HV32" s="166"/>
      <c r="HW32" s="166"/>
      <c r="HX32" s="166"/>
      <c r="HY32" s="166"/>
    </row>
    <row r="33" spans="2:229" x14ac:dyDescent="0.25">
      <c r="B33" s="164">
        <v>44013</v>
      </c>
      <c r="C33" s="165">
        <v>79</v>
      </c>
      <c r="D33" s="168">
        <v>91605</v>
      </c>
      <c r="E33" s="168">
        <v>1.611</v>
      </c>
      <c r="F33" s="192">
        <v>8320</v>
      </c>
      <c r="G33" s="168">
        <v>87620</v>
      </c>
      <c r="H33" s="168">
        <v>1.665</v>
      </c>
      <c r="I33" s="192">
        <v>10720</v>
      </c>
      <c r="J33" s="168">
        <v>10302</v>
      </c>
      <c r="K33" s="168">
        <v>1.65</v>
      </c>
      <c r="L33" s="192">
        <v>1600</v>
      </c>
      <c r="M33" s="168">
        <v>10185</v>
      </c>
      <c r="N33" s="168">
        <v>1.65</v>
      </c>
      <c r="O33" s="192">
        <v>1600</v>
      </c>
      <c r="P33" s="168">
        <v>10882</v>
      </c>
      <c r="Q33" s="168">
        <v>1.42</v>
      </c>
      <c r="R33" s="192">
        <v>2000</v>
      </c>
      <c r="S33" s="168">
        <v>71679</v>
      </c>
      <c r="T33" s="168">
        <v>2.1230000000000002</v>
      </c>
      <c r="U33" s="192">
        <v>20100</v>
      </c>
      <c r="V33" s="168">
        <v>68294</v>
      </c>
      <c r="W33" s="168">
        <v>1.8839999999999999</v>
      </c>
      <c r="X33" s="192">
        <v>14700</v>
      </c>
      <c r="Y33" s="168">
        <v>16899</v>
      </c>
      <c r="Z33" s="168">
        <v>2.67</v>
      </c>
      <c r="AA33" s="192">
        <v>1440</v>
      </c>
      <c r="AB33" s="168">
        <v>11378</v>
      </c>
      <c r="AC33" s="168">
        <v>2.44</v>
      </c>
      <c r="AD33" s="192">
        <v>640</v>
      </c>
      <c r="AE33" s="168">
        <v>86748</v>
      </c>
      <c r="AF33" s="168">
        <v>1.887</v>
      </c>
      <c r="AG33" s="192">
        <v>12800</v>
      </c>
      <c r="AH33" s="168">
        <v>16459</v>
      </c>
      <c r="AI33" s="168">
        <v>0.30499999999999999</v>
      </c>
      <c r="AJ33" s="192">
        <v>320</v>
      </c>
      <c r="AK33" s="241">
        <v>57962</v>
      </c>
      <c r="AL33" s="192">
        <v>54</v>
      </c>
      <c r="AM33" s="192"/>
      <c r="AN33" s="166"/>
      <c r="AO33" s="192">
        <v>74294</v>
      </c>
      <c r="AP33" s="168">
        <v>13120</v>
      </c>
      <c r="AQ33" s="168">
        <v>0.17659568740409723</v>
      </c>
      <c r="AR33" s="168">
        <v>879148</v>
      </c>
      <c r="AS33" s="176"/>
      <c r="AT33" s="181">
        <v>44013</v>
      </c>
      <c r="AU33" s="168">
        <v>59452</v>
      </c>
      <c r="AV33" s="192">
        <v>3900</v>
      </c>
      <c r="AW33" s="168">
        <v>7585</v>
      </c>
      <c r="AX33" s="192">
        <v>700</v>
      </c>
      <c r="AY33" s="189">
        <v>4746</v>
      </c>
      <c r="AZ33" s="190">
        <v>240</v>
      </c>
      <c r="BA33" s="168">
        <v>48862</v>
      </c>
      <c r="BB33" s="192">
        <v>2160</v>
      </c>
      <c r="BC33" s="166"/>
      <c r="BD33" s="178"/>
      <c r="BE33" s="169">
        <v>7000</v>
      </c>
      <c r="BF33" s="168">
        <v>83096</v>
      </c>
      <c r="BG33" s="168">
        <v>962244</v>
      </c>
      <c r="BH33" s="177"/>
      <c r="BI33" s="176"/>
      <c r="BJ33" s="166"/>
      <c r="BK33" s="170">
        <v>57962</v>
      </c>
      <c r="BL33" s="168">
        <v>57644</v>
      </c>
      <c r="BM33" s="170">
        <v>833</v>
      </c>
      <c r="BN33" s="173">
        <v>146.9266796</v>
      </c>
      <c r="BO33" s="174">
        <v>87620</v>
      </c>
      <c r="BP33" s="168">
        <v>87398</v>
      </c>
      <c r="BQ33" s="168">
        <v>1.407</v>
      </c>
      <c r="BR33" s="170">
        <v>99680</v>
      </c>
      <c r="BS33" s="170">
        <v>225.12</v>
      </c>
      <c r="BT33" s="173">
        <v>5138.5039999999999</v>
      </c>
      <c r="BU33" s="173">
        <v>2088.2959999999998</v>
      </c>
      <c r="BV33" s="173">
        <v>1730.94768</v>
      </c>
      <c r="BW33" s="173">
        <v>8021.7479999999996</v>
      </c>
      <c r="BX33" s="174">
        <v>91605</v>
      </c>
      <c r="BY33" s="168">
        <v>91397</v>
      </c>
      <c r="BZ33" s="168">
        <v>1.28</v>
      </c>
      <c r="CA33" s="170">
        <v>82240</v>
      </c>
      <c r="CB33" s="170">
        <v>204.8</v>
      </c>
      <c r="CC33" s="173">
        <v>4239.4719999999998</v>
      </c>
      <c r="CD33" s="173">
        <v>1722.9279999999999</v>
      </c>
      <c r="CE33" s="173">
        <v>1574.7072000000001</v>
      </c>
      <c r="CF33" s="173">
        <v>6640.4639999999999</v>
      </c>
      <c r="CG33" s="174">
        <v>71679</v>
      </c>
      <c r="CH33" s="168">
        <v>71452</v>
      </c>
      <c r="CI33" s="168">
        <v>1.9650000000000001</v>
      </c>
      <c r="CJ33" s="170">
        <v>181800</v>
      </c>
      <c r="CK33" s="170">
        <v>589.5</v>
      </c>
      <c r="CL33" s="173">
        <v>9371.7899999999991</v>
      </c>
      <c r="CM33" s="173">
        <v>3808.71</v>
      </c>
      <c r="CN33" s="173">
        <v>4532.6655000000001</v>
      </c>
      <c r="CO33" s="173">
        <v>14652.555000000002</v>
      </c>
      <c r="CP33" s="174">
        <v>16459</v>
      </c>
      <c r="CQ33" s="168">
        <v>16423</v>
      </c>
      <c r="CR33" s="168">
        <v>0.3</v>
      </c>
      <c r="CS33" s="170">
        <v>4320</v>
      </c>
      <c r="CT33" s="170">
        <v>12</v>
      </c>
      <c r="CU33" s="173">
        <v>222.696</v>
      </c>
      <c r="CV33" s="173">
        <v>90.504000000000005</v>
      </c>
      <c r="CW33" s="173">
        <v>92.268000000000001</v>
      </c>
      <c r="CX33" s="173">
        <v>369.85200000000003</v>
      </c>
      <c r="CY33" s="174">
        <v>68294</v>
      </c>
      <c r="CZ33" s="168">
        <v>68044</v>
      </c>
      <c r="DA33" s="168">
        <v>1.8660000000000001</v>
      </c>
      <c r="DB33" s="170">
        <v>169200</v>
      </c>
      <c r="DC33" s="184">
        <v>559.80000000000007</v>
      </c>
      <c r="DD33" s="173">
        <v>8722.26</v>
      </c>
      <c r="DE33" s="173">
        <v>3544.74</v>
      </c>
      <c r="DF33" s="173">
        <v>4304.302200000001</v>
      </c>
      <c r="DG33" s="173">
        <v>13761.44</v>
      </c>
      <c r="DH33" s="174">
        <v>10185</v>
      </c>
      <c r="DI33" s="168">
        <v>10166</v>
      </c>
      <c r="DJ33" s="168">
        <v>0.157</v>
      </c>
      <c r="DK33" s="170">
        <v>21200</v>
      </c>
      <c r="DL33" s="184">
        <v>62.8</v>
      </c>
      <c r="DM33" s="173">
        <v>1092.8599999999999</v>
      </c>
      <c r="DN33" s="173">
        <v>444.14</v>
      </c>
      <c r="DO33" s="173">
        <v>482.86919999999998</v>
      </c>
      <c r="DP33" s="173">
        <v>1743.8400000000001</v>
      </c>
      <c r="DQ33" s="174">
        <v>71679</v>
      </c>
      <c r="DR33" s="168">
        <v>10283</v>
      </c>
      <c r="DS33" s="168">
        <v>0.17199999999999999</v>
      </c>
      <c r="DT33" s="170">
        <v>19200</v>
      </c>
      <c r="DU33" s="170">
        <v>68.8</v>
      </c>
      <c r="DV33" s="173">
        <v>989.76</v>
      </c>
      <c r="DW33" s="173">
        <v>402.24</v>
      </c>
      <c r="DX33" s="173">
        <v>529.00319999999999</v>
      </c>
      <c r="DY33" s="173">
        <v>1581.44</v>
      </c>
      <c r="DZ33" s="174">
        <v>10882</v>
      </c>
      <c r="EA33" s="168">
        <v>10862</v>
      </c>
      <c r="EB33" s="168">
        <v>0.154</v>
      </c>
      <c r="EC33" s="170">
        <v>19600</v>
      </c>
      <c r="ED33" s="170">
        <v>61.6</v>
      </c>
      <c r="EE33" s="173">
        <v>1010.38</v>
      </c>
      <c r="EF33" s="173">
        <v>410.62</v>
      </c>
      <c r="EG33" s="173">
        <v>473.64240000000001</v>
      </c>
      <c r="EH33" s="173">
        <v>1613.92</v>
      </c>
      <c r="EI33" s="174">
        <v>16899</v>
      </c>
      <c r="EJ33" s="168">
        <v>16863</v>
      </c>
      <c r="EK33" s="168">
        <v>0.20100000000000001</v>
      </c>
      <c r="EL33" s="170">
        <v>13600</v>
      </c>
      <c r="EM33" s="170">
        <v>32.160000000000004</v>
      </c>
      <c r="EN33" s="173">
        <v>701.07999999999993</v>
      </c>
      <c r="EO33" s="173">
        <v>284.92</v>
      </c>
      <c r="EP33" s="173">
        <v>247.27824000000004</v>
      </c>
      <c r="EQ33" s="173">
        <v>1126.72</v>
      </c>
      <c r="ER33" s="174">
        <v>11378</v>
      </c>
      <c r="ES33" s="168">
        <v>11363</v>
      </c>
      <c r="ET33" s="168">
        <v>1.97</v>
      </c>
      <c r="EU33" s="170">
        <v>3200</v>
      </c>
      <c r="EV33" s="170">
        <v>315.2</v>
      </c>
      <c r="EW33" s="173">
        <v>164.96</v>
      </c>
      <c r="EX33" s="173">
        <v>67.040000000000006</v>
      </c>
      <c r="EY33" s="173">
        <v>2423.5727999999999</v>
      </c>
      <c r="EZ33" s="173">
        <v>282.24</v>
      </c>
      <c r="FA33" s="170">
        <v>86748</v>
      </c>
      <c r="FB33" s="186">
        <v>86549</v>
      </c>
      <c r="FC33" s="186">
        <v>0.94799999999999995</v>
      </c>
      <c r="FD33" s="170">
        <v>94600</v>
      </c>
      <c r="FE33" s="170">
        <v>189.6</v>
      </c>
      <c r="FF33" s="173">
        <v>4876.63</v>
      </c>
      <c r="FG33" s="173">
        <v>1981.87</v>
      </c>
      <c r="FH33" s="173">
        <v>1457.8344</v>
      </c>
      <c r="FI33" s="173">
        <v>7703.920000000001</v>
      </c>
      <c r="FJ33" s="179"/>
      <c r="FK33" s="188">
        <v>709473</v>
      </c>
      <c r="FL33" s="172">
        <v>57645.065679600011</v>
      </c>
      <c r="FM33" s="172">
        <v>17849.090819999998</v>
      </c>
      <c r="FN33" s="172">
        <v>75494.156499600009</v>
      </c>
      <c r="FO33" s="176"/>
      <c r="FP33" s="166"/>
      <c r="FQ33" s="174">
        <v>7585</v>
      </c>
      <c r="FR33" s="168">
        <v>7561</v>
      </c>
      <c r="FS33" s="168">
        <v>0.25600000000000001</v>
      </c>
      <c r="FT33" s="170">
        <v>7000</v>
      </c>
      <c r="FU33" s="170">
        <v>25.6</v>
      </c>
      <c r="FV33" s="180">
        <v>360.84999999999997</v>
      </c>
      <c r="FW33" s="180">
        <v>146.65</v>
      </c>
      <c r="FX33" s="180">
        <v>196.83840000000001</v>
      </c>
      <c r="FY33" s="173">
        <v>582.78200000000004</v>
      </c>
      <c r="FZ33" s="174">
        <v>59452</v>
      </c>
      <c r="GA33" s="168">
        <v>59286</v>
      </c>
      <c r="GB33" s="168">
        <v>1.6180000000000001</v>
      </c>
      <c r="GC33" s="170">
        <v>50300</v>
      </c>
      <c r="GD33" s="170">
        <v>161.80000000000001</v>
      </c>
      <c r="GE33" s="180">
        <v>2592.9650000000001</v>
      </c>
      <c r="GF33" s="180">
        <v>1053.7850000000001</v>
      </c>
      <c r="GG33" s="180">
        <v>1244.0802000000001</v>
      </c>
      <c r="GH33" s="173">
        <v>4051.0254</v>
      </c>
      <c r="GI33" s="174">
        <v>4746</v>
      </c>
      <c r="GJ33" s="168">
        <v>3769</v>
      </c>
      <c r="GK33" s="170">
        <v>3168</v>
      </c>
      <c r="GL33" s="173">
        <v>436.32863999999995</v>
      </c>
      <c r="GM33" s="173">
        <v>66.369600000000005</v>
      </c>
      <c r="GN33" s="173">
        <v>540.36951679999993</v>
      </c>
      <c r="GO33" s="174">
        <v>48862</v>
      </c>
      <c r="GP33" s="168">
        <v>48724</v>
      </c>
      <c r="GQ33" s="168">
        <v>3.431</v>
      </c>
      <c r="GR33" s="170">
        <v>9200</v>
      </c>
      <c r="GS33" s="170">
        <v>137.24</v>
      </c>
      <c r="GT33" s="173">
        <v>474.26</v>
      </c>
      <c r="GU33" s="173">
        <v>192.74</v>
      </c>
      <c r="GV33" s="173">
        <v>1055.2383600000001</v>
      </c>
      <c r="GW33" s="173">
        <v>824.4</v>
      </c>
      <c r="GX33" s="168">
        <v>69668</v>
      </c>
      <c r="GY33" s="172">
        <v>5998.5769167999997</v>
      </c>
      <c r="GZ33" s="172">
        <v>2496.1569600000003</v>
      </c>
      <c r="HA33" s="172">
        <v>8494.7338768000009</v>
      </c>
      <c r="HB33" s="187"/>
      <c r="HC33" s="188">
        <v>779141</v>
      </c>
      <c r="HD33" s="172">
        <v>63643.642596400008</v>
      </c>
      <c r="HE33" s="172">
        <v>20345.247779999998</v>
      </c>
      <c r="HF33" s="172">
        <v>83988.890376399999</v>
      </c>
      <c r="HG33" s="170">
        <f>SUM(HE33-HE28)*40</f>
        <v>226302.6479999999</v>
      </c>
      <c r="HH33" s="170">
        <f>SUM(HF33)*40</f>
        <v>3359555.6150559997</v>
      </c>
      <c r="HI33" s="173">
        <f>SUM(HG33*0.05155)</f>
        <v>11665.901504399995</v>
      </c>
      <c r="HJ33" s="173">
        <f>SUM(HG33*0.02095)</f>
        <v>4741.040475599998</v>
      </c>
      <c r="HK33" s="173">
        <f>SUM(HH33*7.689)</f>
        <v>25831623.124165583</v>
      </c>
      <c r="HL33" s="173">
        <f>SUM(HJ33+HI33+20)*1.2</f>
        <v>19712.330375999991</v>
      </c>
      <c r="HM33" s="168">
        <f>SUM(GI33+GR33+GZ33+HG33)</f>
        <v>242744.80495999989</v>
      </c>
      <c r="HN33" s="172">
        <f>SUM(HL33+HC33+GW33+GN33)</f>
        <v>800218.09989280009</v>
      </c>
      <c r="HO33" s="172">
        <f>SUM(GM33+GV33+HK33)</f>
        <v>25832744.732125584</v>
      </c>
      <c r="HP33" s="172">
        <f>SUM(HN33:HO33)</f>
        <v>26632962.832018383</v>
      </c>
      <c r="HQ33" s="187"/>
      <c r="HR33" s="188">
        <f t="shared" ref="HR33:HT33" si="10">(FZ33+HM33)</f>
        <v>302196.80495999986</v>
      </c>
      <c r="HS33" s="172">
        <f t="shared" si="10"/>
        <v>859504.09989280009</v>
      </c>
      <c r="HT33" s="172">
        <f t="shared" si="10"/>
        <v>25832746.350125585</v>
      </c>
      <c r="HU33" s="172">
        <f t="shared" ref="HU33" si="11">(HS33+HT33)</f>
        <v>26692250.450018384</v>
      </c>
    </row>
    <row r="34" spans="2:229" x14ac:dyDescent="0.25">
      <c r="B34" s="164">
        <v>44018</v>
      </c>
      <c r="C34" s="165">
        <v>707</v>
      </c>
      <c r="D34" s="168">
        <v>91782</v>
      </c>
      <c r="E34" s="168">
        <v>1.889</v>
      </c>
      <c r="F34" s="192">
        <v>28320</v>
      </c>
      <c r="G34" s="168">
        <v>87819</v>
      </c>
      <c r="H34" s="168">
        <v>2.52</v>
      </c>
      <c r="I34" s="192">
        <v>31840</v>
      </c>
      <c r="J34" s="168">
        <v>10317</v>
      </c>
      <c r="K34" s="168">
        <v>1.72</v>
      </c>
      <c r="L34" s="192">
        <v>6000</v>
      </c>
      <c r="M34" s="168">
        <v>10202</v>
      </c>
      <c r="N34" s="168">
        <v>1.9</v>
      </c>
      <c r="O34" s="192">
        <v>6800</v>
      </c>
      <c r="P34" s="168">
        <v>10898</v>
      </c>
      <c r="Q34" s="168">
        <v>1.72</v>
      </c>
      <c r="R34" s="192">
        <v>6400</v>
      </c>
      <c r="S34" s="168">
        <v>71862</v>
      </c>
      <c r="T34" s="168">
        <v>2.3919999999999999</v>
      </c>
      <c r="U34" s="192">
        <v>54900</v>
      </c>
      <c r="V34" s="168">
        <v>68451</v>
      </c>
      <c r="W34" s="168">
        <v>1.9850000000000001</v>
      </c>
      <c r="X34" s="192">
        <v>47100</v>
      </c>
      <c r="Y34" s="168">
        <v>16928</v>
      </c>
      <c r="Z34" s="168">
        <v>2.87</v>
      </c>
      <c r="AA34" s="192">
        <v>4640</v>
      </c>
      <c r="AB34" s="168">
        <v>11390</v>
      </c>
      <c r="AC34" s="168">
        <v>2.44</v>
      </c>
      <c r="AD34" s="192">
        <v>1920</v>
      </c>
      <c r="AE34" s="168">
        <v>86939</v>
      </c>
      <c r="AF34" s="168">
        <v>2.133</v>
      </c>
      <c r="AG34" s="192">
        <v>38200</v>
      </c>
      <c r="AH34" s="168">
        <v>16491</v>
      </c>
      <c r="AI34" s="168">
        <v>0.36199999999999999</v>
      </c>
      <c r="AJ34" s="192">
        <v>1280</v>
      </c>
      <c r="AK34" s="241">
        <v>58247</v>
      </c>
      <c r="AL34" s="192">
        <v>285</v>
      </c>
      <c r="AM34" s="192"/>
      <c r="AN34" s="166"/>
      <c r="AO34" s="192">
        <v>227685</v>
      </c>
      <c r="AP34" s="168">
        <v>39480</v>
      </c>
      <c r="AQ34" s="168">
        <v>0.17339745701297846</v>
      </c>
      <c r="AR34" s="168"/>
      <c r="AS34" s="176"/>
      <c r="AT34" s="181">
        <v>44018</v>
      </c>
      <c r="AU34" s="168">
        <v>59560</v>
      </c>
      <c r="AV34" s="192">
        <v>10800</v>
      </c>
      <c r="AW34" s="168">
        <v>7599</v>
      </c>
      <c r="AX34" s="192">
        <v>1400</v>
      </c>
      <c r="AY34" s="189">
        <v>5357</v>
      </c>
      <c r="AZ34" s="190">
        <v>611</v>
      </c>
      <c r="BA34" s="168">
        <v>48899</v>
      </c>
      <c r="BB34" s="192">
        <v>1480</v>
      </c>
      <c r="BC34" s="166"/>
      <c r="BD34" s="178"/>
      <c r="BE34" s="169">
        <v>14291</v>
      </c>
      <c r="BF34" s="168"/>
      <c r="BG34" s="168"/>
      <c r="BH34" s="177"/>
      <c r="BI34" s="176"/>
      <c r="BJ34" s="166"/>
      <c r="BK34" s="170">
        <v>58247</v>
      </c>
      <c r="BL34" s="166"/>
      <c r="BM34" s="166"/>
      <c r="BN34" s="171"/>
      <c r="BO34" s="174">
        <v>87819</v>
      </c>
      <c r="BP34" s="166"/>
      <c r="BQ34" s="166"/>
      <c r="BR34" s="166"/>
      <c r="BS34" s="166"/>
      <c r="BT34" s="166"/>
      <c r="BU34" s="166"/>
      <c r="BV34" s="166"/>
      <c r="BW34" s="171"/>
      <c r="BX34" s="174">
        <v>91782</v>
      </c>
      <c r="BY34" s="166"/>
      <c r="BZ34" s="166"/>
      <c r="CA34" s="166"/>
      <c r="CB34" s="166"/>
      <c r="CC34" s="166"/>
      <c r="CD34" s="166"/>
      <c r="CE34" s="166"/>
      <c r="CF34" s="171"/>
      <c r="CG34" s="174">
        <v>71862</v>
      </c>
      <c r="CH34" s="166"/>
      <c r="CI34" s="166"/>
      <c r="CJ34" s="166"/>
      <c r="CK34" s="166"/>
      <c r="CL34" s="166"/>
      <c r="CM34" s="166"/>
      <c r="CN34" s="166"/>
      <c r="CO34" s="171"/>
      <c r="CP34" s="174">
        <v>16491</v>
      </c>
      <c r="CQ34" s="166"/>
      <c r="CR34" s="166"/>
      <c r="CS34" s="166"/>
      <c r="CT34" s="166"/>
      <c r="CU34" s="166"/>
      <c r="CV34" s="166"/>
      <c r="CW34" s="166"/>
      <c r="CX34" s="171"/>
      <c r="CY34" s="174">
        <v>68451</v>
      </c>
      <c r="CZ34" s="166"/>
      <c r="DA34" s="166"/>
      <c r="DB34" s="166"/>
      <c r="DC34" s="183"/>
      <c r="DD34" s="166"/>
      <c r="DE34" s="166"/>
      <c r="DF34" s="166"/>
      <c r="DG34" s="171"/>
      <c r="DH34" s="174">
        <v>10202</v>
      </c>
      <c r="DI34" s="166"/>
      <c r="DJ34" s="166"/>
      <c r="DK34" s="166"/>
      <c r="DL34" s="183"/>
      <c r="DM34" s="166"/>
      <c r="DN34" s="166"/>
      <c r="DO34" s="166"/>
      <c r="DP34" s="171"/>
      <c r="DQ34" s="174">
        <v>71862</v>
      </c>
      <c r="DR34" s="166"/>
      <c r="DS34" s="166"/>
      <c r="DT34" s="166"/>
      <c r="DU34" s="166"/>
      <c r="DV34" s="166"/>
      <c r="DW34" s="166"/>
      <c r="DX34" s="166"/>
      <c r="DY34" s="171"/>
      <c r="DZ34" s="174">
        <v>10898</v>
      </c>
      <c r="EA34" s="166"/>
      <c r="EB34" s="166"/>
      <c r="EC34" s="166"/>
      <c r="ED34" s="166"/>
      <c r="EE34" s="166"/>
      <c r="EF34" s="166"/>
      <c r="EG34" s="166"/>
      <c r="EH34" s="171"/>
      <c r="EI34" s="174">
        <v>16928</v>
      </c>
      <c r="EJ34" s="166"/>
      <c r="EK34" s="166"/>
      <c r="EL34" s="166"/>
      <c r="EM34" s="166"/>
      <c r="EN34" s="166"/>
      <c r="EO34" s="166"/>
      <c r="EP34" s="166"/>
      <c r="EQ34" s="171"/>
      <c r="ER34" s="174">
        <v>11390</v>
      </c>
      <c r="ES34" s="166"/>
      <c r="ET34" s="166"/>
      <c r="EU34" s="166"/>
      <c r="EV34" s="166"/>
      <c r="EW34" s="166"/>
      <c r="EX34" s="166"/>
      <c r="EY34" s="166"/>
      <c r="EZ34" s="171"/>
      <c r="FA34" s="170">
        <v>86939</v>
      </c>
      <c r="FB34" s="185"/>
      <c r="FC34" s="185"/>
      <c r="FD34" s="175"/>
      <c r="FE34" s="175"/>
      <c r="FF34" s="175"/>
      <c r="FG34" s="166"/>
      <c r="FH34" s="175"/>
      <c r="FI34" s="175"/>
      <c r="FJ34" s="179"/>
      <c r="FK34" s="182"/>
      <c r="FL34" s="166"/>
      <c r="FM34" s="166"/>
      <c r="FN34" s="166"/>
      <c r="FO34" s="176"/>
      <c r="FP34" s="166"/>
      <c r="FQ34" s="174">
        <v>7599</v>
      </c>
      <c r="FR34" s="166"/>
      <c r="FS34" s="166"/>
      <c r="FT34" s="166"/>
      <c r="FU34" s="166"/>
      <c r="FV34" s="166"/>
      <c r="FW34" s="166"/>
      <c r="FX34" s="166"/>
      <c r="FY34" s="171"/>
      <c r="FZ34" s="174">
        <v>59560</v>
      </c>
      <c r="GA34" s="166"/>
      <c r="GB34" s="166"/>
      <c r="GC34" s="166"/>
      <c r="GD34" s="166"/>
      <c r="GE34" s="166"/>
      <c r="GF34" s="166"/>
      <c r="GG34" s="166"/>
      <c r="GH34" s="171"/>
      <c r="GI34" s="174">
        <v>5357</v>
      </c>
      <c r="GJ34" s="166"/>
      <c r="GK34" s="166"/>
      <c r="GL34" s="166"/>
      <c r="GM34" s="166"/>
      <c r="GN34" s="171"/>
      <c r="GO34" s="174">
        <v>48899</v>
      </c>
      <c r="GP34" s="166"/>
      <c r="GQ34" s="166"/>
      <c r="GR34" s="166"/>
      <c r="GS34" s="166"/>
      <c r="GT34" s="166"/>
      <c r="GU34" s="166"/>
      <c r="GV34" s="166"/>
      <c r="GW34" s="171"/>
      <c r="GX34" s="166"/>
      <c r="GY34" s="166"/>
      <c r="GZ34" s="166"/>
      <c r="HA34" s="166"/>
      <c r="HB34" s="187"/>
      <c r="HC34" s="166"/>
      <c r="HD34" s="166"/>
      <c r="HE34" s="166"/>
      <c r="HF34" s="166"/>
      <c r="HG34" s="166"/>
      <c r="HH34" s="166"/>
      <c r="HI34" s="166"/>
      <c r="HJ34" s="166"/>
      <c r="HK34" s="166"/>
      <c r="HL34" s="171"/>
      <c r="HM34" s="166"/>
      <c r="HN34" s="166"/>
      <c r="HO34" s="166"/>
      <c r="HP34" s="166"/>
      <c r="HQ34" s="187"/>
      <c r="HR34" s="166"/>
      <c r="HS34" s="166"/>
      <c r="HT34" s="166"/>
      <c r="HU34" s="166"/>
    </row>
    <row r="35" spans="2:229" x14ac:dyDescent="0.25">
      <c r="B35" s="164">
        <v>44025</v>
      </c>
      <c r="C35" s="165">
        <v>479</v>
      </c>
      <c r="D35" s="168">
        <v>92011</v>
      </c>
      <c r="E35" s="168">
        <v>1.889</v>
      </c>
      <c r="F35" s="192">
        <v>36640</v>
      </c>
      <c r="G35" s="168">
        <v>88069</v>
      </c>
      <c r="H35" s="168">
        <v>2.52</v>
      </c>
      <c r="I35" s="192">
        <v>40000</v>
      </c>
      <c r="J35" s="168">
        <v>10335</v>
      </c>
      <c r="K35" s="168">
        <v>1.72</v>
      </c>
      <c r="L35" s="192">
        <v>7200</v>
      </c>
      <c r="M35" s="168">
        <v>10223</v>
      </c>
      <c r="N35" s="168">
        <v>1.9</v>
      </c>
      <c r="O35" s="192">
        <v>8400</v>
      </c>
      <c r="P35" s="168">
        <v>10915</v>
      </c>
      <c r="Q35" s="168">
        <v>1.72</v>
      </c>
      <c r="R35" s="192">
        <v>6800</v>
      </c>
      <c r="S35" s="168">
        <v>72077</v>
      </c>
      <c r="T35" s="168">
        <v>2.3919999999999999</v>
      </c>
      <c r="U35" s="192">
        <v>64500</v>
      </c>
      <c r="V35" s="168">
        <v>68672</v>
      </c>
      <c r="W35" s="168">
        <v>2.0070000000000001</v>
      </c>
      <c r="X35" s="192">
        <v>66300</v>
      </c>
      <c r="Y35" s="168">
        <v>16961</v>
      </c>
      <c r="Z35" s="168">
        <v>2.87</v>
      </c>
      <c r="AA35" s="192">
        <v>5280</v>
      </c>
      <c r="AB35" s="168">
        <v>11405</v>
      </c>
      <c r="AC35" s="168">
        <v>2.44</v>
      </c>
      <c r="AD35" s="192">
        <v>2400</v>
      </c>
      <c r="AE35" s="168">
        <v>87190</v>
      </c>
      <c r="AF35" s="168">
        <v>2.133</v>
      </c>
      <c r="AG35" s="192">
        <v>50200</v>
      </c>
      <c r="AH35" s="168">
        <v>16527</v>
      </c>
      <c r="AI35" s="168">
        <v>0.36199999999999999</v>
      </c>
      <c r="AJ35" s="192">
        <v>1440</v>
      </c>
      <c r="AK35" s="241">
        <v>58608</v>
      </c>
      <c r="AL35" s="192">
        <v>361</v>
      </c>
      <c r="AM35" s="192"/>
      <c r="AN35" s="166"/>
      <c r="AO35" s="192">
        <v>289521</v>
      </c>
      <c r="AP35" s="168">
        <v>51640</v>
      </c>
      <c r="AQ35" s="168">
        <v>0.17836357293598737</v>
      </c>
      <c r="AR35" s="168"/>
      <c r="AS35" s="176"/>
      <c r="AT35" s="181">
        <v>44025</v>
      </c>
      <c r="AU35" s="168">
        <v>59709</v>
      </c>
      <c r="AV35" s="192">
        <v>14900</v>
      </c>
      <c r="AW35" s="168">
        <v>7619</v>
      </c>
      <c r="AX35" s="192">
        <v>2000</v>
      </c>
      <c r="AY35" s="189">
        <v>6200</v>
      </c>
      <c r="AZ35" s="190">
        <v>843</v>
      </c>
      <c r="BA35" s="168">
        <v>48925</v>
      </c>
      <c r="BB35" s="192">
        <v>1040</v>
      </c>
      <c r="BC35" s="166"/>
      <c r="BD35" s="178"/>
      <c r="BE35" s="169">
        <v>18783</v>
      </c>
      <c r="BF35" s="168"/>
      <c r="BG35" s="168"/>
      <c r="BH35" s="177"/>
      <c r="BI35" s="176"/>
      <c r="BJ35" s="166"/>
      <c r="BK35" s="170">
        <v>58608</v>
      </c>
      <c r="BL35" s="166"/>
      <c r="BM35" s="166"/>
      <c r="BN35" s="171"/>
      <c r="BO35" s="174">
        <v>88069</v>
      </c>
      <c r="BP35" s="166"/>
      <c r="BQ35" s="166"/>
      <c r="BR35" s="166"/>
      <c r="BS35" s="166"/>
      <c r="BT35" s="166"/>
      <c r="BU35" s="166"/>
      <c r="BV35" s="166"/>
      <c r="BW35" s="171"/>
      <c r="BX35" s="174">
        <v>92011</v>
      </c>
      <c r="BY35" s="166"/>
      <c r="BZ35" s="166"/>
      <c r="CA35" s="166"/>
      <c r="CB35" s="166"/>
      <c r="CC35" s="166"/>
      <c r="CD35" s="166"/>
      <c r="CE35" s="166"/>
      <c r="CF35" s="171"/>
      <c r="CG35" s="174">
        <v>72077</v>
      </c>
      <c r="CH35" s="166"/>
      <c r="CI35" s="166"/>
      <c r="CJ35" s="166"/>
      <c r="CK35" s="166"/>
      <c r="CL35" s="166"/>
      <c r="CM35" s="166"/>
      <c r="CN35" s="166"/>
      <c r="CO35" s="171"/>
      <c r="CP35" s="174">
        <v>16527</v>
      </c>
      <c r="CQ35" s="166"/>
      <c r="CR35" s="166"/>
      <c r="CS35" s="166"/>
      <c r="CT35" s="166"/>
      <c r="CU35" s="166"/>
      <c r="CV35" s="166"/>
      <c r="CW35" s="166"/>
      <c r="CX35" s="171"/>
      <c r="CY35" s="174">
        <v>68672</v>
      </c>
      <c r="CZ35" s="166"/>
      <c r="DA35" s="166"/>
      <c r="DB35" s="166"/>
      <c r="DC35" s="183"/>
      <c r="DD35" s="166"/>
      <c r="DE35" s="166"/>
      <c r="DF35" s="166"/>
      <c r="DG35" s="171"/>
      <c r="DH35" s="174">
        <v>10223</v>
      </c>
      <c r="DI35" s="166"/>
      <c r="DJ35" s="166"/>
      <c r="DK35" s="166"/>
      <c r="DL35" s="183"/>
      <c r="DM35" s="166"/>
      <c r="DN35" s="166"/>
      <c r="DO35" s="166"/>
      <c r="DP35" s="171"/>
      <c r="DQ35" s="174">
        <v>72077</v>
      </c>
      <c r="DR35" s="166"/>
      <c r="DS35" s="166"/>
      <c r="DT35" s="166"/>
      <c r="DU35" s="166"/>
      <c r="DV35" s="166"/>
      <c r="DW35" s="166"/>
      <c r="DX35" s="166"/>
      <c r="DY35" s="171"/>
      <c r="DZ35" s="174">
        <v>10915</v>
      </c>
      <c r="EA35" s="166"/>
      <c r="EB35" s="166"/>
      <c r="EC35" s="166"/>
      <c r="ED35" s="166"/>
      <c r="EE35" s="166"/>
      <c r="EF35" s="166"/>
      <c r="EG35" s="166"/>
      <c r="EH35" s="171"/>
      <c r="EI35" s="174">
        <v>16961</v>
      </c>
      <c r="EJ35" s="166"/>
      <c r="EK35" s="166"/>
      <c r="EL35" s="166"/>
      <c r="EM35" s="166"/>
      <c r="EN35" s="166"/>
      <c r="EO35" s="166"/>
      <c r="EP35" s="166"/>
      <c r="EQ35" s="171"/>
      <c r="ER35" s="174">
        <v>11405</v>
      </c>
      <c r="ES35" s="166"/>
      <c r="ET35" s="166"/>
      <c r="EU35" s="166"/>
      <c r="EV35" s="166"/>
      <c r="EW35" s="166"/>
      <c r="EX35" s="166"/>
      <c r="EY35" s="166"/>
      <c r="EZ35" s="171"/>
      <c r="FA35" s="170">
        <v>87190</v>
      </c>
      <c r="FB35" s="185"/>
      <c r="FC35" s="185"/>
      <c r="FD35" s="175"/>
      <c r="FE35" s="175"/>
      <c r="FF35" s="175"/>
      <c r="FG35" s="166"/>
      <c r="FH35" s="175"/>
      <c r="FI35" s="175"/>
      <c r="FJ35" s="179"/>
      <c r="FK35" s="182"/>
      <c r="FL35" s="166"/>
      <c r="FM35" s="166"/>
      <c r="FN35" s="166"/>
      <c r="FO35" s="176"/>
      <c r="FP35" s="166"/>
      <c r="FQ35" s="174">
        <v>7619</v>
      </c>
      <c r="FR35" s="166"/>
      <c r="FS35" s="166"/>
      <c r="FT35" s="166"/>
      <c r="FU35" s="166"/>
      <c r="FV35" s="166"/>
      <c r="FW35" s="166"/>
      <c r="FX35" s="166"/>
      <c r="FY35" s="171"/>
      <c r="FZ35" s="174">
        <v>59709</v>
      </c>
      <c r="GA35" s="166"/>
      <c r="GB35" s="166"/>
      <c r="GC35" s="166"/>
      <c r="GD35" s="166"/>
      <c r="GE35" s="166"/>
      <c r="GF35" s="166"/>
      <c r="GG35" s="166"/>
      <c r="GH35" s="171"/>
      <c r="GI35" s="174">
        <v>6200</v>
      </c>
      <c r="GJ35" s="166"/>
      <c r="GK35" s="166"/>
      <c r="GL35" s="166"/>
      <c r="GM35" s="166"/>
      <c r="GN35" s="171"/>
      <c r="GO35" s="174">
        <v>48925</v>
      </c>
      <c r="GP35" s="166"/>
      <c r="GQ35" s="166"/>
      <c r="GR35" s="166"/>
      <c r="GS35" s="166"/>
      <c r="GT35" s="166"/>
      <c r="GU35" s="166"/>
      <c r="GV35" s="166"/>
      <c r="GW35" s="171"/>
      <c r="GX35" s="166"/>
      <c r="GY35" s="166"/>
      <c r="GZ35" s="166"/>
      <c r="HA35" s="166"/>
      <c r="HB35" s="187"/>
      <c r="HC35" s="166"/>
      <c r="HD35" s="166"/>
      <c r="HE35" s="166"/>
      <c r="HF35" s="166"/>
      <c r="HG35" s="166"/>
      <c r="HH35" s="166"/>
      <c r="HI35" s="166"/>
      <c r="HJ35" s="166"/>
      <c r="HK35" s="166"/>
      <c r="HL35" s="171"/>
      <c r="HM35" s="166"/>
      <c r="HN35" s="166"/>
      <c r="HO35" s="166"/>
      <c r="HP35" s="166"/>
      <c r="HQ35" s="187"/>
      <c r="HR35" s="166"/>
      <c r="HS35" s="166"/>
      <c r="HT35" s="166"/>
      <c r="HU35" s="166"/>
    </row>
    <row r="36" spans="2:229" x14ac:dyDescent="0.25">
      <c r="B36" s="164">
        <v>44032</v>
      </c>
      <c r="C36" s="165">
        <v>611</v>
      </c>
      <c r="D36" s="168">
        <v>92252</v>
      </c>
      <c r="E36" s="168">
        <v>1.889</v>
      </c>
      <c r="F36" s="192">
        <v>38560</v>
      </c>
      <c r="G36" s="168">
        <v>88328</v>
      </c>
      <c r="H36" s="168">
        <v>2.052</v>
      </c>
      <c r="I36" s="192">
        <v>41440</v>
      </c>
      <c r="J36" s="168">
        <v>10353</v>
      </c>
      <c r="K36" s="168">
        <v>1.72</v>
      </c>
      <c r="L36" s="192">
        <v>7200</v>
      </c>
      <c r="M36" s="168">
        <v>10245</v>
      </c>
      <c r="N36" s="168">
        <v>1.9</v>
      </c>
      <c r="O36" s="192">
        <v>8800</v>
      </c>
      <c r="P36" s="168">
        <v>10931</v>
      </c>
      <c r="Q36" s="168">
        <v>1.72</v>
      </c>
      <c r="R36" s="192">
        <v>6400</v>
      </c>
      <c r="S36" s="168">
        <v>72294</v>
      </c>
      <c r="T36" s="168">
        <v>2.3919999999999999</v>
      </c>
      <c r="U36" s="192">
        <v>65100</v>
      </c>
      <c r="V36" s="168">
        <v>68938</v>
      </c>
      <c r="W36" s="168">
        <v>2.008</v>
      </c>
      <c r="X36" s="192">
        <v>79800</v>
      </c>
      <c r="Y36" s="168">
        <v>16996</v>
      </c>
      <c r="Z36" s="168">
        <v>2.96</v>
      </c>
      <c r="AA36" s="192">
        <v>5600</v>
      </c>
      <c r="AB36" s="168">
        <v>11422</v>
      </c>
      <c r="AC36" s="168">
        <v>2.44</v>
      </c>
      <c r="AD36" s="192">
        <v>2720</v>
      </c>
      <c r="AE36" s="168">
        <v>87458</v>
      </c>
      <c r="AF36" s="168">
        <v>2.133</v>
      </c>
      <c r="AG36" s="192">
        <v>53600</v>
      </c>
      <c r="AH36" s="168">
        <v>16567</v>
      </c>
      <c r="AI36" s="168">
        <v>0.36199999999999999</v>
      </c>
      <c r="AJ36" s="192">
        <v>1600</v>
      </c>
      <c r="AK36" s="241">
        <v>58995</v>
      </c>
      <c r="AL36" s="192">
        <v>387</v>
      </c>
      <c r="AM36" s="192"/>
      <c r="AN36" s="166"/>
      <c r="AO36" s="192">
        <v>311207</v>
      </c>
      <c r="AP36" s="168">
        <v>55200</v>
      </c>
      <c r="AQ36" s="168">
        <v>0.17737390225798264</v>
      </c>
      <c r="AR36" s="168"/>
      <c r="AS36" s="176"/>
      <c r="AT36" s="181">
        <v>44032</v>
      </c>
      <c r="AU36" s="168">
        <v>59869</v>
      </c>
      <c r="AV36" s="192">
        <v>16000</v>
      </c>
      <c r="AW36" s="168">
        <v>7640</v>
      </c>
      <c r="AX36" s="192">
        <v>2100</v>
      </c>
      <c r="AY36" s="189">
        <v>7100</v>
      </c>
      <c r="AZ36" s="190">
        <v>900</v>
      </c>
      <c r="BA36" s="168">
        <v>49033</v>
      </c>
      <c r="BB36" s="192">
        <v>4320</v>
      </c>
      <c r="BC36" s="166"/>
      <c r="BD36" s="178"/>
      <c r="BE36" s="169">
        <v>23320</v>
      </c>
      <c r="BF36" s="168"/>
      <c r="BG36" s="168"/>
      <c r="BH36" s="177"/>
      <c r="BI36" s="176"/>
      <c r="BJ36" s="166"/>
      <c r="BK36" s="170">
        <v>58995</v>
      </c>
      <c r="BL36" s="166"/>
      <c r="BM36" s="166"/>
      <c r="BN36" s="171"/>
      <c r="BO36" s="174">
        <v>88328</v>
      </c>
      <c r="BP36" s="166"/>
      <c r="BQ36" s="166"/>
      <c r="BR36" s="166"/>
      <c r="BS36" s="166"/>
      <c r="BT36" s="166"/>
      <c r="BU36" s="166"/>
      <c r="BV36" s="166"/>
      <c r="BW36" s="171"/>
      <c r="BX36" s="174">
        <v>92252</v>
      </c>
      <c r="BY36" s="166"/>
      <c r="BZ36" s="166"/>
      <c r="CA36" s="166"/>
      <c r="CB36" s="166"/>
      <c r="CC36" s="166"/>
      <c r="CD36" s="166"/>
      <c r="CE36" s="166"/>
      <c r="CF36" s="171"/>
      <c r="CG36" s="174">
        <v>72294</v>
      </c>
      <c r="CH36" s="166"/>
      <c r="CI36" s="166"/>
      <c r="CJ36" s="166"/>
      <c r="CK36" s="166"/>
      <c r="CL36" s="166"/>
      <c r="CM36" s="166"/>
      <c r="CN36" s="166"/>
      <c r="CO36" s="171"/>
      <c r="CP36" s="174">
        <v>16567</v>
      </c>
      <c r="CQ36" s="166"/>
      <c r="CR36" s="166"/>
      <c r="CS36" s="166"/>
      <c r="CT36" s="166"/>
      <c r="CU36" s="166"/>
      <c r="CV36" s="166"/>
      <c r="CW36" s="166"/>
      <c r="CX36" s="171"/>
      <c r="CY36" s="174">
        <v>68938</v>
      </c>
      <c r="CZ36" s="166"/>
      <c r="DA36" s="166"/>
      <c r="DB36" s="166"/>
      <c r="DC36" s="183"/>
      <c r="DD36" s="166"/>
      <c r="DE36" s="166"/>
      <c r="DF36" s="166"/>
      <c r="DG36" s="171"/>
      <c r="DH36" s="174">
        <v>10245</v>
      </c>
      <c r="DI36" s="166"/>
      <c r="DJ36" s="166"/>
      <c r="DK36" s="166"/>
      <c r="DL36" s="183"/>
      <c r="DM36" s="166"/>
      <c r="DN36" s="166"/>
      <c r="DO36" s="166"/>
      <c r="DP36" s="171"/>
      <c r="DQ36" s="174">
        <v>72294</v>
      </c>
      <c r="DR36" s="166"/>
      <c r="DS36" s="166"/>
      <c r="DT36" s="166"/>
      <c r="DU36" s="166"/>
      <c r="DV36" s="166"/>
      <c r="DW36" s="166"/>
      <c r="DX36" s="166"/>
      <c r="DY36" s="171"/>
      <c r="DZ36" s="174">
        <v>10931</v>
      </c>
      <c r="EA36" s="166"/>
      <c r="EB36" s="166"/>
      <c r="EC36" s="166"/>
      <c r="ED36" s="166"/>
      <c r="EE36" s="166"/>
      <c r="EF36" s="166"/>
      <c r="EG36" s="166"/>
      <c r="EH36" s="171"/>
      <c r="EI36" s="174">
        <v>16996</v>
      </c>
      <c r="EJ36" s="166"/>
      <c r="EK36" s="166"/>
      <c r="EL36" s="166"/>
      <c r="EM36" s="166"/>
      <c r="EN36" s="166"/>
      <c r="EO36" s="166"/>
      <c r="EP36" s="166"/>
      <c r="EQ36" s="171"/>
      <c r="ER36" s="174">
        <v>11422</v>
      </c>
      <c r="ES36" s="166"/>
      <c r="ET36" s="166"/>
      <c r="EU36" s="166"/>
      <c r="EV36" s="166"/>
      <c r="EW36" s="166"/>
      <c r="EX36" s="166"/>
      <c r="EY36" s="166"/>
      <c r="EZ36" s="171"/>
      <c r="FA36" s="170">
        <v>87458</v>
      </c>
      <c r="FB36" s="185"/>
      <c r="FC36" s="185"/>
      <c r="FD36" s="175"/>
      <c r="FE36" s="175"/>
      <c r="FF36" s="175"/>
      <c r="FG36" s="166"/>
      <c r="FH36" s="175"/>
      <c r="FI36" s="175"/>
      <c r="FJ36" s="179"/>
      <c r="FK36" s="182"/>
      <c r="FL36" s="166"/>
      <c r="FM36" s="166"/>
      <c r="FN36" s="166"/>
      <c r="FO36" s="176"/>
      <c r="FP36" s="166"/>
      <c r="FQ36" s="174">
        <v>7640</v>
      </c>
      <c r="FR36" s="166"/>
      <c r="FS36" s="166"/>
      <c r="FT36" s="166"/>
      <c r="FU36" s="166"/>
      <c r="FV36" s="166"/>
      <c r="FW36" s="166"/>
      <c r="FX36" s="166"/>
      <c r="FY36" s="171"/>
      <c r="FZ36" s="174">
        <v>59869</v>
      </c>
      <c r="GA36" s="166"/>
      <c r="GB36" s="166"/>
      <c r="GC36" s="166"/>
      <c r="GD36" s="166"/>
      <c r="GE36" s="166"/>
      <c r="GF36" s="166"/>
      <c r="GG36" s="166"/>
      <c r="GH36" s="171"/>
      <c r="GI36" s="174">
        <v>7100</v>
      </c>
      <c r="GJ36" s="166"/>
      <c r="GK36" s="166"/>
      <c r="GL36" s="166"/>
      <c r="GM36" s="166"/>
      <c r="GN36" s="171"/>
      <c r="GO36" s="174">
        <v>49033</v>
      </c>
      <c r="GP36" s="166"/>
      <c r="GQ36" s="166"/>
      <c r="GR36" s="166"/>
      <c r="GS36" s="166"/>
      <c r="GT36" s="166"/>
      <c r="GU36" s="166"/>
      <c r="GV36" s="166"/>
      <c r="GW36" s="171"/>
      <c r="GX36" s="166"/>
      <c r="GY36" s="166"/>
      <c r="GZ36" s="166"/>
      <c r="HA36" s="166"/>
      <c r="HB36" s="187"/>
      <c r="HC36" s="166"/>
      <c r="HD36" s="166"/>
      <c r="HE36" s="166"/>
      <c r="HF36" s="166"/>
      <c r="HG36" s="166"/>
      <c r="HH36" s="166"/>
      <c r="HI36" s="166"/>
      <c r="HJ36" s="166"/>
      <c r="HK36" s="166"/>
      <c r="HL36" s="171"/>
      <c r="HM36" s="166"/>
      <c r="HN36" s="166"/>
      <c r="HO36" s="166"/>
      <c r="HP36" s="166"/>
      <c r="HQ36" s="187"/>
      <c r="HR36" s="166"/>
      <c r="HS36" s="166"/>
      <c r="HT36" s="166"/>
      <c r="HU36" s="166"/>
    </row>
    <row r="37" spans="2:229" x14ac:dyDescent="0.25">
      <c r="B37" s="164">
        <v>44039</v>
      </c>
      <c r="C37" s="165">
        <v>597</v>
      </c>
      <c r="D37" s="168">
        <v>92491</v>
      </c>
      <c r="E37" s="168">
        <v>1.889</v>
      </c>
      <c r="F37" s="192">
        <v>38240</v>
      </c>
      <c r="G37" s="168">
        <v>88583</v>
      </c>
      <c r="H37" s="168">
        <v>1.911</v>
      </c>
      <c r="I37" s="192">
        <v>40800</v>
      </c>
      <c r="J37" s="168">
        <v>10371</v>
      </c>
      <c r="K37" s="168">
        <v>1.48</v>
      </c>
      <c r="L37" s="192">
        <v>7200</v>
      </c>
      <c r="M37" s="168">
        <v>10267</v>
      </c>
      <c r="N37" s="168">
        <v>1.7</v>
      </c>
      <c r="O37" s="192">
        <v>8800</v>
      </c>
      <c r="P37" s="168">
        <v>10948</v>
      </c>
      <c r="Q37" s="168">
        <v>1.42</v>
      </c>
      <c r="R37" s="192">
        <v>6800</v>
      </c>
      <c r="S37" s="168">
        <v>72552</v>
      </c>
      <c r="T37" s="168">
        <v>2.331</v>
      </c>
      <c r="U37" s="192">
        <v>77400</v>
      </c>
      <c r="V37" s="168">
        <v>69166</v>
      </c>
      <c r="W37" s="168">
        <v>2.0289999999999999</v>
      </c>
      <c r="X37" s="192">
        <v>68400</v>
      </c>
      <c r="Y37" s="168">
        <v>17030</v>
      </c>
      <c r="Z37" s="168">
        <v>2.61</v>
      </c>
      <c r="AA37" s="192">
        <v>5440</v>
      </c>
      <c r="AB37" s="168">
        <v>11437</v>
      </c>
      <c r="AC37" s="168">
        <v>1.58</v>
      </c>
      <c r="AD37" s="192">
        <v>2400</v>
      </c>
      <c r="AE37" s="168">
        <v>87730</v>
      </c>
      <c r="AF37" s="168">
        <v>2.0840000000000001</v>
      </c>
      <c r="AG37" s="192">
        <v>54400</v>
      </c>
      <c r="AH37" s="168">
        <v>16607</v>
      </c>
      <c r="AI37" s="168">
        <v>0.33</v>
      </c>
      <c r="AJ37" s="192">
        <v>1600</v>
      </c>
      <c r="AK37" s="241">
        <v>59400</v>
      </c>
      <c r="AL37" s="192">
        <v>405</v>
      </c>
      <c r="AM37" s="192"/>
      <c r="AN37" s="166"/>
      <c r="AO37" s="192">
        <v>311885</v>
      </c>
      <c r="AP37" s="168">
        <v>56000</v>
      </c>
      <c r="AQ37" s="168">
        <v>0.1795533610144765</v>
      </c>
      <c r="AR37" s="168"/>
      <c r="AS37" s="176"/>
      <c r="AT37" s="181">
        <v>44039</v>
      </c>
      <c r="AU37" s="168">
        <v>60020</v>
      </c>
      <c r="AV37" s="192">
        <v>15100</v>
      </c>
      <c r="AW37" s="168">
        <v>7658</v>
      </c>
      <c r="AX37" s="192">
        <v>1800</v>
      </c>
      <c r="AY37" s="189">
        <v>7982</v>
      </c>
      <c r="AZ37" s="190">
        <v>882</v>
      </c>
      <c r="BA37" s="168">
        <v>49066</v>
      </c>
      <c r="BB37" s="192">
        <v>1320</v>
      </c>
      <c r="BC37" s="166"/>
      <c r="BD37" s="178"/>
      <c r="BE37" s="169">
        <v>19102</v>
      </c>
      <c r="BF37" s="168"/>
      <c r="BG37" s="168"/>
      <c r="BH37" s="177"/>
      <c r="BI37" s="176"/>
      <c r="BJ37" s="166"/>
      <c r="BK37" s="170">
        <v>59400</v>
      </c>
      <c r="BL37" s="166"/>
      <c r="BM37" s="166"/>
      <c r="BN37" s="171"/>
      <c r="BO37" s="174">
        <v>88583</v>
      </c>
      <c r="BP37" s="166"/>
      <c r="BQ37" s="166"/>
      <c r="BR37" s="166"/>
      <c r="BS37" s="166"/>
      <c r="BT37" s="166"/>
      <c r="BU37" s="166"/>
      <c r="BV37" s="166"/>
      <c r="BW37" s="171"/>
      <c r="BX37" s="174">
        <v>92491</v>
      </c>
      <c r="BY37" s="166"/>
      <c r="BZ37" s="166"/>
      <c r="CA37" s="166"/>
      <c r="CB37" s="166"/>
      <c r="CC37" s="166"/>
      <c r="CD37" s="166"/>
      <c r="CE37" s="166"/>
      <c r="CF37" s="171"/>
      <c r="CG37" s="174">
        <v>72552</v>
      </c>
      <c r="CH37" s="166"/>
      <c r="CI37" s="166"/>
      <c r="CJ37" s="166"/>
      <c r="CK37" s="166"/>
      <c r="CL37" s="166"/>
      <c r="CM37" s="166"/>
      <c r="CN37" s="166"/>
      <c r="CO37" s="171"/>
      <c r="CP37" s="174">
        <v>16607</v>
      </c>
      <c r="CQ37" s="166"/>
      <c r="CR37" s="166"/>
      <c r="CS37" s="166"/>
      <c r="CT37" s="166"/>
      <c r="CU37" s="166"/>
      <c r="CV37" s="166"/>
      <c r="CW37" s="166"/>
      <c r="CX37" s="171"/>
      <c r="CY37" s="174">
        <v>69166</v>
      </c>
      <c r="CZ37" s="166"/>
      <c r="DA37" s="166"/>
      <c r="DB37" s="166"/>
      <c r="DC37" s="183"/>
      <c r="DD37" s="166"/>
      <c r="DE37" s="166"/>
      <c r="DF37" s="166"/>
      <c r="DG37" s="171"/>
      <c r="DH37" s="174">
        <v>10267</v>
      </c>
      <c r="DI37" s="166"/>
      <c r="DJ37" s="166"/>
      <c r="DK37" s="166"/>
      <c r="DL37" s="183"/>
      <c r="DM37" s="166"/>
      <c r="DN37" s="166"/>
      <c r="DO37" s="166"/>
      <c r="DP37" s="171"/>
      <c r="DQ37" s="174">
        <v>72552</v>
      </c>
      <c r="DR37" s="166"/>
      <c r="DS37" s="166"/>
      <c r="DT37" s="166"/>
      <c r="DU37" s="166"/>
      <c r="DV37" s="166"/>
      <c r="DW37" s="166"/>
      <c r="DX37" s="166"/>
      <c r="DY37" s="171"/>
      <c r="DZ37" s="174">
        <v>10948</v>
      </c>
      <c r="EA37" s="166"/>
      <c r="EB37" s="166"/>
      <c r="EC37" s="166"/>
      <c r="ED37" s="166"/>
      <c r="EE37" s="166"/>
      <c r="EF37" s="166"/>
      <c r="EG37" s="166"/>
      <c r="EH37" s="171"/>
      <c r="EI37" s="174">
        <v>17030</v>
      </c>
      <c r="EJ37" s="166"/>
      <c r="EK37" s="166"/>
      <c r="EL37" s="166"/>
      <c r="EM37" s="166"/>
      <c r="EN37" s="166"/>
      <c r="EO37" s="166"/>
      <c r="EP37" s="166"/>
      <c r="EQ37" s="171"/>
      <c r="ER37" s="174">
        <v>11437</v>
      </c>
      <c r="ES37" s="166"/>
      <c r="ET37" s="166"/>
      <c r="EU37" s="166"/>
      <c r="EV37" s="166"/>
      <c r="EW37" s="166"/>
      <c r="EX37" s="166"/>
      <c r="EY37" s="166"/>
      <c r="EZ37" s="171"/>
      <c r="FA37" s="170">
        <v>87730</v>
      </c>
      <c r="FB37" s="185"/>
      <c r="FC37" s="185"/>
      <c r="FD37" s="175"/>
      <c r="FE37" s="175"/>
      <c r="FF37" s="175"/>
      <c r="FG37" s="166"/>
      <c r="FH37" s="175"/>
      <c r="FI37" s="175"/>
      <c r="FJ37" s="179"/>
      <c r="FK37" s="182"/>
      <c r="FL37" s="166"/>
      <c r="FM37" s="166"/>
      <c r="FN37" s="166"/>
      <c r="FO37" s="176"/>
      <c r="FP37" s="166"/>
      <c r="FQ37" s="174">
        <v>7658</v>
      </c>
      <c r="FR37" s="166"/>
      <c r="FS37" s="166"/>
      <c r="FT37" s="166"/>
      <c r="FU37" s="166"/>
      <c r="FV37" s="166"/>
      <c r="FW37" s="166"/>
      <c r="FX37" s="166"/>
      <c r="FY37" s="171"/>
      <c r="FZ37" s="174">
        <v>60020</v>
      </c>
      <c r="GA37" s="166"/>
      <c r="GB37" s="166"/>
      <c r="GC37" s="166"/>
      <c r="GD37" s="166"/>
      <c r="GE37" s="166"/>
      <c r="GF37" s="166"/>
      <c r="GG37" s="166"/>
      <c r="GH37" s="171"/>
      <c r="GI37" s="174">
        <v>7982</v>
      </c>
      <c r="GJ37" s="166"/>
      <c r="GK37" s="166"/>
      <c r="GL37" s="166"/>
      <c r="GM37" s="166"/>
      <c r="GN37" s="171"/>
      <c r="GO37" s="174">
        <v>49066</v>
      </c>
      <c r="GP37" s="166"/>
      <c r="GQ37" s="166"/>
      <c r="GR37" s="166"/>
      <c r="GS37" s="166"/>
      <c r="GT37" s="166"/>
      <c r="GU37" s="166"/>
      <c r="GV37" s="166"/>
      <c r="GW37" s="171"/>
      <c r="GX37" s="166"/>
      <c r="GY37" s="166"/>
      <c r="GZ37" s="166"/>
      <c r="HA37" s="166"/>
      <c r="HB37" s="187"/>
      <c r="HC37" s="166"/>
      <c r="HD37" s="166"/>
      <c r="HE37" s="166"/>
      <c r="HF37" s="166"/>
      <c r="HG37" s="166"/>
      <c r="HH37" s="166"/>
      <c r="HI37" s="166"/>
      <c r="HJ37" s="166"/>
      <c r="HK37" s="166"/>
      <c r="HL37" s="171"/>
      <c r="HM37" s="166"/>
      <c r="HN37" s="166"/>
      <c r="HO37" s="166"/>
      <c r="HP37" s="166"/>
      <c r="HQ37" s="187"/>
      <c r="HR37" s="166"/>
      <c r="HS37" s="166"/>
      <c r="HT37" s="166"/>
      <c r="HU37" s="166"/>
    </row>
    <row r="38" spans="2:229" x14ac:dyDescent="0.25">
      <c r="B38" s="164">
        <v>44044</v>
      </c>
      <c r="C38" s="165">
        <v>467</v>
      </c>
      <c r="D38" s="168">
        <v>92676</v>
      </c>
      <c r="E38" s="168">
        <v>1.9379999999999999</v>
      </c>
      <c r="F38" s="192">
        <v>29600</v>
      </c>
      <c r="G38" s="168">
        <v>88782</v>
      </c>
      <c r="H38" s="168">
        <v>1.917</v>
      </c>
      <c r="I38" s="192">
        <v>31840</v>
      </c>
      <c r="J38" s="168">
        <v>10385</v>
      </c>
      <c r="K38" s="168">
        <v>1.48</v>
      </c>
      <c r="L38" s="192">
        <v>5600</v>
      </c>
      <c r="M38" s="168">
        <v>10284</v>
      </c>
      <c r="N38" s="168">
        <v>1.7</v>
      </c>
      <c r="O38" s="192">
        <v>6800</v>
      </c>
      <c r="P38" s="168">
        <v>10962</v>
      </c>
      <c r="Q38" s="168">
        <v>1.42</v>
      </c>
      <c r="R38" s="192">
        <v>5600</v>
      </c>
      <c r="S38" s="168">
        <v>72734</v>
      </c>
      <c r="T38" s="168">
        <v>2.331</v>
      </c>
      <c r="U38" s="192">
        <v>54600</v>
      </c>
      <c r="V38" s="168">
        <v>69343</v>
      </c>
      <c r="W38" s="168">
        <v>2.0289999999999999</v>
      </c>
      <c r="X38" s="192">
        <v>53100</v>
      </c>
      <c r="Y38" s="168">
        <v>17058</v>
      </c>
      <c r="Z38" s="168">
        <v>2.8</v>
      </c>
      <c r="AA38" s="192">
        <v>4480</v>
      </c>
      <c r="AB38" s="168">
        <v>11450</v>
      </c>
      <c r="AC38" s="168">
        <v>1.59</v>
      </c>
      <c r="AD38" s="192">
        <v>2080</v>
      </c>
      <c r="AE38" s="168">
        <v>87928</v>
      </c>
      <c r="AF38" s="168">
        <v>2.0840000000000001</v>
      </c>
      <c r="AG38" s="192">
        <v>39600</v>
      </c>
      <c r="AH38" s="168">
        <v>16638</v>
      </c>
      <c r="AI38" s="168">
        <v>0.33</v>
      </c>
      <c r="AJ38" s="192">
        <v>1240</v>
      </c>
      <c r="AK38" s="241">
        <v>59724</v>
      </c>
      <c r="AL38" s="192">
        <v>324</v>
      </c>
      <c r="AM38" s="192"/>
      <c r="AN38" s="166"/>
      <c r="AO38" s="192">
        <v>234864</v>
      </c>
      <c r="AP38" s="168">
        <v>40840</v>
      </c>
      <c r="AQ38" s="168">
        <v>0.17388786702091424</v>
      </c>
      <c r="AR38" s="168">
        <v>1375162</v>
      </c>
      <c r="AS38" s="176"/>
      <c r="AT38" s="181">
        <v>44044</v>
      </c>
      <c r="AU38" s="168">
        <v>60100</v>
      </c>
      <c r="AV38" s="192">
        <v>8000</v>
      </c>
      <c r="AW38" s="168">
        <v>7665</v>
      </c>
      <c r="AX38" s="192">
        <v>700</v>
      </c>
      <c r="AY38" s="189">
        <v>8520</v>
      </c>
      <c r="AZ38" s="190">
        <v>538</v>
      </c>
      <c r="BA38" s="168">
        <v>49100</v>
      </c>
      <c r="BB38" s="192">
        <v>1360</v>
      </c>
      <c r="BC38" s="166"/>
      <c r="BD38" s="178"/>
      <c r="BE38" s="169">
        <v>10598</v>
      </c>
      <c r="BF38" s="168">
        <v>86094</v>
      </c>
      <c r="BG38" s="168">
        <v>1461256</v>
      </c>
      <c r="BH38" s="177"/>
      <c r="BI38" s="176"/>
      <c r="BJ38" s="166"/>
      <c r="BK38" s="170">
        <v>59724</v>
      </c>
      <c r="BL38" s="168">
        <v>58969</v>
      </c>
      <c r="BM38" s="170">
        <v>1325</v>
      </c>
      <c r="BN38" s="173">
        <v>232.02358999999998</v>
      </c>
      <c r="BO38" s="174">
        <v>88782</v>
      </c>
      <c r="BP38" s="168">
        <v>88473</v>
      </c>
      <c r="BQ38" s="168">
        <v>2.052</v>
      </c>
      <c r="BR38" s="170">
        <v>172000</v>
      </c>
      <c r="BS38" s="170">
        <v>328.32</v>
      </c>
      <c r="BT38" s="173">
        <v>8866.6</v>
      </c>
      <c r="BU38" s="173">
        <v>3603.4</v>
      </c>
      <c r="BV38" s="173">
        <v>2524.4524799999999</v>
      </c>
      <c r="BW38" s="173">
        <v>13841.7</v>
      </c>
      <c r="BX38" s="174">
        <v>92676</v>
      </c>
      <c r="BY38" s="168">
        <v>92388</v>
      </c>
      <c r="BZ38" s="168">
        <v>1.889</v>
      </c>
      <c r="CA38" s="170">
        <v>158560</v>
      </c>
      <c r="CB38" s="170">
        <v>302.24</v>
      </c>
      <c r="CC38" s="173">
        <v>8173.768</v>
      </c>
      <c r="CD38" s="173">
        <v>3321.8319999999999</v>
      </c>
      <c r="CE38" s="173">
        <v>2323.9233600000002</v>
      </c>
      <c r="CF38" s="173">
        <v>12782.316000000001</v>
      </c>
      <c r="CG38" s="174">
        <v>72734</v>
      </c>
      <c r="CH38" s="168">
        <v>72410</v>
      </c>
      <c r="CI38" s="168">
        <v>2.3919999999999999</v>
      </c>
      <c r="CJ38" s="170">
        <v>287400</v>
      </c>
      <c r="CK38" s="170">
        <v>717.6</v>
      </c>
      <c r="CL38" s="173">
        <v>14815.47</v>
      </c>
      <c r="CM38" s="173">
        <v>6021.03</v>
      </c>
      <c r="CN38" s="173">
        <v>5517.6264000000001</v>
      </c>
      <c r="CO38" s="173">
        <v>23150.715000000004</v>
      </c>
      <c r="CP38" s="174">
        <v>16638</v>
      </c>
      <c r="CQ38" s="168">
        <v>16586</v>
      </c>
      <c r="CR38" s="168">
        <v>0.36199999999999999</v>
      </c>
      <c r="CS38" s="170">
        <v>6520</v>
      </c>
      <c r="CT38" s="170">
        <v>14.48</v>
      </c>
      <c r="CU38" s="173">
        <v>336.10599999999999</v>
      </c>
      <c r="CV38" s="173">
        <v>136.59399999999999</v>
      </c>
      <c r="CW38" s="173">
        <v>111.33672</v>
      </c>
      <c r="CX38" s="173">
        <v>546.89700000000005</v>
      </c>
      <c r="CY38" s="174">
        <v>69343</v>
      </c>
      <c r="CZ38" s="168">
        <v>69051</v>
      </c>
      <c r="DA38" s="168">
        <v>2.008</v>
      </c>
      <c r="DB38" s="170">
        <v>302100</v>
      </c>
      <c r="DC38" s="184">
        <v>602.4</v>
      </c>
      <c r="DD38" s="173">
        <v>15573.254999999999</v>
      </c>
      <c r="DE38" s="173">
        <v>6328.9949999999999</v>
      </c>
      <c r="DF38" s="173">
        <v>4631.8535999999995</v>
      </c>
      <c r="DG38" s="173">
        <v>24552.920000000002</v>
      </c>
      <c r="DH38" s="174">
        <v>10284</v>
      </c>
      <c r="DI38" s="168">
        <v>10254</v>
      </c>
      <c r="DJ38" s="168">
        <v>0.19</v>
      </c>
      <c r="DK38" s="170">
        <v>35200</v>
      </c>
      <c r="DL38" s="184">
        <v>76</v>
      </c>
      <c r="DM38" s="173">
        <v>1814.56</v>
      </c>
      <c r="DN38" s="173">
        <v>737.43999999999994</v>
      </c>
      <c r="DO38" s="173">
        <v>584.36400000000003</v>
      </c>
      <c r="DP38" s="173">
        <v>2880.6400000000003</v>
      </c>
      <c r="DQ38" s="174">
        <v>72734</v>
      </c>
      <c r="DR38" s="168">
        <v>10363</v>
      </c>
      <c r="DS38" s="168">
        <v>0.17199999999999999</v>
      </c>
      <c r="DT38" s="170">
        <v>32000</v>
      </c>
      <c r="DU38" s="170">
        <v>68.8</v>
      </c>
      <c r="DV38" s="173">
        <v>1649.6</v>
      </c>
      <c r="DW38" s="173">
        <v>670.4</v>
      </c>
      <c r="DX38" s="173">
        <v>529.00319999999999</v>
      </c>
      <c r="DY38" s="173">
        <v>2620.8000000000002</v>
      </c>
      <c r="DZ38" s="174">
        <v>10962</v>
      </c>
      <c r="EA38" s="168">
        <v>10941</v>
      </c>
      <c r="EB38" s="168">
        <v>0.17199999999999999</v>
      </c>
      <c r="EC38" s="170">
        <v>31600</v>
      </c>
      <c r="ED38" s="170">
        <v>68.8</v>
      </c>
      <c r="EE38" s="173">
        <v>1628.98</v>
      </c>
      <c r="EF38" s="173">
        <v>662.02</v>
      </c>
      <c r="EG38" s="173">
        <v>529.00319999999999</v>
      </c>
      <c r="EH38" s="173">
        <v>2588.3200000000002</v>
      </c>
      <c r="EI38" s="174">
        <v>17058</v>
      </c>
      <c r="EJ38" s="168">
        <v>17012</v>
      </c>
      <c r="EK38" s="168">
        <v>0.29599999999999999</v>
      </c>
      <c r="EL38" s="170">
        <v>23840</v>
      </c>
      <c r="EM38" s="170">
        <v>47.36</v>
      </c>
      <c r="EN38" s="173">
        <v>1228.952</v>
      </c>
      <c r="EO38" s="173">
        <v>499.44799999999998</v>
      </c>
      <c r="EP38" s="173">
        <v>364.15104000000002</v>
      </c>
      <c r="EQ38" s="173">
        <v>1958.2080000000003</v>
      </c>
      <c r="ER38" s="174">
        <v>11450</v>
      </c>
      <c r="ES38" s="168">
        <v>11429</v>
      </c>
      <c r="ET38" s="168">
        <v>0.24399999999999999</v>
      </c>
      <c r="EU38" s="170">
        <v>10560</v>
      </c>
      <c r="EV38" s="170">
        <v>39.04</v>
      </c>
      <c r="EW38" s="173">
        <v>544.36799999999994</v>
      </c>
      <c r="EX38" s="173">
        <v>221.232</v>
      </c>
      <c r="EY38" s="173">
        <v>300.17856</v>
      </c>
      <c r="EZ38" s="173">
        <v>879.87199999999996</v>
      </c>
      <c r="FA38" s="170">
        <v>87928</v>
      </c>
      <c r="FB38" s="186">
        <v>87580</v>
      </c>
      <c r="FC38" s="186">
        <v>2.133</v>
      </c>
      <c r="FD38" s="170">
        <v>206200</v>
      </c>
      <c r="FE38" s="170">
        <v>426.6</v>
      </c>
      <c r="FF38" s="173">
        <v>10629.61</v>
      </c>
      <c r="FG38" s="173">
        <v>4319.8900000000003</v>
      </c>
      <c r="FH38" s="173">
        <v>3280.1274000000003</v>
      </c>
      <c r="FI38" s="173">
        <v>16765.84</v>
      </c>
      <c r="FJ38" s="179"/>
      <c r="FK38" s="188">
        <v>1267305</v>
      </c>
      <c r="FL38" s="172">
        <v>102800.25159000001</v>
      </c>
      <c r="FM38" s="172">
        <v>20696.019960000001</v>
      </c>
      <c r="FN38" s="172">
        <v>123496.27155000002</v>
      </c>
      <c r="FO38" s="176"/>
      <c r="FP38" s="166"/>
      <c r="FQ38" s="174">
        <v>7665</v>
      </c>
      <c r="FR38" s="168">
        <v>7645</v>
      </c>
      <c r="FS38" s="168">
        <v>0.252</v>
      </c>
      <c r="FT38" s="170">
        <v>8400</v>
      </c>
      <c r="FU38" s="170">
        <v>25.2</v>
      </c>
      <c r="FV38" s="180">
        <v>433.02</v>
      </c>
      <c r="FW38" s="180">
        <v>175.98</v>
      </c>
      <c r="FX38" s="180">
        <v>193.7628</v>
      </c>
      <c r="FY38" s="173">
        <v>694.91920000000005</v>
      </c>
      <c r="FZ38" s="174">
        <v>60100</v>
      </c>
      <c r="GA38" s="168">
        <v>59930</v>
      </c>
      <c r="GB38" s="168">
        <v>1.724</v>
      </c>
      <c r="GC38" s="170">
        <v>64400</v>
      </c>
      <c r="GD38" s="170">
        <v>172.4</v>
      </c>
      <c r="GE38" s="180">
        <v>3319.8199999999997</v>
      </c>
      <c r="GF38" s="180">
        <v>1349.18</v>
      </c>
      <c r="GG38" s="180">
        <v>1325.5836000000002</v>
      </c>
      <c r="GH38" s="173">
        <v>5180.4071999999996</v>
      </c>
      <c r="GI38" s="174">
        <v>8520</v>
      </c>
      <c r="GJ38" s="168">
        <v>7591</v>
      </c>
      <c r="GK38" s="170">
        <v>3822</v>
      </c>
      <c r="GL38" s="173">
        <v>526.40405999999996</v>
      </c>
      <c r="GM38" s="173">
        <v>80.070899999999995</v>
      </c>
      <c r="GN38" s="173">
        <v>651.41060720000007</v>
      </c>
      <c r="GO38" s="174">
        <v>49100</v>
      </c>
      <c r="GP38" s="168">
        <v>49048</v>
      </c>
      <c r="GQ38" s="168">
        <v>3.4470000000000001</v>
      </c>
      <c r="GR38" s="170">
        <v>12960</v>
      </c>
      <c r="GS38" s="170">
        <v>137.88</v>
      </c>
      <c r="GT38" s="173">
        <v>668.08799999999997</v>
      </c>
      <c r="GU38" s="173">
        <v>271.512</v>
      </c>
      <c r="GV38" s="173">
        <v>1060.15932</v>
      </c>
      <c r="GW38" s="173">
        <v>1151.5199999999998</v>
      </c>
      <c r="GX38" s="168">
        <v>89582</v>
      </c>
      <c r="GY38" s="172">
        <v>7678.2570071999999</v>
      </c>
      <c r="GZ38" s="172">
        <v>2579.5057200000001</v>
      </c>
      <c r="HA38" s="172">
        <v>10257.762727199999</v>
      </c>
      <c r="HB38" s="187"/>
      <c r="HC38" s="188">
        <v>1356887</v>
      </c>
      <c r="HD38" s="172">
        <v>110478.50859720001</v>
      </c>
      <c r="HE38" s="172">
        <v>23275.525680000002</v>
      </c>
      <c r="HF38" s="172">
        <v>133754.0342772</v>
      </c>
      <c r="HG38" s="170">
        <f>SUM(HE38-HE33)*40</f>
        <v>117211.11600000018</v>
      </c>
      <c r="HH38" s="170">
        <f>SUM(HF38)*40</f>
        <v>5350161.371088</v>
      </c>
      <c r="HI38" s="173">
        <f>SUM(HG38*0.05155)</f>
        <v>6042.2330298000097</v>
      </c>
      <c r="HJ38" s="173">
        <f>SUM(HG38*0.02095)</f>
        <v>2455.572880200004</v>
      </c>
      <c r="HK38" s="173">
        <f>SUM(HH38*7.689)</f>
        <v>41137390.782295629</v>
      </c>
      <c r="HL38" s="173">
        <f>SUM(HJ38+HI38+20)*1.2</f>
        <v>10221.367092000017</v>
      </c>
      <c r="HM38" s="168">
        <f>SUM(GI38+GR38+GZ38+HG38)</f>
        <v>141270.62172000017</v>
      </c>
      <c r="HN38" s="172">
        <f>SUM(HL38+HC38+GW38+GN38)</f>
        <v>1368911.2976992002</v>
      </c>
      <c r="HO38" s="172">
        <f>SUM(GM38+GV38+HK38)</f>
        <v>41138531.012515627</v>
      </c>
      <c r="HP38" s="172">
        <f>SUM(HN38:HO38)</f>
        <v>42507442.310214825</v>
      </c>
      <c r="HQ38" s="187"/>
      <c r="HR38" s="188">
        <f t="shared" ref="HR38:HT38" si="12">(FZ38+HM38)</f>
        <v>201370.62172000017</v>
      </c>
      <c r="HS38" s="172">
        <f t="shared" si="12"/>
        <v>1428841.2976992002</v>
      </c>
      <c r="HT38" s="172">
        <f t="shared" si="12"/>
        <v>41138532.736515626</v>
      </c>
      <c r="HU38" s="172">
        <f t="shared" ref="HU38" si="13">(HS38+HT38)</f>
        <v>42567374.034214824</v>
      </c>
    </row>
    <row r="39" spans="2:229" x14ac:dyDescent="0.25">
      <c r="B39" s="164">
        <v>44046</v>
      </c>
      <c r="C39" s="165">
        <v>136</v>
      </c>
      <c r="D39" s="168">
        <v>92731</v>
      </c>
      <c r="E39" s="168">
        <v>1.9379999999999999</v>
      </c>
      <c r="F39" s="192">
        <v>8800</v>
      </c>
      <c r="G39" s="168">
        <v>88845</v>
      </c>
      <c r="H39" s="168">
        <v>1.9790000000000001</v>
      </c>
      <c r="I39" s="192">
        <v>10080</v>
      </c>
      <c r="J39" s="168">
        <v>10390</v>
      </c>
      <c r="K39" s="168">
        <v>1.59</v>
      </c>
      <c r="L39" s="192">
        <v>2000</v>
      </c>
      <c r="M39" s="168">
        <v>10289</v>
      </c>
      <c r="N39" s="168">
        <v>1.72</v>
      </c>
      <c r="O39" s="192">
        <v>2000</v>
      </c>
      <c r="P39" s="168">
        <v>10966</v>
      </c>
      <c r="Q39" s="168">
        <v>1.43</v>
      </c>
      <c r="R39" s="192">
        <v>1600</v>
      </c>
      <c r="S39" s="168">
        <v>72796</v>
      </c>
      <c r="T39" s="168">
        <v>2.331</v>
      </c>
      <c r="U39" s="192">
        <v>18600</v>
      </c>
      <c r="V39" s="168">
        <v>69401</v>
      </c>
      <c r="W39" s="168">
        <v>2.0289999999999999</v>
      </c>
      <c r="X39" s="192">
        <v>17400</v>
      </c>
      <c r="Y39" s="168">
        <v>17067</v>
      </c>
      <c r="Z39" s="168">
        <v>2.81</v>
      </c>
      <c r="AA39" s="192">
        <v>1440</v>
      </c>
      <c r="AB39" s="168">
        <v>11454</v>
      </c>
      <c r="AC39" s="168">
        <v>1.59</v>
      </c>
      <c r="AD39" s="192">
        <v>640</v>
      </c>
      <c r="AE39" s="168">
        <v>87992</v>
      </c>
      <c r="AF39" s="168">
        <v>2.0840000000000001</v>
      </c>
      <c r="AG39" s="192">
        <v>12800</v>
      </c>
      <c r="AH39" s="168">
        <v>16647</v>
      </c>
      <c r="AI39" s="168">
        <v>0.33</v>
      </c>
      <c r="AJ39" s="192">
        <v>360</v>
      </c>
      <c r="AK39" s="241">
        <v>59809</v>
      </c>
      <c r="AL39" s="192">
        <v>85</v>
      </c>
      <c r="AM39" s="192"/>
      <c r="AN39" s="166"/>
      <c r="AO39" s="192">
        <v>75805</v>
      </c>
      <c r="AP39" s="168">
        <v>13160</v>
      </c>
      <c r="AQ39" s="168">
        <v>0.17360332431897632</v>
      </c>
      <c r="AR39" s="168"/>
      <c r="AS39" s="176"/>
      <c r="AT39" s="181">
        <v>44046</v>
      </c>
      <c r="AU39" s="168">
        <v>60194</v>
      </c>
      <c r="AV39" s="192">
        <v>9400</v>
      </c>
      <c r="AW39" s="168">
        <v>7681</v>
      </c>
      <c r="AX39" s="192">
        <v>1600</v>
      </c>
      <c r="AY39" s="189">
        <v>8999</v>
      </c>
      <c r="AZ39" s="190">
        <v>479</v>
      </c>
      <c r="BA39" s="168">
        <v>49130</v>
      </c>
      <c r="BB39" s="192">
        <v>1200</v>
      </c>
      <c r="BC39" s="166"/>
      <c r="BD39" s="178"/>
      <c r="BE39" s="169">
        <v>12679</v>
      </c>
      <c r="BF39" s="168"/>
      <c r="BG39" s="168"/>
      <c r="BH39" s="177"/>
      <c r="BI39" s="176"/>
      <c r="BJ39" s="166"/>
      <c r="BK39" s="170">
        <v>59809</v>
      </c>
      <c r="BL39" s="166"/>
      <c r="BM39" s="166"/>
      <c r="BN39" s="171"/>
      <c r="BO39" s="174">
        <v>88845</v>
      </c>
      <c r="BP39" s="166"/>
      <c r="BQ39" s="166"/>
      <c r="BR39" s="166"/>
      <c r="BS39" s="166"/>
      <c r="BT39" s="166"/>
      <c r="BU39" s="166"/>
      <c r="BV39" s="166"/>
      <c r="BW39" s="171"/>
      <c r="BX39" s="174">
        <v>92731</v>
      </c>
      <c r="BY39" s="166"/>
      <c r="BZ39" s="166"/>
      <c r="CA39" s="166"/>
      <c r="CB39" s="166"/>
      <c r="CC39" s="166"/>
      <c r="CD39" s="166"/>
      <c r="CE39" s="166"/>
      <c r="CF39" s="171"/>
      <c r="CG39" s="174">
        <v>72796</v>
      </c>
      <c r="CH39" s="166"/>
      <c r="CI39" s="166"/>
      <c r="CJ39" s="166"/>
      <c r="CK39" s="166"/>
      <c r="CL39" s="166"/>
      <c r="CM39" s="166"/>
      <c r="CN39" s="166"/>
      <c r="CO39" s="171"/>
      <c r="CP39" s="174">
        <v>16647</v>
      </c>
      <c r="CQ39" s="166"/>
      <c r="CR39" s="166"/>
      <c r="CS39" s="166"/>
      <c r="CT39" s="166"/>
      <c r="CU39" s="166"/>
      <c r="CV39" s="166"/>
      <c r="CW39" s="166"/>
      <c r="CX39" s="171"/>
      <c r="CY39" s="174">
        <v>69401</v>
      </c>
      <c r="CZ39" s="166"/>
      <c r="DA39" s="166"/>
      <c r="DB39" s="166"/>
      <c r="DC39" s="183"/>
      <c r="DD39" s="166"/>
      <c r="DE39" s="166"/>
      <c r="DF39" s="166"/>
      <c r="DG39" s="171"/>
      <c r="DH39" s="174">
        <v>10289</v>
      </c>
      <c r="DI39" s="166"/>
      <c r="DJ39" s="166"/>
      <c r="DK39" s="166"/>
      <c r="DL39" s="183"/>
      <c r="DM39" s="166"/>
      <c r="DN39" s="166"/>
      <c r="DO39" s="166"/>
      <c r="DP39" s="171"/>
      <c r="DQ39" s="174">
        <v>72796</v>
      </c>
      <c r="DR39" s="166"/>
      <c r="DS39" s="166"/>
      <c r="DT39" s="166"/>
      <c r="DU39" s="166"/>
      <c r="DV39" s="166"/>
      <c r="DW39" s="166"/>
      <c r="DX39" s="166"/>
      <c r="DY39" s="171"/>
      <c r="DZ39" s="174">
        <v>10966</v>
      </c>
      <c r="EA39" s="166"/>
      <c r="EB39" s="166"/>
      <c r="EC39" s="166"/>
      <c r="ED39" s="166"/>
      <c r="EE39" s="166"/>
      <c r="EF39" s="166"/>
      <c r="EG39" s="166"/>
      <c r="EH39" s="171"/>
      <c r="EI39" s="174">
        <v>17067</v>
      </c>
      <c r="EJ39" s="166"/>
      <c r="EK39" s="166"/>
      <c r="EL39" s="166"/>
      <c r="EM39" s="166"/>
      <c r="EN39" s="166"/>
      <c r="EO39" s="166"/>
      <c r="EP39" s="166"/>
      <c r="EQ39" s="171"/>
      <c r="ER39" s="174">
        <v>11454</v>
      </c>
      <c r="ES39" s="166"/>
      <c r="ET39" s="166"/>
      <c r="EU39" s="166"/>
      <c r="EV39" s="166"/>
      <c r="EW39" s="166"/>
      <c r="EX39" s="166"/>
      <c r="EY39" s="166"/>
      <c r="EZ39" s="171"/>
      <c r="FA39" s="170">
        <v>87992</v>
      </c>
      <c r="FB39" s="185"/>
      <c r="FC39" s="185"/>
      <c r="FD39" s="175"/>
      <c r="FE39" s="175"/>
      <c r="FF39" s="175"/>
      <c r="FG39" s="166"/>
      <c r="FH39" s="175"/>
      <c r="FI39" s="175"/>
      <c r="FJ39" s="179"/>
      <c r="FK39" s="182"/>
      <c r="FL39" s="166"/>
      <c r="FM39" s="166"/>
      <c r="FN39" s="166"/>
      <c r="FO39" s="176"/>
      <c r="FP39" s="166"/>
      <c r="FQ39" s="174">
        <v>7681</v>
      </c>
      <c r="FR39" s="166"/>
      <c r="FS39" s="166"/>
      <c r="FT39" s="166"/>
      <c r="FU39" s="166"/>
      <c r="FV39" s="166"/>
      <c r="FW39" s="166"/>
      <c r="FX39" s="166"/>
      <c r="FY39" s="171"/>
      <c r="FZ39" s="174">
        <v>60194</v>
      </c>
      <c r="GA39" s="166"/>
      <c r="GB39" s="166"/>
      <c r="GC39" s="166"/>
      <c r="GD39" s="166"/>
      <c r="GE39" s="166"/>
      <c r="GF39" s="166"/>
      <c r="GG39" s="166"/>
      <c r="GH39" s="171"/>
      <c r="GI39" s="174">
        <v>8999</v>
      </c>
      <c r="GJ39" s="166"/>
      <c r="GK39" s="166"/>
      <c r="GL39" s="166"/>
      <c r="GM39" s="166"/>
      <c r="GN39" s="171"/>
      <c r="GO39" s="174">
        <v>49130</v>
      </c>
      <c r="GP39" s="166"/>
      <c r="GQ39" s="166"/>
      <c r="GR39" s="166"/>
      <c r="GS39" s="166"/>
      <c r="GT39" s="166"/>
      <c r="GU39" s="166"/>
      <c r="GV39" s="166"/>
      <c r="GW39" s="171"/>
      <c r="GX39" s="166"/>
      <c r="GY39" s="166"/>
      <c r="GZ39" s="166"/>
      <c r="HA39" s="166"/>
      <c r="HB39" s="187"/>
      <c r="HC39" s="166"/>
      <c r="HD39" s="166"/>
      <c r="HE39" s="166"/>
      <c r="HF39" s="166"/>
      <c r="HG39" s="166"/>
      <c r="HH39" s="166"/>
      <c r="HI39" s="166"/>
      <c r="HJ39" s="166"/>
      <c r="HK39" s="166"/>
      <c r="HL39" s="171"/>
      <c r="HM39" s="166"/>
      <c r="HN39" s="166"/>
      <c r="HO39" s="166"/>
      <c r="HP39" s="166"/>
      <c r="HQ39" s="187"/>
      <c r="HR39" s="166"/>
      <c r="HS39" s="166"/>
      <c r="HT39" s="166"/>
      <c r="HU39" s="166"/>
    </row>
    <row r="40" spans="2:229" x14ac:dyDescent="0.25">
      <c r="B40" s="164">
        <v>44053</v>
      </c>
      <c r="C40" s="165">
        <v>940</v>
      </c>
      <c r="D40" s="168">
        <v>92974</v>
      </c>
      <c r="E40" s="168">
        <v>1.9379999999999999</v>
      </c>
      <c r="F40" s="192">
        <v>38880</v>
      </c>
      <c r="G40" s="168">
        <v>89112</v>
      </c>
      <c r="H40" s="168">
        <v>1.9790000000000001</v>
      </c>
      <c r="I40" s="192">
        <v>42720</v>
      </c>
      <c r="J40" s="168">
        <v>10410</v>
      </c>
      <c r="K40" s="168">
        <v>1.7</v>
      </c>
      <c r="L40" s="192">
        <v>8000</v>
      </c>
      <c r="M40" s="168">
        <v>10314</v>
      </c>
      <c r="N40" s="168">
        <v>2.0299999999999998</v>
      </c>
      <c r="O40" s="192">
        <v>10000</v>
      </c>
      <c r="P40" s="168">
        <v>10984</v>
      </c>
      <c r="Q40" s="168">
        <v>1.43</v>
      </c>
      <c r="R40" s="192">
        <v>7200</v>
      </c>
      <c r="S40" s="168">
        <v>73045</v>
      </c>
      <c r="T40" s="168">
        <v>2.331</v>
      </c>
      <c r="U40" s="192">
        <v>74700</v>
      </c>
      <c r="V40" s="168">
        <v>69637</v>
      </c>
      <c r="W40" s="168">
        <v>2.0289999999999999</v>
      </c>
      <c r="X40" s="192">
        <v>70800</v>
      </c>
      <c r="Y40" s="168">
        <v>17104</v>
      </c>
      <c r="Z40" s="168">
        <v>2.81</v>
      </c>
      <c r="AA40" s="192">
        <v>5920</v>
      </c>
      <c r="AB40" s="168">
        <v>11471</v>
      </c>
      <c r="AC40" s="168">
        <v>1.75</v>
      </c>
      <c r="AD40" s="192">
        <v>2720</v>
      </c>
      <c r="AE40" s="168">
        <v>88252</v>
      </c>
      <c r="AF40" s="168">
        <v>2.0840000000000001</v>
      </c>
      <c r="AG40" s="192">
        <v>52000</v>
      </c>
      <c r="AH40" s="168">
        <v>16688</v>
      </c>
      <c r="AI40" s="168">
        <v>0.33</v>
      </c>
      <c r="AJ40" s="192">
        <v>1640</v>
      </c>
      <c r="AK40" s="241">
        <v>60231</v>
      </c>
      <c r="AL40" s="192">
        <v>422</v>
      </c>
      <c r="AM40" s="192"/>
      <c r="AN40" s="166"/>
      <c r="AO40" s="192">
        <v>315002</v>
      </c>
      <c r="AP40" s="168">
        <v>53640</v>
      </c>
      <c r="AQ40" s="168">
        <v>0.17028463311344055</v>
      </c>
      <c r="AR40" s="168"/>
      <c r="AS40" s="176"/>
      <c r="AT40" s="181">
        <v>44053</v>
      </c>
      <c r="AU40" s="168">
        <v>60335</v>
      </c>
      <c r="AV40" s="192">
        <v>14100</v>
      </c>
      <c r="AW40" s="168">
        <v>7699</v>
      </c>
      <c r="AX40" s="192">
        <v>1800</v>
      </c>
      <c r="AY40" s="189">
        <v>9819</v>
      </c>
      <c r="AZ40" s="190">
        <v>820</v>
      </c>
      <c r="BA40" s="168">
        <v>49190</v>
      </c>
      <c r="BB40" s="192">
        <v>2400</v>
      </c>
      <c r="BC40" s="166"/>
      <c r="BD40" s="178"/>
      <c r="BE40" s="169">
        <v>19120</v>
      </c>
      <c r="BF40" s="168"/>
      <c r="BG40" s="168"/>
      <c r="BH40" s="177"/>
      <c r="BI40" s="176"/>
      <c r="BJ40" s="166"/>
      <c r="BK40" s="170">
        <v>60231</v>
      </c>
      <c r="BL40" s="166"/>
      <c r="BM40" s="166"/>
      <c r="BN40" s="171"/>
      <c r="BO40" s="174">
        <v>89112</v>
      </c>
      <c r="BP40" s="166"/>
      <c r="BQ40" s="166"/>
      <c r="BR40" s="166"/>
      <c r="BS40" s="166"/>
      <c r="BT40" s="166"/>
      <c r="BU40" s="166"/>
      <c r="BV40" s="166"/>
      <c r="BW40" s="171"/>
      <c r="BX40" s="174">
        <v>92974</v>
      </c>
      <c r="BY40" s="166"/>
      <c r="BZ40" s="166"/>
      <c r="CA40" s="166"/>
      <c r="CB40" s="166"/>
      <c r="CC40" s="166"/>
      <c r="CD40" s="166"/>
      <c r="CE40" s="166"/>
      <c r="CF40" s="171"/>
      <c r="CG40" s="174">
        <v>73045</v>
      </c>
      <c r="CH40" s="166"/>
      <c r="CI40" s="166"/>
      <c r="CJ40" s="166"/>
      <c r="CK40" s="166"/>
      <c r="CL40" s="166"/>
      <c r="CM40" s="166"/>
      <c r="CN40" s="166"/>
      <c r="CO40" s="171"/>
      <c r="CP40" s="174">
        <v>16688</v>
      </c>
      <c r="CQ40" s="166"/>
      <c r="CR40" s="166"/>
      <c r="CS40" s="166"/>
      <c r="CT40" s="166"/>
      <c r="CU40" s="166"/>
      <c r="CV40" s="166"/>
      <c r="CW40" s="166"/>
      <c r="CX40" s="171"/>
      <c r="CY40" s="174">
        <v>69637</v>
      </c>
      <c r="CZ40" s="166"/>
      <c r="DA40" s="166"/>
      <c r="DB40" s="166"/>
      <c r="DC40" s="183"/>
      <c r="DD40" s="166"/>
      <c r="DE40" s="166"/>
      <c r="DF40" s="166"/>
      <c r="DG40" s="171"/>
      <c r="DH40" s="174">
        <v>10314</v>
      </c>
      <c r="DI40" s="166"/>
      <c r="DJ40" s="166"/>
      <c r="DK40" s="166"/>
      <c r="DL40" s="183"/>
      <c r="DM40" s="166"/>
      <c r="DN40" s="166"/>
      <c r="DO40" s="166"/>
      <c r="DP40" s="171"/>
      <c r="DQ40" s="174">
        <v>73045</v>
      </c>
      <c r="DR40" s="166"/>
      <c r="DS40" s="166"/>
      <c r="DT40" s="166"/>
      <c r="DU40" s="166"/>
      <c r="DV40" s="166"/>
      <c r="DW40" s="166"/>
      <c r="DX40" s="166"/>
      <c r="DY40" s="171"/>
      <c r="DZ40" s="174">
        <v>10984</v>
      </c>
      <c r="EA40" s="166"/>
      <c r="EB40" s="166"/>
      <c r="EC40" s="166"/>
      <c r="ED40" s="166"/>
      <c r="EE40" s="166"/>
      <c r="EF40" s="166"/>
      <c r="EG40" s="166"/>
      <c r="EH40" s="171"/>
      <c r="EI40" s="174">
        <v>17104</v>
      </c>
      <c r="EJ40" s="166"/>
      <c r="EK40" s="166"/>
      <c r="EL40" s="166"/>
      <c r="EM40" s="166"/>
      <c r="EN40" s="166"/>
      <c r="EO40" s="166"/>
      <c r="EP40" s="166"/>
      <c r="EQ40" s="171"/>
      <c r="ER40" s="174">
        <v>11471</v>
      </c>
      <c r="ES40" s="166"/>
      <c r="ET40" s="166"/>
      <c r="EU40" s="166"/>
      <c r="EV40" s="166"/>
      <c r="EW40" s="166"/>
      <c r="EX40" s="166"/>
      <c r="EY40" s="166"/>
      <c r="EZ40" s="171"/>
      <c r="FA40" s="170">
        <v>88252</v>
      </c>
      <c r="FB40" s="185"/>
      <c r="FC40" s="185"/>
      <c r="FD40" s="175"/>
      <c r="FE40" s="175"/>
      <c r="FF40" s="175"/>
      <c r="FG40" s="166"/>
      <c r="FH40" s="175"/>
      <c r="FI40" s="175"/>
      <c r="FJ40" s="179"/>
      <c r="FK40" s="182"/>
      <c r="FL40" s="166"/>
      <c r="FM40" s="166"/>
      <c r="FN40" s="166"/>
      <c r="FO40" s="176"/>
      <c r="FP40" s="166"/>
      <c r="FQ40" s="174">
        <v>7699</v>
      </c>
      <c r="FR40" s="166"/>
      <c r="FS40" s="166"/>
      <c r="FT40" s="166"/>
      <c r="FU40" s="166"/>
      <c r="FV40" s="166"/>
      <c r="FW40" s="166"/>
      <c r="FX40" s="166"/>
      <c r="FY40" s="171"/>
      <c r="FZ40" s="174">
        <v>60335</v>
      </c>
      <c r="GA40" s="166"/>
      <c r="GB40" s="166"/>
      <c r="GC40" s="166"/>
      <c r="GD40" s="166"/>
      <c r="GE40" s="166"/>
      <c r="GF40" s="166"/>
      <c r="GG40" s="166"/>
      <c r="GH40" s="171"/>
      <c r="GI40" s="174">
        <v>9819</v>
      </c>
      <c r="GJ40" s="166"/>
      <c r="GK40" s="166"/>
      <c r="GL40" s="166"/>
      <c r="GM40" s="166"/>
      <c r="GN40" s="171"/>
      <c r="GO40" s="174">
        <v>49190</v>
      </c>
      <c r="GP40" s="166"/>
      <c r="GQ40" s="166"/>
      <c r="GR40" s="166"/>
      <c r="GS40" s="166"/>
      <c r="GT40" s="166"/>
      <c r="GU40" s="166"/>
      <c r="GV40" s="166"/>
      <c r="GW40" s="171"/>
      <c r="GX40" s="166"/>
      <c r="GY40" s="166"/>
      <c r="GZ40" s="166"/>
      <c r="HA40" s="166"/>
      <c r="HB40" s="187"/>
      <c r="HC40" s="166"/>
      <c r="HD40" s="166"/>
      <c r="HE40" s="166"/>
      <c r="HF40" s="166"/>
      <c r="HG40" s="166"/>
      <c r="HH40" s="166"/>
      <c r="HI40" s="166"/>
      <c r="HJ40" s="166"/>
      <c r="HK40" s="166"/>
      <c r="HL40" s="171"/>
      <c r="HM40" s="166"/>
      <c r="HN40" s="166"/>
      <c r="HO40" s="166"/>
      <c r="HP40" s="166"/>
      <c r="HQ40" s="187"/>
      <c r="HR40" s="166"/>
      <c r="HS40" s="166"/>
      <c r="HT40" s="166"/>
      <c r="HU40" s="166"/>
    </row>
    <row r="41" spans="2:229" x14ac:dyDescent="0.25">
      <c r="B41" s="164">
        <v>44060</v>
      </c>
      <c r="C41" s="165">
        <v>856</v>
      </c>
      <c r="D41" s="168">
        <v>93222</v>
      </c>
      <c r="E41" s="168">
        <v>1.9379999999999999</v>
      </c>
      <c r="F41" s="192">
        <v>39680</v>
      </c>
      <c r="G41" s="168">
        <v>89380</v>
      </c>
      <c r="H41" s="168">
        <v>2</v>
      </c>
      <c r="I41" s="192">
        <v>42880</v>
      </c>
      <c r="J41" s="168">
        <v>10420</v>
      </c>
      <c r="K41" s="168">
        <v>1.7</v>
      </c>
      <c r="L41" s="192">
        <v>4000</v>
      </c>
      <c r="M41" s="168">
        <v>10337</v>
      </c>
      <c r="N41" s="168">
        <v>2.0299999999999998</v>
      </c>
      <c r="O41" s="192">
        <v>9200</v>
      </c>
      <c r="P41" s="168">
        <v>11003</v>
      </c>
      <c r="Q41" s="168">
        <v>1.64</v>
      </c>
      <c r="R41" s="192">
        <v>7600</v>
      </c>
      <c r="S41" s="168">
        <v>73313</v>
      </c>
      <c r="T41" s="168">
        <v>2.4390000000000001</v>
      </c>
      <c r="U41" s="192">
        <v>80400</v>
      </c>
      <c r="V41" s="168">
        <v>69904</v>
      </c>
      <c r="W41" s="168">
        <v>2.3260000000000001</v>
      </c>
      <c r="X41" s="192">
        <v>80100</v>
      </c>
      <c r="Y41" s="168">
        <v>17142</v>
      </c>
      <c r="Z41" s="168">
        <v>3.17</v>
      </c>
      <c r="AA41" s="192">
        <v>6080</v>
      </c>
      <c r="AB41" s="168">
        <v>11489</v>
      </c>
      <c r="AC41" s="168">
        <v>2.66</v>
      </c>
      <c r="AD41" s="192">
        <v>2880</v>
      </c>
      <c r="AE41" s="168">
        <v>88501</v>
      </c>
      <c r="AF41" s="168">
        <v>2.0840000000000001</v>
      </c>
      <c r="AG41" s="192">
        <v>49800</v>
      </c>
      <c r="AH41" s="168">
        <v>16727</v>
      </c>
      <c r="AI41" s="168">
        <v>0.33600000000000002</v>
      </c>
      <c r="AJ41" s="192">
        <v>1560</v>
      </c>
      <c r="AK41" s="241">
        <v>60650</v>
      </c>
      <c r="AL41" s="192">
        <v>419</v>
      </c>
      <c r="AM41" s="192"/>
      <c r="AN41" s="166"/>
      <c r="AO41" s="192">
        <v>324599</v>
      </c>
      <c r="AP41" s="168">
        <v>51360</v>
      </c>
      <c r="AQ41" s="168">
        <v>0.15822599576708493</v>
      </c>
      <c r="AR41" s="168"/>
      <c r="AS41" s="176"/>
      <c r="AT41" s="181">
        <v>44060</v>
      </c>
      <c r="AU41" s="168">
        <v>60484</v>
      </c>
      <c r="AV41" s="192">
        <v>14900</v>
      </c>
      <c r="AW41" s="168">
        <v>7718</v>
      </c>
      <c r="AX41" s="192">
        <v>1900</v>
      </c>
      <c r="AY41" s="189">
        <v>10673</v>
      </c>
      <c r="AZ41" s="190">
        <v>854</v>
      </c>
      <c r="BA41" s="168">
        <v>49246</v>
      </c>
      <c r="BB41" s="192">
        <v>2240</v>
      </c>
      <c r="BC41" s="166"/>
      <c r="BD41" s="178"/>
      <c r="BE41" s="169">
        <v>19894</v>
      </c>
      <c r="BF41" s="168"/>
      <c r="BG41" s="168"/>
      <c r="BH41" s="177"/>
      <c r="BI41" s="176"/>
      <c r="BJ41" s="166"/>
      <c r="BK41" s="170">
        <v>60650</v>
      </c>
      <c r="BL41" s="166"/>
      <c r="BM41" s="166"/>
      <c r="BN41" s="171"/>
      <c r="BO41" s="174">
        <v>89380</v>
      </c>
      <c r="BP41" s="166"/>
      <c r="BQ41" s="166"/>
      <c r="BR41" s="166"/>
      <c r="BS41" s="166"/>
      <c r="BT41" s="166"/>
      <c r="BU41" s="166"/>
      <c r="BV41" s="166"/>
      <c r="BW41" s="171"/>
      <c r="BX41" s="174">
        <v>93222</v>
      </c>
      <c r="BY41" s="166"/>
      <c r="BZ41" s="166"/>
      <c r="CA41" s="166"/>
      <c r="CB41" s="166"/>
      <c r="CC41" s="166"/>
      <c r="CD41" s="166"/>
      <c r="CE41" s="166"/>
      <c r="CF41" s="171"/>
      <c r="CG41" s="174">
        <v>73313</v>
      </c>
      <c r="CH41" s="166"/>
      <c r="CI41" s="166"/>
      <c r="CJ41" s="166"/>
      <c r="CK41" s="166"/>
      <c r="CL41" s="166"/>
      <c r="CM41" s="166"/>
      <c r="CN41" s="166"/>
      <c r="CO41" s="171"/>
      <c r="CP41" s="174">
        <v>16727</v>
      </c>
      <c r="CQ41" s="166"/>
      <c r="CR41" s="166"/>
      <c r="CS41" s="166"/>
      <c r="CT41" s="166"/>
      <c r="CU41" s="166"/>
      <c r="CV41" s="166"/>
      <c r="CW41" s="166"/>
      <c r="CX41" s="171"/>
      <c r="CY41" s="174">
        <v>69904</v>
      </c>
      <c r="CZ41" s="166"/>
      <c r="DA41" s="166"/>
      <c r="DB41" s="166"/>
      <c r="DC41" s="183"/>
      <c r="DD41" s="166"/>
      <c r="DE41" s="166"/>
      <c r="DF41" s="166"/>
      <c r="DG41" s="171"/>
      <c r="DH41" s="174">
        <v>10337</v>
      </c>
      <c r="DI41" s="166"/>
      <c r="DJ41" s="166"/>
      <c r="DK41" s="166"/>
      <c r="DL41" s="183"/>
      <c r="DM41" s="166"/>
      <c r="DN41" s="166"/>
      <c r="DO41" s="166"/>
      <c r="DP41" s="171"/>
      <c r="DQ41" s="174">
        <v>73313</v>
      </c>
      <c r="DR41" s="166"/>
      <c r="DS41" s="166"/>
      <c r="DT41" s="166"/>
      <c r="DU41" s="166"/>
      <c r="DV41" s="166"/>
      <c r="DW41" s="166"/>
      <c r="DX41" s="166"/>
      <c r="DY41" s="171"/>
      <c r="DZ41" s="174">
        <v>11003</v>
      </c>
      <c r="EA41" s="166"/>
      <c r="EB41" s="166"/>
      <c r="EC41" s="166"/>
      <c r="ED41" s="166"/>
      <c r="EE41" s="166"/>
      <c r="EF41" s="166"/>
      <c r="EG41" s="166"/>
      <c r="EH41" s="171"/>
      <c r="EI41" s="174">
        <v>17142</v>
      </c>
      <c r="EJ41" s="166"/>
      <c r="EK41" s="166"/>
      <c r="EL41" s="166"/>
      <c r="EM41" s="166"/>
      <c r="EN41" s="166"/>
      <c r="EO41" s="166"/>
      <c r="EP41" s="166"/>
      <c r="EQ41" s="171"/>
      <c r="ER41" s="174">
        <v>11489</v>
      </c>
      <c r="ES41" s="166"/>
      <c r="ET41" s="166"/>
      <c r="EU41" s="166"/>
      <c r="EV41" s="166"/>
      <c r="EW41" s="166"/>
      <c r="EX41" s="166"/>
      <c r="EY41" s="166"/>
      <c r="EZ41" s="171"/>
      <c r="FA41" s="170">
        <v>88501</v>
      </c>
      <c r="FB41" s="185"/>
      <c r="FC41" s="185"/>
      <c r="FD41" s="175"/>
      <c r="FE41" s="175"/>
      <c r="FF41" s="175"/>
      <c r="FG41" s="166"/>
      <c r="FH41" s="175"/>
      <c r="FI41" s="175"/>
      <c r="FJ41" s="179"/>
      <c r="FK41" s="182"/>
      <c r="FL41" s="166"/>
      <c r="FM41" s="166"/>
      <c r="FN41" s="166"/>
      <c r="FO41" s="176"/>
      <c r="FP41" s="166"/>
      <c r="FQ41" s="174">
        <v>7718</v>
      </c>
      <c r="FR41" s="166"/>
      <c r="FS41" s="166"/>
      <c r="FT41" s="166"/>
      <c r="FU41" s="166"/>
      <c r="FV41" s="166"/>
      <c r="FW41" s="166"/>
      <c r="FX41" s="166"/>
      <c r="FY41" s="171"/>
      <c r="FZ41" s="174">
        <v>60484</v>
      </c>
      <c r="GA41" s="166"/>
      <c r="GB41" s="166"/>
      <c r="GC41" s="166"/>
      <c r="GD41" s="166"/>
      <c r="GE41" s="166"/>
      <c r="GF41" s="166"/>
      <c r="GG41" s="166"/>
      <c r="GH41" s="171"/>
      <c r="GI41" s="174">
        <v>10673</v>
      </c>
      <c r="GJ41" s="166"/>
      <c r="GK41" s="166"/>
      <c r="GL41" s="166"/>
      <c r="GM41" s="166"/>
      <c r="GN41" s="171"/>
      <c r="GO41" s="174">
        <v>49246</v>
      </c>
      <c r="GP41" s="166"/>
      <c r="GQ41" s="166"/>
      <c r="GR41" s="166"/>
      <c r="GS41" s="166"/>
      <c r="GT41" s="166"/>
      <c r="GU41" s="166"/>
      <c r="GV41" s="166"/>
      <c r="GW41" s="171"/>
      <c r="GX41" s="166"/>
      <c r="GY41" s="166"/>
      <c r="GZ41" s="166"/>
      <c r="HA41" s="166"/>
      <c r="HB41" s="187"/>
      <c r="HC41" s="166"/>
      <c r="HD41" s="166"/>
      <c r="HE41" s="166"/>
      <c r="HF41" s="166"/>
      <c r="HG41" s="166"/>
      <c r="HH41" s="166"/>
      <c r="HI41" s="166"/>
      <c r="HJ41" s="166"/>
      <c r="HK41" s="166"/>
      <c r="HL41" s="171"/>
      <c r="HM41" s="166"/>
      <c r="HN41" s="166"/>
      <c r="HO41" s="166"/>
      <c r="HP41" s="166"/>
      <c r="HQ41" s="187"/>
      <c r="HR41" s="166"/>
      <c r="HS41" s="166"/>
      <c r="HT41" s="166"/>
      <c r="HU41" s="166"/>
    </row>
    <row r="42" spans="2:229" x14ac:dyDescent="0.25">
      <c r="B42" s="164">
        <v>44067</v>
      </c>
      <c r="C42" s="165">
        <v>795</v>
      </c>
      <c r="D42" s="168">
        <v>93473</v>
      </c>
      <c r="E42" s="168">
        <v>1.909</v>
      </c>
      <c r="F42" s="192">
        <v>40160</v>
      </c>
      <c r="G42" s="168">
        <v>89645</v>
      </c>
      <c r="H42" s="168">
        <v>2.0169999999999999</v>
      </c>
      <c r="I42" s="192">
        <v>42400</v>
      </c>
      <c r="J42" s="168">
        <v>10449</v>
      </c>
      <c r="K42" s="168">
        <v>1.55</v>
      </c>
      <c r="L42" s="192">
        <v>11600</v>
      </c>
      <c r="M42" s="168">
        <v>10359</v>
      </c>
      <c r="N42" s="168">
        <v>1.95</v>
      </c>
      <c r="O42" s="192">
        <v>8800</v>
      </c>
      <c r="P42" s="168">
        <v>11020</v>
      </c>
      <c r="Q42" s="168">
        <v>1.3</v>
      </c>
      <c r="R42" s="192">
        <v>6800</v>
      </c>
      <c r="S42" s="168">
        <v>73571</v>
      </c>
      <c r="T42" s="168">
        <v>1.643</v>
      </c>
      <c r="U42" s="192">
        <v>77400</v>
      </c>
      <c r="V42" s="168">
        <v>70094</v>
      </c>
      <c r="W42" s="168">
        <v>2.0150000000000001</v>
      </c>
      <c r="X42" s="192">
        <v>57000</v>
      </c>
      <c r="Y42" s="168">
        <v>17178</v>
      </c>
      <c r="Z42" s="168">
        <v>2.52</v>
      </c>
      <c r="AA42" s="192">
        <v>5760</v>
      </c>
      <c r="AB42" s="168">
        <v>11505</v>
      </c>
      <c r="AC42" s="168">
        <v>1.62</v>
      </c>
      <c r="AD42" s="192">
        <v>2560</v>
      </c>
      <c r="AE42" s="168">
        <v>88743</v>
      </c>
      <c r="AF42" s="168">
        <v>1.9650000000000001</v>
      </c>
      <c r="AG42" s="192">
        <v>48400</v>
      </c>
      <c r="AH42" s="168">
        <v>16765</v>
      </c>
      <c r="AI42" s="168">
        <v>0.315</v>
      </c>
      <c r="AJ42" s="192">
        <v>1520</v>
      </c>
      <c r="AK42" s="241">
        <v>61082</v>
      </c>
      <c r="AL42" s="192">
        <v>432</v>
      </c>
      <c r="AM42" s="192"/>
      <c r="AN42" s="166"/>
      <c r="AO42" s="192">
        <v>302832</v>
      </c>
      <c r="AP42" s="168">
        <v>49920</v>
      </c>
      <c r="AQ42" s="168">
        <v>0.16484387383103502</v>
      </c>
      <c r="AR42" s="168"/>
      <c r="AS42" s="176"/>
      <c r="AT42" s="181">
        <v>44067</v>
      </c>
      <c r="AU42" s="168">
        <v>60635</v>
      </c>
      <c r="AV42" s="192">
        <v>15100</v>
      </c>
      <c r="AW42" s="168">
        <v>7740</v>
      </c>
      <c r="AX42" s="192">
        <v>2200</v>
      </c>
      <c r="AY42" s="189">
        <v>11611</v>
      </c>
      <c r="AZ42" s="190">
        <v>938</v>
      </c>
      <c r="BA42" s="168">
        <v>49294</v>
      </c>
      <c r="BB42" s="192">
        <v>1920</v>
      </c>
      <c r="BC42" s="166"/>
      <c r="BD42" s="178"/>
      <c r="BE42" s="169">
        <v>20158</v>
      </c>
      <c r="BF42" s="168"/>
      <c r="BG42" s="168"/>
      <c r="BH42" s="177"/>
      <c r="BI42" s="176"/>
      <c r="BJ42" s="166"/>
      <c r="BK42" s="170">
        <v>61082</v>
      </c>
      <c r="BL42" s="166"/>
      <c r="BM42" s="166"/>
      <c r="BN42" s="171"/>
      <c r="BO42" s="174">
        <v>89645</v>
      </c>
      <c r="BP42" s="166"/>
      <c r="BQ42" s="166"/>
      <c r="BR42" s="166"/>
      <c r="BS42" s="166"/>
      <c r="BT42" s="166"/>
      <c r="BU42" s="166"/>
      <c r="BV42" s="166"/>
      <c r="BW42" s="171"/>
      <c r="BX42" s="174">
        <v>93473</v>
      </c>
      <c r="BY42" s="166"/>
      <c r="BZ42" s="166"/>
      <c r="CA42" s="166"/>
      <c r="CB42" s="166"/>
      <c r="CC42" s="166"/>
      <c r="CD42" s="166"/>
      <c r="CE42" s="166"/>
      <c r="CF42" s="171"/>
      <c r="CG42" s="174">
        <v>73571</v>
      </c>
      <c r="CH42" s="166"/>
      <c r="CI42" s="166"/>
      <c r="CJ42" s="166"/>
      <c r="CK42" s="166"/>
      <c r="CL42" s="166"/>
      <c r="CM42" s="166"/>
      <c r="CN42" s="166"/>
      <c r="CO42" s="171"/>
      <c r="CP42" s="174">
        <v>16765</v>
      </c>
      <c r="CQ42" s="166"/>
      <c r="CR42" s="166"/>
      <c r="CS42" s="166"/>
      <c r="CT42" s="166"/>
      <c r="CU42" s="166"/>
      <c r="CV42" s="166"/>
      <c r="CW42" s="166"/>
      <c r="CX42" s="171"/>
      <c r="CY42" s="174">
        <v>70094</v>
      </c>
      <c r="CZ42" s="166"/>
      <c r="DA42" s="166"/>
      <c r="DB42" s="166"/>
      <c r="DC42" s="183"/>
      <c r="DD42" s="166"/>
      <c r="DE42" s="166"/>
      <c r="DF42" s="166"/>
      <c r="DG42" s="171"/>
      <c r="DH42" s="174">
        <v>10359</v>
      </c>
      <c r="DI42" s="166"/>
      <c r="DJ42" s="166"/>
      <c r="DK42" s="166"/>
      <c r="DL42" s="183"/>
      <c r="DM42" s="166"/>
      <c r="DN42" s="166"/>
      <c r="DO42" s="166"/>
      <c r="DP42" s="171"/>
      <c r="DQ42" s="174">
        <v>73571</v>
      </c>
      <c r="DR42" s="166"/>
      <c r="DS42" s="166"/>
      <c r="DT42" s="166"/>
      <c r="DU42" s="166"/>
      <c r="DV42" s="166"/>
      <c r="DW42" s="166"/>
      <c r="DX42" s="166"/>
      <c r="DY42" s="171"/>
      <c r="DZ42" s="174">
        <v>11020</v>
      </c>
      <c r="EA42" s="166"/>
      <c r="EB42" s="166"/>
      <c r="EC42" s="166"/>
      <c r="ED42" s="166"/>
      <c r="EE42" s="166"/>
      <c r="EF42" s="166"/>
      <c r="EG42" s="166"/>
      <c r="EH42" s="171"/>
      <c r="EI42" s="174">
        <v>17178</v>
      </c>
      <c r="EJ42" s="166"/>
      <c r="EK42" s="166"/>
      <c r="EL42" s="166"/>
      <c r="EM42" s="166"/>
      <c r="EN42" s="166"/>
      <c r="EO42" s="166"/>
      <c r="EP42" s="166"/>
      <c r="EQ42" s="171"/>
      <c r="ER42" s="174">
        <v>11505</v>
      </c>
      <c r="ES42" s="166"/>
      <c r="ET42" s="166"/>
      <c r="EU42" s="166"/>
      <c r="EV42" s="166"/>
      <c r="EW42" s="166"/>
      <c r="EX42" s="166"/>
      <c r="EY42" s="166"/>
      <c r="EZ42" s="171"/>
      <c r="FA42" s="170">
        <v>88743</v>
      </c>
      <c r="FB42" s="185"/>
      <c r="FC42" s="185"/>
      <c r="FD42" s="175"/>
      <c r="FE42" s="175"/>
      <c r="FF42" s="175"/>
      <c r="FG42" s="166"/>
      <c r="FH42" s="175"/>
      <c r="FI42" s="175"/>
      <c r="FJ42" s="179"/>
      <c r="FK42" s="182"/>
      <c r="FL42" s="166"/>
      <c r="FM42" s="166"/>
      <c r="FN42" s="166"/>
      <c r="FO42" s="176"/>
      <c r="FP42" s="166"/>
      <c r="FQ42" s="174">
        <v>7740</v>
      </c>
      <c r="FR42" s="166"/>
      <c r="FS42" s="166"/>
      <c r="FT42" s="166"/>
      <c r="FU42" s="166"/>
      <c r="FV42" s="166"/>
      <c r="FW42" s="166"/>
      <c r="FX42" s="166"/>
      <c r="FY42" s="171"/>
      <c r="FZ42" s="174">
        <v>60635</v>
      </c>
      <c r="GA42" s="166"/>
      <c r="GB42" s="166"/>
      <c r="GC42" s="166"/>
      <c r="GD42" s="166"/>
      <c r="GE42" s="166"/>
      <c r="GF42" s="166"/>
      <c r="GG42" s="166"/>
      <c r="GH42" s="171"/>
      <c r="GI42" s="174">
        <v>11611</v>
      </c>
      <c r="GJ42" s="166"/>
      <c r="GK42" s="166"/>
      <c r="GL42" s="166"/>
      <c r="GM42" s="166"/>
      <c r="GN42" s="171"/>
      <c r="GO42" s="174">
        <v>49294</v>
      </c>
      <c r="GP42" s="166"/>
      <c r="GQ42" s="166"/>
      <c r="GR42" s="166"/>
      <c r="GS42" s="166"/>
      <c r="GT42" s="166"/>
      <c r="GU42" s="166"/>
      <c r="GV42" s="166"/>
      <c r="GW42" s="171"/>
      <c r="GX42" s="166"/>
      <c r="GY42" s="166"/>
      <c r="GZ42" s="166"/>
      <c r="HA42" s="166"/>
      <c r="HB42" s="187"/>
      <c r="HC42" s="166"/>
      <c r="HD42" s="166"/>
      <c r="HE42" s="166"/>
      <c r="HF42" s="166"/>
      <c r="HG42" s="166"/>
      <c r="HH42" s="166"/>
      <c r="HI42" s="166"/>
      <c r="HJ42" s="166"/>
      <c r="HK42" s="166"/>
      <c r="HL42" s="171"/>
      <c r="HM42" s="166"/>
      <c r="HN42" s="166"/>
      <c r="HO42" s="166"/>
      <c r="HP42" s="166"/>
      <c r="HQ42" s="187"/>
      <c r="HR42" s="166"/>
      <c r="HS42" s="166"/>
      <c r="HT42" s="166"/>
      <c r="HU42" s="166"/>
    </row>
    <row r="43" spans="2:229" x14ac:dyDescent="0.25">
      <c r="B43" s="164">
        <v>44074</v>
      </c>
      <c r="C43" s="165">
        <v>659</v>
      </c>
      <c r="D43" s="168">
        <v>93723</v>
      </c>
      <c r="E43" s="168">
        <v>1.909</v>
      </c>
      <c r="F43" s="192">
        <v>40000</v>
      </c>
      <c r="G43" s="168">
        <v>89912</v>
      </c>
      <c r="H43" s="168">
        <v>2.0169999999999999</v>
      </c>
      <c r="I43" s="192">
        <v>42720</v>
      </c>
      <c r="J43" s="168">
        <v>10470</v>
      </c>
      <c r="K43" s="168">
        <v>1.83</v>
      </c>
      <c r="L43" s="192">
        <v>8400</v>
      </c>
      <c r="M43" s="168">
        <v>10382</v>
      </c>
      <c r="N43" s="168">
        <v>2.11</v>
      </c>
      <c r="O43" s="192">
        <v>9200</v>
      </c>
      <c r="P43" s="168">
        <v>11039</v>
      </c>
      <c r="Q43" s="168">
        <v>1.59</v>
      </c>
      <c r="R43" s="192">
        <v>7600</v>
      </c>
      <c r="S43" s="168">
        <v>73787</v>
      </c>
      <c r="T43" s="168">
        <v>1.887</v>
      </c>
      <c r="U43" s="192">
        <v>64800</v>
      </c>
      <c r="V43" s="168">
        <v>70308</v>
      </c>
      <c r="W43" s="168">
        <v>2.0950000000000002</v>
      </c>
      <c r="X43" s="192">
        <v>64200</v>
      </c>
      <c r="Y43" s="168">
        <v>17214</v>
      </c>
      <c r="Z43" s="168">
        <v>2.93</v>
      </c>
      <c r="AA43" s="192">
        <v>5760</v>
      </c>
      <c r="AB43" s="168">
        <v>11523</v>
      </c>
      <c r="AC43" s="168">
        <v>2.19</v>
      </c>
      <c r="AD43" s="192">
        <v>2880</v>
      </c>
      <c r="AE43" s="168">
        <v>88996</v>
      </c>
      <c r="AF43" s="168">
        <v>2.0150000000000001</v>
      </c>
      <c r="AG43" s="192">
        <v>50600</v>
      </c>
      <c r="AH43" s="168">
        <v>16806</v>
      </c>
      <c r="AI43" s="168">
        <v>0.33100000000000002</v>
      </c>
      <c r="AJ43" s="192">
        <v>1640</v>
      </c>
      <c r="AK43" s="241">
        <v>61519</v>
      </c>
      <c r="AL43" s="192">
        <v>437</v>
      </c>
      <c r="AM43" s="192"/>
      <c r="AN43" s="166"/>
      <c r="AO43" s="192">
        <v>298237</v>
      </c>
      <c r="AP43" s="168">
        <v>52240</v>
      </c>
      <c r="AQ43" s="168">
        <v>0.17516270616992527</v>
      </c>
      <c r="AR43" s="168">
        <v>1316475</v>
      </c>
      <c r="AS43" s="176"/>
      <c r="AT43" s="181">
        <v>44074</v>
      </c>
      <c r="AU43" s="168">
        <v>60782</v>
      </c>
      <c r="AV43" s="192">
        <v>14700</v>
      </c>
      <c r="AW43" s="168">
        <v>7758</v>
      </c>
      <c r="AX43" s="192">
        <v>1800</v>
      </c>
      <c r="AY43" s="189">
        <v>12484</v>
      </c>
      <c r="AZ43" s="190">
        <v>873</v>
      </c>
      <c r="BA43" s="168">
        <v>49362</v>
      </c>
      <c r="BB43" s="192">
        <v>2720</v>
      </c>
      <c r="BC43" s="166"/>
      <c r="BD43" s="178"/>
      <c r="BE43" s="169">
        <v>20093</v>
      </c>
      <c r="BF43" s="168">
        <v>91944</v>
      </c>
      <c r="BG43" s="168">
        <v>1408419</v>
      </c>
      <c r="BH43" s="177"/>
      <c r="BI43" s="176"/>
      <c r="BJ43" s="166"/>
      <c r="BK43" s="170">
        <v>61519</v>
      </c>
      <c r="BL43" s="168">
        <v>61055</v>
      </c>
      <c r="BM43" s="170">
        <v>2086</v>
      </c>
      <c r="BN43" s="173">
        <v>363.64706320000005</v>
      </c>
      <c r="BO43" s="174">
        <v>89912</v>
      </c>
      <c r="BP43" s="168">
        <v>89686</v>
      </c>
      <c r="BQ43" s="168">
        <v>2</v>
      </c>
      <c r="BR43" s="170">
        <v>194080</v>
      </c>
      <c r="BS43" s="170">
        <v>320</v>
      </c>
      <c r="BT43" s="173">
        <v>10004.824000000001</v>
      </c>
      <c r="BU43" s="173">
        <v>4065.9760000000001</v>
      </c>
      <c r="BV43" s="173">
        <v>2460.48</v>
      </c>
      <c r="BW43" s="173">
        <v>15618.588000000003</v>
      </c>
      <c r="BX43" s="174">
        <v>93723</v>
      </c>
      <c r="BY43" s="168">
        <v>93511</v>
      </c>
      <c r="BZ43" s="168">
        <v>1.9379999999999999</v>
      </c>
      <c r="CA43" s="170">
        <v>179680</v>
      </c>
      <c r="CB43" s="170">
        <v>310.08</v>
      </c>
      <c r="CC43" s="173">
        <v>9262.503999999999</v>
      </c>
      <c r="CD43" s="173">
        <v>3764.2959999999998</v>
      </c>
      <c r="CE43" s="173">
        <v>2384.2051200000001</v>
      </c>
      <c r="CF43" s="173">
        <v>14481.948</v>
      </c>
      <c r="CG43" s="174">
        <v>73787</v>
      </c>
      <c r="CH43" s="168">
        <v>73603</v>
      </c>
      <c r="CI43" s="168">
        <v>2.4550000000000001</v>
      </c>
      <c r="CJ43" s="170">
        <v>357900</v>
      </c>
      <c r="CK43" s="170">
        <v>736.5</v>
      </c>
      <c r="CL43" s="173">
        <v>18449.744999999999</v>
      </c>
      <c r="CM43" s="173">
        <v>7498.0050000000001</v>
      </c>
      <c r="CN43" s="173">
        <v>5662.9485000000004</v>
      </c>
      <c r="CO43" s="173">
        <v>28824.202500000003</v>
      </c>
      <c r="CP43" s="174">
        <v>16806</v>
      </c>
      <c r="CQ43" s="168">
        <v>16771</v>
      </c>
      <c r="CR43" s="168">
        <v>0.33600000000000002</v>
      </c>
      <c r="CS43" s="170">
        <v>7400</v>
      </c>
      <c r="CT43" s="170">
        <v>13.440000000000001</v>
      </c>
      <c r="CU43" s="173">
        <v>381.46999999999997</v>
      </c>
      <c r="CV43" s="173">
        <v>155.03</v>
      </c>
      <c r="CW43" s="173">
        <v>103.34016000000001</v>
      </c>
      <c r="CX43" s="173">
        <v>617.71500000000003</v>
      </c>
      <c r="CY43" s="174">
        <v>70308</v>
      </c>
      <c r="CZ43" s="168">
        <v>70139</v>
      </c>
      <c r="DA43" s="168">
        <v>2.3620000000000001</v>
      </c>
      <c r="DB43" s="170">
        <v>326400</v>
      </c>
      <c r="DC43" s="184">
        <v>708.6</v>
      </c>
      <c r="DD43" s="173">
        <v>16825.919999999998</v>
      </c>
      <c r="DE43" s="173">
        <v>6838.08</v>
      </c>
      <c r="DF43" s="173">
        <v>5448.4254000000001</v>
      </c>
      <c r="DG43" s="173">
        <v>26526.080000000002</v>
      </c>
      <c r="DH43" s="174">
        <v>10382</v>
      </c>
      <c r="DI43" s="168">
        <v>10362</v>
      </c>
      <c r="DJ43" s="168">
        <v>0.20300000000000001</v>
      </c>
      <c r="DK43" s="170">
        <v>43200</v>
      </c>
      <c r="DL43" s="184">
        <v>81.2</v>
      </c>
      <c r="DM43" s="173">
        <v>2226.96</v>
      </c>
      <c r="DN43" s="173">
        <v>905.04</v>
      </c>
      <c r="DO43" s="173">
        <v>624.34680000000003</v>
      </c>
      <c r="DP43" s="173">
        <v>3530.2400000000002</v>
      </c>
      <c r="DQ43" s="174">
        <v>73787</v>
      </c>
      <c r="DR43" s="168">
        <v>10452</v>
      </c>
      <c r="DS43" s="168">
        <v>0.17</v>
      </c>
      <c r="DT43" s="170">
        <v>35600</v>
      </c>
      <c r="DU43" s="170">
        <v>68</v>
      </c>
      <c r="DV43" s="173">
        <v>1835.18</v>
      </c>
      <c r="DW43" s="173">
        <v>745.82</v>
      </c>
      <c r="DX43" s="173">
        <v>522.85199999999998</v>
      </c>
      <c r="DY43" s="173">
        <v>2913.1200000000003</v>
      </c>
      <c r="DZ43" s="174">
        <v>11039</v>
      </c>
      <c r="EA43" s="168">
        <v>11023</v>
      </c>
      <c r="EB43" s="168">
        <v>0.16400000000000001</v>
      </c>
      <c r="EC43" s="170">
        <v>32800</v>
      </c>
      <c r="ED43" s="170">
        <v>65.600000000000009</v>
      </c>
      <c r="EE43" s="173">
        <v>1690.84</v>
      </c>
      <c r="EF43" s="173">
        <v>687.16</v>
      </c>
      <c r="EG43" s="173">
        <v>504.39840000000009</v>
      </c>
      <c r="EH43" s="173">
        <v>2685.76</v>
      </c>
      <c r="EI43" s="174">
        <v>17214</v>
      </c>
      <c r="EJ43" s="168">
        <v>17183</v>
      </c>
      <c r="EK43" s="168">
        <v>0.317</v>
      </c>
      <c r="EL43" s="170">
        <v>27360</v>
      </c>
      <c r="EM43" s="170">
        <v>50.72</v>
      </c>
      <c r="EN43" s="173">
        <v>1410.4079999999999</v>
      </c>
      <c r="EO43" s="173">
        <v>573.19200000000001</v>
      </c>
      <c r="EP43" s="173">
        <v>389.98608000000002</v>
      </c>
      <c r="EQ43" s="173">
        <v>2244.0320000000002</v>
      </c>
      <c r="ER43" s="174">
        <v>11523</v>
      </c>
      <c r="ES43" s="168">
        <v>11508</v>
      </c>
      <c r="ET43" s="168">
        <v>0.26600000000000001</v>
      </c>
      <c r="EU43" s="170">
        <v>12640</v>
      </c>
      <c r="EV43" s="170">
        <v>42.56</v>
      </c>
      <c r="EW43" s="173">
        <v>651.59199999999998</v>
      </c>
      <c r="EX43" s="173">
        <v>264.80799999999999</v>
      </c>
      <c r="EY43" s="173">
        <v>327.24384000000003</v>
      </c>
      <c r="EZ43" s="173">
        <v>1048.768</v>
      </c>
      <c r="FA43" s="170">
        <v>88996</v>
      </c>
      <c r="FB43" s="186">
        <v>88780</v>
      </c>
      <c r="FC43" s="186">
        <v>2.0840000000000001</v>
      </c>
      <c r="FD43" s="170">
        <v>240000</v>
      </c>
      <c r="FE43" s="170">
        <v>416.8</v>
      </c>
      <c r="FF43" s="173">
        <v>12372</v>
      </c>
      <c r="FG43" s="173">
        <v>5028</v>
      </c>
      <c r="FH43" s="173">
        <v>3204.7752</v>
      </c>
      <c r="FI43" s="173">
        <v>19510.400000000001</v>
      </c>
      <c r="FJ43" s="179"/>
      <c r="FK43" s="188">
        <v>1459146</v>
      </c>
      <c r="FL43" s="172">
        <v>118364.50056320001</v>
      </c>
      <c r="FM43" s="172">
        <v>21633.001499999998</v>
      </c>
      <c r="FN43" s="172">
        <v>139997.50206319999</v>
      </c>
      <c r="FO43" s="176"/>
      <c r="FP43" s="166"/>
      <c r="FQ43" s="174">
        <v>7758</v>
      </c>
      <c r="FR43" s="168">
        <v>7741</v>
      </c>
      <c r="FS43" s="168">
        <v>0.47799999999999998</v>
      </c>
      <c r="FT43" s="170">
        <v>9600</v>
      </c>
      <c r="FU43" s="170">
        <v>47.8</v>
      </c>
      <c r="FV43" s="180">
        <v>494.88</v>
      </c>
      <c r="FW43" s="180">
        <v>201.12</v>
      </c>
      <c r="FX43" s="180">
        <v>367.5342</v>
      </c>
      <c r="FY43" s="173">
        <v>791.03679999999997</v>
      </c>
      <c r="FZ43" s="174">
        <v>60782</v>
      </c>
      <c r="GA43" s="168">
        <v>60650</v>
      </c>
      <c r="GB43" s="168">
        <v>1.82</v>
      </c>
      <c r="GC43" s="170">
        <v>72000</v>
      </c>
      <c r="GD43" s="170">
        <v>182</v>
      </c>
      <c r="GE43" s="180">
        <v>3711.6</v>
      </c>
      <c r="GF43" s="180">
        <v>1508.4</v>
      </c>
      <c r="GG43" s="180">
        <v>1399.3979999999999</v>
      </c>
      <c r="GH43" s="173">
        <v>5789.152</v>
      </c>
      <c r="GI43" s="174">
        <v>12484</v>
      </c>
      <c r="GJ43" s="168">
        <v>11696</v>
      </c>
      <c r="GK43" s="170">
        <v>4105</v>
      </c>
      <c r="GL43" s="173">
        <v>565.38164999999992</v>
      </c>
      <c r="GM43" s="173">
        <v>85.999750000000006</v>
      </c>
      <c r="GN43" s="173">
        <v>699.46049800000003</v>
      </c>
      <c r="GO43" s="174">
        <v>49362</v>
      </c>
      <c r="GP43" s="168">
        <v>49325</v>
      </c>
      <c r="GQ43" s="168">
        <v>3.298</v>
      </c>
      <c r="GR43" s="170">
        <v>11080</v>
      </c>
      <c r="GS43" s="170">
        <v>131.92000000000002</v>
      </c>
      <c r="GT43" s="173">
        <v>571.17399999999998</v>
      </c>
      <c r="GU43" s="173">
        <v>232.126</v>
      </c>
      <c r="GV43" s="173">
        <v>1014.3328800000002</v>
      </c>
      <c r="GW43" s="173">
        <v>987.95999999999992</v>
      </c>
      <c r="GX43" s="168">
        <v>96785</v>
      </c>
      <c r="GY43" s="172">
        <v>8267.6092979999994</v>
      </c>
      <c r="GZ43" s="172">
        <v>2781.2650800000001</v>
      </c>
      <c r="HA43" s="172">
        <v>11048.874378</v>
      </c>
      <c r="HB43" s="187"/>
      <c r="HC43" s="188">
        <v>1555931</v>
      </c>
      <c r="HD43" s="172">
        <v>126632.10986120001</v>
      </c>
      <c r="HE43" s="172">
        <v>24414.26658</v>
      </c>
      <c r="HF43" s="172">
        <v>151046.3764412</v>
      </c>
      <c r="HG43" s="166"/>
      <c r="HH43" s="166"/>
      <c r="HI43" s="166"/>
      <c r="HJ43" s="166"/>
      <c r="HK43" s="166"/>
      <c r="HL43" s="171"/>
      <c r="HM43" s="166"/>
      <c r="HN43" s="166"/>
      <c r="HO43" s="166"/>
      <c r="HP43" s="166"/>
      <c r="HQ43" s="187"/>
      <c r="HR43" s="166"/>
      <c r="HS43" s="166"/>
      <c r="HT43" s="166"/>
      <c r="HU43" s="166"/>
    </row>
    <row r="44" spans="2:229" x14ac:dyDescent="0.25">
      <c r="B44" s="164">
        <v>44080</v>
      </c>
      <c r="C44" s="165">
        <v>823</v>
      </c>
      <c r="D44" s="168">
        <v>93969</v>
      </c>
      <c r="E44" s="168">
        <v>1.909</v>
      </c>
      <c r="F44" s="192">
        <v>39360</v>
      </c>
      <c r="G44" s="168">
        <v>90179</v>
      </c>
      <c r="H44" s="168">
        <v>2.0539999999999998</v>
      </c>
      <c r="I44" s="192">
        <v>42720</v>
      </c>
      <c r="J44" s="168">
        <v>10491</v>
      </c>
      <c r="K44" s="168">
        <v>0.81699999999999995</v>
      </c>
      <c r="L44" s="192">
        <v>8400</v>
      </c>
      <c r="M44" s="168">
        <v>10406</v>
      </c>
      <c r="N44" s="168">
        <v>2.2200000000000002</v>
      </c>
      <c r="O44" s="192">
        <v>9600</v>
      </c>
      <c r="P44" s="168">
        <v>11058</v>
      </c>
      <c r="Q44" s="168">
        <v>1.59</v>
      </c>
      <c r="R44" s="192">
        <v>7600</v>
      </c>
      <c r="S44" s="168">
        <v>74001</v>
      </c>
      <c r="T44" s="168">
        <v>2.2029999999999998</v>
      </c>
      <c r="U44" s="192">
        <v>64200</v>
      </c>
      <c r="V44" s="168">
        <v>70668</v>
      </c>
      <c r="W44" s="168">
        <v>2.0950000000000002</v>
      </c>
      <c r="X44" s="192">
        <v>108000</v>
      </c>
      <c r="Y44" s="168">
        <v>17254</v>
      </c>
      <c r="Z44" s="168">
        <v>3.32</v>
      </c>
      <c r="AA44" s="192">
        <v>6400</v>
      </c>
      <c r="AB44" s="168">
        <v>11541</v>
      </c>
      <c r="AC44" s="168">
        <v>2.19</v>
      </c>
      <c r="AD44" s="192">
        <v>2880</v>
      </c>
      <c r="AE44" s="168">
        <v>89247</v>
      </c>
      <c r="AF44" s="168">
        <v>2.0529999999999999</v>
      </c>
      <c r="AG44" s="192">
        <v>50200</v>
      </c>
      <c r="AH44" s="168">
        <v>16847</v>
      </c>
      <c r="AI44" s="168">
        <v>0.33100000000000002</v>
      </c>
      <c r="AJ44" s="192">
        <v>1640</v>
      </c>
      <c r="AK44" s="241">
        <v>61959</v>
      </c>
      <c r="AL44" s="192">
        <v>440</v>
      </c>
      <c r="AM44" s="192"/>
      <c r="AN44" s="166"/>
      <c r="AO44" s="192">
        <v>341440</v>
      </c>
      <c r="AP44" s="168">
        <v>51840</v>
      </c>
      <c r="AQ44" s="168">
        <v>0.15182755388940955</v>
      </c>
      <c r="AR44" s="168"/>
      <c r="AS44" s="176"/>
      <c r="AT44" s="181">
        <v>44080</v>
      </c>
      <c r="AU44" s="168">
        <v>60931</v>
      </c>
      <c r="AV44" s="192">
        <v>14900</v>
      </c>
      <c r="AW44" s="168">
        <v>7778</v>
      </c>
      <c r="AX44" s="192">
        <v>2000</v>
      </c>
      <c r="AY44" s="189">
        <v>13392</v>
      </c>
      <c r="AZ44" s="190">
        <v>908</v>
      </c>
      <c r="BA44" s="168">
        <v>49406</v>
      </c>
      <c r="BB44" s="192">
        <v>1760</v>
      </c>
      <c r="BC44" s="166"/>
      <c r="BD44" s="178"/>
      <c r="BE44" s="169">
        <v>19568</v>
      </c>
      <c r="BF44" s="168"/>
      <c r="BG44" s="168"/>
      <c r="BH44" s="177"/>
      <c r="BI44" s="176"/>
      <c r="BJ44" s="166"/>
      <c r="BK44" s="170">
        <v>61959</v>
      </c>
      <c r="BL44" s="166"/>
      <c r="BM44" s="166"/>
      <c r="BN44" s="171"/>
      <c r="BO44" s="174">
        <v>90179</v>
      </c>
      <c r="BP44" s="166"/>
      <c r="BQ44" s="166"/>
      <c r="BR44" s="166"/>
      <c r="BS44" s="166"/>
      <c r="BT44" s="166"/>
      <c r="BU44" s="166"/>
      <c r="BV44" s="166"/>
      <c r="BW44" s="171"/>
      <c r="BX44" s="174">
        <v>93969</v>
      </c>
      <c r="BY44" s="166"/>
      <c r="BZ44" s="166"/>
      <c r="CA44" s="166"/>
      <c r="CB44" s="166"/>
      <c r="CC44" s="166"/>
      <c r="CD44" s="166"/>
      <c r="CE44" s="166"/>
      <c r="CF44" s="171"/>
      <c r="CG44" s="174">
        <v>74001</v>
      </c>
      <c r="CH44" s="166"/>
      <c r="CI44" s="166"/>
      <c r="CJ44" s="166"/>
      <c r="CK44" s="166"/>
      <c r="CL44" s="166"/>
      <c r="CM44" s="166"/>
      <c r="CN44" s="166"/>
      <c r="CO44" s="171"/>
      <c r="CP44" s="174">
        <v>16847</v>
      </c>
      <c r="CQ44" s="166"/>
      <c r="CR44" s="166"/>
      <c r="CS44" s="166"/>
      <c r="CT44" s="166"/>
      <c r="CU44" s="166"/>
      <c r="CV44" s="166"/>
      <c r="CW44" s="166"/>
      <c r="CX44" s="171"/>
      <c r="CY44" s="174">
        <v>70668</v>
      </c>
      <c r="CZ44" s="166"/>
      <c r="DA44" s="166"/>
      <c r="DB44" s="166"/>
      <c r="DC44" s="183"/>
      <c r="DD44" s="166"/>
      <c r="DE44" s="166"/>
      <c r="DF44" s="166"/>
      <c r="DG44" s="171"/>
      <c r="DH44" s="174">
        <v>10406</v>
      </c>
      <c r="DI44" s="166"/>
      <c r="DJ44" s="166"/>
      <c r="DK44" s="166"/>
      <c r="DL44" s="183"/>
      <c r="DM44" s="166"/>
      <c r="DN44" s="166"/>
      <c r="DO44" s="166"/>
      <c r="DP44" s="171"/>
      <c r="DQ44" s="174">
        <v>74001</v>
      </c>
      <c r="DR44" s="166"/>
      <c r="DS44" s="166"/>
      <c r="DT44" s="166"/>
      <c r="DU44" s="166"/>
      <c r="DV44" s="166"/>
      <c r="DW44" s="166"/>
      <c r="DX44" s="166"/>
      <c r="DY44" s="171"/>
      <c r="DZ44" s="174">
        <v>11058</v>
      </c>
      <c r="EA44" s="166"/>
      <c r="EB44" s="166"/>
      <c r="EC44" s="166"/>
      <c r="ED44" s="166"/>
      <c r="EE44" s="166"/>
      <c r="EF44" s="166"/>
      <c r="EG44" s="166"/>
      <c r="EH44" s="171"/>
      <c r="EI44" s="174">
        <v>17254</v>
      </c>
      <c r="EJ44" s="166"/>
      <c r="EK44" s="166"/>
      <c r="EL44" s="166"/>
      <c r="EM44" s="166"/>
      <c r="EN44" s="166"/>
      <c r="EO44" s="166"/>
      <c r="EP44" s="166"/>
      <c r="EQ44" s="171"/>
      <c r="ER44" s="174">
        <v>11541</v>
      </c>
      <c r="ES44" s="166"/>
      <c r="ET44" s="166"/>
      <c r="EU44" s="166"/>
      <c r="EV44" s="166"/>
      <c r="EW44" s="166"/>
      <c r="EX44" s="166"/>
      <c r="EY44" s="166"/>
      <c r="EZ44" s="171"/>
      <c r="FA44" s="170">
        <v>89247</v>
      </c>
      <c r="FB44" s="185"/>
      <c r="FC44" s="185"/>
      <c r="FD44" s="175"/>
      <c r="FE44" s="175"/>
      <c r="FF44" s="175"/>
      <c r="FG44" s="166"/>
      <c r="FH44" s="175"/>
      <c r="FI44" s="175"/>
      <c r="FJ44" s="179"/>
      <c r="FK44" s="182"/>
      <c r="FL44" s="166"/>
      <c r="FM44" s="166"/>
      <c r="FN44" s="166"/>
      <c r="FO44" s="176"/>
      <c r="FP44" s="166"/>
      <c r="FQ44" s="174">
        <v>7778</v>
      </c>
      <c r="FR44" s="166"/>
      <c r="FS44" s="166"/>
      <c r="FT44" s="166"/>
      <c r="FU44" s="166"/>
      <c r="FV44" s="166"/>
      <c r="FW44" s="166"/>
      <c r="FX44" s="166"/>
      <c r="FY44" s="171"/>
      <c r="FZ44" s="174">
        <v>60931</v>
      </c>
      <c r="GA44" s="166"/>
      <c r="GB44" s="166"/>
      <c r="GC44" s="166"/>
      <c r="GD44" s="166"/>
      <c r="GE44" s="166"/>
      <c r="GF44" s="166"/>
      <c r="GG44" s="166"/>
      <c r="GH44" s="171"/>
      <c r="GI44" s="174">
        <v>13392</v>
      </c>
      <c r="GJ44" s="166"/>
      <c r="GK44" s="166"/>
      <c r="GL44" s="166"/>
      <c r="GM44" s="166"/>
      <c r="GN44" s="171"/>
      <c r="GO44" s="174">
        <v>49406</v>
      </c>
      <c r="GP44" s="166"/>
      <c r="GQ44" s="166"/>
      <c r="GR44" s="166"/>
      <c r="GS44" s="166"/>
      <c r="GT44" s="166"/>
      <c r="GU44" s="166"/>
      <c r="GV44" s="166"/>
      <c r="GW44" s="171"/>
      <c r="GX44" s="166"/>
      <c r="GY44" s="166"/>
      <c r="GZ44" s="166"/>
      <c r="HA44" s="166"/>
      <c r="HB44" s="187"/>
      <c r="HC44" s="166"/>
      <c r="HD44" s="166"/>
      <c r="HE44" s="166"/>
      <c r="HF44" s="166"/>
      <c r="HG44" s="166"/>
      <c r="HH44" s="166"/>
      <c r="HI44" s="166"/>
      <c r="HJ44" s="166"/>
      <c r="HK44" s="166"/>
      <c r="HL44" s="171"/>
      <c r="HM44" s="166"/>
      <c r="HN44" s="166"/>
      <c r="HO44" s="166"/>
      <c r="HP44" s="166"/>
      <c r="HQ44" s="187"/>
      <c r="HR44" s="166"/>
      <c r="HS44" s="166"/>
      <c r="HT44" s="166"/>
      <c r="HU44" s="166"/>
    </row>
    <row r="45" spans="2:229" x14ac:dyDescent="0.25">
      <c r="B45" s="164">
        <v>44087</v>
      </c>
      <c r="C45" s="165">
        <v>719</v>
      </c>
      <c r="D45" s="168">
        <v>94421</v>
      </c>
      <c r="E45" s="168">
        <v>1.909</v>
      </c>
      <c r="F45" s="192">
        <v>72320</v>
      </c>
      <c r="G45" s="168">
        <v>90495</v>
      </c>
      <c r="H45" s="168">
        <v>2.0979999999999999</v>
      </c>
      <c r="I45" s="192">
        <v>50560</v>
      </c>
      <c r="J45" s="168">
        <v>10514</v>
      </c>
      <c r="K45" s="168">
        <v>1.89</v>
      </c>
      <c r="L45" s="192">
        <v>9200</v>
      </c>
      <c r="M45" s="168">
        <v>10430</v>
      </c>
      <c r="N45" s="168">
        <v>2.2200000000000002</v>
      </c>
      <c r="O45" s="192">
        <v>9600</v>
      </c>
      <c r="P45" s="168">
        <v>11077</v>
      </c>
      <c r="Q45" s="168">
        <v>1.59</v>
      </c>
      <c r="R45" s="192">
        <v>7600</v>
      </c>
      <c r="S45" s="168">
        <v>74244</v>
      </c>
      <c r="T45" s="168">
        <v>2.2370000000000001</v>
      </c>
      <c r="U45" s="192">
        <v>72900</v>
      </c>
      <c r="V45" s="168">
        <v>70899</v>
      </c>
      <c r="W45" s="168">
        <v>2.0950000000000002</v>
      </c>
      <c r="X45" s="192">
        <v>69300</v>
      </c>
      <c r="Y45" s="168">
        <v>17290</v>
      </c>
      <c r="Z45" s="168">
        <v>3.32</v>
      </c>
      <c r="AA45" s="192">
        <v>5760</v>
      </c>
      <c r="AB45" s="168">
        <v>11558</v>
      </c>
      <c r="AC45" s="168">
        <v>2.19</v>
      </c>
      <c r="AD45" s="192">
        <v>2720</v>
      </c>
      <c r="AE45" s="168">
        <v>89490</v>
      </c>
      <c r="AF45" s="168">
        <v>2.0529999999999999</v>
      </c>
      <c r="AG45" s="192">
        <v>48600</v>
      </c>
      <c r="AH45" s="168">
        <v>16886</v>
      </c>
      <c r="AI45" s="168">
        <v>0.33100000000000002</v>
      </c>
      <c r="AJ45" s="192">
        <v>1560</v>
      </c>
      <c r="AK45" s="241">
        <v>62411</v>
      </c>
      <c r="AL45" s="192">
        <v>452</v>
      </c>
      <c r="AM45" s="192"/>
      <c r="AN45" s="166"/>
      <c r="AO45" s="192">
        <v>350572</v>
      </c>
      <c r="AP45" s="168">
        <v>50160</v>
      </c>
      <c r="AQ45" s="168">
        <v>0.14308045137660738</v>
      </c>
      <c r="AR45" s="168"/>
      <c r="AS45" s="176"/>
      <c r="AT45" s="181">
        <v>44087</v>
      </c>
      <c r="AU45" s="168">
        <v>61073</v>
      </c>
      <c r="AV45" s="192">
        <v>14200</v>
      </c>
      <c r="AW45" s="168">
        <v>7797</v>
      </c>
      <c r="AX45" s="192">
        <v>1900</v>
      </c>
      <c r="AY45" s="189">
        <v>14309</v>
      </c>
      <c r="AZ45" s="190">
        <v>917</v>
      </c>
      <c r="BA45" s="168">
        <v>49429</v>
      </c>
      <c r="BB45" s="192">
        <v>920</v>
      </c>
      <c r="BC45" s="166"/>
      <c r="BD45" s="178"/>
      <c r="BE45" s="169">
        <v>17937</v>
      </c>
      <c r="BF45" s="168"/>
      <c r="BG45" s="168"/>
      <c r="BH45" s="177"/>
      <c r="BI45" s="176"/>
      <c r="BJ45" s="166"/>
      <c r="BK45" s="170">
        <v>62411</v>
      </c>
      <c r="BL45" s="166"/>
      <c r="BM45" s="166"/>
      <c r="BN45" s="171"/>
      <c r="BO45" s="174">
        <v>90495</v>
      </c>
      <c r="BP45" s="166"/>
      <c r="BQ45" s="166"/>
      <c r="BR45" s="166"/>
      <c r="BS45" s="166"/>
      <c r="BT45" s="166"/>
      <c r="BU45" s="166"/>
      <c r="BV45" s="166"/>
      <c r="BW45" s="171"/>
      <c r="BX45" s="174">
        <v>94421</v>
      </c>
      <c r="BY45" s="166"/>
      <c r="BZ45" s="166"/>
      <c r="CA45" s="166"/>
      <c r="CB45" s="166"/>
      <c r="CC45" s="166"/>
      <c r="CD45" s="166"/>
      <c r="CE45" s="166"/>
      <c r="CF45" s="171"/>
      <c r="CG45" s="174">
        <v>74244</v>
      </c>
      <c r="CH45" s="166"/>
      <c r="CI45" s="166"/>
      <c r="CJ45" s="166"/>
      <c r="CK45" s="166"/>
      <c r="CL45" s="166"/>
      <c r="CM45" s="166"/>
      <c r="CN45" s="166"/>
      <c r="CO45" s="171"/>
      <c r="CP45" s="174">
        <v>16886</v>
      </c>
      <c r="CQ45" s="166"/>
      <c r="CR45" s="166"/>
      <c r="CS45" s="166"/>
      <c r="CT45" s="166"/>
      <c r="CU45" s="166"/>
      <c r="CV45" s="166"/>
      <c r="CW45" s="166"/>
      <c r="CX45" s="171"/>
      <c r="CY45" s="174">
        <v>70899</v>
      </c>
      <c r="CZ45" s="166"/>
      <c r="DA45" s="166"/>
      <c r="DB45" s="166"/>
      <c r="DC45" s="183"/>
      <c r="DD45" s="166"/>
      <c r="DE45" s="166"/>
      <c r="DF45" s="166"/>
      <c r="DG45" s="171"/>
      <c r="DH45" s="174">
        <v>10430</v>
      </c>
      <c r="DI45" s="166"/>
      <c r="DJ45" s="166"/>
      <c r="DK45" s="166"/>
      <c r="DL45" s="183"/>
      <c r="DM45" s="166"/>
      <c r="DN45" s="166"/>
      <c r="DO45" s="166"/>
      <c r="DP45" s="171"/>
      <c r="DQ45" s="174">
        <v>74244</v>
      </c>
      <c r="DR45" s="166"/>
      <c r="DS45" s="166"/>
      <c r="DT45" s="166"/>
      <c r="DU45" s="166"/>
      <c r="DV45" s="166"/>
      <c r="DW45" s="166"/>
      <c r="DX45" s="166"/>
      <c r="DY45" s="171"/>
      <c r="DZ45" s="174">
        <v>11077</v>
      </c>
      <c r="EA45" s="166"/>
      <c r="EB45" s="166"/>
      <c r="EC45" s="166"/>
      <c r="ED45" s="166"/>
      <c r="EE45" s="166"/>
      <c r="EF45" s="166"/>
      <c r="EG45" s="166"/>
      <c r="EH45" s="171"/>
      <c r="EI45" s="174">
        <v>17290</v>
      </c>
      <c r="EJ45" s="166"/>
      <c r="EK45" s="166"/>
      <c r="EL45" s="166"/>
      <c r="EM45" s="166"/>
      <c r="EN45" s="166"/>
      <c r="EO45" s="166"/>
      <c r="EP45" s="166"/>
      <c r="EQ45" s="171"/>
      <c r="ER45" s="174">
        <v>11558</v>
      </c>
      <c r="ES45" s="166"/>
      <c r="ET45" s="166"/>
      <c r="EU45" s="166"/>
      <c r="EV45" s="166"/>
      <c r="EW45" s="166"/>
      <c r="EX45" s="166"/>
      <c r="EY45" s="166"/>
      <c r="EZ45" s="171"/>
      <c r="FA45" s="170">
        <v>89490</v>
      </c>
      <c r="FB45" s="185"/>
      <c r="FC45" s="185"/>
      <c r="FD45" s="175"/>
      <c r="FE45" s="175"/>
      <c r="FF45" s="175"/>
      <c r="FG45" s="166"/>
      <c r="FH45" s="175"/>
      <c r="FI45" s="175"/>
      <c r="FJ45" s="179"/>
      <c r="FK45" s="182"/>
      <c r="FL45" s="166"/>
      <c r="FM45" s="166"/>
      <c r="FN45" s="166"/>
      <c r="FO45" s="176"/>
      <c r="FP45" s="166"/>
      <c r="FQ45" s="174">
        <v>7797</v>
      </c>
      <c r="FR45" s="166"/>
      <c r="FS45" s="166"/>
      <c r="FT45" s="166"/>
      <c r="FU45" s="166"/>
      <c r="FV45" s="166"/>
      <c r="FW45" s="166"/>
      <c r="FX45" s="166"/>
      <c r="FY45" s="171"/>
      <c r="FZ45" s="174">
        <v>61073</v>
      </c>
      <c r="GA45" s="166"/>
      <c r="GB45" s="166"/>
      <c r="GC45" s="166"/>
      <c r="GD45" s="166"/>
      <c r="GE45" s="166"/>
      <c r="GF45" s="166"/>
      <c r="GG45" s="166"/>
      <c r="GH45" s="171"/>
      <c r="GI45" s="174">
        <v>14309</v>
      </c>
      <c r="GJ45" s="166"/>
      <c r="GK45" s="166"/>
      <c r="GL45" s="166"/>
      <c r="GM45" s="166"/>
      <c r="GN45" s="171"/>
      <c r="GO45" s="174">
        <v>49429</v>
      </c>
      <c r="GP45" s="166"/>
      <c r="GQ45" s="166"/>
      <c r="GR45" s="166"/>
      <c r="GS45" s="166"/>
      <c r="GT45" s="166"/>
      <c r="GU45" s="166"/>
      <c r="GV45" s="166"/>
      <c r="GW45" s="171"/>
      <c r="GX45" s="166"/>
      <c r="GY45" s="166"/>
      <c r="GZ45" s="166"/>
      <c r="HA45" s="166"/>
      <c r="HB45" s="187"/>
      <c r="HC45" s="166"/>
      <c r="HD45" s="166"/>
      <c r="HE45" s="166"/>
      <c r="HF45" s="166"/>
      <c r="HG45" s="166"/>
      <c r="HH45" s="166"/>
      <c r="HI45" s="166"/>
      <c r="HJ45" s="166"/>
      <c r="HK45" s="166"/>
      <c r="HL45" s="171"/>
      <c r="HM45" s="166"/>
      <c r="HN45" s="166"/>
      <c r="HO45" s="166"/>
      <c r="HP45" s="166"/>
      <c r="HQ45" s="187"/>
      <c r="HR45" s="166"/>
      <c r="HS45" s="166"/>
      <c r="HT45" s="166"/>
      <c r="HU45" s="166"/>
    </row>
    <row r="46" spans="2:229" x14ac:dyDescent="0.25">
      <c r="B46" s="164">
        <v>44094</v>
      </c>
      <c r="C46" s="165">
        <v>596</v>
      </c>
      <c r="D46" s="168">
        <v>94472</v>
      </c>
      <c r="E46" s="168">
        <v>1.921</v>
      </c>
      <c r="F46" s="192">
        <v>8160</v>
      </c>
      <c r="G46" s="168">
        <v>90706</v>
      </c>
      <c r="H46" s="168">
        <v>2.0979999999999999</v>
      </c>
      <c r="I46" s="192">
        <v>33760</v>
      </c>
      <c r="J46" s="168">
        <v>10534</v>
      </c>
      <c r="K46" s="168">
        <v>1.89</v>
      </c>
      <c r="L46" s="192">
        <v>8000</v>
      </c>
      <c r="M46" s="168">
        <v>10453</v>
      </c>
      <c r="N46" s="168">
        <v>2.2200000000000002</v>
      </c>
      <c r="O46" s="192">
        <v>9200</v>
      </c>
      <c r="P46" s="168">
        <v>11097</v>
      </c>
      <c r="Q46" s="168">
        <v>1.7</v>
      </c>
      <c r="R46" s="192">
        <v>8000</v>
      </c>
      <c r="S46" s="168">
        <v>74477</v>
      </c>
      <c r="T46" s="168">
        <v>2.2360000000000002</v>
      </c>
      <c r="U46" s="192">
        <v>69900</v>
      </c>
      <c r="V46" s="168">
        <v>71128</v>
      </c>
      <c r="W46" s="168">
        <v>2.0950000000000002</v>
      </c>
      <c r="X46" s="192">
        <v>68700</v>
      </c>
      <c r="Y46" s="168">
        <v>17325</v>
      </c>
      <c r="Z46" s="168">
        <v>3.32</v>
      </c>
      <c r="AA46" s="192">
        <v>5600</v>
      </c>
      <c r="AB46" s="168">
        <v>11573</v>
      </c>
      <c r="AC46" s="168">
        <v>2.19</v>
      </c>
      <c r="AD46" s="192">
        <v>2400</v>
      </c>
      <c r="AE46" s="168">
        <v>89746</v>
      </c>
      <c r="AF46" s="168">
        <v>2.0529999999999999</v>
      </c>
      <c r="AG46" s="192">
        <v>51200</v>
      </c>
      <c r="AH46" s="168">
        <v>16925</v>
      </c>
      <c r="AI46" s="168">
        <v>0.33100000000000002</v>
      </c>
      <c r="AJ46" s="192">
        <v>1560</v>
      </c>
      <c r="AK46" s="241">
        <v>62873</v>
      </c>
      <c r="AL46" s="192">
        <v>462</v>
      </c>
      <c r="AM46" s="192"/>
      <c r="AN46" s="166"/>
      <c r="AO46" s="192">
        <v>266942</v>
      </c>
      <c r="AP46" s="168">
        <v>52760</v>
      </c>
      <c r="AQ46" s="168">
        <v>0.19764593057667959</v>
      </c>
      <c r="AR46" s="168"/>
      <c r="AS46" s="176"/>
      <c r="AT46" s="181">
        <v>44094</v>
      </c>
      <c r="AU46" s="168">
        <v>61220</v>
      </c>
      <c r="AV46" s="192">
        <v>14700</v>
      </c>
      <c r="AW46" s="168">
        <v>7817</v>
      </c>
      <c r="AX46" s="192">
        <v>2000</v>
      </c>
      <c r="AY46" s="189">
        <v>15222</v>
      </c>
      <c r="AZ46" s="190">
        <v>913</v>
      </c>
      <c r="BA46" s="168">
        <v>49460</v>
      </c>
      <c r="BB46" s="192">
        <v>1240</v>
      </c>
      <c r="BC46" s="166"/>
      <c r="BD46" s="178"/>
      <c r="BE46" s="169">
        <v>18853</v>
      </c>
      <c r="BF46" s="168"/>
      <c r="BG46" s="168"/>
      <c r="BH46" s="177"/>
      <c r="BI46" s="176"/>
      <c r="BJ46" s="166"/>
      <c r="BK46" s="170">
        <v>62873</v>
      </c>
      <c r="BL46" s="166"/>
      <c r="BM46" s="166"/>
      <c r="BN46" s="171"/>
      <c r="BO46" s="174">
        <v>90706</v>
      </c>
      <c r="BP46" s="166"/>
      <c r="BQ46" s="166"/>
      <c r="BR46" s="166"/>
      <c r="BS46" s="166"/>
      <c r="BT46" s="166"/>
      <c r="BU46" s="166"/>
      <c r="BV46" s="166"/>
      <c r="BW46" s="171"/>
      <c r="BX46" s="174">
        <v>94472</v>
      </c>
      <c r="BY46" s="166"/>
      <c r="BZ46" s="166"/>
      <c r="CA46" s="166"/>
      <c r="CB46" s="166"/>
      <c r="CC46" s="166"/>
      <c r="CD46" s="166"/>
      <c r="CE46" s="166"/>
      <c r="CF46" s="171"/>
      <c r="CG46" s="174">
        <v>74477</v>
      </c>
      <c r="CH46" s="166"/>
      <c r="CI46" s="166"/>
      <c r="CJ46" s="166"/>
      <c r="CK46" s="166"/>
      <c r="CL46" s="166"/>
      <c r="CM46" s="166"/>
      <c r="CN46" s="166"/>
      <c r="CO46" s="171"/>
      <c r="CP46" s="174">
        <v>16925</v>
      </c>
      <c r="CQ46" s="166"/>
      <c r="CR46" s="166"/>
      <c r="CS46" s="166"/>
      <c r="CT46" s="166"/>
      <c r="CU46" s="166"/>
      <c r="CV46" s="166"/>
      <c r="CW46" s="166"/>
      <c r="CX46" s="171"/>
      <c r="CY46" s="174">
        <v>71128</v>
      </c>
      <c r="CZ46" s="166"/>
      <c r="DA46" s="166"/>
      <c r="DB46" s="166"/>
      <c r="DC46" s="183"/>
      <c r="DD46" s="166"/>
      <c r="DE46" s="166"/>
      <c r="DF46" s="166"/>
      <c r="DG46" s="171"/>
      <c r="DH46" s="174">
        <v>10453</v>
      </c>
      <c r="DI46" s="166"/>
      <c r="DJ46" s="166"/>
      <c r="DK46" s="166"/>
      <c r="DL46" s="183"/>
      <c r="DM46" s="166"/>
      <c r="DN46" s="166"/>
      <c r="DO46" s="166"/>
      <c r="DP46" s="171"/>
      <c r="DQ46" s="174">
        <v>74477</v>
      </c>
      <c r="DR46" s="166"/>
      <c r="DS46" s="166"/>
      <c r="DT46" s="166"/>
      <c r="DU46" s="166"/>
      <c r="DV46" s="166"/>
      <c r="DW46" s="166"/>
      <c r="DX46" s="166"/>
      <c r="DY46" s="171"/>
      <c r="DZ46" s="174">
        <v>11097</v>
      </c>
      <c r="EA46" s="166"/>
      <c r="EB46" s="166"/>
      <c r="EC46" s="166"/>
      <c r="ED46" s="166"/>
      <c r="EE46" s="166"/>
      <c r="EF46" s="166"/>
      <c r="EG46" s="166"/>
      <c r="EH46" s="171"/>
      <c r="EI46" s="174">
        <v>17325</v>
      </c>
      <c r="EJ46" s="166"/>
      <c r="EK46" s="166"/>
      <c r="EL46" s="166"/>
      <c r="EM46" s="166"/>
      <c r="EN46" s="166"/>
      <c r="EO46" s="166"/>
      <c r="EP46" s="166"/>
      <c r="EQ46" s="171"/>
      <c r="ER46" s="174">
        <v>11573</v>
      </c>
      <c r="ES46" s="166"/>
      <c r="ET46" s="166"/>
      <c r="EU46" s="166"/>
      <c r="EV46" s="166"/>
      <c r="EW46" s="166"/>
      <c r="EX46" s="166"/>
      <c r="EY46" s="166"/>
      <c r="EZ46" s="171"/>
      <c r="FA46" s="170">
        <v>89746</v>
      </c>
      <c r="FB46" s="185"/>
      <c r="FC46" s="185"/>
      <c r="FD46" s="175"/>
      <c r="FE46" s="175"/>
      <c r="FF46" s="175"/>
      <c r="FG46" s="166"/>
      <c r="FH46" s="175"/>
      <c r="FI46" s="175"/>
      <c r="FJ46" s="179"/>
      <c r="FK46" s="182"/>
      <c r="FL46" s="166"/>
      <c r="FM46" s="166"/>
      <c r="FN46" s="166"/>
      <c r="FO46" s="176"/>
      <c r="FP46" s="166"/>
      <c r="FQ46" s="174">
        <v>7817</v>
      </c>
      <c r="FR46" s="166"/>
      <c r="FS46" s="166"/>
      <c r="FT46" s="166"/>
      <c r="FU46" s="166"/>
      <c r="FV46" s="166"/>
      <c r="FW46" s="166"/>
      <c r="FX46" s="166"/>
      <c r="FY46" s="171"/>
      <c r="FZ46" s="174">
        <v>61220</v>
      </c>
      <c r="GA46" s="166"/>
      <c r="GB46" s="166"/>
      <c r="GC46" s="166"/>
      <c r="GD46" s="166"/>
      <c r="GE46" s="166"/>
      <c r="GF46" s="166"/>
      <c r="GG46" s="166"/>
      <c r="GH46" s="171"/>
      <c r="GI46" s="174">
        <v>15222</v>
      </c>
      <c r="GJ46" s="166"/>
      <c r="GK46" s="166"/>
      <c r="GL46" s="166"/>
      <c r="GM46" s="166"/>
      <c r="GN46" s="171"/>
      <c r="GO46" s="174">
        <v>49460</v>
      </c>
      <c r="GP46" s="166"/>
      <c r="GQ46" s="166"/>
      <c r="GR46" s="166"/>
      <c r="GS46" s="166"/>
      <c r="GT46" s="166"/>
      <c r="GU46" s="166"/>
      <c r="GV46" s="166"/>
      <c r="GW46" s="171"/>
      <c r="GX46" s="166"/>
      <c r="GY46" s="166"/>
      <c r="GZ46" s="166"/>
      <c r="HA46" s="166"/>
      <c r="HB46" s="187"/>
      <c r="HC46" s="166"/>
      <c r="HD46" s="166"/>
      <c r="HE46" s="166"/>
      <c r="HF46" s="166"/>
      <c r="HG46" s="166"/>
      <c r="HH46" s="166"/>
      <c r="HI46" s="166"/>
      <c r="HJ46" s="166"/>
      <c r="HK46" s="166"/>
      <c r="HL46" s="171"/>
      <c r="HM46" s="166"/>
      <c r="HN46" s="166"/>
      <c r="HO46" s="166"/>
      <c r="HP46" s="166"/>
      <c r="HQ46" s="187"/>
      <c r="HR46" s="166"/>
      <c r="HS46" s="166"/>
      <c r="HT46" s="166"/>
      <c r="HU46" s="166"/>
    </row>
    <row r="47" spans="2:229" x14ac:dyDescent="0.25">
      <c r="B47" s="164">
        <v>44101</v>
      </c>
      <c r="C47" s="165">
        <v>956</v>
      </c>
      <c r="D47" s="168">
        <v>94726</v>
      </c>
      <c r="E47" s="168">
        <v>1.98</v>
      </c>
      <c r="F47" s="192">
        <v>40640</v>
      </c>
      <c r="G47" s="168">
        <v>90975</v>
      </c>
      <c r="H47" s="168">
        <v>2</v>
      </c>
      <c r="I47" s="192">
        <v>43040</v>
      </c>
      <c r="J47" s="168">
        <v>10555</v>
      </c>
      <c r="K47" s="168">
        <v>1.81</v>
      </c>
      <c r="L47" s="192">
        <v>8400</v>
      </c>
      <c r="M47" s="168">
        <v>10477</v>
      </c>
      <c r="N47" s="168">
        <v>1.88</v>
      </c>
      <c r="O47" s="192">
        <v>9600</v>
      </c>
      <c r="P47" s="168">
        <v>11118</v>
      </c>
      <c r="Q47" s="168">
        <v>1.8</v>
      </c>
      <c r="R47" s="192">
        <v>8400</v>
      </c>
      <c r="S47" s="168">
        <v>74724</v>
      </c>
      <c r="T47" s="168">
        <v>2.3210000000000002</v>
      </c>
      <c r="U47" s="192">
        <v>74100</v>
      </c>
      <c r="V47" s="168">
        <v>71316</v>
      </c>
      <c r="W47" s="168">
        <v>1.96</v>
      </c>
      <c r="X47" s="192">
        <v>56400</v>
      </c>
      <c r="Y47" s="168">
        <v>17361</v>
      </c>
      <c r="Z47" s="168">
        <v>3.01</v>
      </c>
      <c r="AA47" s="192">
        <v>5760</v>
      </c>
      <c r="AB47" s="168">
        <v>11588</v>
      </c>
      <c r="AC47" s="168">
        <v>1.95</v>
      </c>
      <c r="AD47" s="192">
        <v>2400</v>
      </c>
      <c r="AE47" s="168">
        <v>90001</v>
      </c>
      <c r="AF47" s="168">
        <v>2.0489999999999999</v>
      </c>
      <c r="AG47" s="192">
        <v>51000</v>
      </c>
      <c r="AH47" s="168">
        <v>16965</v>
      </c>
      <c r="AI47" s="168">
        <v>0.34200000000000003</v>
      </c>
      <c r="AJ47" s="192">
        <v>1600</v>
      </c>
      <c r="AK47" s="241">
        <v>63335</v>
      </c>
      <c r="AL47" s="192">
        <v>462</v>
      </c>
      <c r="AM47" s="192"/>
      <c r="AN47" s="166"/>
      <c r="AO47" s="192">
        <v>301802</v>
      </c>
      <c r="AP47" s="168">
        <v>52600</v>
      </c>
      <c r="AQ47" s="168">
        <v>0.1742864527074042</v>
      </c>
      <c r="AR47" s="168"/>
      <c r="AS47" s="176"/>
      <c r="AT47" s="181">
        <v>44101</v>
      </c>
      <c r="AU47" s="168">
        <v>61363</v>
      </c>
      <c r="AV47" s="192">
        <v>14300</v>
      </c>
      <c r="AW47" s="168">
        <v>7835</v>
      </c>
      <c r="AX47" s="192">
        <v>1800</v>
      </c>
      <c r="AY47" s="189">
        <v>16134</v>
      </c>
      <c r="AZ47" s="190">
        <v>912</v>
      </c>
      <c r="BA47" s="168">
        <v>49519</v>
      </c>
      <c r="BB47" s="192">
        <v>2360</v>
      </c>
      <c r="BC47" s="166"/>
      <c r="BD47" s="178"/>
      <c r="BE47" s="169">
        <v>19372</v>
      </c>
      <c r="BF47" s="168"/>
      <c r="BG47" s="168"/>
      <c r="BH47" s="177"/>
      <c r="BI47" s="176"/>
      <c r="BJ47" s="166"/>
      <c r="BK47" s="170">
        <v>63335</v>
      </c>
      <c r="BL47" s="166"/>
      <c r="BM47" s="166"/>
      <c r="BN47" s="171"/>
      <c r="BO47" s="174">
        <v>90975</v>
      </c>
      <c r="BP47" s="166"/>
      <c r="BQ47" s="166"/>
      <c r="BR47" s="166"/>
      <c r="BS47" s="166"/>
      <c r="BT47" s="166"/>
      <c r="BU47" s="166"/>
      <c r="BV47" s="166"/>
      <c r="BW47" s="171"/>
      <c r="BX47" s="174">
        <v>94726</v>
      </c>
      <c r="BY47" s="166"/>
      <c r="BZ47" s="166"/>
      <c r="CA47" s="166"/>
      <c r="CB47" s="166"/>
      <c r="CC47" s="166"/>
      <c r="CD47" s="166"/>
      <c r="CE47" s="166"/>
      <c r="CF47" s="171"/>
      <c r="CG47" s="174">
        <v>74724</v>
      </c>
      <c r="CH47" s="166"/>
      <c r="CI47" s="166"/>
      <c r="CJ47" s="166"/>
      <c r="CK47" s="166"/>
      <c r="CL47" s="166"/>
      <c r="CM47" s="166"/>
      <c r="CN47" s="166"/>
      <c r="CO47" s="171"/>
      <c r="CP47" s="174">
        <v>16965</v>
      </c>
      <c r="CQ47" s="166"/>
      <c r="CR47" s="166"/>
      <c r="CS47" s="166"/>
      <c r="CT47" s="166"/>
      <c r="CU47" s="166"/>
      <c r="CV47" s="166"/>
      <c r="CW47" s="166"/>
      <c r="CX47" s="171"/>
      <c r="CY47" s="174">
        <v>71316</v>
      </c>
      <c r="CZ47" s="166"/>
      <c r="DA47" s="166"/>
      <c r="DB47" s="166"/>
      <c r="DC47" s="183"/>
      <c r="DD47" s="166"/>
      <c r="DE47" s="166"/>
      <c r="DF47" s="166"/>
      <c r="DG47" s="171"/>
      <c r="DH47" s="174">
        <v>10477</v>
      </c>
      <c r="DI47" s="166"/>
      <c r="DJ47" s="166"/>
      <c r="DK47" s="166"/>
      <c r="DL47" s="183"/>
      <c r="DM47" s="166"/>
      <c r="DN47" s="166"/>
      <c r="DO47" s="166"/>
      <c r="DP47" s="171"/>
      <c r="DQ47" s="174">
        <v>74724</v>
      </c>
      <c r="DR47" s="166"/>
      <c r="DS47" s="166"/>
      <c r="DT47" s="166"/>
      <c r="DU47" s="166"/>
      <c r="DV47" s="166"/>
      <c r="DW47" s="166"/>
      <c r="DX47" s="166"/>
      <c r="DY47" s="171"/>
      <c r="DZ47" s="174">
        <v>11118</v>
      </c>
      <c r="EA47" s="166"/>
      <c r="EB47" s="166"/>
      <c r="EC47" s="166"/>
      <c r="ED47" s="166"/>
      <c r="EE47" s="166"/>
      <c r="EF47" s="166"/>
      <c r="EG47" s="166"/>
      <c r="EH47" s="171"/>
      <c r="EI47" s="174">
        <v>17361</v>
      </c>
      <c r="EJ47" s="166"/>
      <c r="EK47" s="166"/>
      <c r="EL47" s="166"/>
      <c r="EM47" s="166"/>
      <c r="EN47" s="166"/>
      <c r="EO47" s="166"/>
      <c r="EP47" s="166"/>
      <c r="EQ47" s="171"/>
      <c r="ER47" s="174">
        <v>11588</v>
      </c>
      <c r="ES47" s="166"/>
      <c r="ET47" s="166"/>
      <c r="EU47" s="166"/>
      <c r="EV47" s="166"/>
      <c r="EW47" s="166"/>
      <c r="EX47" s="166"/>
      <c r="EY47" s="166"/>
      <c r="EZ47" s="171"/>
      <c r="FA47" s="170">
        <v>90001</v>
      </c>
      <c r="FB47" s="185"/>
      <c r="FC47" s="185"/>
      <c r="FD47" s="175"/>
      <c r="FE47" s="175"/>
      <c r="FF47" s="175"/>
      <c r="FG47" s="166"/>
      <c r="FH47" s="175"/>
      <c r="FI47" s="175"/>
      <c r="FJ47" s="179"/>
      <c r="FK47" s="182"/>
      <c r="FL47" s="166"/>
      <c r="FM47" s="166"/>
      <c r="FN47" s="166"/>
      <c r="FO47" s="176"/>
      <c r="FP47" s="166"/>
      <c r="FQ47" s="174">
        <v>7835</v>
      </c>
      <c r="FR47" s="166"/>
      <c r="FS47" s="166"/>
      <c r="FT47" s="166"/>
      <c r="FU47" s="166"/>
      <c r="FV47" s="166"/>
      <c r="FW47" s="166"/>
      <c r="FX47" s="166"/>
      <c r="FY47" s="171"/>
      <c r="FZ47" s="174">
        <v>61363</v>
      </c>
      <c r="GA47" s="166"/>
      <c r="GB47" s="166"/>
      <c r="GC47" s="166"/>
      <c r="GD47" s="166"/>
      <c r="GE47" s="166"/>
      <c r="GF47" s="166"/>
      <c r="GG47" s="166"/>
      <c r="GH47" s="171"/>
      <c r="GI47" s="174">
        <v>16134</v>
      </c>
      <c r="GJ47" s="166"/>
      <c r="GK47" s="166"/>
      <c r="GL47" s="166"/>
      <c r="GM47" s="166"/>
      <c r="GN47" s="171"/>
      <c r="GO47" s="174">
        <v>49519</v>
      </c>
      <c r="GP47" s="166"/>
      <c r="GQ47" s="166"/>
      <c r="GR47" s="166"/>
      <c r="GS47" s="166"/>
      <c r="GT47" s="166"/>
      <c r="GU47" s="166"/>
      <c r="GV47" s="166"/>
      <c r="GW47" s="171"/>
      <c r="GX47" s="166"/>
      <c r="GY47" s="166"/>
      <c r="GZ47" s="166"/>
      <c r="HA47" s="166"/>
      <c r="HB47" s="187"/>
      <c r="HC47" s="166"/>
      <c r="HD47" s="166"/>
      <c r="HE47" s="166"/>
      <c r="HF47" s="166"/>
      <c r="HG47" s="166"/>
      <c r="HH47" s="166"/>
      <c r="HI47" s="166"/>
      <c r="HJ47" s="166"/>
      <c r="HK47" s="166"/>
      <c r="HL47" s="171"/>
      <c r="HM47" s="166"/>
      <c r="HN47" s="166"/>
      <c r="HO47" s="166"/>
      <c r="HP47" s="166"/>
      <c r="HQ47" s="187"/>
      <c r="HR47" s="166"/>
      <c r="HS47" s="166"/>
      <c r="HT47" s="166"/>
      <c r="HU47" s="166"/>
    </row>
    <row r="48" spans="2:229" x14ac:dyDescent="0.25">
      <c r="B48" s="164">
        <v>44105</v>
      </c>
      <c r="C48" s="165">
        <v>301</v>
      </c>
      <c r="D48" s="168">
        <v>94726</v>
      </c>
      <c r="E48" s="168">
        <v>1.98</v>
      </c>
      <c r="F48" s="192">
        <v>0</v>
      </c>
      <c r="G48" s="168">
        <v>90975</v>
      </c>
      <c r="H48" s="168">
        <v>2</v>
      </c>
      <c r="I48" s="192">
        <v>0</v>
      </c>
      <c r="J48" s="168">
        <v>10555</v>
      </c>
      <c r="K48" s="168">
        <v>1.81</v>
      </c>
      <c r="L48" s="192">
        <v>0</v>
      </c>
      <c r="M48" s="168">
        <v>10477</v>
      </c>
      <c r="N48" s="168">
        <v>1.88</v>
      </c>
      <c r="O48" s="192">
        <v>0</v>
      </c>
      <c r="P48" s="168">
        <v>11118</v>
      </c>
      <c r="Q48" s="168">
        <v>1.8</v>
      </c>
      <c r="R48" s="192">
        <v>0</v>
      </c>
      <c r="S48" s="168">
        <v>74724</v>
      </c>
      <c r="T48" s="168">
        <v>2.3210000000000002</v>
      </c>
      <c r="U48" s="192">
        <v>0</v>
      </c>
      <c r="V48" s="168">
        <v>71316</v>
      </c>
      <c r="W48" s="168">
        <v>1.96</v>
      </c>
      <c r="X48" s="192">
        <v>0</v>
      </c>
      <c r="Y48" s="168">
        <v>17361</v>
      </c>
      <c r="Z48" s="168">
        <v>3.01</v>
      </c>
      <c r="AA48" s="192">
        <v>0</v>
      </c>
      <c r="AB48" s="168">
        <v>11588</v>
      </c>
      <c r="AC48" s="168">
        <v>1.95</v>
      </c>
      <c r="AD48" s="192">
        <v>0</v>
      </c>
      <c r="AE48" s="168">
        <v>90001</v>
      </c>
      <c r="AF48" s="168">
        <v>2.0489999999999999</v>
      </c>
      <c r="AG48" s="192">
        <v>0</v>
      </c>
      <c r="AH48" s="168">
        <v>16965</v>
      </c>
      <c r="AI48" s="168">
        <v>0.34200000000000003</v>
      </c>
      <c r="AJ48" s="192">
        <v>0</v>
      </c>
      <c r="AK48" s="241">
        <v>63335</v>
      </c>
      <c r="AL48" s="192">
        <v>0</v>
      </c>
      <c r="AM48" s="192"/>
      <c r="AN48" s="166"/>
      <c r="AO48" s="192">
        <v>0</v>
      </c>
      <c r="AP48" s="168">
        <v>0</v>
      </c>
      <c r="AQ48" s="168" t="e">
        <v>#DIV/0!</v>
      </c>
      <c r="AR48" s="168">
        <v>1260756</v>
      </c>
      <c r="AS48" s="176"/>
      <c r="AT48" s="181">
        <v>44105</v>
      </c>
      <c r="AU48" s="168">
        <v>61440</v>
      </c>
      <c r="AV48" s="192">
        <v>7700</v>
      </c>
      <c r="AW48" s="168">
        <v>7846</v>
      </c>
      <c r="AX48" s="192">
        <v>1100</v>
      </c>
      <c r="AY48" s="189">
        <v>16674</v>
      </c>
      <c r="AZ48" s="190">
        <v>540</v>
      </c>
      <c r="BA48" s="168">
        <v>49536</v>
      </c>
      <c r="BB48" s="192">
        <v>680</v>
      </c>
      <c r="BC48" s="166"/>
      <c r="BD48" s="178"/>
      <c r="BE48" s="169">
        <v>10020</v>
      </c>
      <c r="BF48" s="168">
        <v>85750</v>
      </c>
      <c r="BG48" s="168">
        <v>1346506</v>
      </c>
      <c r="BH48" s="177"/>
      <c r="BI48" s="176"/>
      <c r="BJ48" s="166"/>
      <c r="BK48" s="170">
        <v>63335</v>
      </c>
      <c r="BL48" s="168">
        <v>62839</v>
      </c>
      <c r="BM48" s="170">
        <v>1784</v>
      </c>
      <c r="BN48" s="173">
        <v>311.41278080000006</v>
      </c>
      <c r="BO48" s="174">
        <v>90975</v>
      </c>
      <c r="BP48" s="168">
        <v>90745</v>
      </c>
      <c r="BQ48" s="168">
        <v>2.0979999999999999</v>
      </c>
      <c r="BR48" s="170">
        <v>169440</v>
      </c>
      <c r="BS48" s="170">
        <v>335.67999999999995</v>
      </c>
      <c r="BT48" s="173">
        <v>8734.6319999999996</v>
      </c>
      <c r="BU48" s="173">
        <v>3549.768</v>
      </c>
      <c r="BV48" s="173">
        <v>2581.0435199999997</v>
      </c>
      <c r="BW48" s="173">
        <v>13635.684000000001</v>
      </c>
      <c r="BX48" s="174">
        <v>94726</v>
      </c>
      <c r="BY48" s="168">
        <v>94511</v>
      </c>
      <c r="BZ48" s="168">
        <v>1.921</v>
      </c>
      <c r="CA48" s="170">
        <v>160000</v>
      </c>
      <c r="CB48" s="170">
        <v>307.36</v>
      </c>
      <c r="CC48" s="173">
        <v>8248</v>
      </c>
      <c r="CD48" s="173">
        <v>3352</v>
      </c>
      <c r="CE48" s="173">
        <v>2363.2910400000001</v>
      </c>
      <c r="CF48" s="173">
        <v>12898.2</v>
      </c>
      <c r="CG48" s="174">
        <v>74724</v>
      </c>
      <c r="CH48" s="168">
        <v>74504</v>
      </c>
      <c r="CI48" s="168">
        <v>2.3759999999999999</v>
      </c>
      <c r="CJ48" s="170">
        <v>270300</v>
      </c>
      <c r="CK48" s="170">
        <v>712.8</v>
      </c>
      <c r="CL48" s="173">
        <v>13933.965</v>
      </c>
      <c r="CM48" s="173">
        <v>5662.7849999999999</v>
      </c>
      <c r="CN48" s="173">
        <v>5480.7191999999995</v>
      </c>
      <c r="CO48" s="173">
        <v>21774.592500000002</v>
      </c>
      <c r="CP48" s="174">
        <v>16965</v>
      </c>
      <c r="CQ48" s="168">
        <v>16931</v>
      </c>
      <c r="CR48" s="168">
        <v>0.33100000000000002</v>
      </c>
      <c r="CS48" s="170">
        <v>6400</v>
      </c>
      <c r="CT48" s="170">
        <v>13.24</v>
      </c>
      <c r="CU48" s="173">
        <v>329.92</v>
      </c>
      <c r="CV48" s="173">
        <v>134.08000000000001</v>
      </c>
      <c r="CW48" s="173">
        <v>101.80236000000001</v>
      </c>
      <c r="CX48" s="173">
        <v>537.24</v>
      </c>
      <c r="CY48" s="174">
        <v>71316</v>
      </c>
      <c r="CZ48" s="168">
        <v>71153</v>
      </c>
      <c r="DA48" s="168">
        <v>2.0950000000000002</v>
      </c>
      <c r="DB48" s="170">
        <v>304200</v>
      </c>
      <c r="DC48" s="184">
        <v>628.50000000000011</v>
      </c>
      <c r="DD48" s="173">
        <v>15681.51</v>
      </c>
      <c r="DE48" s="173">
        <v>6372.99</v>
      </c>
      <c r="DF48" s="173">
        <v>4832.5365000000011</v>
      </c>
      <c r="DG48" s="173">
        <v>24723.440000000002</v>
      </c>
      <c r="DH48" s="174">
        <v>10477</v>
      </c>
      <c r="DI48" s="168">
        <v>10457</v>
      </c>
      <c r="DJ48" s="168">
        <v>0.222</v>
      </c>
      <c r="DK48" s="170">
        <v>38000</v>
      </c>
      <c r="DL48" s="184">
        <v>88.8</v>
      </c>
      <c r="DM48" s="173">
        <v>1958.8999999999999</v>
      </c>
      <c r="DN48" s="173">
        <v>796.1</v>
      </c>
      <c r="DO48" s="173">
        <v>682.78319999999997</v>
      </c>
      <c r="DP48" s="173">
        <v>3108.0000000000005</v>
      </c>
      <c r="DQ48" s="174">
        <v>74724</v>
      </c>
      <c r="DR48" s="168">
        <v>10537</v>
      </c>
      <c r="DS48" s="168">
        <v>0.189</v>
      </c>
      <c r="DT48" s="170">
        <v>34000</v>
      </c>
      <c r="DU48" s="170">
        <v>75.599999999999994</v>
      </c>
      <c r="DV48" s="173">
        <v>1752.7</v>
      </c>
      <c r="DW48" s="173">
        <v>712.3</v>
      </c>
      <c r="DX48" s="173">
        <v>581.28839999999991</v>
      </c>
      <c r="DY48" s="173">
        <v>2783.2000000000003</v>
      </c>
      <c r="DZ48" s="174">
        <v>11118</v>
      </c>
      <c r="EA48" s="168">
        <v>11100</v>
      </c>
      <c r="EB48" s="168">
        <v>0.17</v>
      </c>
      <c r="EC48" s="170">
        <v>30800</v>
      </c>
      <c r="ED48" s="170">
        <v>68</v>
      </c>
      <c r="EE48" s="173">
        <v>1587.74</v>
      </c>
      <c r="EF48" s="173">
        <v>645.26</v>
      </c>
      <c r="EG48" s="173">
        <v>522.85199999999998</v>
      </c>
      <c r="EH48" s="173">
        <v>2523.36</v>
      </c>
      <c r="EI48" s="174">
        <v>17361</v>
      </c>
      <c r="EJ48" s="168">
        <v>17330</v>
      </c>
      <c r="EK48" s="168">
        <v>0.33200000000000002</v>
      </c>
      <c r="EL48" s="170">
        <v>23520</v>
      </c>
      <c r="EM48" s="170">
        <v>53.120000000000005</v>
      </c>
      <c r="EN48" s="173">
        <v>1212.4559999999999</v>
      </c>
      <c r="EO48" s="173">
        <v>492.74399999999997</v>
      </c>
      <c r="EP48" s="173">
        <v>408.43968000000001</v>
      </c>
      <c r="EQ48" s="173">
        <v>1932.2239999999999</v>
      </c>
      <c r="ER48" s="174">
        <v>11588</v>
      </c>
      <c r="ES48" s="168">
        <v>11575</v>
      </c>
      <c r="ET48" s="168">
        <v>2.19</v>
      </c>
      <c r="EU48" s="170">
        <v>10720</v>
      </c>
      <c r="EV48" s="170">
        <v>350.4</v>
      </c>
      <c r="EW48" s="173">
        <v>552.61599999999999</v>
      </c>
      <c r="EX48" s="173">
        <v>224.584</v>
      </c>
      <c r="EY48" s="173">
        <v>2694.2255999999998</v>
      </c>
      <c r="EZ48" s="173">
        <v>892.86400000000015</v>
      </c>
      <c r="FA48" s="170">
        <v>90001</v>
      </c>
      <c r="FB48" s="186">
        <v>89788</v>
      </c>
      <c r="FC48" s="186">
        <v>2.0529999999999999</v>
      </c>
      <c r="FD48" s="170">
        <v>201600</v>
      </c>
      <c r="FE48" s="170">
        <v>410.59999999999997</v>
      </c>
      <c r="FF48" s="173">
        <v>10392.48</v>
      </c>
      <c r="FG48" s="173">
        <v>4223.5199999999995</v>
      </c>
      <c r="FH48" s="173">
        <v>3157.1034</v>
      </c>
      <c r="FI48" s="173">
        <v>16392.320000000003</v>
      </c>
      <c r="FJ48" s="179"/>
      <c r="FK48" s="188">
        <v>1250764</v>
      </c>
      <c r="FL48" s="172">
        <v>101512.53728080001</v>
      </c>
      <c r="FM48" s="172">
        <v>23406.084899999994</v>
      </c>
      <c r="FN48" s="172">
        <v>124918.62218080001</v>
      </c>
      <c r="FO48" s="176"/>
      <c r="FP48" s="166"/>
      <c r="FQ48" s="174">
        <v>7846</v>
      </c>
      <c r="FR48" s="168">
        <v>7819</v>
      </c>
      <c r="FS48" s="168">
        <v>0.33300000000000002</v>
      </c>
      <c r="FT48" s="170">
        <v>7800</v>
      </c>
      <c r="FU48" s="170">
        <v>33.300000000000004</v>
      </c>
      <c r="FV48" s="180">
        <v>402.09</v>
      </c>
      <c r="FW48" s="180">
        <v>163.41</v>
      </c>
      <c r="FX48" s="180">
        <v>256.04370000000006</v>
      </c>
      <c r="FY48" s="173">
        <v>646.86040000000003</v>
      </c>
      <c r="FZ48" s="174">
        <v>61440</v>
      </c>
      <c r="GA48" s="168">
        <v>61237</v>
      </c>
      <c r="GB48" s="168">
        <v>1.788</v>
      </c>
      <c r="GC48" s="170">
        <v>58700</v>
      </c>
      <c r="GD48" s="170">
        <v>178.8</v>
      </c>
      <c r="GE48" s="180">
        <v>3025.9850000000001</v>
      </c>
      <c r="GF48" s="180">
        <v>1229.7650000000001</v>
      </c>
      <c r="GG48" s="180">
        <v>1374.7932000000001</v>
      </c>
      <c r="GH48" s="173">
        <v>4723.8486000000003</v>
      </c>
      <c r="GI48" s="174">
        <v>16674</v>
      </c>
      <c r="GJ48" s="168">
        <v>15350</v>
      </c>
      <c r="GK48" s="170">
        <v>3654</v>
      </c>
      <c r="GL48" s="173">
        <v>503.26541999999995</v>
      </c>
      <c r="GM48" s="173">
        <v>76.551299999999998</v>
      </c>
      <c r="GN48" s="173">
        <v>622.88629040000001</v>
      </c>
      <c r="GO48" s="174">
        <v>49536</v>
      </c>
      <c r="GP48" s="168">
        <v>49464</v>
      </c>
      <c r="GQ48" s="168">
        <v>3.302</v>
      </c>
      <c r="GR48" s="170">
        <v>5560</v>
      </c>
      <c r="GS48" s="170">
        <v>132.08000000000001</v>
      </c>
      <c r="GT48" s="173">
        <v>286.61799999999999</v>
      </c>
      <c r="GU48" s="173">
        <v>116.482</v>
      </c>
      <c r="GV48" s="173">
        <v>1015.5631200000001</v>
      </c>
      <c r="GW48" s="173">
        <v>507.72</v>
      </c>
      <c r="GX48" s="168">
        <v>75714</v>
      </c>
      <c r="GY48" s="172">
        <v>6501.3152903999999</v>
      </c>
      <c r="GZ48" s="172">
        <v>2646.4000200000005</v>
      </c>
      <c r="HA48" s="172">
        <v>9147.7153104000008</v>
      </c>
      <c r="HB48" s="187"/>
      <c r="HC48" s="188">
        <v>1326478</v>
      </c>
      <c r="HD48" s="172">
        <v>108013.85257120001</v>
      </c>
      <c r="HE48" s="172">
        <v>26052.484919999995</v>
      </c>
      <c r="HF48" s="172">
        <v>134066.33749120001</v>
      </c>
      <c r="HG48" s="166"/>
      <c r="HH48" s="166"/>
      <c r="HI48" s="166"/>
      <c r="HJ48" s="166"/>
      <c r="HK48" s="166"/>
      <c r="HL48" s="171"/>
      <c r="HM48" s="166"/>
      <c r="HN48" s="166"/>
      <c r="HO48" s="166"/>
      <c r="HP48" s="166"/>
      <c r="HQ48" s="187"/>
      <c r="HR48" s="166"/>
      <c r="HS48" s="166"/>
      <c r="HT48" s="166"/>
      <c r="HU48" s="166"/>
    </row>
    <row r="49" spans="2:228" x14ac:dyDescent="0.25">
      <c r="B49" s="164">
        <v>44109</v>
      </c>
      <c r="C49" s="165">
        <v>385</v>
      </c>
      <c r="D49" s="168">
        <v>94981</v>
      </c>
      <c r="E49" s="168">
        <v>1.98</v>
      </c>
      <c r="F49" s="192">
        <v>40800</v>
      </c>
      <c r="G49" s="168">
        <v>91214</v>
      </c>
      <c r="H49" s="168">
        <v>2</v>
      </c>
      <c r="I49" s="192">
        <v>38240</v>
      </c>
      <c r="J49" s="168">
        <v>10578</v>
      </c>
      <c r="K49" s="168">
        <v>1.91</v>
      </c>
      <c r="L49" s="192">
        <v>9200</v>
      </c>
      <c r="M49" s="168">
        <v>10499</v>
      </c>
      <c r="N49" s="168">
        <v>1.88</v>
      </c>
      <c r="O49" s="192">
        <v>8800</v>
      </c>
      <c r="P49" s="168">
        <v>11139</v>
      </c>
      <c r="Q49" s="168">
        <v>1.8</v>
      </c>
      <c r="R49" s="192">
        <v>8400</v>
      </c>
      <c r="S49" s="168">
        <v>74911</v>
      </c>
      <c r="T49" s="168">
        <v>2.3250000000000002</v>
      </c>
      <c r="U49" s="192">
        <v>56100</v>
      </c>
      <c r="V49" s="168">
        <v>71500</v>
      </c>
      <c r="W49" s="168">
        <v>2.0640000000000001</v>
      </c>
      <c r="X49" s="192">
        <v>55200</v>
      </c>
      <c r="Y49" s="168">
        <v>17394</v>
      </c>
      <c r="Z49" s="168">
        <v>3.05</v>
      </c>
      <c r="AA49" s="192">
        <v>5280</v>
      </c>
      <c r="AB49" s="168">
        <v>11605</v>
      </c>
      <c r="AC49" s="168">
        <v>1.95</v>
      </c>
      <c r="AD49" s="192">
        <v>2720</v>
      </c>
      <c r="AE49" s="168">
        <v>90248</v>
      </c>
      <c r="AF49" s="168">
        <v>2.0489999999999999</v>
      </c>
      <c r="AG49" s="192">
        <v>49400</v>
      </c>
      <c r="AH49" s="168">
        <v>17001</v>
      </c>
      <c r="AI49" s="168">
        <v>0.34200000000000003</v>
      </c>
      <c r="AJ49" s="192">
        <v>1440</v>
      </c>
      <c r="AK49" s="241">
        <v>63817</v>
      </c>
      <c r="AL49" s="192">
        <v>482</v>
      </c>
      <c r="AM49" s="192"/>
      <c r="AN49" s="166"/>
      <c r="AO49" s="192">
        <v>276062</v>
      </c>
      <c r="AP49" s="168">
        <v>50840</v>
      </c>
      <c r="AQ49" s="168">
        <v>0.1841615289319066</v>
      </c>
      <c r="AR49" s="168"/>
      <c r="AS49" s="176"/>
      <c r="AT49" s="181">
        <v>44109</v>
      </c>
      <c r="AU49" s="168">
        <v>61499</v>
      </c>
      <c r="AV49" s="192">
        <v>5900</v>
      </c>
      <c r="AW49" s="168">
        <v>7853</v>
      </c>
      <c r="AX49" s="192">
        <v>700</v>
      </c>
      <c r="AY49" s="189">
        <v>17120</v>
      </c>
      <c r="AZ49" s="190">
        <v>446</v>
      </c>
      <c r="BA49" s="168">
        <v>49556</v>
      </c>
      <c r="BB49" s="192">
        <v>800</v>
      </c>
      <c r="BC49" s="166"/>
      <c r="BD49" s="178"/>
      <c r="BE49" s="169">
        <v>7846</v>
      </c>
      <c r="BF49" s="168"/>
      <c r="BG49" s="168"/>
      <c r="BH49" s="177"/>
      <c r="BI49" s="176"/>
      <c r="BJ49" s="166"/>
      <c r="BK49" s="170">
        <v>63817</v>
      </c>
      <c r="BL49" s="166"/>
      <c r="BM49" s="166"/>
      <c r="BN49" s="171"/>
      <c r="BO49" s="174">
        <v>91214</v>
      </c>
      <c r="BP49" s="166"/>
      <c r="BQ49" s="166"/>
      <c r="BR49" s="166"/>
      <c r="BS49" s="166"/>
      <c r="BT49" s="166"/>
      <c r="BU49" s="166"/>
      <c r="BV49" s="166"/>
      <c r="BW49" s="171"/>
      <c r="BX49" s="174">
        <v>94981</v>
      </c>
      <c r="BY49" s="166"/>
      <c r="BZ49" s="166"/>
      <c r="CA49" s="166"/>
      <c r="CB49" s="166"/>
      <c r="CC49" s="166"/>
      <c r="CD49" s="166"/>
      <c r="CE49" s="166"/>
      <c r="CF49" s="171"/>
      <c r="CG49" s="174">
        <v>74911</v>
      </c>
      <c r="CH49" s="166"/>
      <c r="CI49" s="166"/>
      <c r="CJ49" s="166"/>
      <c r="CK49" s="166"/>
      <c r="CL49" s="166"/>
      <c r="CM49" s="166"/>
      <c r="CN49" s="166"/>
      <c r="CO49" s="171"/>
      <c r="CP49" s="174">
        <v>17001</v>
      </c>
      <c r="CQ49" s="166"/>
      <c r="CR49" s="166"/>
      <c r="CS49" s="166"/>
      <c r="CT49" s="166"/>
      <c r="CU49" s="166"/>
      <c r="CV49" s="166"/>
      <c r="CW49" s="166"/>
      <c r="CX49" s="171"/>
      <c r="CY49" s="174">
        <v>71500</v>
      </c>
      <c r="CZ49" s="166"/>
      <c r="DA49" s="166"/>
      <c r="DB49" s="166"/>
      <c r="DC49" s="183"/>
      <c r="DD49" s="166"/>
      <c r="DE49" s="166"/>
      <c r="DF49" s="166"/>
      <c r="DG49" s="171"/>
      <c r="DH49" s="174">
        <v>10499</v>
      </c>
      <c r="DI49" s="166"/>
      <c r="DJ49" s="166"/>
      <c r="DK49" s="166"/>
      <c r="DL49" s="183"/>
      <c r="DM49" s="166"/>
      <c r="DN49" s="166"/>
      <c r="DO49" s="166"/>
      <c r="DP49" s="171"/>
      <c r="DQ49" s="174">
        <v>74911</v>
      </c>
      <c r="DR49" s="166"/>
      <c r="DS49" s="166"/>
      <c r="DT49" s="166"/>
      <c r="DU49" s="166"/>
      <c r="DV49" s="166"/>
      <c r="DW49" s="166"/>
      <c r="DX49" s="166"/>
      <c r="DY49" s="171"/>
      <c r="DZ49" s="174">
        <v>11139</v>
      </c>
      <c r="EA49" s="166"/>
      <c r="EB49" s="166"/>
      <c r="EC49" s="166"/>
      <c r="ED49" s="166"/>
      <c r="EE49" s="166"/>
      <c r="EF49" s="166"/>
      <c r="EG49" s="166"/>
      <c r="EH49" s="171"/>
      <c r="EI49" s="174">
        <v>17394</v>
      </c>
      <c r="EJ49" s="166"/>
      <c r="EK49" s="166"/>
      <c r="EL49" s="166"/>
      <c r="EM49" s="166"/>
      <c r="EN49" s="166"/>
      <c r="EO49" s="166"/>
      <c r="EP49" s="166"/>
      <c r="EQ49" s="171"/>
      <c r="ER49" s="174">
        <v>11605</v>
      </c>
      <c r="ES49" s="166"/>
      <c r="ET49" s="166"/>
      <c r="EU49" s="166"/>
      <c r="EV49" s="166"/>
      <c r="EW49" s="166"/>
      <c r="EX49" s="166"/>
      <c r="EY49" s="166"/>
      <c r="EZ49" s="171"/>
      <c r="FA49" s="170">
        <v>90248</v>
      </c>
      <c r="FB49" s="185"/>
      <c r="FC49" s="185"/>
      <c r="FD49" s="175"/>
      <c r="FE49" s="175"/>
      <c r="FF49" s="175"/>
      <c r="FG49" s="166"/>
      <c r="FH49" s="175"/>
      <c r="FI49" s="175"/>
      <c r="FJ49" s="179"/>
      <c r="FK49" s="182"/>
      <c r="FL49" s="166"/>
      <c r="FM49" s="166"/>
      <c r="FN49" s="166"/>
      <c r="FO49" s="176"/>
      <c r="FP49" s="166"/>
      <c r="FQ49" s="174">
        <v>7853</v>
      </c>
      <c r="FR49" s="166"/>
      <c r="FS49" s="166"/>
      <c r="FT49" s="166"/>
      <c r="FU49" s="166"/>
      <c r="FV49" s="166"/>
      <c r="FW49" s="166"/>
      <c r="FX49" s="166"/>
      <c r="FY49" s="171"/>
      <c r="FZ49" s="174">
        <v>61499</v>
      </c>
      <c r="GA49" s="166"/>
      <c r="GB49" s="166"/>
      <c r="GC49" s="166"/>
      <c r="GD49" s="166"/>
      <c r="GE49" s="166"/>
      <c r="GF49" s="166"/>
      <c r="GG49" s="166"/>
      <c r="GH49" s="171"/>
      <c r="GI49" s="174">
        <v>17120</v>
      </c>
      <c r="GJ49" s="166"/>
      <c r="GK49" s="166"/>
      <c r="GL49" s="166"/>
      <c r="GM49" s="166"/>
      <c r="GN49" s="171"/>
      <c r="GO49" s="174">
        <v>49556</v>
      </c>
      <c r="GP49" s="166"/>
      <c r="GQ49" s="166"/>
      <c r="GR49" s="166"/>
      <c r="GS49" s="166"/>
      <c r="GT49" s="166"/>
      <c r="GU49" s="166"/>
      <c r="GV49" s="166"/>
      <c r="GW49" s="171"/>
      <c r="GX49" s="166"/>
      <c r="GY49" s="166"/>
      <c r="GZ49" s="166"/>
      <c r="HA49" s="166"/>
      <c r="HB49" s="187"/>
      <c r="HC49" s="166"/>
      <c r="HD49" s="166"/>
      <c r="HE49" s="166"/>
      <c r="HF49" s="166"/>
      <c r="HG49" s="166"/>
      <c r="HH49" s="166"/>
      <c r="HI49" s="166"/>
      <c r="HJ49" s="166"/>
      <c r="HK49" s="166"/>
      <c r="HL49" s="171"/>
      <c r="HM49" s="166"/>
      <c r="HN49" s="166"/>
      <c r="HO49" s="166"/>
      <c r="HP49" s="166"/>
      <c r="HQ49" s="187"/>
      <c r="HR49" s="166"/>
      <c r="HS49" s="166"/>
      <c r="HT49" s="166"/>
    </row>
    <row r="50" spans="2:228" x14ac:dyDescent="0.25">
      <c r="B50" s="164">
        <v>44116</v>
      </c>
      <c r="C50" s="165">
        <v>882</v>
      </c>
      <c r="D50" s="168">
        <v>95236</v>
      </c>
      <c r="E50" s="168">
        <v>1.98</v>
      </c>
      <c r="F50" s="192">
        <v>40800</v>
      </c>
      <c r="G50" s="168">
        <v>91512</v>
      </c>
      <c r="H50" s="168">
        <v>2.0499999999999998</v>
      </c>
      <c r="I50" s="192">
        <v>47680</v>
      </c>
      <c r="J50" s="168">
        <v>10600</v>
      </c>
      <c r="K50" s="168">
        <v>1.97</v>
      </c>
      <c r="L50" s="192">
        <v>8800</v>
      </c>
      <c r="M50" s="168">
        <v>10520</v>
      </c>
      <c r="N50" s="168">
        <v>1.88</v>
      </c>
      <c r="O50" s="192">
        <v>8400</v>
      </c>
      <c r="P50" s="168">
        <v>11161</v>
      </c>
      <c r="Q50" s="168">
        <v>2.09</v>
      </c>
      <c r="R50" s="192">
        <v>8800</v>
      </c>
      <c r="S50" s="168">
        <v>75151</v>
      </c>
      <c r="T50" s="168">
        <v>2.3250000000000002</v>
      </c>
      <c r="U50" s="192">
        <v>72000</v>
      </c>
      <c r="V50" s="168">
        <v>71745</v>
      </c>
      <c r="W50" s="168">
        <v>2.129</v>
      </c>
      <c r="X50" s="192">
        <v>73500</v>
      </c>
      <c r="Y50" s="168">
        <v>17430</v>
      </c>
      <c r="Z50" s="168">
        <v>3.05</v>
      </c>
      <c r="AA50" s="192">
        <v>5760</v>
      </c>
      <c r="AB50" s="168">
        <v>11621</v>
      </c>
      <c r="AC50" s="168">
        <v>2</v>
      </c>
      <c r="AD50" s="192">
        <v>2560</v>
      </c>
      <c r="AE50" s="168">
        <v>90498</v>
      </c>
      <c r="AF50" s="168">
        <v>2.0489999999999999</v>
      </c>
      <c r="AG50" s="192">
        <v>50000</v>
      </c>
      <c r="AH50" s="168">
        <v>17041</v>
      </c>
      <c r="AI50" s="168">
        <v>0.34200000000000003</v>
      </c>
      <c r="AJ50" s="192">
        <v>1600</v>
      </c>
      <c r="AK50" s="241">
        <v>64294</v>
      </c>
      <c r="AL50" s="192">
        <v>477</v>
      </c>
      <c r="AM50" s="192"/>
      <c r="AN50" s="166"/>
      <c r="AO50" s="192">
        <v>320377</v>
      </c>
      <c r="AP50" s="168">
        <v>51600</v>
      </c>
      <c r="AQ50" s="168">
        <v>0.16106025089191797</v>
      </c>
      <c r="AR50" s="168"/>
      <c r="AS50" s="176"/>
      <c r="AT50" s="181">
        <v>44116</v>
      </c>
      <c r="AU50" s="168">
        <v>61651</v>
      </c>
      <c r="AV50" s="192">
        <v>15200</v>
      </c>
      <c r="AW50" s="168">
        <v>7872</v>
      </c>
      <c r="AX50" s="192">
        <v>1900</v>
      </c>
      <c r="AY50" s="189">
        <v>18136</v>
      </c>
      <c r="AZ50" s="190">
        <v>1016</v>
      </c>
      <c r="BA50" s="168">
        <v>49615</v>
      </c>
      <c r="BB50" s="192">
        <v>2360</v>
      </c>
      <c r="BC50" s="166"/>
      <c r="BD50" s="178"/>
      <c r="BE50" s="169">
        <v>20476</v>
      </c>
      <c r="BF50" s="168"/>
      <c r="BG50" s="168"/>
      <c r="BH50" s="177"/>
      <c r="BI50" s="176"/>
      <c r="BJ50" s="166"/>
      <c r="BK50" s="170">
        <v>64294</v>
      </c>
      <c r="BL50" s="166"/>
      <c r="BM50" s="166"/>
      <c r="BN50" s="171"/>
      <c r="BO50" s="174">
        <v>91512</v>
      </c>
      <c r="BP50" s="166"/>
      <c r="BQ50" s="166"/>
      <c r="BR50" s="166"/>
      <c r="BS50" s="166"/>
      <c r="BT50" s="166"/>
      <c r="BU50" s="166"/>
      <c r="BV50" s="166"/>
      <c r="BW50" s="171"/>
      <c r="BX50" s="174">
        <v>95236</v>
      </c>
      <c r="BY50" s="166"/>
      <c r="BZ50" s="166"/>
      <c r="CA50" s="166"/>
      <c r="CB50" s="166"/>
      <c r="CC50" s="166"/>
      <c r="CD50" s="166"/>
      <c r="CE50" s="166"/>
      <c r="CF50" s="171"/>
      <c r="CG50" s="174">
        <v>75151</v>
      </c>
      <c r="CH50" s="166"/>
      <c r="CI50" s="166"/>
      <c r="CJ50" s="166"/>
      <c r="CK50" s="166"/>
      <c r="CL50" s="166"/>
      <c r="CM50" s="166"/>
      <c r="CN50" s="166"/>
      <c r="CO50" s="171"/>
      <c r="CP50" s="174">
        <v>17041</v>
      </c>
      <c r="CQ50" s="166"/>
      <c r="CR50" s="166"/>
      <c r="CS50" s="166"/>
      <c r="CT50" s="166"/>
      <c r="CU50" s="166"/>
      <c r="CV50" s="166"/>
      <c r="CW50" s="166"/>
      <c r="CX50" s="171"/>
      <c r="CY50" s="174">
        <v>71745</v>
      </c>
      <c r="CZ50" s="166"/>
      <c r="DA50" s="166"/>
      <c r="DB50" s="166"/>
      <c r="DC50" s="183"/>
      <c r="DD50" s="166"/>
      <c r="DE50" s="166"/>
      <c r="DF50" s="166"/>
      <c r="DG50" s="171"/>
      <c r="DH50" s="174">
        <v>10520</v>
      </c>
      <c r="DI50" s="166"/>
      <c r="DJ50" s="166"/>
      <c r="DK50" s="166"/>
      <c r="DL50" s="183"/>
      <c r="DM50" s="166"/>
      <c r="DN50" s="166"/>
      <c r="DO50" s="166"/>
      <c r="DP50" s="171"/>
      <c r="DQ50" s="174">
        <v>75151</v>
      </c>
      <c r="DR50" s="166"/>
      <c r="DS50" s="166"/>
      <c r="DT50" s="166"/>
      <c r="DU50" s="166"/>
      <c r="DV50" s="166"/>
      <c r="DW50" s="166"/>
      <c r="DX50" s="166"/>
      <c r="DY50" s="171"/>
      <c r="DZ50" s="174">
        <v>11161</v>
      </c>
      <c r="EA50" s="166"/>
      <c r="EB50" s="166"/>
      <c r="EC50" s="166"/>
      <c r="ED50" s="166"/>
      <c r="EE50" s="166"/>
      <c r="EF50" s="166"/>
      <c r="EG50" s="166"/>
      <c r="EH50" s="171"/>
      <c r="EI50" s="174">
        <v>17430</v>
      </c>
      <c r="EJ50" s="166"/>
      <c r="EK50" s="166"/>
      <c r="EL50" s="166"/>
      <c r="EM50" s="166"/>
      <c r="EN50" s="166"/>
      <c r="EO50" s="166"/>
      <c r="EP50" s="166"/>
      <c r="EQ50" s="171"/>
      <c r="ER50" s="174">
        <v>11621</v>
      </c>
      <c r="ES50" s="166"/>
      <c r="ET50" s="166"/>
      <c r="EU50" s="166"/>
      <c r="EV50" s="166"/>
      <c r="EW50" s="166"/>
      <c r="EX50" s="166"/>
      <c r="EY50" s="166"/>
      <c r="EZ50" s="171"/>
      <c r="FA50" s="170">
        <v>90498</v>
      </c>
      <c r="FB50" s="185"/>
      <c r="FC50" s="185"/>
      <c r="FD50" s="175"/>
      <c r="FE50" s="175"/>
      <c r="FF50" s="175"/>
      <c r="FG50" s="166"/>
      <c r="FH50" s="175"/>
      <c r="FI50" s="175"/>
      <c r="FJ50" s="179"/>
      <c r="FK50" s="182"/>
      <c r="FL50" s="166"/>
      <c r="FM50" s="166"/>
      <c r="FN50" s="166"/>
      <c r="FO50" s="176"/>
      <c r="FP50" s="166"/>
      <c r="FQ50" s="174">
        <v>7872</v>
      </c>
      <c r="FR50" s="166"/>
      <c r="FS50" s="166"/>
      <c r="FT50" s="166"/>
      <c r="FU50" s="166"/>
      <c r="FV50" s="166"/>
      <c r="FW50" s="166"/>
      <c r="FX50" s="166"/>
      <c r="FY50" s="171"/>
      <c r="FZ50" s="174">
        <v>61651</v>
      </c>
      <c r="GA50" s="166"/>
      <c r="GB50" s="166"/>
      <c r="GC50" s="166"/>
      <c r="GD50" s="166"/>
      <c r="GE50" s="166"/>
      <c r="GF50" s="166"/>
      <c r="GG50" s="166"/>
      <c r="GH50" s="171"/>
      <c r="GI50" s="174">
        <v>18136</v>
      </c>
      <c r="GJ50" s="166"/>
      <c r="GK50" s="166"/>
      <c r="GL50" s="166"/>
      <c r="GM50" s="166"/>
      <c r="GN50" s="171"/>
      <c r="GO50" s="174">
        <v>49615</v>
      </c>
      <c r="GP50" s="166"/>
      <c r="GQ50" s="166"/>
      <c r="GR50" s="166"/>
      <c r="GS50" s="166"/>
      <c r="GT50" s="166"/>
      <c r="GU50" s="166"/>
      <c r="GV50" s="166"/>
      <c r="GW50" s="171"/>
      <c r="GX50" s="166"/>
      <c r="GY50" s="166"/>
      <c r="GZ50" s="166"/>
      <c r="HA50" s="166"/>
      <c r="HB50" s="187"/>
      <c r="HC50" s="166"/>
      <c r="HD50" s="166"/>
      <c r="HE50" s="166"/>
      <c r="HF50" s="166"/>
      <c r="HG50" s="166"/>
      <c r="HH50" s="166"/>
      <c r="HI50" s="166"/>
      <c r="HJ50" s="166"/>
      <c r="HK50" s="166"/>
      <c r="HL50" s="171"/>
      <c r="HM50" s="166"/>
      <c r="HN50" s="166"/>
      <c r="HO50" s="166"/>
      <c r="HP50" s="166"/>
      <c r="HQ50" s="187"/>
      <c r="HR50" s="166"/>
      <c r="HS50" s="166"/>
      <c r="HT50" s="166"/>
    </row>
    <row r="51" spans="2:228" x14ac:dyDescent="0.25">
      <c r="B51" s="164">
        <v>44123</v>
      </c>
      <c r="C51" s="165">
        <v>731</v>
      </c>
      <c r="D51" s="168">
        <v>95490</v>
      </c>
      <c r="E51" s="168">
        <v>1.98</v>
      </c>
      <c r="F51" s="192">
        <v>40640</v>
      </c>
      <c r="G51" s="168">
        <v>91786</v>
      </c>
      <c r="H51" s="168">
        <v>2.0499999999999998</v>
      </c>
      <c r="I51" s="192">
        <v>43840</v>
      </c>
      <c r="J51" s="168">
        <v>10622</v>
      </c>
      <c r="K51" s="168">
        <v>1.91</v>
      </c>
      <c r="L51" s="192">
        <v>8800</v>
      </c>
      <c r="M51" s="168">
        <v>10541</v>
      </c>
      <c r="N51" s="168">
        <v>1.88</v>
      </c>
      <c r="O51" s="192">
        <v>8400</v>
      </c>
      <c r="P51" s="168">
        <v>11184</v>
      </c>
      <c r="Q51" s="168">
        <v>2.09</v>
      </c>
      <c r="R51" s="192">
        <v>9200</v>
      </c>
      <c r="S51" s="168">
        <v>75351</v>
      </c>
      <c r="T51" s="168">
        <v>2.3439999999999999</v>
      </c>
      <c r="U51" s="192">
        <v>60000</v>
      </c>
      <c r="V51" s="168">
        <v>71972</v>
      </c>
      <c r="W51" s="168">
        <v>2.2189999999999999</v>
      </c>
      <c r="X51" s="192">
        <v>68100</v>
      </c>
      <c r="Y51" s="168">
        <v>17466</v>
      </c>
      <c r="Z51" s="168">
        <v>3.05</v>
      </c>
      <c r="AA51" s="192">
        <v>5760</v>
      </c>
      <c r="AB51" s="168">
        <v>11639</v>
      </c>
      <c r="AC51" s="168">
        <v>2.08</v>
      </c>
      <c r="AD51" s="192">
        <v>2880</v>
      </c>
      <c r="AE51" s="168">
        <v>90737</v>
      </c>
      <c r="AF51" s="168">
        <v>2.0489999999999999</v>
      </c>
      <c r="AG51" s="192">
        <v>47800</v>
      </c>
      <c r="AH51" s="168">
        <v>17082</v>
      </c>
      <c r="AI51" s="168">
        <v>0.34200000000000003</v>
      </c>
      <c r="AJ51" s="192">
        <v>1640</v>
      </c>
      <c r="AK51" s="241">
        <v>64770</v>
      </c>
      <c r="AL51" s="192">
        <v>476</v>
      </c>
      <c r="AM51" s="192"/>
      <c r="AN51" s="166"/>
      <c r="AO51" s="192">
        <v>297536</v>
      </c>
      <c r="AP51" s="168">
        <v>49440</v>
      </c>
      <c r="AQ51" s="168">
        <v>0.16616476661647667</v>
      </c>
      <c r="AR51" s="168"/>
      <c r="AS51" s="176"/>
      <c r="AT51" s="181">
        <v>44123</v>
      </c>
      <c r="AU51" s="168">
        <v>61793</v>
      </c>
      <c r="AV51" s="192">
        <v>14200</v>
      </c>
      <c r="AW51" s="168">
        <v>7891</v>
      </c>
      <c r="AX51" s="192">
        <v>1900</v>
      </c>
      <c r="AY51" s="189">
        <v>19129</v>
      </c>
      <c r="AZ51" s="190">
        <v>993</v>
      </c>
      <c r="BA51" s="168">
        <v>49684</v>
      </c>
      <c r="BB51" s="192">
        <v>2760</v>
      </c>
      <c r="BC51" s="166"/>
      <c r="BD51" s="178"/>
      <c r="BE51" s="169">
        <v>19853</v>
      </c>
      <c r="BF51" s="168"/>
      <c r="BG51" s="168"/>
      <c r="BH51" s="177"/>
      <c r="BI51" s="176"/>
      <c r="BJ51" s="166"/>
      <c r="BK51" s="170">
        <v>64770</v>
      </c>
      <c r="BL51" s="166"/>
      <c r="BM51" s="166"/>
      <c r="BN51" s="171"/>
      <c r="BO51" s="174">
        <v>91786</v>
      </c>
      <c r="BP51" s="166"/>
      <c r="BQ51" s="166"/>
      <c r="BR51" s="166"/>
      <c r="BS51" s="166"/>
      <c r="BT51" s="166"/>
      <c r="BU51" s="166"/>
      <c r="BV51" s="166"/>
      <c r="BW51" s="171"/>
      <c r="BX51" s="174">
        <v>95490</v>
      </c>
      <c r="BY51" s="166"/>
      <c r="BZ51" s="166"/>
      <c r="CA51" s="166"/>
      <c r="CB51" s="166"/>
      <c r="CC51" s="166"/>
      <c r="CD51" s="166"/>
      <c r="CE51" s="166"/>
      <c r="CF51" s="171"/>
      <c r="CG51" s="174">
        <v>75351</v>
      </c>
      <c r="CH51" s="166"/>
      <c r="CI51" s="166"/>
      <c r="CJ51" s="166"/>
      <c r="CK51" s="166"/>
      <c r="CL51" s="166"/>
      <c r="CM51" s="166"/>
      <c r="CN51" s="166"/>
      <c r="CO51" s="171"/>
      <c r="CP51" s="174">
        <v>17082</v>
      </c>
      <c r="CQ51" s="166"/>
      <c r="CR51" s="166"/>
      <c r="CS51" s="166"/>
      <c r="CT51" s="166"/>
      <c r="CU51" s="166"/>
      <c r="CV51" s="166"/>
      <c r="CW51" s="166"/>
      <c r="CX51" s="171"/>
      <c r="CY51" s="174">
        <v>71972</v>
      </c>
      <c r="CZ51" s="166"/>
      <c r="DA51" s="166"/>
      <c r="DB51" s="166"/>
      <c r="DC51" s="183"/>
      <c r="DD51" s="166"/>
      <c r="DE51" s="166"/>
      <c r="DF51" s="166"/>
      <c r="DG51" s="171"/>
      <c r="DH51" s="174">
        <v>10541</v>
      </c>
      <c r="DI51" s="166"/>
      <c r="DJ51" s="166"/>
      <c r="DK51" s="166"/>
      <c r="DL51" s="183"/>
      <c r="DM51" s="166"/>
      <c r="DN51" s="166"/>
      <c r="DO51" s="166"/>
      <c r="DP51" s="171"/>
      <c r="DQ51" s="174">
        <v>75351</v>
      </c>
      <c r="DR51" s="166"/>
      <c r="DS51" s="166"/>
      <c r="DT51" s="166"/>
      <c r="DU51" s="166"/>
      <c r="DV51" s="166"/>
      <c r="DW51" s="166"/>
      <c r="DX51" s="166"/>
      <c r="DY51" s="171"/>
      <c r="DZ51" s="174">
        <v>11184</v>
      </c>
      <c r="EA51" s="166"/>
      <c r="EB51" s="166"/>
      <c r="EC51" s="166"/>
      <c r="ED51" s="166"/>
      <c r="EE51" s="166"/>
      <c r="EF51" s="166"/>
      <c r="EG51" s="166"/>
      <c r="EH51" s="171"/>
      <c r="EI51" s="174">
        <v>17466</v>
      </c>
      <c r="EJ51" s="166"/>
      <c r="EK51" s="166"/>
      <c r="EL51" s="166"/>
      <c r="EM51" s="166"/>
      <c r="EN51" s="166"/>
      <c r="EO51" s="166"/>
      <c r="EP51" s="166"/>
      <c r="EQ51" s="171"/>
      <c r="ER51" s="174">
        <v>11639</v>
      </c>
      <c r="ES51" s="166"/>
      <c r="ET51" s="166"/>
      <c r="EU51" s="166"/>
      <c r="EV51" s="166"/>
      <c r="EW51" s="166"/>
      <c r="EX51" s="166"/>
      <c r="EY51" s="166"/>
      <c r="EZ51" s="171"/>
      <c r="FA51" s="170">
        <v>90737</v>
      </c>
      <c r="FB51" s="185"/>
      <c r="FC51" s="185"/>
      <c r="FD51" s="175"/>
      <c r="FE51" s="175"/>
      <c r="FF51" s="175"/>
      <c r="FG51" s="166"/>
      <c r="FH51" s="175"/>
      <c r="FI51" s="175"/>
      <c r="FJ51" s="179"/>
      <c r="FK51" s="182"/>
      <c r="FL51" s="166"/>
      <c r="FM51" s="166"/>
      <c r="FN51" s="166"/>
      <c r="FO51" s="176"/>
      <c r="FP51" s="166"/>
      <c r="FQ51" s="174">
        <v>7891</v>
      </c>
      <c r="FR51" s="166"/>
      <c r="FS51" s="166"/>
      <c r="FT51" s="166"/>
      <c r="FU51" s="166"/>
      <c r="FV51" s="166"/>
      <c r="FW51" s="166"/>
      <c r="FX51" s="166"/>
      <c r="FY51" s="171"/>
      <c r="FZ51" s="174">
        <v>61793</v>
      </c>
      <c r="GA51" s="166"/>
      <c r="GB51" s="166"/>
      <c r="GC51" s="166"/>
      <c r="GD51" s="166"/>
      <c r="GE51" s="166"/>
      <c r="GF51" s="166"/>
      <c r="GG51" s="166"/>
      <c r="GH51" s="171"/>
      <c r="GI51" s="174">
        <v>19129</v>
      </c>
      <c r="GJ51" s="166"/>
      <c r="GK51" s="166"/>
      <c r="GL51" s="166"/>
      <c r="GM51" s="166"/>
      <c r="GN51" s="171"/>
      <c r="GO51" s="174">
        <v>49684</v>
      </c>
      <c r="GP51" s="166"/>
      <c r="GQ51" s="166"/>
      <c r="GR51" s="166"/>
      <c r="GS51" s="166"/>
      <c r="GT51" s="166"/>
      <c r="GU51" s="166"/>
      <c r="GV51" s="166"/>
      <c r="GW51" s="171"/>
      <c r="GX51" s="166"/>
      <c r="GY51" s="166"/>
      <c r="GZ51" s="166"/>
      <c r="HA51" s="166"/>
      <c r="HB51" s="187"/>
      <c r="HC51" s="166"/>
      <c r="HD51" s="166"/>
      <c r="HE51" s="166"/>
      <c r="HF51" s="166"/>
      <c r="HG51" s="166"/>
      <c r="HH51" s="166"/>
      <c r="HI51" s="166"/>
      <c r="HJ51" s="166"/>
      <c r="HK51" s="166"/>
      <c r="HL51" s="171"/>
      <c r="HM51" s="166"/>
      <c r="HN51" s="166"/>
      <c r="HO51" s="166"/>
      <c r="HP51" s="166"/>
      <c r="HQ51" s="187"/>
      <c r="HR51" s="166"/>
      <c r="HS51" s="166"/>
      <c r="HT51" s="166"/>
    </row>
    <row r="52" spans="2:228" x14ac:dyDescent="0.25">
      <c r="B52" s="164">
        <v>44130</v>
      </c>
      <c r="C52" s="165">
        <v>611</v>
      </c>
      <c r="D52" s="168">
        <v>95736</v>
      </c>
      <c r="E52" s="168">
        <v>1.9039999999999999</v>
      </c>
      <c r="F52" s="192">
        <v>39360</v>
      </c>
      <c r="G52" s="168">
        <v>92060</v>
      </c>
      <c r="H52" s="168">
        <v>2.0219999999999998</v>
      </c>
      <c r="I52" s="192">
        <v>43840</v>
      </c>
      <c r="J52" s="168">
        <v>10642</v>
      </c>
      <c r="K52" s="168">
        <v>1.48</v>
      </c>
      <c r="L52" s="192">
        <v>8000</v>
      </c>
      <c r="M52" s="168">
        <v>10561</v>
      </c>
      <c r="N52" s="168">
        <v>1.51</v>
      </c>
      <c r="O52" s="192">
        <v>8000</v>
      </c>
      <c r="P52" s="168">
        <v>11205</v>
      </c>
      <c r="Q52" s="168">
        <v>1.76</v>
      </c>
      <c r="R52" s="192">
        <v>8400</v>
      </c>
      <c r="S52" s="168">
        <v>75588</v>
      </c>
      <c r="T52" s="168">
        <v>2.121</v>
      </c>
      <c r="U52" s="192">
        <v>71100</v>
      </c>
      <c r="V52" s="168">
        <v>72163</v>
      </c>
      <c r="W52" s="168">
        <v>0.751</v>
      </c>
      <c r="X52" s="192">
        <v>57300</v>
      </c>
      <c r="Y52" s="168">
        <v>17502</v>
      </c>
      <c r="Z52" s="168">
        <v>2.73</v>
      </c>
      <c r="AA52" s="192">
        <v>5760</v>
      </c>
      <c r="AB52" s="168">
        <v>11656</v>
      </c>
      <c r="AC52" s="168">
        <v>1.69</v>
      </c>
      <c r="AD52" s="192">
        <v>2720</v>
      </c>
      <c r="AE52" s="168">
        <v>90976</v>
      </c>
      <c r="AF52" s="168">
        <v>1.8540000000000001</v>
      </c>
      <c r="AG52" s="192">
        <v>47800</v>
      </c>
      <c r="AH52" s="168">
        <v>17120</v>
      </c>
      <c r="AI52" s="168">
        <v>0.308</v>
      </c>
      <c r="AJ52" s="192">
        <v>1520</v>
      </c>
      <c r="AK52" s="241">
        <v>65263</v>
      </c>
      <c r="AL52" s="192">
        <v>493</v>
      </c>
      <c r="AM52" s="192"/>
      <c r="AN52" s="166"/>
      <c r="AO52" s="192">
        <v>294293</v>
      </c>
      <c r="AP52" s="168">
        <v>49320</v>
      </c>
      <c r="AQ52" s="168">
        <v>0.16758808398432853</v>
      </c>
      <c r="AR52" s="168"/>
      <c r="AS52" s="176"/>
      <c r="AT52" s="181">
        <v>44130</v>
      </c>
      <c r="AU52" s="168">
        <v>61939</v>
      </c>
      <c r="AV52" s="192">
        <v>14600</v>
      </c>
      <c r="AW52" s="168">
        <v>7909</v>
      </c>
      <c r="AX52" s="192">
        <v>1800</v>
      </c>
      <c r="AY52" s="189">
        <v>20037</v>
      </c>
      <c r="AZ52" s="190">
        <v>908</v>
      </c>
      <c r="BA52" s="168">
        <v>49711</v>
      </c>
      <c r="BB52" s="192">
        <v>1080</v>
      </c>
      <c r="BC52" s="166"/>
      <c r="BD52" s="178"/>
      <c r="BE52" s="169">
        <v>18388</v>
      </c>
      <c r="BF52" s="168"/>
      <c r="BG52" s="168"/>
      <c r="BH52" s="177"/>
      <c r="BI52" s="176"/>
      <c r="BJ52" s="166"/>
      <c r="BK52" s="170">
        <v>65263</v>
      </c>
      <c r="BL52" s="166"/>
      <c r="BM52" s="166"/>
      <c r="BN52" s="171"/>
      <c r="BO52" s="174">
        <v>92060</v>
      </c>
      <c r="BP52" s="166"/>
      <c r="BQ52" s="166"/>
      <c r="BR52" s="166"/>
      <c r="BS52" s="166"/>
      <c r="BT52" s="166"/>
      <c r="BU52" s="166"/>
      <c r="BV52" s="166"/>
      <c r="BW52" s="171"/>
      <c r="BX52" s="174">
        <v>95736</v>
      </c>
      <c r="BY52" s="166"/>
      <c r="BZ52" s="166"/>
      <c r="CA52" s="166"/>
      <c r="CB52" s="166"/>
      <c r="CC52" s="166"/>
      <c r="CD52" s="166"/>
      <c r="CE52" s="166"/>
      <c r="CF52" s="171"/>
      <c r="CG52" s="174">
        <v>75588</v>
      </c>
      <c r="CH52" s="166"/>
      <c r="CI52" s="166"/>
      <c r="CJ52" s="166"/>
      <c r="CK52" s="166"/>
      <c r="CL52" s="166"/>
      <c r="CM52" s="166"/>
      <c r="CN52" s="166"/>
      <c r="CO52" s="171"/>
      <c r="CP52" s="174">
        <v>17120</v>
      </c>
      <c r="CQ52" s="166"/>
      <c r="CR52" s="166"/>
      <c r="CS52" s="166"/>
      <c r="CT52" s="166"/>
      <c r="CU52" s="166"/>
      <c r="CV52" s="166"/>
      <c r="CW52" s="166"/>
      <c r="CX52" s="171"/>
      <c r="CY52" s="174">
        <v>72163</v>
      </c>
      <c r="CZ52" s="166"/>
      <c r="DA52" s="166"/>
      <c r="DB52" s="166"/>
      <c r="DC52" s="183"/>
      <c r="DD52" s="166"/>
      <c r="DE52" s="166"/>
      <c r="DF52" s="166"/>
      <c r="DG52" s="171"/>
      <c r="DH52" s="174">
        <v>10561</v>
      </c>
      <c r="DI52" s="166"/>
      <c r="DJ52" s="166"/>
      <c r="DK52" s="166"/>
      <c r="DL52" s="183"/>
      <c r="DM52" s="166"/>
      <c r="DN52" s="166"/>
      <c r="DO52" s="166"/>
      <c r="DP52" s="171"/>
      <c r="DQ52" s="174">
        <v>75588</v>
      </c>
      <c r="DR52" s="166"/>
      <c r="DS52" s="166"/>
      <c r="DT52" s="166"/>
      <c r="DU52" s="166"/>
      <c r="DV52" s="166"/>
      <c r="DW52" s="166"/>
      <c r="DX52" s="166"/>
      <c r="DY52" s="171"/>
      <c r="DZ52" s="174">
        <v>11205</v>
      </c>
      <c r="EA52" s="166"/>
      <c r="EB52" s="166"/>
      <c r="EC52" s="166"/>
      <c r="ED52" s="166"/>
      <c r="EE52" s="166"/>
      <c r="EF52" s="166"/>
      <c r="EG52" s="166"/>
      <c r="EH52" s="171"/>
      <c r="EI52" s="174">
        <v>17502</v>
      </c>
      <c r="EJ52" s="166"/>
      <c r="EK52" s="166"/>
      <c r="EL52" s="166"/>
      <c r="EM52" s="166"/>
      <c r="EN52" s="166"/>
      <c r="EO52" s="166"/>
      <c r="EP52" s="166"/>
      <c r="EQ52" s="171"/>
      <c r="ER52" s="174">
        <v>11656</v>
      </c>
      <c r="ES52" s="166"/>
      <c r="ET52" s="166"/>
      <c r="EU52" s="166"/>
      <c r="EV52" s="166"/>
      <c r="EW52" s="166"/>
      <c r="EX52" s="166"/>
      <c r="EY52" s="166"/>
      <c r="EZ52" s="171"/>
      <c r="FA52" s="170">
        <v>90976</v>
      </c>
      <c r="FB52" s="185"/>
      <c r="FC52" s="185"/>
      <c r="FD52" s="175"/>
      <c r="FE52" s="175"/>
      <c r="FF52" s="175"/>
      <c r="FG52" s="166"/>
      <c r="FH52" s="175"/>
      <c r="FI52" s="175"/>
      <c r="FJ52" s="179"/>
      <c r="FK52" s="182"/>
      <c r="FL52" s="166"/>
      <c r="FM52" s="166"/>
      <c r="FN52" s="166"/>
      <c r="FO52" s="176"/>
      <c r="FP52" s="166"/>
      <c r="FQ52" s="174">
        <v>7909</v>
      </c>
      <c r="FR52" s="166"/>
      <c r="FS52" s="166"/>
      <c r="FT52" s="166"/>
      <c r="FU52" s="166"/>
      <c r="FV52" s="166"/>
      <c r="FW52" s="166"/>
      <c r="FX52" s="166"/>
      <c r="FY52" s="171"/>
      <c r="FZ52" s="174">
        <v>61939</v>
      </c>
      <c r="GA52" s="166"/>
      <c r="GB52" s="166"/>
      <c r="GC52" s="166"/>
      <c r="GD52" s="166"/>
      <c r="GE52" s="166"/>
      <c r="GF52" s="166"/>
      <c r="GG52" s="166"/>
      <c r="GH52" s="171"/>
      <c r="GI52" s="174">
        <v>20037</v>
      </c>
      <c r="GJ52" s="166"/>
      <c r="GK52" s="166"/>
      <c r="GL52" s="166"/>
      <c r="GM52" s="166"/>
      <c r="GN52" s="171"/>
      <c r="GO52" s="174">
        <v>49711</v>
      </c>
      <c r="GP52" s="166"/>
      <c r="GQ52" s="166"/>
      <c r="GR52" s="166"/>
      <c r="GS52" s="166"/>
      <c r="GT52" s="166"/>
      <c r="GU52" s="166"/>
      <c r="GV52" s="166"/>
      <c r="GW52" s="171"/>
      <c r="GX52" s="166"/>
      <c r="GY52" s="166"/>
      <c r="GZ52" s="166"/>
      <c r="HA52" s="166"/>
      <c r="HB52" s="187"/>
      <c r="HC52" s="166"/>
      <c r="HD52" s="166"/>
      <c r="HE52" s="166"/>
      <c r="HF52" s="166"/>
      <c r="HG52" s="166"/>
      <c r="HH52" s="166"/>
      <c r="HI52" s="166"/>
      <c r="HJ52" s="166"/>
      <c r="HK52" s="166"/>
      <c r="HL52" s="171"/>
      <c r="HM52" s="166"/>
      <c r="HN52" s="166"/>
      <c r="HO52" s="166"/>
      <c r="HP52" s="166"/>
      <c r="HQ52" s="187"/>
      <c r="HR52" s="166"/>
      <c r="HS52" s="166"/>
      <c r="HT52" s="166"/>
    </row>
    <row r="53" spans="2:228" x14ac:dyDescent="0.25">
      <c r="B53" s="164">
        <v>44136</v>
      </c>
      <c r="C53" s="165">
        <v>502</v>
      </c>
      <c r="D53" s="168">
        <v>95980</v>
      </c>
      <c r="E53" s="168">
        <v>1.9039999999999999</v>
      </c>
      <c r="F53" s="192">
        <v>39040</v>
      </c>
      <c r="G53" s="168">
        <v>92328</v>
      </c>
      <c r="H53" s="168">
        <v>2.0219999999999998</v>
      </c>
      <c r="I53" s="192">
        <v>42880</v>
      </c>
      <c r="J53" s="168">
        <v>10661</v>
      </c>
      <c r="K53" s="168">
        <v>1.5</v>
      </c>
      <c r="L53" s="192">
        <v>7600</v>
      </c>
      <c r="M53" s="168">
        <v>10581</v>
      </c>
      <c r="N53" s="168">
        <v>1.51</v>
      </c>
      <c r="O53" s="192">
        <v>8000</v>
      </c>
      <c r="P53" s="168">
        <v>11225</v>
      </c>
      <c r="Q53" s="168">
        <v>1.76</v>
      </c>
      <c r="R53" s="192">
        <v>8000</v>
      </c>
      <c r="S53" s="168">
        <v>75767</v>
      </c>
      <c r="T53" s="168">
        <v>2.2050000000000001</v>
      </c>
      <c r="U53" s="192">
        <v>53700</v>
      </c>
      <c r="V53" s="168">
        <v>72352</v>
      </c>
      <c r="W53" s="168">
        <v>1.885</v>
      </c>
      <c r="X53" s="192">
        <v>56700</v>
      </c>
      <c r="Y53" s="168">
        <v>17536</v>
      </c>
      <c r="Z53" s="168">
        <v>2.96</v>
      </c>
      <c r="AA53" s="192">
        <v>5440</v>
      </c>
      <c r="AB53" s="168">
        <v>11671</v>
      </c>
      <c r="AC53" s="168">
        <v>1.69</v>
      </c>
      <c r="AD53" s="192">
        <v>2400</v>
      </c>
      <c r="AE53" s="168">
        <v>91216</v>
      </c>
      <c r="AF53" s="168">
        <v>1.976</v>
      </c>
      <c r="AG53" s="192">
        <v>48000</v>
      </c>
      <c r="AH53" s="168">
        <v>17160</v>
      </c>
      <c r="AI53" s="168">
        <v>0.317</v>
      </c>
      <c r="AJ53" s="192">
        <v>1600</v>
      </c>
      <c r="AK53" s="241">
        <v>65767</v>
      </c>
      <c r="AL53" s="192">
        <v>504</v>
      </c>
      <c r="AM53" s="192"/>
      <c r="AN53" s="166"/>
      <c r="AO53" s="192">
        <v>273864</v>
      </c>
      <c r="AP53" s="168">
        <v>49600</v>
      </c>
      <c r="AQ53" s="168">
        <v>0.18111179271463207</v>
      </c>
      <c r="AR53" s="168">
        <v>1462132</v>
      </c>
      <c r="AS53" s="176"/>
      <c r="AT53" s="181">
        <v>44136</v>
      </c>
      <c r="AU53" s="168">
        <v>62058</v>
      </c>
      <c r="AV53" s="192">
        <v>11900</v>
      </c>
      <c r="AW53" s="168">
        <v>7924</v>
      </c>
      <c r="AX53" s="192">
        <v>1500</v>
      </c>
      <c r="AY53" s="189">
        <v>20798</v>
      </c>
      <c r="AZ53" s="190">
        <v>761</v>
      </c>
      <c r="BA53" s="168">
        <v>49763</v>
      </c>
      <c r="BB53" s="192">
        <v>2080</v>
      </c>
      <c r="BC53" s="166"/>
      <c r="BD53" s="178"/>
      <c r="BE53" s="169">
        <v>16241</v>
      </c>
      <c r="BF53" s="168">
        <v>82804</v>
      </c>
      <c r="BG53" s="168">
        <v>1544936</v>
      </c>
      <c r="BH53" s="177"/>
      <c r="BI53" s="176"/>
      <c r="BJ53" s="166"/>
      <c r="BK53" s="170">
        <v>65767</v>
      </c>
      <c r="BL53" s="166"/>
      <c r="BM53" s="166"/>
      <c r="BN53" s="171"/>
      <c r="BO53" s="174">
        <v>92328</v>
      </c>
      <c r="BP53" s="166"/>
      <c r="BQ53" s="166"/>
      <c r="BR53" s="166"/>
      <c r="BS53" s="166"/>
      <c r="BT53" s="166"/>
      <c r="BU53" s="166"/>
      <c r="BV53" s="166"/>
      <c r="BW53" s="171"/>
      <c r="BX53" s="174">
        <v>95980</v>
      </c>
      <c r="BY53" s="166"/>
      <c r="BZ53" s="166"/>
      <c r="CA53" s="166"/>
      <c r="CB53" s="166"/>
      <c r="CC53" s="166"/>
      <c r="CD53" s="166"/>
      <c r="CE53" s="166"/>
      <c r="CF53" s="171"/>
      <c r="CG53" s="174">
        <v>75767</v>
      </c>
      <c r="CH53" s="166"/>
      <c r="CI53" s="166"/>
      <c r="CJ53" s="166"/>
      <c r="CK53" s="166"/>
      <c r="CL53" s="166"/>
      <c r="CM53" s="166"/>
      <c r="CN53" s="166"/>
      <c r="CO53" s="171"/>
      <c r="CP53" s="174">
        <v>17160</v>
      </c>
      <c r="CQ53" s="166"/>
      <c r="CR53" s="166"/>
      <c r="CS53" s="166"/>
      <c r="CT53" s="166"/>
      <c r="CU53" s="166"/>
      <c r="CV53" s="166"/>
      <c r="CW53" s="166"/>
      <c r="CX53" s="171"/>
      <c r="CY53" s="174">
        <v>72352</v>
      </c>
      <c r="CZ53" s="166"/>
      <c r="DA53" s="166"/>
      <c r="DB53" s="166"/>
      <c r="DC53" s="183"/>
      <c r="DD53" s="166"/>
      <c r="DE53" s="166"/>
      <c r="DF53" s="166"/>
      <c r="DG53" s="171"/>
      <c r="DH53" s="174">
        <v>10581</v>
      </c>
      <c r="DI53" s="166"/>
      <c r="DJ53" s="166"/>
      <c r="DK53" s="166"/>
      <c r="DL53" s="183"/>
      <c r="DM53" s="166"/>
      <c r="DN53" s="166"/>
      <c r="DO53" s="166"/>
      <c r="DP53" s="171"/>
      <c r="DQ53" s="174">
        <v>75767</v>
      </c>
      <c r="DR53" s="166"/>
      <c r="DS53" s="166"/>
      <c r="DT53" s="166"/>
      <c r="DU53" s="166"/>
      <c r="DV53" s="166"/>
      <c r="DW53" s="166"/>
      <c r="DX53" s="166"/>
      <c r="DY53" s="171"/>
      <c r="DZ53" s="174">
        <v>11225</v>
      </c>
      <c r="EA53" s="166"/>
      <c r="EB53" s="166"/>
      <c r="EC53" s="166"/>
      <c r="ED53" s="166"/>
      <c r="EE53" s="166"/>
      <c r="EF53" s="166"/>
      <c r="EG53" s="166"/>
      <c r="EH53" s="171"/>
      <c r="EI53" s="174">
        <v>17536</v>
      </c>
      <c r="EJ53" s="166"/>
      <c r="EK53" s="166"/>
      <c r="EL53" s="166"/>
      <c r="EM53" s="166"/>
      <c r="EN53" s="166"/>
      <c r="EO53" s="166"/>
      <c r="EP53" s="166"/>
      <c r="EQ53" s="171"/>
      <c r="ER53" s="174">
        <v>11671</v>
      </c>
      <c r="ES53" s="166"/>
      <c r="ET53" s="166"/>
      <c r="EU53" s="166"/>
      <c r="EV53" s="166"/>
      <c r="EW53" s="166"/>
      <c r="EX53" s="166"/>
      <c r="EY53" s="166"/>
      <c r="EZ53" s="171"/>
      <c r="FA53" s="170">
        <v>91216</v>
      </c>
      <c r="FB53" s="185"/>
      <c r="FC53" s="185"/>
      <c r="FD53" s="175"/>
      <c r="FE53" s="175"/>
      <c r="FF53" s="175"/>
      <c r="FG53" s="166"/>
      <c r="FH53" s="175"/>
      <c r="FI53" s="175"/>
      <c r="FJ53" s="179"/>
      <c r="FK53" s="182"/>
      <c r="FL53" s="166"/>
      <c r="FM53" s="166"/>
      <c r="FN53" s="166"/>
      <c r="FO53" s="176"/>
      <c r="FP53" s="166"/>
      <c r="FQ53" s="174">
        <v>7924</v>
      </c>
      <c r="FR53" s="166"/>
      <c r="FS53" s="166"/>
      <c r="FT53" s="166"/>
      <c r="FU53" s="166"/>
      <c r="FV53" s="166"/>
      <c r="FW53" s="166"/>
      <c r="FX53" s="166"/>
      <c r="FY53" s="171"/>
      <c r="FZ53" s="174">
        <v>62058</v>
      </c>
      <c r="GA53" s="166"/>
      <c r="GB53" s="166"/>
      <c r="GC53" s="166"/>
      <c r="GD53" s="166"/>
      <c r="GE53" s="166"/>
      <c r="GF53" s="166"/>
      <c r="GG53" s="166"/>
      <c r="GH53" s="171"/>
      <c r="GI53" s="174">
        <v>20798</v>
      </c>
      <c r="GJ53" s="166"/>
      <c r="GK53" s="166"/>
      <c r="GL53" s="166"/>
      <c r="GM53" s="166"/>
      <c r="GN53" s="171"/>
      <c r="GO53" s="174">
        <v>49763</v>
      </c>
      <c r="GP53" s="166"/>
      <c r="GQ53" s="166"/>
      <c r="GR53" s="166"/>
      <c r="GS53" s="166"/>
      <c r="GT53" s="166"/>
      <c r="GU53" s="166"/>
      <c r="GV53" s="166"/>
      <c r="GW53" s="171"/>
      <c r="GX53" s="166"/>
      <c r="GY53" s="166"/>
      <c r="GZ53" s="166"/>
      <c r="HA53" s="166"/>
      <c r="HB53" s="187"/>
      <c r="HC53" s="166"/>
      <c r="HD53" s="166"/>
      <c r="HE53" s="166"/>
      <c r="HF53" s="166"/>
      <c r="HG53" s="166"/>
      <c r="HH53" s="166"/>
      <c r="HI53" s="166"/>
      <c r="HJ53" s="166"/>
      <c r="HK53" s="166"/>
      <c r="HL53" s="171"/>
      <c r="HM53" s="166"/>
      <c r="HN53" s="166"/>
      <c r="HO53" s="166"/>
      <c r="HP53" s="166"/>
      <c r="HQ53" s="187"/>
      <c r="HR53" s="166"/>
      <c r="HS53" s="166"/>
      <c r="HT53" s="166"/>
    </row>
    <row r="54" spans="2:228" s="166" customFormat="1" x14ac:dyDescent="0.25">
      <c r="B54" s="20">
        <v>44137</v>
      </c>
      <c r="C54" s="165"/>
      <c r="D54" s="168"/>
      <c r="E54" s="168"/>
      <c r="F54" s="192"/>
      <c r="G54" s="168"/>
      <c r="H54" s="168"/>
      <c r="I54" s="192"/>
      <c r="J54" s="168"/>
      <c r="K54" s="168"/>
      <c r="L54" s="192"/>
      <c r="M54" s="168"/>
      <c r="N54" s="168"/>
      <c r="O54" s="192"/>
      <c r="P54" s="168"/>
      <c r="Q54" s="168"/>
      <c r="R54" s="192"/>
      <c r="S54" s="168"/>
      <c r="T54" s="168"/>
      <c r="U54" s="192"/>
      <c r="V54" s="168"/>
      <c r="W54" s="168"/>
      <c r="X54" s="192"/>
      <c r="Y54" s="168"/>
      <c r="Z54" s="168"/>
      <c r="AA54" s="192"/>
      <c r="AB54" s="168"/>
      <c r="AC54" s="168"/>
      <c r="AD54" s="192"/>
      <c r="AE54" s="168"/>
      <c r="AF54" s="168"/>
      <c r="AG54" s="192"/>
      <c r="AH54" s="168"/>
      <c r="AI54" s="168"/>
      <c r="AJ54" s="192"/>
      <c r="AK54" s="241"/>
      <c r="AL54" s="192"/>
      <c r="AM54" s="192"/>
      <c r="AO54" s="192"/>
      <c r="AP54" s="168"/>
      <c r="AQ54" s="168"/>
      <c r="AR54" s="168"/>
      <c r="AS54" s="176"/>
      <c r="AT54" s="20">
        <v>44137</v>
      </c>
      <c r="AU54" s="168"/>
      <c r="AV54" s="192"/>
      <c r="AW54" s="168"/>
      <c r="AX54" s="192"/>
      <c r="AY54" s="189"/>
      <c r="AZ54" s="190"/>
      <c r="BA54" s="168"/>
      <c r="BB54" s="192"/>
      <c r="BD54" s="178"/>
      <c r="BE54" s="169"/>
      <c r="BF54" s="168"/>
      <c r="BG54" s="168"/>
      <c r="BH54" s="177"/>
      <c r="BI54" s="176"/>
      <c r="BK54" s="170"/>
      <c r="BN54" s="171"/>
      <c r="BO54" s="174"/>
      <c r="BW54" s="171"/>
      <c r="BX54" s="174"/>
      <c r="CF54" s="171"/>
      <c r="CG54" s="174"/>
      <c r="CO54" s="171"/>
      <c r="CP54" s="174"/>
      <c r="CX54" s="171"/>
      <c r="CY54" s="174"/>
      <c r="DC54" s="183"/>
      <c r="DG54" s="171"/>
      <c r="DH54" s="174"/>
      <c r="DL54" s="183"/>
      <c r="DP54" s="171"/>
      <c r="DQ54" s="174"/>
      <c r="DY54" s="171"/>
      <c r="DZ54" s="174"/>
      <c r="EH54" s="171"/>
      <c r="EI54" s="174"/>
      <c r="EQ54" s="171"/>
      <c r="ER54" s="174"/>
      <c r="EZ54" s="171"/>
      <c r="FA54" s="170"/>
      <c r="FB54" s="185"/>
      <c r="FC54" s="185"/>
      <c r="FD54" s="175"/>
      <c r="FE54" s="175"/>
      <c r="FF54" s="175"/>
      <c r="FH54" s="175"/>
      <c r="FI54" s="175"/>
      <c r="FJ54" s="179"/>
      <c r="FK54" s="182"/>
      <c r="FO54" s="176"/>
      <c r="FQ54" s="174"/>
      <c r="FY54" s="171"/>
      <c r="FZ54" s="174"/>
      <c r="GH54" s="171"/>
      <c r="GI54" s="174"/>
      <c r="GN54" s="171"/>
      <c r="GO54" s="174"/>
      <c r="GW54" s="171"/>
      <c r="HB54" s="187"/>
      <c r="HL54" s="171"/>
      <c r="HQ54" s="187"/>
    </row>
    <row r="55" spans="2:228" x14ac:dyDescent="0.25">
      <c r="B55" s="164">
        <v>44144</v>
      </c>
      <c r="C55" s="165">
        <v>676</v>
      </c>
      <c r="D55" s="168">
        <v>96230</v>
      </c>
      <c r="E55" s="168">
        <v>1.925</v>
      </c>
      <c r="F55" s="192">
        <v>40000</v>
      </c>
      <c r="G55" s="168">
        <v>92598</v>
      </c>
      <c r="H55" s="168">
        <v>2.0219999999999998</v>
      </c>
      <c r="I55" s="192">
        <v>43200</v>
      </c>
      <c r="J55" s="168">
        <v>10681</v>
      </c>
      <c r="K55" s="168">
        <v>1.9</v>
      </c>
      <c r="L55" s="192">
        <v>8000</v>
      </c>
      <c r="M55" s="168">
        <v>10603</v>
      </c>
      <c r="N55" s="168">
        <v>1.63</v>
      </c>
      <c r="O55" s="192">
        <v>8800</v>
      </c>
      <c r="P55" s="168">
        <v>11245</v>
      </c>
      <c r="Q55" s="168">
        <v>1.77</v>
      </c>
      <c r="R55" s="192">
        <v>8000</v>
      </c>
      <c r="S55" s="168">
        <v>75972</v>
      </c>
      <c r="T55" s="168">
        <v>2.2050000000000001</v>
      </c>
      <c r="U55" s="192">
        <v>61500</v>
      </c>
      <c r="V55" s="168">
        <v>72468</v>
      </c>
      <c r="W55" s="168">
        <v>2.036</v>
      </c>
      <c r="X55" s="192">
        <v>34800</v>
      </c>
      <c r="Y55" s="168">
        <v>17570</v>
      </c>
      <c r="Z55" s="168">
        <v>3.12</v>
      </c>
      <c r="AA55" s="192">
        <v>5440</v>
      </c>
      <c r="AB55" s="168">
        <v>11687</v>
      </c>
      <c r="AC55" s="168">
        <v>1.69</v>
      </c>
      <c r="AD55" s="192">
        <v>2560</v>
      </c>
      <c r="AE55" s="168">
        <v>91446</v>
      </c>
      <c r="AF55" s="168">
        <v>1.9890000000000001</v>
      </c>
      <c r="AG55" s="192">
        <v>46000</v>
      </c>
      <c r="AH55" s="168">
        <v>17198</v>
      </c>
      <c r="AI55" s="168">
        <v>0.317</v>
      </c>
      <c r="AJ55" s="192">
        <v>1520</v>
      </c>
      <c r="AK55" s="241">
        <v>66271</v>
      </c>
      <c r="AL55" s="192">
        <v>504</v>
      </c>
      <c r="AM55" s="192"/>
      <c r="AN55" s="166"/>
      <c r="AO55" s="192">
        <v>260324</v>
      </c>
      <c r="AP55" s="168">
        <v>47520</v>
      </c>
      <c r="AQ55" s="168">
        <v>0.18254175565833347</v>
      </c>
      <c r="AR55" s="168"/>
      <c r="AS55" s="176"/>
      <c r="AT55" s="181">
        <v>44144</v>
      </c>
      <c r="AU55" s="168">
        <v>62192</v>
      </c>
      <c r="AV55" s="192">
        <v>13400</v>
      </c>
      <c r="AW55" s="168">
        <v>7944</v>
      </c>
      <c r="AX55" s="192">
        <v>2000</v>
      </c>
      <c r="AY55" s="189">
        <v>21828</v>
      </c>
      <c r="AZ55" s="190">
        <v>1030</v>
      </c>
      <c r="BA55" s="168">
        <v>49964</v>
      </c>
      <c r="BB55" s="192">
        <v>8040</v>
      </c>
      <c r="BC55" s="166"/>
      <c r="BD55" s="178"/>
      <c r="BE55" s="169">
        <v>24470</v>
      </c>
      <c r="BF55" s="168"/>
      <c r="BG55" s="168"/>
      <c r="BH55" s="177"/>
      <c r="BI55" s="176"/>
      <c r="BJ55" s="166"/>
      <c r="BK55" s="224">
        <v>66271</v>
      </c>
      <c r="BL55" s="166"/>
      <c r="BM55" s="166"/>
      <c r="BN55" s="171"/>
      <c r="BO55" s="225">
        <v>92598</v>
      </c>
      <c r="BP55" s="166"/>
      <c r="BQ55" s="166"/>
      <c r="BR55" s="166"/>
      <c r="BS55" s="166"/>
      <c r="BT55" s="166"/>
      <c r="BU55" s="166"/>
      <c r="BV55" s="166"/>
      <c r="BW55" s="171"/>
      <c r="BX55" s="225">
        <v>96230</v>
      </c>
      <c r="BY55" s="166"/>
      <c r="BZ55" s="166"/>
      <c r="CA55" s="166"/>
      <c r="CB55" s="166"/>
      <c r="CC55" s="166"/>
      <c r="CD55" s="166"/>
      <c r="CE55" s="166"/>
      <c r="CF55" s="171"/>
      <c r="CG55" s="225">
        <v>75972</v>
      </c>
      <c r="CH55" s="166"/>
      <c r="CI55" s="166"/>
      <c r="CJ55" s="166"/>
      <c r="CK55" s="166"/>
      <c r="CL55" s="166"/>
      <c r="CM55" s="166"/>
      <c r="CN55" s="166"/>
      <c r="CO55" s="171"/>
      <c r="CP55" s="225">
        <v>17198</v>
      </c>
      <c r="CQ55" s="166"/>
      <c r="CR55" s="166"/>
      <c r="CS55" s="166"/>
      <c r="CT55" s="166"/>
      <c r="CU55" s="166"/>
      <c r="CV55" s="166"/>
      <c r="CW55" s="166"/>
      <c r="CX55" s="171"/>
      <c r="CY55" s="225">
        <v>72468</v>
      </c>
      <c r="CZ55" s="166"/>
      <c r="DA55" s="166"/>
      <c r="DB55" s="166"/>
      <c r="DC55" s="183"/>
      <c r="DD55" s="166"/>
      <c r="DE55" s="166"/>
      <c r="DF55" s="166"/>
      <c r="DG55" s="171"/>
      <c r="DH55" s="225">
        <v>10603</v>
      </c>
      <c r="DI55" s="166"/>
      <c r="DJ55" s="166"/>
      <c r="DK55" s="166"/>
      <c r="DL55" s="183"/>
      <c r="DM55" s="166"/>
      <c r="DN55" s="166"/>
      <c r="DO55" s="166"/>
      <c r="DP55" s="171"/>
      <c r="DQ55" s="225">
        <v>75972</v>
      </c>
      <c r="DR55" s="166"/>
      <c r="DS55" s="166"/>
      <c r="DT55" s="166"/>
      <c r="DU55" s="166"/>
      <c r="DV55" s="166"/>
      <c r="DW55" s="166"/>
      <c r="DX55" s="166"/>
      <c r="DY55" s="171"/>
      <c r="DZ55" s="225">
        <v>11245</v>
      </c>
      <c r="EA55" s="166"/>
      <c r="EB55" s="166"/>
      <c r="EC55" s="166"/>
      <c r="ED55" s="166"/>
      <c r="EE55" s="166"/>
      <c r="EF55" s="166"/>
      <c r="EG55" s="166"/>
      <c r="EH55" s="171"/>
      <c r="EI55" s="225">
        <v>17570</v>
      </c>
      <c r="EJ55" s="166"/>
      <c r="EK55" s="166"/>
      <c r="EL55" s="166"/>
      <c r="EM55" s="166"/>
      <c r="EN55" s="166"/>
      <c r="EO55" s="166"/>
      <c r="EP55" s="166"/>
      <c r="EQ55" s="171"/>
      <c r="ER55" s="225">
        <v>11687</v>
      </c>
      <c r="ES55" s="166"/>
      <c r="ET55" s="166"/>
      <c r="EU55" s="166"/>
      <c r="EV55" s="166"/>
      <c r="EW55" s="166"/>
      <c r="EX55" s="166"/>
      <c r="EY55" s="166"/>
      <c r="EZ55" s="171"/>
      <c r="FA55" s="224">
        <v>91446</v>
      </c>
      <c r="FB55" s="185"/>
      <c r="FC55" s="185"/>
      <c r="FD55" s="175"/>
      <c r="FE55" s="175"/>
      <c r="FF55" s="175"/>
      <c r="FG55" s="166"/>
      <c r="FH55" s="175"/>
      <c r="FI55" s="175"/>
      <c r="FJ55" s="179"/>
      <c r="FK55" s="182"/>
      <c r="FL55" s="166"/>
      <c r="FM55" s="166"/>
      <c r="FN55" s="166"/>
      <c r="FO55" s="176"/>
      <c r="FP55" s="166"/>
      <c r="FQ55" s="225">
        <v>7944</v>
      </c>
      <c r="FR55" s="166"/>
      <c r="FS55" s="166"/>
      <c r="FT55" s="166"/>
      <c r="FU55" s="166"/>
      <c r="FV55" s="166"/>
      <c r="FW55" s="166"/>
      <c r="FX55" s="166"/>
      <c r="FY55" s="171"/>
      <c r="FZ55" s="225">
        <v>62192</v>
      </c>
      <c r="GA55" s="166"/>
      <c r="GB55" s="166"/>
      <c r="GC55" s="166"/>
      <c r="GD55" s="166"/>
      <c r="GE55" s="166"/>
      <c r="GF55" s="166"/>
      <c r="GG55" s="166"/>
      <c r="GH55" s="171"/>
      <c r="GI55" s="225">
        <v>21828</v>
      </c>
      <c r="GJ55" s="166"/>
      <c r="GK55" s="166"/>
      <c r="GL55" s="166"/>
      <c r="GM55" s="166"/>
      <c r="GN55" s="171"/>
      <c r="GO55" s="225">
        <v>49964</v>
      </c>
      <c r="GP55" s="166"/>
      <c r="GQ55" s="166"/>
      <c r="GR55" s="166"/>
      <c r="GS55" s="166"/>
      <c r="GT55" s="166"/>
      <c r="GU55" s="166"/>
      <c r="GV55" s="166"/>
      <c r="GW55" s="171"/>
      <c r="GX55" s="166"/>
      <c r="GY55" s="166"/>
      <c r="GZ55" s="166"/>
      <c r="HA55" s="166"/>
      <c r="HB55" s="187"/>
      <c r="HC55" s="166"/>
      <c r="HD55" s="166"/>
      <c r="HE55" s="166"/>
      <c r="HF55" s="166"/>
      <c r="HG55" s="166"/>
      <c r="HH55" s="166"/>
      <c r="HI55" s="166"/>
      <c r="HJ55" s="166"/>
      <c r="HK55" s="166"/>
      <c r="HL55" s="171"/>
      <c r="HM55" s="166"/>
      <c r="HN55" s="166"/>
      <c r="HO55" s="166"/>
      <c r="HP55" s="166"/>
      <c r="HQ55" s="187"/>
      <c r="HR55" s="166"/>
      <c r="HS55" s="166"/>
      <c r="HT55" s="166"/>
    </row>
    <row r="56" spans="2:228" x14ac:dyDescent="0.25">
      <c r="B56" s="164">
        <f>B55+7</f>
        <v>44151</v>
      </c>
      <c r="C56" s="165">
        <f>SUM(Essbase!I321:I328)</f>
        <v>684</v>
      </c>
      <c r="D56" s="155">
        <v>96476</v>
      </c>
      <c r="E56" s="155">
        <v>1.925</v>
      </c>
      <c r="F56" s="192">
        <f t="shared" ref="F56" si="14">SUM(D56-D55)*160</f>
        <v>39360</v>
      </c>
      <c r="G56" s="155">
        <v>92869</v>
      </c>
      <c r="H56" s="155">
        <v>2.0219999999999998</v>
      </c>
      <c r="I56" s="192">
        <f t="shared" ref="I56" si="15">SUM(G56-G55)*160</f>
        <v>43360</v>
      </c>
      <c r="J56" s="155">
        <v>10702</v>
      </c>
      <c r="K56" s="155">
        <v>1.9</v>
      </c>
      <c r="L56" s="217">
        <v>8400</v>
      </c>
      <c r="M56" s="155">
        <v>10623</v>
      </c>
      <c r="N56" s="155">
        <v>1.63</v>
      </c>
      <c r="O56" s="217">
        <v>8000</v>
      </c>
      <c r="P56" s="155">
        <v>11265</v>
      </c>
      <c r="Q56" s="155">
        <v>1.77</v>
      </c>
      <c r="R56" s="217">
        <v>8000</v>
      </c>
      <c r="S56" s="155">
        <v>76151</v>
      </c>
      <c r="T56" s="155">
        <v>2.3759999999999999</v>
      </c>
      <c r="U56" s="217">
        <v>53700</v>
      </c>
      <c r="V56" s="155">
        <v>72703</v>
      </c>
      <c r="W56" s="155">
        <v>2.036</v>
      </c>
      <c r="X56" s="217">
        <v>70500</v>
      </c>
      <c r="Y56" s="155">
        <v>17603</v>
      </c>
      <c r="Z56" s="155">
        <v>3.12</v>
      </c>
      <c r="AA56" s="217">
        <v>5280</v>
      </c>
      <c r="AB56" s="155">
        <v>11703</v>
      </c>
      <c r="AC56" s="155">
        <v>1.74</v>
      </c>
      <c r="AD56" s="217">
        <v>2560</v>
      </c>
      <c r="AE56" s="155">
        <v>91694</v>
      </c>
      <c r="AF56" s="155">
        <v>2.0379999999999998</v>
      </c>
      <c r="AG56" s="217">
        <v>49600</v>
      </c>
      <c r="AH56" s="155">
        <v>17236</v>
      </c>
      <c r="AI56" s="155">
        <v>0.317</v>
      </c>
      <c r="AJ56" s="217">
        <v>1520</v>
      </c>
      <c r="AK56" s="218">
        <v>66779</v>
      </c>
      <c r="AL56" s="217">
        <v>508</v>
      </c>
      <c r="AM56" s="192"/>
      <c r="AN56" s="168"/>
      <c r="AO56" s="192">
        <f t="shared" ref="AO56" si="16">SUM(AG56+AD56+AA56+X56+U56+R56+O56+L56+I56+F56+AJ56+AL56)</f>
        <v>290788</v>
      </c>
      <c r="AP56" s="168">
        <f t="shared" ref="AP56" si="17">SUM(AG56+AJ56)</f>
        <v>51120</v>
      </c>
      <c r="AQ56" s="168">
        <f t="shared" ref="AQ56" si="18">SUM(AP56/AO56)</f>
        <v>0.17579817599075614</v>
      </c>
      <c r="AR56" s="168"/>
      <c r="AS56" s="176"/>
      <c r="AT56" s="164">
        <f t="shared" ref="AT56:AT58" si="19">AT55+7</f>
        <v>44151</v>
      </c>
      <c r="AU56" s="155">
        <v>62354</v>
      </c>
      <c r="AV56" s="217">
        <v>16200</v>
      </c>
      <c r="AW56" s="155">
        <v>7963</v>
      </c>
      <c r="AX56" s="217">
        <v>1900</v>
      </c>
      <c r="AY56" s="219">
        <v>22688</v>
      </c>
      <c r="AZ56" s="220">
        <v>860</v>
      </c>
      <c r="BA56" s="155">
        <v>50011</v>
      </c>
      <c r="BB56" s="217">
        <v>1880</v>
      </c>
      <c r="BC56" s="168"/>
      <c r="BD56" s="178"/>
      <c r="BE56" s="169">
        <f t="shared" ref="BE56:BE64" si="20">SUM(AV56+AX56,AZ56,BB56)</f>
        <v>20840</v>
      </c>
      <c r="BF56" s="164"/>
      <c r="BG56" s="223"/>
      <c r="BH56" s="221"/>
      <c r="BI56" s="221"/>
      <c r="BJ56" s="221"/>
      <c r="BK56" s="221"/>
      <c r="BL56" s="221"/>
      <c r="BM56" s="221"/>
      <c r="BN56" s="221"/>
      <c r="BO56" s="221"/>
      <c r="BP56" s="221"/>
      <c r="BQ56" s="221"/>
      <c r="BR56" s="221"/>
      <c r="BS56" s="221"/>
      <c r="BT56" s="221"/>
      <c r="BU56" s="221"/>
      <c r="BV56" s="221"/>
      <c r="BW56" s="221"/>
      <c r="BX56" s="221"/>
      <c r="BY56" s="221"/>
      <c r="BZ56" s="221"/>
      <c r="CA56" s="221"/>
      <c r="CB56" s="221"/>
      <c r="CC56" s="222"/>
      <c r="CD56" s="221"/>
      <c r="CE56" s="221"/>
      <c r="CF56" s="221"/>
      <c r="CG56" s="221"/>
      <c r="CH56" s="221"/>
      <c r="CI56" s="221"/>
      <c r="CJ56" s="221"/>
      <c r="CK56" s="221"/>
      <c r="CL56" s="222"/>
      <c r="CM56" s="221"/>
      <c r="CN56" s="221"/>
      <c r="CO56" s="221"/>
      <c r="CP56" s="221"/>
      <c r="CQ56" s="221"/>
      <c r="CR56" s="221"/>
      <c r="CS56" s="221"/>
      <c r="CT56" s="221"/>
      <c r="CU56" s="222"/>
      <c r="CV56" s="221"/>
      <c r="CW56" s="221"/>
      <c r="CX56" s="221"/>
      <c r="CY56" s="221"/>
      <c r="CZ56" s="221"/>
      <c r="DA56" s="221"/>
      <c r="DB56" s="221"/>
      <c r="DC56" s="221"/>
      <c r="DD56" s="222"/>
      <c r="DE56" s="221"/>
      <c r="DF56" s="221"/>
      <c r="DG56" s="221"/>
      <c r="DH56" s="221"/>
      <c r="DI56" s="221"/>
      <c r="DJ56" s="221"/>
      <c r="DK56" s="221"/>
      <c r="DL56" s="221"/>
      <c r="DM56" s="222"/>
      <c r="DN56" s="221"/>
      <c r="DO56" s="221"/>
      <c r="DP56" s="221"/>
      <c r="DQ56" s="221"/>
      <c r="DR56" s="226"/>
      <c r="DS56" s="221"/>
      <c r="DT56" s="221"/>
      <c r="DU56" s="221"/>
      <c r="DV56" s="222"/>
      <c r="DW56" s="221"/>
      <c r="DX56" s="221"/>
      <c r="DY56" s="221"/>
      <c r="DZ56" s="221"/>
      <c r="EA56" s="226"/>
      <c r="EB56" s="221"/>
      <c r="EC56" s="221"/>
      <c r="ED56" s="221"/>
      <c r="EE56" s="222"/>
      <c r="EF56" s="221"/>
      <c r="EG56" s="221"/>
      <c r="EH56" s="221"/>
      <c r="EI56" s="221"/>
      <c r="EJ56" s="221"/>
      <c r="EK56" s="221"/>
      <c r="EL56" s="221"/>
      <c r="EM56" s="221"/>
      <c r="EN56" s="222"/>
      <c r="EO56" s="221"/>
      <c r="EP56" s="221"/>
      <c r="EQ56" s="221"/>
      <c r="ER56" s="221"/>
      <c r="ES56" s="221"/>
      <c r="ET56" s="221"/>
      <c r="EU56" s="221"/>
      <c r="EV56" s="221"/>
      <c r="EW56" s="222"/>
      <c r="EX56" s="221"/>
      <c r="EY56" s="221"/>
      <c r="EZ56" s="221"/>
      <c r="FA56" s="221"/>
      <c r="FB56" s="221"/>
      <c r="FC56" s="221"/>
      <c r="FD56" s="221"/>
      <c r="FE56" s="221"/>
      <c r="FF56" s="222"/>
      <c r="FG56" s="221"/>
      <c r="FH56" s="221"/>
      <c r="FI56" s="221"/>
      <c r="FJ56" s="221"/>
      <c r="FK56" s="221"/>
      <c r="FL56" s="221"/>
      <c r="FM56" s="221"/>
      <c r="FN56" s="221"/>
      <c r="FO56" s="222"/>
      <c r="FP56" s="221"/>
      <c r="FQ56" s="227"/>
      <c r="FR56" s="227"/>
      <c r="FS56" s="222"/>
      <c r="FT56" s="222"/>
      <c r="FU56" s="222"/>
      <c r="FV56" s="221"/>
      <c r="FW56" s="222"/>
      <c r="FX56" s="222"/>
      <c r="FY56" s="222"/>
      <c r="FZ56" s="228"/>
      <c r="GA56" s="221"/>
      <c r="GB56" s="221"/>
      <c r="GC56" s="221"/>
      <c r="GD56" s="221"/>
      <c r="GE56" s="221"/>
      <c r="GF56" s="221"/>
      <c r="GG56" s="221"/>
      <c r="GH56" s="221"/>
      <c r="GI56" s="221"/>
      <c r="GJ56" s="221"/>
      <c r="GK56" s="221"/>
      <c r="GL56" s="221"/>
      <c r="GM56" s="221"/>
      <c r="GN56" s="222"/>
      <c r="GO56" s="221"/>
      <c r="GP56" s="221"/>
      <c r="GQ56" s="221"/>
      <c r="GR56" s="221"/>
      <c r="GS56" s="221"/>
      <c r="GT56" s="221"/>
      <c r="GU56" s="221"/>
      <c r="GV56" s="221"/>
      <c r="GW56" s="222"/>
      <c r="GX56" s="221"/>
      <c r="GY56" s="221"/>
      <c r="GZ56" s="221"/>
      <c r="HA56" s="221"/>
      <c r="HB56" s="221"/>
      <c r="HC56" s="222"/>
      <c r="HD56" s="221"/>
      <c r="HE56" s="221"/>
      <c r="HF56" s="221"/>
      <c r="HG56" s="221"/>
      <c r="HH56" s="221"/>
      <c r="HI56" s="221"/>
      <c r="HJ56" s="221"/>
      <c r="HK56" s="221"/>
      <c r="HL56" s="222"/>
      <c r="HM56" s="221"/>
      <c r="HN56" s="221"/>
      <c r="HO56" s="221"/>
      <c r="HP56" s="221"/>
      <c r="HQ56" s="221"/>
      <c r="HR56" s="221"/>
      <c r="HS56" s="221"/>
      <c r="HT56" s="221"/>
    </row>
    <row r="57" spans="2:228" x14ac:dyDescent="0.25">
      <c r="B57" s="164">
        <f t="shared" ref="B57:B58" si="21">B56+7</f>
        <v>44158</v>
      </c>
      <c r="C57" s="165">
        <f>SUM(Essbase!I329:I335)</f>
        <v>870</v>
      </c>
      <c r="D57" s="155">
        <v>96728</v>
      </c>
      <c r="E57" s="155">
        <v>1.8</v>
      </c>
      <c r="F57" s="217">
        <v>40320</v>
      </c>
      <c r="G57" s="155">
        <v>93143</v>
      </c>
      <c r="H57" s="155">
        <v>1.9490000000000001</v>
      </c>
      <c r="I57" s="217">
        <v>43840</v>
      </c>
      <c r="J57" s="155">
        <v>10724</v>
      </c>
      <c r="K57" s="155">
        <v>1.85</v>
      </c>
      <c r="L57" s="217">
        <v>8800</v>
      </c>
      <c r="M57" s="155">
        <v>10645</v>
      </c>
      <c r="N57" s="155">
        <v>1.65</v>
      </c>
      <c r="O57" s="217">
        <v>8800</v>
      </c>
      <c r="P57" s="155">
        <v>11286</v>
      </c>
      <c r="Q57" s="155">
        <v>1.56</v>
      </c>
      <c r="R57" s="217">
        <v>8400</v>
      </c>
      <c r="S57" s="155">
        <v>76309</v>
      </c>
      <c r="T57" s="155">
        <v>1.968</v>
      </c>
      <c r="U57" s="217">
        <v>47400</v>
      </c>
      <c r="V57" s="155">
        <v>72856</v>
      </c>
      <c r="W57" s="155">
        <v>0.89500000000000002</v>
      </c>
      <c r="X57" s="217">
        <v>45900</v>
      </c>
      <c r="Y57" s="155">
        <v>17639</v>
      </c>
      <c r="Z57" s="155">
        <v>3.36</v>
      </c>
      <c r="AA57" s="217">
        <v>5760</v>
      </c>
      <c r="AB57" s="155">
        <v>11722</v>
      </c>
      <c r="AC57" s="155">
        <v>1.45</v>
      </c>
      <c r="AD57" s="217">
        <v>3040</v>
      </c>
      <c r="AE57" s="155">
        <v>91946</v>
      </c>
      <c r="AF57" s="155">
        <v>2.0270000000000001</v>
      </c>
      <c r="AG57" s="217">
        <v>50400</v>
      </c>
      <c r="AH57" s="155">
        <v>17273</v>
      </c>
      <c r="AI57" s="155">
        <v>0.27900000000000003</v>
      </c>
      <c r="AJ57" s="217">
        <v>1480</v>
      </c>
      <c r="AK57" s="218">
        <v>67304</v>
      </c>
      <c r="AL57" s="217">
        <v>525</v>
      </c>
      <c r="AM57" s="192"/>
      <c r="AN57" s="168"/>
      <c r="AO57" s="217">
        <v>264665</v>
      </c>
      <c r="AP57" s="155">
        <v>51880</v>
      </c>
      <c r="AQ57" s="155">
        <v>0.19602138599999999</v>
      </c>
      <c r="AR57" s="168"/>
      <c r="AS57" s="176"/>
      <c r="AT57" s="164">
        <f t="shared" si="19"/>
        <v>44158</v>
      </c>
      <c r="AU57" s="155">
        <v>62461</v>
      </c>
      <c r="AV57" s="217">
        <v>10700</v>
      </c>
      <c r="AW57" s="155">
        <v>7978</v>
      </c>
      <c r="AX57" s="217">
        <v>1500</v>
      </c>
      <c r="AY57" s="219">
        <v>23676</v>
      </c>
      <c r="AZ57" s="220">
        <v>988</v>
      </c>
      <c r="BA57" s="155">
        <v>50063</v>
      </c>
      <c r="BB57" s="217">
        <v>2080</v>
      </c>
      <c r="BC57" s="168"/>
      <c r="BD57" s="178"/>
      <c r="BE57" s="169">
        <f t="shared" si="20"/>
        <v>15268</v>
      </c>
      <c r="BF57" s="164"/>
      <c r="BG57" s="223"/>
      <c r="BH57" s="221"/>
      <c r="BI57" s="221"/>
      <c r="BJ57" s="221"/>
      <c r="BK57" s="221"/>
      <c r="BL57" s="221"/>
      <c r="BM57" s="221"/>
      <c r="BN57" s="221"/>
      <c r="BO57" s="221"/>
      <c r="BP57" s="221"/>
      <c r="BQ57" s="221"/>
      <c r="BR57" s="221"/>
      <c r="BS57" s="221"/>
      <c r="BT57" s="221"/>
      <c r="BU57" s="221"/>
      <c r="BV57" s="221"/>
      <c r="BW57" s="221"/>
      <c r="BX57" s="221"/>
      <c r="BY57" s="221"/>
      <c r="BZ57" s="221"/>
      <c r="CA57" s="221"/>
      <c r="CB57" s="221"/>
      <c r="CC57" s="222"/>
      <c r="CD57" s="221"/>
      <c r="CE57" s="221"/>
      <c r="CF57" s="221"/>
      <c r="CG57" s="221"/>
      <c r="CH57" s="221"/>
      <c r="CI57" s="221"/>
      <c r="CJ57" s="221"/>
      <c r="CK57" s="221"/>
      <c r="CL57" s="222"/>
      <c r="CM57" s="221"/>
      <c r="CN57" s="221"/>
      <c r="CO57" s="221"/>
      <c r="CP57" s="221"/>
      <c r="CQ57" s="221"/>
      <c r="CR57" s="221"/>
      <c r="CS57" s="221"/>
      <c r="CT57" s="221"/>
      <c r="CU57" s="222"/>
      <c r="CV57" s="221"/>
      <c r="CW57" s="221"/>
      <c r="CX57" s="221"/>
      <c r="CY57" s="221"/>
      <c r="CZ57" s="221"/>
      <c r="DA57" s="221"/>
      <c r="DB57" s="221"/>
      <c r="DC57" s="221"/>
      <c r="DD57" s="222"/>
      <c r="DE57" s="221"/>
      <c r="DF57" s="221"/>
      <c r="DG57" s="221"/>
      <c r="DH57" s="221"/>
      <c r="DI57" s="221"/>
      <c r="DJ57" s="221"/>
      <c r="DK57" s="221"/>
      <c r="DL57" s="221"/>
      <c r="DM57" s="222"/>
      <c r="DN57" s="221"/>
      <c r="DO57" s="221"/>
      <c r="DP57" s="221"/>
      <c r="DQ57" s="221"/>
      <c r="DR57" s="226"/>
      <c r="DS57" s="221"/>
      <c r="DT57" s="221"/>
      <c r="DU57" s="221"/>
      <c r="DV57" s="222"/>
      <c r="DW57" s="221"/>
      <c r="DX57" s="221"/>
      <c r="DY57" s="221"/>
      <c r="DZ57" s="221"/>
      <c r="EA57" s="226"/>
      <c r="EB57" s="221"/>
      <c r="EC57" s="221"/>
      <c r="ED57" s="221"/>
      <c r="EE57" s="222"/>
      <c r="EF57" s="221"/>
      <c r="EG57" s="221"/>
      <c r="EH57" s="221"/>
      <c r="EI57" s="221"/>
      <c r="EJ57" s="221"/>
      <c r="EK57" s="221"/>
      <c r="EL57" s="221"/>
      <c r="EM57" s="221"/>
      <c r="EN57" s="222"/>
      <c r="EO57" s="221"/>
      <c r="EP57" s="221"/>
      <c r="EQ57" s="221"/>
      <c r="ER57" s="221"/>
      <c r="ES57" s="221"/>
      <c r="ET57" s="221"/>
      <c r="EU57" s="221"/>
      <c r="EV57" s="221"/>
      <c r="EW57" s="222"/>
      <c r="EX57" s="221"/>
      <c r="EY57" s="221"/>
      <c r="EZ57" s="221"/>
      <c r="FA57" s="221"/>
      <c r="FB57" s="221"/>
      <c r="FC57" s="221"/>
      <c r="FD57" s="221"/>
      <c r="FE57" s="221"/>
      <c r="FF57" s="222"/>
      <c r="FG57" s="221"/>
      <c r="FH57" s="221"/>
      <c r="FI57" s="221"/>
      <c r="FJ57" s="221"/>
      <c r="FK57" s="221"/>
      <c r="FL57" s="221"/>
      <c r="FM57" s="221"/>
      <c r="FN57" s="221"/>
      <c r="FO57" s="222"/>
      <c r="FP57" s="221"/>
      <c r="FQ57" s="227"/>
      <c r="FR57" s="227"/>
      <c r="FS57" s="222"/>
      <c r="FT57" s="222"/>
      <c r="FU57" s="222"/>
      <c r="FV57" s="221"/>
      <c r="FW57" s="222"/>
      <c r="FX57" s="222"/>
      <c r="FY57" s="222"/>
      <c r="FZ57" s="228"/>
      <c r="GA57" s="221"/>
      <c r="GB57" s="221"/>
      <c r="GC57" s="221"/>
      <c r="GD57" s="221"/>
      <c r="GE57" s="221"/>
      <c r="GF57" s="221"/>
      <c r="GG57" s="221"/>
      <c r="GH57" s="221"/>
      <c r="GI57" s="221"/>
      <c r="GJ57" s="221"/>
      <c r="GK57" s="221"/>
      <c r="GL57" s="221"/>
      <c r="GM57" s="221"/>
      <c r="GN57" s="222"/>
      <c r="GO57" s="221"/>
      <c r="GP57" s="221"/>
      <c r="GQ57" s="221"/>
      <c r="GR57" s="221"/>
      <c r="GS57" s="221"/>
      <c r="GT57" s="221"/>
      <c r="GU57" s="221"/>
      <c r="GV57" s="221"/>
      <c r="GW57" s="222"/>
      <c r="GX57" s="221"/>
      <c r="GY57" s="221"/>
      <c r="GZ57" s="221"/>
      <c r="HA57" s="221"/>
      <c r="HB57" s="221"/>
      <c r="HC57" s="222"/>
      <c r="HD57" s="221"/>
      <c r="HE57" s="221"/>
      <c r="HF57" s="221"/>
      <c r="HG57" s="221"/>
      <c r="HH57" s="221"/>
      <c r="HI57" s="221"/>
      <c r="HJ57" s="221"/>
      <c r="HK57" s="221"/>
      <c r="HL57" s="222"/>
      <c r="HM57" s="221"/>
      <c r="HN57" s="221"/>
      <c r="HO57" s="221"/>
      <c r="HP57" s="221"/>
      <c r="HQ57" s="221"/>
      <c r="HR57" s="221"/>
      <c r="HS57" s="221"/>
      <c r="HT57" s="221"/>
    </row>
    <row r="58" spans="2:228" x14ac:dyDescent="0.25">
      <c r="B58" s="164">
        <f t="shared" si="21"/>
        <v>44165</v>
      </c>
      <c r="C58" s="165">
        <f>SUM(Essbase!I336:I342)</f>
        <v>1156</v>
      </c>
      <c r="D58" s="155">
        <v>96990</v>
      </c>
      <c r="E58" s="155">
        <v>2.0739999999999998</v>
      </c>
      <c r="F58" s="217">
        <v>41920</v>
      </c>
      <c r="G58" s="155">
        <v>93425</v>
      </c>
      <c r="H58" s="155">
        <v>2.125</v>
      </c>
      <c r="I58" s="217">
        <v>45120</v>
      </c>
      <c r="J58" s="155">
        <v>10746</v>
      </c>
      <c r="K58" s="155">
        <v>1.85</v>
      </c>
      <c r="L58" s="217">
        <v>8800</v>
      </c>
      <c r="M58" s="155">
        <v>10670</v>
      </c>
      <c r="N58" s="155">
        <v>1.92</v>
      </c>
      <c r="O58" s="217">
        <v>10000</v>
      </c>
      <c r="P58" s="155">
        <v>11307</v>
      </c>
      <c r="Q58" s="155">
        <v>1.68</v>
      </c>
      <c r="R58" s="217">
        <v>8400</v>
      </c>
      <c r="S58" s="155">
        <v>76452</v>
      </c>
      <c r="T58" s="155">
        <v>1.968</v>
      </c>
      <c r="U58" s="217">
        <v>42900</v>
      </c>
      <c r="V58" s="155">
        <v>73038</v>
      </c>
      <c r="W58" s="155">
        <v>1.75</v>
      </c>
      <c r="X58" s="217">
        <v>54600</v>
      </c>
      <c r="Y58" s="155">
        <v>17670</v>
      </c>
      <c r="Z58" s="155">
        <v>3.36</v>
      </c>
      <c r="AA58" s="217">
        <v>4960</v>
      </c>
      <c r="AB58" s="155">
        <v>11738</v>
      </c>
      <c r="AC58" s="155">
        <v>1.6</v>
      </c>
      <c r="AD58" s="217">
        <v>2560</v>
      </c>
      <c r="AE58" s="155">
        <v>92201</v>
      </c>
      <c r="AF58" s="155">
        <v>2.0910000000000002</v>
      </c>
      <c r="AG58" s="217">
        <v>51000</v>
      </c>
      <c r="AH58" s="155">
        <v>17311</v>
      </c>
      <c r="AI58" s="155">
        <v>0.29799999999999999</v>
      </c>
      <c r="AJ58" s="217">
        <v>1520</v>
      </c>
      <c r="AK58" s="218">
        <v>67834</v>
      </c>
      <c r="AL58" s="217">
        <v>530</v>
      </c>
      <c r="AM58" s="192"/>
      <c r="AN58" s="168"/>
      <c r="AO58" s="217">
        <v>272310</v>
      </c>
      <c r="AP58" s="155">
        <v>52520</v>
      </c>
      <c r="AQ58" s="155">
        <v>0.19286842200000001</v>
      </c>
      <c r="AR58" s="155"/>
      <c r="AS58" s="176"/>
      <c r="AT58" s="164">
        <f t="shared" si="19"/>
        <v>44165</v>
      </c>
      <c r="AU58" s="155">
        <v>62587</v>
      </c>
      <c r="AV58" s="217">
        <v>12600</v>
      </c>
      <c r="AW58" s="155">
        <v>7995</v>
      </c>
      <c r="AX58" s="217">
        <v>1700</v>
      </c>
      <c r="AY58" s="219">
        <v>24578</v>
      </c>
      <c r="AZ58" s="220">
        <v>902</v>
      </c>
      <c r="BA58" s="155">
        <v>50156</v>
      </c>
      <c r="BB58" s="217">
        <v>3720</v>
      </c>
      <c r="BC58" s="168"/>
      <c r="BD58" s="178"/>
      <c r="BE58" s="169">
        <f t="shared" si="20"/>
        <v>18922</v>
      </c>
      <c r="BF58" s="164"/>
      <c r="BG58" s="223"/>
      <c r="BH58" s="221"/>
      <c r="BI58" s="221"/>
      <c r="BJ58" s="221"/>
      <c r="BK58" s="221"/>
      <c r="BL58" s="221"/>
      <c r="BM58" s="221"/>
      <c r="BN58" s="221"/>
      <c r="BO58" s="221"/>
      <c r="BP58" s="221"/>
      <c r="BQ58" s="221"/>
      <c r="BR58" s="221"/>
      <c r="BS58" s="221"/>
      <c r="BT58" s="221"/>
      <c r="BU58" s="221"/>
      <c r="BV58" s="221"/>
      <c r="BW58" s="221"/>
      <c r="BX58" s="221"/>
      <c r="BY58" s="221"/>
      <c r="BZ58" s="221"/>
      <c r="CA58" s="221"/>
      <c r="CB58" s="221"/>
      <c r="CC58" s="222"/>
      <c r="CD58" s="221"/>
      <c r="CE58" s="221"/>
      <c r="CF58" s="221"/>
      <c r="CG58" s="221"/>
      <c r="CH58" s="221"/>
      <c r="CI58" s="221"/>
      <c r="CJ58" s="221"/>
      <c r="CK58" s="221"/>
      <c r="CL58" s="222"/>
      <c r="CM58" s="221"/>
      <c r="CN58" s="221"/>
      <c r="CO58" s="221"/>
      <c r="CP58" s="221"/>
      <c r="CQ58" s="221"/>
      <c r="CR58" s="221"/>
      <c r="CS58" s="221"/>
      <c r="CT58" s="221"/>
      <c r="CU58" s="222"/>
      <c r="CV58" s="221"/>
      <c r="CW58" s="221"/>
      <c r="CX58" s="221"/>
      <c r="CY58" s="221"/>
      <c r="CZ58" s="221"/>
      <c r="DA58" s="221"/>
      <c r="DB58" s="221"/>
      <c r="DC58" s="221"/>
      <c r="DD58" s="222"/>
      <c r="DE58" s="221"/>
      <c r="DF58" s="221"/>
      <c r="DG58" s="221"/>
      <c r="DH58" s="221"/>
      <c r="DI58" s="221"/>
      <c r="DJ58" s="221"/>
      <c r="DK58" s="221"/>
      <c r="DL58" s="221"/>
      <c r="DM58" s="222"/>
      <c r="DN58" s="221"/>
      <c r="DO58" s="221"/>
      <c r="DP58" s="221"/>
      <c r="DQ58" s="221"/>
      <c r="DR58" s="226"/>
      <c r="DS58" s="221"/>
      <c r="DT58" s="221"/>
      <c r="DU58" s="221"/>
      <c r="DV58" s="222"/>
      <c r="DW58" s="221"/>
      <c r="DX58" s="221"/>
      <c r="DY58" s="221"/>
      <c r="DZ58" s="221"/>
      <c r="EA58" s="226"/>
      <c r="EB58" s="221"/>
      <c r="EC58" s="221"/>
      <c r="ED58" s="221"/>
      <c r="EE58" s="222"/>
      <c r="EF58" s="221"/>
      <c r="EG58" s="221"/>
      <c r="EH58" s="221"/>
      <c r="EI58" s="221"/>
      <c r="EJ58" s="221"/>
      <c r="EK58" s="221"/>
      <c r="EL58" s="221"/>
      <c r="EM58" s="221"/>
      <c r="EN58" s="222"/>
      <c r="EO58" s="221"/>
      <c r="EP58" s="221"/>
      <c r="EQ58" s="221"/>
      <c r="ER58" s="221"/>
      <c r="ES58" s="221"/>
      <c r="ET58" s="221"/>
      <c r="EU58" s="221"/>
      <c r="EV58" s="221"/>
      <c r="EW58" s="222"/>
      <c r="EX58" s="221"/>
      <c r="EY58" s="221"/>
      <c r="EZ58" s="221"/>
      <c r="FA58" s="221"/>
      <c r="FB58" s="221"/>
      <c r="FC58" s="221"/>
      <c r="FD58" s="221"/>
      <c r="FE58" s="221"/>
      <c r="FF58" s="222"/>
      <c r="FG58" s="221"/>
      <c r="FH58" s="221"/>
      <c r="FI58" s="221"/>
      <c r="FJ58" s="221"/>
      <c r="FK58" s="221"/>
      <c r="FL58" s="221"/>
      <c r="FM58" s="221"/>
      <c r="FN58" s="221"/>
      <c r="FO58" s="222"/>
      <c r="FP58" s="221"/>
      <c r="FQ58" s="227"/>
      <c r="FR58" s="227"/>
      <c r="FS58" s="222"/>
      <c r="FT58" s="222"/>
      <c r="FU58" s="222"/>
      <c r="FV58" s="221"/>
      <c r="FW58" s="222"/>
      <c r="FX58" s="222"/>
      <c r="FY58" s="222"/>
      <c r="FZ58" s="228"/>
      <c r="GA58" s="221"/>
      <c r="GB58" s="221"/>
      <c r="GC58" s="221"/>
      <c r="GD58" s="221"/>
      <c r="GE58" s="221"/>
      <c r="GF58" s="221"/>
      <c r="GG58" s="221"/>
      <c r="GH58" s="221"/>
      <c r="GI58" s="221"/>
      <c r="GJ58" s="221"/>
      <c r="GK58" s="221"/>
      <c r="GL58" s="221"/>
      <c r="GM58" s="221"/>
      <c r="GN58" s="222"/>
      <c r="GO58" s="221"/>
      <c r="GP58" s="221"/>
      <c r="GQ58" s="221"/>
      <c r="GR58" s="221"/>
      <c r="GS58" s="221"/>
      <c r="GT58" s="221"/>
      <c r="GU58" s="221"/>
      <c r="GV58" s="221"/>
      <c r="GW58" s="222"/>
      <c r="GX58" s="221"/>
      <c r="GY58" s="221"/>
      <c r="GZ58" s="221"/>
      <c r="HA58" s="221"/>
      <c r="HB58" s="221"/>
      <c r="HC58" s="222"/>
      <c r="HD58" s="221"/>
      <c r="HE58" s="221"/>
      <c r="HF58" s="221"/>
      <c r="HG58" s="221"/>
      <c r="HH58" s="221"/>
      <c r="HI58" s="221"/>
      <c r="HJ58" s="221"/>
      <c r="HK58" s="221"/>
      <c r="HL58" s="222"/>
      <c r="HM58" s="221"/>
      <c r="HN58" s="221"/>
      <c r="HO58" s="221"/>
      <c r="HP58" s="221"/>
      <c r="HQ58" s="221"/>
      <c r="HR58" s="221"/>
      <c r="HS58" s="221"/>
      <c r="HT58" s="221"/>
    </row>
    <row r="59" spans="2:228" x14ac:dyDescent="0.25">
      <c r="B59" s="164">
        <v>44166</v>
      </c>
      <c r="C59" s="165">
        <f>SUM(Essbase!I343)</f>
        <v>46</v>
      </c>
      <c r="D59" s="155">
        <v>97067</v>
      </c>
      <c r="E59" s="155">
        <v>2.0739999999999998</v>
      </c>
      <c r="F59" s="217">
        <v>12320</v>
      </c>
      <c r="G59" s="155">
        <v>93508</v>
      </c>
      <c r="H59" s="155">
        <v>2.125</v>
      </c>
      <c r="I59" s="217">
        <v>13280</v>
      </c>
      <c r="J59" s="155">
        <v>10753</v>
      </c>
      <c r="K59" s="155">
        <v>2.04</v>
      </c>
      <c r="L59" s="217">
        <v>2800</v>
      </c>
      <c r="M59" s="155">
        <v>10677</v>
      </c>
      <c r="N59" s="155">
        <v>1.95</v>
      </c>
      <c r="O59" s="217">
        <v>2800</v>
      </c>
      <c r="P59" s="155">
        <v>11313</v>
      </c>
      <c r="Q59" s="155">
        <v>1.95</v>
      </c>
      <c r="R59" s="217">
        <v>2400</v>
      </c>
      <c r="S59" s="155">
        <v>76479</v>
      </c>
      <c r="T59" s="155">
        <v>1.968</v>
      </c>
      <c r="U59" s="217">
        <v>8100</v>
      </c>
      <c r="V59" s="155">
        <v>73081</v>
      </c>
      <c r="W59" s="155">
        <v>1.75</v>
      </c>
      <c r="X59" s="217">
        <v>12900</v>
      </c>
      <c r="Y59" s="155">
        <v>17680</v>
      </c>
      <c r="Z59" s="155">
        <v>3.36</v>
      </c>
      <c r="AA59" s="217">
        <v>1600</v>
      </c>
      <c r="AB59" s="155">
        <v>11743</v>
      </c>
      <c r="AC59" s="155">
        <v>2.2999999999999998</v>
      </c>
      <c r="AD59" s="217">
        <v>800</v>
      </c>
      <c r="AE59" s="155">
        <v>92268</v>
      </c>
      <c r="AF59" s="155">
        <v>2.0910000000000002</v>
      </c>
      <c r="AG59" s="217">
        <v>13400</v>
      </c>
      <c r="AH59" s="155">
        <v>17322</v>
      </c>
      <c r="AI59" s="155">
        <v>0.29799999999999999</v>
      </c>
      <c r="AJ59" s="217">
        <v>440</v>
      </c>
      <c r="AK59" s="218">
        <v>68027</v>
      </c>
      <c r="AL59" s="217">
        <v>193</v>
      </c>
      <c r="AM59" s="192"/>
      <c r="AN59" s="168"/>
      <c r="AO59" s="217">
        <v>71033</v>
      </c>
      <c r="AP59" s="155">
        <v>13840</v>
      </c>
      <c r="AQ59" s="155">
        <v>0.194839018</v>
      </c>
      <c r="AR59" s="155">
        <v>1159120</v>
      </c>
      <c r="AS59" s="176"/>
      <c r="AT59" s="164">
        <v>44166</v>
      </c>
      <c r="AU59" s="155">
        <v>62600</v>
      </c>
      <c r="AV59" s="217">
        <v>1300</v>
      </c>
      <c r="AW59" s="155">
        <v>7996</v>
      </c>
      <c r="AX59" s="217">
        <v>100</v>
      </c>
      <c r="AY59" s="219">
        <v>24675</v>
      </c>
      <c r="AZ59" s="220">
        <v>97</v>
      </c>
      <c r="BA59" s="155">
        <v>50161</v>
      </c>
      <c r="BB59" s="217">
        <v>200</v>
      </c>
      <c r="BC59" s="168"/>
      <c r="BD59" s="178"/>
      <c r="BE59" s="169">
        <f t="shared" si="20"/>
        <v>1697</v>
      </c>
      <c r="BF59" s="164"/>
      <c r="BG59" s="223"/>
      <c r="BH59" s="221"/>
      <c r="BI59" s="221"/>
      <c r="BJ59" s="221"/>
      <c r="BK59" s="221"/>
      <c r="BL59" s="221"/>
      <c r="BM59" s="221"/>
      <c r="BN59" s="221"/>
      <c r="BO59" s="221"/>
      <c r="BP59" s="221"/>
      <c r="BQ59" s="221"/>
      <c r="BR59" s="221"/>
      <c r="BS59" s="221"/>
      <c r="BT59" s="221"/>
      <c r="BU59" s="221"/>
      <c r="BV59" s="221"/>
      <c r="BW59" s="221"/>
      <c r="BX59" s="221"/>
      <c r="BY59" s="221"/>
      <c r="BZ59" s="221"/>
      <c r="CA59" s="221"/>
      <c r="CB59" s="221"/>
      <c r="CC59" s="222"/>
      <c r="CD59" s="221"/>
      <c r="CE59" s="221"/>
      <c r="CF59" s="221"/>
      <c r="CG59" s="221"/>
      <c r="CH59" s="221"/>
      <c r="CI59" s="221"/>
      <c r="CJ59" s="221"/>
      <c r="CK59" s="221"/>
      <c r="CL59" s="222"/>
      <c r="CM59" s="221"/>
      <c r="CN59" s="221"/>
      <c r="CO59" s="221"/>
      <c r="CP59" s="221"/>
      <c r="CQ59" s="221"/>
      <c r="CR59" s="221"/>
      <c r="CS59" s="221"/>
      <c r="CT59" s="221"/>
      <c r="CU59" s="222"/>
      <c r="CV59" s="221"/>
      <c r="CW59" s="221"/>
      <c r="CX59" s="221"/>
      <c r="CY59" s="221"/>
      <c r="CZ59" s="221"/>
      <c r="DA59" s="221"/>
      <c r="DB59" s="221"/>
      <c r="DC59" s="221"/>
      <c r="DD59" s="222"/>
      <c r="DE59" s="221"/>
      <c r="DF59" s="221"/>
      <c r="DG59" s="221"/>
      <c r="DH59" s="221"/>
      <c r="DI59" s="221"/>
      <c r="DJ59" s="221"/>
      <c r="DK59" s="221"/>
      <c r="DL59" s="221"/>
      <c r="DM59" s="222"/>
      <c r="DN59" s="221"/>
      <c r="DO59" s="221"/>
      <c r="DP59" s="221"/>
      <c r="DQ59" s="221"/>
      <c r="DR59" s="226"/>
      <c r="DS59" s="221"/>
      <c r="DT59" s="221"/>
      <c r="DU59" s="221"/>
      <c r="DV59" s="222"/>
      <c r="DW59" s="221"/>
      <c r="DX59" s="221"/>
      <c r="DY59" s="221"/>
      <c r="DZ59" s="221"/>
      <c r="EA59" s="226"/>
      <c r="EB59" s="221"/>
      <c r="EC59" s="221"/>
      <c r="ED59" s="221"/>
      <c r="EE59" s="222"/>
      <c r="EF59" s="221"/>
      <c r="EG59" s="221"/>
      <c r="EH59" s="221"/>
      <c r="EI59" s="221"/>
      <c r="EJ59" s="221"/>
      <c r="EK59" s="221"/>
      <c r="EL59" s="221"/>
      <c r="EM59" s="221"/>
      <c r="EN59" s="222"/>
      <c r="EO59" s="221"/>
      <c r="EP59" s="221"/>
      <c r="EQ59" s="221"/>
      <c r="ER59" s="221"/>
      <c r="ES59" s="221"/>
      <c r="ET59" s="221"/>
      <c r="EU59" s="221"/>
      <c r="EV59" s="221"/>
      <c r="EW59" s="222"/>
      <c r="EX59" s="221"/>
      <c r="EY59" s="221"/>
      <c r="EZ59" s="221"/>
      <c r="FA59" s="221"/>
      <c r="FB59" s="221"/>
      <c r="FC59" s="221"/>
      <c r="FD59" s="221"/>
      <c r="FE59" s="221"/>
      <c r="FF59" s="222"/>
      <c r="FG59" s="221"/>
      <c r="FH59" s="221"/>
      <c r="FI59" s="221"/>
      <c r="FJ59" s="221"/>
      <c r="FK59" s="221"/>
      <c r="FL59" s="221"/>
      <c r="FM59" s="221"/>
      <c r="FN59" s="221"/>
      <c r="FO59" s="222"/>
      <c r="FP59" s="221"/>
      <c r="FQ59" s="227"/>
      <c r="FR59" s="227"/>
      <c r="FS59" s="222"/>
      <c r="FT59" s="222"/>
      <c r="FU59" s="222"/>
      <c r="FV59" s="221"/>
      <c r="FW59" s="222"/>
      <c r="FX59" s="222"/>
      <c r="FY59" s="222"/>
      <c r="FZ59" s="228"/>
      <c r="GA59" s="221"/>
      <c r="GB59" s="221"/>
      <c r="GC59" s="221"/>
      <c r="GD59" s="221"/>
      <c r="GE59" s="221"/>
      <c r="GF59" s="221"/>
      <c r="GG59" s="221"/>
      <c r="GH59" s="221"/>
      <c r="GI59" s="221"/>
      <c r="GJ59" s="221"/>
      <c r="GK59" s="221"/>
      <c r="GL59" s="221"/>
      <c r="GM59" s="221"/>
      <c r="GN59" s="222"/>
      <c r="GO59" s="221"/>
      <c r="GP59" s="221"/>
      <c r="GQ59" s="221"/>
      <c r="GR59" s="221"/>
      <c r="GS59" s="221"/>
      <c r="GT59" s="221"/>
      <c r="GU59" s="221"/>
      <c r="GV59" s="221"/>
      <c r="GW59" s="222"/>
      <c r="GX59" s="221"/>
      <c r="GY59" s="221"/>
      <c r="GZ59" s="221"/>
      <c r="HA59" s="221"/>
      <c r="HB59" s="221"/>
      <c r="HC59" s="222"/>
      <c r="HD59" s="221"/>
      <c r="HE59" s="221"/>
      <c r="HF59" s="221"/>
      <c r="HG59" s="221"/>
      <c r="HH59" s="221"/>
      <c r="HI59" s="221"/>
      <c r="HJ59" s="221"/>
      <c r="HK59" s="221"/>
      <c r="HL59" s="222"/>
      <c r="HM59" s="221"/>
      <c r="HN59" s="221"/>
      <c r="HO59" s="221"/>
      <c r="HP59" s="221"/>
      <c r="HQ59" s="221"/>
      <c r="HR59" s="221"/>
      <c r="HS59" s="221"/>
      <c r="HT59" s="221"/>
    </row>
    <row r="60" spans="2:228" x14ac:dyDescent="0.25">
      <c r="B60" s="164">
        <v>44172</v>
      </c>
      <c r="C60" s="165">
        <f>SUM(Essbase!I344:I350)</f>
        <v>809</v>
      </c>
      <c r="D60" s="155">
        <v>97254</v>
      </c>
      <c r="E60" s="155">
        <v>2.0739999999999998</v>
      </c>
      <c r="F60" s="217">
        <v>29920</v>
      </c>
      <c r="G60" s="155">
        <v>93709</v>
      </c>
      <c r="H60" s="155">
        <v>2.1629999999999998</v>
      </c>
      <c r="I60" s="217">
        <v>32160</v>
      </c>
      <c r="J60" s="155">
        <v>10771</v>
      </c>
      <c r="K60" s="155">
        <v>2.2999999999999998</v>
      </c>
      <c r="L60" s="217">
        <v>7200</v>
      </c>
      <c r="M60" s="155">
        <v>10696</v>
      </c>
      <c r="N60" s="155">
        <v>2.23</v>
      </c>
      <c r="O60" s="217">
        <v>7600</v>
      </c>
      <c r="P60" s="155">
        <v>11330</v>
      </c>
      <c r="Q60" s="155">
        <v>2.35</v>
      </c>
      <c r="R60" s="217">
        <v>6800</v>
      </c>
      <c r="S60" s="155">
        <v>76543</v>
      </c>
      <c r="T60" s="155">
        <v>1.968</v>
      </c>
      <c r="U60" s="217">
        <v>19200</v>
      </c>
      <c r="V60" s="155">
        <v>73171</v>
      </c>
      <c r="W60" s="155">
        <v>1.75</v>
      </c>
      <c r="X60" s="217">
        <v>27000</v>
      </c>
      <c r="Y60" s="155">
        <v>17705</v>
      </c>
      <c r="Z60" s="155">
        <v>3.36</v>
      </c>
      <c r="AA60" s="217">
        <v>4000</v>
      </c>
      <c r="AB60" s="155">
        <v>11755</v>
      </c>
      <c r="AC60" s="155">
        <v>2.2999999999999998</v>
      </c>
      <c r="AD60" s="217">
        <v>1920</v>
      </c>
      <c r="AE60" s="155">
        <v>92429</v>
      </c>
      <c r="AF60" s="155">
        <v>2.0910000000000002</v>
      </c>
      <c r="AG60" s="217">
        <v>32200</v>
      </c>
      <c r="AH60" s="155">
        <v>17349</v>
      </c>
      <c r="AI60" s="155">
        <v>0.29799999999999999</v>
      </c>
      <c r="AJ60" s="217">
        <v>1080</v>
      </c>
      <c r="AK60" s="218">
        <v>68501</v>
      </c>
      <c r="AL60" s="217">
        <v>474</v>
      </c>
      <c r="AM60" s="192"/>
      <c r="AN60" s="168"/>
      <c r="AO60" s="217">
        <v>169554</v>
      </c>
      <c r="AP60" s="155">
        <v>33280</v>
      </c>
      <c r="AQ60" s="155">
        <v>0.196279651</v>
      </c>
      <c r="AR60" s="155"/>
      <c r="AS60" s="176"/>
      <c r="AT60" s="164">
        <v>44172</v>
      </c>
      <c r="AU60" s="155">
        <v>62694</v>
      </c>
      <c r="AV60" s="217">
        <v>9400</v>
      </c>
      <c r="AW60" s="155">
        <v>8009</v>
      </c>
      <c r="AX60" s="217">
        <v>1300</v>
      </c>
      <c r="AY60" s="219">
        <v>25467</v>
      </c>
      <c r="AZ60" s="220">
        <v>792</v>
      </c>
      <c r="BA60" s="155">
        <v>50236</v>
      </c>
      <c r="BB60" s="217">
        <v>3000</v>
      </c>
      <c r="BC60" s="168"/>
      <c r="BD60" s="178"/>
      <c r="BE60" s="169">
        <f t="shared" si="20"/>
        <v>14492</v>
      </c>
      <c r="BF60" s="164"/>
      <c r="BG60" s="223"/>
      <c r="BH60" s="221"/>
      <c r="BI60" s="221"/>
      <c r="BJ60" s="221"/>
      <c r="BK60" s="221"/>
      <c r="BL60" s="221"/>
      <c r="BM60" s="221"/>
      <c r="BN60" s="221"/>
      <c r="BO60" s="221"/>
      <c r="BP60" s="221"/>
      <c r="BQ60" s="221"/>
      <c r="BR60" s="221"/>
      <c r="BS60" s="221"/>
      <c r="BT60" s="221"/>
      <c r="BU60" s="221"/>
      <c r="BV60" s="221"/>
      <c r="BW60" s="221"/>
      <c r="BX60" s="221"/>
      <c r="BY60" s="221"/>
      <c r="BZ60" s="221"/>
      <c r="CA60" s="221"/>
      <c r="CB60" s="221"/>
      <c r="CC60" s="222"/>
      <c r="CD60" s="221"/>
      <c r="CE60" s="221"/>
      <c r="CF60" s="221"/>
      <c r="CG60" s="221"/>
      <c r="CH60" s="221"/>
      <c r="CI60" s="221"/>
      <c r="CJ60" s="221"/>
      <c r="CK60" s="221"/>
      <c r="CL60" s="222"/>
      <c r="CM60" s="221"/>
      <c r="CN60" s="221"/>
      <c r="CO60" s="221"/>
      <c r="CP60" s="221"/>
      <c r="CQ60" s="221"/>
      <c r="CR60" s="221"/>
      <c r="CS60" s="221"/>
      <c r="CT60" s="221"/>
      <c r="CU60" s="222"/>
      <c r="CV60" s="221"/>
      <c r="CW60" s="221"/>
      <c r="CX60" s="221"/>
      <c r="CY60" s="221"/>
      <c r="CZ60" s="221"/>
      <c r="DA60" s="221"/>
      <c r="DB60" s="221"/>
      <c r="DC60" s="221"/>
      <c r="DD60" s="222"/>
      <c r="DE60" s="221"/>
      <c r="DF60" s="221"/>
      <c r="DG60" s="221"/>
      <c r="DH60" s="221"/>
      <c r="DI60" s="221"/>
      <c r="DJ60" s="221"/>
      <c r="DK60" s="221"/>
      <c r="DL60" s="221"/>
      <c r="DM60" s="222"/>
      <c r="DN60" s="221"/>
      <c r="DO60" s="221"/>
      <c r="DP60" s="221"/>
      <c r="DQ60" s="221"/>
      <c r="DR60" s="226"/>
      <c r="DS60" s="221"/>
      <c r="DT60" s="221"/>
      <c r="DU60" s="221"/>
      <c r="DV60" s="222"/>
      <c r="DW60" s="221"/>
      <c r="DX60" s="221"/>
      <c r="DY60" s="221"/>
      <c r="DZ60" s="221"/>
      <c r="EA60" s="226"/>
      <c r="EB60" s="221"/>
      <c r="EC60" s="221"/>
      <c r="ED60" s="221"/>
      <c r="EE60" s="222"/>
      <c r="EF60" s="221"/>
      <c r="EG60" s="221"/>
      <c r="EH60" s="221"/>
      <c r="EI60" s="221"/>
      <c r="EJ60" s="221"/>
      <c r="EK60" s="221"/>
      <c r="EL60" s="221"/>
      <c r="EM60" s="221"/>
      <c r="EN60" s="222"/>
      <c r="EO60" s="221"/>
      <c r="EP60" s="221"/>
      <c r="EQ60" s="221"/>
      <c r="ER60" s="221"/>
      <c r="ES60" s="221"/>
      <c r="ET60" s="221"/>
      <c r="EU60" s="221"/>
      <c r="EV60" s="221"/>
      <c r="EW60" s="222"/>
      <c r="EX60" s="221"/>
      <c r="EY60" s="221"/>
      <c r="EZ60" s="221"/>
      <c r="FA60" s="221"/>
      <c r="FB60" s="221"/>
      <c r="FC60" s="221"/>
      <c r="FD60" s="221"/>
      <c r="FE60" s="221"/>
      <c r="FF60" s="222"/>
      <c r="FG60" s="221"/>
      <c r="FH60" s="221"/>
      <c r="FI60" s="221"/>
      <c r="FJ60" s="221"/>
      <c r="FK60" s="221"/>
      <c r="FL60" s="221"/>
      <c r="FM60" s="221"/>
      <c r="FN60" s="221"/>
      <c r="FO60" s="222"/>
      <c r="FP60" s="221"/>
      <c r="FQ60" s="227"/>
      <c r="FR60" s="227"/>
      <c r="FS60" s="222"/>
      <c r="FT60" s="222"/>
      <c r="FU60" s="222"/>
      <c r="FV60" s="221"/>
      <c r="FW60" s="222"/>
      <c r="FX60" s="222"/>
      <c r="FY60" s="222"/>
      <c r="FZ60" s="228"/>
      <c r="GA60" s="221"/>
      <c r="GB60" s="221"/>
      <c r="GC60" s="221"/>
      <c r="GD60" s="221"/>
      <c r="GE60" s="221"/>
      <c r="GF60" s="221"/>
      <c r="GG60" s="221"/>
      <c r="GH60" s="221"/>
      <c r="GI60" s="221"/>
      <c r="GJ60" s="221"/>
      <c r="GK60" s="221"/>
      <c r="GL60" s="221"/>
      <c r="GM60" s="221"/>
      <c r="GN60" s="222"/>
      <c r="GO60" s="221"/>
      <c r="GP60" s="221"/>
      <c r="GQ60" s="221"/>
      <c r="GR60" s="221"/>
      <c r="GS60" s="221"/>
      <c r="GT60" s="221"/>
      <c r="GU60" s="221"/>
      <c r="GV60" s="221"/>
      <c r="GW60" s="222"/>
      <c r="GX60" s="221"/>
      <c r="GY60" s="221"/>
      <c r="GZ60" s="221"/>
      <c r="HA60" s="221"/>
      <c r="HB60" s="221"/>
      <c r="HC60" s="222"/>
      <c r="HD60" s="221"/>
      <c r="HE60" s="221"/>
      <c r="HF60" s="221"/>
      <c r="HG60" s="221"/>
      <c r="HH60" s="221"/>
      <c r="HI60" s="221"/>
      <c r="HJ60" s="221"/>
      <c r="HK60" s="221"/>
      <c r="HL60" s="222"/>
      <c r="HM60" s="221"/>
      <c r="HN60" s="221"/>
      <c r="HO60" s="221"/>
      <c r="HP60" s="221"/>
      <c r="HQ60" s="221"/>
      <c r="HR60" s="221"/>
      <c r="HS60" s="221"/>
      <c r="HT60" s="221"/>
    </row>
    <row r="61" spans="2:228" x14ac:dyDescent="0.25">
      <c r="B61" s="164">
        <f>B60+7</f>
        <v>44179</v>
      </c>
      <c r="C61" s="165">
        <f>SUM(Essbase!I351:I357)</f>
        <v>1067</v>
      </c>
      <c r="D61" s="155">
        <v>97504</v>
      </c>
      <c r="E61" s="155">
        <v>2.0739999999999998</v>
      </c>
      <c r="F61" s="217">
        <v>40000</v>
      </c>
      <c r="G61" s="155">
        <v>93978</v>
      </c>
      <c r="H61" s="155">
        <v>2.1629999999999998</v>
      </c>
      <c r="I61" s="217">
        <v>43040</v>
      </c>
      <c r="J61" s="155">
        <v>10795</v>
      </c>
      <c r="K61" s="155">
        <v>3.17</v>
      </c>
      <c r="L61" s="217">
        <v>9600</v>
      </c>
      <c r="M61" s="155">
        <v>10718</v>
      </c>
      <c r="N61" s="155">
        <v>3.01</v>
      </c>
      <c r="O61" s="217">
        <v>8800</v>
      </c>
      <c r="P61" s="155">
        <v>11352</v>
      </c>
      <c r="Q61" s="155">
        <v>3.45</v>
      </c>
      <c r="R61" s="217">
        <v>8800</v>
      </c>
      <c r="S61" s="155">
        <v>76662</v>
      </c>
      <c r="T61" s="155">
        <v>1.968</v>
      </c>
      <c r="U61" s="217">
        <v>35700</v>
      </c>
      <c r="V61" s="155">
        <v>73257</v>
      </c>
      <c r="W61" s="155">
        <v>1.75</v>
      </c>
      <c r="X61" s="217">
        <v>25800</v>
      </c>
      <c r="Y61" s="155">
        <v>17739</v>
      </c>
      <c r="Z61" s="155">
        <v>3.36</v>
      </c>
      <c r="AA61" s="217">
        <v>5440</v>
      </c>
      <c r="AB61" s="155">
        <v>11771</v>
      </c>
      <c r="AC61" s="155">
        <v>2.2999999999999998</v>
      </c>
      <c r="AD61" s="217">
        <v>2560</v>
      </c>
      <c r="AE61" s="155">
        <v>92645</v>
      </c>
      <c r="AF61" s="155">
        <v>2.0910000000000002</v>
      </c>
      <c r="AG61" s="217">
        <v>43200</v>
      </c>
      <c r="AH61" s="155">
        <v>17389</v>
      </c>
      <c r="AI61" s="155">
        <v>0.29799999999999999</v>
      </c>
      <c r="AJ61" s="217">
        <v>1600</v>
      </c>
      <c r="AK61" s="218">
        <v>68949</v>
      </c>
      <c r="AL61" s="217">
        <v>448</v>
      </c>
      <c r="AM61" s="192"/>
      <c r="AN61" s="168"/>
      <c r="AO61" s="217">
        <v>224988</v>
      </c>
      <c r="AP61" s="155">
        <v>44800</v>
      </c>
      <c r="AQ61" s="155">
        <v>0.199121731</v>
      </c>
      <c r="AR61" s="168"/>
      <c r="AS61" s="176"/>
      <c r="AT61" s="164">
        <f>AT60+7</f>
        <v>44179</v>
      </c>
      <c r="AU61" s="155">
        <v>62807</v>
      </c>
      <c r="AV61" s="217">
        <v>11300</v>
      </c>
      <c r="AW61" s="155">
        <v>8025</v>
      </c>
      <c r="AX61" s="217">
        <v>1600</v>
      </c>
      <c r="AY61" s="219">
        <v>26357</v>
      </c>
      <c r="AZ61" s="220">
        <v>890</v>
      </c>
      <c r="BA61" s="155">
        <v>50304</v>
      </c>
      <c r="BB61" s="217">
        <v>2720</v>
      </c>
      <c r="BC61" s="168"/>
      <c r="BD61" s="178"/>
      <c r="BE61" s="169">
        <f t="shared" si="20"/>
        <v>16510</v>
      </c>
      <c r="BF61" s="164"/>
      <c r="BG61" s="223"/>
      <c r="BH61" s="221"/>
      <c r="BI61" s="221"/>
      <c r="BJ61" s="221"/>
      <c r="BK61" s="221"/>
      <c r="BL61" s="221"/>
      <c r="BM61" s="221"/>
      <c r="BN61" s="221"/>
      <c r="BO61" s="221"/>
      <c r="BP61" s="221"/>
      <c r="BQ61" s="221"/>
      <c r="BR61" s="221"/>
      <c r="BS61" s="221"/>
      <c r="BT61" s="221"/>
      <c r="BU61" s="221"/>
      <c r="BV61" s="221"/>
      <c r="BW61" s="221"/>
      <c r="BX61" s="221"/>
      <c r="BY61" s="221"/>
      <c r="BZ61" s="221"/>
      <c r="CA61" s="221"/>
      <c r="CB61" s="221"/>
      <c r="CC61" s="222"/>
      <c r="CD61" s="221"/>
      <c r="CE61" s="221"/>
      <c r="CF61" s="221"/>
      <c r="CG61" s="221"/>
      <c r="CH61" s="221"/>
      <c r="CI61" s="221"/>
      <c r="CJ61" s="221"/>
      <c r="CK61" s="221"/>
      <c r="CL61" s="222"/>
      <c r="CM61" s="221"/>
      <c r="CN61" s="221"/>
      <c r="CO61" s="221"/>
      <c r="CP61" s="221"/>
      <c r="CQ61" s="221"/>
      <c r="CR61" s="221"/>
      <c r="CS61" s="221"/>
      <c r="CT61" s="221"/>
      <c r="CU61" s="222"/>
      <c r="CV61" s="221"/>
      <c r="CW61" s="221"/>
      <c r="CX61" s="221"/>
      <c r="CY61" s="221"/>
      <c r="CZ61" s="221"/>
      <c r="DA61" s="221"/>
      <c r="DB61" s="221"/>
      <c r="DC61" s="221"/>
      <c r="DD61" s="222"/>
      <c r="DE61" s="221"/>
      <c r="DF61" s="221"/>
      <c r="DG61" s="221"/>
      <c r="DH61" s="221"/>
      <c r="DI61" s="221"/>
      <c r="DJ61" s="221"/>
      <c r="DK61" s="221"/>
      <c r="DL61" s="221"/>
      <c r="DM61" s="222"/>
      <c r="DN61" s="221"/>
      <c r="DO61" s="221"/>
      <c r="DP61" s="221"/>
      <c r="DQ61" s="221"/>
      <c r="DR61" s="226"/>
      <c r="DS61" s="221"/>
      <c r="DT61" s="221"/>
      <c r="DU61" s="221"/>
      <c r="DV61" s="222"/>
      <c r="DW61" s="221"/>
      <c r="DX61" s="221"/>
      <c r="DY61" s="221"/>
      <c r="DZ61" s="221"/>
      <c r="EA61" s="226"/>
      <c r="EB61" s="221"/>
      <c r="EC61" s="221"/>
      <c r="ED61" s="221"/>
      <c r="EE61" s="222"/>
      <c r="EF61" s="221"/>
      <c r="EG61" s="221"/>
      <c r="EH61" s="221"/>
      <c r="EI61" s="221"/>
      <c r="EJ61" s="221"/>
      <c r="EK61" s="221"/>
      <c r="EL61" s="221"/>
      <c r="EM61" s="221"/>
      <c r="EN61" s="222"/>
      <c r="EO61" s="221"/>
      <c r="EP61" s="221"/>
      <c r="EQ61" s="221"/>
      <c r="ER61" s="221"/>
      <c r="ES61" s="221"/>
      <c r="ET61" s="221"/>
      <c r="EU61" s="221"/>
      <c r="EV61" s="221"/>
      <c r="EW61" s="222"/>
      <c r="EX61" s="221"/>
      <c r="EY61" s="221"/>
      <c r="EZ61" s="221"/>
      <c r="FA61" s="221"/>
      <c r="FB61" s="221"/>
      <c r="FC61" s="221"/>
      <c r="FD61" s="221"/>
      <c r="FE61" s="221"/>
      <c r="FF61" s="222"/>
      <c r="FG61" s="221"/>
      <c r="FH61" s="221"/>
      <c r="FI61" s="221"/>
      <c r="FJ61" s="221"/>
      <c r="FK61" s="221"/>
      <c r="FL61" s="221"/>
      <c r="FM61" s="221"/>
      <c r="FN61" s="221"/>
      <c r="FO61" s="222"/>
      <c r="FP61" s="221"/>
      <c r="FQ61" s="227"/>
      <c r="FR61" s="227"/>
      <c r="FS61" s="222"/>
      <c r="FT61" s="222"/>
      <c r="FU61" s="222"/>
      <c r="FV61" s="221"/>
      <c r="FW61" s="222"/>
      <c r="FX61" s="222"/>
      <c r="FY61" s="222"/>
      <c r="FZ61" s="228"/>
      <c r="GA61" s="221"/>
      <c r="GB61" s="221"/>
      <c r="GC61" s="221"/>
      <c r="GD61" s="221"/>
      <c r="GE61" s="221"/>
      <c r="GF61" s="221"/>
      <c r="GG61" s="221"/>
      <c r="GH61" s="221"/>
      <c r="GI61" s="221"/>
      <c r="GJ61" s="221"/>
      <c r="GK61" s="221"/>
      <c r="GL61" s="221"/>
      <c r="GM61" s="221"/>
      <c r="GN61" s="222"/>
      <c r="GO61" s="221"/>
      <c r="GP61" s="221"/>
      <c r="GQ61" s="221"/>
      <c r="GR61" s="221"/>
      <c r="GS61" s="221"/>
      <c r="GT61" s="221"/>
      <c r="GU61" s="221"/>
      <c r="GV61" s="221"/>
      <c r="GW61" s="222"/>
      <c r="GX61" s="221"/>
      <c r="GY61" s="221"/>
      <c r="GZ61" s="221"/>
      <c r="HA61" s="221"/>
      <c r="HB61" s="221"/>
      <c r="HC61" s="222"/>
      <c r="HD61" s="221"/>
      <c r="HE61" s="221"/>
      <c r="HF61" s="221"/>
      <c r="HG61" s="221"/>
      <c r="HH61" s="221"/>
      <c r="HI61" s="221"/>
      <c r="HJ61" s="221"/>
      <c r="HK61" s="221"/>
      <c r="HL61" s="222"/>
      <c r="HM61" s="221"/>
      <c r="HN61" s="221"/>
      <c r="HO61" s="221"/>
      <c r="HP61" s="221"/>
      <c r="HQ61" s="221"/>
      <c r="HR61" s="221"/>
      <c r="HS61" s="221"/>
      <c r="HT61" s="221"/>
    </row>
    <row r="62" spans="2:228" x14ac:dyDescent="0.25">
      <c r="B62" s="164">
        <f t="shared" ref="B62:B63" si="22">B61+7</f>
        <v>44186</v>
      </c>
      <c r="C62" s="165">
        <f>SUM(Essbase!I358:I364)</f>
        <v>757</v>
      </c>
      <c r="D62" s="155">
        <v>97753</v>
      </c>
      <c r="E62" s="155">
        <v>2.0739999999999998</v>
      </c>
      <c r="F62" s="217">
        <v>39840</v>
      </c>
      <c r="G62" s="155">
        <v>94259</v>
      </c>
      <c r="H62" s="155">
        <v>2.3319999999999999</v>
      </c>
      <c r="I62" s="217">
        <v>44960</v>
      </c>
      <c r="J62" s="155">
        <v>10821</v>
      </c>
      <c r="K62" s="155">
        <v>3.19</v>
      </c>
      <c r="L62" s="217">
        <v>10400</v>
      </c>
      <c r="M62" s="155">
        <v>10740</v>
      </c>
      <c r="N62" s="155">
        <v>3.01</v>
      </c>
      <c r="O62" s="217">
        <v>8800</v>
      </c>
      <c r="P62" s="155">
        <v>11376</v>
      </c>
      <c r="Q62" s="155">
        <v>3.45</v>
      </c>
      <c r="R62" s="217">
        <v>9600</v>
      </c>
      <c r="S62" s="155">
        <v>76767</v>
      </c>
      <c r="T62" s="155">
        <v>1.968</v>
      </c>
      <c r="U62" s="217">
        <v>31500</v>
      </c>
      <c r="V62" s="155">
        <v>73406</v>
      </c>
      <c r="W62" s="155">
        <v>1.7729999999999999</v>
      </c>
      <c r="X62" s="217">
        <v>44700</v>
      </c>
      <c r="Y62" s="155">
        <v>17774</v>
      </c>
      <c r="Z62" s="155">
        <v>3.36</v>
      </c>
      <c r="AA62" s="217">
        <v>5600</v>
      </c>
      <c r="AB62" s="155">
        <v>11788</v>
      </c>
      <c r="AC62" s="155">
        <v>2.2999999999999998</v>
      </c>
      <c r="AD62" s="217">
        <v>2720</v>
      </c>
      <c r="AE62" s="155">
        <v>92870</v>
      </c>
      <c r="AF62" s="155">
        <v>2.0910000000000002</v>
      </c>
      <c r="AG62" s="217">
        <v>45000</v>
      </c>
      <c r="AH62" s="155">
        <v>17420</v>
      </c>
      <c r="AI62" s="155">
        <v>0.32800000000000001</v>
      </c>
      <c r="AJ62" s="217">
        <v>1240</v>
      </c>
      <c r="AK62" s="218">
        <v>69493</v>
      </c>
      <c r="AL62" s="217">
        <v>544</v>
      </c>
      <c r="AM62" s="192"/>
      <c r="AN62" s="168"/>
      <c r="AO62" s="217">
        <v>244904</v>
      </c>
      <c r="AP62" s="155">
        <v>46240</v>
      </c>
      <c r="AQ62" s="155">
        <v>0.18880867600000001</v>
      </c>
      <c r="AR62" s="168"/>
      <c r="AS62" s="176"/>
      <c r="AT62" s="164">
        <f>AT61+7</f>
        <v>44186</v>
      </c>
      <c r="AU62" s="155">
        <v>62926</v>
      </c>
      <c r="AV62" s="217">
        <v>11900</v>
      </c>
      <c r="AW62" s="155">
        <v>8040</v>
      </c>
      <c r="AX62" s="217">
        <v>1500</v>
      </c>
      <c r="AY62" s="219">
        <v>27265</v>
      </c>
      <c r="AZ62" s="220">
        <v>908</v>
      </c>
      <c r="BA62" s="155">
        <v>50370</v>
      </c>
      <c r="BB62" s="217">
        <v>2640</v>
      </c>
      <c r="BC62" s="168"/>
      <c r="BD62" s="178"/>
      <c r="BE62" s="169">
        <f t="shared" si="20"/>
        <v>16948</v>
      </c>
      <c r="BF62" s="164"/>
      <c r="BG62" s="223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  <c r="BT62" s="221"/>
      <c r="BU62" s="221"/>
      <c r="BV62" s="221"/>
      <c r="BW62" s="221"/>
      <c r="BX62" s="221"/>
      <c r="BY62" s="221"/>
      <c r="BZ62" s="221"/>
      <c r="CA62" s="221"/>
      <c r="CB62" s="221"/>
      <c r="CC62" s="222"/>
      <c r="CD62" s="221"/>
      <c r="CE62" s="221"/>
      <c r="CF62" s="221"/>
      <c r="CG62" s="221"/>
      <c r="CH62" s="221"/>
      <c r="CI62" s="221"/>
      <c r="CJ62" s="221"/>
      <c r="CK62" s="221"/>
      <c r="CL62" s="222"/>
      <c r="CM62" s="221"/>
      <c r="CN62" s="221"/>
      <c r="CO62" s="221"/>
      <c r="CP62" s="221"/>
      <c r="CQ62" s="221"/>
      <c r="CR62" s="221"/>
      <c r="CS62" s="221"/>
      <c r="CT62" s="221"/>
      <c r="CU62" s="222"/>
      <c r="CV62" s="221"/>
      <c r="CW62" s="221"/>
      <c r="CX62" s="221"/>
      <c r="CY62" s="221"/>
      <c r="CZ62" s="221"/>
      <c r="DA62" s="221"/>
      <c r="DB62" s="221"/>
      <c r="DC62" s="221"/>
      <c r="DD62" s="222"/>
      <c r="DE62" s="221"/>
      <c r="DF62" s="221"/>
      <c r="DG62" s="221"/>
      <c r="DH62" s="221"/>
      <c r="DI62" s="221"/>
      <c r="DJ62" s="221"/>
      <c r="DK62" s="221"/>
      <c r="DL62" s="221"/>
      <c r="DM62" s="222"/>
      <c r="DN62" s="221"/>
      <c r="DO62" s="221"/>
      <c r="DP62" s="221"/>
      <c r="DQ62" s="221"/>
      <c r="DR62" s="226"/>
      <c r="DS62" s="221"/>
      <c r="DT62" s="221"/>
      <c r="DU62" s="221"/>
      <c r="DV62" s="222"/>
      <c r="DW62" s="221"/>
      <c r="DX62" s="221"/>
      <c r="DY62" s="221"/>
      <c r="DZ62" s="221"/>
      <c r="EA62" s="226"/>
      <c r="EB62" s="221"/>
      <c r="EC62" s="221"/>
      <c r="ED62" s="221"/>
      <c r="EE62" s="222"/>
      <c r="EF62" s="221"/>
      <c r="EG62" s="221"/>
      <c r="EH62" s="221"/>
      <c r="EI62" s="221"/>
      <c r="EJ62" s="221"/>
      <c r="EK62" s="221"/>
      <c r="EL62" s="221"/>
      <c r="EM62" s="221"/>
      <c r="EN62" s="222"/>
      <c r="EO62" s="221"/>
      <c r="EP62" s="221"/>
      <c r="EQ62" s="221"/>
      <c r="ER62" s="221"/>
      <c r="ES62" s="221"/>
      <c r="ET62" s="221"/>
      <c r="EU62" s="221"/>
      <c r="EV62" s="221"/>
      <c r="EW62" s="222"/>
      <c r="EX62" s="221"/>
      <c r="EY62" s="221"/>
      <c r="EZ62" s="221"/>
      <c r="FA62" s="221"/>
      <c r="FB62" s="221"/>
      <c r="FC62" s="221"/>
      <c r="FD62" s="221"/>
      <c r="FE62" s="221"/>
      <c r="FF62" s="222"/>
      <c r="FG62" s="221"/>
      <c r="FH62" s="221"/>
      <c r="FI62" s="221"/>
      <c r="FJ62" s="221"/>
      <c r="FK62" s="221"/>
      <c r="FL62" s="221"/>
      <c r="FM62" s="221"/>
      <c r="FN62" s="221"/>
      <c r="FO62" s="222"/>
      <c r="FP62" s="221"/>
      <c r="FQ62" s="227"/>
      <c r="FR62" s="227"/>
      <c r="FS62" s="222"/>
      <c r="FT62" s="222"/>
      <c r="FU62" s="222"/>
      <c r="FV62" s="221"/>
      <c r="FW62" s="222"/>
      <c r="FX62" s="222"/>
      <c r="FY62" s="222"/>
      <c r="FZ62" s="228"/>
      <c r="GA62" s="221"/>
      <c r="GB62" s="221"/>
      <c r="GC62" s="221"/>
      <c r="GD62" s="221"/>
      <c r="GE62" s="221"/>
      <c r="GF62" s="221"/>
      <c r="GG62" s="221"/>
      <c r="GH62" s="221"/>
      <c r="GI62" s="221"/>
      <c r="GJ62" s="221"/>
      <c r="GK62" s="221"/>
      <c r="GL62" s="221"/>
      <c r="GM62" s="221"/>
      <c r="GN62" s="222"/>
      <c r="GO62" s="221"/>
      <c r="GP62" s="221"/>
      <c r="GQ62" s="221"/>
      <c r="GR62" s="221"/>
      <c r="GS62" s="221"/>
      <c r="GT62" s="221"/>
      <c r="GU62" s="221"/>
      <c r="GV62" s="221"/>
      <c r="GW62" s="222"/>
      <c r="GX62" s="221"/>
      <c r="GY62" s="221"/>
      <c r="GZ62" s="221"/>
      <c r="HA62" s="221"/>
      <c r="HB62" s="221"/>
      <c r="HC62" s="222"/>
      <c r="HD62" s="221"/>
      <c r="HE62" s="221"/>
      <c r="HF62" s="221"/>
      <c r="HG62" s="221"/>
      <c r="HH62" s="221"/>
      <c r="HI62" s="221"/>
      <c r="HJ62" s="221"/>
      <c r="HK62" s="221"/>
      <c r="HL62" s="222"/>
      <c r="HM62" s="221"/>
      <c r="HN62" s="221"/>
      <c r="HO62" s="221"/>
      <c r="HP62" s="221"/>
      <c r="HQ62" s="221"/>
      <c r="HR62" s="221"/>
      <c r="HS62" s="221"/>
      <c r="HT62" s="221"/>
    </row>
    <row r="63" spans="2:228" x14ac:dyDescent="0.25">
      <c r="B63" s="164">
        <f t="shared" si="22"/>
        <v>44193</v>
      </c>
      <c r="C63" s="165">
        <f>SUM(Essbase!I365:I371)</f>
        <v>1353</v>
      </c>
      <c r="D63" s="155">
        <v>98019</v>
      </c>
      <c r="E63" s="155">
        <v>1.99</v>
      </c>
      <c r="F63" s="217">
        <v>42560</v>
      </c>
      <c r="G63" s="155">
        <v>94555</v>
      </c>
      <c r="H63" s="155">
        <v>2.2989999999999999</v>
      </c>
      <c r="I63" s="217">
        <v>47360</v>
      </c>
      <c r="J63" s="155">
        <v>10852</v>
      </c>
      <c r="K63" s="155">
        <v>3.07</v>
      </c>
      <c r="L63" s="217">
        <v>12400</v>
      </c>
      <c r="M63" s="155">
        <v>10769</v>
      </c>
      <c r="N63" s="155">
        <v>2.48</v>
      </c>
      <c r="O63" s="217">
        <v>11600</v>
      </c>
      <c r="P63" s="155">
        <v>11404</v>
      </c>
      <c r="Q63" s="155">
        <v>2.77</v>
      </c>
      <c r="R63" s="217">
        <v>11200</v>
      </c>
      <c r="S63" s="155">
        <v>76890</v>
      </c>
      <c r="T63" s="155">
        <v>1.835</v>
      </c>
      <c r="U63" s="217">
        <v>36900</v>
      </c>
      <c r="V63" s="155">
        <v>73488</v>
      </c>
      <c r="W63" s="155">
        <v>0.88300000000000001</v>
      </c>
      <c r="X63" s="217">
        <v>24600</v>
      </c>
      <c r="Y63" s="155">
        <v>17806</v>
      </c>
      <c r="Z63" s="155">
        <v>2.5099999999999998</v>
      </c>
      <c r="AA63" s="217">
        <v>5120</v>
      </c>
      <c r="AB63" s="155">
        <v>11803</v>
      </c>
      <c r="AC63" s="155">
        <v>1.54</v>
      </c>
      <c r="AD63" s="217">
        <v>2400</v>
      </c>
      <c r="AE63" s="155">
        <v>93097</v>
      </c>
      <c r="AF63" s="155">
        <v>2.157</v>
      </c>
      <c r="AG63" s="217">
        <v>45400</v>
      </c>
      <c r="AH63" s="155">
        <v>17458</v>
      </c>
      <c r="AI63" s="155">
        <v>0.33100000000000002</v>
      </c>
      <c r="AJ63" s="217">
        <v>1520</v>
      </c>
      <c r="AK63" s="218">
        <v>70055</v>
      </c>
      <c r="AL63" s="217">
        <v>562</v>
      </c>
      <c r="AM63" s="192"/>
      <c r="AN63" s="168"/>
      <c r="AO63" s="217">
        <v>241622</v>
      </c>
      <c r="AP63" s="155">
        <v>46920</v>
      </c>
      <c r="AQ63" s="155">
        <v>0.19418761500000001</v>
      </c>
      <c r="AR63" s="168"/>
      <c r="AS63" s="176"/>
      <c r="AT63" s="164">
        <f t="shared" ref="AT63" si="23">AT62+7</f>
        <v>44193</v>
      </c>
      <c r="AU63" s="155">
        <v>63034</v>
      </c>
      <c r="AV63" s="217">
        <v>10800</v>
      </c>
      <c r="AW63" s="155">
        <v>8056</v>
      </c>
      <c r="AX63" s="217">
        <v>1600</v>
      </c>
      <c r="AY63" s="219">
        <v>28157</v>
      </c>
      <c r="AZ63" s="220">
        <v>892</v>
      </c>
      <c r="BA63" s="155">
        <v>50430</v>
      </c>
      <c r="BB63" s="217">
        <v>2400</v>
      </c>
      <c r="BC63" s="168"/>
      <c r="BD63" s="178"/>
      <c r="BE63" s="169">
        <f t="shared" si="20"/>
        <v>15692</v>
      </c>
      <c r="BF63" s="164"/>
      <c r="BG63" s="223"/>
      <c r="BH63" s="221"/>
      <c r="BI63" s="221"/>
      <c r="BJ63" s="221"/>
      <c r="BK63" s="221"/>
      <c r="BL63" s="221"/>
      <c r="BM63" s="221"/>
      <c r="BN63" s="221"/>
      <c r="BO63" s="221"/>
      <c r="BP63" s="221"/>
      <c r="BQ63" s="221"/>
      <c r="BR63" s="221"/>
      <c r="BS63" s="221"/>
      <c r="BT63" s="221"/>
      <c r="BU63" s="221"/>
      <c r="BV63" s="221"/>
      <c r="BW63" s="221"/>
      <c r="BX63" s="221"/>
      <c r="BY63" s="221"/>
      <c r="BZ63" s="221"/>
      <c r="CA63" s="221"/>
      <c r="CB63" s="221"/>
      <c r="CC63" s="222"/>
      <c r="CD63" s="221"/>
      <c r="CE63" s="221"/>
      <c r="CF63" s="221"/>
      <c r="CG63" s="221"/>
      <c r="CH63" s="221"/>
      <c r="CI63" s="221"/>
      <c r="CJ63" s="221"/>
      <c r="CK63" s="221"/>
      <c r="CL63" s="222"/>
      <c r="CM63" s="221"/>
      <c r="CN63" s="221"/>
      <c r="CO63" s="221"/>
      <c r="CP63" s="221"/>
      <c r="CQ63" s="221"/>
      <c r="CR63" s="221"/>
      <c r="CS63" s="221"/>
      <c r="CT63" s="221"/>
      <c r="CU63" s="222"/>
      <c r="CV63" s="221"/>
      <c r="CW63" s="221"/>
      <c r="CX63" s="221"/>
      <c r="CY63" s="221"/>
      <c r="CZ63" s="221"/>
      <c r="DA63" s="221"/>
      <c r="DB63" s="221"/>
      <c r="DC63" s="221"/>
      <c r="DD63" s="222"/>
      <c r="DE63" s="221"/>
      <c r="DF63" s="221"/>
      <c r="DG63" s="221"/>
      <c r="DH63" s="221"/>
      <c r="DI63" s="221"/>
      <c r="DJ63" s="221"/>
      <c r="DK63" s="221"/>
      <c r="DL63" s="221"/>
      <c r="DM63" s="222"/>
      <c r="DN63" s="221"/>
      <c r="DO63" s="221"/>
      <c r="DP63" s="221"/>
      <c r="DQ63" s="221"/>
      <c r="DR63" s="226"/>
      <c r="DS63" s="221"/>
      <c r="DT63" s="221"/>
      <c r="DU63" s="221"/>
      <c r="DV63" s="222"/>
      <c r="DW63" s="221"/>
      <c r="DX63" s="221"/>
      <c r="DY63" s="221"/>
      <c r="DZ63" s="221"/>
      <c r="EA63" s="226"/>
      <c r="EB63" s="221"/>
      <c r="EC63" s="221"/>
      <c r="ED63" s="221"/>
      <c r="EE63" s="222"/>
      <c r="EF63" s="221"/>
      <c r="EG63" s="221"/>
      <c r="EH63" s="221"/>
      <c r="EI63" s="221"/>
      <c r="EJ63" s="221"/>
      <c r="EK63" s="221"/>
      <c r="EL63" s="221"/>
      <c r="EM63" s="221"/>
      <c r="EN63" s="222"/>
      <c r="EO63" s="221"/>
      <c r="EP63" s="221"/>
      <c r="EQ63" s="221"/>
      <c r="ER63" s="221"/>
      <c r="ES63" s="221"/>
      <c r="ET63" s="221"/>
      <c r="EU63" s="221"/>
      <c r="EV63" s="221"/>
      <c r="EW63" s="222"/>
      <c r="EX63" s="221"/>
      <c r="EY63" s="221"/>
      <c r="EZ63" s="221"/>
      <c r="FA63" s="221"/>
      <c r="FB63" s="221"/>
      <c r="FC63" s="221"/>
      <c r="FD63" s="221"/>
      <c r="FE63" s="221"/>
      <c r="FF63" s="222"/>
      <c r="FG63" s="221"/>
      <c r="FH63" s="221"/>
      <c r="FI63" s="221"/>
      <c r="FJ63" s="221"/>
      <c r="FK63" s="221"/>
      <c r="FL63" s="221"/>
      <c r="FM63" s="221"/>
      <c r="FN63" s="221"/>
      <c r="FO63" s="222"/>
      <c r="FP63" s="221"/>
      <c r="FQ63" s="227"/>
      <c r="FR63" s="227"/>
      <c r="FS63" s="222"/>
      <c r="FT63" s="222"/>
      <c r="FU63" s="222"/>
      <c r="FV63" s="221"/>
      <c r="FW63" s="222"/>
      <c r="FX63" s="222"/>
      <c r="FY63" s="222"/>
      <c r="FZ63" s="228"/>
      <c r="GA63" s="221"/>
      <c r="GB63" s="221"/>
      <c r="GC63" s="221"/>
      <c r="GD63" s="221"/>
      <c r="GE63" s="221"/>
      <c r="GF63" s="221"/>
      <c r="GG63" s="221"/>
      <c r="GH63" s="221"/>
      <c r="GI63" s="221"/>
      <c r="GJ63" s="221"/>
      <c r="GK63" s="221"/>
      <c r="GL63" s="221"/>
      <c r="GM63" s="221"/>
      <c r="GN63" s="222"/>
      <c r="GO63" s="221"/>
      <c r="GP63" s="221"/>
      <c r="GQ63" s="221"/>
      <c r="GR63" s="221"/>
      <c r="GS63" s="221"/>
      <c r="GT63" s="221"/>
      <c r="GU63" s="221"/>
      <c r="GV63" s="221"/>
      <c r="GW63" s="222"/>
      <c r="GX63" s="221"/>
      <c r="GY63" s="221"/>
      <c r="GZ63" s="221"/>
      <c r="HA63" s="221"/>
      <c r="HB63" s="221"/>
      <c r="HC63" s="222"/>
      <c r="HD63" s="221"/>
      <c r="HE63" s="221"/>
      <c r="HF63" s="221"/>
      <c r="HG63" s="221"/>
      <c r="HH63" s="221"/>
      <c r="HI63" s="221"/>
      <c r="HJ63" s="221"/>
      <c r="HK63" s="221"/>
      <c r="HL63" s="222"/>
      <c r="HM63" s="221"/>
      <c r="HN63" s="221"/>
      <c r="HO63" s="221"/>
      <c r="HP63" s="221"/>
      <c r="HQ63" s="221"/>
      <c r="HR63" s="221"/>
      <c r="HS63" s="221"/>
      <c r="HT63" s="221"/>
    </row>
    <row r="64" spans="2:228" x14ac:dyDescent="0.25">
      <c r="B64" s="164">
        <v>44197</v>
      </c>
      <c r="C64" s="165">
        <f>SUM(Essbase!I372:I373)</f>
        <v>563</v>
      </c>
      <c r="D64" s="155">
        <v>98168</v>
      </c>
      <c r="E64" s="155">
        <v>1.99</v>
      </c>
      <c r="F64" s="217">
        <v>23840</v>
      </c>
      <c r="G64" s="155">
        <v>94723</v>
      </c>
      <c r="H64" s="155">
        <v>2.2989999999999999</v>
      </c>
      <c r="I64" s="217">
        <v>26880</v>
      </c>
      <c r="J64" s="155">
        <v>10869</v>
      </c>
      <c r="K64" s="155">
        <v>3.07</v>
      </c>
      <c r="L64" s="217">
        <v>6800</v>
      </c>
      <c r="M64" s="155">
        <v>10784</v>
      </c>
      <c r="N64" s="155">
        <v>2.48</v>
      </c>
      <c r="O64" s="217">
        <v>6000</v>
      </c>
      <c r="P64" s="155">
        <v>11418</v>
      </c>
      <c r="Q64" s="155">
        <v>2.77</v>
      </c>
      <c r="R64" s="217">
        <v>5600</v>
      </c>
      <c r="S64" s="155">
        <v>76986</v>
      </c>
      <c r="T64" s="155">
        <v>1.964</v>
      </c>
      <c r="U64" s="217">
        <v>28800</v>
      </c>
      <c r="V64" s="155">
        <v>73548</v>
      </c>
      <c r="W64" s="155">
        <v>1.3759999999999999</v>
      </c>
      <c r="X64" s="217">
        <v>18000</v>
      </c>
      <c r="Y64" s="155">
        <v>17824</v>
      </c>
      <c r="Z64" s="155">
        <v>2.56</v>
      </c>
      <c r="AA64" s="217">
        <v>2880</v>
      </c>
      <c r="AB64" s="155">
        <v>11813</v>
      </c>
      <c r="AC64" s="155">
        <v>1.73</v>
      </c>
      <c r="AD64" s="217">
        <v>1600</v>
      </c>
      <c r="AE64" s="155">
        <v>93249</v>
      </c>
      <c r="AF64" s="155">
        <v>2.1619999999999999</v>
      </c>
      <c r="AG64" s="217">
        <v>30400</v>
      </c>
      <c r="AH64" s="155">
        <v>17476</v>
      </c>
      <c r="AI64" s="155">
        <v>0.33100000000000002</v>
      </c>
      <c r="AJ64" s="217">
        <v>720</v>
      </c>
      <c r="AK64" s="218">
        <v>70340</v>
      </c>
      <c r="AL64" s="217">
        <v>285</v>
      </c>
      <c r="AM64" s="192"/>
      <c r="AN64" s="168"/>
      <c r="AO64" s="217">
        <v>151805</v>
      </c>
      <c r="AP64" s="155">
        <v>31120</v>
      </c>
      <c r="AQ64" s="155">
        <v>0.20499983499999999</v>
      </c>
      <c r="AR64" s="168"/>
      <c r="AS64" s="176"/>
      <c r="AT64" s="164">
        <v>44197</v>
      </c>
      <c r="AU64" s="155">
        <v>63102</v>
      </c>
      <c r="AV64" s="217">
        <v>6800</v>
      </c>
      <c r="AW64" s="155">
        <v>8065</v>
      </c>
      <c r="AX64" s="217">
        <v>900</v>
      </c>
      <c r="AY64" s="219">
        <v>28654</v>
      </c>
      <c r="AZ64" s="220">
        <v>497</v>
      </c>
      <c r="BA64" s="155">
        <v>50471</v>
      </c>
      <c r="BB64" s="217">
        <v>1640</v>
      </c>
      <c r="BC64" s="168"/>
      <c r="BD64" s="178"/>
      <c r="BE64" s="169">
        <f t="shared" si="20"/>
        <v>9837</v>
      </c>
      <c r="BF64" s="164"/>
      <c r="BG64" s="223"/>
      <c r="BH64" s="221"/>
      <c r="BI64" s="221"/>
      <c r="BJ64" s="221"/>
      <c r="BK64" s="221"/>
      <c r="BL64" s="221"/>
      <c r="BM64" s="221"/>
      <c r="BN64" s="221"/>
      <c r="BO64" s="221"/>
      <c r="BP64" s="221"/>
      <c r="BQ64" s="221"/>
      <c r="BR64" s="221"/>
      <c r="BS64" s="221"/>
      <c r="BT64" s="221"/>
      <c r="BU64" s="221"/>
      <c r="BV64" s="221"/>
      <c r="BW64" s="221"/>
      <c r="BX64" s="221"/>
      <c r="BY64" s="221"/>
      <c r="BZ64" s="221"/>
      <c r="CA64" s="221"/>
      <c r="CB64" s="221"/>
      <c r="CC64" s="222"/>
      <c r="CD64" s="221"/>
      <c r="CE64" s="221"/>
      <c r="CF64" s="221"/>
      <c r="CG64" s="221"/>
      <c r="CH64" s="221"/>
      <c r="CI64" s="221"/>
      <c r="CJ64" s="221"/>
      <c r="CK64" s="221"/>
      <c r="CL64" s="222"/>
      <c r="CM64" s="221"/>
      <c r="CN64" s="221"/>
      <c r="CO64" s="221"/>
      <c r="CP64" s="221"/>
      <c r="CQ64" s="221"/>
      <c r="CR64" s="221"/>
      <c r="CS64" s="221"/>
      <c r="CT64" s="221"/>
      <c r="CU64" s="222"/>
      <c r="CV64" s="221"/>
      <c r="CW64" s="221"/>
      <c r="CX64" s="221"/>
      <c r="CY64" s="221"/>
      <c r="CZ64" s="221"/>
      <c r="DA64" s="221"/>
      <c r="DB64" s="221"/>
      <c r="DC64" s="221"/>
      <c r="DD64" s="222"/>
      <c r="DE64" s="221"/>
      <c r="DF64" s="221"/>
      <c r="DG64" s="221"/>
      <c r="DH64" s="221"/>
      <c r="DI64" s="221"/>
      <c r="DJ64" s="221"/>
      <c r="DK64" s="221"/>
      <c r="DL64" s="221"/>
      <c r="DM64" s="222"/>
      <c r="DN64" s="221"/>
      <c r="DO64" s="221"/>
      <c r="DP64" s="221"/>
      <c r="DQ64" s="221"/>
      <c r="DR64" s="226"/>
      <c r="DS64" s="221"/>
      <c r="DT64" s="221"/>
      <c r="DU64" s="221"/>
      <c r="DV64" s="222"/>
      <c r="DW64" s="221"/>
      <c r="DX64" s="221"/>
      <c r="DY64" s="221"/>
      <c r="DZ64" s="221"/>
      <c r="EA64" s="226"/>
      <c r="EB64" s="221"/>
      <c r="EC64" s="221"/>
      <c r="ED64" s="221"/>
      <c r="EE64" s="222"/>
      <c r="EF64" s="221"/>
      <c r="EG64" s="221"/>
      <c r="EH64" s="221"/>
      <c r="EI64" s="221"/>
      <c r="EJ64" s="221"/>
      <c r="EK64" s="221"/>
      <c r="EL64" s="221"/>
      <c r="EM64" s="221"/>
      <c r="EN64" s="222"/>
      <c r="EO64" s="221"/>
      <c r="EP64" s="221"/>
      <c r="EQ64" s="221"/>
      <c r="ER64" s="221"/>
      <c r="ES64" s="221"/>
      <c r="ET64" s="221"/>
      <c r="EU64" s="221"/>
      <c r="EV64" s="221"/>
      <c r="EW64" s="222"/>
      <c r="EX64" s="221"/>
      <c r="EY64" s="221"/>
      <c r="EZ64" s="221"/>
      <c r="FA64" s="221"/>
      <c r="FB64" s="221"/>
      <c r="FC64" s="221"/>
      <c r="FD64" s="221"/>
      <c r="FE64" s="221"/>
      <c r="FF64" s="222"/>
      <c r="FG64" s="221"/>
      <c r="FH64" s="221"/>
      <c r="FI64" s="221"/>
      <c r="FJ64" s="221"/>
      <c r="FK64" s="221"/>
      <c r="FL64" s="221"/>
      <c r="FM64" s="221"/>
      <c r="FN64" s="221"/>
      <c r="FO64" s="222"/>
      <c r="FP64" s="221"/>
      <c r="FQ64" s="227"/>
      <c r="FR64" s="227"/>
      <c r="FS64" s="222"/>
      <c r="FT64" s="222"/>
      <c r="FU64" s="222"/>
      <c r="FV64" s="221"/>
      <c r="FW64" s="222"/>
      <c r="FX64" s="222"/>
      <c r="FY64" s="222"/>
      <c r="FZ64" s="228"/>
      <c r="GA64" s="221"/>
      <c r="GB64" s="221"/>
      <c r="GC64" s="221"/>
      <c r="GD64" s="221"/>
      <c r="GE64" s="221"/>
      <c r="GF64" s="221"/>
      <c r="GG64" s="221"/>
      <c r="GH64" s="221"/>
      <c r="GI64" s="221"/>
      <c r="GJ64" s="221"/>
      <c r="GK64" s="221"/>
      <c r="GL64" s="221"/>
      <c r="GM64" s="221"/>
      <c r="GN64" s="222"/>
      <c r="GO64" s="221"/>
      <c r="GP64" s="221"/>
      <c r="GQ64" s="221"/>
      <c r="GR64" s="221"/>
      <c r="GS64" s="221"/>
      <c r="GT64" s="221"/>
      <c r="GU64" s="221"/>
      <c r="GV64" s="221"/>
      <c r="GW64" s="222"/>
      <c r="GX64" s="221"/>
      <c r="GY64" s="221"/>
      <c r="GZ64" s="221"/>
      <c r="HA64" s="221"/>
      <c r="HB64" s="221"/>
      <c r="HC64" s="222"/>
      <c r="HD64" s="221"/>
      <c r="HE64" s="221"/>
      <c r="HF64" s="221"/>
      <c r="HG64" s="221"/>
      <c r="HH64" s="221"/>
      <c r="HI64" s="221"/>
      <c r="HJ64" s="221"/>
      <c r="HK64" s="221"/>
      <c r="HL64" s="222"/>
      <c r="HM64" s="221"/>
      <c r="HN64" s="221"/>
      <c r="HO64" s="221"/>
      <c r="HP64" s="221"/>
      <c r="HQ64" s="221"/>
      <c r="HR64" s="221"/>
      <c r="HS64" s="221"/>
      <c r="HT64" s="221"/>
    </row>
    <row r="65" spans="57:228" x14ac:dyDescent="0.25">
      <c r="BE65" s="177"/>
      <c r="BF65" s="166"/>
      <c r="BG65" s="166"/>
      <c r="BH65" s="221"/>
      <c r="BI65" s="221"/>
      <c r="BJ65" s="221"/>
      <c r="BK65" s="221"/>
      <c r="BL65" s="221"/>
      <c r="BM65" s="221"/>
      <c r="BN65" s="221"/>
      <c r="BO65" s="221"/>
      <c r="BP65" s="221"/>
      <c r="BQ65" s="221"/>
      <c r="BR65" s="221"/>
      <c r="BS65" s="221"/>
      <c r="BT65" s="221"/>
      <c r="BU65" s="221"/>
      <c r="BV65" s="221"/>
      <c r="BW65" s="221"/>
      <c r="BX65" s="221"/>
      <c r="BY65" s="221"/>
      <c r="BZ65" s="221"/>
      <c r="CA65" s="221"/>
      <c r="CB65" s="221"/>
      <c r="CC65" s="222"/>
      <c r="CD65" s="221"/>
      <c r="CE65" s="221"/>
      <c r="CF65" s="221"/>
      <c r="CG65" s="221"/>
      <c r="CH65" s="221"/>
      <c r="CI65" s="221"/>
      <c r="CJ65" s="221"/>
      <c r="CK65" s="221"/>
      <c r="CL65" s="222"/>
      <c r="CM65" s="221"/>
      <c r="CN65" s="221"/>
      <c r="CO65" s="221"/>
      <c r="CP65" s="221"/>
      <c r="CQ65" s="221"/>
      <c r="CR65" s="221"/>
      <c r="CS65" s="221"/>
      <c r="CT65" s="221"/>
      <c r="CU65" s="222"/>
      <c r="CV65" s="221"/>
      <c r="CW65" s="221"/>
      <c r="CX65" s="221"/>
      <c r="CY65" s="221"/>
      <c r="CZ65" s="221"/>
      <c r="DA65" s="221"/>
      <c r="DB65" s="221"/>
      <c r="DC65" s="221"/>
      <c r="DD65" s="222"/>
      <c r="DE65" s="221"/>
      <c r="DF65" s="221"/>
      <c r="DG65" s="221"/>
      <c r="DH65" s="221"/>
      <c r="DI65" s="221"/>
      <c r="DJ65" s="221"/>
      <c r="DK65" s="221"/>
      <c r="DL65" s="221"/>
      <c r="DM65" s="222"/>
      <c r="DN65" s="221"/>
      <c r="DO65" s="221"/>
      <c r="DP65" s="221"/>
      <c r="DQ65" s="221"/>
      <c r="DR65" s="226"/>
      <c r="DS65" s="221"/>
      <c r="DT65" s="221"/>
      <c r="DU65" s="221"/>
      <c r="DV65" s="222"/>
      <c r="DW65" s="221"/>
      <c r="DX65" s="221"/>
      <c r="DY65" s="221"/>
      <c r="DZ65" s="221"/>
      <c r="EA65" s="226"/>
      <c r="EB65" s="221"/>
      <c r="EC65" s="221"/>
      <c r="ED65" s="221"/>
      <c r="EE65" s="222"/>
      <c r="EF65" s="221"/>
      <c r="EG65" s="221"/>
      <c r="EH65" s="221"/>
      <c r="EI65" s="221"/>
      <c r="EJ65" s="221"/>
      <c r="EK65" s="221"/>
      <c r="EL65" s="221"/>
      <c r="EM65" s="221"/>
      <c r="EN65" s="222"/>
      <c r="EO65" s="221"/>
      <c r="EP65" s="221"/>
      <c r="EQ65" s="221"/>
      <c r="ER65" s="221"/>
      <c r="ES65" s="221"/>
      <c r="ET65" s="221"/>
      <c r="EU65" s="221"/>
      <c r="EV65" s="221"/>
      <c r="EW65" s="222"/>
      <c r="EX65" s="221"/>
      <c r="EY65" s="221"/>
      <c r="EZ65" s="221"/>
      <c r="FA65" s="221"/>
      <c r="FB65" s="221"/>
      <c r="FC65" s="221"/>
      <c r="FD65" s="221"/>
      <c r="FE65" s="221"/>
      <c r="FF65" s="222"/>
      <c r="FG65" s="221"/>
      <c r="FH65" s="221"/>
      <c r="FI65" s="221"/>
      <c r="FJ65" s="221"/>
      <c r="FK65" s="221"/>
      <c r="FL65" s="221"/>
      <c r="FM65" s="221"/>
      <c r="FN65" s="221"/>
      <c r="FO65" s="222"/>
      <c r="FP65" s="222"/>
      <c r="FQ65" s="227"/>
      <c r="FR65" s="227"/>
      <c r="FS65" s="222"/>
      <c r="FT65" s="222"/>
      <c r="FU65" s="222"/>
      <c r="FV65" s="221"/>
      <c r="FW65" s="222"/>
      <c r="FX65" s="222"/>
      <c r="FY65" s="222"/>
      <c r="FZ65" s="228"/>
      <c r="GA65" s="221"/>
      <c r="GB65" s="221"/>
      <c r="GC65" s="221"/>
      <c r="GD65" s="221"/>
      <c r="GE65" s="221"/>
      <c r="GF65" s="221"/>
      <c r="GG65" s="221"/>
      <c r="GH65" s="221"/>
      <c r="GI65" s="221"/>
      <c r="GJ65" s="221"/>
      <c r="GK65" s="221"/>
      <c r="GL65" s="221"/>
      <c r="GM65" s="221"/>
      <c r="GN65" s="222"/>
      <c r="GO65" s="221"/>
      <c r="GP65" s="221"/>
      <c r="GQ65" s="221"/>
      <c r="GR65" s="221"/>
      <c r="GS65" s="221"/>
      <c r="GT65" s="221"/>
      <c r="GU65" s="221"/>
      <c r="GV65" s="221"/>
      <c r="GW65" s="222"/>
      <c r="GX65" s="221"/>
      <c r="GY65" s="221"/>
      <c r="GZ65" s="221"/>
      <c r="HA65" s="221"/>
      <c r="HB65" s="221"/>
      <c r="HC65" s="222"/>
      <c r="HD65" s="221"/>
      <c r="HE65" s="221"/>
      <c r="HF65" s="221"/>
      <c r="HG65" s="221"/>
      <c r="HH65" s="221"/>
      <c r="HI65" s="221"/>
      <c r="HJ65" s="221"/>
      <c r="HK65" s="221"/>
      <c r="HL65" s="222"/>
      <c r="HM65" s="221"/>
      <c r="HN65" s="221"/>
      <c r="HO65" s="221"/>
      <c r="HP65" s="221"/>
      <c r="HQ65" s="221"/>
      <c r="HR65" s="221"/>
      <c r="HS65" s="221"/>
      <c r="HT65" s="221"/>
    </row>
  </sheetData>
  <mergeCells count="35">
    <mergeCell ref="GX1:HC1"/>
    <mergeCell ref="HD1:HL1"/>
    <mergeCell ref="AV2:AW2"/>
    <mergeCell ref="BZ2:CC2"/>
    <mergeCell ref="FP1:FX1"/>
    <mergeCell ref="GF1:GN1"/>
    <mergeCell ref="BZ1:CC1"/>
    <mergeCell ref="BG1:BI1"/>
    <mergeCell ref="BJ1:BL1"/>
    <mergeCell ref="BM1:BO1"/>
    <mergeCell ref="BP1:BR1"/>
    <mergeCell ref="GO1:GW1"/>
    <mergeCell ref="EF1:EN1"/>
    <mergeCell ref="EO1:EW1"/>
    <mergeCell ref="EX1:FF1"/>
    <mergeCell ref="FG1:FO1"/>
    <mergeCell ref="DW1:EE1"/>
    <mergeCell ref="X1:AA1"/>
    <mergeCell ref="AB1:AE1"/>
    <mergeCell ref="AF1:AI1"/>
    <mergeCell ref="AJ1:AM1"/>
    <mergeCell ref="AN1:AQ1"/>
    <mergeCell ref="CD1:CL1"/>
    <mergeCell ref="CM1:CU1"/>
    <mergeCell ref="CV1:DD1"/>
    <mergeCell ref="DE1:DM1"/>
    <mergeCell ref="DN1:DV1"/>
    <mergeCell ref="AR1:AU1"/>
    <mergeCell ref="AV3:AW3"/>
    <mergeCell ref="AV1:AY1"/>
    <mergeCell ref="D1:G1"/>
    <mergeCell ref="H1:K1"/>
    <mergeCell ref="L1:O1"/>
    <mergeCell ref="P1:S1"/>
    <mergeCell ref="T1:W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K65"/>
  <sheetViews>
    <sheetView topLeftCell="T1" zoomScaleNormal="100" workbookViewId="0">
      <selection activeCell="Z1" sqref="Z1:AD1048576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41" customWidth="1"/>
    <col min="25" max="25" width="9.7109375" style="70" customWidth="1"/>
    <col min="26" max="26" width="2.7109375" customWidth="1"/>
    <col min="27" max="42" width="11.7109375" style="4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42" customWidth="1"/>
    <col min="65" max="65" width="11.7109375" style="42" customWidth="1"/>
    <col min="66" max="70" width="10.7109375" customWidth="1"/>
    <col min="71" max="71" width="15.7109375" customWidth="1"/>
    <col min="72" max="72" width="10.7109375" customWidth="1"/>
    <col min="73" max="73" width="12.85546875" style="71" customWidth="1"/>
    <col min="74" max="74" width="13" style="71" customWidth="1"/>
    <col min="75" max="75" width="13" style="72" customWidth="1"/>
    <col min="76" max="76" width="13" style="73" customWidth="1"/>
    <col min="77" max="77" width="13" style="71" customWidth="1"/>
    <col min="78" max="78" width="13" style="73" customWidth="1"/>
    <col min="79" max="79" width="13" style="71" customWidth="1"/>
    <col min="80" max="80" width="2.7109375" customWidth="1"/>
    <col min="81" max="83" width="10.7109375" customWidth="1"/>
    <col min="84" max="84" width="13.7109375" style="42" customWidth="1"/>
    <col min="85" max="85" width="11.7109375" style="42" customWidth="1"/>
    <col min="86" max="86" width="14.7109375" style="42" customWidth="1"/>
    <col min="87" max="89" width="10.7109375" customWidth="1"/>
    <col min="90" max="90" width="13.7109375" style="42" customWidth="1"/>
    <col min="91" max="91" width="11.7109375" style="74" customWidth="1"/>
    <col min="92" max="92" width="10.7109375" customWidth="1"/>
    <col min="93" max="93" width="15.7109375" customWidth="1"/>
    <col min="94" max="94" width="10.7109375" style="41" customWidth="1"/>
    <col min="95" max="95" width="11.7109375" style="75" customWidth="1"/>
    <col min="96" max="98" width="10.7109375" customWidth="1"/>
    <col min="99" max="99" width="13.7109375" style="42" customWidth="1"/>
    <col min="100" max="100" width="11.7109375" style="74" customWidth="1"/>
    <col min="101" max="101" width="12.7109375" customWidth="1"/>
    <col min="102" max="103" width="10.7109375" customWidth="1"/>
    <col min="104" max="104" width="13.7109375" style="4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60" customFormat="1" ht="31.5" x14ac:dyDescent="0.35">
      <c r="B1" s="87">
        <v>2020</v>
      </c>
      <c r="C1" s="311">
        <v>74860172</v>
      </c>
      <c r="D1" s="312"/>
      <c r="E1" s="313"/>
      <c r="F1" s="311">
        <v>74860173</v>
      </c>
      <c r="G1" s="312"/>
      <c r="H1" s="313"/>
      <c r="I1" s="311">
        <v>44553004</v>
      </c>
      <c r="J1" s="312"/>
      <c r="K1" s="313"/>
      <c r="L1" s="311">
        <v>70275191</v>
      </c>
      <c r="M1" s="312"/>
      <c r="N1" s="313"/>
      <c r="O1" s="311">
        <v>2130521</v>
      </c>
      <c r="P1" s="312"/>
      <c r="Q1" s="313"/>
      <c r="R1" s="16"/>
      <c r="S1" s="314" t="s">
        <v>167</v>
      </c>
      <c r="T1" s="312"/>
      <c r="U1" s="313"/>
      <c r="V1" s="315">
        <v>93477704</v>
      </c>
      <c r="W1" s="316"/>
      <c r="X1" s="317"/>
      <c r="Y1" s="23" t="s">
        <v>406</v>
      </c>
      <c r="Z1" s="16"/>
      <c r="AA1" s="309">
        <v>79177804</v>
      </c>
      <c r="AB1" s="310"/>
      <c r="AC1" s="309">
        <v>79305675</v>
      </c>
      <c r="AD1" s="310"/>
      <c r="AE1" s="309">
        <v>79190041</v>
      </c>
      <c r="AF1" s="310"/>
      <c r="AG1" s="309" t="s">
        <v>49</v>
      </c>
      <c r="AH1" s="310"/>
      <c r="AI1" s="309">
        <v>79190039</v>
      </c>
      <c r="AJ1" s="310"/>
      <c r="AK1" s="309">
        <v>79324776</v>
      </c>
      <c r="AL1" s="310"/>
      <c r="AM1" s="309" t="s">
        <v>161</v>
      </c>
      <c r="AN1" s="310"/>
      <c r="AO1" s="309" t="s">
        <v>163</v>
      </c>
      <c r="AP1" s="310"/>
      <c r="AQ1" s="176"/>
      <c r="AS1" s="311" t="s">
        <v>219</v>
      </c>
      <c r="AT1" s="313"/>
      <c r="AU1" s="176"/>
      <c r="AV1" s="311" t="s">
        <v>55</v>
      </c>
      <c r="AW1" s="313"/>
      <c r="AX1" s="311">
        <v>65956268</v>
      </c>
      <c r="AY1" s="313"/>
      <c r="AZ1" s="24" t="s">
        <v>57</v>
      </c>
      <c r="BA1" s="311">
        <v>1334021</v>
      </c>
      <c r="BB1" s="313"/>
      <c r="BC1" s="311">
        <v>63265094</v>
      </c>
      <c r="BD1" s="313"/>
      <c r="BE1" s="311" t="s">
        <v>407</v>
      </c>
      <c r="BF1" s="313"/>
      <c r="BI1" s="309" t="s">
        <v>408</v>
      </c>
      <c r="BJ1" s="318"/>
      <c r="BK1" s="318"/>
      <c r="BL1" s="318"/>
      <c r="BM1" s="310"/>
      <c r="BN1" s="309" t="s">
        <v>409</v>
      </c>
      <c r="BO1" s="318"/>
      <c r="BP1" s="318"/>
      <c r="BQ1" s="310"/>
      <c r="BR1" s="309" t="s">
        <v>277</v>
      </c>
      <c r="BS1" s="318"/>
      <c r="BT1" s="318"/>
      <c r="BU1" s="310"/>
      <c r="BV1" s="319" t="s">
        <v>277</v>
      </c>
      <c r="BW1" s="320"/>
      <c r="BX1" s="320"/>
      <c r="BY1" s="321"/>
      <c r="BZ1" s="15" t="s">
        <v>410</v>
      </c>
      <c r="CA1" s="88" t="s">
        <v>411</v>
      </c>
      <c r="CB1" s="177"/>
      <c r="CC1" s="309" t="s">
        <v>412</v>
      </c>
      <c r="CD1" s="318"/>
      <c r="CE1" s="318"/>
      <c r="CF1" s="318"/>
      <c r="CG1" s="322" t="s">
        <v>120</v>
      </c>
      <c r="CH1" s="322"/>
      <c r="CI1" s="309" t="s">
        <v>413</v>
      </c>
      <c r="CJ1" s="318"/>
      <c r="CK1" s="318"/>
      <c r="CL1" s="310"/>
      <c r="CM1" s="89"/>
      <c r="CN1" s="309" t="s">
        <v>414</v>
      </c>
      <c r="CO1" s="318"/>
      <c r="CP1" s="318"/>
      <c r="CQ1" s="310"/>
      <c r="CR1" s="309" t="s">
        <v>415</v>
      </c>
      <c r="CS1" s="318"/>
      <c r="CT1" s="318"/>
      <c r="CU1" s="310"/>
      <c r="CV1" s="323" t="s">
        <v>416</v>
      </c>
      <c r="CW1" s="309" t="s">
        <v>417</v>
      </c>
      <c r="CX1" s="318"/>
      <c r="CY1" s="318"/>
      <c r="CZ1" s="310"/>
      <c r="DC1" s="167" t="s">
        <v>418</v>
      </c>
      <c r="DD1" s="167" t="s">
        <v>418</v>
      </c>
      <c r="DE1" s="167" t="s">
        <v>419</v>
      </c>
      <c r="DF1" s="167" t="s">
        <v>420</v>
      </c>
      <c r="DG1" s="167" t="s">
        <v>385</v>
      </c>
      <c r="DI1" s="90" t="s">
        <v>421</v>
      </c>
      <c r="DJ1" s="90" t="s">
        <v>422</v>
      </c>
    </row>
    <row r="2" spans="2:114" ht="15.75" x14ac:dyDescent="0.25">
      <c r="B2" s="27" t="s">
        <v>380</v>
      </c>
      <c r="C2" s="25" t="s">
        <v>423</v>
      </c>
      <c r="D2" s="26"/>
      <c r="E2" s="27" t="s">
        <v>385</v>
      </c>
      <c r="F2" s="25" t="s">
        <v>133</v>
      </c>
      <c r="G2" s="26"/>
      <c r="H2" s="27" t="s">
        <v>385</v>
      </c>
      <c r="I2" s="25"/>
      <c r="J2" s="26"/>
      <c r="K2" s="28"/>
      <c r="L2" s="25" t="s">
        <v>152</v>
      </c>
      <c r="M2" s="26"/>
      <c r="N2" s="28"/>
      <c r="O2" s="288" t="s">
        <v>139</v>
      </c>
      <c r="P2" s="289"/>
      <c r="Q2" s="27" t="s">
        <v>385</v>
      </c>
      <c r="R2" s="16"/>
      <c r="S2" s="25" t="s">
        <v>139</v>
      </c>
      <c r="T2" s="26" t="s">
        <v>424</v>
      </c>
      <c r="U2" s="28"/>
      <c r="V2" s="25" t="s">
        <v>139</v>
      </c>
      <c r="W2" s="26" t="s">
        <v>424</v>
      </c>
      <c r="X2" s="28"/>
      <c r="Y2" s="29"/>
      <c r="Z2" s="176"/>
      <c r="AA2" s="279" t="s">
        <v>425</v>
      </c>
      <c r="AB2" s="280"/>
      <c r="AC2" s="279" t="s">
        <v>426</v>
      </c>
      <c r="AD2" s="280"/>
      <c r="AE2" s="279" t="s">
        <v>427</v>
      </c>
      <c r="AF2" s="280"/>
      <c r="AG2" s="279" t="s">
        <v>428</v>
      </c>
      <c r="AH2" s="280"/>
      <c r="AI2" s="279" t="s">
        <v>287</v>
      </c>
      <c r="AJ2" s="280"/>
      <c r="AK2" s="279" t="s">
        <v>429</v>
      </c>
      <c r="AL2" s="280"/>
      <c r="AM2" s="279" t="s">
        <v>430</v>
      </c>
      <c r="AN2" s="280"/>
      <c r="AO2" s="279" t="s">
        <v>431</v>
      </c>
      <c r="AP2" s="280"/>
      <c r="AQ2" s="176"/>
      <c r="AR2" s="166"/>
      <c r="AS2" s="25">
        <v>46801014</v>
      </c>
      <c r="AT2" s="28"/>
      <c r="AU2" s="176"/>
      <c r="AV2" s="25"/>
      <c r="AW2" s="27" t="s">
        <v>385</v>
      </c>
      <c r="AX2" s="25" t="s">
        <v>432</v>
      </c>
      <c r="AY2" s="27" t="s">
        <v>385</v>
      </c>
      <c r="AZ2" s="27" t="s">
        <v>385</v>
      </c>
      <c r="BA2" s="25"/>
      <c r="BB2" s="27" t="s">
        <v>385</v>
      </c>
      <c r="BC2" s="25"/>
      <c r="BD2" s="27" t="s">
        <v>385</v>
      </c>
      <c r="BE2" s="25"/>
      <c r="BF2" s="27" t="s">
        <v>385</v>
      </c>
      <c r="BG2" s="166"/>
      <c r="BH2" s="166"/>
      <c r="BI2" s="279" t="s">
        <v>433</v>
      </c>
      <c r="BJ2" s="294"/>
      <c r="BK2" s="294"/>
      <c r="BL2" s="294"/>
      <c r="BM2" s="280"/>
      <c r="BN2" s="279" t="s">
        <v>434</v>
      </c>
      <c r="BO2" s="294"/>
      <c r="BP2" s="294"/>
      <c r="BQ2" s="280"/>
      <c r="BR2" s="279" t="s">
        <v>435</v>
      </c>
      <c r="BS2" s="294"/>
      <c r="BT2" s="294"/>
      <c r="BU2" s="280"/>
      <c r="BV2" s="279" t="s">
        <v>435</v>
      </c>
      <c r="BW2" s="294"/>
      <c r="BX2" s="294"/>
      <c r="BY2" s="280"/>
      <c r="BZ2" s="76" t="s">
        <v>436</v>
      </c>
      <c r="CA2" s="77" t="s">
        <v>437</v>
      </c>
      <c r="CB2" s="176"/>
      <c r="CC2" s="279" t="s">
        <v>438</v>
      </c>
      <c r="CD2" s="294"/>
      <c r="CE2" s="294"/>
      <c r="CF2" s="294"/>
      <c r="CG2" s="325" t="s">
        <v>439</v>
      </c>
      <c r="CH2" s="325" t="s">
        <v>440</v>
      </c>
      <c r="CI2" s="279" t="s">
        <v>441</v>
      </c>
      <c r="CJ2" s="294"/>
      <c r="CK2" s="294"/>
      <c r="CL2" s="280"/>
      <c r="CM2" s="323" t="s">
        <v>439</v>
      </c>
      <c r="CN2" s="279" t="s">
        <v>442</v>
      </c>
      <c r="CO2" s="294"/>
      <c r="CP2" s="294"/>
      <c r="CQ2" s="280"/>
      <c r="CR2" s="279" t="s">
        <v>443</v>
      </c>
      <c r="CS2" s="294"/>
      <c r="CT2" s="294"/>
      <c r="CU2" s="280"/>
      <c r="CV2" s="327"/>
      <c r="CW2" s="279" t="s">
        <v>444</v>
      </c>
      <c r="CX2" s="294"/>
      <c r="CY2" s="294"/>
      <c r="CZ2" s="280"/>
      <c r="DA2" s="166"/>
      <c r="DB2" s="166"/>
      <c r="DC2" s="91" t="s">
        <v>131</v>
      </c>
      <c r="DD2" s="91" t="s">
        <v>131</v>
      </c>
      <c r="DE2" s="91" t="s">
        <v>300</v>
      </c>
      <c r="DF2" s="91" t="s">
        <v>385</v>
      </c>
      <c r="DG2" s="91" t="s">
        <v>131</v>
      </c>
      <c r="DH2" s="166"/>
      <c r="DI2" s="28" t="s">
        <v>385</v>
      </c>
      <c r="DJ2" s="28" t="s">
        <v>385</v>
      </c>
    </row>
    <row r="3" spans="2:114" x14ac:dyDescent="0.25">
      <c r="B3" s="53"/>
      <c r="C3" s="279" t="s">
        <v>184</v>
      </c>
      <c r="D3" s="280"/>
      <c r="E3" s="18" t="s">
        <v>445</v>
      </c>
      <c r="F3" s="279" t="s">
        <v>185</v>
      </c>
      <c r="G3" s="280"/>
      <c r="H3" s="18" t="s">
        <v>445</v>
      </c>
      <c r="I3" s="279" t="s">
        <v>186</v>
      </c>
      <c r="J3" s="280"/>
      <c r="K3" s="18"/>
      <c r="L3" s="279" t="s">
        <v>446</v>
      </c>
      <c r="M3" s="280"/>
      <c r="N3" s="18"/>
      <c r="O3" s="279" t="s">
        <v>188</v>
      </c>
      <c r="P3" s="280"/>
      <c r="Q3" s="18" t="s">
        <v>445</v>
      </c>
      <c r="R3" s="30"/>
      <c r="S3" s="279" t="s">
        <v>447</v>
      </c>
      <c r="T3" s="280"/>
      <c r="U3" s="19"/>
      <c r="V3" s="279" t="s">
        <v>447</v>
      </c>
      <c r="W3" s="280"/>
      <c r="X3" s="19"/>
      <c r="Y3" s="29"/>
      <c r="Z3" s="176"/>
      <c r="AA3" s="241" t="s">
        <v>288</v>
      </c>
      <c r="AB3" s="241" t="s">
        <v>448</v>
      </c>
      <c r="AC3" s="241" t="s">
        <v>288</v>
      </c>
      <c r="AD3" s="241" t="s">
        <v>448</v>
      </c>
      <c r="AE3" s="241" t="s">
        <v>288</v>
      </c>
      <c r="AF3" s="241" t="s">
        <v>448</v>
      </c>
      <c r="AG3" s="241" t="s">
        <v>288</v>
      </c>
      <c r="AH3" s="241" t="s">
        <v>448</v>
      </c>
      <c r="AI3" s="241" t="s">
        <v>288</v>
      </c>
      <c r="AJ3" s="241" t="s">
        <v>448</v>
      </c>
      <c r="AK3" s="241" t="s">
        <v>288</v>
      </c>
      <c r="AL3" s="241" t="s">
        <v>448</v>
      </c>
      <c r="AM3" s="241" t="s">
        <v>288</v>
      </c>
      <c r="AN3" s="241" t="s">
        <v>448</v>
      </c>
      <c r="AO3" s="241" t="s">
        <v>288</v>
      </c>
      <c r="AP3" s="241" t="s">
        <v>448</v>
      </c>
      <c r="AQ3" s="176"/>
      <c r="AR3" s="166"/>
      <c r="AS3" s="240" t="s">
        <v>286</v>
      </c>
      <c r="AT3" s="19"/>
      <c r="AU3" s="176"/>
      <c r="AV3" s="240" t="s">
        <v>285</v>
      </c>
      <c r="AW3" s="18" t="s">
        <v>445</v>
      </c>
      <c r="AX3" s="240" t="s">
        <v>285</v>
      </c>
      <c r="AY3" s="18" t="s">
        <v>445</v>
      </c>
      <c r="AZ3" s="18" t="s">
        <v>445</v>
      </c>
      <c r="BA3" s="240" t="s">
        <v>285</v>
      </c>
      <c r="BB3" s="18" t="s">
        <v>445</v>
      </c>
      <c r="BC3" s="240" t="s">
        <v>285</v>
      </c>
      <c r="BD3" s="18" t="s">
        <v>445</v>
      </c>
      <c r="BE3" s="240" t="s">
        <v>285</v>
      </c>
      <c r="BF3" s="18" t="s">
        <v>445</v>
      </c>
      <c r="BG3" s="166"/>
      <c r="BH3" s="166"/>
      <c r="BI3" s="22" t="s">
        <v>399</v>
      </c>
      <c r="BJ3" s="241" t="s">
        <v>400</v>
      </c>
      <c r="BK3" s="22" t="s">
        <v>375</v>
      </c>
      <c r="BL3" s="78" t="s">
        <v>385</v>
      </c>
      <c r="BM3" s="85" t="s">
        <v>439</v>
      </c>
      <c r="BN3" s="22" t="s">
        <v>399</v>
      </c>
      <c r="BO3" s="241" t="s">
        <v>400</v>
      </c>
      <c r="BP3" s="22" t="s">
        <v>375</v>
      </c>
      <c r="BQ3" s="78" t="s">
        <v>385</v>
      </c>
      <c r="BR3" s="22" t="s">
        <v>399</v>
      </c>
      <c r="BS3" s="241" t="s">
        <v>400</v>
      </c>
      <c r="BT3" s="242" t="s">
        <v>449</v>
      </c>
      <c r="BU3" s="79" t="s">
        <v>385</v>
      </c>
      <c r="BV3" s="22" t="s">
        <v>399</v>
      </c>
      <c r="BW3" s="93" t="s">
        <v>400</v>
      </c>
      <c r="BX3" s="31" t="s">
        <v>449</v>
      </c>
      <c r="BY3" s="79" t="s">
        <v>385</v>
      </c>
      <c r="BZ3" s="82" t="s">
        <v>385</v>
      </c>
      <c r="CA3" s="80"/>
      <c r="CB3" s="176"/>
      <c r="CC3" s="22" t="s">
        <v>399</v>
      </c>
      <c r="CD3" s="241" t="s">
        <v>400</v>
      </c>
      <c r="CE3" s="22" t="s">
        <v>375</v>
      </c>
      <c r="CF3" s="78" t="s">
        <v>385</v>
      </c>
      <c r="CG3" s="326"/>
      <c r="CH3" s="326"/>
      <c r="CI3" s="22" t="s">
        <v>399</v>
      </c>
      <c r="CJ3" s="241" t="s">
        <v>400</v>
      </c>
      <c r="CK3" s="22" t="s">
        <v>375</v>
      </c>
      <c r="CL3" s="78" t="s">
        <v>385</v>
      </c>
      <c r="CM3" s="324"/>
      <c r="CN3" s="22" t="s">
        <v>399</v>
      </c>
      <c r="CO3" s="241" t="s">
        <v>400</v>
      </c>
      <c r="CP3" s="242" t="s">
        <v>375</v>
      </c>
      <c r="CQ3" s="79" t="s">
        <v>385</v>
      </c>
      <c r="CR3" s="22" t="s">
        <v>399</v>
      </c>
      <c r="CS3" s="241" t="s">
        <v>400</v>
      </c>
      <c r="CT3" s="22" t="s">
        <v>375</v>
      </c>
      <c r="CU3" s="78" t="s">
        <v>385</v>
      </c>
      <c r="CV3" s="324"/>
      <c r="CW3" s="22" t="s">
        <v>399</v>
      </c>
      <c r="CX3" s="241" t="s">
        <v>400</v>
      </c>
      <c r="CY3" s="22" t="s">
        <v>375</v>
      </c>
      <c r="CZ3" s="78" t="s">
        <v>385</v>
      </c>
      <c r="DA3" s="166"/>
      <c r="DB3" s="166"/>
      <c r="DC3" s="19" t="s">
        <v>288</v>
      </c>
      <c r="DD3" s="19" t="s">
        <v>385</v>
      </c>
      <c r="DE3" s="19" t="s">
        <v>385</v>
      </c>
      <c r="DF3" s="19"/>
      <c r="DG3" s="19"/>
      <c r="DH3" s="166"/>
      <c r="DI3" s="19"/>
      <c r="DJ3" s="19"/>
    </row>
    <row r="4" spans="2:114" s="94" customFormat="1" x14ac:dyDescent="0.25">
      <c r="B4" s="197">
        <v>43831</v>
      </c>
      <c r="C4" s="307">
        <v>36660828</v>
      </c>
      <c r="D4" s="307"/>
      <c r="E4" s="198">
        <v>0</v>
      </c>
      <c r="F4" s="307">
        <v>4194369</v>
      </c>
      <c r="G4" s="307"/>
      <c r="H4" s="198">
        <v>0</v>
      </c>
      <c r="I4" s="307">
        <v>15866</v>
      </c>
      <c r="J4" s="307"/>
      <c r="K4" s="198">
        <v>0</v>
      </c>
      <c r="L4" s="307">
        <v>268314</v>
      </c>
      <c r="M4" s="307"/>
      <c r="N4" s="198">
        <v>0</v>
      </c>
      <c r="O4" s="307">
        <v>8303</v>
      </c>
      <c r="P4" s="307"/>
      <c r="Q4" s="198">
        <v>0</v>
      </c>
      <c r="R4" s="199"/>
      <c r="S4" s="307">
        <v>610958</v>
      </c>
      <c r="T4" s="307"/>
      <c r="U4" s="198">
        <v>0</v>
      </c>
      <c r="V4" s="308">
        <v>73030</v>
      </c>
      <c r="W4" s="308"/>
      <c r="X4" s="198">
        <v>0</v>
      </c>
      <c r="Y4" s="198">
        <v>0</v>
      </c>
      <c r="Z4" s="200"/>
      <c r="AA4" s="201">
        <v>4422</v>
      </c>
      <c r="AB4" s="198">
        <v>0</v>
      </c>
      <c r="AC4" s="201">
        <v>172374222</v>
      </c>
      <c r="AD4" s="198">
        <v>0</v>
      </c>
      <c r="AE4" s="201">
        <v>93168</v>
      </c>
      <c r="AF4" s="198">
        <v>0</v>
      </c>
      <c r="AG4" s="201">
        <v>2623978</v>
      </c>
      <c r="AH4" s="198">
        <v>0</v>
      </c>
      <c r="AI4" s="201">
        <v>3353480</v>
      </c>
      <c r="AJ4" s="198">
        <v>0</v>
      </c>
      <c r="AK4" s="201">
        <v>14395</v>
      </c>
      <c r="AL4" s="198">
        <v>0</v>
      </c>
      <c r="AM4" s="201">
        <v>7</v>
      </c>
      <c r="AN4" s="198">
        <v>0</v>
      </c>
      <c r="AO4" s="201">
        <v>9978</v>
      </c>
      <c r="AP4" s="198">
        <v>0</v>
      </c>
      <c r="AQ4" s="202"/>
      <c r="AR4" s="197">
        <f t="shared" ref="AR4:AR44" si="0">B4</f>
        <v>43831</v>
      </c>
      <c r="AS4" s="203">
        <v>4578</v>
      </c>
      <c r="AT4" s="198">
        <v>0</v>
      </c>
      <c r="AU4" s="202"/>
      <c r="AV4" s="203">
        <v>15394250</v>
      </c>
      <c r="AW4" s="198">
        <v>0</v>
      </c>
      <c r="AX4" s="201">
        <v>221617658</v>
      </c>
      <c r="AY4" s="198">
        <v>0</v>
      </c>
      <c r="AZ4" s="198">
        <v>0</v>
      </c>
      <c r="BA4" s="203">
        <v>6803100</v>
      </c>
      <c r="BB4" s="198">
        <v>0</v>
      </c>
      <c r="BC4" s="203">
        <v>3682500</v>
      </c>
      <c r="BD4" s="198">
        <v>0</v>
      </c>
      <c r="BE4" s="203">
        <v>35751867</v>
      </c>
      <c r="BF4" s="198">
        <v>0</v>
      </c>
      <c r="BG4" s="204"/>
      <c r="BH4" s="204"/>
      <c r="BI4" s="205">
        <f t="shared" ref="BI4:BI51" si="1">(C4)</f>
        <v>36660828</v>
      </c>
      <c r="BJ4" s="168">
        <v>364911</v>
      </c>
      <c r="BK4" s="204"/>
      <c r="BL4" s="206"/>
      <c r="BM4" s="206"/>
      <c r="BN4" s="205">
        <f t="shared" ref="BN4:BN51" si="2">(F4)</f>
        <v>4194369</v>
      </c>
      <c r="BO4" s="168">
        <v>41928</v>
      </c>
      <c r="BP4" s="204"/>
      <c r="BQ4" s="204"/>
      <c r="BR4" s="205">
        <f t="shared" ref="BR4:BR51" si="3">(S4)</f>
        <v>610958</v>
      </c>
      <c r="BS4" s="204"/>
      <c r="BT4" s="204"/>
      <c r="BU4" s="193"/>
      <c r="BV4" s="205">
        <f t="shared" ref="BV4:BV51" si="4">V4</f>
        <v>73030</v>
      </c>
      <c r="BW4" s="195"/>
      <c r="BX4" s="196"/>
      <c r="BY4" s="193"/>
      <c r="BZ4" s="196"/>
      <c r="CA4" s="193"/>
      <c r="CB4" s="202"/>
      <c r="CC4" s="205">
        <f t="shared" ref="CC4:CC44" si="5">(BA4)</f>
        <v>6803100</v>
      </c>
      <c r="CD4" s="168">
        <v>6801</v>
      </c>
      <c r="CE4" s="204"/>
      <c r="CF4" s="206"/>
      <c r="CG4" s="206"/>
      <c r="CH4" s="206"/>
      <c r="CI4" s="205">
        <f t="shared" ref="CI4:CI51" si="6">(AV4)</f>
        <v>15394250</v>
      </c>
      <c r="CJ4" s="168">
        <v>15267</v>
      </c>
      <c r="CK4" s="204"/>
      <c r="CL4" s="206"/>
      <c r="CM4" s="207"/>
      <c r="CN4" s="205">
        <f t="shared" ref="CN4:CN51" si="7">(AS4)</f>
        <v>4578</v>
      </c>
      <c r="CO4" s="204"/>
      <c r="CP4" s="208"/>
      <c r="CQ4" s="194"/>
      <c r="CR4" s="205">
        <f t="shared" ref="CR4:CR40" si="8">(BC4)</f>
        <v>3682500</v>
      </c>
      <c r="CS4" s="168">
        <v>3682</v>
      </c>
      <c r="CT4" s="204"/>
      <c r="CU4" s="206"/>
      <c r="CV4" s="207"/>
      <c r="CW4" s="205">
        <f t="shared" ref="CW4:CW51" si="9">(BE4)</f>
        <v>35751867</v>
      </c>
      <c r="CX4" s="168">
        <v>357402</v>
      </c>
      <c r="CY4" s="204"/>
      <c r="CZ4" s="206"/>
      <c r="DA4" s="204"/>
      <c r="DB4" s="204"/>
      <c r="DC4" s="204"/>
      <c r="DD4" s="209"/>
      <c r="DE4" s="209"/>
      <c r="DF4" s="209"/>
      <c r="DG4" s="209"/>
      <c r="DH4" s="210"/>
      <c r="DI4" s="211"/>
      <c r="DJ4" s="211"/>
    </row>
    <row r="5" spans="2:114" s="94" customFormat="1" x14ac:dyDescent="0.25">
      <c r="B5" s="197">
        <v>43835</v>
      </c>
      <c r="C5" s="307">
        <v>36742143</v>
      </c>
      <c r="D5" s="307"/>
      <c r="E5" s="198">
        <f t="shared" ref="E5:E11" si="10">SUM(C5-C4)*10</f>
        <v>813150</v>
      </c>
      <c r="F5" s="307">
        <v>4194598</v>
      </c>
      <c r="G5" s="307"/>
      <c r="H5" s="198">
        <f t="shared" ref="H5" si="11">SUM(F5-F4)*10</f>
        <v>2290</v>
      </c>
      <c r="I5" s="307">
        <v>15875</v>
      </c>
      <c r="J5" s="307"/>
      <c r="K5" s="198">
        <f t="shared" ref="K5:K6" si="12">SUM(I5-I4)*10</f>
        <v>90</v>
      </c>
      <c r="L5" s="307">
        <v>268816</v>
      </c>
      <c r="M5" s="307"/>
      <c r="N5" s="198">
        <f t="shared" ref="N5:N51" si="13">SUM(L5-L4)*1000</f>
        <v>502000</v>
      </c>
      <c r="O5" s="307">
        <v>8434</v>
      </c>
      <c r="P5" s="307"/>
      <c r="Q5" s="198">
        <f t="shared" ref="Q5:Q27" si="14">SUM(O5-O4)*100</f>
        <v>13100</v>
      </c>
      <c r="R5" s="199"/>
      <c r="S5" s="307">
        <v>612904</v>
      </c>
      <c r="T5" s="307"/>
      <c r="U5" s="198">
        <f t="shared" ref="U5:U27" si="15">SUM(S5-S4)*100</f>
        <v>194600</v>
      </c>
      <c r="V5" s="308">
        <v>86168</v>
      </c>
      <c r="W5" s="308"/>
      <c r="X5" s="198">
        <f t="shared" ref="X5:X25" si="16">SUM(V5-V4)*100</f>
        <v>1313800</v>
      </c>
      <c r="Y5" s="213">
        <f t="shared" ref="Y5:Y25" si="17">SUM(U5+X5)</f>
        <v>1508400</v>
      </c>
      <c r="Z5" s="200"/>
      <c r="AA5" s="201">
        <v>4528</v>
      </c>
      <c r="AB5" s="198">
        <f t="shared" ref="AB5:AB23" si="18">SUM(AA5-AA4)*10000</f>
        <v>1060000</v>
      </c>
      <c r="AC5" s="201">
        <v>174621169</v>
      </c>
      <c r="AD5" s="198">
        <f t="shared" ref="AD5:AD23" si="19">SUM(AC5-AC4)*0.1</f>
        <v>224694.7</v>
      </c>
      <c r="AE5" s="201">
        <v>93186</v>
      </c>
      <c r="AF5" s="198">
        <f t="shared" ref="AF5:AF51" si="20">SUM(AE5-AE4)*10</f>
        <v>180</v>
      </c>
      <c r="AG5" s="201">
        <v>2627901</v>
      </c>
      <c r="AH5" s="198">
        <f t="shared" ref="AH5:AH51" si="21">SUM(AG5-AG4)*10</f>
        <v>39230</v>
      </c>
      <c r="AI5" s="201">
        <v>3365606</v>
      </c>
      <c r="AJ5" s="198">
        <f t="shared" ref="AJ5:AJ51" si="22">SUM(AI5-AI4)</f>
        <v>12126</v>
      </c>
      <c r="AK5" s="201">
        <v>14423</v>
      </c>
      <c r="AL5" s="198">
        <f t="shared" ref="AL5:AL51" si="23">SUM(AK5-AK4)*1000</f>
        <v>28000</v>
      </c>
      <c r="AM5" s="201">
        <v>7</v>
      </c>
      <c r="AN5" s="192">
        <f t="shared" ref="AN5:AN51" si="24">SUM(AM5-AM4)*1000</f>
        <v>0</v>
      </c>
      <c r="AO5" s="201">
        <v>10018</v>
      </c>
      <c r="AP5" s="198">
        <f t="shared" ref="AP5:AP51" si="25">SUM(AO5-AO4)*100</f>
        <v>4000</v>
      </c>
      <c r="AQ5" s="202"/>
      <c r="AR5" s="197">
        <f t="shared" si="0"/>
        <v>43835</v>
      </c>
      <c r="AS5" s="203">
        <v>4679</v>
      </c>
      <c r="AT5" s="198">
        <f t="shared" ref="AT5:AT15" si="26">SUM(AS5-AS4)</f>
        <v>101</v>
      </c>
      <c r="AU5" s="202"/>
      <c r="AV5" s="203">
        <v>15461945</v>
      </c>
      <c r="AW5" s="198">
        <f t="shared" ref="AW5:AW13" si="27">SUM(AV5-AV4)</f>
        <v>67695</v>
      </c>
      <c r="AX5" s="201">
        <v>227233046</v>
      </c>
      <c r="AY5" s="212">
        <f t="shared" ref="AY5:AY13" si="28">SUM(AX5-AX4)/100</f>
        <v>56153.88</v>
      </c>
      <c r="AZ5" s="198">
        <f t="shared" ref="AZ5:AZ13" si="29">SUM(AW5-AY5)</f>
        <v>11541.120000000003</v>
      </c>
      <c r="BA5" s="203">
        <v>6804600</v>
      </c>
      <c r="BB5" s="198">
        <f t="shared" ref="BB5:BB51" si="30">SUM(BA5-BA4)</f>
        <v>1500</v>
      </c>
      <c r="BC5" s="203">
        <v>3682700</v>
      </c>
      <c r="BD5" s="198">
        <f t="shared" ref="BD5:BD51" si="31">SUM(BC5-BC4)</f>
        <v>200</v>
      </c>
      <c r="BE5" s="203">
        <v>35758144</v>
      </c>
      <c r="BF5" s="198">
        <f t="shared" ref="BF5:BF51" si="32">SUM(BE5-BE4)</f>
        <v>6277</v>
      </c>
      <c r="BG5" s="204"/>
      <c r="BH5" s="204"/>
      <c r="BI5" s="205">
        <f t="shared" si="1"/>
        <v>36742143</v>
      </c>
      <c r="BJ5" s="204"/>
      <c r="BK5" s="204"/>
      <c r="BL5" s="206"/>
      <c r="BM5" s="206"/>
      <c r="BN5" s="205">
        <f t="shared" si="2"/>
        <v>4194598</v>
      </c>
      <c r="BO5" s="204"/>
      <c r="BP5" s="204"/>
      <c r="BQ5" s="204"/>
      <c r="BR5" s="205">
        <f t="shared" si="3"/>
        <v>612904</v>
      </c>
      <c r="BS5" s="204"/>
      <c r="BT5" s="204"/>
      <c r="BU5" s="193"/>
      <c r="BV5" s="205">
        <f t="shared" si="4"/>
        <v>86168</v>
      </c>
      <c r="BW5" s="195"/>
      <c r="BX5" s="196"/>
      <c r="BY5" s="193"/>
      <c r="BZ5" s="196"/>
      <c r="CA5" s="193"/>
      <c r="CB5" s="202"/>
      <c r="CC5" s="205">
        <f t="shared" si="5"/>
        <v>6804600</v>
      </c>
      <c r="CD5" s="204"/>
      <c r="CE5" s="204"/>
      <c r="CF5" s="206"/>
      <c r="CG5" s="206"/>
      <c r="CH5" s="206"/>
      <c r="CI5" s="205">
        <f t="shared" si="6"/>
        <v>15461945</v>
      </c>
      <c r="CJ5" s="204"/>
      <c r="CK5" s="204"/>
      <c r="CL5" s="206"/>
      <c r="CM5" s="207"/>
      <c r="CN5" s="205">
        <f t="shared" si="7"/>
        <v>4679</v>
      </c>
      <c r="CO5" s="204"/>
      <c r="CP5" s="208"/>
      <c r="CQ5" s="194"/>
      <c r="CR5" s="205">
        <f t="shared" si="8"/>
        <v>3682700</v>
      </c>
      <c r="CS5" s="204"/>
      <c r="CT5" s="204"/>
      <c r="CU5" s="206"/>
      <c r="CV5" s="207"/>
      <c r="CW5" s="205">
        <f t="shared" si="9"/>
        <v>35758144</v>
      </c>
      <c r="CX5" s="204"/>
      <c r="CY5" s="204"/>
      <c r="CZ5" s="206"/>
      <c r="DA5" s="204"/>
      <c r="DB5" s="204"/>
      <c r="DC5" s="204"/>
      <c r="DD5" s="209"/>
      <c r="DE5" s="209"/>
      <c r="DF5" s="209"/>
      <c r="DG5" s="209"/>
      <c r="DH5" s="210"/>
      <c r="DI5" s="211"/>
      <c r="DJ5" s="211"/>
    </row>
    <row r="6" spans="2:114" s="94" customFormat="1" x14ac:dyDescent="0.25">
      <c r="B6" s="197">
        <v>43842</v>
      </c>
      <c r="C6" s="307">
        <v>36829385</v>
      </c>
      <c r="D6" s="307"/>
      <c r="E6" s="198">
        <f t="shared" si="10"/>
        <v>872420</v>
      </c>
      <c r="F6" s="307">
        <v>4199287</v>
      </c>
      <c r="G6" s="307"/>
      <c r="H6" s="198">
        <f t="shared" ref="H6" si="33">SUM(F6-F5)*10</f>
        <v>46890</v>
      </c>
      <c r="I6" s="307">
        <v>15899</v>
      </c>
      <c r="J6" s="307"/>
      <c r="K6" s="198">
        <f t="shared" si="12"/>
        <v>240</v>
      </c>
      <c r="L6" s="307">
        <v>269453</v>
      </c>
      <c r="M6" s="307"/>
      <c r="N6" s="198">
        <f t="shared" si="13"/>
        <v>637000</v>
      </c>
      <c r="O6" s="307">
        <v>8471</v>
      </c>
      <c r="P6" s="307"/>
      <c r="Q6" s="198">
        <f t="shared" si="14"/>
        <v>3700</v>
      </c>
      <c r="R6" s="199"/>
      <c r="S6" s="307">
        <v>614988</v>
      </c>
      <c r="T6" s="307"/>
      <c r="U6" s="198">
        <f t="shared" si="15"/>
        <v>208400</v>
      </c>
      <c r="V6" s="308">
        <v>102749</v>
      </c>
      <c r="W6" s="308"/>
      <c r="X6" s="198">
        <f t="shared" si="16"/>
        <v>1658100</v>
      </c>
      <c r="Y6" s="213">
        <f t="shared" si="17"/>
        <v>1866500</v>
      </c>
      <c r="Z6" s="200"/>
      <c r="AA6" s="201">
        <v>4667</v>
      </c>
      <c r="AB6" s="198">
        <f t="shared" si="18"/>
        <v>1390000</v>
      </c>
      <c r="AC6" s="201">
        <v>177311807</v>
      </c>
      <c r="AD6" s="198">
        <f t="shared" si="19"/>
        <v>269063.8</v>
      </c>
      <c r="AE6" s="201">
        <v>93459</v>
      </c>
      <c r="AF6" s="198">
        <f t="shared" si="20"/>
        <v>2730</v>
      </c>
      <c r="AG6" s="201">
        <v>2637250</v>
      </c>
      <c r="AH6" s="198">
        <f t="shared" si="21"/>
        <v>93490</v>
      </c>
      <c r="AI6" s="201">
        <v>3381806</v>
      </c>
      <c r="AJ6" s="198">
        <f t="shared" si="22"/>
        <v>16200</v>
      </c>
      <c r="AK6" s="201">
        <v>14487</v>
      </c>
      <c r="AL6" s="198">
        <f t="shared" si="23"/>
        <v>64000</v>
      </c>
      <c r="AM6" s="201">
        <v>7</v>
      </c>
      <c r="AN6" s="192">
        <f t="shared" si="24"/>
        <v>0</v>
      </c>
      <c r="AO6" s="201">
        <v>10075</v>
      </c>
      <c r="AP6" s="198">
        <f t="shared" si="25"/>
        <v>5700</v>
      </c>
      <c r="AQ6" s="202"/>
      <c r="AR6" s="197">
        <f t="shared" si="0"/>
        <v>43842</v>
      </c>
      <c r="AS6" s="203">
        <v>4791</v>
      </c>
      <c r="AT6" s="198">
        <f t="shared" si="26"/>
        <v>112</v>
      </c>
      <c r="AU6" s="202"/>
      <c r="AV6" s="203">
        <v>15542330</v>
      </c>
      <c r="AW6" s="198">
        <f t="shared" si="27"/>
        <v>80385</v>
      </c>
      <c r="AX6" s="201">
        <v>233781604</v>
      </c>
      <c r="AY6" s="212">
        <f t="shared" si="28"/>
        <v>65485.58</v>
      </c>
      <c r="AZ6" s="198">
        <f t="shared" si="29"/>
        <v>14899.419999999998</v>
      </c>
      <c r="BA6" s="203">
        <v>6810600</v>
      </c>
      <c r="BB6" s="198">
        <f t="shared" si="30"/>
        <v>6000</v>
      </c>
      <c r="BC6" s="203">
        <v>3683100</v>
      </c>
      <c r="BD6" s="198">
        <f t="shared" si="31"/>
        <v>400</v>
      </c>
      <c r="BE6" s="203">
        <v>35765649</v>
      </c>
      <c r="BF6" s="198">
        <f t="shared" si="32"/>
        <v>7505</v>
      </c>
      <c r="BG6" s="204"/>
      <c r="BH6" s="204"/>
      <c r="BI6" s="205">
        <f t="shared" si="1"/>
        <v>36829385</v>
      </c>
      <c r="BJ6" s="204"/>
      <c r="BK6" s="204"/>
      <c r="BL6" s="206"/>
      <c r="BM6" s="206"/>
      <c r="BN6" s="205">
        <f t="shared" si="2"/>
        <v>4199287</v>
      </c>
      <c r="BO6" s="204"/>
      <c r="BP6" s="204"/>
      <c r="BQ6" s="204"/>
      <c r="BR6" s="205">
        <f t="shared" si="3"/>
        <v>614988</v>
      </c>
      <c r="BS6" s="204"/>
      <c r="BT6" s="204"/>
      <c r="BU6" s="193"/>
      <c r="BV6" s="205">
        <f t="shared" si="4"/>
        <v>102749</v>
      </c>
      <c r="BW6" s="195"/>
      <c r="BX6" s="196"/>
      <c r="BY6" s="193"/>
      <c r="BZ6" s="196"/>
      <c r="CA6" s="193"/>
      <c r="CB6" s="202"/>
      <c r="CC6" s="205">
        <f t="shared" si="5"/>
        <v>6810600</v>
      </c>
      <c r="CD6" s="204"/>
      <c r="CE6" s="204"/>
      <c r="CF6" s="206"/>
      <c r="CG6" s="206"/>
      <c r="CH6" s="206"/>
      <c r="CI6" s="205">
        <f t="shared" si="6"/>
        <v>15542330</v>
      </c>
      <c r="CJ6" s="204"/>
      <c r="CK6" s="204"/>
      <c r="CL6" s="206"/>
      <c r="CM6" s="207"/>
      <c r="CN6" s="205">
        <f t="shared" si="7"/>
        <v>4791</v>
      </c>
      <c r="CO6" s="204"/>
      <c r="CP6" s="208"/>
      <c r="CQ6" s="194"/>
      <c r="CR6" s="205">
        <f t="shared" si="8"/>
        <v>3683100</v>
      </c>
      <c r="CS6" s="204"/>
      <c r="CT6" s="204"/>
      <c r="CU6" s="206"/>
      <c r="CV6" s="207"/>
      <c r="CW6" s="205">
        <f t="shared" si="9"/>
        <v>35765649</v>
      </c>
      <c r="CX6" s="204"/>
      <c r="CY6" s="204"/>
      <c r="CZ6" s="206"/>
      <c r="DA6" s="204"/>
      <c r="DB6" s="204"/>
      <c r="DC6" s="204"/>
      <c r="DD6" s="209"/>
      <c r="DE6" s="209"/>
      <c r="DF6" s="209"/>
      <c r="DG6" s="209"/>
      <c r="DH6" s="210"/>
      <c r="DI6" s="211"/>
      <c r="DJ6" s="211"/>
    </row>
    <row r="7" spans="2:114" s="94" customFormat="1" x14ac:dyDescent="0.25">
      <c r="B7" s="197">
        <v>43849</v>
      </c>
      <c r="C7" s="307">
        <v>36941045</v>
      </c>
      <c r="D7" s="307"/>
      <c r="E7" s="198">
        <f t="shared" si="10"/>
        <v>1116600</v>
      </c>
      <c r="F7" s="307">
        <v>4208571</v>
      </c>
      <c r="G7" s="307"/>
      <c r="H7" s="198">
        <f t="shared" ref="H7" si="34">SUM(F7-F6)*10</f>
        <v>92840</v>
      </c>
      <c r="I7" s="307">
        <v>15967</v>
      </c>
      <c r="J7" s="307"/>
      <c r="K7" s="198">
        <f t="shared" ref="K7" si="35">SUM(I7-I6)*10</f>
        <v>680</v>
      </c>
      <c r="L7" s="307">
        <v>270287</v>
      </c>
      <c r="M7" s="307"/>
      <c r="N7" s="198">
        <f t="shared" si="13"/>
        <v>834000</v>
      </c>
      <c r="O7" s="307">
        <v>8471</v>
      </c>
      <c r="P7" s="307"/>
      <c r="Q7" s="198">
        <f t="shared" si="14"/>
        <v>0</v>
      </c>
      <c r="R7" s="199"/>
      <c r="S7" s="307">
        <v>617089</v>
      </c>
      <c r="T7" s="307"/>
      <c r="U7" s="198">
        <f t="shared" si="15"/>
        <v>210100</v>
      </c>
      <c r="V7" s="308">
        <v>114470</v>
      </c>
      <c r="W7" s="308"/>
      <c r="X7" s="198">
        <f t="shared" si="16"/>
        <v>1172100</v>
      </c>
      <c r="Y7" s="213">
        <f t="shared" si="17"/>
        <v>1382200</v>
      </c>
      <c r="Z7" s="200"/>
      <c r="AA7" s="201">
        <v>4857</v>
      </c>
      <c r="AB7" s="198">
        <f t="shared" si="18"/>
        <v>1900000</v>
      </c>
      <c r="AC7" s="201">
        <v>181662374</v>
      </c>
      <c r="AD7" s="198">
        <f t="shared" si="19"/>
        <v>435056.7</v>
      </c>
      <c r="AE7" s="201">
        <v>93608</v>
      </c>
      <c r="AF7" s="198">
        <f t="shared" si="20"/>
        <v>1490</v>
      </c>
      <c r="AG7" s="201">
        <v>2649954</v>
      </c>
      <c r="AH7" s="198">
        <f t="shared" si="21"/>
        <v>127040</v>
      </c>
      <c r="AI7" s="201">
        <v>3398349</v>
      </c>
      <c r="AJ7" s="198">
        <f t="shared" si="22"/>
        <v>16543</v>
      </c>
      <c r="AK7" s="201">
        <v>14541</v>
      </c>
      <c r="AL7" s="198">
        <f t="shared" si="23"/>
        <v>54000</v>
      </c>
      <c r="AM7" s="201">
        <v>7</v>
      </c>
      <c r="AN7" s="192">
        <f t="shared" si="24"/>
        <v>0</v>
      </c>
      <c r="AO7" s="201">
        <v>10134</v>
      </c>
      <c r="AP7" s="198">
        <f t="shared" si="25"/>
        <v>5900</v>
      </c>
      <c r="AQ7" s="202"/>
      <c r="AR7" s="197">
        <f t="shared" si="0"/>
        <v>43849</v>
      </c>
      <c r="AS7" s="203">
        <v>4966</v>
      </c>
      <c r="AT7" s="198">
        <f t="shared" si="26"/>
        <v>175</v>
      </c>
      <c r="AU7" s="202"/>
      <c r="AV7" s="203">
        <v>15633869</v>
      </c>
      <c r="AW7" s="198">
        <f t="shared" si="27"/>
        <v>91539</v>
      </c>
      <c r="AX7" s="201">
        <v>240221604</v>
      </c>
      <c r="AY7" s="212">
        <f t="shared" si="28"/>
        <v>64400</v>
      </c>
      <c r="AZ7" s="198">
        <f t="shared" si="29"/>
        <v>27139</v>
      </c>
      <c r="BA7" s="203">
        <v>6815000</v>
      </c>
      <c r="BB7" s="198">
        <f t="shared" si="30"/>
        <v>4400</v>
      </c>
      <c r="BC7" s="203">
        <v>3684200</v>
      </c>
      <c r="BD7" s="198">
        <f t="shared" si="31"/>
        <v>1100</v>
      </c>
      <c r="BE7" s="203">
        <v>35772955</v>
      </c>
      <c r="BF7" s="198">
        <f t="shared" si="32"/>
        <v>7306</v>
      </c>
      <c r="BG7" s="204"/>
      <c r="BH7" s="204"/>
      <c r="BI7" s="205">
        <f t="shared" si="1"/>
        <v>36941045</v>
      </c>
      <c r="BJ7" s="204"/>
      <c r="BK7" s="204"/>
      <c r="BL7" s="206"/>
      <c r="BM7" s="206"/>
      <c r="BN7" s="205">
        <f t="shared" si="2"/>
        <v>4208571</v>
      </c>
      <c r="BO7" s="204"/>
      <c r="BP7" s="204"/>
      <c r="BQ7" s="204"/>
      <c r="BR7" s="205">
        <f t="shared" si="3"/>
        <v>617089</v>
      </c>
      <c r="BS7" s="204"/>
      <c r="BT7" s="204"/>
      <c r="BU7" s="193"/>
      <c r="BV7" s="205">
        <f t="shared" si="4"/>
        <v>114470</v>
      </c>
      <c r="BW7" s="195"/>
      <c r="BX7" s="196"/>
      <c r="BY7" s="193"/>
      <c r="BZ7" s="196"/>
      <c r="CA7" s="193"/>
      <c r="CB7" s="202"/>
      <c r="CC7" s="205">
        <f t="shared" si="5"/>
        <v>6815000</v>
      </c>
      <c r="CD7" s="204"/>
      <c r="CE7" s="204"/>
      <c r="CF7" s="206"/>
      <c r="CG7" s="206"/>
      <c r="CH7" s="206"/>
      <c r="CI7" s="205">
        <f t="shared" si="6"/>
        <v>15633869</v>
      </c>
      <c r="CJ7" s="204"/>
      <c r="CK7" s="204"/>
      <c r="CL7" s="206"/>
      <c r="CM7" s="207"/>
      <c r="CN7" s="205">
        <f t="shared" si="7"/>
        <v>4966</v>
      </c>
      <c r="CO7" s="204"/>
      <c r="CP7" s="208"/>
      <c r="CQ7" s="194"/>
      <c r="CR7" s="205">
        <f t="shared" si="8"/>
        <v>3684200</v>
      </c>
      <c r="CS7" s="204"/>
      <c r="CT7" s="204"/>
      <c r="CU7" s="206"/>
      <c r="CV7" s="207"/>
      <c r="CW7" s="205">
        <f t="shared" si="9"/>
        <v>35772955</v>
      </c>
      <c r="CX7" s="204"/>
      <c r="CY7" s="204"/>
      <c r="CZ7" s="206"/>
      <c r="DA7" s="204"/>
      <c r="DB7" s="204"/>
      <c r="DC7" s="204"/>
      <c r="DD7" s="209"/>
      <c r="DE7" s="209"/>
      <c r="DF7" s="209"/>
      <c r="DG7" s="209"/>
      <c r="DH7" s="210"/>
      <c r="DI7" s="211"/>
      <c r="DJ7" s="211"/>
    </row>
    <row r="8" spans="2:114" s="94" customFormat="1" x14ac:dyDescent="0.25">
      <c r="B8" s="197">
        <v>43856</v>
      </c>
      <c r="C8" s="307">
        <v>37032830</v>
      </c>
      <c r="D8" s="307"/>
      <c r="E8" s="198">
        <f t="shared" si="10"/>
        <v>917850</v>
      </c>
      <c r="F8" s="307">
        <v>4208999</v>
      </c>
      <c r="G8" s="307"/>
      <c r="H8" s="198">
        <f t="shared" ref="H8:H9" si="36">SUM(F8-F7)*10</f>
        <v>4280</v>
      </c>
      <c r="I8" s="307">
        <v>15991</v>
      </c>
      <c r="J8" s="307"/>
      <c r="K8" s="198">
        <f t="shared" ref="K8:K9" si="37">SUM(I8-I7)*10</f>
        <v>240</v>
      </c>
      <c r="L8" s="307">
        <v>271023</v>
      </c>
      <c r="M8" s="307"/>
      <c r="N8" s="198">
        <f t="shared" si="13"/>
        <v>736000</v>
      </c>
      <c r="O8" s="307">
        <v>8471</v>
      </c>
      <c r="P8" s="307"/>
      <c r="Q8" s="198">
        <f t="shared" si="14"/>
        <v>0</v>
      </c>
      <c r="R8" s="199"/>
      <c r="S8" s="307">
        <v>619645</v>
      </c>
      <c r="T8" s="307"/>
      <c r="U8" s="198">
        <f t="shared" si="15"/>
        <v>255600</v>
      </c>
      <c r="V8" s="308">
        <v>127420</v>
      </c>
      <c r="W8" s="308"/>
      <c r="X8" s="198">
        <f t="shared" si="16"/>
        <v>1295000</v>
      </c>
      <c r="Y8" s="213">
        <f t="shared" si="17"/>
        <v>1550600</v>
      </c>
      <c r="Z8" s="200"/>
      <c r="AA8" s="201">
        <v>4934</v>
      </c>
      <c r="AB8" s="198">
        <f t="shared" si="18"/>
        <v>770000</v>
      </c>
      <c r="AC8" s="201">
        <v>183453844</v>
      </c>
      <c r="AD8" s="198">
        <f t="shared" si="19"/>
        <v>179147</v>
      </c>
      <c r="AE8" s="201">
        <v>93724</v>
      </c>
      <c r="AF8" s="198">
        <f t="shared" si="20"/>
        <v>1160</v>
      </c>
      <c r="AG8" s="201">
        <v>2655605</v>
      </c>
      <c r="AH8" s="198">
        <f t="shared" si="21"/>
        <v>56510</v>
      </c>
      <c r="AI8" s="201">
        <v>3415542</v>
      </c>
      <c r="AJ8" s="198">
        <f t="shared" si="22"/>
        <v>17193</v>
      </c>
      <c r="AK8" s="201">
        <v>14544</v>
      </c>
      <c r="AL8" s="198">
        <f t="shared" si="23"/>
        <v>3000</v>
      </c>
      <c r="AM8" s="201">
        <v>8</v>
      </c>
      <c r="AN8" s="192">
        <f t="shared" si="24"/>
        <v>1000</v>
      </c>
      <c r="AO8" s="201">
        <v>10186</v>
      </c>
      <c r="AP8" s="198">
        <f t="shared" si="25"/>
        <v>5200</v>
      </c>
      <c r="AQ8" s="202"/>
      <c r="AR8" s="197">
        <f t="shared" si="0"/>
        <v>43856</v>
      </c>
      <c r="AS8" s="203">
        <v>5106</v>
      </c>
      <c r="AT8" s="198">
        <f t="shared" si="26"/>
        <v>140</v>
      </c>
      <c r="AU8" s="202"/>
      <c r="AV8" s="203">
        <v>15712345</v>
      </c>
      <c r="AW8" s="198">
        <f t="shared" si="27"/>
        <v>78476</v>
      </c>
      <c r="AX8" s="201">
        <v>246708810</v>
      </c>
      <c r="AY8" s="212">
        <f t="shared" si="28"/>
        <v>64872.06</v>
      </c>
      <c r="AZ8" s="198">
        <f t="shared" si="29"/>
        <v>13603.940000000002</v>
      </c>
      <c r="BA8" s="203">
        <v>6818000</v>
      </c>
      <c r="BB8" s="198">
        <f t="shared" si="30"/>
        <v>3000</v>
      </c>
      <c r="BC8" s="203">
        <v>3704900</v>
      </c>
      <c r="BD8" s="198">
        <f t="shared" si="31"/>
        <v>20700</v>
      </c>
      <c r="BE8" s="203">
        <v>35870281</v>
      </c>
      <c r="BF8" s="198">
        <f t="shared" si="32"/>
        <v>97326</v>
      </c>
      <c r="BG8" s="204"/>
      <c r="BH8" s="204"/>
      <c r="BI8" s="205">
        <f t="shared" si="1"/>
        <v>37032830</v>
      </c>
      <c r="BJ8" s="204"/>
      <c r="BK8" s="204"/>
      <c r="BL8" s="206"/>
      <c r="BM8" s="206"/>
      <c r="BN8" s="205">
        <f t="shared" si="2"/>
        <v>4208999</v>
      </c>
      <c r="BO8" s="204"/>
      <c r="BP8" s="204"/>
      <c r="BQ8" s="204"/>
      <c r="BR8" s="205">
        <f t="shared" si="3"/>
        <v>619645</v>
      </c>
      <c r="BS8" s="204"/>
      <c r="BT8" s="204"/>
      <c r="BU8" s="193"/>
      <c r="BV8" s="205">
        <f t="shared" si="4"/>
        <v>127420</v>
      </c>
      <c r="BW8" s="195"/>
      <c r="BX8" s="196"/>
      <c r="BY8" s="193"/>
      <c r="BZ8" s="196"/>
      <c r="CA8" s="193"/>
      <c r="CB8" s="202"/>
      <c r="CC8" s="205">
        <f t="shared" si="5"/>
        <v>6818000</v>
      </c>
      <c r="CD8" s="204"/>
      <c r="CE8" s="204"/>
      <c r="CF8" s="206"/>
      <c r="CG8" s="206"/>
      <c r="CH8" s="206"/>
      <c r="CI8" s="205">
        <f t="shared" si="6"/>
        <v>15712345</v>
      </c>
      <c r="CJ8" s="204"/>
      <c r="CK8" s="204"/>
      <c r="CL8" s="206"/>
      <c r="CM8" s="207"/>
      <c r="CN8" s="205">
        <f t="shared" si="7"/>
        <v>5106</v>
      </c>
      <c r="CO8" s="204"/>
      <c r="CP8" s="208"/>
      <c r="CQ8" s="194"/>
      <c r="CR8" s="205">
        <f t="shared" si="8"/>
        <v>3704900</v>
      </c>
      <c r="CS8" s="204"/>
      <c r="CT8" s="204"/>
      <c r="CU8" s="206"/>
      <c r="CV8" s="207"/>
      <c r="CW8" s="205">
        <f t="shared" si="9"/>
        <v>35870281</v>
      </c>
      <c r="CX8" s="204"/>
      <c r="CY8" s="204"/>
      <c r="CZ8" s="206"/>
      <c r="DA8" s="204"/>
      <c r="DB8" s="204"/>
      <c r="DC8" s="204"/>
      <c r="DD8" s="209"/>
      <c r="DE8" s="209"/>
      <c r="DF8" s="209"/>
      <c r="DG8" s="209"/>
      <c r="DH8" s="210"/>
      <c r="DI8" s="211"/>
      <c r="DJ8" s="211"/>
    </row>
    <row r="9" spans="2:114" s="94" customFormat="1" x14ac:dyDescent="0.25">
      <c r="B9" s="197">
        <v>43862</v>
      </c>
      <c r="C9" s="307">
        <v>37154200</v>
      </c>
      <c r="D9" s="307"/>
      <c r="E9" s="198">
        <f t="shared" si="10"/>
        <v>1213700</v>
      </c>
      <c r="F9" s="307">
        <v>4216368</v>
      </c>
      <c r="G9" s="307"/>
      <c r="H9" s="198">
        <f t="shared" si="36"/>
        <v>73690</v>
      </c>
      <c r="I9" s="307">
        <v>16018</v>
      </c>
      <c r="J9" s="307"/>
      <c r="K9" s="198">
        <f t="shared" si="37"/>
        <v>270</v>
      </c>
      <c r="L9" s="307">
        <v>271730</v>
      </c>
      <c r="M9" s="307"/>
      <c r="N9" s="198">
        <f t="shared" si="13"/>
        <v>707000</v>
      </c>
      <c r="O9" s="307">
        <v>8471</v>
      </c>
      <c r="P9" s="307"/>
      <c r="Q9" s="198">
        <f t="shared" si="14"/>
        <v>0</v>
      </c>
      <c r="R9" s="199"/>
      <c r="S9" s="307">
        <v>621977</v>
      </c>
      <c r="T9" s="307"/>
      <c r="U9" s="198">
        <f t="shared" si="15"/>
        <v>233200</v>
      </c>
      <c r="V9" s="308">
        <v>141003</v>
      </c>
      <c r="W9" s="308"/>
      <c r="X9" s="198">
        <f t="shared" si="16"/>
        <v>1358300</v>
      </c>
      <c r="Y9" s="213">
        <f t="shared" si="17"/>
        <v>1591500</v>
      </c>
      <c r="Z9" s="200"/>
      <c r="AA9" s="201">
        <v>5022</v>
      </c>
      <c r="AB9" s="198">
        <f t="shared" si="18"/>
        <v>880000</v>
      </c>
      <c r="AC9" s="201">
        <v>185487750</v>
      </c>
      <c r="AD9" s="198">
        <f t="shared" si="19"/>
        <v>203390.6</v>
      </c>
      <c r="AE9" s="201">
        <v>94473</v>
      </c>
      <c r="AF9" s="198">
        <f t="shared" si="20"/>
        <v>7490</v>
      </c>
      <c r="AG9" s="201">
        <v>2667947</v>
      </c>
      <c r="AH9" s="198">
        <f t="shared" si="21"/>
        <v>123420</v>
      </c>
      <c r="AI9" s="201">
        <v>3431603</v>
      </c>
      <c r="AJ9" s="198">
        <f t="shared" si="22"/>
        <v>16061</v>
      </c>
      <c r="AK9" s="201">
        <v>14601</v>
      </c>
      <c r="AL9" s="198">
        <f t="shared" si="23"/>
        <v>57000</v>
      </c>
      <c r="AM9" s="201">
        <v>8</v>
      </c>
      <c r="AN9" s="192">
        <f t="shared" si="24"/>
        <v>0</v>
      </c>
      <c r="AO9" s="201">
        <v>10225</v>
      </c>
      <c r="AP9" s="198">
        <f t="shared" si="25"/>
        <v>3900</v>
      </c>
      <c r="AQ9" s="202"/>
      <c r="AR9" s="197">
        <f t="shared" si="0"/>
        <v>43862</v>
      </c>
      <c r="AS9" s="203">
        <v>5249</v>
      </c>
      <c r="AT9" s="198">
        <f t="shared" si="26"/>
        <v>143</v>
      </c>
      <c r="AU9" s="202"/>
      <c r="AV9" s="203">
        <v>15793262</v>
      </c>
      <c r="AW9" s="198">
        <f t="shared" si="27"/>
        <v>80917</v>
      </c>
      <c r="AX9" s="201">
        <v>253196447</v>
      </c>
      <c r="AY9" s="212">
        <f t="shared" si="28"/>
        <v>64876.37</v>
      </c>
      <c r="AZ9" s="198">
        <f t="shared" si="29"/>
        <v>16040.629999999997</v>
      </c>
      <c r="BA9" s="203">
        <v>6819700</v>
      </c>
      <c r="BB9" s="198">
        <f t="shared" si="30"/>
        <v>1700</v>
      </c>
      <c r="BC9" s="203">
        <v>3706200</v>
      </c>
      <c r="BD9" s="198">
        <f t="shared" si="31"/>
        <v>1300</v>
      </c>
      <c r="BE9" s="203">
        <v>35924097</v>
      </c>
      <c r="BF9" s="198">
        <f t="shared" si="32"/>
        <v>53816</v>
      </c>
      <c r="BG9" s="204"/>
      <c r="BH9" s="204"/>
      <c r="BI9" s="205">
        <f t="shared" si="1"/>
        <v>37154200</v>
      </c>
      <c r="BJ9" s="168">
        <v>368969</v>
      </c>
      <c r="BK9" s="170">
        <f>SUM(BJ9-BJ4)</f>
        <v>4058</v>
      </c>
      <c r="BL9" s="173">
        <f>SUM(BK9*1.0228)+1887.37</f>
        <v>6037.8923999999997</v>
      </c>
      <c r="BM9" s="172">
        <v>18406.96</v>
      </c>
      <c r="BN9" s="205">
        <f t="shared" si="2"/>
        <v>4216368</v>
      </c>
      <c r="BO9" s="168">
        <v>42060</v>
      </c>
      <c r="BP9" s="170">
        <f>SUM(BO9-BO4)</f>
        <v>132</v>
      </c>
      <c r="BQ9" s="173">
        <f>SUM(BP9*0.8062)+1557.24</f>
        <v>1663.6584</v>
      </c>
      <c r="BR9" s="205">
        <f t="shared" si="3"/>
        <v>621977</v>
      </c>
      <c r="BS9" s="168">
        <v>618383</v>
      </c>
      <c r="BT9" s="168">
        <v>45621.66</v>
      </c>
      <c r="BU9" s="80">
        <v>33856.559999999998</v>
      </c>
      <c r="BV9" s="205">
        <f t="shared" si="4"/>
        <v>141003</v>
      </c>
      <c r="BW9" s="81">
        <v>12220</v>
      </c>
      <c r="BX9" s="32">
        <v>2458.71</v>
      </c>
      <c r="BY9" s="80">
        <v>1831.91</v>
      </c>
      <c r="BZ9" s="92">
        <f t="shared" ref="BZ9" si="38">SUM(BT9+BX9)</f>
        <v>48080.37</v>
      </c>
      <c r="CA9" s="80">
        <v>11275.66</v>
      </c>
      <c r="CB9" s="202"/>
      <c r="CC9" s="205">
        <f t="shared" si="5"/>
        <v>6819700</v>
      </c>
      <c r="CD9" s="168">
        <v>6815</v>
      </c>
      <c r="CE9" s="170">
        <f>SUM(CD9-CD4)</f>
        <v>14</v>
      </c>
      <c r="CF9" s="173">
        <f>SUM(CE9*1.0228)+117.88</f>
        <v>132.19919999999999</v>
      </c>
      <c r="CG9" s="172">
        <v>80.08</v>
      </c>
      <c r="CH9" s="172">
        <v>1244.52</v>
      </c>
      <c r="CI9" s="205">
        <f t="shared" si="6"/>
        <v>15793262</v>
      </c>
      <c r="CJ9" s="168">
        <v>15593</v>
      </c>
      <c r="CK9" s="170">
        <f>SUM(CJ9-CJ4)</f>
        <v>326</v>
      </c>
      <c r="CL9" s="173">
        <f>SUM(CK9*1.0228+188.7)</f>
        <v>522.13279999999997</v>
      </c>
      <c r="CM9" s="84">
        <v>371.81</v>
      </c>
      <c r="CN9" s="205">
        <f t="shared" si="7"/>
        <v>5249</v>
      </c>
      <c r="CO9" s="168">
        <v>5029</v>
      </c>
      <c r="CP9" s="169">
        <v>1291.3499999999999</v>
      </c>
      <c r="CQ9" s="83">
        <v>962.13</v>
      </c>
      <c r="CR9" s="205">
        <f t="shared" si="8"/>
        <v>3706200</v>
      </c>
      <c r="CS9" s="168">
        <v>3704</v>
      </c>
      <c r="CT9" s="170">
        <f>SUM(CS9-CS4)</f>
        <v>22</v>
      </c>
      <c r="CU9" s="173">
        <f>SUM(CT9*1.0228)+188.7</f>
        <v>211.20159999999998</v>
      </c>
      <c r="CV9" s="207"/>
      <c r="CW9" s="205">
        <f t="shared" si="9"/>
        <v>35924097</v>
      </c>
      <c r="CX9" s="168">
        <v>360202</v>
      </c>
      <c r="CY9" s="170">
        <f>SUM(CX9-CX4)</f>
        <v>2800</v>
      </c>
      <c r="CZ9" s="173">
        <f>SUM(CY9*0.8062)+973.2</f>
        <v>3230.5600000000004</v>
      </c>
      <c r="DA9" s="204"/>
      <c r="DB9" s="204"/>
      <c r="DC9" s="168">
        <f>SUM(E7:E10)</f>
        <v>4328160</v>
      </c>
      <c r="DD9" s="172" t="e">
        <f>SUM(BL9+CF9+CL9+#REF!+CU9)</f>
        <v>#REF!</v>
      </c>
      <c r="DE9" s="172">
        <f>SUM(BQ9+CZ9)</f>
        <v>4894.2184000000007</v>
      </c>
      <c r="DF9" s="172">
        <f>SUM(BM9+CG9+CV9)</f>
        <v>18487.04</v>
      </c>
      <c r="DG9" s="172" t="e">
        <f>SUM(DD9:DF9)</f>
        <v>#REF!</v>
      </c>
      <c r="DH9" s="166"/>
      <c r="DI9" s="86">
        <f>SUM(BU9+CQ9+BY9)</f>
        <v>36650.6</v>
      </c>
      <c r="DJ9" s="86">
        <f>SUM(CA9+CH9)</f>
        <v>12520.18</v>
      </c>
    </row>
    <row r="10" spans="2:114" s="94" customFormat="1" x14ac:dyDescent="0.25">
      <c r="B10" s="197">
        <v>43870</v>
      </c>
      <c r="C10" s="307">
        <v>37262201</v>
      </c>
      <c r="D10" s="307"/>
      <c r="E10" s="198">
        <f t="shared" si="10"/>
        <v>1080010</v>
      </c>
      <c r="F10" s="307">
        <v>4224326</v>
      </c>
      <c r="G10" s="307"/>
      <c r="H10" s="198">
        <f t="shared" ref="H10" si="39">SUM(F10-F9)*10</f>
        <v>79580</v>
      </c>
      <c r="I10" s="307">
        <v>16047</v>
      </c>
      <c r="J10" s="307"/>
      <c r="K10" s="198">
        <f t="shared" ref="K10" si="40">SUM(I10-I9)*10</f>
        <v>290</v>
      </c>
      <c r="L10" s="307">
        <v>272540</v>
      </c>
      <c r="M10" s="307"/>
      <c r="N10" s="198">
        <f t="shared" si="13"/>
        <v>810000</v>
      </c>
      <c r="O10" s="307">
        <v>8471</v>
      </c>
      <c r="P10" s="307"/>
      <c r="Q10" s="198">
        <f t="shared" si="14"/>
        <v>0</v>
      </c>
      <c r="R10" s="199"/>
      <c r="S10" s="307">
        <v>624313</v>
      </c>
      <c r="T10" s="307"/>
      <c r="U10" s="198">
        <f t="shared" si="15"/>
        <v>233600</v>
      </c>
      <c r="V10" s="308">
        <v>159033</v>
      </c>
      <c r="W10" s="308"/>
      <c r="X10" s="198">
        <f t="shared" si="16"/>
        <v>1803000</v>
      </c>
      <c r="Y10" s="213">
        <f t="shared" si="17"/>
        <v>2036600</v>
      </c>
      <c r="Z10" s="200"/>
      <c r="AA10" s="201">
        <v>5151</v>
      </c>
      <c r="AB10" s="198">
        <f t="shared" si="18"/>
        <v>1290000</v>
      </c>
      <c r="AC10" s="201">
        <v>188173534</v>
      </c>
      <c r="AD10" s="198">
        <f t="shared" si="19"/>
        <v>268578.40000000002</v>
      </c>
      <c r="AE10" s="201">
        <v>94478</v>
      </c>
      <c r="AF10" s="198">
        <f t="shared" si="20"/>
        <v>50</v>
      </c>
      <c r="AG10" s="201">
        <v>2680966</v>
      </c>
      <c r="AH10" s="198">
        <f t="shared" si="21"/>
        <v>130190</v>
      </c>
      <c r="AI10" s="201">
        <v>3446735</v>
      </c>
      <c r="AJ10" s="198">
        <f t="shared" si="22"/>
        <v>15132</v>
      </c>
      <c r="AK10" s="201">
        <v>14646</v>
      </c>
      <c r="AL10" s="198">
        <f t="shared" si="23"/>
        <v>45000</v>
      </c>
      <c r="AM10" s="201">
        <v>8</v>
      </c>
      <c r="AN10" s="192">
        <f t="shared" si="24"/>
        <v>0</v>
      </c>
      <c r="AO10" s="201">
        <v>10272</v>
      </c>
      <c r="AP10" s="198">
        <f t="shared" si="25"/>
        <v>4700</v>
      </c>
      <c r="AQ10" s="202"/>
      <c r="AR10" s="197">
        <f t="shared" si="0"/>
        <v>43870</v>
      </c>
      <c r="AS10" s="203">
        <v>5249</v>
      </c>
      <c r="AT10" s="198">
        <f t="shared" si="26"/>
        <v>0</v>
      </c>
      <c r="AU10" s="202"/>
      <c r="AV10" s="203">
        <v>15872767</v>
      </c>
      <c r="AW10" s="198">
        <f t="shared" si="27"/>
        <v>79505</v>
      </c>
      <c r="AX10" s="201">
        <v>259709953</v>
      </c>
      <c r="AY10" s="212">
        <f t="shared" si="28"/>
        <v>65135.06</v>
      </c>
      <c r="AZ10" s="198">
        <f t="shared" si="29"/>
        <v>14369.940000000002</v>
      </c>
      <c r="BA10" s="203">
        <v>6822100</v>
      </c>
      <c r="BB10" s="198">
        <f t="shared" si="30"/>
        <v>2400</v>
      </c>
      <c r="BC10" s="203">
        <v>3706800</v>
      </c>
      <c r="BD10" s="198">
        <f t="shared" si="31"/>
        <v>600</v>
      </c>
      <c r="BE10" s="203">
        <v>35957066</v>
      </c>
      <c r="BF10" s="198">
        <f t="shared" si="32"/>
        <v>32969</v>
      </c>
      <c r="BG10" s="204"/>
      <c r="BH10" s="204"/>
      <c r="BI10" s="205">
        <f t="shared" si="1"/>
        <v>37262201</v>
      </c>
      <c r="BJ10" s="204"/>
      <c r="BK10" s="204"/>
      <c r="BL10" s="206"/>
      <c r="BM10" s="206"/>
      <c r="BN10" s="205">
        <f t="shared" si="2"/>
        <v>4224326</v>
      </c>
      <c r="BO10" s="204"/>
      <c r="BP10" s="204"/>
      <c r="BQ10" s="204"/>
      <c r="BR10" s="205">
        <f t="shared" si="3"/>
        <v>624313</v>
      </c>
      <c r="BS10" s="204"/>
      <c r="BT10" s="204"/>
      <c r="BU10" s="193"/>
      <c r="BV10" s="205">
        <f t="shared" si="4"/>
        <v>159033</v>
      </c>
      <c r="BW10" s="195"/>
      <c r="BX10" s="196"/>
      <c r="BY10" s="193"/>
      <c r="BZ10" s="196"/>
      <c r="CA10" s="193"/>
      <c r="CB10" s="202"/>
      <c r="CC10" s="205">
        <f t="shared" si="5"/>
        <v>6822100</v>
      </c>
      <c r="CD10" s="204"/>
      <c r="CE10" s="204"/>
      <c r="CF10" s="206"/>
      <c r="CG10" s="206"/>
      <c r="CH10" s="206"/>
      <c r="CI10" s="205">
        <f t="shared" si="6"/>
        <v>15872767</v>
      </c>
      <c r="CJ10" s="204"/>
      <c r="CK10" s="204"/>
      <c r="CL10" s="206"/>
      <c r="CM10" s="207"/>
      <c r="CN10" s="205">
        <f t="shared" si="7"/>
        <v>5249</v>
      </c>
      <c r="CO10" s="204"/>
      <c r="CP10" s="208"/>
      <c r="CQ10" s="194"/>
      <c r="CR10" s="205">
        <f t="shared" si="8"/>
        <v>3706800</v>
      </c>
      <c r="CS10" s="204"/>
      <c r="CT10" s="204"/>
      <c r="CU10" s="206"/>
      <c r="CV10" s="207"/>
      <c r="CW10" s="205">
        <f t="shared" si="9"/>
        <v>35957066</v>
      </c>
      <c r="CX10" s="204"/>
      <c r="CY10" s="204"/>
      <c r="CZ10" s="206"/>
      <c r="DA10" s="204"/>
      <c r="DB10" s="204"/>
      <c r="DC10" s="204"/>
      <c r="DD10" s="209"/>
      <c r="DE10" s="209"/>
      <c r="DF10" s="209"/>
      <c r="DG10" s="209"/>
      <c r="DH10" s="210"/>
      <c r="DI10" s="211"/>
      <c r="DJ10" s="211"/>
    </row>
    <row r="11" spans="2:114" s="94" customFormat="1" x14ac:dyDescent="0.25">
      <c r="B11" s="197">
        <v>43877</v>
      </c>
      <c r="C11" s="307">
        <v>37383563</v>
      </c>
      <c r="D11" s="307"/>
      <c r="E11" s="198">
        <f t="shared" si="10"/>
        <v>1213620</v>
      </c>
      <c r="F11" s="307">
        <v>4235738</v>
      </c>
      <c r="G11" s="307"/>
      <c r="H11" s="198">
        <f t="shared" ref="H11:H13" si="41">SUM(F11-F10)*10</f>
        <v>114120</v>
      </c>
      <c r="I11" s="307">
        <v>16077</v>
      </c>
      <c r="J11" s="307"/>
      <c r="K11" s="198">
        <f t="shared" ref="K11:K51" si="42">SUM(I11-I10)*10</f>
        <v>300</v>
      </c>
      <c r="L11" s="307">
        <v>273465</v>
      </c>
      <c r="M11" s="307"/>
      <c r="N11" s="198">
        <f t="shared" si="13"/>
        <v>925000</v>
      </c>
      <c r="O11" s="307">
        <v>8471</v>
      </c>
      <c r="P11" s="307"/>
      <c r="Q11" s="198">
        <f t="shared" si="14"/>
        <v>0</v>
      </c>
      <c r="R11" s="199"/>
      <c r="S11" s="307">
        <v>626627</v>
      </c>
      <c r="T11" s="307"/>
      <c r="U11" s="198">
        <f t="shared" si="15"/>
        <v>231400</v>
      </c>
      <c r="V11" s="308">
        <v>171461</v>
      </c>
      <c r="W11" s="308"/>
      <c r="X11" s="198">
        <f t="shared" si="16"/>
        <v>1242800</v>
      </c>
      <c r="Y11" s="213">
        <f t="shared" si="17"/>
        <v>1474200</v>
      </c>
      <c r="Z11" s="200"/>
      <c r="AA11" s="201">
        <v>5366</v>
      </c>
      <c r="AB11" s="198">
        <f t="shared" si="18"/>
        <v>2150000</v>
      </c>
      <c r="AC11" s="201">
        <v>193537221</v>
      </c>
      <c r="AD11" s="198">
        <f t="shared" si="19"/>
        <v>536368.70000000007</v>
      </c>
      <c r="AE11" s="201">
        <v>94749</v>
      </c>
      <c r="AF11" s="198">
        <f t="shared" si="20"/>
        <v>2710</v>
      </c>
      <c r="AG11" s="201">
        <v>2694814</v>
      </c>
      <c r="AH11" s="198">
        <f t="shared" si="21"/>
        <v>138480</v>
      </c>
      <c r="AI11" s="201">
        <v>3462616</v>
      </c>
      <c r="AJ11" s="198">
        <f t="shared" si="22"/>
        <v>15881</v>
      </c>
      <c r="AK11" s="201">
        <v>14684</v>
      </c>
      <c r="AL11" s="198">
        <f t="shared" si="23"/>
        <v>38000</v>
      </c>
      <c r="AM11" s="201">
        <v>9</v>
      </c>
      <c r="AN11" s="192">
        <f t="shared" si="24"/>
        <v>1000</v>
      </c>
      <c r="AO11" s="201">
        <v>10318</v>
      </c>
      <c r="AP11" s="198">
        <f t="shared" si="25"/>
        <v>4600</v>
      </c>
      <c r="AQ11" s="202"/>
      <c r="AR11" s="197">
        <f t="shared" si="0"/>
        <v>43877</v>
      </c>
      <c r="AS11" s="203">
        <v>5506</v>
      </c>
      <c r="AT11" s="198">
        <f t="shared" si="26"/>
        <v>257</v>
      </c>
      <c r="AU11" s="202"/>
      <c r="AV11" s="203">
        <v>15952097</v>
      </c>
      <c r="AW11" s="198">
        <f t="shared" si="27"/>
        <v>79330</v>
      </c>
      <c r="AX11" s="201">
        <v>266179325</v>
      </c>
      <c r="AY11" s="212">
        <f t="shared" si="28"/>
        <v>64693.72</v>
      </c>
      <c r="AZ11" s="198">
        <f t="shared" si="29"/>
        <v>14636.279999999999</v>
      </c>
      <c r="BA11" s="203">
        <v>6824800</v>
      </c>
      <c r="BB11" s="198">
        <f t="shared" si="30"/>
        <v>2700</v>
      </c>
      <c r="BC11" s="203">
        <v>3707200</v>
      </c>
      <c r="BD11" s="198">
        <f t="shared" si="31"/>
        <v>400</v>
      </c>
      <c r="BE11" s="203">
        <v>36073596</v>
      </c>
      <c r="BF11" s="198">
        <f t="shared" si="32"/>
        <v>116530</v>
      </c>
      <c r="BG11" s="204"/>
      <c r="BH11" s="204"/>
      <c r="BI11" s="205">
        <f t="shared" si="1"/>
        <v>37383563</v>
      </c>
      <c r="BJ11" s="204"/>
      <c r="BK11" s="204"/>
      <c r="BL11" s="206"/>
      <c r="BM11" s="206"/>
      <c r="BN11" s="205">
        <f t="shared" si="2"/>
        <v>4235738</v>
      </c>
      <c r="BO11" s="204"/>
      <c r="BP11" s="204"/>
      <c r="BQ11" s="204"/>
      <c r="BR11" s="205">
        <f t="shared" si="3"/>
        <v>626627</v>
      </c>
      <c r="BS11" s="204"/>
      <c r="BT11" s="204"/>
      <c r="BU11" s="193"/>
      <c r="BV11" s="205">
        <f t="shared" si="4"/>
        <v>171461</v>
      </c>
      <c r="BW11" s="195"/>
      <c r="BX11" s="196"/>
      <c r="BY11" s="193"/>
      <c r="BZ11" s="196"/>
      <c r="CA11" s="193"/>
      <c r="CB11" s="202"/>
      <c r="CC11" s="205">
        <f t="shared" si="5"/>
        <v>6824800</v>
      </c>
      <c r="CD11" s="204"/>
      <c r="CE11" s="204"/>
      <c r="CF11" s="206"/>
      <c r="CG11" s="206"/>
      <c r="CH11" s="206"/>
      <c r="CI11" s="205">
        <f t="shared" si="6"/>
        <v>15952097</v>
      </c>
      <c r="CJ11" s="204"/>
      <c r="CK11" s="204"/>
      <c r="CL11" s="206"/>
      <c r="CM11" s="207"/>
      <c r="CN11" s="205">
        <f t="shared" si="7"/>
        <v>5506</v>
      </c>
      <c r="CO11" s="204"/>
      <c r="CP11" s="208"/>
      <c r="CQ11" s="194"/>
      <c r="CR11" s="205">
        <f t="shared" si="8"/>
        <v>3707200</v>
      </c>
      <c r="CS11" s="204"/>
      <c r="CT11" s="204"/>
      <c r="CU11" s="206"/>
      <c r="CV11" s="207"/>
      <c r="CW11" s="205">
        <f t="shared" si="9"/>
        <v>36073596</v>
      </c>
      <c r="CX11" s="204"/>
      <c r="CY11" s="204"/>
      <c r="CZ11" s="206"/>
      <c r="DA11" s="204"/>
      <c r="DB11" s="204"/>
      <c r="DC11" s="204"/>
      <c r="DD11" s="209"/>
      <c r="DE11" s="209"/>
      <c r="DF11" s="209"/>
      <c r="DG11" s="209"/>
      <c r="DH11" s="210"/>
      <c r="DI11" s="211"/>
      <c r="DJ11" s="211"/>
    </row>
    <row r="12" spans="2:114" s="94" customFormat="1" x14ac:dyDescent="0.25">
      <c r="B12" s="197">
        <v>43885</v>
      </c>
      <c r="C12" s="307">
        <v>37503571</v>
      </c>
      <c r="D12" s="307"/>
      <c r="E12" s="198">
        <f t="shared" ref="E12:E13" si="43">SUM(C12-C11)*10</f>
        <v>1200080</v>
      </c>
      <c r="F12" s="307">
        <v>4243580</v>
      </c>
      <c r="G12" s="307"/>
      <c r="H12" s="198">
        <f t="shared" si="41"/>
        <v>78420</v>
      </c>
      <c r="I12" s="307">
        <v>16106</v>
      </c>
      <c r="J12" s="307"/>
      <c r="K12" s="198">
        <f t="shared" si="42"/>
        <v>290</v>
      </c>
      <c r="L12" s="307">
        <v>274382</v>
      </c>
      <c r="M12" s="307"/>
      <c r="N12" s="198">
        <f t="shared" si="13"/>
        <v>917000</v>
      </c>
      <c r="O12" s="307">
        <v>8471</v>
      </c>
      <c r="P12" s="307"/>
      <c r="Q12" s="198">
        <f t="shared" si="14"/>
        <v>0</v>
      </c>
      <c r="R12" s="199"/>
      <c r="S12" s="307">
        <v>629153</v>
      </c>
      <c r="T12" s="307"/>
      <c r="U12" s="198">
        <f t="shared" si="15"/>
        <v>252600</v>
      </c>
      <c r="V12" s="308">
        <v>184954</v>
      </c>
      <c r="W12" s="308"/>
      <c r="X12" s="198">
        <f t="shared" si="16"/>
        <v>1349300</v>
      </c>
      <c r="Y12" s="213">
        <f t="shared" si="17"/>
        <v>1601900</v>
      </c>
      <c r="Z12" s="200"/>
      <c r="AA12" s="201">
        <v>5537</v>
      </c>
      <c r="AB12" s="198">
        <f t="shared" si="18"/>
        <v>1710000</v>
      </c>
      <c r="AC12" s="201">
        <v>197365002</v>
      </c>
      <c r="AD12" s="198">
        <f t="shared" si="19"/>
        <v>382778.10000000003</v>
      </c>
      <c r="AE12" s="201">
        <v>95332</v>
      </c>
      <c r="AF12" s="198">
        <f t="shared" si="20"/>
        <v>5830</v>
      </c>
      <c r="AG12" s="201">
        <v>2708345</v>
      </c>
      <c r="AH12" s="198">
        <f t="shared" si="21"/>
        <v>135310</v>
      </c>
      <c r="AI12" s="201">
        <v>3480240</v>
      </c>
      <c r="AJ12" s="198">
        <f t="shared" si="22"/>
        <v>17624</v>
      </c>
      <c r="AK12" s="201">
        <v>14728</v>
      </c>
      <c r="AL12" s="198">
        <f t="shared" si="23"/>
        <v>44000</v>
      </c>
      <c r="AM12" s="201">
        <v>9</v>
      </c>
      <c r="AN12" s="192">
        <f t="shared" si="24"/>
        <v>0</v>
      </c>
      <c r="AO12" s="201">
        <v>10372</v>
      </c>
      <c r="AP12" s="198">
        <f t="shared" si="25"/>
        <v>5400</v>
      </c>
      <c r="AQ12" s="202"/>
      <c r="AR12" s="197">
        <f t="shared" si="0"/>
        <v>43885</v>
      </c>
      <c r="AS12" s="203">
        <v>5506</v>
      </c>
      <c r="AT12" s="198">
        <f t="shared" si="26"/>
        <v>0</v>
      </c>
      <c r="AU12" s="202"/>
      <c r="AV12" s="203">
        <v>16039951</v>
      </c>
      <c r="AW12" s="198">
        <f t="shared" si="27"/>
        <v>87854</v>
      </c>
      <c r="AX12" s="201">
        <v>272644358</v>
      </c>
      <c r="AY12" s="212">
        <f t="shared" si="28"/>
        <v>64650.33</v>
      </c>
      <c r="AZ12" s="198">
        <f t="shared" si="29"/>
        <v>23203.67</v>
      </c>
      <c r="BA12" s="203">
        <v>6826000</v>
      </c>
      <c r="BB12" s="198">
        <f t="shared" si="30"/>
        <v>1200</v>
      </c>
      <c r="BC12" s="203">
        <v>3713900</v>
      </c>
      <c r="BD12" s="198">
        <f t="shared" si="31"/>
        <v>6700</v>
      </c>
      <c r="BE12" s="203">
        <v>36309859</v>
      </c>
      <c r="BF12" s="198">
        <f t="shared" si="32"/>
        <v>236263</v>
      </c>
      <c r="BG12" s="204"/>
      <c r="BH12" s="204"/>
      <c r="BI12" s="205">
        <f t="shared" si="1"/>
        <v>37503571</v>
      </c>
      <c r="BJ12" s="204"/>
      <c r="BK12" s="204"/>
      <c r="BL12" s="206"/>
      <c r="BM12" s="206"/>
      <c r="BN12" s="205">
        <f t="shared" si="2"/>
        <v>4243580</v>
      </c>
      <c r="BO12" s="204"/>
      <c r="BP12" s="204"/>
      <c r="BQ12" s="204"/>
      <c r="BR12" s="205">
        <f t="shared" si="3"/>
        <v>629153</v>
      </c>
      <c r="BS12" s="204"/>
      <c r="BT12" s="204"/>
      <c r="BU12" s="193"/>
      <c r="BV12" s="205">
        <f t="shared" si="4"/>
        <v>184954</v>
      </c>
      <c r="BW12" s="195"/>
      <c r="BX12" s="196"/>
      <c r="BY12" s="193"/>
      <c r="BZ12" s="196"/>
      <c r="CA12" s="193"/>
      <c r="CB12" s="202"/>
      <c r="CC12" s="205">
        <f t="shared" si="5"/>
        <v>6826000</v>
      </c>
      <c r="CD12" s="204"/>
      <c r="CE12" s="204"/>
      <c r="CF12" s="206"/>
      <c r="CG12" s="206"/>
      <c r="CH12" s="206"/>
      <c r="CI12" s="205">
        <f t="shared" si="6"/>
        <v>16039951</v>
      </c>
      <c r="CJ12" s="204"/>
      <c r="CK12" s="204"/>
      <c r="CL12" s="206"/>
      <c r="CM12" s="207"/>
      <c r="CN12" s="205">
        <f t="shared" si="7"/>
        <v>5506</v>
      </c>
      <c r="CO12" s="204"/>
      <c r="CP12" s="208"/>
      <c r="CQ12" s="194"/>
      <c r="CR12" s="205">
        <f t="shared" si="8"/>
        <v>3713900</v>
      </c>
      <c r="CS12" s="204"/>
      <c r="CT12" s="204"/>
      <c r="CU12" s="206"/>
      <c r="CV12" s="207"/>
      <c r="CW12" s="205">
        <f t="shared" si="9"/>
        <v>36309859</v>
      </c>
      <c r="CX12" s="204"/>
      <c r="CY12" s="204"/>
      <c r="CZ12" s="206"/>
      <c r="DA12" s="204"/>
      <c r="DB12" s="204"/>
      <c r="DC12" s="204"/>
      <c r="DD12" s="209"/>
      <c r="DE12" s="209"/>
      <c r="DF12" s="209"/>
      <c r="DG12" s="209"/>
      <c r="DH12" s="210"/>
      <c r="DI12" s="211"/>
      <c r="DJ12" s="211"/>
    </row>
    <row r="13" spans="2:114" s="94" customFormat="1" x14ac:dyDescent="0.25">
      <c r="B13" s="197">
        <v>43891</v>
      </c>
      <c r="C13" s="307">
        <v>37600284</v>
      </c>
      <c r="D13" s="307"/>
      <c r="E13" s="198">
        <f t="shared" si="43"/>
        <v>967130</v>
      </c>
      <c r="F13" s="307">
        <v>4253596</v>
      </c>
      <c r="G13" s="307"/>
      <c r="H13" s="198">
        <f t="shared" si="41"/>
        <v>100160</v>
      </c>
      <c r="I13" s="307">
        <v>16131</v>
      </c>
      <c r="J13" s="307"/>
      <c r="K13" s="198">
        <f t="shared" si="42"/>
        <v>250</v>
      </c>
      <c r="L13" s="307">
        <v>275118</v>
      </c>
      <c r="M13" s="307"/>
      <c r="N13" s="198">
        <f t="shared" si="13"/>
        <v>736000</v>
      </c>
      <c r="O13" s="307">
        <v>8471</v>
      </c>
      <c r="P13" s="307"/>
      <c r="Q13" s="198">
        <f t="shared" si="14"/>
        <v>0</v>
      </c>
      <c r="R13" s="199"/>
      <c r="S13" s="307">
        <v>631329</v>
      </c>
      <c r="T13" s="307"/>
      <c r="U13" s="198">
        <f t="shared" si="15"/>
        <v>217600</v>
      </c>
      <c r="V13" s="308">
        <v>199540</v>
      </c>
      <c r="W13" s="308"/>
      <c r="X13" s="198">
        <f t="shared" si="16"/>
        <v>1458600</v>
      </c>
      <c r="Y13" s="213">
        <f t="shared" si="17"/>
        <v>1676200</v>
      </c>
      <c r="Z13" s="200"/>
      <c r="AA13" s="201">
        <v>5640</v>
      </c>
      <c r="AB13" s="198">
        <f t="shared" si="18"/>
        <v>1030000</v>
      </c>
      <c r="AC13" s="201">
        <v>199831621</v>
      </c>
      <c r="AD13" s="198">
        <f t="shared" si="19"/>
        <v>246661.90000000002</v>
      </c>
      <c r="AE13" s="201">
        <v>95339</v>
      </c>
      <c r="AF13" s="198">
        <f t="shared" si="20"/>
        <v>70</v>
      </c>
      <c r="AG13" s="201">
        <v>2717886</v>
      </c>
      <c r="AH13" s="198">
        <f t="shared" si="21"/>
        <v>95410</v>
      </c>
      <c r="AI13" s="201">
        <v>3495650</v>
      </c>
      <c r="AJ13" s="198">
        <f t="shared" si="22"/>
        <v>15410</v>
      </c>
      <c r="AK13" s="201">
        <v>14770</v>
      </c>
      <c r="AL13" s="198">
        <f t="shared" si="23"/>
        <v>42000</v>
      </c>
      <c r="AM13" s="201">
        <v>10</v>
      </c>
      <c r="AN13" s="192">
        <f t="shared" si="24"/>
        <v>1000</v>
      </c>
      <c r="AO13" s="201">
        <v>10420</v>
      </c>
      <c r="AP13" s="198">
        <f t="shared" si="25"/>
        <v>4800</v>
      </c>
      <c r="AQ13" s="202"/>
      <c r="AR13" s="197">
        <f t="shared" si="0"/>
        <v>43891</v>
      </c>
      <c r="AS13" s="203">
        <v>5825</v>
      </c>
      <c r="AT13" s="198">
        <f t="shared" si="26"/>
        <v>319</v>
      </c>
      <c r="AU13" s="202"/>
      <c r="AV13" s="203">
        <v>16120730</v>
      </c>
      <c r="AW13" s="198">
        <f t="shared" si="27"/>
        <v>80779</v>
      </c>
      <c r="AX13" s="201">
        <v>279101818</v>
      </c>
      <c r="AY13" s="212">
        <f t="shared" si="28"/>
        <v>64574.6</v>
      </c>
      <c r="AZ13" s="198">
        <f t="shared" si="29"/>
        <v>16204.400000000001</v>
      </c>
      <c r="BA13" s="203">
        <v>6828700</v>
      </c>
      <c r="BB13" s="198">
        <f t="shared" si="30"/>
        <v>2700</v>
      </c>
      <c r="BC13" s="203">
        <v>3718400</v>
      </c>
      <c r="BD13" s="198">
        <f t="shared" si="31"/>
        <v>4500</v>
      </c>
      <c r="BE13" s="203">
        <v>36548737</v>
      </c>
      <c r="BF13" s="198">
        <f t="shared" si="32"/>
        <v>238878</v>
      </c>
      <c r="BG13" s="204"/>
      <c r="BH13" s="204"/>
      <c r="BI13" s="205">
        <f t="shared" si="1"/>
        <v>37600284</v>
      </c>
      <c r="BJ13" s="168">
        <v>375118</v>
      </c>
      <c r="BK13" s="170">
        <f>SUM(BJ13-BJ9)</f>
        <v>6149</v>
      </c>
      <c r="BL13" s="173">
        <f>SUM(BK13*1.0228)+1887.37</f>
        <v>8176.5671999999995</v>
      </c>
      <c r="BM13" s="172">
        <v>27541.8</v>
      </c>
      <c r="BN13" s="205">
        <f t="shared" si="2"/>
        <v>4253596</v>
      </c>
      <c r="BO13" s="168">
        <v>42445</v>
      </c>
      <c r="BP13" s="170">
        <f>SUM(BO13-BO9)</f>
        <v>385</v>
      </c>
      <c r="BQ13" s="173">
        <f>SUM(BP13*0.8062)+1557.24</f>
        <v>1867.627</v>
      </c>
      <c r="BR13" s="205">
        <f t="shared" si="3"/>
        <v>631329</v>
      </c>
      <c r="BS13" s="168">
        <v>630331</v>
      </c>
      <c r="BT13" s="168">
        <v>59604.99</v>
      </c>
      <c r="BU13" s="80">
        <v>44183.11</v>
      </c>
      <c r="BV13" s="205">
        <f t="shared" si="4"/>
        <v>199540</v>
      </c>
      <c r="BW13" s="81">
        <v>19133</v>
      </c>
      <c r="BX13" s="32">
        <v>2987.18</v>
      </c>
      <c r="BY13" s="80">
        <v>2223.4899999999998</v>
      </c>
      <c r="BZ13" s="92">
        <f t="shared" ref="BZ13" si="44">SUM(BT13+BX13)</f>
        <v>62592.17</v>
      </c>
      <c r="CA13" s="80">
        <v>14791.95</v>
      </c>
      <c r="CB13" s="202"/>
      <c r="CC13" s="205">
        <f t="shared" si="5"/>
        <v>6828700</v>
      </c>
      <c r="CD13" s="168">
        <v>6827</v>
      </c>
      <c r="CE13" s="170">
        <f>SUM(CD13-CD9)</f>
        <v>12</v>
      </c>
      <c r="CF13" s="173">
        <f>SUM(CE13*1.0228)+117.88</f>
        <v>130.15359999999998</v>
      </c>
      <c r="CG13" s="172">
        <v>68.64</v>
      </c>
      <c r="CH13" s="172">
        <v>1451.94</v>
      </c>
      <c r="CI13" s="205">
        <f t="shared" si="6"/>
        <v>16120730</v>
      </c>
      <c r="CJ13" s="168">
        <v>16039</v>
      </c>
      <c r="CK13" s="170">
        <f>SUM(CJ13-CJ9)</f>
        <v>446</v>
      </c>
      <c r="CL13" s="173">
        <f>SUM(CK13*1.0228+188.7)</f>
        <v>644.86879999999996</v>
      </c>
      <c r="CM13" s="84">
        <v>537.67999999999995</v>
      </c>
      <c r="CN13" s="205">
        <f t="shared" si="7"/>
        <v>5825</v>
      </c>
      <c r="CO13" s="168">
        <v>5735</v>
      </c>
      <c r="CP13" s="169">
        <v>1636.69</v>
      </c>
      <c r="CQ13" s="83">
        <v>1218.3399999999999</v>
      </c>
      <c r="CR13" s="205">
        <f t="shared" si="8"/>
        <v>3718400</v>
      </c>
      <c r="CS13" s="168">
        <v>3714</v>
      </c>
      <c r="CT13" s="170">
        <f>SUM(CS13-CS9)</f>
        <v>10</v>
      </c>
      <c r="CU13" s="173">
        <f>SUM(CT13*1.0228)+188.7</f>
        <v>198.928</v>
      </c>
      <c r="CV13" s="207"/>
      <c r="CW13" s="205">
        <f t="shared" si="9"/>
        <v>36548737</v>
      </c>
      <c r="CX13" s="168">
        <v>363098</v>
      </c>
      <c r="CY13" s="170">
        <f>SUM(CX13-CX9)</f>
        <v>2896</v>
      </c>
      <c r="CZ13" s="173">
        <f>SUM(CY13*0.8062)+973.2</f>
        <v>3307.9552000000003</v>
      </c>
      <c r="DA13" s="204"/>
      <c r="DB13" s="204"/>
      <c r="DC13" s="168">
        <f>SUM(E11:E14)</f>
        <v>4655990</v>
      </c>
      <c r="DD13" s="172" t="e">
        <f>SUM(BL13+CF13+CL13+#REF!+CU13)</f>
        <v>#REF!</v>
      </c>
      <c r="DE13" s="172">
        <f>SUM(BQ13+CZ13)</f>
        <v>5175.5822000000007</v>
      </c>
      <c r="DF13" s="172">
        <f>SUM(BM13+CG13+CV13)</f>
        <v>27610.44</v>
      </c>
      <c r="DG13" s="172" t="e">
        <f>SUM(DD13:DF13)</f>
        <v>#REF!</v>
      </c>
      <c r="DH13" s="166"/>
      <c r="DI13" s="86">
        <f>SUM(BU13+CQ13+BY13)</f>
        <v>47624.939999999995</v>
      </c>
      <c r="DJ13" s="86">
        <f>SUM(CA13+CH13)</f>
        <v>16243.890000000001</v>
      </c>
    </row>
    <row r="14" spans="2:114" s="94" customFormat="1" x14ac:dyDescent="0.25">
      <c r="B14" s="197">
        <v>43898</v>
      </c>
      <c r="C14" s="307">
        <v>37727800</v>
      </c>
      <c r="D14" s="307"/>
      <c r="E14" s="198">
        <f t="shared" ref="E14" si="45">SUM(C14-C13)*10</f>
        <v>1275160</v>
      </c>
      <c r="F14" s="307">
        <v>4264302</v>
      </c>
      <c r="G14" s="307"/>
      <c r="H14" s="198">
        <f t="shared" ref="H14" si="46">SUM(F14-F13)*10</f>
        <v>107060</v>
      </c>
      <c r="I14" s="307">
        <v>16163</v>
      </c>
      <c r="J14" s="307"/>
      <c r="K14" s="198">
        <f t="shared" si="42"/>
        <v>320</v>
      </c>
      <c r="L14" s="307">
        <v>276074</v>
      </c>
      <c r="M14" s="307"/>
      <c r="N14" s="198">
        <f t="shared" si="13"/>
        <v>956000</v>
      </c>
      <c r="O14" s="307">
        <v>8471</v>
      </c>
      <c r="P14" s="307"/>
      <c r="Q14" s="198">
        <f t="shared" si="14"/>
        <v>0</v>
      </c>
      <c r="R14" s="199"/>
      <c r="S14" s="307">
        <v>633985</v>
      </c>
      <c r="T14" s="307"/>
      <c r="U14" s="198">
        <f t="shared" si="15"/>
        <v>265600</v>
      </c>
      <c r="V14" s="308">
        <v>215440</v>
      </c>
      <c r="W14" s="308"/>
      <c r="X14" s="198">
        <f t="shared" si="16"/>
        <v>1590000</v>
      </c>
      <c r="Y14" s="213">
        <f t="shared" si="17"/>
        <v>1855600</v>
      </c>
      <c r="Z14" s="200"/>
      <c r="AA14" s="201">
        <v>5809</v>
      </c>
      <c r="AB14" s="198">
        <f t="shared" si="18"/>
        <v>1690000</v>
      </c>
      <c r="AC14" s="201">
        <v>203143220</v>
      </c>
      <c r="AD14" s="198">
        <f t="shared" si="19"/>
        <v>331159.90000000002</v>
      </c>
      <c r="AE14" s="201">
        <v>95537</v>
      </c>
      <c r="AF14" s="198">
        <f t="shared" si="20"/>
        <v>1980</v>
      </c>
      <c r="AG14" s="201">
        <v>2734249</v>
      </c>
      <c r="AH14" s="198">
        <f t="shared" si="21"/>
        <v>163630</v>
      </c>
      <c r="AI14" s="201">
        <v>3517175</v>
      </c>
      <c r="AJ14" s="198">
        <f t="shared" si="22"/>
        <v>21525</v>
      </c>
      <c r="AK14" s="201">
        <v>14827</v>
      </c>
      <c r="AL14" s="198">
        <f t="shared" si="23"/>
        <v>57000</v>
      </c>
      <c r="AM14" s="201">
        <v>10</v>
      </c>
      <c r="AN14" s="192">
        <f t="shared" si="24"/>
        <v>0</v>
      </c>
      <c r="AO14" s="201">
        <v>10503</v>
      </c>
      <c r="AP14" s="198">
        <f t="shared" si="25"/>
        <v>8300</v>
      </c>
      <c r="AQ14" s="202"/>
      <c r="AR14" s="197">
        <f t="shared" si="0"/>
        <v>43898</v>
      </c>
      <c r="AS14" s="203">
        <v>5945</v>
      </c>
      <c r="AT14" s="198">
        <f t="shared" si="26"/>
        <v>120</v>
      </c>
      <c r="AU14" s="202"/>
      <c r="AV14" s="203">
        <v>16199055</v>
      </c>
      <c r="AW14" s="198">
        <f t="shared" ref="AW14" si="47">SUM(AV14-AV13)</f>
        <v>78325</v>
      </c>
      <c r="AX14" s="201">
        <v>285515838</v>
      </c>
      <c r="AY14" s="212">
        <f t="shared" ref="AY14" si="48">SUM(AX14-AX13)/100</f>
        <v>64140.2</v>
      </c>
      <c r="AZ14" s="198">
        <f t="shared" ref="AZ14" si="49">SUM(AW14-AY14)</f>
        <v>14184.800000000003</v>
      </c>
      <c r="BA14" s="203">
        <v>6832700</v>
      </c>
      <c r="BB14" s="198">
        <f t="shared" si="30"/>
        <v>4000</v>
      </c>
      <c r="BC14" s="203">
        <v>3719400</v>
      </c>
      <c r="BD14" s="198">
        <f t="shared" si="31"/>
        <v>1000</v>
      </c>
      <c r="BE14" s="203">
        <v>36853926</v>
      </c>
      <c r="BF14" s="198">
        <f t="shared" si="32"/>
        <v>305189</v>
      </c>
      <c r="BG14" s="204"/>
      <c r="BH14" s="204"/>
      <c r="BI14" s="205">
        <f t="shared" si="1"/>
        <v>37727800</v>
      </c>
      <c r="BJ14" s="204"/>
      <c r="BK14" s="204"/>
      <c r="BL14" s="206"/>
      <c r="BM14" s="206"/>
      <c r="BN14" s="205">
        <f t="shared" si="2"/>
        <v>4264302</v>
      </c>
      <c r="BO14" s="204"/>
      <c r="BP14" s="204"/>
      <c r="BQ14" s="204"/>
      <c r="BR14" s="205">
        <f t="shared" si="3"/>
        <v>633985</v>
      </c>
      <c r="BS14" s="204"/>
      <c r="BT14" s="204"/>
      <c r="BU14" s="193"/>
      <c r="BV14" s="205">
        <f t="shared" si="4"/>
        <v>215440</v>
      </c>
      <c r="BW14" s="195"/>
      <c r="BX14" s="196"/>
      <c r="BY14" s="193"/>
      <c r="BZ14" s="196"/>
      <c r="CA14" s="193"/>
      <c r="CB14" s="202"/>
      <c r="CC14" s="205">
        <f t="shared" si="5"/>
        <v>6832700</v>
      </c>
      <c r="CD14" s="204"/>
      <c r="CE14" s="204"/>
      <c r="CF14" s="206"/>
      <c r="CG14" s="206"/>
      <c r="CH14" s="206"/>
      <c r="CI14" s="205">
        <f t="shared" si="6"/>
        <v>16199055</v>
      </c>
      <c r="CJ14" s="204"/>
      <c r="CK14" s="204"/>
      <c r="CL14" s="206"/>
      <c r="CM14" s="207"/>
      <c r="CN14" s="205">
        <f t="shared" si="7"/>
        <v>5945</v>
      </c>
      <c r="CO14" s="204"/>
      <c r="CP14" s="208"/>
      <c r="CQ14" s="194"/>
      <c r="CR14" s="205">
        <f t="shared" si="8"/>
        <v>3719400</v>
      </c>
      <c r="CS14" s="204"/>
      <c r="CT14" s="204"/>
      <c r="CU14" s="206"/>
      <c r="CV14" s="207"/>
      <c r="CW14" s="205">
        <f t="shared" si="9"/>
        <v>36853926</v>
      </c>
      <c r="CX14" s="204"/>
      <c r="CY14" s="204"/>
      <c r="CZ14" s="206"/>
      <c r="DA14" s="204"/>
      <c r="DB14" s="204"/>
      <c r="DC14" s="204"/>
      <c r="DD14" s="209"/>
      <c r="DE14" s="209"/>
      <c r="DF14" s="209"/>
      <c r="DG14" s="209"/>
      <c r="DH14" s="210"/>
      <c r="DI14" s="211"/>
      <c r="DJ14" s="211"/>
    </row>
    <row r="15" spans="2:114" s="94" customFormat="1" x14ac:dyDescent="0.25">
      <c r="B15" s="197">
        <v>43905</v>
      </c>
      <c r="C15" s="307">
        <v>37839997</v>
      </c>
      <c r="D15" s="307"/>
      <c r="E15" s="198">
        <f t="shared" ref="E15:E17" si="50">SUM(C15-C14)*10</f>
        <v>1121970</v>
      </c>
      <c r="F15" s="307">
        <v>4275852</v>
      </c>
      <c r="G15" s="307"/>
      <c r="H15" s="198">
        <f t="shared" ref="H15:H17" si="51">SUM(F15-F14)*10</f>
        <v>115500</v>
      </c>
      <c r="I15" s="307">
        <v>16191</v>
      </c>
      <c r="J15" s="307"/>
      <c r="K15" s="198">
        <f t="shared" si="42"/>
        <v>280</v>
      </c>
      <c r="L15" s="307">
        <v>276871</v>
      </c>
      <c r="M15" s="307"/>
      <c r="N15" s="198">
        <f t="shared" si="13"/>
        <v>797000</v>
      </c>
      <c r="O15" s="307">
        <v>8471</v>
      </c>
      <c r="P15" s="307"/>
      <c r="Q15" s="198">
        <f t="shared" si="14"/>
        <v>0</v>
      </c>
      <c r="R15" s="199"/>
      <c r="S15" s="307">
        <v>636154</v>
      </c>
      <c r="T15" s="307"/>
      <c r="U15" s="198">
        <f t="shared" si="15"/>
        <v>216900</v>
      </c>
      <c r="V15" s="308">
        <v>225375</v>
      </c>
      <c r="W15" s="308"/>
      <c r="X15" s="198">
        <f t="shared" si="16"/>
        <v>993500</v>
      </c>
      <c r="Y15" s="213">
        <f t="shared" si="17"/>
        <v>1210400</v>
      </c>
      <c r="Z15" s="200"/>
      <c r="AA15" s="201">
        <v>5998</v>
      </c>
      <c r="AB15" s="198">
        <f t="shared" si="18"/>
        <v>1890000</v>
      </c>
      <c r="AC15" s="201">
        <v>207166656</v>
      </c>
      <c r="AD15" s="198">
        <f t="shared" si="19"/>
        <v>402343.60000000003</v>
      </c>
      <c r="AE15" s="201">
        <v>95769</v>
      </c>
      <c r="AF15" s="198">
        <f t="shared" si="20"/>
        <v>2320</v>
      </c>
      <c r="AG15" s="201">
        <v>2748875</v>
      </c>
      <c r="AH15" s="198">
        <f t="shared" si="21"/>
        <v>146260</v>
      </c>
      <c r="AI15" s="201">
        <v>3538410</v>
      </c>
      <c r="AJ15" s="198">
        <f t="shared" si="22"/>
        <v>21235</v>
      </c>
      <c r="AK15" s="201">
        <v>14864</v>
      </c>
      <c r="AL15" s="198">
        <f t="shared" si="23"/>
        <v>37000</v>
      </c>
      <c r="AM15" s="201">
        <v>10</v>
      </c>
      <c r="AN15" s="192">
        <f t="shared" si="24"/>
        <v>0</v>
      </c>
      <c r="AO15" s="201">
        <v>10589</v>
      </c>
      <c r="AP15" s="198">
        <f t="shared" si="25"/>
        <v>8600</v>
      </c>
      <c r="AQ15" s="202"/>
      <c r="AR15" s="197">
        <f t="shared" si="0"/>
        <v>43905</v>
      </c>
      <c r="AS15" s="203">
        <v>6052</v>
      </c>
      <c r="AT15" s="198">
        <f t="shared" si="26"/>
        <v>107</v>
      </c>
      <c r="AU15" s="202"/>
      <c r="AV15" s="203">
        <v>16277037</v>
      </c>
      <c r="AW15" s="198">
        <f t="shared" ref="AW15" si="52">SUM(AV15-AV14)</f>
        <v>77982</v>
      </c>
      <c r="AX15" s="201">
        <v>291941623</v>
      </c>
      <c r="AY15" s="212">
        <f t="shared" ref="AY15" si="53">SUM(AX15-AX14)/100</f>
        <v>64257.85</v>
      </c>
      <c r="AZ15" s="198">
        <f t="shared" ref="AZ15" si="54">SUM(AW15-AY15)</f>
        <v>13724.150000000001</v>
      </c>
      <c r="BA15" s="203">
        <v>6839700</v>
      </c>
      <c r="BB15" s="198">
        <f t="shared" si="30"/>
        <v>7000</v>
      </c>
      <c r="BC15" s="203">
        <v>3720600</v>
      </c>
      <c r="BD15" s="198">
        <f t="shared" si="31"/>
        <v>1200</v>
      </c>
      <c r="BE15" s="203">
        <v>37173998</v>
      </c>
      <c r="BF15" s="198">
        <f t="shared" si="32"/>
        <v>320072</v>
      </c>
      <c r="BG15" s="204"/>
      <c r="BH15" s="204"/>
      <c r="BI15" s="205">
        <f t="shared" si="1"/>
        <v>37839997</v>
      </c>
      <c r="BJ15" s="204"/>
      <c r="BK15" s="204"/>
      <c r="BL15" s="206"/>
      <c r="BM15" s="206"/>
      <c r="BN15" s="205">
        <f t="shared" si="2"/>
        <v>4275852</v>
      </c>
      <c r="BO15" s="204"/>
      <c r="BP15" s="204"/>
      <c r="BQ15" s="204"/>
      <c r="BR15" s="205">
        <f t="shared" si="3"/>
        <v>636154</v>
      </c>
      <c r="BS15" s="204"/>
      <c r="BT15" s="204"/>
      <c r="BU15" s="193"/>
      <c r="BV15" s="205">
        <f t="shared" si="4"/>
        <v>225375</v>
      </c>
      <c r="BW15" s="195"/>
      <c r="BX15" s="196"/>
      <c r="BY15" s="193"/>
      <c r="BZ15" s="196"/>
      <c r="CA15" s="193"/>
      <c r="CB15" s="202"/>
      <c r="CC15" s="205">
        <f t="shared" si="5"/>
        <v>6839700</v>
      </c>
      <c r="CD15" s="204"/>
      <c r="CE15" s="204"/>
      <c r="CF15" s="206"/>
      <c r="CG15" s="206"/>
      <c r="CH15" s="206"/>
      <c r="CI15" s="205">
        <f t="shared" si="6"/>
        <v>16277037</v>
      </c>
      <c r="CJ15" s="204"/>
      <c r="CK15" s="204"/>
      <c r="CL15" s="206"/>
      <c r="CM15" s="207"/>
      <c r="CN15" s="205">
        <f t="shared" si="7"/>
        <v>6052</v>
      </c>
      <c r="CO15" s="204"/>
      <c r="CP15" s="208"/>
      <c r="CQ15" s="194"/>
      <c r="CR15" s="205">
        <f t="shared" si="8"/>
        <v>3720600</v>
      </c>
      <c r="CS15" s="204"/>
      <c r="CT15" s="204"/>
      <c r="CU15" s="206"/>
      <c r="CV15" s="207"/>
      <c r="CW15" s="205">
        <f t="shared" si="9"/>
        <v>37173998</v>
      </c>
      <c r="CX15" s="204"/>
      <c r="CY15" s="204"/>
      <c r="CZ15" s="206"/>
      <c r="DA15" s="204"/>
      <c r="DB15" s="204"/>
      <c r="DC15" s="204"/>
      <c r="DD15" s="209"/>
      <c r="DE15" s="209"/>
      <c r="DF15" s="209"/>
      <c r="DG15" s="209"/>
      <c r="DH15" s="210"/>
      <c r="DI15" s="211"/>
      <c r="DJ15" s="211"/>
    </row>
    <row r="16" spans="2:114" s="94" customFormat="1" x14ac:dyDescent="0.25">
      <c r="B16" s="197">
        <v>43912</v>
      </c>
      <c r="C16" s="307">
        <v>37924163</v>
      </c>
      <c r="D16" s="307"/>
      <c r="E16" s="198">
        <f t="shared" si="50"/>
        <v>841660</v>
      </c>
      <c r="F16" s="307">
        <v>4297544</v>
      </c>
      <c r="G16" s="307"/>
      <c r="H16" s="198">
        <f t="shared" si="51"/>
        <v>216920</v>
      </c>
      <c r="I16" s="307">
        <v>16218</v>
      </c>
      <c r="J16" s="307"/>
      <c r="K16" s="198">
        <f t="shared" si="42"/>
        <v>270</v>
      </c>
      <c r="L16" s="307">
        <v>277388</v>
      </c>
      <c r="M16" s="307"/>
      <c r="N16" s="198">
        <f t="shared" si="13"/>
        <v>517000</v>
      </c>
      <c r="O16" s="307">
        <v>8471</v>
      </c>
      <c r="P16" s="307"/>
      <c r="Q16" s="198">
        <f t="shared" si="14"/>
        <v>0</v>
      </c>
      <c r="R16" s="199"/>
      <c r="S16" s="307">
        <v>637640</v>
      </c>
      <c r="T16" s="307"/>
      <c r="U16" s="198">
        <f t="shared" si="15"/>
        <v>148600</v>
      </c>
      <c r="V16" s="308">
        <v>232661</v>
      </c>
      <c r="W16" s="308"/>
      <c r="X16" s="198">
        <f t="shared" si="16"/>
        <v>728600</v>
      </c>
      <c r="Y16" s="213">
        <f t="shared" si="17"/>
        <v>877200</v>
      </c>
      <c r="Z16" s="200"/>
      <c r="AA16" s="201">
        <v>6199</v>
      </c>
      <c r="AB16" s="198">
        <f t="shared" si="18"/>
        <v>2010000</v>
      </c>
      <c r="AC16" s="201">
        <v>211590060</v>
      </c>
      <c r="AD16" s="198">
        <f t="shared" si="19"/>
        <v>442340.4</v>
      </c>
      <c r="AE16" s="201">
        <v>96538</v>
      </c>
      <c r="AF16" s="198">
        <f t="shared" si="20"/>
        <v>7690</v>
      </c>
      <c r="AG16" s="201">
        <v>2764914</v>
      </c>
      <c r="AH16" s="198">
        <f t="shared" si="21"/>
        <v>160390</v>
      </c>
      <c r="AI16" s="201">
        <v>3556866</v>
      </c>
      <c r="AJ16" s="198">
        <f t="shared" si="22"/>
        <v>18456</v>
      </c>
      <c r="AK16" s="201">
        <v>14900</v>
      </c>
      <c r="AL16" s="198">
        <f t="shared" si="23"/>
        <v>36000</v>
      </c>
      <c r="AM16" s="201">
        <v>10</v>
      </c>
      <c r="AN16" s="192">
        <f t="shared" si="24"/>
        <v>0</v>
      </c>
      <c r="AO16" s="201">
        <v>10657</v>
      </c>
      <c r="AP16" s="198">
        <f t="shared" si="25"/>
        <v>6800</v>
      </c>
      <c r="AQ16" s="202"/>
      <c r="AR16" s="197">
        <f t="shared" si="0"/>
        <v>43912</v>
      </c>
      <c r="AS16" s="203">
        <v>6052</v>
      </c>
      <c r="AT16" s="198">
        <f t="shared" ref="AT16" si="55">SUM(AS16-AS15)</f>
        <v>0</v>
      </c>
      <c r="AU16" s="202"/>
      <c r="AV16" s="203">
        <v>16352700</v>
      </c>
      <c r="AW16" s="198">
        <f t="shared" ref="AW16" si="56">SUM(AV16-AV15)</f>
        <v>75663</v>
      </c>
      <c r="AX16" s="201">
        <v>298279103</v>
      </c>
      <c r="AY16" s="212">
        <f t="shared" ref="AY16" si="57">SUM(AX16-AX15)/100</f>
        <v>63374.8</v>
      </c>
      <c r="AZ16" s="198">
        <f t="shared" ref="AZ16" si="58">SUM(AW16-AY16)</f>
        <v>12288.199999999997</v>
      </c>
      <c r="BA16" s="203">
        <v>6843800</v>
      </c>
      <c r="BB16" s="198">
        <f t="shared" si="30"/>
        <v>4100</v>
      </c>
      <c r="BC16" s="203">
        <v>3721000</v>
      </c>
      <c r="BD16" s="198">
        <f t="shared" si="31"/>
        <v>400</v>
      </c>
      <c r="BE16" s="203">
        <v>37431106</v>
      </c>
      <c r="BF16" s="198">
        <f t="shared" si="32"/>
        <v>257108</v>
      </c>
      <c r="BG16" s="204"/>
      <c r="BH16" s="204"/>
      <c r="BI16" s="205">
        <f t="shared" si="1"/>
        <v>37924163</v>
      </c>
      <c r="BJ16" s="204"/>
      <c r="BK16" s="204"/>
      <c r="BL16" s="206"/>
      <c r="BM16" s="206"/>
      <c r="BN16" s="205">
        <f t="shared" si="2"/>
        <v>4297544</v>
      </c>
      <c r="BO16" s="204"/>
      <c r="BP16" s="204"/>
      <c r="BQ16" s="204"/>
      <c r="BR16" s="205">
        <f t="shared" si="3"/>
        <v>637640</v>
      </c>
      <c r="BS16" s="204"/>
      <c r="BT16" s="204"/>
      <c r="BU16" s="193"/>
      <c r="BV16" s="205">
        <f t="shared" si="4"/>
        <v>232661</v>
      </c>
      <c r="BW16" s="195"/>
      <c r="BX16" s="196"/>
      <c r="BY16" s="193"/>
      <c r="BZ16" s="196"/>
      <c r="CA16" s="193"/>
      <c r="CB16" s="202"/>
      <c r="CC16" s="205">
        <f t="shared" si="5"/>
        <v>6843800</v>
      </c>
      <c r="CD16" s="204"/>
      <c r="CE16" s="204"/>
      <c r="CF16" s="206"/>
      <c r="CG16" s="206"/>
      <c r="CH16" s="206"/>
      <c r="CI16" s="205">
        <f t="shared" si="6"/>
        <v>16352700</v>
      </c>
      <c r="CJ16" s="204"/>
      <c r="CK16" s="204"/>
      <c r="CL16" s="206"/>
      <c r="CM16" s="207"/>
      <c r="CN16" s="205">
        <f t="shared" si="7"/>
        <v>6052</v>
      </c>
      <c r="CO16" s="204"/>
      <c r="CP16" s="208"/>
      <c r="CQ16" s="194"/>
      <c r="CR16" s="205">
        <f t="shared" si="8"/>
        <v>3721000</v>
      </c>
      <c r="CS16" s="204"/>
      <c r="CT16" s="204"/>
      <c r="CU16" s="206"/>
      <c r="CV16" s="207"/>
      <c r="CW16" s="205">
        <f t="shared" si="9"/>
        <v>37431106</v>
      </c>
      <c r="CX16" s="204"/>
      <c r="CY16" s="204"/>
      <c r="CZ16" s="206"/>
      <c r="DA16" s="204"/>
      <c r="DB16" s="204"/>
      <c r="DC16" s="204"/>
      <c r="DD16" s="209"/>
      <c r="DE16" s="209"/>
      <c r="DF16" s="209"/>
      <c r="DG16" s="209"/>
      <c r="DH16" s="210"/>
      <c r="DI16" s="211"/>
      <c r="DJ16" s="211"/>
    </row>
    <row r="17" spans="2:114" s="94" customFormat="1" x14ac:dyDescent="0.25">
      <c r="B17" s="197">
        <v>43919</v>
      </c>
      <c r="C17" s="307">
        <v>37975233</v>
      </c>
      <c r="D17" s="307"/>
      <c r="E17" s="198">
        <f t="shared" si="50"/>
        <v>510700</v>
      </c>
      <c r="F17" s="307">
        <v>4320557</v>
      </c>
      <c r="G17" s="307"/>
      <c r="H17" s="198">
        <f t="shared" si="51"/>
        <v>230130</v>
      </c>
      <c r="I17" s="307">
        <v>16272</v>
      </c>
      <c r="J17" s="307"/>
      <c r="K17" s="198">
        <f t="shared" si="42"/>
        <v>540</v>
      </c>
      <c r="L17" s="307">
        <v>277663</v>
      </c>
      <c r="M17" s="307"/>
      <c r="N17" s="198">
        <f t="shared" si="13"/>
        <v>275000</v>
      </c>
      <c r="O17" s="307">
        <v>8471</v>
      </c>
      <c r="P17" s="307"/>
      <c r="Q17" s="198">
        <f t="shared" si="14"/>
        <v>0</v>
      </c>
      <c r="R17" s="199"/>
      <c r="S17" s="307">
        <v>638222</v>
      </c>
      <c r="T17" s="307"/>
      <c r="U17" s="198">
        <f t="shared" si="15"/>
        <v>58200</v>
      </c>
      <c r="V17" s="308">
        <v>235060</v>
      </c>
      <c r="W17" s="308"/>
      <c r="X17" s="198">
        <f t="shared" si="16"/>
        <v>239900</v>
      </c>
      <c r="Y17" s="213">
        <f t="shared" si="17"/>
        <v>298100</v>
      </c>
      <c r="Z17" s="200"/>
      <c r="AA17" s="201">
        <v>6349</v>
      </c>
      <c r="AB17" s="198">
        <f t="shared" si="18"/>
        <v>1500000</v>
      </c>
      <c r="AC17" s="201">
        <v>214984470</v>
      </c>
      <c r="AD17" s="198">
        <f t="shared" si="19"/>
        <v>339441</v>
      </c>
      <c r="AE17" s="201">
        <v>96550</v>
      </c>
      <c r="AF17" s="198">
        <f t="shared" si="20"/>
        <v>120</v>
      </c>
      <c r="AG17" s="201">
        <v>2781468</v>
      </c>
      <c r="AH17" s="198">
        <f t="shared" si="21"/>
        <v>165540</v>
      </c>
      <c r="AI17" s="201">
        <v>3578281</v>
      </c>
      <c r="AJ17" s="198">
        <f t="shared" si="22"/>
        <v>21415</v>
      </c>
      <c r="AK17" s="201">
        <v>14904</v>
      </c>
      <c r="AL17" s="198">
        <f t="shared" si="23"/>
        <v>4000</v>
      </c>
      <c r="AM17" s="201">
        <v>10</v>
      </c>
      <c r="AN17" s="192">
        <f t="shared" si="24"/>
        <v>0</v>
      </c>
      <c r="AO17" s="201">
        <v>10662</v>
      </c>
      <c r="AP17" s="198">
        <f t="shared" si="25"/>
        <v>500</v>
      </c>
      <c r="AQ17" s="202"/>
      <c r="AR17" s="197">
        <f t="shared" si="0"/>
        <v>43919</v>
      </c>
      <c r="AS17" s="203">
        <v>6162</v>
      </c>
      <c r="AT17" s="198">
        <f t="shared" ref="AT17:AT51" si="59">SUM(AS17-AS16)</f>
        <v>110</v>
      </c>
      <c r="AU17" s="202"/>
      <c r="AV17" s="203">
        <v>16416296</v>
      </c>
      <c r="AW17" s="198">
        <f t="shared" ref="AW17:AW51" si="60">SUM(AV17-AV16)</f>
        <v>63596</v>
      </c>
      <c r="AX17" s="201">
        <v>304348069</v>
      </c>
      <c r="AY17" s="212">
        <f t="shared" ref="AY17:AY51" si="61">SUM(AX17-AX16)/100</f>
        <v>60689.66</v>
      </c>
      <c r="AZ17" s="198">
        <f t="shared" ref="AZ17:AZ51" si="62">SUM(AW17-AY17)</f>
        <v>2906.3399999999965</v>
      </c>
      <c r="BA17" s="203">
        <v>6844700</v>
      </c>
      <c r="BB17" s="198">
        <f t="shared" si="30"/>
        <v>900</v>
      </c>
      <c r="BC17" s="203">
        <v>3721300</v>
      </c>
      <c r="BD17" s="198">
        <f t="shared" si="31"/>
        <v>300</v>
      </c>
      <c r="BE17" s="203">
        <v>37749669</v>
      </c>
      <c r="BF17" s="198">
        <f t="shared" si="32"/>
        <v>318563</v>
      </c>
      <c r="BG17" s="204"/>
      <c r="BH17" s="204"/>
      <c r="BI17" s="205">
        <f t="shared" si="1"/>
        <v>37975233</v>
      </c>
      <c r="BJ17" s="168">
        <v>379079</v>
      </c>
      <c r="BK17" s="170">
        <f>SUM(BJ17-BJ13)</f>
        <v>3961</v>
      </c>
      <c r="BL17" s="173">
        <f>SUM(BK17*1.0228)+1887.37</f>
        <v>5938.6808000000001</v>
      </c>
      <c r="BM17" s="172">
        <v>16656.12</v>
      </c>
      <c r="BN17" s="205">
        <f t="shared" si="2"/>
        <v>4320557</v>
      </c>
      <c r="BO17" s="168">
        <v>42940</v>
      </c>
      <c r="BP17" s="170">
        <f>SUM(BO17-BO13)</f>
        <v>495</v>
      </c>
      <c r="BQ17" s="173">
        <f>SUM(BP17*0.8062)+1557.24</f>
        <v>1956.309</v>
      </c>
      <c r="BR17" s="205">
        <f t="shared" si="3"/>
        <v>638222</v>
      </c>
      <c r="BS17" s="168">
        <v>638006</v>
      </c>
      <c r="BT17" s="168">
        <v>38288.269999999997</v>
      </c>
      <c r="BU17" s="80">
        <v>28444.240000000002</v>
      </c>
      <c r="BV17" s="205">
        <f t="shared" si="4"/>
        <v>235060</v>
      </c>
      <c r="BW17" s="81">
        <v>23449</v>
      </c>
      <c r="BX17" s="32">
        <v>1864.99</v>
      </c>
      <c r="BY17" s="80">
        <v>1390.81</v>
      </c>
      <c r="BZ17" s="92">
        <f t="shared" ref="BZ17" si="63">SUM(BT17+BX17)</f>
        <v>40153.259999999995</v>
      </c>
      <c r="CA17" s="80">
        <v>6873.73</v>
      </c>
      <c r="CB17" s="202"/>
      <c r="CC17" s="95">
        <f t="shared" si="5"/>
        <v>6844700</v>
      </c>
      <c r="CD17" s="214">
        <v>6844</v>
      </c>
      <c r="CE17" s="67">
        <f>SUM(CD17-CD13)</f>
        <v>17</v>
      </c>
      <c r="CF17" s="173">
        <f>SUM(CE17*1.0228)+117.88</f>
        <v>135.26759999999999</v>
      </c>
      <c r="CG17" s="172">
        <v>97.24</v>
      </c>
      <c r="CH17" s="172">
        <v>1002.53</v>
      </c>
      <c r="CI17" s="205">
        <f t="shared" si="6"/>
        <v>16416296</v>
      </c>
      <c r="CJ17" s="168">
        <v>16332</v>
      </c>
      <c r="CK17" s="170">
        <f>SUM(CJ17-CJ13)</f>
        <v>293</v>
      </c>
      <c r="CL17" s="173">
        <f>SUM(CK17*1.0228+188.7)</f>
        <v>488.38039999999995</v>
      </c>
      <c r="CM17" s="84">
        <v>308.88</v>
      </c>
      <c r="CN17" s="205">
        <f t="shared" si="7"/>
        <v>6162</v>
      </c>
      <c r="CO17" s="168">
        <v>6153</v>
      </c>
      <c r="CP17" s="169">
        <v>969.09</v>
      </c>
      <c r="CQ17" s="83">
        <v>722.7</v>
      </c>
      <c r="CR17" s="205">
        <f t="shared" si="8"/>
        <v>3721300</v>
      </c>
      <c r="CS17" s="168">
        <v>3721</v>
      </c>
      <c r="CT17" s="170">
        <f>SUM(CS17-CS13)</f>
        <v>7</v>
      </c>
      <c r="CU17" s="173">
        <f>SUM(CT17*1.0228)+188.7</f>
        <v>195.8596</v>
      </c>
      <c r="CV17" s="207"/>
      <c r="CW17" s="205">
        <f t="shared" si="9"/>
        <v>37749669</v>
      </c>
      <c r="CX17" s="168">
        <v>373229</v>
      </c>
      <c r="CY17" s="170">
        <f>SUM(CX17-CX13)</f>
        <v>10131</v>
      </c>
      <c r="CZ17" s="173">
        <f>SUM(CY17*0.8062)+973.2</f>
        <v>9140.8122000000003</v>
      </c>
      <c r="DA17" s="204"/>
      <c r="DB17" s="204"/>
      <c r="DC17" s="168">
        <f>SUM(E15:E18)</f>
        <v>2647720</v>
      </c>
      <c r="DD17" s="172" t="e">
        <f>SUM(BL17+CF17+CL17+#REF!+CU17)</f>
        <v>#REF!</v>
      </c>
      <c r="DE17" s="172">
        <f>SUM(BQ17+CZ17)</f>
        <v>11097.1212</v>
      </c>
      <c r="DF17" s="172">
        <f>SUM(BM17+CG17+CV17)</f>
        <v>16753.36</v>
      </c>
      <c r="DG17" s="172" t="e">
        <f>SUM(DD17:DF17)</f>
        <v>#REF!</v>
      </c>
      <c r="DH17" s="166"/>
      <c r="DI17" s="86">
        <f>SUM(BU17+CQ17+BY17)</f>
        <v>30557.750000000004</v>
      </c>
      <c r="DJ17" s="86">
        <f>SUM(CA17+CH17)</f>
        <v>7876.2599999999993</v>
      </c>
    </row>
    <row r="18" spans="2:114" s="94" customFormat="1" x14ac:dyDescent="0.25">
      <c r="B18" s="197">
        <v>43922</v>
      </c>
      <c r="C18" s="307">
        <v>37992572</v>
      </c>
      <c r="D18" s="307"/>
      <c r="E18" s="198">
        <f t="shared" ref="E18" si="64">SUM(C18-C17)*10</f>
        <v>173390</v>
      </c>
      <c r="F18" s="307">
        <v>4329989</v>
      </c>
      <c r="G18" s="307"/>
      <c r="H18" s="198">
        <f t="shared" ref="H18" si="65">SUM(F18-F17)*10</f>
        <v>94320</v>
      </c>
      <c r="I18" s="307">
        <v>16287</v>
      </c>
      <c r="J18" s="307"/>
      <c r="K18" s="198">
        <f t="shared" si="42"/>
        <v>150</v>
      </c>
      <c r="L18" s="307">
        <v>277767</v>
      </c>
      <c r="M18" s="307"/>
      <c r="N18" s="198">
        <f t="shared" si="13"/>
        <v>104000</v>
      </c>
      <c r="O18" s="307">
        <v>8471</v>
      </c>
      <c r="P18" s="307"/>
      <c r="Q18" s="198">
        <f t="shared" si="14"/>
        <v>0</v>
      </c>
      <c r="R18" s="199"/>
      <c r="S18" s="307">
        <v>638348</v>
      </c>
      <c r="T18" s="307"/>
      <c r="U18" s="198">
        <f t="shared" si="15"/>
        <v>12600</v>
      </c>
      <c r="V18" s="308">
        <v>235091</v>
      </c>
      <c r="W18" s="308"/>
      <c r="X18" s="198">
        <f t="shared" si="16"/>
        <v>3100</v>
      </c>
      <c r="Y18" s="213">
        <f t="shared" si="17"/>
        <v>15700</v>
      </c>
      <c r="Z18" s="200"/>
      <c r="AA18" s="201">
        <v>6416</v>
      </c>
      <c r="AB18" s="198">
        <f t="shared" si="18"/>
        <v>670000</v>
      </c>
      <c r="AC18" s="201">
        <v>215542905</v>
      </c>
      <c r="AD18" s="198">
        <f t="shared" si="19"/>
        <v>55843.5</v>
      </c>
      <c r="AE18" s="201">
        <v>96552</v>
      </c>
      <c r="AF18" s="198">
        <f t="shared" si="20"/>
        <v>20</v>
      </c>
      <c r="AG18" s="201">
        <v>2784238</v>
      </c>
      <c r="AH18" s="198">
        <f t="shared" si="21"/>
        <v>27700</v>
      </c>
      <c r="AI18" s="201">
        <v>3584860</v>
      </c>
      <c r="AJ18" s="198">
        <f t="shared" si="22"/>
        <v>6579</v>
      </c>
      <c r="AK18" s="201">
        <v>14904</v>
      </c>
      <c r="AL18" s="198">
        <f t="shared" si="23"/>
        <v>0</v>
      </c>
      <c r="AM18" s="201">
        <v>10</v>
      </c>
      <c r="AN18" s="192">
        <f t="shared" si="24"/>
        <v>0</v>
      </c>
      <c r="AO18" s="201">
        <v>10662</v>
      </c>
      <c r="AP18" s="198">
        <f t="shared" si="25"/>
        <v>0</v>
      </c>
      <c r="AQ18" s="202"/>
      <c r="AR18" s="197">
        <f t="shared" si="0"/>
        <v>43922</v>
      </c>
      <c r="AS18" s="203">
        <v>6166</v>
      </c>
      <c r="AT18" s="198">
        <f t="shared" si="59"/>
        <v>4</v>
      </c>
      <c r="AU18" s="202"/>
      <c r="AV18" s="203">
        <v>16435246</v>
      </c>
      <c r="AW18" s="198">
        <f t="shared" si="60"/>
        <v>18950</v>
      </c>
      <c r="AX18" s="201">
        <v>306109318</v>
      </c>
      <c r="AY18" s="212">
        <f t="shared" si="61"/>
        <v>17612.490000000002</v>
      </c>
      <c r="AZ18" s="198">
        <f t="shared" si="62"/>
        <v>1337.5099999999984</v>
      </c>
      <c r="BA18" s="203">
        <v>6845700</v>
      </c>
      <c r="BB18" s="198">
        <f t="shared" si="30"/>
        <v>1000</v>
      </c>
      <c r="BC18" s="203">
        <v>3721300</v>
      </c>
      <c r="BD18" s="198">
        <f t="shared" si="31"/>
        <v>0</v>
      </c>
      <c r="BE18" s="203">
        <v>37912292</v>
      </c>
      <c r="BF18" s="198">
        <f t="shared" si="32"/>
        <v>162623</v>
      </c>
      <c r="BG18" s="204"/>
      <c r="BH18" s="204"/>
      <c r="BI18" s="205">
        <f t="shared" si="1"/>
        <v>37992572</v>
      </c>
      <c r="BJ18" s="204"/>
      <c r="BK18" s="204"/>
      <c r="BL18" s="206"/>
      <c r="BM18" s="206"/>
      <c r="BN18" s="205">
        <f t="shared" si="2"/>
        <v>4329989</v>
      </c>
      <c r="BO18" s="204"/>
      <c r="BP18" s="204"/>
      <c r="BQ18" s="204"/>
      <c r="BR18" s="205">
        <f t="shared" si="3"/>
        <v>638348</v>
      </c>
      <c r="BS18" s="204"/>
      <c r="BT18" s="204"/>
      <c r="BU18" s="193"/>
      <c r="BV18" s="205">
        <f t="shared" si="4"/>
        <v>235091</v>
      </c>
      <c r="BW18" s="195"/>
      <c r="BX18" s="196"/>
      <c r="BY18" s="193"/>
      <c r="BZ18" s="196"/>
      <c r="CA18" s="193"/>
      <c r="CB18" s="202"/>
      <c r="CC18" s="205">
        <f t="shared" si="5"/>
        <v>6845700</v>
      </c>
      <c r="CD18" s="204"/>
      <c r="CE18" s="204"/>
      <c r="CF18" s="206"/>
      <c r="CG18" s="206"/>
      <c r="CH18" s="206"/>
      <c r="CI18" s="205">
        <f t="shared" si="6"/>
        <v>16435246</v>
      </c>
      <c r="CJ18" s="204"/>
      <c r="CK18" s="204"/>
      <c r="CL18" s="206"/>
      <c r="CM18" s="207"/>
      <c r="CN18" s="205">
        <f t="shared" si="7"/>
        <v>6166</v>
      </c>
      <c r="CO18" s="204"/>
      <c r="CP18" s="208"/>
      <c r="CQ18" s="194"/>
      <c r="CR18" s="205">
        <f t="shared" si="8"/>
        <v>3721300</v>
      </c>
      <c r="CS18" s="204"/>
      <c r="CT18" s="204"/>
      <c r="CU18" s="206"/>
      <c r="CV18" s="207"/>
      <c r="CW18" s="205">
        <f t="shared" si="9"/>
        <v>37912292</v>
      </c>
      <c r="CX18" s="204"/>
      <c r="CY18" s="204"/>
      <c r="CZ18" s="206"/>
      <c r="DA18" s="204"/>
      <c r="DB18" s="204"/>
      <c r="DC18" s="204"/>
      <c r="DD18" s="209"/>
      <c r="DE18" s="209"/>
      <c r="DF18" s="209"/>
      <c r="DG18" s="209"/>
      <c r="DH18" s="210"/>
      <c r="DI18" s="211"/>
      <c r="DJ18" s="211"/>
    </row>
    <row r="19" spans="2:114" s="94" customFormat="1" x14ac:dyDescent="0.25">
      <c r="B19" s="197">
        <v>43926</v>
      </c>
      <c r="C19" s="307">
        <v>38024310</v>
      </c>
      <c r="D19" s="307"/>
      <c r="E19" s="198">
        <f t="shared" ref="E19:E22" si="66">SUM(C19-C18)*10</f>
        <v>317380</v>
      </c>
      <c r="F19" s="307">
        <v>4343897</v>
      </c>
      <c r="G19" s="307"/>
      <c r="H19" s="198">
        <f t="shared" ref="H19:H22" si="67">SUM(F19-F18)*10</f>
        <v>139080</v>
      </c>
      <c r="I19" s="307">
        <v>16301</v>
      </c>
      <c r="J19" s="307"/>
      <c r="K19" s="198">
        <f t="shared" si="42"/>
        <v>140</v>
      </c>
      <c r="L19" s="307">
        <v>277901</v>
      </c>
      <c r="M19" s="307"/>
      <c r="N19" s="198">
        <f t="shared" si="13"/>
        <v>134000</v>
      </c>
      <c r="O19" s="307">
        <v>8471</v>
      </c>
      <c r="P19" s="307"/>
      <c r="Q19" s="198">
        <f t="shared" si="14"/>
        <v>0</v>
      </c>
      <c r="R19" s="199"/>
      <c r="S19" s="307">
        <v>638682</v>
      </c>
      <c r="T19" s="307"/>
      <c r="U19" s="198">
        <f t="shared" si="15"/>
        <v>33400</v>
      </c>
      <c r="V19" s="308">
        <v>235159</v>
      </c>
      <c r="W19" s="308"/>
      <c r="X19" s="198">
        <f t="shared" si="16"/>
        <v>6800</v>
      </c>
      <c r="Y19" s="213">
        <f t="shared" si="17"/>
        <v>40200</v>
      </c>
      <c r="Z19" s="200"/>
      <c r="AA19" s="201">
        <v>6482</v>
      </c>
      <c r="AB19" s="198">
        <f t="shared" si="18"/>
        <v>660000</v>
      </c>
      <c r="AC19" s="201">
        <v>216906355</v>
      </c>
      <c r="AD19" s="198">
        <f t="shared" si="19"/>
        <v>136345</v>
      </c>
      <c r="AE19" s="201">
        <v>96596</v>
      </c>
      <c r="AF19" s="198">
        <f t="shared" si="20"/>
        <v>440</v>
      </c>
      <c r="AG19" s="201">
        <v>2794762</v>
      </c>
      <c r="AH19" s="198">
        <f t="shared" si="21"/>
        <v>105240</v>
      </c>
      <c r="AI19" s="201">
        <v>3601132</v>
      </c>
      <c r="AJ19" s="198">
        <f t="shared" si="22"/>
        <v>16272</v>
      </c>
      <c r="AK19" s="201">
        <v>14907</v>
      </c>
      <c r="AL19" s="198">
        <f t="shared" si="23"/>
        <v>3000</v>
      </c>
      <c r="AM19" s="201">
        <v>10</v>
      </c>
      <c r="AN19" s="192">
        <f t="shared" si="24"/>
        <v>0</v>
      </c>
      <c r="AO19" s="201">
        <v>10662</v>
      </c>
      <c r="AP19" s="198">
        <f t="shared" si="25"/>
        <v>0</v>
      </c>
      <c r="AQ19" s="202"/>
      <c r="AR19" s="197">
        <f t="shared" si="0"/>
        <v>43926</v>
      </c>
      <c r="AS19" s="203">
        <v>6178</v>
      </c>
      <c r="AT19" s="198">
        <f t="shared" si="59"/>
        <v>12</v>
      </c>
      <c r="AU19" s="202"/>
      <c r="AV19" s="203">
        <v>16481034</v>
      </c>
      <c r="AW19" s="198">
        <f t="shared" si="60"/>
        <v>45788</v>
      </c>
      <c r="AX19" s="201">
        <v>310497764</v>
      </c>
      <c r="AY19" s="212">
        <f t="shared" si="61"/>
        <v>43884.46</v>
      </c>
      <c r="AZ19" s="198">
        <f t="shared" si="62"/>
        <v>1903.5400000000009</v>
      </c>
      <c r="BA19" s="203">
        <v>6848300</v>
      </c>
      <c r="BB19" s="198">
        <f t="shared" si="30"/>
        <v>2600</v>
      </c>
      <c r="BC19" s="203">
        <v>3721600</v>
      </c>
      <c r="BD19" s="198">
        <f t="shared" si="31"/>
        <v>300</v>
      </c>
      <c r="BE19" s="203">
        <v>38172424</v>
      </c>
      <c r="BF19" s="198">
        <f t="shared" si="32"/>
        <v>260132</v>
      </c>
      <c r="BG19" s="204"/>
      <c r="BH19" s="204"/>
      <c r="BI19" s="205">
        <f t="shared" si="1"/>
        <v>38024310</v>
      </c>
      <c r="BJ19" s="204"/>
      <c r="BK19" s="204"/>
      <c r="BL19" s="206"/>
      <c r="BM19" s="206"/>
      <c r="BN19" s="205">
        <f t="shared" si="2"/>
        <v>4343897</v>
      </c>
      <c r="BO19" s="204"/>
      <c r="BP19" s="204"/>
      <c r="BQ19" s="204"/>
      <c r="BR19" s="205">
        <f t="shared" si="3"/>
        <v>638682</v>
      </c>
      <c r="BS19" s="204"/>
      <c r="BT19" s="204"/>
      <c r="BU19" s="193"/>
      <c r="BV19" s="205">
        <f t="shared" si="4"/>
        <v>235159</v>
      </c>
      <c r="BW19" s="195"/>
      <c r="BX19" s="196"/>
      <c r="BY19" s="193"/>
      <c r="BZ19" s="196"/>
      <c r="CA19" s="193"/>
      <c r="CB19" s="202"/>
      <c r="CC19" s="205">
        <f t="shared" si="5"/>
        <v>6848300</v>
      </c>
      <c r="CD19" s="204"/>
      <c r="CE19" s="204"/>
      <c r="CF19" s="206"/>
      <c r="CG19" s="206"/>
      <c r="CH19" s="206"/>
      <c r="CI19" s="205">
        <f t="shared" si="6"/>
        <v>16481034</v>
      </c>
      <c r="CJ19" s="204"/>
      <c r="CK19" s="204"/>
      <c r="CL19" s="206"/>
      <c r="CM19" s="207"/>
      <c r="CN19" s="205">
        <f t="shared" si="7"/>
        <v>6178</v>
      </c>
      <c r="CO19" s="204"/>
      <c r="CP19" s="208"/>
      <c r="CQ19" s="194"/>
      <c r="CR19" s="205">
        <f t="shared" si="8"/>
        <v>3721600</v>
      </c>
      <c r="CS19" s="204"/>
      <c r="CT19" s="204"/>
      <c r="CU19" s="206"/>
      <c r="CV19" s="207"/>
      <c r="CW19" s="205">
        <f t="shared" si="9"/>
        <v>38172424</v>
      </c>
      <c r="CX19" s="204"/>
      <c r="CY19" s="204"/>
      <c r="CZ19" s="206"/>
      <c r="DA19" s="204"/>
      <c r="DB19" s="204"/>
      <c r="DC19" s="204"/>
      <c r="DD19" s="209"/>
      <c r="DE19" s="209"/>
      <c r="DF19" s="209"/>
      <c r="DG19" s="209"/>
      <c r="DH19" s="210"/>
      <c r="DI19" s="211"/>
      <c r="DJ19" s="211"/>
    </row>
    <row r="20" spans="2:114" s="94" customFormat="1" x14ac:dyDescent="0.25">
      <c r="B20" s="197">
        <v>43933</v>
      </c>
      <c r="C20" s="307">
        <v>38060680</v>
      </c>
      <c r="D20" s="307"/>
      <c r="E20" s="198">
        <f t="shared" si="66"/>
        <v>363700</v>
      </c>
      <c r="F20" s="307">
        <v>4364332</v>
      </c>
      <c r="G20" s="307"/>
      <c r="H20" s="198">
        <f t="shared" si="67"/>
        <v>204350</v>
      </c>
      <c r="I20" s="307">
        <v>16301</v>
      </c>
      <c r="J20" s="307"/>
      <c r="K20" s="198">
        <f t="shared" si="42"/>
        <v>0</v>
      </c>
      <c r="L20" s="307">
        <v>278129</v>
      </c>
      <c r="M20" s="307"/>
      <c r="N20" s="198">
        <f t="shared" si="13"/>
        <v>228000</v>
      </c>
      <c r="O20" s="307">
        <v>8471</v>
      </c>
      <c r="P20" s="307"/>
      <c r="Q20" s="198">
        <f t="shared" si="14"/>
        <v>0</v>
      </c>
      <c r="R20" s="199"/>
      <c r="S20" s="307">
        <v>639095</v>
      </c>
      <c r="T20" s="307"/>
      <c r="U20" s="198">
        <f t="shared" si="15"/>
        <v>41300</v>
      </c>
      <c r="V20" s="308">
        <v>235240</v>
      </c>
      <c r="W20" s="308"/>
      <c r="X20" s="198">
        <f t="shared" si="16"/>
        <v>8100</v>
      </c>
      <c r="Y20" s="213">
        <f t="shared" si="17"/>
        <v>49400</v>
      </c>
      <c r="Z20" s="200"/>
      <c r="AA20" s="201">
        <v>6613</v>
      </c>
      <c r="AB20" s="198">
        <f t="shared" si="18"/>
        <v>1310000</v>
      </c>
      <c r="AC20" s="201">
        <v>219571355</v>
      </c>
      <c r="AD20" s="198">
        <f t="shared" si="19"/>
        <v>266500</v>
      </c>
      <c r="AE20" s="201">
        <v>96604</v>
      </c>
      <c r="AF20" s="198">
        <f t="shared" si="20"/>
        <v>80</v>
      </c>
      <c r="AG20" s="201">
        <v>2798559</v>
      </c>
      <c r="AH20" s="198">
        <f t="shared" si="21"/>
        <v>37970</v>
      </c>
      <c r="AI20" s="201">
        <v>3622161</v>
      </c>
      <c r="AJ20" s="198">
        <f t="shared" si="22"/>
        <v>21029</v>
      </c>
      <c r="AK20" s="201">
        <v>14914</v>
      </c>
      <c r="AL20" s="198">
        <f t="shared" si="23"/>
        <v>7000</v>
      </c>
      <c r="AM20" s="201">
        <v>10</v>
      </c>
      <c r="AN20" s="192">
        <f t="shared" si="24"/>
        <v>0</v>
      </c>
      <c r="AO20" s="201">
        <v>10663</v>
      </c>
      <c r="AP20" s="198">
        <f t="shared" si="25"/>
        <v>100</v>
      </c>
      <c r="AQ20" s="202"/>
      <c r="AR20" s="197">
        <f t="shared" si="0"/>
        <v>43933</v>
      </c>
      <c r="AS20" s="203">
        <v>6196</v>
      </c>
      <c r="AT20" s="198">
        <f t="shared" si="59"/>
        <v>18</v>
      </c>
      <c r="AU20" s="202"/>
      <c r="AV20" s="203">
        <v>16545282</v>
      </c>
      <c r="AW20" s="198">
        <f t="shared" si="60"/>
        <v>64248</v>
      </c>
      <c r="AX20" s="201">
        <v>316578989</v>
      </c>
      <c r="AY20" s="212">
        <f t="shared" si="61"/>
        <v>60812.25</v>
      </c>
      <c r="AZ20" s="198">
        <f t="shared" si="62"/>
        <v>3435.75</v>
      </c>
      <c r="BA20" s="203">
        <v>6849600</v>
      </c>
      <c r="BB20" s="198">
        <f t="shared" si="30"/>
        <v>1300</v>
      </c>
      <c r="BC20" s="203">
        <v>3721900</v>
      </c>
      <c r="BD20" s="198">
        <f t="shared" si="31"/>
        <v>300</v>
      </c>
      <c r="BE20" s="203">
        <v>38479889</v>
      </c>
      <c r="BF20" s="198">
        <f t="shared" si="32"/>
        <v>307465</v>
      </c>
      <c r="BG20" s="204"/>
      <c r="BH20" s="204"/>
      <c r="BI20" s="205">
        <f t="shared" si="1"/>
        <v>38060680</v>
      </c>
      <c r="BJ20" s="204"/>
      <c r="BK20" s="204"/>
      <c r="BL20" s="206"/>
      <c r="BM20" s="206"/>
      <c r="BN20" s="205">
        <f t="shared" si="2"/>
        <v>4364332</v>
      </c>
      <c r="BO20" s="204"/>
      <c r="BP20" s="204"/>
      <c r="BQ20" s="204"/>
      <c r="BR20" s="205">
        <f t="shared" si="3"/>
        <v>639095</v>
      </c>
      <c r="BS20" s="204"/>
      <c r="BT20" s="204"/>
      <c r="BU20" s="193"/>
      <c r="BV20" s="205">
        <f t="shared" si="4"/>
        <v>235240</v>
      </c>
      <c r="BW20" s="195"/>
      <c r="BX20" s="196"/>
      <c r="BY20" s="193"/>
      <c r="BZ20" s="196"/>
      <c r="CA20" s="193"/>
      <c r="CB20" s="202"/>
      <c r="CC20" s="205">
        <f t="shared" si="5"/>
        <v>6849600</v>
      </c>
      <c r="CD20" s="204"/>
      <c r="CE20" s="204"/>
      <c r="CF20" s="206"/>
      <c r="CG20" s="206"/>
      <c r="CH20" s="206"/>
      <c r="CI20" s="205">
        <f t="shared" si="6"/>
        <v>16545282</v>
      </c>
      <c r="CJ20" s="204"/>
      <c r="CK20" s="204"/>
      <c r="CL20" s="206"/>
      <c r="CM20" s="207"/>
      <c r="CN20" s="205">
        <f t="shared" si="7"/>
        <v>6196</v>
      </c>
      <c r="CO20" s="204"/>
      <c r="CP20" s="208"/>
      <c r="CQ20" s="194"/>
      <c r="CR20" s="205">
        <f t="shared" si="8"/>
        <v>3721900</v>
      </c>
      <c r="CS20" s="204"/>
      <c r="CT20" s="204"/>
      <c r="CU20" s="206"/>
      <c r="CV20" s="207"/>
      <c r="CW20" s="205">
        <f t="shared" si="9"/>
        <v>38479889</v>
      </c>
      <c r="CX20" s="204"/>
      <c r="CY20" s="204"/>
      <c r="CZ20" s="206"/>
      <c r="DA20" s="204"/>
      <c r="DB20" s="204"/>
      <c r="DC20" s="204"/>
      <c r="DD20" s="209"/>
      <c r="DE20" s="209"/>
      <c r="DF20" s="209"/>
      <c r="DG20" s="209"/>
      <c r="DH20" s="210"/>
      <c r="DI20" s="211"/>
      <c r="DJ20" s="211"/>
    </row>
    <row r="21" spans="2:114" s="94" customFormat="1" x14ac:dyDescent="0.25">
      <c r="B21" s="197">
        <v>43940</v>
      </c>
      <c r="C21" s="307">
        <v>38095654</v>
      </c>
      <c r="D21" s="307"/>
      <c r="E21" s="198">
        <f t="shared" si="66"/>
        <v>349740</v>
      </c>
      <c r="F21" s="307">
        <v>4379811</v>
      </c>
      <c r="G21" s="307"/>
      <c r="H21" s="198">
        <f t="shared" si="67"/>
        <v>154790</v>
      </c>
      <c r="I21" s="307">
        <v>16301</v>
      </c>
      <c r="J21" s="307"/>
      <c r="K21" s="198">
        <f t="shared" si="42"/>
        <v>0</v>
      </c>
      <c r="L21" s="307">
        <v>278377</v>
      </c>
      <c r="M21" s="307"/>
      <c r="N21" s="198">
        <f t="shared" si="13"/>
        <v>248000</v>
      </c>
      <c r="O21" s="307">
        <v>8471</v>
      </c>
      <c r="P21" s="307"/>
      <c r="Q21" s="198">
        <f t="shared" si="14"/>
        <v>0</v>
      </c>
      <c r="R21" s="199"/>
      <c r="S21" s="307">
        <v>639481</v>
      </c>
      <c r="T21" s="307"/>
      <c r="U21" s="198">
        <f t="shared" si="15"/>
        <v>38600</v>
      </c>
      <c r="V21" s="308">
        <v>235300</v>
      </c>
      <c r="W21" s="308"/>
      <c r="X21" s="198">
        <f t="shared" si="16"/>
        <v>6000</v>
      </c>
      <c r="Y21" s="213">
        <f t="shared" si="17"/>
        <v>44600</v>
      </c>
      <c r="Z21" s="200"/>
      <c r="AA21" s="201">
        <v>6756</v>
      </c>
      <c r="AB21" s="198">
        <f t="shared" si="18"/>
        <v>1430000</v>
      </c>
      <c r="AC21" s="201">
        <v>222710659</v>
      </c>
      <c r="AD21" s="198">
        <f t="shared" si="19"/>
        <v>313930.40000000002</v>
      </c>
      <c r="AE21" s="201">
        <v>96648</v>
      </c>
      <c r="AF21" s="198">
        <f t="shared" si="20"/>
        <v>440</v>
      </c>
      <c r="AG21" s="201">
        <v>2800532</v>
      </c>
      <c r="AH21" s="198">
        <f t="shared" si="21"/>
        <v>19730</v>
      </c>
      <c r="AI21" s="201">
        <v>3643439</v>
      </c>
      <c r="AJ21" s="198">
        <f t="shared" si="22"/>
        <v>21278</v>
      </c>
      <c r="AK21" s="201">
        <v>14915</v>
      </c>
      <c r="AL21" s="198">
        <f t="shared" si="23"/>
        <v>1000</v>
      </c>
      <c r="AM21" s="201">
        <v>10</v>
      </c>
      <c r="AN21" s="192">
        <f t="shared" si="24"/>
        <v>0</v>
      </c>
      <c r="AO21" s="201">
        <v>10663</v>
      </c>
      <c r="AP21" s="198">
        <f t="shared" si="25"/>
        <v>0</v>
      </c>
      <c r="AQ21" s="202"/>
      <c r="AR21" s="197">
        <f t="shared" si="0"/>
        <v>43940</v>
      </c>
      <c r="AS21" s="203">
        <v>6224</v>
      </c>
      <c r="AT21" s="198">
        <f t="shared" si="59"/>
        <v>28</v>
      </c>
      <c r="AU21" s="202"/>
      <c r="AV21" s="203">
        <v>16617643</v>
      </c>
      <c r="AW21" s="198">
        <f t="shared" si="60"/>
        <v>72361</v>
      </c>
      <c r="AX21" s="201">
        <v>323475891</v>
      </c>
      <c r="AY21" s="212">
        <f t="shared" si="61"/>
        <v>68969.02</v>
      </c>
      <c r="AZ21" s="198">
        <f t="shared" si="62"/>
        <v>3391.9799999999959</v>
      </c>
      <c r="BA21" s="203">
        <v>6849600</v>
      </c>
      <c r="BB21" s="198">
        <f t="shared" si="30"/>
        <v>0</v>
      </c>
      <c r="BC21" s="203">
        <v>3723100</v>
      </c>
      <c r="BD21" s="198">
        <f t="shared" si="31"/>
        <v>1200</v>
      </c>
      <c r="BE21" s="203">
        <v>38710911</v>
      </c>
      <c r="BF21" s="198">
        <f t="shared" si="32"/>
        <v>231022</v>
      </c>
      <c r="BG21" s="204"/>
      <c r="BH21" s="204"/>
      <c r="BI21" s="205">
        <f t="shared" si="1"/>
        <v>38095654</v>
      </c>
      <c r="BJ21" s="204"/>
      <c r="BK21" s="204"/>
      <c r="BL21" s="206"/>
      <c r="BM21" s="206"/>
      <c r="BN21" s="205">
        <f t="shared" si="2"/>
        <v>4379811</v>
      </c>
      <c r="BO21" s="204"/>
      <c r="BP21" s="204"/>
      <c r="BQ21" s="204"/>
      <c r="BR21" s="205">
        <f t="shared" si="3"/>
        <v>639481</v>
      </c>
      <c r="BS21" s="204"/>
      <c r="BT21" s="204"/>
      <c r="BU21" s="193"/>
      <c r="BV21" s="205">
        <f t="shared" si="4"/>
        <v>235300</v>
      </c>
      <c r="BW21" s="195"/>
      <c r="BX21" s="196"/>
      <c r="BY21" s="193"/>
      <c r="BZ21" s="196"/>
      <c r="CA21" s="193"/>
      <c r="CB21" s="202"/>
      <c r="CC21" s="205">
        <f t="shared" si="5"/>
        <v>6849600</v>
      </c>
      <c r="CD21" s="204"/>
      <c r="CE21" s="204"/>
      <c r="CF21" s="206"/>
      <c r="CG21" s="206"/>
      <c r="CH21" s="206"/>
      <c r="CI21" s="205">
        <f t="shared" si="6"/>
        <v>16617643</v>
      </c>
      <c r="CJ21" s="204"/>
      <c r="CK21" s="204"/>
      <c r="CL21" s="206"/>
      <c r="CM21" s="207"/>
      <c r="CN21" s="205">
        <f t="shared" si="7"/>
        <v>6224</v>
      </c>
      <c r="CO21" s="204"/>
      <c r="CP21" s="208"/>
      <c r="CQ21" s="194"/>
      <c r="CR21" s="205">
        <f t="shared" si="8"/>
        <v>3723100</v>
      </c>
      <c r="CS21" s="204"/>
      <c r="CT21" s="204"/>
      <c r="CU21" s="206"/>
      <c r="CV21" s="207"/>
      <c r="CW21" s="205">
        <f t="shared" si="9"/>
        <v>38710911</v>
      </c>
      <c r="CX21" s="204"/>
      <c r="CY21" s="204"/>
      <c r="CZ21" s="206"/>
      <c r="DA21" s="204"/>
      <c r="DB21" s="204"/>
      <c r="DC21" s="204"/>
      <c r="DD21" s="209"/>
      <c r="DE21" s="209"/>
      <c r="DF21" s="209"/>
      <c r="DG21" s="209"/>
      <c r="DH21" s="210"/>
      <c r="DI21" s="211"/>
      <c r="DJ21" s="211"/>
    </row>
    <row r="22" spans="2:114" s="94" customFormat="1" x14ac:dyDescent="0.25">
      <c r="B22" s="197">
        <v>43947</v>
      </c>
      <c r="C22" s="307">
        <v>38150256</v>
      </c>
      <c r="D22" s="307"/>
      <c r="E22" s="198">
        <f t="shared" si="66"/>
        <v>546020</v>
      </c>
      <c r="F22" s="307">
        <v>4390651</v>
      </c>
      <c r="G22" s="307"/>
      <c r="H22" s="198">
        <f t="shared" si="67"/>
        <v>108400</v>
      </c>
      <c r="I22" s="307">
        <v>16301</v>
      </c>
      <c r="J22" s="307"/>
      <c r="K22" s="198">
        <f t="shared" si="42"/>
        <v>0</v>
      </c>
      <c r="L22" s="307">
        <v>278689</v>
      </c>
      <c r="M22" s="307"/>
      <c r="N22" s="198">
        <f t="shared" si="13"/>
        <v>312000</v>
      </c>
      <c r="O22" s="307">
        <v>8471</v>
      </c>
      <c r="P22" s="307"/>
      <c r="Q22" s="198">
        <f t="shared" si="14"/>
        <v>0</v>
      </c>
      <c r="R22" s="199"/>
      <c r="S22" s="307">
        <v>639921</v>
      </c>
      <c r="T22" s="307"/>
      <c r="U22" s="198">
        <f t="shared" si="15"/>
        <v>44000</v>
      </c>
      <c r="V22" s="308">
        <v>235440</v>
      </c>
      <c r="W22" s="308"/>
      <c r="X22" s="198">
        <f t="shared" si="16"/>
        <v>14000</v>
      </c>
      <c r="Y22" s="213">
        <f t="shared" si="17"/>
        <v>58000</v>
      </c>
      <c r="Z22" s="200"/>
      <c r="AA22" s="201">
        <v>6904</v>
      </c>
      <c r="AB22" s="198">
        <f t="shared" si="18"/>
        <v>1480000</v>
      </c>
      <c r="AC22" s="201">
        <v>225965845</v>
      </c>
      <c r="AD22" s="198">
        <f t="shared" si="19"/>
        <v>325518.60000000003</v>
      </c>
      <c r="AE22" s="201">
        <v>96698</v>
      </c>
      <c r="AF22" s="198">
        <f t="shared" si="20"/>
        <v>500</v>
      </c>
      <c r="AG22" s="201">
        <v>2814248</v>
      </c>
      <c r="AH22" s="198">
        <f t="shared" si="21"/>
        <v>137160</v>
      </c>
      <c r="AI22" s="201">
        <v>3664139</v>
      </c>
      <c r="AJ22" s="198">
        <f t="shared" si="22"/>
        <v>20700</v>
      </c>
      <c r="AK22" s="201">
        <v>14942</v>
      </c>
      <c r="AL22" s="198">
        <f t="shared" si="23"/>
        <v>27000</v>
      </c>
      <c r="AM22" s="201">
        <v>10</v>
      </c>
      <c r="AN22" s="192">
        <f t="shared" si="24"/>
        <v>0</v>
      </c>
      <c r="AO22" s="201">
        <v>10662</v>
      </c>
      <c r="AP22" s="198">
        <f t="shared" si="25"/>
        <v>-100</v>
      </c>
      <c r="AQ22" s="202"/>
      <c r="AR22" s="197">
        <f t="shared" si="0"/>
        <v>43947</v>
      </c>
      <c r="AS22" s="203">
        <v>6244</v>
      </c>
      <c r="AT22" s="198">
        <f t="shared" si="59"/>
        <v>20</v>
      </c>
      <c r="AU22" s="202"/>
      <c r="AV22" s="203">
        <v>16673800</v>
      </c>
      <c r="AW22" s="198">
        <f t="shared" si="60"/>
        <v>56157</v>
      </c>
      <c r="AX22" s="201">
        <v>328810409</v>
      </c>
      <c r="AY22" s="212">
        <f t="shared" si="61"/>
        <v>53345.18</v>
      </c>
      <c r="AZ22" s="198">
        <f t="shared" si="62"/>
        <v>2811.8199999999997</v>
      </c>
      <c r="BA22" s="203">
        <v>6855300</v>
      </c>
      <c r="BB22" s="198">
        <f t="shared" si="30"/>
        <v>5700</v>
      </c>
      <c r="BC22" s="203">
        <v>3723400</v>
      </c>
      <c r="BD22" s="198">
        <f t="shared" si="31"/>
        <v>300</v>
      </c>
      <c r="BE22" s="203">
        <v>38837140</v>
      </c>
      <c r="BF22" s="198">
        <f t="shared" si="32"/>
        <v>126229</v>
      </c>
      <c r="BG22" s="204"/>
      <c r="BH22" s="204"/>
      <c r="BI22" s="205">
        <f t="shared" si="1"/>
        <v>38150256</v>
      </c>
      <c r="BJ22" s="204"/>
      <c r="BK22" s="204"/>
      <c r="BL22" s="206"/>
      <c r="BM22" s="206"/>
      <c r="BN22" s="205">
        <f t="shared" si="2"/>
        <v>4390651</v>
      </c>
      <c r="BO22" s="204"/>
      <c r="BP22" s="204"/>
      <c r="BQ22" s="204"/>
      <c r="BR22" s="205">
        <f t="shared" si="3"/>
        <v>639921</v>
      </c>
      <c r="BS22" s="204"/>
      <c r="BT22" s="204"/>
      <c r="BU22" s="193"/>
      <c r="BV22" s="205">
        <f t="shared" si="4"/>
        <v>235440</v>
      </c>
      <c r="BW22" s="195"/>
      <c r="BX22" s="196"/>
      <c r="BY22" s="193"/>
      <c r="BZ22" s="196"/>
      <c r="CA22" s="193"/>
      <c r="CB22" s="202"/>
      <c r="CC22" s="205">
        <f t="shared" si="5"/>
        <v>6855300</v>
      </c>
      <c r="CD22" s="204"/>
      <c r="CE22" s="204"/>
      <c r="CF22" s="206"/>
      <c r="CG22" s="206"/>
      <c r="CH22" s="206"/>
      <c r="CI22" s="205">
        <f t="shared" si="6"/>
        <v>16673800</v>
      </c>
      <c r="CJ22" s="204"/>
      <c r="CK22" s="204"/>
      <c r="CL22" s="206"/>
      <c r="CM22" s="207"/>
      <c r="CN22" s="205">
        <f t="shared" si="7"/>
        <v>6244</v>
      </c>
      <c r="CO22" s="204"/>
      <c r="CP22" s="208"/>
      <c r="CQ22" s="194"/>
      <c r="CR22" s="205">
        <f t="shared" si="8"/>
        <v>3723400</v>
      </c>
      <c r="CS22" s="204"/>
      <c r="CT22" s="204"/>
      <c r="CU22" s="206"/>
      <c r="CV22" s="207"/>
      <c r="CW22" s="205">
        <f t="shared" si="9"/>
        <v>38837140</v>
      </c>
      <c r="CX22" s="204"/>
      <c r="CY22" s="204"/>
      <c r="CZ22" s="206"/>
      <c r="DA22" s="204"/>
      <c r="DB22" s="204"/>
      <c r="DC22" s="204"/>
      <c r="DD22" s="209"/>
      <c r="DE22" s="209"/>
      <c r="DF22" s="209"/>
      <c r="DG22" s="209"/>
      <c r="DH22" s="210"/>
      <c r="DI22" s="211"/>
      <c r="DJ22" s="211"/>
    </row>
    <row r="23" spans="2:114" s="94" customFormat="1" x14ac:dyDescent="0.25">
      <c r="B23" s="197">
        <v>43952</v>
      </c>
      <c r="C23" s="307">
        <v>38183929</v>
      </c>
      <c r="D23" s="307"/>
      <c r="E23" s="198">
        <f t="shared" ref="E23:E24" si="68">SUM(C23-C22)*10</f>
        <v>336730</v>
      </c>
      <c r="F23" s="307">
        <v>4402020</v>
      </c>
      <c r="G23" s="307"/>
      <c r="H23" s="198">
        <f t="shared" ref="H23:H24" si="69">SUM(F23-F22)*10</f>
        <v>113690</v>
      </c>
      <c r="I23" s="307">
        <v>16301</v>
      </c>
      <c r="J23" s="307"/>
      <c r="K23" s="198">
        <f t="shared" si="42"/>
        <v>0</v>
      </c>
      <c r="L23" s="307">
        <v>278879</v>
      </c>
      <c r="M23" s="307"/>
      <c r="N23" s="198">
        <f t="shared" si="13"/>
        <v>190000</v>
      </c>
      <c r="O23" s="307">
        <v>8471</v>
      </c>
      <c r="P23" s="307"/>
      <c r="Q23" s="198">
        <f t="shared" si="14"/>
        <v>0</v>
      </c>
      <c r="R23" s="199"/>
      <c r="S23" s="307">
        <v>640213</v>
      </c>
      <c r="T23" s="307"/>
      <c r="U23" s="198">
        <f t="shared" si="15"/>
        <v>29200</v>
      </c>
      <c r="V23" s="308">
        <v>235496</v>
      </c>
      <c r="W23" s="308"/>
      <c r="X23" s="198">
        <f t="shared" si="16"/>
        <v>5600</v>
      </c>
      <c r="Y23" s="213">
        <f t="shared" si="17"/>
        <v>34800</v>
      </c>
      <c r="Z23" s="200"/>
      <c r="AA23" s="201">
        <v>6971</v>
      </c>
      <c r="AB23" s="198">
        <f t="shared" si="18"/>
        <v>670000</v>
      </c>
      <c r="AC23" s="201">
        <v>227674732</v>
      </c>
      <c r="AD23" s="198">
        <f t="shared" si="19"/>
        <v>170888.7</v>
      </c>
      <c r="AE23" s="201">
        <v>96694</v>
      </c>
      <c r="AF23" s="198">
        <f t="shared" si="20"/>
        <v>-40</v>
      </c>
      <c r="AG23" s="201">
        <v>2823763</v>
      </c>
      <c r="AH23" s="198">
        <f t="shared" si="21"/>
        <v>95150</v>
      </c>
      <c r="AI23" s="201">
        <v>3674982</v>
      </c>
      <c r="AJ23" s="198">
        <f t="shared" si="22"/>
        <v>10843</v>
      </c>
      <c r="AK23" s="201">
        <v>14942</v>
      </c>
      <c r="AL23" s="198">
        <f t="shared" si="23"/>
        <v>0</v>
      </c>
      <c r="AM23" s="201">
        <v>10</v>
      </c>
      <c r="AN23" s="192">
        <f t="shared" si="24"/>
        <v>0</v>
      </c>
      <c r="AO23" s="201">
        <v>10662</v>
      </c>
      <c r="AP23" s="198">
        <f t="shared" si="25"/>
        <v>0</v>
      </c>
      <c r="AQ23" s="202"/>
      <c r="AR23" s="197">
        <f t="shared" si="0"/>
        <v>43952</v>
      </c>
      <c r="AS23" s="203">
        <v>6261</v>
      </c>
      <c r="AT23" s="198">
        <f t="shared" si="59"/>
        <v>17</v>
      </c>
      <c r="AU23" s="202"/>
      <c r="AV23" s="203">
        <v>16729301</v>
      </c>
      <c r="AW23" s="198">
        <f t="shared" si="60"/>
        <v>55501</v>
      </c>
      <c r="AX23" s="201">
        <v>334064704</v>
      </c>
      <c r="AY23" s="212">
        <f t="shared" si="61"/>
        <v>52542.95</v>
      </c>
      <c r="AZ23" s="198">
        <f t="shared" si="62"/>
        <v>2958.0500000000029</v>
      </c>
      <c r="BA23" s="203">
        <v>6858200</v>
      </c>
      <c r="BB23" s="198">
        <f t="shared" si="30"/>
        <v>2900</v>
      </c>
      <c r="BC23" s="203">
        <v>3723800</v>
      </c>
      <c r="BD23" s="198">
        <f t="shared" si="31"/>
        <v>400</v>
      </c>
      <c r="BE23" s="203">
        <v>39028478</v>
      </c>
      <c r="BF23" s="198">
        <f t="shared" si="32"/>
        <v>191338</v>
      </c>
      <c r="BG23" s="204"/>
      <c r="BH23" s="204"/>
      <c r="BI23" s="205">
        <f t="shared" si="1"/>
        <v>38183929</v>
      </c>
      <c r="BJ23" s="168">
        <v>380930</v>
      </c>
      <c r="BK23" s="170">
        <f>SUM(BJ23-BJ17)</f>
        <v>1851</v>
      </c>
      <c r="BL23" s="173">
        <f>SUM(BK23*1.1251)+2076.11</f>
        <v>4158.6701000000003</v>
      </c>
      <c r="BM23" s="172">
        <v>5554.07</v>
      </c>
      <c r="BN23" s="205">
        <f t="shared" si="2"/>
        <v>4402020</v>
      </c>
      <c r="BO23" s="168">
        <v>43798</v>
      </c>
      <c r="BP23" s="170">
        <f>SUM(BO23-BO17)</f>
        <v>858</v>
      </c>
      <c r="BQ23" s="173">
        <f>SUM(BP23*0.8868)+1712.96</f>
        <v>2473.8344000000002</v>
      </c>
      <c r="BR23" s="205">
        <f t="shared" si="3"/>
        <v>640213</v>
      </c>
      <c r="BS23" s="168">
        <v>639685</v>
      </c>
      <c r="BT23" s="168">
        <v>8376.0300000000007</v>
      </c>
      <c r="BU23" s="80">
        <v>6857.36</v>
      </c>
      <c r="BV23" s="205">
        <f t="shared" si="4"/>
        <v>235496</v>
      </c>
      <c r="BW23" s="81">
        <v>23538</v>
      </c>
      <c r="BX23" s="32">
        <v>38.46</v>
      </c>
      <c r="BY23" s="80">
        <v>31.53</v>
      </c>
      <c r="BZ23" s="92">
        <f t="shared" ref="BZ23" si="70">SUM(BT23+BX23)</f>
        <v>8414.49</v>
      </c>
      <c r="CA23" s="80">
        <v>2754.81</v>
      </c>
      <c r="CB23" s="202"/>
      <c r="CC23" s="95">
        <f t="shared" si="5"/>
        <v>6858200</v>
      </c>
      <c r="CD23" s="214">
        <v>6852</v>
      </c>
      <c r="CE23" s="67">
        <f>SUM(CD23-CD17)</f>
        <v>8</v>
      </c>
      <c r="CF23" s="173">
        <f>SUM(CE23*1.1251)+129.67</f>
        <v>138.67079999999999</v>
      </c>
      <c r="CG23" s="172">
        <v>50.32</v>
      </c>
      <c r="CH23" s="172">
        <v>1002.53</v>
      </c>
      <c r="CI23" s="205">
        <f t="shared" si="6"/>
        <v>16729301</v>
      </c>
      <c r="CJ23" s="168">
        <v>16599</v>
      </c>
      <c r="CK23" s="170">
        <f>SUM(CJ23-CJ17)</f>
        <v>267</v>
      </c>
      <c r="CL23" s="173">
        <f>SUM(CK23*1.1251+207.57)</f>
        <v>507.9717</v>
      </c>
      <c r="CM23" s="84">
        <v>94.35</v>
      </c>
      <c r="CN23" s="205">
        <f t="shared" si="7"/>
        <v>6261</v>
      </c>
      <c r="CO23" s="168">
        <v>6230</v>
      </c>
      <c r="CP23" s="169">
        <v>178.52</v>
      </c>
      <c r="CQ23" s="83">
        <v>146.30000000000001</v>
      </c>
      <c r="CR23" s="205">
        <f t="shared" si="8"/>
        <v>3723800</v>
      </c>
      <c r="CS23" s="168">
        <v>3723</v>
      </c>
      <c r="CT23" s="170">
        <f>SUM(CS23-CS17)</f>
        <v>2</v>
      </c>
      <c r="CU23" s="173">
        <f>SUM(CT23*1.1251)+207.57</f>
        <v>209.8202</v>
      </c>
      <c r="CV23" s="207"/>
      <c r="CW23" s="205">
        <f t="shared" si="9"/>
        <v>39028478</v>
      </c>
      <c r="CX23" s="168">
        <v>386385</v>
      </c>
      <c r="CY23" s="170">
        <f>SUM(CX23-CX17)</f>
        <v>13156</v>
      </c>
      <c r="CZ23" s="173">
        <f>SUM(CY23*0.8868)+1070.52</f>
        <v>12737.2608</v>
      </c>
      <c r="DA23" s="204"/>
      <c r="DB23" s="204"/>
      <c r="DC23" s="168">
        <f>SUM(E21:E24)</f>
        <v>1508260</v>
      </c>
      <c r="DD23" s="172" t="e">
        <f>SUM(BL23+CF23+CL23+#REF!+CU23)</f>
        <v>#REF!</v>
      </c>
      <c r="DE23" s="172">
        <f>SUM(BQ23+CZ23)</f>
        <v>15211.0952</v>
      </c>
      <c r="DF23" s="172">
        <f>SUM(BM23+CG23+CV23)</f>
        <v>5604.3899999999994</v>
      </c>
      <c r="DG23" s="172" t="e">
        <f>SUM(DD23:DF23)</f>
        <v>#REF!</v>
      </c>
      <c r="DH23" s="166"/>
      <c r="DI23" s="86">
        <f>SUM(BU23+CQ23+BY23)</f>
        <v>7035.19</v>
      </c>
      <c r="DJ23" s="86">
        <f>SUM(CA23+CH23)</f>
        <v>3757.34</v>
      </c>
    </row>
    <row r="24" spans="2:114" s="94" customFormat="1" x14ac:dyDescent="0.25">
      <c r="B24" s="197">
        <v>43955</v>
      </c>
      <c r="C24" s="307">
        <v>38211506</v>
      </c>
      <c r="D24" s="307"/>
      <c r="E24" s="198">
        <f t="shared" si="68"/>
        <v>275770</v>
      </c>
      <c r="F24" s="307">
        <v>4411492</v>
      </c>
      <c r="G24" s="307"/>
      <c r="H24" s="198">
        <f t="shared" si="69"/>
        <v>94720</v>
      </c>
      <c r="I24" s="307">
        <v>16301</v>
      </c>
      <c r="J24" s="307"/>
      <c r="K24" s="198">
        <f t="shared" si="42"/>
        <v>0</v>
      </c>
      <c r="L24" s="307">
        <v>278983</v>
      </c>
      <c r="M24" s="307"/>
      <c r="N24" s="198">
        <f t="shared" si="13"/>
        <v>104000</v>
      </c>
      <c r="O24" s="307">
        <v>8471</v>
      </c>
      <c r="P24" s="307"/>
      <c r="Q24" s="198">
        <f t="shared" si="14"/>
        <v>0</v>
      </c>
      <c r="R24" s="199"/>
      <c r="S24" s="307">
        <v>640422</v>
      </c>
      <c r="T24" s="307"/>
      <c r="U24" s="198">
        <f t="shared" si="15"/>
        <v>20900</v>
      </c>
      <c r="V24" s="308">
        <v>235529</v>
      </c>
      <c r="W24" s="308"/>
      <c r="X24" s="198">
        <f t="shared" si="16"/>
        <v>3300</v>
      </c>
      <c r="Y24" s="213">
        <f t="shared" si="17"/>
        <v>24200</v>
      </c>
      <c r="Z24" s="200"/>
      <c r="AA24" s="201">
        <v>7012</v>
      </c>
      <c r="AB24" s="198">
        <f t="shared" ref="AB24" si="71">SUM(AA24-AA23)*10000</f>
        <v>410000</v>
      </c>
      <c r="AC24" s="201">
        <v>228839165</v>
      </c>
      <c r="AD24" s="198">
        <f t="shared" ref="AD24" si="72">SUM(AC24-AC23)*0.1</f>
        <v>116443.3</v>
      </c>
      <c r="AE24" s="201">
        <v>96694</v>
      </c>
      <c r="AF24" s="198">
        <f t="shared" si="20"/>
        <v>0</v>
      </c>
      <c r="AG24" s="201">
        <v>2833781</v>
      </c>
      <c r="AH24" s="198">
        <f t="shared" si="21"/>
        <v>100180</v>
      </c>
      <c r="AI24" s="201">
        <v>3679765</v>
      </c>
      <c r="AJ24" s="198">
        <f t="shared" si="22"/>
        <v>4783</v>
      </c>
      <c r="AK24" s="201">
        <v>14942</v>
      </c>
      <c r="AL24" s="198">
        <f t="shared" si="23"/>
        <v>0</v>
      </c>
      <c r="AM24" s="201">
        <v>10</v>
      </c>
      <c r="AN24" s="192">
        <f t="shared" si="24"/>
        <v>0</v>
      </c>
      <c r="AO24" s="201">
        <v>10662</v>
      </c>
      <c r="AP24" s="198">
        <f t="shared" si="25"/>
        <v>0</v>
      </c>
      <c r="AQ24" s="202"/>
      <c r="AR24" s="197">
        <f t="shared" si="0"/>
        <v>43955</v>
      </c>
      <c r="AS24" s="203">
        <v>6263</v>
      </c>
      <c r="AT24" s="198">
        <f t="shared" si="59"/>
        <v>2</v>
      </c>
      <c r="AU24" s="202"/>
      <c r="AV24" s="203">
        <v>16738138</v>
      </c>
      <c r="AW24" s="198">
        <f t="shared" si="60"/>
        <v>8837</v>
      </c>
      <c r="AX24" s="201">
        <v>334894325</v>
      </c>
      <c r="AY24" s="212">
        <f t="shared" si="61"/>
        <v>8296.2099999999991</v>
      </c>
      <c r="AZ24" s="198">
        <f t="shared" si="62"/>
        <v>540.79000000000087</v>
      </c>
      <c r="BA24" s="203">
        <v>6858500</v>
      </c>
      <c r="BB24" s="198">
        <f t="shared" si="30"/>
        <v>300</v>
      </c>
      <c r="BC24" s="203">
        <v>3723900</v>
      </c>
      <c r="BD24" s="198">
        <f t="shared" si="31"/>
        <v>100</v>
      </c>
      <c r="BE24" s="203">
        <v>39101076</v>
      </c>
      <c r="BF24" s="198">
        <f t="shared" si="32"/>
        <v>72598</v>
      </c>
      <c r="BG24" s="204"/>
      <c r="BH24" s="204"/>
      <c r="BI24" s="205">
        <f t="shared" si="1"/>
        <v>38211506</v>
      </c>
      <c r="BJ24" s="204"/>
      <c r="BK24" s="204"/>
      <c r="BL24" s="206"/>
      <c r="BM24" s="206"/>
      <c r="BN24" s="205">
        <f t="shared" si="2"/>
        <v>4411492</v>
      </c>
      <c r="BO24" s="204"/>
      <c r="BP24" s="204"/>
      <c r="BQ24" s="204"/>
      <c r="BR24" s="205">
        <f t="shared" si="3"/>
        <v>640422</v>
      </c>
      <c r="BS24" s="204"/>
      <c r="BT24" s="204"/>
      <c r="BU24" s="193"/>
      <c r="BV24" s="205">
        <f t="shared" si="4"/>
        <v>235529</v>
      </c>
      <c r="BW24" s="195"/>
      <c r="BX24" s="196"/>
      <c r="BY24" s="193"/>
      <c r="BZ24" s="196"/>
      <c r="CA24" s="193"/>
      <c r="CB24" s="202"/>
      <c r="CC24" s="205">
        <f t="shared" si="5"/>
        <v>6858500</v>
      </c>
      <c r="CD24" s="204"/>
      <c r="CE24" s="204"/>
      <c r="CF24" s="206"/>
      <c r="CG24" s="206"/>
      <c r="CH24" s="206"/>
      <c r="CI24" s="205">
        <f t="shared" si="6"/>
        <v>16738138</v>
      </c>
      <c r="CJ24" s="204"/>
      <c r="CK24" s="204"/>
      <c r="CL24" s="206"/>
      <c r="CM24" s="207"/>
      <c r="CN24" s="205">
        <f t="shared" si="7"/>
        <v>6263</v>
      </c>
      <c r="CO24" s="204"/>
      <c r="CP24" s="208"/>
      <c r="CQ24" s="194"/>
      <c r="CR24" s="205">
        <f t="shared" si="8"/>
        <v>3723900</v>
      </c>
      <c r="CS24" s="204"/>
      <c r="CT24" s="204"/>
      <c r="CU24" s="206"/>
      <c r="CV24" s="207"/>
      <c r="CW24" s="205">
        <f t="shared" si="9"/>
        <v>39101076</v>
      </c>
      <c r="CX24" s="204"/>
      <c r="CY24" s="204"/>
      <c r="CZ24" s="206"/>
      <c r="DA24" s="204"/>
      <c r="DB24" s="204"/>
      <c r="DC24" s="204"/>
      <c r="DD24" s="209"/>
      <c r="DE24" s="209"/>
      <c r="DF24" s="209"/>
      <c r="DG24" s="209"/>
      <c r="DH24" s="210"/>
      <c r="DI24" s="211"/>
      <c r="DJ24" s="211"/>
    </row>
    <row r="25" spans="2:114" s="94" customFormat="1" x14ac:dyDescent="0.25">
      <c r="B25" s="197">
        <v>43961</v>
      </c>
      <c r="C25" s="307">
        <v>38257669</v>
      </c>
      <c r="D25" s="307"/>
      <c r="E25" s="198">
        <f t="shared" ref="E25:E28" si="73">SUM(C25-C24)*10</f>
        <v>461630</v>
      </c>
      <c r="F25" s="307">
        <v>4431377</v>
      </c>
      <c r="G25" s="307"/>
      <c r="H25" s="198">
        <f t="shared" ref="H25:H28" si="74">SUM(F25-F24)*10</f>
        <v>198850</v>
      </c>
      <c r="I25" s="307">
        <v>16301</v>
      </c>
      <c r="J25" s="307"/>
      <c r="K25" s="198">
        <f t="shared" si="42"/>
        <v>0</v>
      </c>
      <c r="L25" s="307">
        <v>279224</v>
      </c>
      <c r="M25" s="307"/>
      <c r="N25" s="198">
        <f t="shared" si="13"/>
        <v>241000</v>
      </c>
      <c r="O25" s="307">
        <v>8471</v>
      </c>
      <c r="P25" s="307"/>
      <c r="Q25" s="198">
        <f t="shared" si="14"/>
        <v>0</v>
      </c>
      <c r="R25" s="199"/>
      <c r="S25" s="307">
        <v>640928</v>
      </c>
      <c r="T25" s="307"/>
      <c r="U25" s="198">
        <f t="shared" si="15"/>
        <v>50600</v>
      </c>
      <c r="V25" s="308">
        <v>235603</v>
      </c>
      <c r="W25" s="308"/>
      <c r="X25" s="198">
        <f t="shared" si="16"/>
        <v>7400</v>
      </c>
      <c r="Y25" s="213">
        <f t="shared" si="17"/>
        <v>58000</v>
      </c>
      <c r="Z25" s="200"/>
      <c r="AA25" s="201">
        <v>7139</v>
      </c>
      <c r="AB25" s="198">
        <f t="shared" ref="AB25:AB51" si="75">SUM(AA25-AA24)*10000</f>
        <v>1270000</v>
      </c>
      <c r="AC25" s="201">
        <v>231511872</v>
      </c>
      <c r="AD25" s="198">
        <f t="shared" ref="AD25:AD51" si="76">SUM(AC25-AC24)*0.1</f>
        <v>267270.7</v>
      </c>
      <c r="AE25" s="201">
        <v>96700</v>
      </c>
      <c r="AF25" s="198">
        <f t="shared" si="20"/>
        <v>60</v>
      </c>
      <c r="AG25" s="201">
        <v>2840982</v>
      </c>
      <c r="AH25" s="198">
        <f t="shared" si="21"/>
        <v>72010</v>
      </c>
      <c r="AI25" s="201">
        <v>3692082</v>
      </c>
      <c r="AJ25" s="198">
        <f t="shared" si="22"/>
        <v>12317</v>
      </c>
      <c r="AK25" s="201">
        <v>14991</v>
      </c>
      <c r="AL25" s="198">
        <f t="shared" si="23"/>
        <v>49000</v>
      </c>
      <c r="AM25" s="201">
        <v>10</v>
      </c>
      <c r="AN25" s="192">
        <f t="shared" si="24"/>
        <v>0</v>
      </c>
      <c r="AO25" s="201">
        <v>10662</v>
      </c>
      <c r="AP25" s="198">
        <f t="shared" si="25"/>
        <v>0</v>
      </c>
      <c r="AQ25" s="202"/>
      <c r="AR25" s="197">
        <f t="shared" si="0"/>
        <v>43961</v>
      </c>
      <c r="AS25" s="203">
        <v>6292</v>
      </c>
      <c r="AT25" s="198">
        <f t="shared" si="59"/>
        <v>29</v>
      </c>
      <c r="AU25" s="202"/>
      <c r="AV25" s="203">
        <v>16804463</v>
      </c>
      <c r="AW25" s="198">
        <f t="shared" si="60"/>
        <v>66325</v>
      </c>
      <c r="AX25" s="201">
        <v>341000402</v>
      </c>
      <c r="AY25" s="212">
        <f t="shared" si="61"/>
        <v>61060.77</v>
      </c>
      <c r="AZ25" s="198">
        <f t="shared" si="62"/>
        <v>5264.2300000000032</v>
      </c>
      <c r="BA25" s="203">
        <v>6860900</v>
      </c>
      <c r="BB25" s="198">
        <f t="shared" si="30"/>
        <v>2400</v>
      </c>
      <c r="BC25" s="203">
        <v>3724500</v>
      </c>
      <c r="BD25" s="198">
        <f t="shared" si="31"/>
        <v>600</v>
      </c>
      <c r="BE25" s="203">
        <v>39387017</v>
      </c>
      <c r="BF25" s="198">
        <f t="shared" si="32"/>
        <v>285941</v>
      </c>
      <c r="BG25" s="204"/>
      <c r="BH25" s="204"/>
      <c r="BI25" s="205">
        <f t="shared" si="1"/>
        <v>38257669</v>
      </c>
      <c r="BJ25" s="204"/>
      <c r="BK25" s="204"/>
      <c r="BL25" s="206"/>
      <c r="BM25" s="206"/>
      <c r="BN25" s="205">
        <f t="shared" si="2"/>
        <v>4431377</v>
      </c>
      <c r="BO25" s="204"/>
      <c r="BP25" s="204"/>
      <c r="BQ25" s="204"/>
      <c r="BR25" s="205">
        <f t="shared" si="3"/>
        <v>640928</v>
      </c>
      <c r="BS25" s="204"/>
      <c r="BT25" s="204"/>
      <c r="BU25" s="193"/>
      <c r="BV25" s="205">
        <f t="shared" si="4"/>
        <v>235603</v>
      </c>
      <c r="BW25" s="195"/>
      <c r="BX25" s="196"/>
      <c r="BY25" s="193"/>
      <c r="BZ25" s="196"/>
      <c r="CA25" s="193"/>
      <c r="CB25" s="202"/>
      <c r="CC25" s="205">
        <f t="shared" si="5"/>
        <v>6860900</v>
      </c>
      <c r="CD25" s="204"/>
      <c r="CE25" s="204"/>
      <c r="CF25" s="206"/>
      <c r="CG25" s="206"/>
      <c r="CH25" s="206"/>
      <c r="CI25" s="205">
        <f t="shared" si="6"/>
        <v>16804463</v>
      </c>
      <c r="CJ25" s="204"/>
      <c r="CK25" s="204"/>
      <c r="CL25" s="206"/>
      <c r="CM25" s="207"/>
      <c r="CN25" s="205">
        <f t="shared" si="7"/>
        <v>6292</v>
      </c>
      <c r="CO25" s="204"/>
      <c r="CP25" s="208"/>
      <c r="CQ25" s="194"/>
      <c r="CR25" s="205">
        <f t="shared" si="8"/>
        <v>3724500</v>
      </c>
      <c r="CS25" s="204"/>
      <c r="CT25" s="204"/>
      <c r="CU25" s="206"/>
      <c r="CV25" s="207"/>
      <c r="CW25" s="205">
        <f t="shared" si="9"/>
        <v>39387017</v>
      </c>
      <c r="CX25" s="204"/>
      <c r="CY25" s="204"/>
      <c r="CZ25" s="206"/>
      <c r="DA25" s="204"/>
      <c r="DB25" s="204"/>
      <c r="DC25" s="204"/>
      <c r="DD25" s="209"/>
      <c r="DE25" s="209"/>
      <c r="DF25" s="209"/>
      <c r="DG25" s="209"/>
      <c r="DH25" s="210"/>
      <c r="DI25" s="211"/>
      <c r="DJ25" s="211"/>
    </row>
    <row r="26" spans="2:114" s="94" customFormat="1" x14ac:dyDescent="0.25">
      <c r="B26" s="197">
        <v>43968</v>
      </c>
      <c r="C26" s="307">
        <v>38300440</v>
      </c>
      <c r="D26" s="307"/>
      <c r="E26" s="198">
        <f t="shared" si="73"/>
        <v>427710</v>
      </c>
      <c r="F26" s="307">
        <v>4454847</v>
      </c>
      <c r="G26" s="307"/>
      <c r="H26" s="198">
        <f t="shared" si="74"/>
        <v>234700</v>
      </c>
      <c r="I26" s="307">
        <v>16301</v>
      </c>
      <c r="J26" s="307"/>
      <c r="K26" s="198">
        <f t="shared" si="42"/>
        <v>0</v>
      </c>
      <c r="L26" s="307">
        <v>279495</v>
      </c>
      <c r="M26" s="307"/>
      <c r="N26" s="198">
        <f t="shared" si="13"/>
        <v>271000</v>
      </c>
      <c r="O26" s="307">
        <v>8471</v>
      </c>
      <c r="P26" s="307"/>
      <c r="Q26" s="198">
        <f t="shared" si="14"/>
        <v>0</v>
      </c>
      <c r="R26" s="199"/>
      <c r="S26" s="307">
        <v>641413</v>
      </c>
      <c r="T26" s="307"/>
      <c r="U26" s="198">
        <f t="shared" si="15"/>
        <v>48500</v>
      </c>
      <c r="V26" s="308">
        <v>235706</v>
      </c>
      <c r="W26" s="308"/>
      <c r="X26" s="198">
        <f t="shared" ref="X26" si="77">SUM(V26-V25)*100</f>
        <v>10300</v>
      </c>
      <c r="Y26" s="213">
        <f t="shared" ref="Y26" si="78">SUM(U26+X26)</f>
        <v>58800</v>
      </c>
      <c r="Z26" s="200"/>
      <c r="AA26" s="201">
        <v>7282</v>
      </c>
      <c r="AB26" s="198">
        <f t="shared" si="75"/>
        <v>1430000</v>
      </c>
      <c r="AC26" s="201">
        <v>234710843</v>
      </c>
      <c r="AD26" s="198">
        <f t="shared" si="76"/>
        <v>319897.10000000003</v>
      </c>
      <c r="AE26" s="201">
        <v>96737</v>
      </c>
      <c r="AF26" s="198">
        <f t="shared" si="20"/>
        <v>370</v>
      </c>
      <c r="AG26" s="201">
        <v>2848404</v>
      </c>
      <c r="AH26" s="198">
        <f t="shared" si="21"/>
        <v>74220</v>
      </c>
      <c r="AI26" s="201">
        <v>3709351</v>
      </c>
      <c r="AJ26" s="198">
        <f t="shared" si="22"/>
        <v>17269</v>
      </c>
      <c r="AK26" s="201">
        <v>14999</v>
      </c>
      <c r="AL26" s="198">
        <f t="shared" si="23"/>
        <v>8000</v>
      </c>
      <c r="AM26" s="201">
        <v>10</v>
      </c>
      <c r="AN26" s="192">
        <f t="shared" si="24"/>
        <v>0</v>
      </c>
      <c r="AO26" s="201">
        <v>10662</v>
      </c>
      <c r="AP26" s="198">
        <f t="shared" si="25"/>
        <v>0</v>
      </c>
      <c r="AQ26" s="202"/>
      <c r="AR26" s="197">
        <f t="shared" si="0"/>
        <v>43968</v>
      </c>
      <c r="AS26" s="203">
        <v>6378</v>
      </c>
      <c r="AT26" s="198">
        <f t="shared" si="59"/>
        <v>86</v>
      </c>
      <c r="AU26" s="202"/>
      <c r="AV26" s="203">
        <v>16887455</v>
      </c>
      <c r="AW26" s="198">
        <f t="shared" si="60"/>
        <v>82992</v>
      </c>
      <c r="AX26" s="201">
        <v>347372031</v>
      </c>
      <c r="AY26" s="212">
        <f t="shared" si="61"/>
        <v>63716.29</v>
      </c>
      <c r="AZ26" s="198">
        <f t="shared" si="62"/>
        <v>19275.71</v>
      </c>
      <c r="BA26" s="203">
        <v>6864600</v>
      </c>
      <c r="BB26" s="198">
        <f t="shared" si="30"/>
        <v>3700</v>
      </c>
      <c r="BC26" s="203">
        <v>3724900</v>
      </c>
      <c r="BD26" s="198">
        <f t="shared" si="31"/>
        <v>400</v>
      </c>
      <c r="BE26" s="203">
        <v>40000946</v>
      </c>
      <c r="BF26" s="198">
        <f t="shared" si="32"/>
        <v>613929</v>
      </c>
      <c r="BG26" s="204"/>
      <c r="BH26" s="204"/>
      <c r="BI26" s="205">
        <f t="shared" si="1"/>
        <v>38300440</v>
      </c>
      <c r="BJ26" s="204"/>
      <c r="BK26" s="204"/>
      <c r="BL26" s="206"/>
      <c r="BM26" s="206"/>
      <c r="BN26" s="205">
        <f t="shared" si="2"/>
        <v>4454847</v>
      </c>
      <c r="BO26" s="204"/>
      <c r="BP26" s="204"/>
      <c r="BQ26" s="204"/>
      <c r="BR26" s="205">
        <f t="shared" si="3"/>
        <v>641413</v>
      </c>
      <c r="BS26" s="204"/>
      <c r="BT26" s="204"/>
      <c r="BU26" s="193"/>
      <c r="BV26" s="205">
        <f t="shared" si="4"/>
        <v>235706</v>
      </c>
      <c r="BW26" s="195"/>
      <c r="BX26" s="196"/>
      <c r="BY26" s="193"/>
      <c r="BZ26" s="196"/>
      <c r="CA26" s="193"/>
      <c r="CB26" s="202"/>
      <c r="CC26" s="205">
        <f t="shared" si="5"/>
        <v>6864600</v>
      </c>
      <c r="CD26" s="204"/>
      <c r="CE26" s="204"/>
      <c r="CF26" s="206"/>
      <c r="CG26" s="206"/>
      <c r="CH26" s="206"/>
      <c r="CI26" s="205">
        <f t="shared" si="6"/>
        <v>16887455</v>
      </c>
      <c r="CJ26" s="204"/>
      <c r="CK26" s="204"/>
      <c r="CL26" s="206"/>
      <c r="CM26" s="207"/>
      <c r="CN26" s="205">
        <f t="shared" si="7"/>
        <v>6378</v>
      </c>
      <c r="CO26" s="204"/>
      <c r="CP26" s="208"/>
      <c r="CQ26" s="194"/>
      <c r="CR26" s="205">
        <f t="shared" si="8"/>
        <v>3724900</v>
      </c>
      <c r="CS26" s="204"/>
      <c r="CT26" s="204"/>
      <c r="CU26" s="206"/>
      <c r="CV26" s="207"/>
      <c r="CW26" s="205">
        <f t="shared" si="9"/>
        <v>40000946</v>
      </c>
      <c r="CX26" s="204"/>
      <c r="CY26" s="204"/>
      <c r="CZ26" s="206"/>
      <c r="DA26" s="204"/>
      <c r="DB26" s="204"/>
      <c r="DC26" s="204"/>
      <c r="DD26" s="209"/>
      <c r="DE26" s="209"/>
      <c r="DF26" s="209"/>
      <c r="DG26" s="209"/>
      <c r="DH26" s="210"/>
      <c r="DI26" s="211"/>
      <c r="DJ26" s="211"/>
    </row>
    <row r="27" spans="2:114" s="94" customFormat="1" x14ac:dyDescent="0.25">
      <c r="B27" s="197">
        <v>43975</v>
      </c>
      <c r="C27" s="307">
        <v>38350516</v>
      </c>
      <c r="D27" s="307"/>
      <c r="E27" s="198">
        <f t="shared" si="73"/>
        <v>500760</v>
      </c>
      <c r="F27" s="307">
        <v>4477157</v>
      </c>
      <c r="G27" s="307"/>
      <c r="H27" s="198">
        <f t="shared" si="74"/>
        <v>223100</v>
      </c>
      <c r="I27" s="307">
        <v>16301</v>
      </c>
      <c r="J27" s="307"/>
      <c r="K27" s="198">
        <f t="shared" si="42"/>
        <v>0</v>
      </c>
      <c r="L27" s="307">
        <v>279770</v>
      </c>
      <c r="M27" s="307"/>
      <c r="N27" s="198">
        <f t="shared" si="13"/>
        <v>275000</v>
      </c>
      <c r="O27" s="307">
        <v>8471</v>
      </c>
      <c r="P27" s="307"/>
      <c r="Q27" s="198">
        <f t="shared" si="14"/>
        <v>0</v>
      </c>
      <c r="R27" s="199"/>
      <c r="S27" s="307">
        <v>641888</v>
      </c>
      <c r="T27" s="307"/>
      <c r="U27" s="198">
        <f t="shared" si="15"/>
        <v>47500</v>
      </c>
      <c r="V27" s="308">
        <v>235774</v>
      </c>
      <c r="W27" s="308"/>
      <c r="X27" s="198">
        <f t="shared" ref="X27:X44" si="79">SUM(V27-V26)*100</f>
        <v>6800</v>
      </c>
      <c r="Y27" s="213">
        <f t="shared" ref="Y27:Y44" si="80">SUM(U27+X27)</f>
        <v>54300</v>
      </c>
      <c r="Z27" s="200"/>
      <c r="AA27" s="201">
        <v>7443</v>
      </c>
      <c r="AB27" s="198">
        <f t="shared" si="75"/>
        <v>1610000</v>
      </c>
      <c r="AC27" s="201">
        <v>237991825</v>
      </c>
      <c r="AD27" s="198">
        <f t="shared" si="76"/>
        <v>328098.2</v>
      </c>
      <c r="AE27" s="201">
        <v>96741</v>
      </c>
      <c r="AF27" s="198">
        <f t="shared" si="20"/>
        <v>40</v>
      </c>
      <c r="AG27" s="201">
        <v>2861288</v>
      </c>
      <c r="AH27" s="198">
        <f t="shared" si="21"/>
        <v>128840</v>
      </c>
      <c r="AI27" s="201">
        <v>3723862</v>
      </c>
      <c r="AJ27" s="198">
        <f t="shared" si="22"/>
        <v>14511</v>
      </c>
      <c r="AK27" s="201">
        <v>15022</v>
      </c>
      <c r="AL27" s="198">
        <f t="shared" si="23"/>
        <v>23000</v>
      </c>
      <c r="AM27" s="201">
        <v>10</v>
      </c>
      <c r="AN27" s="192">
        <f t="shared" si="24"/>
        <v>0</v>
      </c>
      <c r="AO27" s="201">
        <v>10662</v>
      </c>
      <c r="AP27" s="198">
        <f t="shared" si="25"/>
        <v>0</v>
      </c>
      <c r="AQ27" s="202"/>
      <c r="AR27" s="197">
        <f t="shared" si="0"/>
        <v>43975</v>
      </c>
      <c r="AS27" s="203">
        <v>6434</v>
      </c>
      <c r="AT27" s="198">
        <f t="shared" si="59"/>
        <v>56</v>
      </c>
      <c r="AU27" s="202"/>
      <c r="AV27" s="203">
        <v>16958087</v>
      </c>
      <c r="AW27" s="198">
        <f t="shared" si="60"/>
        <v>70632</v>
      </c>
      <c r="AX27" s="201">
        <v>353716945</v>
      </c>
      <c r="AY27" s="212">
        <f t="shared" si="61"/>
        <v>63449.14</v>
      </c>
      <c r="AZ27" s="198">
        <f t="shared" si="62"/>
        <v>7182.8600000000006</v>
      </c>
      <c r="BA27" s="203">
        <v>6866900</v>
      </c>
      <c r="BB27" s="198">
        <f t="shared" si="30"/>
        <v>2300</v>
      </c>
      <c r="BC27" s="203">
        <v>3725300</v>
      </c>
      <c r="BD27" s="198">
        <f t="shared" si="31"/>
        <v>400</v>
      </c>
      <c r="BE27" s="203">
        <v>40259715</v>
      </c>
      <c r="BF27" s="198">
        <f t="shared" si="32"/>
        <v>258769</v>
      </c>
      <c r="BG27" s="204"/>
      <c r="BH27" s="204"/>
      <c r="BI27" s="205">
        <f t="shared" si="1"/>
        <v>38350516</v>
      </c>
      <c r="BJ27" s="204"/>
      <c r="BK27" s="204"/>
      <c r="BL27" s="206"/>
      <c r="BM27" s="206"/>
      <c r="BN27" s="205">
        <f t="shared" si="2"/>
        <v>4477157</v>
      </c>
      <c r="BO27" s="204"/>
      <c r="BP27" s="204"/>
      <c r="BQ27" s="204"/>
      <c r="BR27" s="205">
        <f t="shared" si="3"/>
        <v>641888</v>
      </c>
      <c r="BS27" s="204"/>
      <c r="BT27" s="204"/>
      <c r="BU27" s="193"/>
      <c r="BV27" s="205">
        <f t="shared" si="4"/>
        <v>235774</v>
      </c>
      <c r="BW27" s="195"/>
      <c r="BX27" s="196"/>
      <c r="BY27" s="193"/>
      <c r="BZ27" s="196"/>
      <c r="CA27" s="193"/>
      <c r="CB27" s="202"/>
      <c r="CC27" s="205">
        <f t="shared" si="5"/>
        <v>6866900</v>
      </c>
      <c r="CD27" s="204"/>
      <c r="CE27" s="204"/>
      <c r="CF27" s="206"/>
      <c r="CG27" s="206"/>
      <c r="CH27" s="206"/>
      <c r="CI27" s="205">
        <f t="shared" si="6"/>
        <v>16958087</v>
      </c>
      <c r="CJ27" s="204"/>
      <c r="CK27" s="204"/>
      <c r="CL27" s="206"/>
      <c r="CM27" s="207"/>
      <c r="CN27" s="205">
        <f t="shared" si="7"/>
        <v>6434</v>
      </c>
      <c r="CO27" s="204"/>
      <c r="CP27" s="208"/>
      <c r="CQ27" s="194"/>
      <c r="CR27" s="205">
        <f t="shared" si="8"/>
        <v>3725300</v>
      </c>
      <c r="CS27" s="204"/>
      <c r="CT27" s="204"/>
      <c r="CU27" s="206"/>
      <c r="CV27" s="207"/>
      <c r="CW27" s="205">
        <f t="shared" si="9"/>
        <v>40259715</v>
      </c>
      <c r="CX27" s="204"/>
      <c r="CY27" s="204"/>
      <c r="CZ27" s="206"/>
      <c r="DA27" s="204"/>
      <c r="DB27" s="204"/>
      <c r="DC27" s="204"/>
      <c r="DD27" s="209"/>
      <c r="DE27" s="209"/>
      <c r="DF27" s="209"/>
      <c r="DG27" s="209"/>
      <c r="DH27" s="210"/>
      <c r="DI27" s="211"/>
      <c r="DJ27" s="211"/>
    </row>
    <row r="28" spans="2:114" s="94" customFormat="1" x14ac:dyDescent="0.25">
      <c r="B28" s="197">
        <v>43983</v>
      </c>
      <c r="C28" s="307">
        <v>38407146</v>
      </c>
      <c r="D28" s="307"/>
      <c r="E28" s="198">
        <f t="shared" si="73"/>
        <v>566300</v>
      </c>
      <c r="F28" s="307">
        <v>4480519</v>
      </c>
      <c r="G28" s="307"/>
      <c r="H28" s="198">
        <f t="shared" si="74"/>
        <v>33620</v>
      </c>
      <c r="I28" s="307">
        <v>16301</v>
      </c>
      <c r="J28" s="307"/>
      <c r="K28" s="198">
        <f t="shared" si="42"/>
        <v>0</v>
      </c>
      <c r="L28" s="307">
        <v>280036</v>
      </c>
      <c r="M28" s="307"/>
      <c r="N28" s="198">
        <f t="shared" si="13"/>
        <v>266000</v>
      </c>
      <c r="O28" s="307">
        <v>8471</v>
      </c>
      <c r="P28" s="307"/>
      <c r="Q28" s="198">
        <f t="shared" ref="Q28" si="81">SUM(O28-O27)*100</f>
        <v>0</v>
      </c>
      <c r="R28" s="199"/>
      <c r="S28" s="307">
        <v>642356</v>
      </c>
      <c r="T28" s="307"/>
      <c r="U28" s="198">
        <f t="shared" ref="U28" si="82">SUM(S28-S27)*100</f>
        <v>46800</v>
      </c>
      <c r="V28" s="308">
        <v>235820</v>
      </c>
      <c r="W28" s="308"/>
      <c r="X28" s="198">
        <f t="shared" si="79"/>
        <v>4600</v>
      </c>
      <c r="Y28" s="213">
        <f t="shared" si="80"/>
        <v>51400</v>
      </c>
      <c r="Z28" s="200"/>
      <c r="AA28" s="201">
        <v>7603</v>
      </c>
      <c r="AB28" s="198">
        <f t="shared" si="75"/>
        <v>1600000</v>
      </c>
      <c r="AC28" s="201">
        <v>241502092</v>
      </c>
      <c r="AD28" s="198">
        <f t="shared" si="76"/>
        <v>351026.7</v>
      </c>
      <c r="AE28" s="201">
        <v>96756</v>
      </c>
      <c r="AF28" s="198">
        <f t="shared" si="20"/>
        <v>150</v>
      </c>
      <c r="AG28" s="201">
        <v>2876250</v>
      </c>
      <c r="AH28" s="198">
        <f t="shared" si="21"/>
        <v>149620</v>
      </c>
      <c r="AI28" s="201">
        <v>3730669</v>
      </c>
      <c r="AJ28" s="198">
        <f t="shared" si="22"/>
        <v>6807</v>
      </c>
      <c r="AK28" s="201">
        <v>15022</v>
      </c>
      <c r="AL28" s="198">
        <f t="shared" si="23"/>
        <v>0</v>
      </c>
      <c r="AM28" s="201">
        <v>10</v>
      </c>
      <c r="AN28" s="192">
        <f t="shared" si="24"/>
        <v>0</v>
      </c>
      <c r="AO28" s="201">
        <v>10702</v>
      </c>
      <c r="AP28" s="198">
        <f t="shared" si="25"/>
        <v>4000</v>
      </c>
      <c r="AQ28" s="202"/>
      <c r="AR28" s="197">
        <f t="shared" si="0"/>
        <v>43983</v>
      </c>
      <c r="AS28" s="203">
        <v>6498</v>
      </c>
      <c r="AT28" s="198">
        <f t="shared" si="59"/>
        <v>64</v>
      </c>
      <c r="AU28" s="202"/>
      <c r="AV28" s="203">
        <v>17029769</v>
      </c>
      <c r="AW28" s="198">
        <f t="shared" si="60"/>
        <v>71682</v>
      </c>
      <c r="AX28" s="201">
        <v>360075927</v>
      </c>
      <c r="AY28" s="212">
        <f t="shared" si="61"/>
        <v>63589.82</v>
      </c>
      <c r="AZ28" s="198">
        <f t="shared" si="62"/>
        <v>8092.18</v>
      </c>
      <c r="BA28" s="203">
        <v>6868200</v>
      </c>
      <c r="BB28" s="198">
        <f t="shared" si="30"/>
        <v>1300</v>
      </c>
      <c r="BC28" s="203">
        <v>3725700</v>
      </c>
      <c r="BD28" s="198">
        <f t="shared" si="31"/>
        <v>400</v>
      </c>
      <c r="BE28" s="203">
        <v>40268110</v>
      </c>
      <c r="BF28" s="198">
        <f t="shared" si="32"/>
        <v>8395</v>
      </c>
      <c r="BG28" s="204"/>
      <c r="BH28" s="204"/>
      <c r="BI28" s="205">
        <f t="shared" si="1"/>
        <v>38407146</v>
      </c>
      <c r="BJ28" s="168">
        <v>383687</v>
      </c>
      <c r="BK28" s="170">
        <f>SUM(BJ28-BJ23)</f>
        <v>2757</v>
      </c>
      <c r="BL28" s="173">
        <f>SUM(BK28*1.1251)+2076.11</f>
        <v>5178.0107000000007</v>
      </c>
      <c r="BM28" s="172">
        <v>8843.74</v>
      </c>
      <c r="BN28" s="205">
        <f t="shared" si="2"/>
        <v>4480519</v>
      </c>
      <c r="BO28" s="168">
        <v>44785</v>
      </c>
      <c r="BP28" s="170">
        <f>SUM(BO28-BO23)</f>
        <v>987</v>
      </c>
      <c r="BQ28" s="173">
        <f>SUM(BP28*0.8868)+1712.96</f>
        <v>2588.2316000000001</v>
      </c>
      <c r="BR28" s="205">
        <f t="shared" si="3"/>
        <v>642356</v>
      </c>
      <c r="BS28" s="168">
        <v>642156</v>
      </c>
      <c r="BT28" s="168">
        <v>12327.08</v>
      </c>
      <c r="BU28" s="80">
        <v>10060.66</v>
      </c>
      <c r="BV28" s="205">
        <f t="shared" si="4"/>
        <v>235820</v>
      </c>
      <c r="BW28" s="81">
        <v>23580</v>
      </c>
      <c r="BX28" s="32">
        <v>18.149999999999999</v>
      </c>
      <c r="BY28" s="80">
        <v>14.85</v>
      </c>
      <c r="BZ28" s="92">
        <f t="shared" ref="BZ28" si="83">SUM(BT28+BX28)</f>
        <v>12345.23</v>
      </c>
      <c r="CA28" s="80">
        <v>1197.8699999999999</v>
      </c>
      <c r="CB28" s="202"/>
      <c r="CC28" s="205">
        <f t="shared" si="5"/>
        <v>6868200</v>
      </c>
      <c r="CD28" s="214">
        <v>6867</v>
      </c>
      <c r="CE28" s="67">
        <f>SUM(CD28-CD23)</f>
        <v>15</v>
      </c>
      <c r="CF28" s="173">
        <f>SUM(CE28*1.1251)+129.67</f>
        <v>146.54649999999998</v>
      </c>
      <c r="CG28" s="172">
        <v>94.35</v>
      </c>
      <c r="CH28" s="172">
        <v>0</v>
      </c>
      <c r="CI28" s="205">
        <f t="shared" si="6"/>
        <v>17029769</v>
      </c>
      <c r="CJ28" s="168">
        <v>16978</v>
      </c>
      <c r="CK28" s="170">
        <f>SUM(CJ28-CJ23)</f>
        <v>379</v>
      </c>
      <c r="CL28" s="173">
        <f>SUM(CK28*1.1251+207.57)</f>
        <v>633.98289999999997</v>
      </c>
      <c r="CM28" s="84">
        <v>257.89</v>
      </c>
      <c r="CN28" s="205">
        <f t="shared" si="7"/>
        <v>6498</v>
      </c>
      <c r="CO28" s="168">
        <v>6466</v>
      </c>
      <c r="CP28" s="169">
        <v>547.14</v>
      </c>
      <c r="CQ28" s="83">
        <v>447.53</v>
      </c>
      <c r="CR28" s="205">
        <f t="shared" si="8"/>
        <v>3725700</v>
      </c>
      <c r="CS28" s="168">
        <v>3725</v>
      </c>
      <c r="CT28" s="170">
        <f>SUM(CS28-CS23)</f>
        <v>2</v>
      </c>
      <c r="CU28" s="173">
        <f>SUM(CT28*1.1251)+207.57</f>
        <v>209.8202</v>
      </c>
      <c r="CV28" s="207"/>
      <c r="CW28" s="205">
        <f t="shared" si="9"/>
        <v>40268110</v>
      </c>
      <c r="CX28" s="168">
        <v>402623</v>
      </c>
      <c r="CY28" s="170">
        <f>SUM(CX28-CX23)</f>
        <v>16238</v>
      </c>
      <c r="CZ28" s="173">
        <f>SUM(CY28*0.8868)+1070.52</f>
        <v>15470.378400000001</v>
      </c>
      <c r="DA28" s="204"/>
      <c r="DB28" s="204"/>
      <c r="DC28" s="168">
        <f>SUM(E3023,E28)</f>
        <v>566300</v>
      </c>
      <c r="DD28" s="172" t="e">
        <f>SUM(BL28+CF28+CL28+#REF!+CU28)</f>
        <v>#REF!</v>
      </c>
      <c r="DE28" s="172">
        <f>SUM(BQ28+CZ28)</f>
        <v>18058.61</v>
      </c>
      <c r="DF28" s="172">
        <f>SUM(BM28+CG28+CV28)</f>
        <v>8938.09</v>
      </c>
      <c r="DG28" s="172" t="e">
        <f>SUM(DD28:DF28)</f>
        <v>#REF!</v>
      </c>
      <c r="DH28" s="166"/>
      <c r="DI28" s="86">
        <f>SUM(BU28+CQ28+BY28)</f>
        <v>10523.04</v>
      </c>
      <c r="DJ28" s="86">
        <f>SUM(CA28+CH28)</f>
        <v>1197.8699999999999</v>
      </c>
    </row>
    <row r="29" spans="2:114" s="94" customFormat="1" x14ac:dyDescent="0.25">
      <c r="B29" s="197">
        <v>43990</v>
      </c>
      <c r="C29" s="307">
        <v>38443480</v>
      </c>
      <c r="D29" s="307"/>
      <c r="E29" s="198">
        <f t="shared" ref="E29" si="84">SUM(C29-C28)*10</f>
        <v>363340</v>
      </c>
      <c r="F29" s="307">
        <v>4482884</v>
      </c>
      <c r="G29" s="307"/>
      <c r="H29" s="198">
        <f t="shared" ref="H29" si="85">SUM(F29-F28)*10</f>
        <v>23650</v>
      </c>
      <c r="I29" s="307">
        <v>16301</v>
      </c>
      <c r="J29" s="307"/>
      <c r="K29" s="198">
        <f t="shared" si="42"/>
        <v>0</v>
      </c>
      <c r="L29" s="307">
        <v>280276</v>
      </c>
      <c r="M29" s="307"/>
      <c r="N29" s="198">
        <f t="shared" si="13"/>
        <v>240000</v>
      </c>
      <c r="O29" s="307">
        <v>8471</v>
      </c>
      <c r="P29" s="307"/>
      <c r="Q29" s="198">
        <f t="shared" ref="Q29:Q51" si="86">SUM(O29-O28)*100</f>
        <v>0</v>
      </c>
      <c r="R29" s="199"/>
      <c r="S29" s="307">
        <v>642831</v>
      </c>
      <c r="T29" s="307"/>
      <c r="U29" s="198">
        <f t="shared" ref="U29:U51" si="87">SUM(S29-S28)*100</f>
        <v>47500</v>
      </c>
      <c r="V29" s="308">
        <v>235889</v>
      </c>
      <c r="W29" s="308"/>
      <c r="X29" s="198">
        <f t="shared" si="79"/>
        <v>6900</v>
      </c>
      <c r="Y29" s="213">
        <f t="shared" si="80"/>
        <v>54400</v>
      </c>
      <c r="Z29" s="200"/>
      <c r="AA29" s="201">
        <v>7757</v>
      </c>
      <c r="AB29" s="198">
        <f t="shared" si="75"/>
        <v>1540000</v>
      </c>
      <c r="AC29" s="201">
        <v>244567390</v>
      </c>
      <c r="AD29" s="198">
        <f t="shared" si="76"/>
        <v>306529.8</v>
      </c>
      <c r="AE29" s="201">
        <v>96788</v>
      </c>
      <c r="AF29" s="198">
        <f t="shared" si="20"/>
        <v>320</v>
      </c>
      <c r="AG29" s="201">
        <v>2883369</v>
      </c>
      <c r="AH29" s="198">
        <f t="shared" si="21"/>
        <v>71190</v>
      </c>
      <c r="AI29" s="201">
        <v>3749425</v>
      </c>
      <c r="AJ29" s="198">
        <f t="shared" si="22"/>
        <v>18756</v>
      </c>
      <c r="AK29" s="201">
        <v>15022</v>
      </c>
      <c r="AL29" s="198">
        <f t="shared" si="23"/>
        <v>0</v>
      </c>
      <c r="AM29" s="201">
        <v>10</v>
      </c>
      <c r="AN29" s="192">
        <f t="shared" si="24"/>
        <v>0</v>
      </c>
      <c r="AO29" s="201">
        <v>10733</v>
      </c>
      <c r="AP29" s="198">
        <f t="shared" si="25"/>
        <v>3100</v>
      </c>
      <c r="AQ29" s="202"/>
      <c r="AR29" s="197">
        <f t="shared" si="0"/>
        <v>43990</v>
      </c>
      <c r="AS29" s="203">
        <v>6567</v>
      </c>
      <c r="AT29" s="198">
        <f t="shared" si="59"/>
        <v>69</v>
      </c>
      <c r="AU29" s="202"/>
      <c r="AV29" s="203">
        <v>17045900</v>
      </c>
      <c r="AW29" s="198">
        <f t="shared" si="60"/>
        <v>16131</v>
      </c>
      <c r="AX29" s="201">
        <v>366409809</v>
      </c>
      <c r="AY29" s="212">
        <f t="shared" si="61"/>
        <v>63338.82</v>
      </c>
      <c r="AZ29" s="198">
        <f t="shared" si="62"/>
        <v>-47207.82</v>
      </c>
      <c r="BA29" s="203">
        <v>6869400</v>
      </c>
      <c r="BB29" s="198">
        <f t="shared" si="30"/>
        <v>1200</v>
      </c>
      <c r="BC29" s="203">
        <v>3726000</v>
      </c>
      <c r="BD29" s="198">
        <f t="shared" si="31"/>
        <v>300</v>
      </c>
      <c r="BE29" s="203">
        <v>40276481</v>
      </c>
      <c r="BF29" s="198">
        <f t="shared" si="32"/>
        <v>8371</v>
      </c>
      <c r="BG29" s="204"/>
      <c r="BH29" s="204"/>
      <c r="BI29" s="205">
        <f t="shared" si="1"/>
        <v>38443480</v>
      </c>
      <c r="BJ29" s="204"/>
      <c r="BK29" s="204"/>
      <c r="BL29" s="206"/>
      <c r="BM29" s="206"/>
      <c r="BN29" s="205">
        <f t="shared" si="2"/>
        <v>4482884</v>
      </c>
      <c r="BO29" s="204"/>
      <c r="BP29" s="204"/>
      <c r="BQ29" s="204"/>
      <c r="BR29" s="205">
        <f t="shared" si="3"/>
        <v>642831</v>
      </c>
      <c r="BS29" s="204"/>
      <c r="BT29" s="204"/>
      <c r="BU29" s="193"/>
      <c r="BV29" s="205">
        <f t="shared" si="4"/>
        <v>235889</v>
      </c>
      <c r="BW29" s="195"/>
      <c r="BX29" s="196"/>
      <c r="BY29" s="193"/>
      <c r="BZ29" s="196"/>
      <c r="CA29" s="193"/>
      <c r="CB29" s="202"/>
      <c r="CC29" s="205">
        <f t="shared" si="5"/>
        <v>6869400</v>
      </c>
      <c r="CD29" s="204"/>
      <c r="CE29" s="204"/>
      <c r="CF29" s="206"/>
      <c r="CG29" s="206"/>
      <c r="CH29" s="206"/>
      <c r="CI29" s="205">
        <f t="shared" si="6"/>
        <v>17045900</v>
      </c>
      <c r="CJ29" s="204"/>
      <c r="CK29" s="204"/>
      <c r="CL29" s="206"/>
      <c r="CM29" s="207"/>
      <c r="CN29" s="205">
        <f t="shared" si="7"/>
        <v>6567</v>
      </c>
      <c r="CO29" s="204"/>
      <c r="CP29" s="208"/>
      <c r="CQ29" s="194"/>
      <c r="CR29" s="205">
        <f t="shared" si="8"/>
        <v>3726000</v>
      </c>
      <c r="CS29" s="204"/>
      <c r="CT29" s="204"/>
      <c r="CU29" s="206"/>
      <c r="CV29" s="207"/>
      <c r="CW29" s="205">
        <f t="shared" si="9"/>
        <v>40276481</v>
      </c>
      <c r="CX29" s="204"/>
      <c r="CY29" s="204"/>
      <c r="CZ29" s="206"/>
      <c r="DA29" s="204"/>
      <c r="DB29" s="204"/>
      <c r="DC29" s="204"/>
      <c r="DD29" s="209"/>
      <c r="DE29" s="209"/>
      <c r="DF29" s="209"/>
      <c r="DG29" s="209"/>
      <c r="DH29" s="210"/>
      <c r="DI29" s="211"/>
      <c r="DJ29" s="211"/>
    </row>
    <row r="30" spans="2:114" s="94" customFormat="1" x14ac:dyDescent="0.25">
      <c r="B30" s="197">
        <v>43997</v>
      </c>
      <c r="C30" s="307">
        <v>38474944</v>
      </c>
      <c r="D30" s="307"/>
      <c r="E30" s="198">
        <f t="shared" ref="E30:E33" si="88">SUM(C30-C29)*10</f>
        <v>314640</v>
      </c>
      <c r="F30" s="307">
        <v>4484104</v>
      </c>
      <c r="G30" s="307"/>
      <c r="H30" s="198">
        <f t="shared" ref="H30:H33" si="89">SUM(F30-F29)*10</f>
        <v>12200</v>
      </c>
      <c r="I30" s="307">
        <v>16301</v>
      </c>
      <c r="J30" s="307"/>
      <c r="K30" s="198">
        <f t="shared" si="42"/>
        <v>0</v>
      </c>
      <c r="L30" s="307">
        <v>280509</v>
      </c>
      <c r="M30" s="307"/>
      <c r="N30" s="198">
        <f t="shared" si="13"/>
        <v>233000</v>
      </c>
      <c r="O30" s="307">
        <v>8471</v>
      </c>
      <c r="P30" s="307"/>
      <c r="Q30" s="198">
        <f t="shared" si="86"/>
        <v>0</v>
      </c>
      <c r="R30" s="199"/>
      <c r="S30" s="307">
        <v>643328</v>
      </c>
      <c r="T30" s="307"/>
      <c r="U30" s="198">
        <f t="shared" si="87"/>
        <v>49700</v>
      </c>
      <c r="V30" s="308">
        <v>235962</v>
      </c>
      <c r="W30" s="308"/>
      <c r="X30" s="198">
        <f t="shared" si="79"/>
        <v>7300</v>
      </c>
      <c r="Y30" s="213">
        <f t="shared" si="80"/>
        <v>57000</v>
      </c>
      <c r="Z30" s="200"/>
      <c r="AA30" s="201">
        <v>7942</v>
      </c>
      <c r="AB30" s="198">
        <f t="shared" si="75"/>
        <v>1850000</v>
      </c>
      <c r="AC30" s="201">
        <v>248467702</v>
      </c>
      <c r="AD30" s="198">
        <f t="shared" si="76"/>
        <v>390031.2</v>
      </c>
      <c r="AE30" s="201">
        <v>96849</v>
      </c>
      <c r="AF30" s="198">
        <f t="shared" si="20"/>
        <v>610</v>
      </c>
      <c r="AG30" s="201">
        <v>2886131</v>
      </c>
      <c r="AH30" s="198">
        <f t="shared" si="21"/>
        <v>27620</v>
      </c>
      <c r="AI30" s="201">
        <v>3755061</v>
      </c>
      <c r="AJ30" s="198">
        <f t="shared" si="22"/>
        <v>5636</v>
      </c>
      <c r="AK30" s="201">
        <v>15022</v>
      </c>
      <c r="AL30" s="198">
        <f t="shared" si="23"/>
        <v>0</v>
      </c>
      <c r="AM30" s="201">
        <v>10</v>
      </c>
      <c r="AN30" s="192">
        <f t="shared" si="24"/>
        <v>0</v>
      </c>
      <c r="AO30" s="201">
        <v>10737</v>
      </c>
      <c r="AP30" s="198">
        <f t="shared" si="25"/>
        <v>400</v>
      </c>
      <c r="AQ30" s="202"/>
      <c r="AR30" s="197">
        <f t="shared" si="0"/>
        <v>43997</v>
      </c>
      <c r="AS30" s="203">
        <v>6630</v>
      </c>
      <c r="AT30" s="198">
        <f t="shared" si="59"/>
        <v>63</v>
      </c>
      <c r="AU30" s="202"/>
      <c r="AV30" s="203">
        <v>17131694</v>
      </c>
      <c r="AW30" s="198">
        <f t="shared" si="60"/>
        <v>85794</v>
      </c>
      <c r="AX30" s="201">
        <v>368257340</v>
      </c>
      <c r="AY30" s="212">
        <f t="shared" si="61"/>
        <v>18475.310000000001</v>
      </c>
      <c r="AZ30" s="198">
        <f t="shared" si="62"/>
        <v>67318.69</v>
      </c>
      <c r="BA30" s="203">
        <v>6872400</v>
      </c>
      <c r="BB30" s="198">
        <f t="shared" si="30"/>
        <v>3000</v>
      </c>
      <c r="BC30" s="203">
        <v>3726300</v>
      </c>
      <c r="BD30" s="198">
        <f t="shared" si="31"/>
        <v>300</v>
      </c>
      <c r="BE30" s="203">
        <v>40284612</v>
      </c>
      <c r="BF30" s="198">
        <f t="shared" si="32"/>
        <v>8131</v>
      </c>
      <c r="BG30" s="204"/>
      <c r="BH30" s="204"/>
      <c r="BI30" s="205">
        <f t="shared" si="1"/>
        <v>38474944</v>
      </c>
      <c r="BJ30" s="204"/>
      <c r="BK30" s="204"/>
      <c r="BL30" s="206"/>
      <c r="BM30" s="206"/>
      <c r="BN30" s="205">
        <f t="shared" si="2"/>
        <v>4484104</v>
      </c>
      <c r="BO30" s="204"/>
      <c r="BP30" s="204"/>
      <c r="BQ30" s="204"/>
      <c r="BR30" s="205">
        <f t="shared" si="3"/>
        <v>643328</v>
      </c>
      <c r="BS30" s="204"/>
      <c r="BT30" s="204"/>
      <c r="BU30" s="193"/>
      <c r="BV30" s="205">
        <f t="shared" si="4"/>
        <v>235962</v>
      </c>
      <c r="BW30" s="195"/>
      <c r="BX30" s="196"/>
      <c r="BY30" s="193"/>
      <c r="BZ30" s="196"/>
      <c r="CA30" s="193"/>
      <c r="CB30" s="202"/>
      <c r="CC30" s="205">
        <f t="shared" si="5"/>
        <v>6872400</v>
      </c>
      <c r="CD30" s="204"/>
      <c r="CE30" s="204"/>
      <c r="CF30" s="206"/>
      <c r="CG30" s="206"/>
      <c r="CH30" s="206"/>
      <c r="CI30" s="205">
        <f t="shared" si="6"/>
        <v>17131694</v>
      </c>
      <c r="CJ30" s="204"/>
      <c r="CK30" s="204"/>
      <c r="CL30" s="206"/>
      <c r="CM30" s="207"/>
      <c r="CN30" s="205">
        <f t="shared" si="7"/>
        <v>6630</v>
      </c>
      <c r="CO30" s="204"/>
      <c r="CP30" s="208"/>
      <c r="CQ30" s="194"/>
      <c r="CR30" s="205">
        <f t="shared" si="8"/>
        <v>3726300</v>
      </c>
      <c r="CS30" s="204"/>
      <c r="CT30" s="204"/>
      <c r="CU30" s="206"/>
      <c r="CV30" s="207"/>
      <c r="CW30" s="205">
        <f t="shared" si="9"/>
        <v>40284612</v>
      </c>
      <c r="CX30" s="204"/>
      <c r="CY30" s="204"/>
      <c r="CZ30" s="206"/>
      <c r="DA30" s="204"/>
      <c r="DB30" s="204"/>
      <c r="DC30" s="204"/>
      <c r="DD30" s="209"/>
      <c r="DE30" s="209"/>
      <c r="DF30" s="209"/>
      <c r="DG30" s="209"/>
      <c r="DH30" s="210"/>
      <c r="DI30" s="211"/>
      <c r="DJ30" s="211"/>
    </row>
    <row r="31" spans="2:114" s="94" customFormat="1" x14ac:dyDescent="0.25">
      <c r="B31" s="197">
        <v>44004</v>
      </c>
      <c r="C31" s="307">
        <v>38530741</v>
      </c>
      <c r="D31" s="307"/>
      <c r="E31" s="198">
        <f t="shared" si="88"/>
        <v>557970</v>
      </c>
      <c r="F31" s="307">
        <v>4500299</v>
      </c>
      <c r="G31" s="307"/>
      <c r="H31" s="198">
        <f t="shared" si="89"/>
        <v>161950</v>
      </c>
      <c r="I31" s="307">
        <v>16301</v>
      </c>
      <c r="J31" s="307"/>
      <c r="K31" s="198">
        <f t="shared" si="42"/>
        <v>0</v>
      </c>
      <c r="L31" s="307">
        <v>280882</v>
      </c>
      <c r="M31" s="307"/>
      <c r="N31" s="198">
        <f t="shared" si="13"/>
        <v>373000</v>
      </c>
      <c r="O31" s="307">
        <v>8471</v>
      </c>
      <c r="P31" s="307"/>
      <c r="Q31" s="198">
        <f t="shared" si="86"/>
        <v>0</v>
      </c>
      <c r="R31" s="199"/>
      <c r="S31" s="307">
        <v>643948</v>
      </c>
      <c r="T31" s="307"/>
      <c r="U31" s="198">
        <f t="shared" si="87"/>
        <v>62000</v>
      </c>
      <c r="V31" s="308">
        <v>236080</v>
      </c>
      <c r="W31" s="308"/>
      <c r="X31" s="198">
        <f t="shared" si="79"/>
        <v>11800</v>
      </c>
      <c r="Y31" s="213">
        <f t="shared" si="80"/>
        <v>73800</v>
      </c>
      <c r="Z31" s="200"/>
      <c r="AA31" s="201">
        <v>8182</v>
      </c>
      <c r="AB31" s="198">
        <f t="shared" si="75"/>
        <v>2400000</v>
      </c>
      <c r="AC31" s="201">
        <v>253362800</v>
      </c>
      <c r="AD31" s="198">
        <f t="shared" si="76"/>
        <v>489509.80000000005</v>
      </c>
      <c r="AE31" s="201">
        <v>96897</v>
      </c>
      <c r="AF31" s="198">
        <f t="shared" si="20"/>
        <v>480</v>
      </c>
      <c r="AG31" s="201">
        <v>2895677</v>
      </c>
      <c r="AH31" s="198">
        <f t="shared" si="21"/>
        <v>95460</v>
      </c>
      <c r="AI31" s="201">
        <v>3767612</v>
      </c>
      <c r="AJ31" s="198">
        <f t="shared" si="22"/>
        <v>12551</v>
      </c>
      <c r="AK31" s="201">
        <v>15025</v>
      </c>
      <c r="AL31" s="198">
        <f t="shared" si="23"/>
        <v>3000</v>
      </c>
      <c r="AM31" s="201">
        <v>10</v>
      </c>
      <c r="AN31" s="192">
        <f t="shared" si="24"/>
        <v>0</v>
      </c>
      <c r="AO31" s="201">
        <v>10771</v>
      </c>
      <c r="AP31" s="198">
        <f t="shared" si="25"/>
        <v>3400</v>
      </c>
      <c r="AQ31" s="202"/>
      <c r="AR31" s="197">
        <f t="shared" si="0"/>
        <v>44004</v>
      </c>
      <c r="AS31" s="203">
        <v>6698</v>
      </c>
      <c r="AT31" s="198">
        <f t="shared" si="59"/>
        <v>68</v>
      </c>
      <c r="AU31" s="202"/>
      <c r="AV31" s="203">
        <v>17139257</v>
      </c>
      <c r="AW31" s="198">
        <f t="shared" si="60"/>
        <v>7563</v>
      </c>
      <c r="AX31" s="201">
        <v>368257334</v>
      </c>
      <c r="AY31" s="212">
        <f t="shared" si="61"/>
        <v>-0.06</v>
      </c>
      <c r="AZ31" s="198">
        <f t="shared" si="62"/>
        <v>7563.06</v>
      </c>
      <c r="BA31" s="203">
        <v>6876400</v>
      </c>
      <c r="BB31" s="198">
        <f t="shared" si="30"/>
        <v>4000</v>
      </c>
      <c r="BC31" s="203">
        <v>3726700</v>
      </c>
      <c r="BD31" s="198">
        <f t="shared" si="31"/>
        <v>400</v>
      </c>
      <c r="BE31" s="203">
        <v>40372302</v>
      </c>
      <c r="BF31" s="198">
        <f t="shared" si="32"/>
        <v>87690</v>
      </c>
      <c r="BG31" s="204"/>
      <c r="BH31" s="204"/>
      <c r="BI31" s="205">
        <f t="shared" si="1"/>
        <v>38530741</v>
      </c>
      <c r="BJ31" s="204"/>
      <c r="BK31" s="204"/>
      <c r="BL31" s="206"/>
      <c r="BM31" s="206"/>
      <c r="BN31" s="205">
        <f t="shared" si="2"/>
        <v>4500299</v>
      </c>
      <c r="BO31" s="204"/>
      <c r="BP31" s="204"/>
      <c r="BQ31" s="204"/>
      <c r="BR31" s="205">
        <f t="shared" si="3"/>
        <v>643948</v>
      </c>
      <c r="BS31" s="204"/>
      <c r="BT31" s="204"/>
      <c r="BU31" s="193"/>
      <c r="BV31" s="205">
        <f t="shared" si="4"/>
        <v>236080</v>
      </c>
      <c r="BW31" s="195"/>
      <c r="BX31" s="196"/>
      <c r="BY31" s="193"/>
      <c r="BZ31" s="196"/>
      <c r="CA31" s="193"/>
      <c r="CB31" s="202"/>
      <c r="CC31" s="205">
        <f t="shared" si="5"/>
        <v>6876400</v>
      </c>
      <c r="CD31" s="204"/>
      <c r="CE31" s="204"/>
      <c r="CF31" s="206"/>
      <c r="CG31" s="206"/>
      <c r="CH31" s="206"/>
      <c r="CI31" s="205">
        <f t="shared" si="6"/>
        <v>17139257</v>
      </c>
      <c r="CJ31" s="204"/>
      <c r="CK31" s="204"/>
      <c r="CL31" s="206"/>
      <c r="CM31" s="207"/>
      <c r="CN31" s="205">
        <f t="shared" si="7"/>
        <v>6698</v>
      </c>
      <c r="CO31" s="204"/>
      <c r="CP31" s="208"/>
      <c r="CQ31" s="194"/>
      <c r="CR31" s="205">
        <f t="shared" si="8"/>
        <v>3726700</v>
      </c>
      <c r="CS31" s="204"/>
      <c r="CT31" s="204"/>
      <c r="CU31" s="206"/>
      <c r="CV31" s="207"/>
      <c r="CW31" s="205">
        <f t="shared" si="9"/>
        <v>40372302</v>
      </c>
      <c r="CX31" s="204"/>
      <c r="CY31" s="204"/>
      <c r="CZ31" s="206"/>
      <c r="DA31" s="204"/>
      <c r="DB31" s="204"/>
      <c r="DC31" s="204"/>
      <c r="DD31" s="209"/>
      <c r="DE31" s="209"/>
      <c r="DF31" s="209"/>
      <c r="DG31" s="209"/>
      <c r="DH31" s="210"/>
      <c r="DI31" s="211"/>
      <c r="DJ31" s="211"/>
    </row>
    <row r="32" spans="2:114" s="94" customFormat="1" x14ac:dyDescent="0.25">
      <c r="B32" s="197">
        <v>44011</v>
      </c>
      <c r="C32" s="307">
        <v>38600820</v>
      </c>
      <c r="D32" s="307"/>
      <c r="E32" s="198">
        <f t="shared" si="88"/>
        <v>700790</v>
      </c>
      <c r="F32" s="307">
        <v>4511632</v>
      </c>
      <c r="G32" s="307"/>
      <c r="H32" s="198">
        <f t="shared" si="89"/>
        <v>113330</v>
      </c>
      <c r="I32" s="307">
        <v>16313</v>
      </c>
      <c r="J32" s="307"/>
      <c r="K32" s="198">
        <f t="shared" si="42"/>
        <v>120</v>
      </c>
      <c r="L32" s="307">
        <v>281315</v>
      </c>
      <c r="M32" s="307"/>
      <c r="N32" s="198">
        <f t="shared" si="13"/>
        <v>433000</v>
      </c>
      <c r="O32" s="307">
        <v>129</v>
      </c>
      <c r="P32" s="307"/>
      <c r="Q32" s="198">
        <v>129</v>
      </c>
      <c r="R32" s="199"/>
      <c r="S32" s="307">
        <v>645045</v>
      </c>
      <c r="T32" s="307"/>
      <c r="U32" s="198">
        <f t="shared" si="87"/>
        <v>109700</v>
      </c>
      <c r="V32" s="308">
        <v>236340</v>
      </c>
      <c r="W32" s="308"/>
      <c r="X32" s="198">
        <f t="shared" si="79"/>
        <v>26000</v>
      </c>
      <c r="Y32" s="213">
        <f t="shared" si="80"/>
        <v>135700</v>
      </c>
      <c r="Z32" s="200"/>
      <c r="AA32" s="201">
        <v>8416</v>
      </c>
      <c r="AB32" s="198">
        <f t="shared" si="75"/>
        <v>2340000</v>
      </c>
      <c r="AC32" s="201">
        <v>258469200</v>
      </c>
      <c r="AD32" s="198">
        <f t="shared" si="76"/>
        <v>510640</v>
      </c>
      <c r="AE32" s="201">
        <v>97034</v>
      </c>
      <c r="AF32" s="198">
        <f t="shared" si="20"/>
        <v>1370</v>
      </c>
      <c r="AG32" s="201">
        <v>2913004</v>
      </c>
      <c r="AH32" s="198">
        <f t="shared" si="21"/>
        <v>173270</v>
      </c>
      <c r="AI32" s="201">
        <v>3772935</v>
      </c>
      <c r="AJ32" s="198">
        <f t="shared" si="22"/>
        <v>5323</v>
      </c>
      <c r="AK32" s="201">
        <v>15038</v>
      </c>
      <c r="AL32" s="198">
        <f t="shared" si="23"/>
        <v>13000</v>
      </c>
      <c r="AM32" s="201">
        <v>10</v>
      </c>
      <c r="AN32" s="192">
        <f t="shared" si="24"/>
        <v>0</v>
      </c>
      <c r="AO32" s="201">
        <v>10790</v>
      </c>
      <c r="AP32" s="198">
        <f t="shared" si="25"/>
        <v>1900</v>
      </c>
      <c r="AQ32" s="202"/>
      <c r="AR32" s="197">
        <f t="shared" si="0"/>
        <v>44011</v>
      </c>
      <c r="AS32" s="203">
        <v>6751</v>
      </c>
      <c r="AT32" s="198">
        <f t="shared" si="59"/>
        <v>53</v>
      </c>
      <c r="AU32" s="202"/>
      <c r="AV32" s="203">
        <v>17145687</v>
      </c>
      <c r="AW32" s="198">
        <f t="shared" si="60"/>
        <v>6430</v>
      </c>
      <c r="AX32" s="201">
        <v>368257371</v>
      </c>
      <c r="AY32" s="212">
        <f t="shared" si="61"/>
        <v>0.37</v>
      </c>
      <c r="AZ32" s="198">
        <f t="shared" si="62"/>
        <v>6429.63</v>
      </c>
      <c r="BA32" s="203">
        <v>6878400</v>
      </c>
      <c r="BB32" s="198">
        <f t="shared" si="30"/>
        <v>2000</v>
      </c>
      <c r="BC32" s="203">
        <v>3727100</v>
      </c>
      <c r="BD32" s="198">
        <f t="shared" si="31"/>
        <v>400</v>
      </c>
      <c r="BE32" s="203">
        <v>40673066</v>
      </c>
      <c r="BF32" s="198">
        <f t="shared" si="32"/>
        <v>300764</v>
      </c>
      <c r="BG32" s="204"/>
      <c r="BH32" s="204"/>
      <c r="BI32" s="205">
        <f t="shared" si="1"/>
        <v>38600820</v>
      </c>
      <c r="BJ32" s="204"/>
      <c r="BK32" s="204"/>
      <c r="BL32" s="206"/>
      <c r="BM32" s="206"/>
      <c r="BN32" s="205">
        <f t="shared" si="2"/>
        <v>4511632</v>
      </c>
      <c r="BO32" s="204"/>
      <c r="BP32" s="204"/>
      <c r="BQ32" s="204"/>
      <c r="BR32" s="205">
        <f t="shared" si="3"/>
        <v>645045</v>
      </c>
      <c r="BS32" s="204"/>
      <c r="BT32" s="204"/>
      <c r="BU32" s="193"/>
      <c r="BV32" s="205">
        <f t="shared" si="4"/>
        <v>236340</v>
      </c>
      <c r="BW32" s="195"/>
      <c r="BX32" s="196"/>
      <c r="BY32" s="193"/>
      <c r="BZ32" s="196"/>
      <c r="CA32" s="193"/>
      <c r="CB32" s="202"/>
      <c r="CC32" s="205">
        <f t="shared" si="5"/>
        <v>6878400</v>
      </c>
      <c r="CD32" s="204"/>
      <c r="CE32" s="204"/>
      <c r="CF32" s="206"/>
      <c r="CG32" s="206"/>
      <c r="CH32" s="206"/>
      <c r="CI32" s="205">
        <f t="shared" si="6"/>
        <v>17145687</v>
      </c>
      <c r="CJ32" s="204"/>
      <c r="CK32" s="204"/>
      <c r="CL32" s="206"/>
      <c r="CM32" s="207"/>
      <c r="CN32" s="205">
        <f t="shared" si="7"/>
        <v>6751</v>
      </c>
      <c r="CO32" s="204"/>
      <c r="CP32" s="208"/>
      <c r="CQ32" s="194"/>
      <c r="CR32" s="205">
        <f t="shared" si="8"/>
        <v>3727100</v>
      </c>
      <c r="CS32" s="204"/>
      <c r="CT32" s="204"/>
      <c r="CU32" s="206"/>
      <c r="CV32" s="207"/>
      <c r="CW32" s="205">
        <f t="shared" si="9"/>
        <v>40673066</v>
      </c>
      <c r="CX32" s="204"/>
      <c r="CY32" s="204"/>
      <c r="CZ32" s="206"/>
      <c r="DA32" s="204"/>
      <c r="DB32" s="204"/>
      <c r="DC32" s="204"/>
      <c r="DD32" s="209"/>
      <c r="DE32" s="209"/>
      <c r="DF32" s="209"/>
      <c r="DG32" s="209"/>
      <c r="DH32" s="210"/>
      <c r="DI32" s="211"/>
      <c r="DJ32" s="211"/>
    </row>
    <row r="33" spans="2:114" s="94" customFormat="1" x14ac:dyDescent="0.25">
      <c r="B33" s="197">
        <v>44013</v>
      </c>
      <c r="C33" s="307">
        <v>38619000</v>
      </c>
      <c r="D33" s="307"/>
      <c r="E33" s="198">
        <f t="shared" si="88"/>
        <v>181800</v>
      </c>
      <c r="F33" s="307">
        <v>4521602</v>
      </c>
      <c r="G33" s="307"/>
      <c r="H33" s="198">
        <f t="shared" si="89"/>
        <v>99700</v>
      </c>
      <c r="I33" s="307">
        <v>16326</v>
      </c>
      <c r="J33" s="307"/>
      <c r="K33" s="198">
        <f t="shared" si="42"/>
        <v>130</v>
      </c>
      <c r="L33" s="307">
        <v>281431</v>
      </c>
      <c r="M33" s="307"/>
      <c r="N33" s="198">
        <f t="shared" si="13"/>
        <v>116000</v>
      </c>
      <c r="O33" s="307">
        <v>170</v>
      </c>
      <c r="P33" s="307"/>
      <c r="Q33" s="198">
        <f t="shared" si="86"/>
        <v>4100</v>
      </c>
      <c r="R33" s="199"/>
      <c r="S33" s="307">
        <v>645255</v>
      </c>
      <c r="T33" s="307"/>
      <c r="U33" s="198">
        <f t="shared" si="87"/>
        <v>21000</v>
      </c>
      <c r="V33" s="308">
        <v>236450</v>
      </c>
      <c r="W33" s="308"/>
      <c r="X33" s="198">
        <f t="shared" si="79"/>
        <v>11000</v>
      </c>
      <c r="Y33" s="213">
        <f t="shared" si="80"/>
        <v>32000</v>
      </c>
      <c r="Z33" s="200"/>
      <c r="AA33" s="201">
        <v>8485</v>
      </c>
      <c r="AB33" s="198">
        <f t="shared" si="75"/>
        <v>690000</v>
      </c>
      <c r="AC33" s="201">
        <v>259824900</v>
      </c>
      <c r="AD33" s="198">
        <f t="shared" si="76"/>
        <v>135570</v>
      </c>
      <c r="AE33" s="201">
        <v>97051</v>
      </c>
      <c r="AF33" s="198">
        <f t="shared" si="20"/>
        <v>170</v>
      </c>
      <c r="AG33" s="201">
        <v>2918128</v>
      </c>
      <c r="AH33" s="198">
        <f t="shared" si="21"/>
        <v>51240</v>
      </c>
      <c r="AI33" s="201">
        <v>3775238</v>
      </c>
      <c r="AJ33" s="198">
        <f t="shared" si="22"/>
        <v>2303</v>
      </c>
      <c r="AK33" s="201">
        <v>15038</v>
      </c>
      <c r="AL33" s="198">
        <f t="shared" si="23"/>
        <v>0</v>
      </c>
      <c r="AM33" s="201">
        <v>10</v>
      </c>
      <c r="AN33" s="192">
        <f t="shared" si="24"/>
        <v>0</v>
      </c>
      <c r="AO33" s="201">
        <v>10790</v>
      </c>
      <c r="AP33" s="198">
        <f t="shared" si="25"/>
        <v>0</v>
      </c>
      <c r="AQ33" s="202"/>
      <c r="AR33" s="197">
        <f t="shared" si="0"/>
        <v>44013</v>
      </c>
      <c r="AS33" s="203">
        <v>6764</v>
      </c>
      <c r="AT33" s="198">
        <f t="shared" si="59"/>
        <v>13</v>
      </c>
      <c r="AU33" s="202"/>
      <c r="AV33" s="203">
        <v>17147266</v>
      </c>
      <c r="AW33" s="198">
        <f t="shared" si="60"/>
        <v>1579</v>
      </c>
      <c r="AX33" s="201">
        <v>368257356</v>
      </c>
      <c r="AY33" s="212">
        <f t="shared" si="61"/>
        <v>-0.15</v>
      </c>
      <c r="AZ33" s="198">
        <f t="shared" si="62"/>
        <v>1579.15</v>
      </c>
      <c r="BA33" s="203">
        <v>6880100</v>
      </c>
      <c r="BB33" s="198">
        <f t="shared" si="30"/>
        <v>1700</v>
      </c>
      <c r="BC33" s="203">
        <v>3727200</v>
      </c>
      <c r="BD33" s="198">
        <f t="shared" si="31"/>
        <v>100</v>
      </c>
      <c r="BE33" s="203">
        <v>40840086</v>
      </c>
      <c r="BF33" s="198">
        <f t="shared" si="32"/>
        <v>167020</v>
      </c>
      <c r="BG33" s="204"/>
      <c r="BH33" s="204"/>
      <c r="BI33" s="205">
        <f t="shared" si="1"/>
        <v>38619000</v>
      </c>
      <c r="BJ33" s="168">
        <v>385070</v>
      </c>
      <c r="BK33" s="170">
        <f>SUM(BJ33-BJ28)</f>
        <v>1383</v>
      </c>
      <c r="BL33" s="173">
        <f>SUM(BK33*1.1251)+2076.11</f>
        <v>3632.1233000000002</v>
      </c>
      <c r="BM33" s="172">
        <v>4094.79</v>
      </c>
      <c r="BN33" s="205">
        <f t="shared" si="2"/>
        <v>4521602</v>
      </c>
      <c r="BO33" s="168">
        <v>44951</v>
      </c>
      <c r="BP33" s="170">
        <f>SUM(BO33-BO28)</f>
        <v>166</v>
      </c>
      <c r="BQ33" s="173">
        <f>SUM(BP33*0.8868)+1712.96</f>
        <v>1860.1687999999999</v>
      </c>
      <c r="BR33" s="205">
        <f t="shared" si="3"/>
        <v>645255</v>
      </c>
      <c r="BS33" s="168">
        <v>644396</v>
      </c>
      <c r="BT33" s="168">
        <v>11174.69</v>
      </c>
      <c r="BU33" s="80">
        <v>9107.86</v>
      </c>
      <c r="BV33" s="205">
        <f t="shared" si="4"/>
        <v>236450</v>
      </c>
      <c r="BW33" s="81">
        <v>26328</v>
      </c>
      <c r="BX33" s="32">
        <v>1187.44</v>
      </c>
      <c r="BY33" s="80">
        <v>969.71</v>
      </c>
      <c r="BZ33" s="92">
        <f t="shared" ref="BZ33" si="90">SUM(BT33+BX33)</f>
        <v>12362.130000000001</v>
      </c>
      <c r="CA33" s="80">
        <v>2882.89</v>
      </c>
      <c r="CB33" s="202"/>
      <c r="CC33" s="205">
        <f t="shared" si="5"/>
        <v>6880100</v>
      </c>
      <c r="CD33" s="214">
        <v>6876</v>
      </c>
      <c r="CE33" s="67">
        <f>SUM(CD33-CD28)</f>
        <v>9</v>
      </c>
      <c r="CF33" s="173">
        <f>SUM(CE33*1.1251)+129.67</f>
        <v>139.79589999999999</v>
      </c>
      <c r="CG33" s="172">
        <v>56.61</v>
      </c>
      <c r="CH33" s="172">
        <v>76.06</v>
      </c>
      <c r="CI33" s="205">
        <f t="shared" si="6"/>
        <v>17147266</v>
      </c>
      <c r="CJ33" s="168">
        <v>17135</v>
      </c>
      <c r="CK33" s="170">
        <f>SUM(CJ33-CJ28)</f>
        <v>157</v>
      </c>
      <c r="CL33" s="173">
        <f>SUM(CK33*1.1251+207.57)</f>
        <v>384.21069999999997</v>
      </c>
      <c r="CM33" s="84">
        <v>188.7</v>
      </c>
      <c r="CN33" s="205">
        <f t="shared" si="7"/>
        <v>6764</v>
      </c>
      <c r="CO33" s="168">
        <v>6720</v>
      </c>
      <c r="CP33" s="169">
        <v>588.87</v>
      </c>
      <c r="CQ33" s="83">
        <v>480.89</v>
      </c>
      <c r="CR33" s="205">
        <f t="shared" si="8"/>
        <v>3727200</v>
      </c>
      <c r="CS33" s="168">
        <v>3726</v>
      </c>
      <c r="CT33" s="170">
        <f>SUM(CS33-CS28)</f>
        <v>1</v>
      </c>
      <c r="CU33" s="173">
        <f>SUM(CT33*1.1251)+207.57</f>
        <v>208.6951</v>
      </c>
      <c r="CV33" s="207"/>
      <c r="CW33" s="205">
        <f t="shared" si="9"/>
        <v>40840086</v>
      </c>
      <c r="CX33" s="168">
        <v>402896</v>
      </c>
      <c r="CY33" s="170">
        <f>SUM(CX33-CX28)</f>
        <v>273</v>
      </c>
      <c r="CZ33" s="173">
        <f>SUM(CY33*0.8868)+1070.52</f>
        <v>1312.6163999999999</v>
      </c>
      <c r="DA33" s="204"/>
      <c r="DB33" s="204"/>
      <c r="DC33" s="168">
        <f>SUM(E3028,E33)</f>
        <v>181800</v>
      </c>
      <c r="DD33" s="172" t="e">
        <f>SUM(BL33+CF33+CL33+#REF!+CU33)</f>
        <v>#REF!</v>
      </c>
      <c r="DE33" s="172">
        <f>SUM(BQ33+CZ33)</f>
        <v>3172.7851999999998</v>
      </c>
      <c r="DF33" s="172">
        <f>SUM(BM33+CG33+CV33)</f>
        <v>4151.3999999999996</v>
      </c>
      <c r="DG33" s="172" t="e">
        <f>SUM(DD33:DF33)</f>
        <v>#REF!</v>
      </c>
      <c r="DH33" s="166"/>
      <c r="DI33" s="86">
        <f>SUM(BU33+CQ33+BY33)</f>
        <v>10558.46</v>
      </c>
      <c r="DJ33" s="86">
        <f>SUM(CA33+CH33)</f>
        <v>2958.95</v>
      </c>
    </row>
    <row r="34" spans="2:114" s="94" customFormat="1" x14ac:dyDescent="0.25">
      <c r="B34" s="197">
        <v>44018</v>
      </c>
      <c r="C34" s="307">
        <v>38687385</v>
      </c>
      <c r="D34" s="307"/>
      <c r="E34" s="198">
        <f t="shared" ref="E34" si="91">SUM(C34-C33)*10</f>
        <v>683850</v>
      </c>
      <c r="F34" s="307">
        <v>4525358</v>
      </c>
      <c r="G34" s="307"/>
      <c r="H34" s="198">
        <f t="shared" ref="H34" si="92">SUM(F34-F33)*10</f>
        <v>37560</v>
      </c>
      <c r="I34" s="307">
        <v>16341</v>
      </c>
      <c r="J34" s="307"/>
      <c r="K34" s="198">
        <f t="shared" si="42"/>
        <v>150</v>
      </c>
      <c r="L34" s="307">
        <v>281950</v>
      </c>
      <c r="M34" s="307"/>
      <c r="N34" s="198">
        <f t="shared" si="13"/>
        <v>519000</v>
      </c>
      <c r="O34" s="307">
        <v>238</v>
      </c>
      <c r="P34" s="307"/>
      <c r="Q34" s="198">
        <f t="shared" si="86"/>
        <v>6800</v>
      </c>
      <c r="R34" s="199"/>
      <c r="S34" s="307">
        <v>646500</v>
      </c>
      <c r="T34" s="307"/>
      <c r="U34" s="198">
        <f t="shared" si="87"/>
        <v>124500</v>
      </c>
      <c r="V34" s="308">
        <v>237800</v>
      </c>
      <c r="W34" s="308"/>
      <c r="X34" s="198">
        <f t="shared" si="79"/>
        <v>135000</v>
      </c>
      <c r="Y34" s="213">
        <f t="shared" si="80"/>
        <v>259500</v>
      </c>
      <c r="Z34" s="200"/>
      <c r="AA34" s="201">
        <v>8668</v>
      </c>
      <c r="AB34" s="198">
        <f t="shared" si="75"/>
        <v>1830000</v>
      </c>
      <c r="AC34" s="201">
        <v>263618000</v>
      </c>
      <c r="AD34" s="198">
        <f t="shared" si="76"/>
        <v>379310</v>
      </c>
      <c r="AE34" s="201">
        <v>97077</v>
      </c>
      <c r="AF34" s="198">
        <f t="shared" si="20"/>
        <v>260</v>
      </c>
      <c r="AG34" s="201">
        <v>2924517</v>
      </c>
      <c r="AH34" s="198">
        <f t="shared" si="21"/>
        <v>63890</v>
      </c>
      <c r="AI34" s="201">
        <v>3778076</v>
      </c>
      <c r="AJ34" s="198">
        <f t="shared" si="22"/>
        <v>2838</v>
      </c>
      <c r="AK34" s="201">
        <v>15044</v>
      </c>
      <c r="AL34" s="198">
        <f t="shared" si="23"/>
        <v>6000</v>
      </c>
      <c r="AM34" s="201">
        <v>10</v>
      </c>
      <c r="AN34" s="192">
        <f t="shared" si="24"/>
        <v>0</v>
      </c>
      <c r="AO34" s="201">
        <v>10800</v>
      </c>
      <c r="AP34" s="198">
        <f t="shared" si="25"/>
        <v>1000</v>
      </c>
      <c r="AQ34" s="202"/>
      <c r="AR34" s="197">
        <f t="shared" si="0"/>
        <v>44018</v>
      </c>
      <c r="AS34" s="203">
        <v>6819</v>
      </c>
      <c r="AT34" s="198">
        <f t="shared" si="59"/>
        <v>55</v>
      </c>
      <c r="AU34" s="202"/>
      <c r="AV34" s="203">
        <v>17153524</v>
      </c>
      <c r="AW34" s="198">
        <f t="shared" si="60"/>
        <v>6258</v>
      </c>
      <c r="AX34" s="201">
        <v>368257356</v>
      </c>
      <c r="AY34" s="212">
        <f t="shared" si="61"/>
        <v>0</v>
      </c>
      <c r="AZ34" s="198">
        <f t="shared" si="62"/>
        <v>6258</v>
      </c>
      <c r="BA34" s="203">
        <v>6881400</v>
      </c>
      <c r="BB34" s="198">
        <f t="shared" si="30"/>
        <v>1300</v>
      </c>
      <c r="BC34" s="203">
        <v>3727500</v>
      </c>
      <c r="BD34" s="198">
        <f t="shared" si="31"/>
        <v>300</v>
      </c>
      <c r="BE34" s="203">
        <v>40915522</v>
      </c>
      <c r="BF34" s="198">
        <f t="shared" si="32"/>
        <v>75436</v>
      </c>
      <c r="BG34" s="204"/>
      <c r="BH34" s="204"/>
      <c r="BI34" s="205">
        <f t="shared" si="1"/>
        <v>38687385</v>
      </c>
      <c r="BJ34" s="204"/>
      <c r="BK34" s="204"/>
      <c r="BL34" s="206"/>
      <c r="BM34" s="206"/>
      <c r="BN34" s="205">
        <f t="shared" si="2"/>
        <v>4525358</v>
      </c>
      <c r="BO34" s="204"/>
      <c r="BP34" s="204"/>
      <c r="BQ34" s="204"/>
      <c r="BR34" s="205">
        <f t="shared" si="3"/>
        <v>646500</v>
      </c>
      <c r="BS34" s="204"/>
      <c r="BT34" s="204"/>
      <c r="BU34" s="193"/>
      <c r="BV34" s="205">
        <f t="shared" si="4"/>
        <v>237800</v>
      </c>
      <c r="BW34" s="195"/>
      <c r="BX34" s="196"/>
      <c r="BY34" s="193"/>
      <c r="BZ34" s="196"/>
      <c r="CA34" s="193"/>
      <c r="CB34" s="202"/>
      <c r="CC34" s="205">
        <f t="shared" si="5"/>
        <v>6881400</v>
      </c>
      <c r="CD34" s="204"/>
      <c r="CE34" s="204"/>
      <c r="CF34" s="206"/>
      <c r="CG34" s="206"/>
      <c r="CH34" s="206"/>
      <c r="CI34" s="205">
        <f t="shared" si="6"/>
        <v>17153524</v>
      </c>
      <c r="CJ34" s="204"/>
      <c r="CK34" s="204"/>
      <c r="CL34" s="206"/>
      <c r="CM34" s="207"/>
      <c r="CN34" s="205">
        <f t="shared" si="7"/>
        <v>6819</v>
      </c>
      <c r="CO34" s="204"/>
      <c r="CP34" s="208"/>
      <c r="CQ34" s="194"/>
      <c r="CR34" s="205">
        <f t="shared" si="8"/>
        <v>3727500</v>
      </c>
      <c r="CS34" s="204"/>
      <c r="CT34" s="204"/>
      <c r="CU34" s="206"/>
      <c r="CV34" s="207"/>
      <c r="CW34" s="205">
        <f t="shared" si="9"/>
        <v>40915522</v>
      </c>
      <c r="CX34" s="204"/>
      <c r="CY34" s="204"/>
      <c r="CZ34" s="206"/>
      <c r="DA34" s="204"/>
      <c r="DB34" s="204"/>
      <c r="DC34" s="204"/>
      <c r="DD34" s="209"/>
      <c r="DE34" s="209"/>
      <c r="DF34" s="209"/>
      <c r="DG34" s="209"/>
      <c r="DH34" s="210"/>
      <c r="DI34" s="211"/>
      <c r="DJ34" s="211"/>
    </row>
    <row r="35" spans="2:114" s="94" customFormat="1" x14ac:dyDescent="0.25">
      <c r="B35" s="197">
        <v>44025</v>
      </c>
      <c r="C35" s="307">
        <v>38764399</v>
      </c>
      <c r="D35" s="307"/>
      <c r="E35" s="198">
        <f t="shared" ref="E35:E38" si="93">SUM(C35-C34)*10</f>
        <v>770140</v>
      </c>
      <c r="F35" s="307">
        <v>4532992</v>
      </c>
      <c r="G35" s="307"/>
      <c r="H35" s="198">
        <f t="shared" ref="H35:H38" si="94">SUM(F35-F34)*10</f>
        <v>76340</v>
      </c>
      <c r="I35" s="307">
        <v>16345</v>
      </c>
      <c r="J35" s="307"/>
      <c r="K35" s="198">
        <f t="shared" si="42"/>
        <v>40</v>
      </c>
      <c r="L35" s="307">
        <v>282540</v>
      </c>
      <c r="M35" s="307"/>
      <c r="N35" s="198">
        <f t="shared" si="13"/>
        <v>590000</v>
      </c>
      <c r="O35" s="307">
        <v>267</v>
      </c>
      <c r="P35" s="307"/>
      <c r="Q35" s="198">
        <f t="shared" si="86"/>
        <v>2900</v>
      </c>
      <c r="R35" s="199"/>
      <c r="S35" s="307">
        <v>648126</v>
      </c>
      <c r="T35" s="307"/>
      <c r="U35" s="198">
        <f t="shared" si="87"/>
        <v>162600</v>
      </c>
      <c r="V35" s="308">
        <v>239530</v>
      </c>
      <c r="W35" s="308"/>
      <c r="X35" s="198">
        <f t="shared" si="79"/>
        <v>173000</v>
      </c>
      <c r="Y35" s="213">
        <f t="shared" si="80"/>
        <v>335600</v>
      </c>
      <c r="Z35" s="200"/>
      <c r="AA35" s="201">
        <v>8909</v>
      </c>
      <c r="AB35" s="198">
        <f t="shared" si="75"/>
        <v>2410000</v>
      </c>
      <c r="AC35" s="201">
        <v>268907790</v>
      </c>
      <c r="AD35" s="198">
        <f t="shared" si="76"/>
        <v>528979</v>
      </c>
      <c r="AE35" s="201">
        <v>97090</v>
      </c>
      <c r="AF35" s="198">
        <f t="shared" si="20"/>
        <v>130</v>
      </c>
      <c r="AG35" s="201">
        <v>2933753</v>
      </c>
      <c r="AH35" s="198">
        <f t="shared" si="21"/>
        <v>92360</v>
      </c>
      <c r="AI35" s="201">
        <v>3780893</v>
      </c>
      <c r="AJ35" s="198">
        <f t="shared" si="22"/>
        <v>2817</v>
      </c>
      <c r="AK35" s="201">
        <v>15053</v>
      </c>
      <c r="AL35" s="198">
        <f t="shared" si="23"/>
        <v>9000</v>
      </c>
      <c r="AM35" s="201">
        <v>10</v>
      </c>
      <c r="AN35" s="192">
        <f t="shared" si="24"/>
        <v>0</v>
      </c>
      <c r="AO35" s="201">
        <v>10830</v>
      </c>
      <c r="AP35" s="198">
        <f t="shared" si="25"/>
        <v>3000</v>
      </c>
      <c r="AQ35" s="202"/>
      <c r="AR35" s="197">
        <f t="shared" si="0"/>
        <v>44025</v>
      </c>
      <c r="AS35" s="203">
        <v>6891</v>
      </c>
      <c r="AT35" s="198">
        <f t="shared" si="59"/>
        <v>72</v>
      </c>
      <c r="AU35" s="202"/>
      <c r="AV35" s="203">
        <v>17160912</v>
      </c>
      <c r="AW35" s="198">
        <f t="shared" si="60"/>
        <v>7388</v>
      </c>
      <c r="AX35" s="201">
        <v>368257320</v>
      </c>
      <c r="AY35" s="212">
        <f t="shared" si="61"/>
        <v>-0.36</v>
      </c>
      <c r="AZ35" s="198">
        <f t="shared" si="62"/>
        <v>7388.36</v>
      </c>
      <c r="BA35" s="203">
        <v>6882600</v>
      </c>
      <c r="BB35" s="198">
        <f t="shared" si="30"/>
        <v>1200</v>
      </c>
      <c r="BC35" s="203">
        <v>3727900</v>
      </c>
      <c r="BD35" s="198">
        <f t="shared" si="31"/>
        <v>400</v>
      </c>
      <c r="BE35" s="203">
        <v>40923966</v>
      </c>
      <c r="BF35" s="198">
        <f t="shared" si="32"/>
        <v>8444</v>
      </c>
      <c r="BG35" s="204"/>
      <c r="BH35" s="204"/>
      <c r="BI35" s="205">
        <f t="shared" si="1"/>
        <v>38764399</v>
      </c>
      <c r="BJ35" s="204"/>
      <c r="BK35" s="204"/>
      <c r="BL35" s="206"/>
      <c r="BM35" s="206"/>
      <c r="BN35" s="205">
        <f t="shared" si="2"/>
        <v>4532992</v>
      </c>
      <c r="BO35" s="204"/>
      <c r="BP35" s="204"/>
      <c r="BQ35" s="204"/>
      <c r="BR35" s="205">
        <f t="shared" si="3"/>
        <v>648126</v>
      </c>
      <c r="BS35" s="204"/>
      <c r="BT35" s="204"/>
      <c r="BU35" s="193"/>
      <c r="BV35" s="205">
        <f t="shared" si="4"/>
        <v>239530</v>
      </c>
      <c r="BW35" s="195"/>
      <c r="BX35" s="196"/>
      <c r="BY35" s="193"/>
      <c r="BZ35" s="196"/>
      <c r="CA35" s="193"/>
      <c r="CB35" s="202"/>
      <c r="CC35" s="205">
        <f t="shared" si="5"/>
        <v>6882600</v>
      </c>
      <c r="CD35" s="204"/>
      <c r="CE35" s="204"/>
      <c r="CF35" s="206"/>
      <c r="CG35" s="206"/>
      <c r="CH35" s="206"/>
      <c r="CI35" s="205">
        <f t="shared" si="6"/>
        <v>17160912</v>
      </c>
      <c r="CJ35" s="204"/>
      <c r="CK35" s="204"/>
      <c r="CL35" s="206"/>
      <c r="CM35" s="207"/>
      <c r="CN35" s="205">
        <f t="shared" si="7"/>
        <v>6891</v>
      </c>
      <c r="CO35" s="204"/>
      <c r="CP35" s="208"/>
      <c r="CQ35" s="194"/>
      <c r="CR35" s="205">
        <f t="shared" si="8"/>
        <v>3727900</v>
      </c>
      <c r="CS35" s="204"/>
      <c r="CT35" s="204"/>
      <c r="CU35" s="206"/>
      <c r="CV35" s="207"/>
      <c r="CW35" s="205">
        <f t="shared" si="9"/>
        <v>40923966</v>
      </c>
      <c r="CX35" s="204"/>
      <c r="CY35" s="204"/>
      <c r="CZ35" s="206"/>
      <c r="DA35" s="204"/>
      <c r="DB35" s="204"/>
      <c r="DC35" s="204"/>
      <c r="DD35" s="209"/>
      <c r="DE35" s="209"/>
      <c r="DF35" s="209"/>
      <c r="DG35" s="209"/>
      <c r="DH35" s="210"/>
      <c r="DI35" s="211"/>
      <c r="DJ35" s="211"/>
    </row>
    <row r="36" spans="2:114" s="94" customFormat="1" x14ac:dyDescent="0.25">
      <c r="B36" s="197">
        <v>44032</v>
      </c>
      <c r="C36" s="307">
        <v>38856322</v>
      </c>
      <c r="D36" s="307"/>
      <c r="E36" s="198">
        <f t="shared" si="93"/>
        <v>919230</v>
      </c>
      <c r="F36" s="307">
        <v>4546842</v>
      </c>
      <c r="G36" s="307"/>
      <c r="H36" s="198">
        <f t="shared" si="94"/>
        <v>138500</v>
      </c>
      <c r="I36" s="307">
        <v>16361</v>
      </c>
      <c r="J36" s="307"/>
      <c r="K36" s="198">
        <f t="shared" si="42"/>
        <v>160</v>
      </c>
      <c r="L36" s="307">
        <v>283170</v>
      </c>
      <c r="M36" s="307"/>
      <c r="N36" s="198">
        <f t="shared" si="13"/>
        <v>630000</v>
      </c>
      <c r="O36" s="307">
        <v>267</v>
      </c>
      <c r="P36" s="307"/>
      <c r="Q36" s="198">
        <f t="shared" si="86"/>
        <v>0</v>
      </c>
      <c r="R36" s="199"/>
      <c r="S36" s="307">
        <v>649770</v>
      </c>
      <c r="T36" s="307"/>
      <c r="U36" s="198">
        <f t="shared" si="87"/>
        <v>164400</v>
      </c>
      <c r="V36" s="308">
        <v>240790</v>
      </c>
      <c r="W36" s="308"/>
      <c r="X36" s="198">
        <f t="shared" si="79"/>
        <v>126000</v>
      </c>
      <c r="Y36" s="213">
        <f t="shared" si="80"/>
        <v>290400</v>
      </c>
      <c r="Z36" s="200"/>
      <c r="AA36" s="201">
        <v>9188</v>
      </c>
      <c r="AB36" s="198">
        <f t="shared" si="75"/>
        <v>2790000</v>
      </c>
      <c r="AC36" s="201">
        <v>274584800</v>
      </c>
      <c r="AD36" s="198">
        <f t="shared" si="76"/>
        <v>567701</v>
      </c>
      <c r="AE36" s="201">
        <v>97176</v>
      </c>
      <c r="AF36" s="198">
        <f t="shared" si="20"/>
        <v>860</v>
      </c>
      <c r="AG36" s="201">
        <v>2946337</v>
      </c>
      <c r="AH36" s="198">
        <f t="shared" si="21"/>
        <v>125840</v>
      </c>
      <c r="AI36" s="201">
        <v>3786533</v>
      </c>
      <c r="AJ36" s="198">
        <f t="shared" si="22"/>
        <v>5640</v>
      </c>
      <c r="AK36" s="201">
        <v>15112</v>
      </c>
      <c r="AL36" s="198">
        <f t="shared" si="23"/>
        <v>59000</v>
      </c>
      <c r="AM36" s="201">
        <v>10</v>
      </c>
      <c r="AN36" s="192">
        <f t="shared" si="24"/>
        <v>0</v>
      </c>
      <c r="AO36" s="201">
        <v>10910</v>
      </c>
      <c r="AP36" s="198">
        <f t="shared" si="25"/>
        <v>8000</v>
      </c>
      <c r="AQ36" s="202"/>
      <c r="AR36" s="197">
        <f t="shared" si="0"/>
        <v>44032</v>
      </c>
      <c r="AS36" s="203">
        <v>6954</v>
      </c>
      <c r="AT36" s="198">
        <f t="shared" si="59"/>
        <v>63</v>
      </c>
      <c r="AU36" s="202"/>
      <c r="AV36" s="203">
        <v>17169253</v>
      </c>
      <c r="AW36" s="198">
        <f t="shared" si="60"/>
        <v>8341</v>
      </c>
      <c r="AX36" s="201">
        <v>368257318</v>
      </c>
      <c r="AY36" s="212">
        <f t="shared" si="61"/>
        <v>-0.02</v>
      </c>
      <c r="AZ36" s="198">
        <f t="shared" si="62"/>
        <v>8341.02</v>
      </c>
      <c r="BA36" s="203">
        <v>6884600</v>
      </c>
      <c r="BB36" s="198">
        <f t="shared" si="30"/>
        <v>2000</v>
      </c>
      <c r="BC36" s="203">
        <v>3728700</v>
      </c>
      <c r="BD36" s="198">
        <f t="shared" si="31"/>
        <v>800</v>
      </c>
      <c r="BE36" s="203">
        <v>41123656</v>
      </c>
      <c r="BF36" s="198">
        <f t="shared" si="32"/>
        <v>199690</v>
      </c>
      <c r="BG36" s="204"/>
      <c r="BH36" s="204"/>
      <c r="BI36" s="205">
        <f t="shared" si="1"/>
        <v>38856322</v>
      </c>
      <c r="BJ36" s="204"/>
      <c r="BK36" s="204"/>
      <c r="BL36" s="206"/>
      <c r="BM36" s="206"/>
      <c r="BN36" s="205">
        <f t="shared" si="2"/>
        <v>4546842</v>
      </c>
      <c r="BO36" s="204"/>
      <c r="BP36" s="204"/>
      <c r="BQ36" s="204"/>
      <c r="BR36" s="205">
        <f t="shared" si="3"/>
        <v>649770</v>
      </c>
      <c r="BS36" s="204"/>
      <c r="BT36" s="204"/>
      <c r="BU36" s="193"/>
      <c r="BV36" s="205">
        <f t="shared" si="4"/>
        <v>240790</v>
      </c>
      <c r="BW36" s="195"/>
      <c r="BX36" s="196"/>
      <c r="BY36" s="193"/>
      <c r="BZ36" s="196"/>
      <c r="CA36" s="193"/>
      <c r="CB36" s="202"/>
      <c r="CC36" s="205">
        <f t="shared" si="5"/>
        <v>6884600</v>
      </c>
      <c r="CD36" s="204"/>
      <c r="CE36" s="204"/>
      <c r="CF36" s="206"/>
      <c r="CG36" s="206"/>
      <c r="CH36" s="206"/>
      <c r="CI36" s="205">
        <f t="shared" si="6"/>
        <v>17169253</v>
      </c>
      <c r="CJ36" s="204"/>
      <c r="CK36" s="204"/>
      <c r="CL36" s="206"/>
      <c r="CM36" s="207"/>
      <c r="CN36" s="205">
        <f t="shared" si="7"/>
        <v>6954</v>
      </c>
      <c r="CO36" s="204"/>
      <c r="CP36" s="208"/>
      <c r="CQ36" s="194"/>
      <c r="CR36" s="205">
        <f t="shared" si="8"/>
        <v>3728700</v>
      </c>
      <c r="CS36" s="204"/>
      <c r="CT36" s="204"/>
      <c r="CU36" s="206"/>
      <c r="CV36" s="207"/>
      <c r="CW36" s="205">
        <f t="shared" si="9"/>
        <v>41123656</v>
      </c>
      <c r="CX36" s="204"/>
      <c r="CY36" s="204"/>
      <c r="CZ36" s="206"/>
      <c r="DA36" s="204"/>
      <c r="DB36" s="204"/>
      <c r="DC36" s="204"/>
      <c r="DD36" s="209"/>
      <c r="DE36" s="209"/>
      <c r="DF36" s="209"/>
      <c r="DG36" s="209"/>
      <c r="DH36" s="210"/>
      <c r="DI36" s="211"/>
      <c r="DJ36" s="211"/>
    </row>
    <row r="37" spans="2:114" s="94" customFormat="1" x14ac:dyDescent="0.25">
      <c r="B37" s="197">
        <v>44039</v>
      </c>
      <c r="C37" s="307">
        <v>38944662</v>
      </c>
      <c r="D37" s="307"/>
      <c r="E37" s="198">
        <f t="shared" si="93"/>
        <v>883400</v>
      </c>
      <c r="F37" s="307">
        <v>4553700</v>
      </c>
      <c r="G37" s="307"/>
      <c r="H37" s="198">
        <f t="shared" si="94"/>
        <v>68580</v>
      </c>
      <c r="I37" s="307">
        <v>16378</v>
      </c>
      <c r="J37" s="307"/>
      <c r="K37" s="198">
        <f t="shared" si="42"/>
        <v>170</v>
      </c>
      <c r="L37" s="307">
        <v>283804</v>
      </c>
      <c r="M37" s="307"/>
      <c r="N37" s="198">
        <f t="shared" si="13"/>
        <v>634000</v>
      </c>
      <c r="O37" s="307">
        <v>267</v>
      </c>
      <c r="P37" s="307"/>
      <c r="Q37" s="198">
        <f t="shared" si="86"/>
        <v>0</v>
      </c>
      <c r="R37" s="199"/>
      <c r="S37" s="307">
        <v>651422</v>
      </c>
      <c r="T37" s="307"/>
      <c r="U37" s="198">
        <f t="shared" si="87"/>
        <v>165200</v>
      </c>
      <c r="V37" s="308">
        <v>243000</v>
      </c>
      <c r="W37" s="308"/>
      <c r="X37" s="198">
        <f t="shared" si="79"/>
        <v>221000</v>
      </c>
      <c r="Y37" s="213">
        <f t="shared" si="80"/>
        <v>386200</v>
      </c>
      <c r="Z37" s="200"/>
      <c r="AA37" s="201">
        <v>9468</v>
      </c>
      <c r="AB37" s="198">
        <f t="shared" si="75"/>
        <v>2800000</v>
      </c>
      <c r="AC37" s="201">
        <v>280718200</v>
      </c>
      <c r="AD37" s="198">
        <f t="shared" si="76"/>
        <v>613340</v>
      </c>
      <c r="AE37" s="201">
        <v>101371</v>
      </c>
      <c r="AF37" s="198">
        <f t="shared" si="20"/>
        <v>41950</v>
      </c>
      <c r="AG37" s="201">
        <v>2955349</v>
      </c>
      <c r="AH37" s="198">
        <f t="shared" si="21"/>
        <v>90120</v>
      </c>
      <c r="AI37" s="201">
        <v>3798071</v>
      </c>
      <c r="AJ37" s="198">
        <f t="shared" si="22"/>
        <v>11538</v>
      </c>
      <c r="AK37" s="201">
        <v>15120</v>
      </c>
      <c r="AL37" s="198">
        <f t="shared" si="23"/>
        <v>8000</v>
      </c>
      <c r="AM37" s="201">
        <v>10</v>
      </c>
      <c r="AN37" s="192">
        <f t="shared" si="24"/>
        <v>0</v>
      </c>
      <c r="AO37" s="201">
        <v>11028</v>
      </c>
      <c r="AP37" s="198">
        <f t="shared" si="25"/>
        <v>11800</v>
      </c>
      <c r="AQ37" s="202"/>
      <c r="AR37" s="197">
        <f t="shared" si="0"/>
        <v>44039</v>
      </c>
      <c r="AS37" s="203">
        <v>7019</v>
      </c>
      <c r="AT37" s="198">
        <f t="shared" si="59"/>
        <v>65</v>
      </c>
      <c r="AU37" s="202"/>
      <c r="AV37" s="203">
        <v>17175661</v>
      </c>
      <c r="AW37" s="198">
        <f t="shared" si="60"/>
        <v>6408</v>
      </c>
      <c r="AX37" s="201">
        <v>368257210</v>
      </c>
      <c r="AY37" s="212">
        <f t="shared" si="61"/>
        <v>-1.08</v>
      </c>
      <c r="AZ37" s="198">
        <f t="shared" si="62"/>
        <v>6409.08</v>
      </c>
      <c r="BA37" s="203">
        <v>6887700</v>
      </c>
      <c r="BB37" s="198">
        <f t="shared" si="30"/>
        <v>3100</v>
      </c>
      <c r="BC37" s="203">
        <v>3728700</v>
      </c>
      <c r="BD37" s="198">
        <f t="shared" si="31"/>
        <v>0</v>
      </c>
      <c r="BE37" s="203">
        <v>41169920</v>
      </c>
      <c r="BF37" s="198">
        <f t="shared" si="32"/>
        <v>46264</v>
      </c>
      <c r="BG37" s="204"/>
      <c r="BH37" s="204"/>
      <c r="BI37" s="205">
        <f t="shared" si="1"/>
        <v>38944662</v>
      </c>
      <c r="BJ37" s="204"/>
      <c r="BK37" s="204"/>
      <c r="BL37" s="206"/>
      <c r="BM37" s="206"/>
      <c r="BN37" s="205">
        <f t="shared" si="2"/>
        <v>4553700</v>
      </c>
      <c r="BO37" s="204"/>
      <c r="BP37" s="204"/>
      <c r="BQ37" s="204"/>
      <c r="BR37" s="205">
        <f t="shared" si="3"/>
        <v>651422</v>
      </c>
      <c r="BS37" s="204"/>
      <c r="BT37" s="204"/>
      <c r="BU37" s="193"/>
      <c r="BV37" s="205">
        <f t="shared" si="4"/>
        <v>243000</v>
      </c>
      <c r="BW37" s="195"/>
      <c r="BX37" s="196"/>
      <c r="BY37" s="193"/>
      <c r="BZ37" s="196"/>
      <c r="CA37" s="193"/>
      <c r="CB37" s="202"/>
      <c r="CC37" s="205">
        <f t="shared" si="5"/>
        <v>6887700</v>
      </c>
      <c r="CD37" s="204"/>
      <c r="CE37" s="204"/>
      <c r="CF37" s="206"/>
      <c r="CG37" s="206"/>
      <c r="CH37" s="206"/>
      <c r="CI37" s="205">
        <f t="shared" si="6"/>
        <v>17175661</v>
      </c>
      <c r="CJ37" s="204"/>
      <c r="CK37" s="204"/>
      <c r="CL37" s="206"/>
      <c r="CM37" s="207"/>
      <c r="CN37" s="205">
        <f t="shared" si="7"/>
        <v>7019</v>
      </c>
      <c r="CO37" s="204"/>
      <c r="CP37" s="208"/>
      <c r="CQ37" s="194"/>
      <c r="CR37" s="205">
        <f t="shared" si="8"/>
        <v>3728700</v>
      </c>
      <c r="CS37" s="204"/>
      <c r="CT37" s="204"/>
      <c r="CU37" s="206"/>
      <c r="CV37" s="207"/>
      <c r="CW37" s="205">
        <f t="shared" si="9"/>
        <v>41169920</v>
      </c>
      <c r="CX37" s="204"/>
      <c r="CY37" s="204"/>
      <c r="CZ37" s="206"/>
      <c r="DA37" s="204"/>
      <c r="DB37" s="204"/>
      <c r="DC37" s="204"/>
      <c r="DD37" s="209"/>
      <c r="DE37" s="209"/>
      <c r="DF37" s="209"/>
      <c r="DG37" s="209"/>
      <c r="DH37" s="210"/>
      <c r="DI37" s="211"/>
      <c r="DJ37" s="211"/>
    </row>
    <row r="38" spans="2:114" s="94" customFormat="1" x14ac:dyDescent="0.25">
      <c r="B38" s="197">
        <v>44044</v>
      </c>
      <c r="C38" s="307">
        <v>39009065</v>
      </c>
      <c r="D38" s="307"/>
      <c r="E38" s="198">
        <f t="shared" si="93"/>
        <v>644030</v>
      </c>
      <c r="F38" s="307">
        <v>4563353</v>
      </c>
      <c r="G38" s="307"/>
      <c r="H38" s="198">
        <f t="shared" si="94"/>
        <v>96530</v>
      </c>
      <c r="I38" s="307">
        <v>16392</v>
      </c>
      <c r="J38" s="307"/>
      <c r="K38" s="198">
        <f t="shared" si="42"/>
        <v>140</v>
      </c>
      <c r="L38" s="307">
        <v>284264</v>
      </c>
      <c r="M38" s="307"/>
      <c r="N38" s="198">
        <f t="shared" si="13"/>
        <v>460000</v>
      </c>
      <c r="O38" s="307">
        <v>1306</v>
      </c>
      <c r="P38" s="307"/>
      <c r="Q38" s="198">
        <f t="shared" si="86"/>
        <v>103900</v>
      </c>
      <c r="R38" s="199"/>
      <c r="S38" s="307">
        <v>652605</v>
      </c>
      <c r="T38" s="307"/>
      <c r="U38" s="198">
        <f t="shared" si="87"/>
        <v>118300</v>
      </c>
      <c r="V38" s="308">
        <v>244175</v>
      </c>
      <c r="W38" s="308"/>
      <c r="X38" s="198">
        <f t="shared" si="79"/>
        <v>117500</v>
      </c>
      <c r="Y38" s="213">
        <f t="shared" si="80"/>
        <v>235800</v>
      </c>
      <c r="Z38" s="200"/>
      <c r="AA38" s="201">
        <v>9690</v>
      </c>
      <c r="AB38" s="198">
        <f t="shared" si="75"/>
        <v>2220000</v>
      </c>
      <c r="AC38" s="201">
        <v>284838691</v>
      </c>
      <c r="AD38" s="198">
        <f t="shared" si="76"/>
        <v>412049.10000000003</v>
      </c>
      <c r="AE38" s="201">
        <v>101517</v>
      </c>
      <c r="AF38" s="198">
        <f t="shared" si="20"/>
        <v>1460</v>
      </c>
      <c r="AG38" s="201">
        <v>2960671</v>
      </c>
      <c r="AH38" s="198">
        <f t="shared" si="21"/>
        <v>53220</v>
      </c>
      <c r="AI38" s="201">
        <v>3805160</v>
      </c>
      <c r="AJ38" s="198">
        <f t="shared" si="22"/>
        <v>7089</v>
      </c>
      <c r="AK38" s="201">
        <v>15157</v>
      </c>
      <c r="AL38" s="198">
        <f t="shared" si="23"/>
        <v>37000</v>
      </c>
      <c r="AM38" s="201">
        <v>10</v>
      </c>
      <c r="AN38" s="192">
        <f t="shared" si="24"/>
        <v>0</v>
      </c>
      <c r="AO38" s="201">
        <v>11076</v>
      </c>
      <c r="AP38" s="198">
        <f t="shared" si="25"/>
        <v>4800</v>
      </c>
      <c r="AQ38" s="202"/>
      <c r="AR38" s="197">
        <f t="shared" si="0"/>
        <v>44044</v>
      </c>
      <c r="AS38" s="203">
        <v>7060</v>
      </c>
      <c r="AT38" s="198">
        <f t="shared" si="59"/>
        <v>41</v>
      </c>
      <c r="AU38" s="202"/>
      <c r="AV38" s="203">
        <v>17180000</v>
      </c>
      <c r="AW38" s="198">
        <f t="shared" si="60"/>
        <v>4339</v>
      </c>
      <c r="AX38" s="201">
        <v>368257210</v>
      </c>
      <c r="AY38" s="212">
        <f t="shared" si="61"/>
        <v>0</v>
      </c>
      <c r="AZ38" s="198">
        <f t="shared" si="62"/>
        <v>4339</v>
      </c>
      <c r="BA38" s="203">
        <v>6891000</v>
      </c>
      <c r="BB38" s="198">
        <f t="shared" si="30"/>
        <v>3300</v>
      </c>
      <c r="BC38" s="203">
        <v>3728900</v>
      </c>
      <c r="BD38" s="198">
        <f t="shared" si="31"/>
        <v>200</v>
      </c>
      <c r="BE38" s="203">
        <v>41210000</v>
      </c>
      <c r="BF38" s="198">
        <f t="shared" si="32"/>
        <v>40080</v>
      </c>
      <c r="BG38" s="204"/>
      <c r="BH38" s="204"/>
      <c r="BI38" s="205">
        <f t="shared" si="1"/>
        <v>39009065</v>
      </c>
      <c r="BJ38" s="168">
        <v>388283</v>
      </c>
      <c r="BK38" s="170">
        <f>SUM(BJ38-BJ33)</f>
        <v>3213</v>
      </c>
      <c r="BL38" s="173">
        <f>SUM(BK38*1.1251)+2076.11</f>
        <v>5691.0563000000002</v>
      </c>
      <c r="BM38" s="172">
        <v>11680.53</v>
      </c>
      <c r="BN38" s="205">
        <f t="shared" si="2"/>
        <v>4563353</v>
      </c>
      <c r="BO38" s="168">
        <v>45447</v>
      </c>
      <c r="BP38" s="170">
        <f>SUM(BO38-BO33)</f>
        <v>496</v>
      </c>
      <c r="BQ38" s="173">
        <f>SUM(BP38*0.8868)+1712.96</f>
        <v>2152.8128000000002</v>
      </c>
      <c r="BR38" s="205">
        <f t="shared" si="3"/>
        <v>652605</v>
      </c>
      <c r="BS38" s="168">
        <v>650560</v>
      </c>
      <c r="BT38" s="168">
        <v>30750.35</v>
      </c>
      <c r="BU38" s="80">
        <v>25075.15</v>
      </c>
      <c r="BV38" s="205">
        <f t="shared" si="4"/>
        <v>244175</v>
      </c>
      <c r="BW38" s="81">
        <v>26328</v>
      </c>
      <c r="BX38" s="32">
        <v>0</v>
      </c>
      <c r="BY38" s="80">
        <v>0</v>
      </c>
      <c r="BZ38" s="92">
        <f t="shared" ref="BZ38" si="95">SUM(BT38+BX38)</f>
        <v>30750.35</v>
      </c>
      <c r="CA38" s="80">
        <v>6828.29</v>
      </c>
      <c r="CB38" s="202"/>
      <c r="CC38" s="205">
        <f t="shared" si="5"/>
        <v>6891000</v>
      </c>
      <c r="CD38" s="214">
        <v>6885</v>
      </c>
      <c r="CE38" s="67">
        <f>SUM(CD38-CD33)</f>
        <v>9</v>
      </c>
      <c r="CF38" s="173">
        <f>SUM(CE38*1.1251)+129.67</f>
        <v>139.79589999999999</v>
      </c>
      <c r="CG38" s="172">
        <v>56.61</v>
      </c>
      <c r="CH38" s="172">
        <v>1102.8699999999999</v>
      </c>
      <c r="CI38" s="205">
        <f t="shared" si="6"/>
        <v>17180000</v>
      </c>
      <c r="CJ38" s="168">
        <v>17166</v>
      </c>
      <c r="CK38" s="170">
        <f>SUM(CJ38-CJ33)</f>
        <v>31</v>
      </c>
      <c r="CL38" s="173">
        <f>SUM(CK38*1.1251+207.57)</f>
        <v>242.44809999999998</v>
      </c>
      <c r="CM38" s="84">
        <v>194.99</v>
      </c>
      <c r="CN38" s="205">
        <f t="shared" si="7"/>
        <v>7060</v>
      </c>
      <c r="CO38" s="168">
        <v>6981</v>
      </c>
      <c r="CP38" s="169">
        <v>605.1</v>
      </c>
      <c r="CQ38" s="83">
        <v>495.26</v>
      </c>
      <c r="CR38" s="205">
        <f t="shared" si="8"/>
        <v>3728900</v>
      </c>
      <c r="CS38" s="168">
        <v>3728</v>
      </c>
      <c r="CT38" s="170">
        <f>SUM(CS38-CS33)</f>
        <v>2</v>
      </c>
      <c r="CU38" s="173">
        <f>SUM(CT38*1.1251)+207.57</f>
        <v>209.8202</v>
      </c>
      <c r="CV38" s="207"/>
      <c r="CW38" s="205">
        <f t="shared" si="9"/>
        <v>41210000</v>
      </c>
      <c r="CX38" s="168">
        <v>410264</v>
      </c>
      <c r="CY38" s="170">
        <f>SUM(CX38-CX33)</f>
        <v>7368</v>
      </c>
      <c r="CZ38" s="173">
        <f>SUM(CY38*0.8868)+1070.52</f>
        <v>7604.4624000000003</v>
      </c>
      <c r="DA38" s="204"/>
      <c r="DB38" s="204"/>
      <c r="DC38" s="168">
        <f>SUM(E3033,E38)</f>
        <v>644030</v>
      </c>
      <c r="DD38" s="172" t="e">
        <f>SUM(BL38+CF38+CL38+#REF!+CU38)</f>
        <v>#REF!</v>
      </c>
      <c r="DE38" s="172">
        <f>SUM(BQ38+CZ38)</f>
        <v>9757.2752</v>
      </c>
      <c r="DF38" s="172">
        <f>SUM(BM38+CG38+CV38)</f>
        <v>11737.140000000001</v>
      </c>
      <c r="DG38" s="172" t="e">
        <f>SUM(DD38:DF38)</f>
        <v>#REF!</v>
      </c>
      <c r="DH38" s="166"/>
      <c r="DI38" s="86">
        <f>SUM(BU38+CQ38+BY38)</f>
        <v>25570.41</v>
      </c>
      <c r="DJ38" s="86">
        <f>SUM(CA38+CH38)</f>
        <v>7931.16</v>
      </c>
    </row>
    <row r="39" spans="2:114" s="94" customFormat="1" x14ac:dyDescent="0.25">
      <c r="B39" s="197">
        <v>44046</v>
      </c>
      <c r="C39" s="307">
        <v>39033100</v>
      </c>
      <c r="D39" s="307"/>
      <c r="E39" s="198">
        <f t="shared" ref="E39:E40" si="96">SUM(C39-C38)*10</f>
        <v>240350</v>
      </c>
      <c r="F39" s="307">
        <v>4565230</v>
      </c>
      <c r="G39" s="307"/>
      <c r="H39" s="198">
        <f t="shared" ref="H39:H40" si="97">SUM(F39-F38)*10</f>
        <v>18770</v>
      </c>
      <c r="I39" s="307">
        <v>16393</v>
      </c>
      <c r="J39" s="307"/>
      <c r="K39" s="198">
        <f t="shared" si="42"/>
        <v>10</v>
      </c>
      <c r="L39" s="307">
        <v>284440</v>
      </c>
      <c r="M39" s="307"/>
      <c r="N39" s="198">
        <f t="shared" si="13"/>
        <v>176000</v>
      </c>
      <c r="O39" s="307">
        <v>1373</v>
      </c>
      <c r="P39" s="307"/>
      <c r="Q39" s="198">
        <f t="shared" si="86"/>
        <v>6700</v>
      </c>
      <c r="R39" s="199"/>
      <c r="S39" s="307">
        <v>653019</v>
      </c>
      <c r="T39" s="307"/>
      <c r="U39" s="198">
        <f t="shared" si="87"/>
        <v>41400</v>
      </c>
      <c r="V39" s="308">
        <v>244420</v>
      </c>
      <c r="W39" s="308"/>
      <c r="X39" s="198">
        <f t="shared" si="79"/>
        <v>24500</v>
      </c>
      <c r="Y39" s="213">
        <f t="shared" si="80"/>
        <v>65900</v>
      </c>
      <c r="Z39" s="200"/>
      <c r="AA39" s="201">
        <v>9739</v>
      </c>
      <c r="AB39" s="198">
        <f t="shared" si="75"/>
        <v>490000</v>
      </c>
      <c r="AC39" s="201">
        <v>286300800</v>
      </c>
      <c r="AD39" s="198">
        <f t="shared" si="76"/>
        <v>146210.9</v>
      </c>
      <c r="AE39" s="201">
        <v>101595</v>
      </c>
      <c r="AF39" s="198">
        <f t="shared" si="20"/>
        <v>780</v>
      </c>
      <c r="AG39" s="201">
        <v>2963560</v>
      </c>
      <c r="AH39" s="198">
        <f t="shared" si="21"/>
        <v>28890</v>
      </c>
      <c r="AI39" s="201">
        <v>3809492</v>
      </c>
      <c r="AJ39" s="198">
        <f t="shared" si="22"/>
        <v>4332</v>
      </c>
      <c r="AK39" s="201">
        <v>15168</v>
      </c>
      <c r="AL39" s="198">
        <f t="shared" si="23"/>
        <v>11000</v>
      </c>
      <c r="AM39" s="201">
        <v>10</v>
      </c>
      <c r="AN39" s="192">
        <f t="shared" si="24"/>
        <v>0</v>
      </c>
      <c r="AO39" s="201">
        <v>11090</v>
      </c>
      <c r="AP39" s="198">
        <f t="shared" si="25"/>
        <v>1400</v>
      </c>
      <c r="AQ39" s="202"/>
      <c r="AR39" s="197">
        <f t="shared" si="0"/>
        <v>44046</v>
      </c>
      <c r="AS39" s="203">
        <v>7094</v>
      </c>
      <c r="AT39" s="198">
        <f t="shared" si="59"/>
        <v>34</v>
      </c>
      <c r="AU39" s="202"/>
      <c r="AV39" s="203">
        <v>17184383</v>
      </c>
      <c r="AW39" s="198">
        <f t="shared" si="60"/>
        <v>4383</v>
      </c>
      <c r="AX39" s="201">
        <v>368257210</v>
      </c>
      <c r="AY39" s="212">
        <f t="shared" si="61"/>
        <v>0</v>
      </c>
      <c r="AZ39" s="198">
        <f t="shared" si="62"/>
        <v>4383</v>
      </c>
      <c r="BA39" s="203">
        <v>6892600</v>
      </c>
      <c r="BB39" s="198">
        <f t="shared" si="30"/>
        <v>1600</v>
      </c>
      <c r="BC39" s="203">
        <v>3729000</v>
      </c>
      <c r="BD39" s="198">
        <f t="shared" si="31"/>
        <v>100</v>
      </c>
      <c r="BE39" s="203">
        <v>41310200</v>
      </c>
      <c r="BF39" s="198">
        <f t="shared" si="32"/>
        <v>100200</v>
      </c>
      <c r="BG39" s="204"/>
      <c r="BH39" s="204"/>
      <c r="BI39" s="205">
        <f t="shared" si="1"/>
        <v>39033100</v>
      </c>
      <c r="BJ39" s="204"/>
      <c r="BK39" s="204"/>
      <c r="BL39" s="206"/>
      <c r="BM39" s="206"/>
      <c r="BN39" s="205">
        <f t="shared" si="2"/>
        <v>4565230</v>
      </c>
      <c r="BO39" s="204"/>
      <c r="BP39" s="204"/>
      <c r="BQ39" s="204"/>
      <c r="BR39" s="205">
        <f t="shared" si="3"/>
        <v>653019</v>
      </c>
      <c r="BS39" s="204"/>
      <c r="BT39" s="204"/>
      <c r="BU39" s="193"/>
      <c r="BV39" s="205">
        <f t="shared" si="4"/>
        <v>244420</v>
      </c>
      <c r="BW39" s="195"/>
      <c r="BX39" s="196"/>
      <c r="BY39" s="193"/>
      <c r="BZ39" s="196"/>
      <c r="CA39" s="193"/>
      <c r="CB39" s="202"/>
      <c r="CC39" s="205">
        <f t="shared" si="5"/>
        <v>6892600</v>
      </c>
      <c r="CD39" s="204"/>
      <c r="CE39" s="204"/>
      <c r="CF39" s="206"/>
      <c r="CG39" s="206"/>
      <c r="CH39" s="206"/>
      <c r="CI39" s="205">
        <f t="shared" si="6"/>
        <v>17184383</v>
      </c>
      <c r="CJ39" s="204"/>
      <c r="CK39" s="204"/>
      <c r="CL39" s="206"/>
      <c r="CM39" s="207"/>
      <c r="CN39" s="205">
        <f t="shared" si="7"/>
        <v>7094</v>
      </c>
      <c r="CO39" s="204"/>
      <c r="CP39" s="208"/>
      <c r="CQ39" s="194"/>
      <c r="CR39" s="205">
        <f t="shared" si="8"/>
        <v>3729000</v>
      </c>
      <c r="CS39" s="204"/>
      <c r="CT39" s="204"/>
      <c r="CU39" s="206"/>
      <c r="CV39" s="207"/>
      <c r="CW39" s="205">
        <f t="shared" si="9"/>
        <v>41310200</v>
      </c>
      <c r="CX39" s="204"/>
      <c r="CY39" s="204"/>
      <c r="CZ39" s="206"/>
      <c r="DA39" s="204"/>
      <c r="DB39" s="204"/>
      <c r="DC39" s="204"/>
      <c r="DD39" s="209"/>
      <c r="DE39" s="209"/>
      <c r="DF39" s="209"/>
      <c r="DG39" s="209"/>
      <c r="DH39" s="210"/>
      <c r="DI39" s="211"/>
      <c r="DJ39" s="211"/>
    </row>
    <row r="40" spans="2:114" s="94" customFormat="1" x14ac:dyDescent="0.25">
      <c r="B40" s="197">
        <v>44053</v>
      </c>
      <c r="C40" s="307">
        <v>39128069</v>
      </c>
      <c r="D40" s="307"/>
      <c r="E40" s="198">
        <f t="shared" si="96"/>
        <v>949690</v>
      </c>
      <c r="F40" s="307">
        <v>4575395</v>
      </c>
      <c r="G40" s="307"/>
      <c r="H40" s="198">
        <f t="shared" si="97"/>
        <v>101650</v>
      </c>
      <c r="I40" s="307">
        <v>16410</v>
      </c>
      <c r="J40" s="307"/>
      <c r="K40" s="198">
        <f t="shared" si="42"/>
        <v>170</v>
      </c>
      <c r="L40" s="307">
        <v>285147</v>
      </c>
      <c r="M40" s="307"/>
      <c r="N40" s="198">
        <f t="shared" si="13"/>
        <v>707000</v>
      </c>
      <c r="O40" s="307">
        <v>1590</v>
      </c>
      <c r="P40" s="307"/>
      <c r="Q40" s="198">
        <f t="shared" si="86"/>
        <v>21700</v>
      </c>
      <c r="R40" s="199"/>
      <c r="S40" s="307">
        <v>654705</v>
      </c>
      <c r="T40" s="307"/>
      <c r="U40" s="198">
        <f t="shared" si="87"/>
        <v>168600</v>
      </c>
      <c r="V40" s="308">
        <v>245500</v>
      </c>
      <c r="W40" s="308"/>
      <c r="X40" s="198">
        <f t="shared" si="79"/>
        <v>108000</v>
      </c>
      <c r="Y40" s="213">
        <f t="shared" si="80"/>
        <v>276600</v>
      </c>
      <c r="Z40" s="200"/>
      <c r="AA40" s="201">
        <v>10018</v>
      </c>
      <c r="AB40" s="198">
        <f t="shared" si="75"/>
        <v>2790000</v>
      </c>
      <c r="AC40" s="201">
        <v>292635100</v>
      </c>
      <c r="AD40" s="198">
        <f t="shared" si="76"/>
        <v>633430</v>
      </c>
      <c r="AE40" s="201">
        <v>101763</v>
      </c>
      <c r="AF40" s="198">
        <f t="shared" si="20"/>
        <v>1680</v>
      </c>
      <c r="AG40" s="201">
        <v>2971720</v>
      </c>
      <c r="AH40" s="198">
        <f t="shared" si="21"/>
        <v>81600</v>
      </c>
      <c r="AI40" s="201">
        <v>3819546</v>
      </c>
      <c r="AJ40" s="198">
        <f t="shared" si="22"/>
        <v>10054</v>
      </c>
      <c r="AK40" s="201">
        <v>15221</v>
      </c>
      <c r="AL40" s="198">
        <f t="shared" si="23"/>
        <v>53000</v>
      </c>
      <c r="AM40" s="201">
        <v>10</v>
      </c>
      <c r="AN40" s="192">
        <f t="shared" si="24"/>
        <v>0</v>
      </c>
      <c r="AO40" s="201">
        <v>11150</v>
      </c>
      <c r="AP40" s="198">
        <f t="shared" si="25"/>
        <v>6000</v>
      </c>
      <c r="AQ40" s="202"/>
      <c r="AR40" s="197">
        <f t="shared" si="0"/>
        <v>44053</v>
      </c>
      <c r="AS40" s="203">
        <v>7153</v>
      </c>
      <c r="AT40" s="198">
        <f t="shared" si="59"/>
        <v>59</v>
      </c>
      <c r="AU40" s="202"/>
      <c r="AV40" s="203">
        <v>17190827</v>
      </c>
      <c r="AW40" s="198">
        <f t="shared" si="60"/>
        <v>6444</v>
      </c>
      <c r="AX40" s="201">
        <v>368257310</v>
      </c>
      <c r="AY40" s="212">
        <f t="shared" si="61"/>
        <v>1</v>
      </c>
      <c r="AZ40" s="198">
        <f t="shared" si="62"/>
        <v>6443</v>
      </c>
      <c r="BA40" s="203">
        <v>6894200</v>
      </c>
      <c r="BB40" s="198">
        <f t="shared" si="30"/>
        <v>1600</v>
      </c>
      <c r="BC40" s="203">
        <v>3729600</v>
      </c>
      <c r="BD40" s="198">
        <f t="shared" si="31"/>
        <v>600</v>
      </c>
      <c r="BE40" s="203">
        <v>41444056</v>
      </c>
      <c r="BF40" s="198">
        <f t="shared" si="32"/>
        <v>133856</v>
      </c>
      <c r="BG40" s="204"/>
      <c r="BH40" s="204"/>
      <c r="BI40" s="205">
        <f t="shared" si="1"/>
        <v>39128069</v>
      </c>
      <c r="BJ40" s="204"/>
      <c r="BK40" s="204"/>
      <c r="BL40" s="206"/>
      <c r="BM40" s="206"/>
      <c r="BN40" s="205">
        <f t="shared" si="2"/>
        <v>4575395</v>
      </c>
      <c r="BO40" s="204"/>
      <c r="BP40" s="204"/>
      <c r="BQ40" s="204"/>
      <c r="BR40" s="205">
        <f t="shared" si="3"/>
        <v>654705</v>
      </c>
      <c r="BS40" s="204"/>
      <c r="BT40" s="204"/>
      <c r="BU40" s="193"/>
      <c r="BV40" s="205">
        <f t="shared" si="4"/>
        <v>245500</v>
      </c>
      <c r="BW40" s="195"/>
      <c r="BX40" s="196"/>
      <c r="BY40" s="193"/>
      <c r="BZ40" s="196"/>
      <c r="CA40" s="193"/>
      <c r="CB40" s="202"/>
      <c r="CC40" s="205">
        <f t="shared" si="5"/>
        <v>6894200</v>
      </c>
      <c r="CD40" s="204"/>
      <c r="CE40" s="204"/>
      <c r="CF40" s="206"/>
      <c r="CG40" s="206"/>
      <c r="CH40" s="206"/>
      <c r="CI40" s="205">
        <f t="shared" si="6"/>
        <v>17190827</v>
      </c>
      <c r="CJ40" s="204"/>
      <c r="CK40" s="204"/>
      <c r="CL40" s="206"/>
      <c r="CM40" s="207"/>
      <c r="CN40" s="205">
        <f t="shared" si="7"/>
        <v>7153</v>
      </c>
      <c r="CO40" s="204"/>
      <c r="CP40" s="208"/>
      <c r="CQ40" s="194"/>
      <c r="CR40" s="205">
        <f t="shared" si="8"/>
        <v>3729600</v>
      </c>
      <c r="CS40" s="204"/>
      <c r="CT40" s="204"/>
      <c r="CU40" s="206"/>
      <c r="CV40" s="207"/>
      <c r="CW40" s="205">
        <f t="shared" si="9"/>
        <v>41444056</v>
      </c>
      <c r="CX40" s="204"/>
      <c r="CY40" s="204"/>
      <c r="CZ40" s="206"/>
      <c r="DA40" s="204"/>
      <c r="DB40" s="204"/>
      <c r="DC40" s="204"/>
      <c r="DD40" s="209"/>
      <c r="DE40" s="209"/>
      <c r="DF40" s="209"/>
      <c r="DG40" s="209"/>
      <c r="DH40" s="210"/>
      <c r="DI40" s="211"/>
      <c r="DJ40" s="211"/>
    </row>
    <row r="41" spans="2:114" s="94" customFormat="1" x14ac:dyDescent="0.25">
      <c r="B41" s="197">
        <v>44060</v>
      </c>
      <c r="C41" s="307">
        <v>39232845</v>
      </c>
      <c r="D41" s="307"/>
      <c r="E41" s="198">
        <f t="shared" ref="E41" si="98">SUM(C41-C40)*10</f>
        <v>1047760</v>
      </c>
      <c r="F41" s="307">
        <v>4576838</v>
      </c>
      <c r="G41" s="307"/>
      <c r="H41" s="198">
        <f t="shared" ref="H41" si="99">SUM(F41-F40)*10</f>
        <v>14430</v>
      </c>
      <c r="I41" s="307">
        <v>16431</v>
      </c>
      <c r="J41" s="307"/>
      <c r="K41" s="198">
        <f t="shared" si="42"/>
        <v>210</v>
      </c>
      <c r="L41" s="307">
        <v>285886</v>
      </c>
      <c r="M41" s="307"/>
      <c r="N41" s="198">
        <f t="shared" si="13"/>
        <v>739000</v>
      </c>
      <c r="O41" s="307">
        <v>1800</v>
      </c>
      <c r="P41" s="307"/>
      <c r="Q41" s="198">
        <f t="shared" si="86"/>
        <v>21000</v>
      </c>
      <c r="R41" s="199"/>
      <c r="S41" s="307">
        <v>656513</v>
      </c>
      <c r="T41" s="307"/>
      <c r="U41" s="198">
        <f t="shared" si="87"/>
        <v>180800</v>
      </c>
      <c r="V41" s="308">
        <v>246830</v>
      </c>
      <c r="W41" s="308"/>
      <c r="X41" s="198">
        <f t="shared" si="79"/>
        <v>133000</v>
      </c>
      <c r="Y41" s="213">
        <f t="shared" si="80"/>
        <v>313800</v>
      </c>
      <c r="Z41" s="200"/>
      <c r="AA41" s="201">
        <v>10317</v>
      </c>
      <c r="AB41" s="198">
        <f t="shared" si="75"/>
        <v>2990000</v>
      </c>
      <c r="AC41" s="201">
        <v>298983800</v>
      </c>
      <c r="AD41" s="198">
        <f t="shared" si="76"/>
        <v>634870</v>
      </c>
      <c r="AE41" s="201">
        <v>101912</v>
      </c>
      <c r="AF41" s="198">
        <f t="shared" si="20"/>
        <v>1490</v>
      </c>
      <c r="AG41" s="201">
        <v>2980733</v>
      </c>
      <c r="AH41" s="198">
        <f t="shared" si="21"/>
        <v>90130</v>
      </c>
      <c r="AI41" s="201">
        <v>3826587</v>
      </c>
      <c r="AJ41" s="198">
        <f t="shared" si="22"/>
        <v>7041</v>
      </c>
      <c r="AK41" s="201">
        <v>15253</v>
      </c>
      <c r="AL41" s="198">
        <f t="shared" si="23"/>
        <v>32000</v>
      </c>
      <c r="AM41" s="201">
        <v>10</v>
      </c>
      <c r="AN41" s="192">
        <f t="shared" si="24"/>
        <v>0</v>
      </c>
      <c r="AO41" s="201">
        <v>11170</v>
      </c>
      <c r="AP41" s="198">
        <f t="shared" si="25"/>
        <v>2000</v>
      </c>
      <c r="AQ41" s="202"/>
      <c r="AR41" s="197">
        <f t="shared" si="0"/>
        <v>44060</v>
      </c>
      <c r="AS41" s="203">
        <v>7234</v>
      </c>
      <c r="AT41" s="198">
        <f t="shared" si="59"/>
        <v>81</v>
      </c>
      <c r="AU41" s="202"/>
      <c r="AV41" s="203">
        <v>17199536</v>
      </c>
      <c r="AW41" s="198">
        <f t="shared" si="60"/>
        <v>8709</v>
      </c>
      <c r="AX41" s="201">
        <v>368257295</v>
      </c>
      <c r="AY41" s="212">
        <f t="shared" si="61"/>
        <v>-0.15</v>
      </c>
      <c r="AZ41" s="198">
        <f t="shared" si="62"/>
        <v>8709.15</v>
      </c>
      <c r="BA41" s="203">
        <v>6897100</v>
      </c>
      <c r="BB41" s="198">
        <f t="shared" si="30"/>
        <v>2900</v>
      </c>
      <c r="BC41" s="204">
        <v>3730100</v>
      </c>
      <c r="BD41" s="198">
        <f t="shared" si="31"/>
        <v>500</v>
      </c>
      <c r="BE41" s="203">
        <v>41571225</v>
      </c>
      <c r="BF41" s="198">
        <f t="shared" si="32"/>
        <v>127169</v>
      </c>
      <c r="BG41" s="204"/>
      <c r="BH41" s="204"/>
      <c r="BI41" s="205">
        <f t="shared" si="1"/>
        <v>39232845</v>
      </c>
      <c r="BJ41" s="204"/>
      <c r="BK41" s="204"/>
      <c r="BL41" s="206"/>
      <c r="BM41" s="206"/>
      <c r="BN41" s="205">
        <f t="shared" si="2"/>
        <v>4576838</v>
      </c>
      <c r="BO41" s="204"/>
      <c r="BP41" s="204"/>
      <c r="BQ41" s="204"/>
      <c r="BR41" s="205">
        <f t="shared" si="3"/>
        <v>656513</v>
      </c>
      <c r="BS41" s="204"/>
      <c r="BT41" s="204"/>
      <c r="BU41" s="193"/>
      <c r="BV41" s="205">
        <f t="shared" si="4"/>
        <v>246830</v>
      </c>
      <c r="BW41" s="195"/>
      <c r="BX41" s="196"/>
      <c r="BY41" s="193"/>
      <c r="BZ41" s="196"/>
      <c r="CA41" s="193"/>
      <c r="CB41" s="202"/>
      <c r="CC41" s="205">
        <f t="shared" si="5"/>
        <v>6897100</v>
      </c>
      <c r="CD41" s="204"/>
      <c r="CE41" s="204"/>
      <c r="CF41" s="206"/>
      <c r="CG41" s="206"/>
      <c r="CH41" s="206"/>
      <c r="CI41" s="205">
        <f t="shared" si="6"/>
        <v>17199536</v>
      </c>
      <c r="CJ41" s="204"/>
      <c r="CK41" s="204"/>
      <c r="CL41" s="206"/>
      <c r="CM41" s="207"/>
      <c r="CN41" s="205">
        <f t="shared" si="7"/>
        <v>7234</v>
      </c>
      <c r="CO41" s="204"/>
      <c r="CP41" s="208"/>
      <c r="CQ41" s="194"/>
      <c r="CR41" s="205">
        <f>(BC42)</f>
        <v>3730600</v>
      </c>
      <c r="CS41" s="204"/>
      <c r="CT41" s="204"/>
      <c r="CU41" s="206"/>
      <c r="CV41" s="207"/>
      <c r="CW41" s="205">
        <f t="shared" si="9"/>
        <v>41571225</v>
      </c>
      <c r="CX41" s="204"/>
      <c r="CY41" s="204"/>
      <c r="CZ41" s="206"/>
      <c r="DA41" s="204"/>
      <c r="DB41" s="204"/>
      <c r="DC41" s="204"/>
      <c r="DD41" s="209"/>
      <c r="DE41" s="209"/>
      <c r="DF41" s="209"/>
      <c r="DG41" s="209"/>
      <c r="DH41" s="210"/>
      <c r="DI41" s="211"/>
      <c r="DJ41" s="211"/>
    </row>
    <row r="42" spans="2:114" s="94" customFormat="1" x14ac:dyDescent="0.25">
      <c r="B42" s="197">
        <v>44067</v>
      </c>
      <c r="C42" s="307">
        <v>39339250</v>
      </c>
      <c r="D42" s="307"/>
      <c r="E42" s="198">
        <f t="shared" ref="E42" si="100">SUM(C42-C41)*10</f>
        <v>1064050</v>
      </c>
      <c r="F42" s="307">
        <v>4588890</v>
      </c>
      <c r="G42" s="307"/>
      <c r="H42" s="198">
        <f t="shared" ref="H42" si="101">SUM(F42-F41)*10</f>
        <v>120520</v>
      </c>
      <c r="I42" s="307">
        <v>16447</v>
      </c>
      <c r="J42" s="307"/>
      <c r="K42" s="198">
        <f t="shared" si="42"/>
        <v>160</v>
      </c>
      <c r="L42" s="307">
        <v>286532</v>
      </c>
      <c r="M42" s="307"/>
      <c r="N42" s="198">
        <f t="shared" si="13"/>
        <v>646000</v>
      </c>
      <c r="O42" s="307">
        <v>1992</v>
      </c>
      <c r="P42" s="307"/>
      <c r="Q42" s="198">
        <f t="shared" si="86"/>
        <v>19200</v>
      </c>
      <c r="R42" s="199"/>
      <c r="S42" s="307">
        <v>658140</v>
      </c>
      <c r="T42" s="307"/>
      <c r="U42" s="198">
        <f t="shared" si="87"/>
        <v>162700</v>
      </c>
      <c r="V42" s="308">
        <v>249460</v>
      </c>
      <c r="W42" s="308"/>
      <c r="X42" s="198">
        <f t="shared" si="79"/>
        <v>263000</v>
      </c>
      <c r="Y42" s="213">
        <f t="shared" si="80"/>
        <v>425700</v>
      </c>
      <c r="Z42" s="200"/>
      <c r="AA42" s="201">
        <v>10570</v>
      </c>
      <c r="AB42" s="198">
        <f t="shared" si="75"/>
        <v>2530000</v>
      </c>
      <c r="AC42" s="201">
        <v>304974000</v>
      </c>
      <c r="AD42" s="198">
        <f t="shared" si="76"/>
        <v>599020</v>
      </c>
      <c r="AE42" s="201">
        <v>102097</v>
      </c>
      <c r="AF42" s="198">
        <f t="shared" si="20"/>
        <v>1850</v>
      </c>
      <c r="AG42" s="201">
        <v>2996978</v>
      </c>
      <c r="AH42" s="198">
        <f t="shared" si="21"/>
        <v>162450</v>
      </c>
      <c r="AI42" s="201">
        <v>3832979</v>
      </c>
      <c r="AJ42" s="198">
        <f t="shared" si="22"/>
        <v>6392</v>
      </c>
      <c r="AK42" s="201">
        <v>15504</v>
      </c>
      <c r="AL42" s="198">
        <f t="shared" si="23"/>
        <v>251000</v>
      </c>
      <c r="AM42" s="201">
        <v>10</v>
      </c>
      <c r="AN42" s="192">
        <f t="shared" si="24"/>
        <v>0</v>
      </c>
      <c r="AO42" s="201">
        <v>11170</v>
      </c>
      <c r="AP42" s="198">
        <f t="shared" si="25"/>
        <v>0</v>
      </c>
      <c r="AQ42" s="202"/>
      <c r="AR42" s="197">
        <f t="shared" si="0"/>
        <v>44067</v>
      </c>
      <c r="AS42" s="203">
        <v>7311</v>
      </c>
      <c r="AT42" s="198">
        <f t="shared" si="59"/>
        <v>77</v>
      </c>
      <c r="AU42" s="202"/>
      <c r="AV42" s="203">
        <v>17207931</v>
      </c>
      <c r="AW42" s="198">
        <f t="shared" si="60"/>
        <v>8395</v>
      </c>
      <c r="AX42" s="201">
        <v>368257349</v>
      </c>
      <c r="AY42" s="212">
        <f t="shared" si="61"/>
        <v>0.54</v>
      </c>
      <c r="AZ42" s="198">
        <f t="shared" si="62"/>
        <v>8394.4599999999991</v>
      </c>
      <c r="BA42" s="203">
        <v>6900200</v>
      </c>
      <c r="BB42" s="198">
        <f t="shared" si="30"/>
        <v>3100</v>
      </c>
      <c r="BC42" s="204">
        <v>3730600</v>
      </c>
      <c r="BD42" s="198">
        <f t="shared" si="31"/>
        <v>500</v>
      </c>
      <c r="BE42" s="203">
        <v>41690556</v>
      </c>
      <c r="BF42" s="198">
        <f t="shared" si="32"/>
        <v>119331</v>
      </c>
      <c r="BG42" s="204"/>
      <c r="BH42" s="204"/>
      <c r="BI42" s="205">
        <f t="shared" si="1"/>
        <v>39339250</v>
      </c>
      <c r="BJ42" s="204"/>
      <c r="BK42" s="204"/>
      <c r="BL42" s="206"/>
      <c r="BM42" s="206"/>
      <c r="BN42" s="205">
        <f t="shared" si="2"/>
        <v>4588890</v>
      </c>
      <c r="BO42" s="204"/>
      <c r="BP42" s="204"/>
      <c r="BQ42" s="204"/>
      <c r="BR42" s="205">
        <f t="shared" si="3"/>
        <v>658140</v>
      </c>
      <c r="BS42" s="204"/>
      <c r="BT42" s="204"/>
      <c r="BU42" s="193"/>
      <c r="BV42" s="205">
        <f t="shared" si="4"/>
        <v>249460</v>
      </c>
      <c r="BW42" s="195"/>
      <c r="BX42" s="196"/>
      <c r="BY42" s="193"/>
      <c r="BZ42" s="196"/>
      <c r="CA42" s="193"/>
      <c r="CB42" s="202"/>
      <c r="CC42" s="205">
        <f t="shared" si="5"/>
        <v>6900200</v>
      </c>
      <c r="CD42" s="204"/>
      <c r="CE42" s="204"/>
      <c r="CF42" s="206"/>
      <c r="CG42" s="206"/>
      <c r="CH42" s="206"/>
      <c r="CI42" s="205">
        <f t="shared" si="6"/>
        <v>17207931</v>
      </c>
      <c r="CJ42" s="204"/>
      <c r="CK42" s="204"/>
      <c r="CL42" s="206"/>
      <c r="CM42" s="207"/>
      <c r="CN42" s="205">
        <f t="shared" si="7"/>
        <v>7311</v>
      </c>
      <c r="CO42" s="204"/>
      <c r="CP42" s="208"/>
      <c r="CQ42" s="194"/>
      <c r="CR42" s="205">
        <f>(BC43)</f>
        <v>3731100</v>
      </c>
      <c r="CS42" s="204"/>
      <c r="CT42" s="204"/>
      <c r="CU42" s="206"/>
      <c r="CV42" s="207"/>
      <c r="CW42" s="205">
        <f t="shared" si="9"/>
        <v>41690556</v>
      </c>
      <c r="CX42" s="204"/>
      <c r="CY42" s="204"/>
      <c r="CZ42" s="206"/>
      <c r="DA42" s="204"/>
      <c r="DB42" s="204"/>
      <c r="DC42" s="204"/>
      <c r="DD42" s="209"/>
      <c r="DE42" s="209"/>
      <c r="DF42" s="209"/>
      <c r="DG42" s="209"/>
      <c r="DH42" s="210"/>
      <c r="DI42" s="211"/>
      <c r="DJ42" s="211"/>
    </row>
    <row r="43" spans="2:114" s="94" customFormat="1" x14ac:dyDescent="0.25">
      <c r="B43" s="197">
        <v>44074</v>
      </c>
      <c r="C43" s="307">
        <v>39438714</v>
      </c>
      <c r="D43" s="307"/>
      <c r="E43" s="198">
        <f t="shared" ref="E43" si="102">SUM(C43-C42)*10</f>
        <v>994640</v>
      </c>
      <c r="F43" s="307">
        <v>4604967</v>
      </c>
      <c r="G43" s="307"/>
      <c r="H43" s="198">
        <f t="shared" ref="H43" si="103">SUM(F43-F42)*10</f>
        <v>160770</v>
      </c>
      <c r="I43" s="307">
        <v>16465</v>
      </c>
      <c r="J43" s="307"/>
      <c r="K43" s="198">
        <f t="shared" si="42"/>
        <v>180</v>
      </c>
      <c r="L43" s="307">
        <v>287197</v>
      </c>
      <c r="M43" s="307"/>
      <c r="N43" s="198">
        <f t="shared" si="13"/>
        <v>665000</v>
      </c>
      <c r="O43" s="307">
        <v>2200</v>
      </c>
      <c r="P43" s="307"/>
      <c r="Q43" s="198">
        <f t="shared" si="86"/>
        <v>20800</v>
      </c>
      <c r="R43" s="199"/>
      <c r="S43" s="307">
        <v>659781</v>
      </c>
      <c r="T43" s="307"/>
      <c r="U43" s="198">
        <f t="shared" si="87"/>
        <v>164100</v>
      </c>
      <c r="V43" s="308">
        <v>250650</v>
      </c>
      <c r="W43" s="308"/>
      <c r="X43" s="198">
        <f t="shared" si="79"/>
        <v>119000</v>
      </c>
      <c r="Y43" s="213">
        <f t="shared" si="80"/>
        <v>283100</v>
      </c>
      <c r="Z43" s="200"/>
      <c r="AA43" s="201">
        <v>10859</v>
      </c>
      <c r="AB43" s="198">
        <f t="shared" si="75"/>
        <v>2890000</v>
      </c>
      <c r="AC43" s="201">
        <v>311224900</v>
      </c>
      <c r="AD43" s="198">
        <f t="shared" si="76"/>
        <v>625090</v>
      </c>
      <c r="AE43" s="201">
        <v>102173</v>
      </c>
      <c r="AF43" s="198">
        <f t="shared" si="20"/>
        <v>760</v>
      </c>
      <c r="AG43" s="201">
        <v>3006444</v>
      </c>
      <c r="AH43" s="198">
        <f t="shared" si="21"/>
        <v>94660</v>
      </c>
      <c r="AI43" s="201">
        <v>3841019</v>
      </c>
      <c r="AJ43" s="198">
        <f t="shared" si="22"/>
        <v>8040</v>
      </c>
      <c r="AK43" s="201">
        <v>15636</v>
      </c>
      <c r="AL43" s="198">
        <f t="shared" si="23"/>
        <v>132000</v>
      </c>
      <c r="AM43" s="201">
        <v>10</v>
      </c>
      <c r="AN43" s="192">
        <f t="shared" si="24"/>
        <v>0</v>
      </c>
      <c r="AO43" s="201">
        <v>11190</v>
      </c>
      <c r="AP43" s="198">
        <f t="shared" si="25"/>
        <v>2000</v>
      </c>
      <c r="AQ43" s="202"/>
      <c r="AR43" s="197">
        <f t="shared" si="0"/>
        <v>44074</v>
      </c>
      <c r="AS43" s="203">
        <v>7377</v>
      </c>
      <c r="AT43" s="198">
        <f t="shared" si="59"/>
        <v>66</v>
      </c>
      <c r="AU43" s="202"/>
      <c r="AV43" s="203">
        <v>17216427</v>
      </c>
      <c r="AW43" s="198">
        <f t="shared" si="60"/>
        <v>8496</v>
      </c>
      <c r="AX43" s="201">
        <v>368257210</v>
      </c>
      <c r="AY43" s="212">
        <f t="shared" si="61"/>
        <v>-1.39</v>
      </c>
      <c r="AZ43" s="198">
        <f t="shared" si="62"/>
        <v>8497.39</v>
      </c>
      <c r="BA43" s="203">
        <v>6904100</v>
      </c>
      <c r="BB43" s="198">
        <f t="shared" si="30"/>
        <v>3900</v>
      </c>
      <c r="BC43" s="204">
        <v>3731100</v>
      </c>
      <c r="BD43" s="198">
        <f t="shared" si="31"/>
        <v>500</v>
      </c>
      <c r="BE43" s="203">
        <v>41811012</v>
      </c>
      <c r="BF43" s="198">
        <f t="shared" si="32"/>
        <v>120456</v>
      </c>
      <c r="BG43" s="204"/>
      <c r="BH43" s="204"/>
      <c r="BI43" s="205">
        <f t="shared" si="1"/>
        <v>39438714</v>
      </c>
      <c r="BJ43" s="204"/>
      <c r="BK43" s="204"/>
      <c r="BL43" s="206"/>
      <c r="BM43" s="206"/>
      <c r="BN43" s="205">
        <f t="shared" si="2"/>
        <v>4604967</v>
      </c>
      <c r="BO43" s="204"/>
      <c r="BP43" s="204"/>
      <c r="BQ43" s="204"/>
      <c r="BR43" s="205">
        <f t="shared" si="3"/>
        <v>659781</v>
      </c>
      <c r="BS43" s="204"/>
      <c r="BT43" s="204"/>
      <c r="BU43" s="193"/>
      <c r="BV43" s="205">
        <f t="shared" si="4"/>
        <v>250650</v>
      </c>
      <c r="BW43" s="195"/>
      <c r="BX43" s="196"/>
      <c r="BY43" s="193"/>
      <c r="BZ43" s="196"/>
      <c r="CA43" s="193"/>
      <c r="CB43" s="202"/>
      <c r="CC43" s="205">
        <f t="shared" si="5"/>
        <v>6904100</v>
      </c>
      <c r="CD43" s="204"/>
      <c r="CE43" s="204"/>
      <c r="CF43" s="206"/>
      <c r="CG43" s="206"/>
      <c r="CH43" s="206"/>
      <c r="CI43" s="205">
        <f t="shared" si="6"/>
        <v>17216427</v>
      </c>
      <c r="CJ43" s="204"/>
      <c r="CK43" s="204"/>
      <c r="CL43" s="206"/>
      <c r="CM43" s="207"/>
      <c r="CN43" s="205">
        <f t="shared" si="7"/>
        <v>7377</v>
      </c>
      <c r="CO43" s="204"/>
      <c r="CP43" s="208"/>
      <c r="CQ43" s="194"/>
      <c r="CR43" s="205">
        <f>(BC44)</f>
        <v>3731800</v>
      </c>
      <c r="CS43" s="204"/>
      <c r="CT43" s="204"/>
      <c r="CU43" s="206"/>
      <c r="CV43" s="207"/>
      <c r="CW43" s="205">
        <f t="shared" si="9"/>
        <v>41811012</v>
      </c>
      <c r="CX43" s="204"/>
      <c r="CY43" s="204"/>
      <c r="CZ43" s="206"/>
      <c r="DA43" s="204"/>
      <c r="DB43" s="204"/>
      <c r="DC43" s="204"/>
      <c r="DD43" s="209"/>
      <c r="DE43" s="209"/>
      <c r="DF43" s="209"/>
      <c r="DG43" s="209"/>
      <c r="DH43" s="210"/>
      <c r="DI43" s="211"/>
      <c r="DJ43" s="211"/>
    </row>
    <row r="44" spans="2:114" s="94" customFormat="1" x14ac:dyDescent="0.25">
      <c r="B44" s="197">
        <v>44080</v>
      </c>
      <c r="C44" s="307">
        <v>39535581</v>
      </c>
      <c r="D44" s="307"/>
      <c r="E44" s="198">
        <f t="shared" ref="E44:E51" si="104">SUM(C44-C43)*10</f>
        <v>968670</v>
      </c>
      <c r="F44" s="307">
        <v>4611345</v>
      </c>
      <c r="G44" s="307"/>
      <c r="H44" s="198">
        <f t="shared" ref="H44:H51" si="105">SUM(F44-F43)*10</f>
        <v>63780</v>
      </c>
      <c r="I44" s="307">
        <v>16481</v>
      </c>
      <c r="J44" s="307"/>
      <c r="K44" s="198">
        <f t="shared" si="42"/>
        <v>160</v>
      </c>
      <c r="L44" s="307">
        <v>287876</v>
      </c>
      <c r="M44" s="307"/>
      <c r="N44" s="198">
        <f t="shared" si="13"/>
        <v>679000</v>
      </c>
      <c r="O44" s="307">
        <v>2415</v>
      </c>
      <c r="P44" s="307"/>
      <c r="Q44" s="198">
        <f t="shared" si="86"/>
        <v>21500</v>
      </c>
      <c r="R44" s="199"/>
      <c r="S44" s="307">
        <v>661560</v>
      </c>
      <c r="T44" s="307"/>
      <c r="U44" s="198">
        <f t="shared" si="87"/>
        <v>177900</v>
      </c>
      <c r="V44" s="308">
        <v>252050</v>
      </c>
      <c r="W44" s="308"/>
      <c r="X44" s="198">
        <f t="shared" si="79"/>
        <v>140000</v>
      </c>
      <c r="Y44" s="213">
        <f t="shared" si="80"/>
        <v>317900</v>
      </c>
      <c r="Z44" s="200"/>
      <c r="AA44" s="201">
        <v>11129</v>
      </c>
      <c r="AB44" s="198">
        <f t="shared" si="75"/>
        <v>2700000</v>
      </c>
      <c r="AC44" s="201">
        <v>316104090</v>
      </c>
      <c r="AD44" s="198">
        <f t="shared" si="76"/>
        <v>487919</v>
      </c>
      <c r="AE44" s="201">
        <v>102300</v>
      </c>
      <c r="AF44" s="198">
        <f t="shared" si="20"/>
        <v>1270</v>
      </c>
      <c r="AG44" s="201">
        <v>3015124</v>
      </c>
      <c r="AH44" s="198">
        <f t="shared" si="21"/>
        <v>86800</v>
      </c>
      <c r="AI44" s="201">
        <v>3852731</v>
      </c>
      <c r="AJ44" s="198">
        <f t="shared" si="22"/>
        <v>11712</v>
      </c>
      <c r="AK44" s="201">
        <v>15762</v>
      </c>
      <c r="AL44" s="198">
        <f t="shared" si="23"/>
        <v>126000</v>
      </c>
      <c r="AM44" s="201">
        <v>10</v>
      </c>
      <c r="AN44" s="192">
        <f t="shared" si="24"/>
        <v>0</v>
      </c>
      <c r="AO44" s="201">
        <v>11210</v>
      </c>
      <c r="AP44" s="198">
        <f t="shared" si="25"/>
        <v>2000</v>
      </c>
      <c r="AQ44" s="202"/>
      <c r="AR44" s="197">
        <f t="shared" si="0"/>
        <v>44080</v>
      </c>
      <c r="AS44" s="203">
        <v>7446</v>
      </c>
      <c r="AT44" s="198">
        <f t="shared" si="59"/>
        <v>69</v>
      </c>
      <c r="AU44" s="202"/>
      <c r="AV44" s="203">
        <v>17262122</v>
      </c>
      <c r="AW44" s="198">
        <f t="shared" si="60"/>
        <v>45695</v>
      </c>
      <c r="AX44" s="201">
        <v>371869010</v>
      </c>
      <c r="AY44" s="212">
        <f t="shared" si="61"/>
        <v>36118</v>
      </c>
      <c r="AZ44" s="198">
        <f t="shared" si="62"/>
        <v>9577</v>
      </c>
      <c r="BA44" s="203">
        <v>6910900</v>
      </c>
      <c r="BB44" s="198">
        <f t="shared" si="30"/>
        <v>6800</v>
      </c>
      <c r="BC44" s="204">
        <v>3731800</v>
      </c>
      <c r="BD44" s="198">
        <f t="shared" si="31"/>
        <v>700</v>
      </c>
      <c r="BE44" s="203">
        <v>41877284</v>
      </c>
      <c r="BF44" s="198">
        <f t="shared" si="32"/>
        <v>66272</v>
      </c>
      <c r="BG44" s="204"/>
      <c r="BH44" s="204"/>
      <c r="BI44" s="205">
        <f t="shared" si="1"/>
        <v>39535581</v>
      </c>
      <c r="BJ44" s="204"/>
      <c r="BK44" s="204"/>
      <c r="BL44" s="206"/>
      <c r="BM44" s="206"/>
      <c r="BN44" s="205">
        <f t="shared" si="2"/>
        <v>4611345</v>
      </c>
      <c r="BO44" s="204"/>
      <c r="BP44" s="204"/>
      <c r="BQ44" s="204"/>
      <c r="BR44" s="205">
        <f t="shared" si="3"/>
        <v>661560</v>
      </c>
      <c r="BS44" s="204"/>
      <c r="BT44" s="204"/>
      <c r="BU44" s="193"/>
      <c r="BV44" s="205">
        <f t="shared" si="4"/>
        <v>252050</v>
      </c>
      <c r="BW44" s="195"/>
      <c r="BX44" s="196"/>
      <c r="BY44" s="193"/>
      <c r="BZ44" s="196"/>
      <c r="CA44" s="193"/>
      <c r="CB44" s="202"/>
      <c r="CC44" s="205">
        <f t="shared" si="5"/>
        <v>6910900</v>
      </c>
      <c r="CD44" s="204"/>
      <c r="CE44" s="204"/>
      <c r="CF44" s="206"/>
      <c r="CG44" s="206"/>
      <c r="CH44" s="206"/>
      <c r="CI44" s="205">
        <f t="shared" si="6"/>
        <v>17262122</v>
      </c>
      <c r="CJ44" s="204"/>
      <c r="CK44" s="204"/>
      <c r="CL44" s="206"/>
      <c r="CM44" s="207"/>
      <c r="CN44" s="205">
        <f t="shared" si="7"/>
        <v>7446</v>
      </c>
      <c r="CO44" s="204"/>
      <c r="CP44" s="208"/>
      <c r="CQ44" s="194"/>
      <c r="CR44" s="205">
        <f>(BC45)</f>
        <v>3732500</v>
      </c>
      <c r="CS44" s="204"/>
      <c r="CT44" s="204"/>
      <c r="CU44" s="206"/>
      <c r="CV44" s="207"/>
      <c r="CW44" s="205">
        <f t="shared" si="9"/>
        <v>41877284</v>
      </c>
      <c r="CX44" s="204"/>
      <c r="CY44" s="204"/>
      <c r="CZ44" s="206"/>
      <c r="DA44" s="204"/>
      <c r="DB44" s="204"/>
      <c r="DC44" s="204"/>
      <c r="DD44" s="209"/>
      <c r="DE44" s="209"/>
      <c r="DF44" s="209"/>
      <c r="DG44" s="209"/>
      <c r="DH44" s="210"/>
      <c r="DI44" s="211"/>
      <c r="DJ44" s="211"/>
    </row>
    <row r="45" spans="2:114" x14ac:dyDescent="0.25">
      <c r="B45" s="20">
        <f>B44+7</f>
        <v>44087</v>
      </c>
      <c r="C45" s="305">
        <v>39624160</v>
      </c>
      <c r="D45" s="306"/>
      <c r="E45" s="198">
        <f t="shared" si="104"/>
        <v>885790</v>
      </c>
      <c r="F45" s="305">
        <v>4612798</v>
      </c>
      <c r="G45" s="306"/>
      <c r="H45" s="198">
        <f t="shared" si="105"/>
        <v>14530</v>
      </c>
      <c r="I45" s="305">
        <v>16499</v>
      </c>
      <c r="J45" s="306"/>
      <c r="K45" s="198">
        <f t="shared" si="42"/>
        <v>180</v>
      </c>
      <c r="L45" s="305">
        <v>288532</v>
      </c>
      <c r="M45" s="306"/>
      <c r="N45" s="198">
        <f t="shared" si="13"/>
        <v>656000</v>
      </c>
      <c r="O45" s="305">
        <v>2595</v>
      </c>
      <c r="P45" s="306"/>
      <c r="Q45" s="198">
        <f t="shared" si="86"/>
        <v>18000</v>
      </c>
      <c r="R45" s="199"/>
      <c r="S45" s="305">
        <v>663226</v>
      </c>
      <c r="T45" s="306"/>
      <c r="U45" s="198">
        <f t="shared" si="87"/>
        <v>166600</v>
      </c>
      <c r="V45" s="305">
        <v>254700</v>
      </c>
      <c r="W45" s="306"/>
      <c r="X45" s="198">
        <f t="shared" ref="X45:X51" si="106">SUM(V45-V44)*100</f>
        <v>265000</v>
      </c>
      <c r="Y45" s="213">
        <f t="shared" ref="Y45:Y51" si="107">SUM(U45+X45)</f>
        <v>431600</v>
      </c>
      <c r="Z45" s="200"/>
      <c r="AA45" s="155">
        <v>11381</v>
      </c>
      <c r="AB45" s="198">
        <f t="shared" si="75"/>
        <v>2520000</v>
      </c>
      <c r="AC45" s="155">
        <v>321300930</v>
      </c>
      <c r="AD45" s="198">
        <f t="shared" si="76"/>
        <v>519684</v>
      </c>
      <c r="AE45" s="155">
        <v>102344</v>
      </c>
      <c r="AF45" s="198">
        <f t="shared" si="20"/>
        <v>440</v>
      </c>
      <c r="AG45" s="155">
        <v>3023830</v>
      </c>
      <c r="AH45" s="198">
        <f t="shared" si="21"/>
        <v>87060</v>
      </c>
      <c r="AI45" s="155">
        <v>3860859</v>
      </c>
      <c r="AJ45" s="198">
        <f t="shared" si="22"/>
        <v>8128</v>
      </c>
      <c r="AK45" s="155">
        <v>15836</v>
      </c>
      <c r="AL45" s="198">
        <f t="shared" si="23"/>
        <v>74000</v>
      </c>
      <c r="AM45" s="201">
        <v>10</v>
      </c>
      <c r="AN45" s="192">
        <f t="shared" si="24"/>
        <v>0</v>
      </c>
      <c r="AO45" s="155">
        <v>11261</v>
      </c>
      <c r="AP45" s="198">
        <f t="shared" si="25"/>
        <v>5100</v>
      </c>
      <c r="AQ45" s="202"/>
      <c r="AR45" s="197">
        <v>44080</v>
      </c>
      <c r="AS45" s="155">
        <v>7521</v>
      </c>
      <c r="AT45" s="198">
        <f t="shared" si="59"/>
        <v>75</v>
      </c>
      <c r="AU45" s="202"/>
      <c r="AV45" s="155">
        <v>17323536</v>
      </c>
      <c r="AW45" s="198">
        <f t="shared" si="60"/>
        <v>61414</v>
      </c>
      <c r="AX45" s="155">
        <v>377124803</v>
      </c>
      <c r="AY45" s="212">
        <f t="shared" si="61"/>
        <v>52557.93</v>
      </c>
      <c r="AZ45" s="198">
        <f t="shared" si="62"/>
        <v>8856.07</v>
      </c>
      <c r="BA45" s="155">
        <v>6913000</v>
      </c>
      <c r="BB45" s="198">
        <f t="shared" si="30"/>
        <v>2100</v>
      </c>
      <c r="BC45" s="156">
        <v>3732500</v>
      </c>
      <c r="BD45" s="198">
        <f t="shared" si="31"/>
        <v>700</v>
      </c>
      <c r="BE45" s="155">
        <v>41885909</v>
      </c>
      <c r="BF45" s="198">
        <f t="shared" si="32"/>
        <v>8625</v>
      </c>
      <c r="BG45" s="166"/>
      <c r="BH45" s="166"/>
      <c r="BI45" s="205">
        <f t="shared" si="1"/>
        <v>39624160</v>
      </c>
      <c r="BJ45" s="166"/>
      <c r="BK45" s="166"/>
      <c r="BL45" s="171"/>
      <c r="BM45" s="171"/>
      <c r="BN45" s="205">
        <f t="shared" si="2"/>
        <v>4612798</v>
      </c>
      <c r="BO45" s="166"/>
      <c r="BP45" s="166"/>
      <c r="BQ45" s="166"/>
      <c r="BR45" s="205">
        <f t="shared" si="3"/>
        <v>663226</v>
      </c>
      <c r="BS45" s="166"/>
      <c r="BT45" s="166"/>
      <c r="BU45" s="193"/>
      <c r="BV45" s="205">
        <f t="shared" si="4"/>
        <v>254700</v>
      </c>
      <c r="BW45" s="195"/>
      <c r="BX45" s="196"/>
      <c r="BY45" s="193"/>
      <c r="BZ45" s="196"/>
      <c r="CA45" s="193"/>
      <c r="CB45" s="202"/>
      <c r="CC45" s="205">
        <f t="shared" ref="CC45:CC51" si="108">(BA45)</f>
        <v>6913000</v>
      </c>
      <c r="CD45" s="166"/>
      <c r="CE45" s="166"/>
      <c r="CF45" s="171"/>
      <c r="CG45" s="171"/>
      <c r="CH45" s="171"/>
      <c r="CI45" s="205">
        <f t="shared" si="6"/>
        <v>17323536</v>
      </c>
      <c r="CJ45" s="166"/>
      <c r="CK45" s="166"/>
      <c r="CL45" s="171"/>
      <c r="CN45" s="205">
        <f t="shared" si="7"/>
        <v>7521</v>
      </c>
      <c r="CO45" s="166"/>
      <c r="CP45" s="177"/>
      <c r="CQ45" s="194"/>
      <c r="CR45" s="205">
        <f t="shared" ref="CR45:CR60" si="109">(BC46)</f>
        <v>3733200</v>
      </c>
      <c r="CS45" s="166"/>
      <c r="CT45" s="166"/>
      <c r="CU45" s="171"/>
      <c r="CW45" s="205">
        <f t="shared" si="9"/>
        <v>41885909</v>
      </c>
      <c r="CX45" s="166"/>
      <c r="CY45" s="166"/>
      <c r="CZ45" s="171"/>
      <c r="DA45" s="166"/>
      <c r="DB45" s="166"/>
      <c r="DC45" s="166"/>
      <c r="DD45" s="166"/>
      <c r="DE45" s="166"/>
      <c r="DF45" s="166"/>
      <c r="DG45" s="166"/>
      <c r="DH45" s="166"/>
      <c r="DI45" s="166"/>
      <c r="DJ45" s="166"/>
    </row>
    <row r="46" spans="2:114" x14ac:dyDescent="0.25">
      <c r="B46" s="20">
        <f t="shared" ref="B46:B47" si="110">B45+7</f>
        <v>44094</v>
      </c>
      <c r="C46" s="305">
        <v>39718286</v>
      </c>
      <c r="D46" s="306"/>
      <c r="E46" s="198">
        <f t="shared" si="104"/>
        <v>941260</v>
      </c>
      <c r="F46" s="305">
        <v>4620234</v>
      </c>
      <c r="G46" s="306"/>
      <c r="H46" s="198">
        <f t="shared" si="105"/>
        <v>74360</v>
      </c>
      <c r="I46" s="305">
        <v>16516</v>
      </c>
      <c r="J46" s="306"/>
      <c r="K46" s="198">
        <f t="shared" si="42"/>
        <v>170</v>
      </c>
      <c r="L46" s="305">
        <v>289159</v>
      </c>
      <c r="M46" s="306"/>
      <c r="N46" s="198">
        <f t="shared" si="13"/>
        <v>627000</v>
      </c>
      <c r="O46" s="305">
        <v>2800</v>
      </c>
      <c r="P46" s="306"/>
      <c r="Q46" s="198">
        <f t="shared" si="86"/>
        <v>20500</v>
      </c>
      <c r="R46" s="199"/>
      <c r="S46" s="305">
        <v>664916</v>
      </c>
      <c r="T46" s="306"/>
      <c r="U46" s="198">
        <f t="shared" si="87"/>
        <v>169000</v>
      </c>
      <c r="V46" s="305">
        <v>257060</v>
      </c>
      <c r="W46" s="306"/>
      <c r="X46" s="198">
        <f t="shared" si="106"/>
        <v>236000</v>
      </c>
      <c r="Y46" s="213">
        <f t="shared" si="107"/>
        <v>405000</v>
      </c>
      <c r="Z46" s="200"/>
      <c r="AA46" s="155">
        <v>11640</v>
      </c>
      <c r="AB46" s="198">
        <f t="shared" si="75"/>
        <v>2590000</v>
      </c>
      <c r="AC46" s="155">
        <v>327154600</v>
      </c>
      <c r="AD46" s="198">
        <f t="shared" si="76"/>
        <v>585367</v>
      </c>
      <c r="AE46" s="155">
        <v>102353</v>
      </c>
      <c r="AF46" s="198">
        <f t="shared" si="20"/>
        <v>90</v>
      </c>
      <c r="AG46" s="155">
        <v>3037623</v>
      </c>
      <c r="AH46" s="198">
        <f t="shared" si="21"/>
        <v>137930</v>
      </c>
      <c r="AI46" s="155">
        <v>3866584</v>
      </c>
      <c r="AJ46" s="198">
        <f t="shared" si="22"/>
        <v>5725</v>
      </c>
      <c r="AK46" s="155">
        <v>15944</v>
      </c>
      <c r="AL46" s="198">
        <f t="shared" si="23"/>
        <v>108000</v>
      </c>
      <c r="AM46" s="201">
        <v>10</v>
      </c>
      <c r="AN46" s="192">
        <f t="shared" si="24"/>
        <v>0</v>
      </c>
      <c r="AO46" s="155">
        <v>11326</v>
      </c>
      <c r="AP46" s="198">
        <f t="shared" si="25"/>
        <v>6500</v>
      </c>
      <c r="AQ46" s="202"/>
      <c r="AR46" s="20">
        <f>AR45+7</f>
        <v>44087</v>
      </c>
      <c r="AS46" s="155">
        <v>7593</v>
      </c>
      <c r="AT46" s="198">
        <f t="shared" si="59"/>
        <v>72</v>
      </c>
      <c r="AU46" s="202"/>
      <c r="AV46" s="155">
        <v>17384785</v>
      </c>
      <c r="AW46" s="198">
        <f t="shared" si="60"/>
        <v>61249</v>
      </c>
      <c r="AX46" s="155">
        <v>382356368</v>
      </c>
      <c r="AY46" s="212">
        <f t="shared" si="61"/>
        <v>52315.65</v>
      </c>
      <c r="AZ46" s="198">
        <f t="shared" si="62"/>
        <v>8933.3499999999985</v>
      </c>
      <c r="BA46" s="155">
        <v>6914800</v>
      </c>
      <c r="BB46" s="198">
        <f t="shared" si="30"/>
        <v>1800</v>
      </c>
      <c r="BC46" s="156">
        <v>3733200</v>
      </c>
      <c r="BD46" s="198">
        <f t="shared" si="31"/>
        <v>700</v>
      </c>
      <c r="BE46" s="155">
        <v>41894505</v>
      </c>
      <c r="BF46" s="198">
        <f t="shared" si="32"/>
        <v>8596</v>
      </c>
      <c r="BG46" s="166"/>
      <c r="BH46" s="166"/>
      <c r="BI46" s="205">
        <f t="shared" si="1"/>
        <v>39718286</v>
      </c>
      <c r="BJ46" s="166"/>
      <c r="BK46" s="166"/>
      <c r="BL46" s="171"/>
      <c r="BM46" s="171"/>
      <c r="BN46" s="205">
        <f t="shared" si="2"/>
        <v>4620234</v>
      </c>
      <c r="BO46" s="166"/>
      <c r="BP46" s="166"/>
      <c r="BQ46" s="166"/>
      <c r="BR46" s="205">
        <f t="shared" si="3"/>
        <v>664916</v>
      </c>
      <c r="BS46" s="166"/>
      <c r="BT46" s="166"/>
      <c r="BU46" s="193"/>
      <c r="BV46" s="205">
        <f t="shared" si="4"/>
        <v>257060</v>
      </c>
      <c r="BW46" s="195"/>
      <c r="BX46" s="196"/>
      <c r="BY46" s="193"/>
      <c r="BZ46" s="196"/>
      <c r="CA46" s="193"/>
      <c r="CB46" s="202"/>
      <c r="CC46" s="205">
        <f t="shared" si="108"/>
        <v>6914800</v>
      </c>
      <c r="CD46" s="166"/>
      <c r="CE46" s="166"/>
      <c r="CF46" s="171"/>
      <c r="CG46" s="171"/>
      <c r="CH46" s="171"/>
      <c r="CI46" s="205">
        <f t="shared" si="6"/>
        <v>17384785</v>
      </c>
      <c r="CJ46" s="166"/>
      <c r="CK46" s="166"/>
      <c r="CL46" s="171"/>
      <c r="CN46" s="205">
        <f t="shared" si="7"/>
        <v>7593</v>
      </c>
      <c r="CO46" s="166"/>
      <c r="CP46" s="177"/>
      <c r="CQ46" s="194"/>
      <c r="CR46" s="205">
        <f t="shared" si="109"/>
        <v>3734000</v>
      </c>
      <c r="CS46" s="166"/>
      <c r="CT46" s="166"/>
      <c r="CU46" s="171"/>
      <c r="CW46" s="205">
        <f t="shared" si="9"/>
        <v>41894505</v>
      </c>
      <c r="CX46" s="166"/>
      <c r="CY46" s="166"/>
      <c r="CZ46" s="171"/>
      <c r="DA46" s="166"/>
      <c r="DB46" s="166"/>
      <c r="DC46" s="166"/>
      <c r="DD46" s="166"/>
      <c r="DE46" s="166"/>
      <c r="DF46" s="166"/>
      <c r="DG46" s="166"/>
      <c r="DH46" s="166"/>
      <c r="DI46" s="166"/>
      <c r="DJ46" s="166"/>
    </row>
    <row r="47" spans="2:114" x14ac:dyDescent="0.25">
      <c r="B47" s="20">
        <f t="shared" si="110"/>
        <v>44101</v>
      </c>
      <c r="C47" s="305">
        <v>39817536</v>
      </c>
      <c r="D47" s="306"/>
      <c r="E47" s="198">
        <f t="shared" si="104"/>
        <v>992500</v>
      </c>
      <c r="F47" s="305">
        <v>4628491</v>
      </c>
      <c r="G47" s="306"/>
      <c r="H47" s="198">
        <f t="shared" si="105"/>
        <v>82570</v>
      </c>
      <c r="I47" s="305">
        <v>16585</v>
      </c>
      <c r="J47" s="306"/>
      <c r="K47" s="198">
        <f t="shared" si="42"/>
        <v>690</v>
      </c>
      <c r="L47" s="305">
        <v>289842</v>
      </c>
      <c r="M47" s="306"/>
      <c r="N47" s="198">
        <f t="shared" si="13"/>
        <v>683000</v>
      </c>
      <c r="O47" s="305">
        <v>3000</v>
      </c>
      <c r="P47" s="306"/>
      <c r="Q47" s="198">
        <f t="shared" si="86"/>
        <v>20000</v>
      </c>
      <c r="R47" s="199"/>
      <c r="S47" s="305">
        <v>666681</v>
      </c>
      <c r="T47" s="306"/>
      <c r="U47" s="198">
        <f t="shared" si="87"/>
        <v>176500</v>
      </c>
      <c r="V47" s="305">
        <v>261380</v>
      </c>
      <c r="W47" s="306"/>
      <c r="X47" s="198">
        <f t="shared" si="106"/>
        <v>432000</v>
      </c>
      <c r="Y47" s="213">
        <f t="shared" si="107"/>
        <v>608500</v>
      </c>
      <c r="Z47" s="200"/>
      <c r="AA47" s="155">
        <v>11892</v>
      </c>
      <c r="AB47" s="198">
        <f t="shared" si="75"/>
        <v>2520000</v>
      </c>
      <c r="AC47" s="155">
        <v>332703900</v>
      </c>
      <c r="AD47" s="198">
        <f t="shared" si="76"/>
        <v>554930</v>
      </c>
      <c r="AE47" s="155">
        <v>102497</v>
      </c>
      <c r="AF47" s="198">
        <f t="shared" si="20"/>
        <v>1440</v>
      </c>
      <c r="AG47" s="155">
        <v>3046243</v>
      </c>
      <c r="AH47" s="198">
        <f t="shared" si="21"/>
        <v>86200</v>
      </c>
      <c r="AI47" s="155">
        <v>3875430</v>
      </c>
      <c r="AJ47" s="198">
        <f t="shared" si="22"/>
        <v>8846</v>
      </c>
      <c r="AK47" s="155">
        <v>16084</v>
      </c>
      <c r="AL47" s="198">
        <f t="shared" si="23"/>
        <v>140000</v>
      </c>
      <c r="AM47" s="201">
        <v>10</v>
      </c>
      <c r="AN47" s="192">
        <f t="shared" si="24"/>
        <v>0</v>
      </c>
      <c r="AO47" s="155">
        <v>11421</v>
      </c>
      <c r="AP47" s="198">
        <f t="shared" si="25"/>
        <v>9500</v>
      </c>
      <c r="AQ47" s="202"/>
      <c r="AR47" s="20">
        <f t="shared" ref="AR47:AR48" si="111">AR46+7</f>
        <v>44094</v>
      </c>
      <c r="AS47" s="155">
        <v>7656</v>
      </c>
      <c r="AT47" s="198">
        <f t="shared" si="59"/>
        <v>63</v>
      </c>
      <c r="AU47" s="202"/>
      <c r="AV47" s="155">
        <v>17445945</v>
      </c>
      <c r="AW47" s="198">
        <f t="shared" si="60"/>
        <v>61160</v>
      </c>
      <c r="AX47" s="155">
        <v>387599802</v>
      </c>
      <c r="AY47" s="212">
        <f t="shared" si="61"/>
        <v>52434.34</v>
      </c>
      <c r="AZ47" s="198">
        <f t="shared" si="62"/>
        <v>8725.6600000000035</v>
      </c>
      <c r="BA47" s="155">
        <v>6917800</v>
      </c>
      <c r="BB47" s="198">
        <f t="shared" si="30"/>
        <v>3000</v>
      </c>
      <c r="BC47" s="156">
        <v>3734000</v>
      </c>
      <c r="BD47" s="198">
        <f t="shared" si="31"/>
        <v>800</v>
      </c>
      <c r="BE47" s="155">
        <v>41902953</v>
      </c>
      <c r="BF47" s="198">
        <f t="shared" si="32"/>
        <v>8448</v>
      </c>
      <c r="BG47" s="166"/>
      <c r="BH47" s="166"/>
      <c r="BI47" s="205">
        <f t="shared" si="1"/>
        <v>39817536</v>
      </c>
      <c r="BJ47" s="166"/>
      <c r="BK47" s="166"/>
      <c r="BL47" s="171"/>
      <c r="BM47" s="171"/>
      <c r="BN47" s="205">
        <f t="shared" si="2"/>
        <v>4628491</v>
      </c>
      <c r="BO47" s="166"/>
      <c r="BP47" s="166"/>
      <c r="BQ47" s="166"/>
      <c r="BR47" s="205">
        <f t="shared" si="3"/>
        <v>666681</v>
      </c>
      <c r="BS47" s="166"/>
      <c r="BT47" s="166"/>
      <c r="BU47" s="193"/>
      <c r="BV47" s="205">
        <f t="shared" si="4"/>
        <v>261380</v>
      </c>
      <c r="BW47" s="195"/>
      <c r="BX47" s="196"/>
      <c r="BY47" s="193"/>
      <c r="BZ47" s="196"/>
      <c r="CA47" s="193"/>
      <c r="CB47" s="202"/>
      <c r="CC47" s="205">
        <f t="shared" si="108"/>
        <v>6917800</v>
      </c>
      <c r="CD47" s="166"/>
      <c r="CE47" s="166"/>
      <c r="CF47" s="171"/>
      <c r="CG47" s="171"/>
      <c r="CH47" s="171"/>
      <c r="CI47" s="205">
        <f t="shared" si="6"/>
        <v>17445945</v>
      </c>
      <c r="CJ47" s="166"/>
      <c r="CK47" s="166"/>
      <c r="CL47" s="171"/>
      <c r="CN47" s="205">
        <f t="shared" si="7"/>
        <v>7656</v>
      </c>
      <c r="CO47" s="166"/>
      <c r="CP47" s="177"/>
      <c r="CQ47" s="194"/>
      <c r="CR47" s="205">
        <f t="shared" si="109"/>
        <v>3734700</v>
      </c>
      <c r="CS47" s="166"/>
      <c r="CT47" s="166"/>
      <c r="CU47" s="171"/>
      <c r="CW47" s="205">
        <f t="shared" si="9"/>
        <v>41902953</v>
      </c>
      <c r="CX47" s="166"/>
      <c r="CY47" s="166"/>
      <c r="CZ47" s="171"/>
      <c r="DA47" s="166"/>
      <c r="DB47" s="166"/>
      <c r="DC47" s="166"/>
      <c r="DD47" s="166"/>
      <c r="DE47" s="166"/>
      <c r="DF47" s="166"/>
      <c r="DG47" s="166"/>
      <c r="DH47" s="166"/>
      <c r="DI47" s="166"/>
      <c r="DJ47" s="166"/>
    </row>
    <row r="48" spans="2:114" x14ac:dyDescent="0.25">
      <c r="B48" s="20">
        <v>44105</v>
      </c>
      <c r="C48" s="305">
        <v>39817536</v>
      </c>
      <c r="D48" s="306"/>
      <c r="E48" s="198">
        <f t="shared" si="104"/>
        <v>0</v>
      </c>
      <c r="F48" s="305">
        <v>4628491</v>
      </c>
      <c r="G48" s="306"/>
      <c r="H48" s="198">
        <f t="shared" si="105"/>
        <v>0</v>
      </c>
      <c r="I48" s="305">
        <v>16585</v>
      </c>
      <c r="J48" s="306"/>
      <c r="K48" s="198">
        <f t="shared" si="42"/>
        <v>0</v>
      </c>
      <c r="L48" s="305">
        <v>289842</v>
      </c>
      <c r="M48" s="306"/>
      <c r="N48" s="198">
        <f t="shared" si="13"/>
        <v>0</v>
      </c>
      <c r="O48" s="305">
        <v>3000</v>
      </c>
      <c r="P48" s="306"/>
      <c r="Q48" s="198">
        <f t="shared" si="86"/>
        <v>0</v>
      </c>
      <c r="R48" s="199"/>
      <c r="S48" s="305">
        <v>666681</v>
      </c>
      <c r="T48" s="306"/>
      <c r="U48" s="198">
        <f t="shared" si="87"/>
        <v>0</v>
      </c>
      <c r="V48" s="305">
        <v>261380</v>
      </c>
      <c r="W48" s="306"/>
      <c r="X48" s="198">
        <f t="shared" si="106"/>
        <v>0</v>
      </c>
      <c r="Y48" s="213">
        <f t="shared" si="107"/>
        <v>0</v>
      </c>
      <c r="Z48" s="200"/>
      <c r="AA48" s="155">
        <v>11892</v>
      </c>
      <c r="AB48" s="198">
        <f t="shared" si="75"/>
        <v>0</v>
      </c>
      <c r="AC48" s="155">
        <v>332703900</v>
      </c>
      <c r="AD48" s="198">
        <f t="shared" si="76"/>
        <v>0</v>
      </c>
      <c r="AE48" s="155">
        <v>102497</v>
      </c>
      <c r="AF48" s="198">
        <f t="shared" si="20"/>
        <v>0</v>
      </c>
      <c r="AG48" s="155">
        <v>3046243</v>
      </c>
      <c r="AH48" s="198">
        <f t="shared" si="21"/>
        <v>0</v>
      </c>
      <c r="AI48" s="155">
        <v>3875430</v>
      </c>
      <c r="AJ48" s="198">
        <f t="shared" si="22"/>
        <v>0</v>
      </c>
      <c r="AK48" s="155">
        <v>16084</v>
      </c>
      <c r="AL48" s="198">
        <f t="shared" si="23"/>
        <v>0</v>
      </c>
      <c r="AM48" s="201">
        <v>10</v>
      </c>
      <c r="AN48" s="192">
        <f t="shared" si="24"/>
        <v>0</v>
      </c>
      <c r="AO48" s="155">
        <v>11421</v>
      </c>
      <c r="AP48" s="198">
        <f t="shared" si="25"/>
        <v>0</v>
      </c>
      <c r="AQ48" s="202"/>
      <c r="AR48" s="20">
        <f t="shared" si="111"/>
        <v>44101</v>
      </c>
      <c r="AS48" s="155">
        <v>7697</v>
      </c>
      <c r="AT48" s="198">
        <f t="shared" si="59"/>
        <v>41</v>
      </c>
      <c r="AU48" s="202"/>
      <c r="AV48" s="155">
        <v>17481905</v>
      </c>
      <c r="AW48" s="198">
        <f t="shared" si="60"/>
        <v>35960</v>
      </c>
      <c r="AX48" s="155">
        <v>390652684</v>
      </c>
      <c r="AY48" s="212">
        <f t="shared" si="61"/>
        <v>30528.82</v>
      </c>
      <c r="AZ48" s="198">
        <f t="shared" si="62"/>
        <v>5431.18</v>
      </c>
      <c r="BA48" s="155">
        <v>6922700</v>
      </c>
      <c r="BB48" s="198">
        <f t="shared" si="30"/>
        <v>4900</v>
      </c>
      <c r="BC48" s="156">
        <v>3734700</v>
      </c>
      <c r="BD48" s="198">
        <f t="shared" si="31"/>
        <v>700</v>
      </c>
      <c r="BE48" s="155">
        <v>41907664</v>
      </c>
      <c r="BF48" s="198">
        <f t="shared" si="32"/>
        <v>4711</v>
      </c>
      <c r="BG48" s="166"/>
      <c r="BH48" s="166"/>
      <c r="BI48" s="205">
        <f t="shared" si="1"/>
        <v>39817536</v>
      </c>
      <c r="BJ48" s="166"/>
      <c r="BK48" s="166"/>
      <c r="BL48" s="171"/>
      <c r="BM48" s="171"/>
      <c r="BN48" s="205">
        <f t="shared" si="2"/>
        <v>4628491</v>
      </c>
      <c r="BO48" s="166"/>
      <c r="BP48" s="166"/>
      <c r="BQ48" s="166"/>
      <c r="BR48" s="205">
        <f t="shared" si="3"/>
        <v>666681</v>
      </c>
      <c r="BS48" s="166"/>
      <c r="BT48" s="166"/>
      <c r="BU48" s="193"/>
      <c r="BV48" s="205">
        <f t="shared" si="4"/>
        <v>261380</v>
      </c>
      <c r="BW48" s="195"/>
      <c r="BX48" s="196"/>
      <c r="BY48" s="193"/>
      <c r="BZ48" s="196"/>
      <c r="CA48" s="193"/>
      <c r="CB48" s="202"/>
      <c r="CC48" s="205">
        <f t="shared" si="108"/>
        <v>6922700</v>
      </c>
      <c r="CD48" s="166"/>
      <c r="CE48" s="166"/>
      <c r="CF48" s="171"/>
      <c r="CG48" s="171"/>
      <c r="CH48" s="171"/>
      <c r="CI48" s="205">
        <f t="shared" si="6"/>
        <v>17481905</v>
      </c>
      <c r="CJ48" s="166"/>
      <c r="CK48" s="166"/>
      <c r="CL48" s="171"/>
      <c r="CN48" s="205">
        <f t="shared" si="7"/>
        <v>7697</v>
      </c>
      <c r="CO48" s="166"/>
      <c r="CP48" s="177"/>
      <c r="CQ48" s="194"/>
      <c r="CR48" s="205">
        <f t="shared" si="109"/>
        <v>3734900</v>
      </c>
      <c r="CS48" s="166"/>
      <c r="CT48" s="166"/>
      <c r="CU48" s="171"/>
      <c r="CW48" s="205">
        <f t="shared" si="9"/>
        <v>41907664</v>
      </c>
      <c r="CX48" s="166"/>
      <c r="CY48" s="166"/>
      <c r="CZ48" s="171"/>
      <c r="DA48" s="166"/>
      <c r="DB48" s="166"/>
      <c r="DC48" s="166"/>
      <c r="DD48" s="166"/>
      <c r="DE48" s="166"/>
      <c r="DF48" s="166"/>
      <c r="DG48" s="166"/>
      <c r="DH48" s="166"/>
      <c r="DI48" s="166"/>
      <c r="DJ48" s="166"/>
    </row>
    <row r="49" spans="2:115" x14ac:dyDescent="0.25">
      <c r="B49" s="20">
        <v>44109</v>
      </c>
      <c r="C49" s="305">
        <v>39899002</v>
      </c>
      <c r="D49" s="306"/>
      <c r="E49" s="198">
        <f t="shared" si="104"/>
        <v>814660</v>
      </c>
      <c r="F49" s="305">
        <v>4634550</v>
      </c>
      <c r="G49" s="306"/>
      <c r="H49" s="198">
        <f t="shared" si="105"/>
        <v>60590</v>
      </c>
      <c r="I49" s="305">
        <v>16602</v>
      </c>
      <c r="J49" s="306"/>
      <c r="K49" s="198">
        <f t="shared" si="42"/>
        <v>170</v>
      </c>
      <c r="L49" s="305">
        <v>290425</v>
      </c>
      <c r="M49" s="306"/>
      <c r="N49" s="198">
        <f t="shared" si="13"/>
        <v>583000</v>
      </c>
      <c r="O49" s="305">
        <v>3215</v>
      </c>
      <c r="P49" s="306"/>
      <c r="Q49" s="198">
        <f t="shared" si="86"/>
        <v>21500</v>
      </c>
      <c r="R49" s="199"/>
      <c r="S49" s="305">
        <v>668449</v>
      </c>
      <c r="T49" s="306"/>
      <c r="U49" s="198">
        <f t="shared" si="87"/>
        <v>176800</v>
      </c>
      <c r="V49" s="305">
        <v>267580</v>
      </c>
      <c r="W49" s="306"/>
      <c r="X49" s="198">
        <f t="shared" si="106"/>
        <v>620000</v>
      </c>
      <c r="Y49" s="213">
        <f t="shared" si="107"/>
        <v>796800</v>
      </c>
      <c r="Z49" s="200"/>
      <c r="AA49" s="155">
        <v>12097</v>
      </c>
      <c r="AB49" s="198">
        <f t="shared" si="75"/>
        <v>2050000</v>
      </c>
      <c r="AC49" s="155">
        <v>337707600</v>
      </c>
      <c r="AD49" s="198">
        <f t="shared" si="76"/>
        <v>500370</v>
      </c>
      <c r="AE49" s="155">
        <v>102521</v>
      </c>
      <c r="AF49" s="198">
        <f t="shared" si="20"/>
        <v>240</v>
      </c>
      <c r="AG49" s="155">
        <v>3054440</v>
      </c>
      <c r="AH49" s="198">
        <f t="shared" si="21"/>
        <v>81970</v>
      </c>
      <c r="AI49" s="155">
        <v>3880423</v>
      </c>
      <c r="AJ49" s="198">
        <f t="shared" si="22"/>
        <v>4993</v>
      </c>
      <c r="AK49" s="155">
        <v>16168</v>
      </c>
      <c r="AL49" s="198">
        <f t="shared" si="23"/>
        <v>84000</v>
      </c>
      <c r="AM49" s="201">
        <v>10</v>
      </c>
      <c r="AN49" s="192">
        <f t="shared" si="24"/>
        <v>0</v>
      </c>
      <c r="AO49" s="155">
        <v>11460</v>
      </c>
      <c r="AP49" s="198">
        <f t="shared" si="25"/>
        <v>3900</v>
      </c>
      <c r="AQ49" s="202"/>
      <c r="AR49" s="20">
        <v>44105</v>
      </c>
      <c r="AS49" s="155">
        <v>7697</v>
      </c>
      <c r="AT49" s="198">
        <f t="shared" si="59"/>
        <v>0</v>
      </c>
      <c r="AU49" s="202"/>
      <c r="AV49" s="155">
        <v>17508301</v>
      </c>
      <c r="AW49" s="198">
        <f t="shared" si="60"/>
        <v>26396</v>
      </c>
      <c r="AX49" s="155">
        <v>392964251</v>
      </c>
      <c r="AY49" s="212">
        <f t="shared" si="61"/>
        <v>23115.67</v>
      </c>
      <c r="AZ49" s="198">
        <f t="shared" si="62"/>
        <v>3280.3300000000017</v>
      </c>
      <c r="BA49" s="155">
        <v>6923100</v>
      </c>
      <c r="BB49" s="198">
        <f t="shared" si="30"/>
        <v>400</v>
      </c>
      <c r="BC49" s="156">
        <v>3734900</v>
      </c>
      <c r="BD49" s="198">
        <f t="shared" si="31"/>
        <v>200</v>
      </c>
      <c r="BE49" s="155">
        <v>41911420</v>
      </c>
      <c r="BF49" s="198">
        <f t="shared" si="32"/>
        <v>3756</v>
      </c>
      <c r="BG49" s="166"/>
      <c r="BH49" s="166"/>
      <c r="BI49" s="205">
        <f t="shared" si="1"/>
        <v>39899002</v>
      </c>
      <c r="BJ49" s="166"/>
      <c r="BK49" s="166"/>
      <c r="BL49" s="171"/>
      <c r="BM49" s="171"/>
      <c r="BN49" s="205">
        <f t="shared" si="2"/>
        <v>4634550</v>
      </c>
      <c r="BO49" s="166"/>
      <c r="BP49" s="166"/>
      <c r="BQ49" s="166"/>
      <c r="BR49" s="205">
        <f t="shared" si="3"/>
        <v>668449</v>
      </c>
      <c r="BS49" s="166"/>
      <c r="BT49" s="166"/>
      <c r="BU49" s="193"/>
      <c r="BV49" s="205">
        <f t="shared" si="4"/>
        <v>267580</v>
      </c>
      <c r="BW49" s="195"/>
      <c r="BX49" s="196"/>
      <c r="BY49" s="193"/>
      <c r="BZ49" s="196"/>
      <c r="CA49" s="193"/>
      <c r="CB49" s="202"/>
      <c r="CC49" s="205">
        <f t="shared" si="108"/>
        <v>6923100</v>
      </c>
      <c r="CD49" s="166"/>
      <c r="CE49" s="166"/>
      <c r="CF49" s="171"/>
      <c r="CG49" s="171"/>
      <c r="CH49" s="171"/>
      <c r="CI49" s="205">
        <f t="shared" si="6"/>
        <v>17508301</v>
      </c>
      <c r="CJ49" s="166"/>
      <c r="CK49" s="166"/>
      <c r="CL49" s="171"/>
      <c r="CN49" s="205">
        <f t="shared" si="7"/>
        <v>7697</v>
      </c>
      <c r="CO49" s="166"/>
      <c r="CP49" s="177"/>
      <c r="CQ49" s="194"/>
      <c r="CR49" s="205">
        <f t="shared" si="109"/>
        <v>3735600</v>
      </c>
      <c r="CS49" s="166"/>
      <c r="CT49" s="166"/>
      <c r="CU49" s="171"/>
      <c r="CW49" s="205">
        <f t="shared" si="9"/>
        <v>41911420</v>
      </c>
      <c r="CX49" s="166"/>
      <c r="CY49" s="166"/>
      <c r="CZ49" s="171"/>
      <c r="DA49" s="166"/>
      <c r="DB49" s="166"/>
      <c r="DC49" s="166"/>
      <c r="DD49" s="166"/>
      <c r="DE49" s="166"/>
      <c r="DF49" s="166"/>
      <c r="DG49" s="166"/>
      <c r="DH49" s="166"/>
      <c r="DI49" s="166"/>
      <c r="DJ49" s="166"/>
      <c r="DK49" s="166"/>
    </row>
    <row r="50" spans="2:115" x14ac:dyDescent="0.25">
      <c r="B50" s="20">
        <f>B49+7</f>
        <v>44116</v>
      </c>
      <c r="C50" s="305">
        <v>39997340</v>
      </c>
      <c r="D50" s="306"/>
      <c r="E50" s="198">
        <f t="shared" si="104"/>
        <v>983380</v>
      </c>
      <c r="F50" s="305">
        <v>4644090</v>
      </c>
      <c r="G50" s="306"/>
      <c r="H50" s="198">
        <f t="shared" si="105"/>
        <v>95400</v>
      </c>
      <c r="I50" s="305">
        <v>16618</v>
      </c>
      <c r="J50" s="306"/>
      <c r="K50" s="198">
        <f t="shared" si="42"/>
        <v>160</v>
      </c>
      <c r="L50" s="305">
        <v>291097</v>
      </c>
      <c r="M50" s="306"/>
      <c r="N50" s="198">
        <f t="shared" si="13"/>
        <v>672000</v>
      </c>
      <c r="O50" s="305">
        <v>3434</v>
      </c>
      <c r="P50" s="306"/>
      <c r="Q50" s="198">
        <f t="shared" si="86"/>
        <v>21900</v>
      </c>
      <c r="R50" s="199"/>
      <c r="S50" s="305">
        <v>670230</v>
      </c>
      <c r="T50" s="306"/>
      <c r="U50" s="198">
        <f t="shared" si="87"/>
        <v>178100</v>
      </c>
      <c r="V50" s="305">
        <v>269900</v>
      </c>
      <c r="W50" s="306"/>
      <c r="X50" s="198">
        <f t="shared" si="106"/>
        <v>232000</v>
      </c>
      <c r="Y50" s="213">
        <f t="shared" si="107"/>
        <v>410100</v>
      </c>
      <c r="Z50" s="200"/>
      <c r="AA50" s="155">
        <v>12347</v>
      </c>
      <c r="AB50" s="198">
        <f t="shared" si="75"/>
        <v>2500000</v>
      </c>
      <c r="AC50" s="155">
        <v>341350500</v>
      </c>
      <c r="AD50" s="198">
        <f t="shared" si="76"/>
        <v>364290</v>
      </c>
      <c r="AE50" s="155">
        <v>102544</v>
      </c>
      <c r="AF50" s="198">
        <f t="shared" si="20"/>
        <v>230</v>
      </c>
      <c r="AG50" s="155">
        <v>3064160</v>
      </c>
      <c r="AH50" s="198">
        <f t="shared" si="21"/>
        <v>97200</v>
      </c>
      <c r="AI50" s="155">
        <v>3888323</v>
      </c>
      <c r="AJ50" s="198">
        <f t="shared" si="22"/>
        <v>7900</v>
      </c>
      <c r="AK50" s="155">
        <v>16317</v>
      </c>
      <c r="AL50" s="198">
        <f t="shared" si="23"/>
        <v>149000</v>
      </c>
      <c r="AM50" s="201">
        <v>10</v>
      </c>
      <c r="AN50" s="192">
        <f t="shared" si="24"/>
        <v>0</v>
      </c>
      <c r="AO50" s="155">
        <v>11493</v>
      </c>
      <c r="AP50" s="198">
        <f t="shared" si="25"/>
        <v>3300</v>
      </c>
      <c r="AQ50" s="202"/>
      <c r="AR50" s="20">
        <v>44109</v>
      </c>
      <c r="AS50" s="155">
        <v>7810</v>
      </c>
      <c r="AT50" s="198">
        <f t="shared" si="59"/>
        <v>113</v>
      </c>
      <c r="AU50" s="202"/>
      <c r="AV50" s="155">
        <v>17558839</v>
      </c>
      <c r="AW50" s="198">
        <f t="shared" si="60"/>
        <v>50538</v>
      </c>
      <c r="AX50" s="155">
        <v>397162551</v>
      </c>
      <c r="AY50" s="212">
        <f t="shared" si="61"/>
        <v>41983</v>
      </c>
      <c r="AZ50" s="198">
        <f t="shared" si="62"/>
        <v>8555</v>
      </c>
      <c r="BA50" s="155">
        <v>6927200</v>
      </c>
      <c r="BB50" s="198">
        <f t="shared" si="30"/>
        <v>4100</v>
      </c>
      <c r="BC50" s="156">
        <v>3735600</v>
      </c>
      <c r="BD50" s="198">
        <f t="shared" si="31"/>
        <v>700</v>
      </c>
      <c r="BE50" s="155">
        <v>41919688</v>
      </c>
      <c r="BF50" s="198">
        <f t="shared" si="32"/>
        <v>8268</v>
      </c>
      <c r="BG50" s="166"/>
      <c r="BH50" s="166"/>
      <c r="BI50" s="205">
        <f t="shared" si="1"/>
        <v>39997340</v>
      </c>
      <c r="BJ50" s="166"/>
      <c r="BK50" s="166"/>
      <c r="BL50" s="171"/>
      <c r="BM50" s="171"/>
      <c r="BN50" s="205">
        <f t="shared" si="2"/>
        <v>4644090</v>
      </c>
      <c r="BO50" s="166"/>
      <c r="BP50" s="166"/>
      <c r="BQ50" s="166"/>
      <c r="BR50" s="205">
        <f t="shared" si="3"/>
        <v>670230</v>
      </c>
      <c r="BS50" s="166"/>
      <c r="BT50" s="166"/>
      <c r="BU50" s="193"/>
      <c r="BV50" s="205">
        <f t="shared" si="4"/>
        <v>269900</v>
      </c>
      <c r="BW50" s="195"/>
      <c r="BX50" s="196"/>
      <c r="BY50" s="193"/>
      <c r="BZ50" s="196"/>
      <c r="CA50" s="193"/>
      <c r="CB50" s="202"/>
      <c r="CC50" s="205">
        <f t="shared" si="108"/>
        <v>6927200</v>
      </c>
      <c r="CD50" s="166"/>
      <c r="CE50" s="166"/>
      <c r="CF50" s="171"/>
      <c r="CG50" s="171"/>
      <c r="CH50" s="171"/>
      <c r="CI50" s="205">
        <f t="shared" si="6"/>
        <v>17558839</v>
      </c>
      <c r="CJ50" s="166"/>
      <c r="CK50" s="166"/>
      <c r="CL50" s="171"/>
      <c r="CN50" s="205">
        <f t="shared" si="7"/>
        <v>7810</v>
      </c>
      <c r="CO50" s="166"/>
      <c r="CP50" s="177"/>
      <c r="CQ50" s="194"/>
      <c r="CR50" s="205">
        <f t="shared" si="109"/>
        <v>3736300</v>
      </c>
      <c r="CS50" s="166"/>
      <c r="CT50" s="166"/>
      <c r="CU50" s="171"/>
      <c r="CW50" s="205">
        <f t="shared" si="9"/>
        <v>41919688</v>
      </c>
      <c r="CX50" s="166"/>
      <c r="CY50" s="166"/>
      <c r="CZ50" s="171"/>
      <c r="DA50" s="166"/>
      <c r="DB50" s="166"/>
      <c r="DC50" s="166"/>
      <c r="DD50" s="166"/>
      <c r="DE50" s="166"/>
      <c r="DF50" s="166"/>
      <c r="DG50" s="166"/>
      <c r="DH50" s="166"/>
      <c r="DI50" s="166"/>
      <c r="DJ50" s="166"/>
      <c r="DK50" s="166"/>
    </row>
    <row r="51" spans="2:115" x14ac:dyDescent="0.25">
      <c r="B51" s="20">
        <f t="shared" ref="B51:B52" si="112">B50+7</f>
        <v>44123</v>
      </c>
      <c r="C51" s="305">
        <v>40103851</v>
      </c>
      <c r="D51" s="306"/>
      <c r="E51" s="198">
        <f t="shared" si="104"/>
        <v>1065110</v>
      </c>
      <c r="F51" s="305">
        <v>4656089</v>
      </c>
      <c r="G51" s="306"/>
      <c r="H51" s="198">
        <f t="shared" si="105"/>
        <v>119990</v>
      </c>
      <c r="I51" s="305">
        <v>16634</v>
      </c>
      <c r="J51" s="306"/>
      <c r="K51" s="198">
        <f t="shared" si="42"/>
        <v>160</v>
      </c>
      <c r="L51" s="305">
        <v>291825</v>
      </c>
      <c r="M51" s="306"/>
      <c r="N51" s="198">
        <f t="shared" si="13"/>
        <v>728000</v>
      </c>
      <c r="O51" s="305">
        <v>3656</v>
      </c>
      <c r="P51" s="306"/>
      <c r="Q51" s="198">
        <f t="shared" si="86"/>
        <v>22200</v>
      </c>
      <c r="R51" s="199"/>
      <c r="S51" s="305">
        <v>672042</v>
      </c>
      <c r="T51" s="306"/>
      <c r="U51" s="198">
        <f t="shared" si="87"/>
        <v>181200</v>
      </c>
      <c r="V51" s="305">
        <v>273150</v>
      </c>
      <c r="W51" s="306"/>
      <c r="X51" s="198">
        <f t="shared" si="106"/>
        <v>325000</v>
      </c>
      <c r="Y51" s="213">
        <f t="shared" si="107"/>
        <v>506200</v>
      </c>
      <c r="Z51" s="200"/>
      <c r="AA51" s="155">
        <v>12622</v>
      </c>
      <c r="AB51" s="198">
        <f t="shared" si="75"/>
        <v>2750000</v>
      </c>
      <c r="AC51" s="155">
        <v>350262984</v>
      </c>
      <c r="AD51" s="198">
        <f t="shared" si="76"/>
        <v>891248.4</v>
      </c>
      <c r="AE51" s="155">
        <v>102691</v>
      </c>
      <c r="AF51" s="198">
        <f t="shared" si="20"/>
        <v>1470</v>
      </c>
      <c r="AG51" s="155">
        <v>3074881</v>
      </c>
      <c r="AH51" s="198">
        <f t="shared" si="21"/>
        <v>107210</v>
      </c>
      <c r="AI51" s="155">
        <v>3896700</v>
      </c>
      <c r="AJ51" s="198">
        <f t="shared" si="22"/>
        <v>8377</v>
      </c>
      <c r="AK51" s="155">
        <v>16486</v>
      </c>
      <c r="AL51" s="198">
        <f t="shared" si="23"/>
        <v>169000</v>
      </c>
      <c r="AM51" s="201">
        <v>10</v>
      </c>
      <c r="AN51" s="192">
        <f t="shared" si="24"/>
        <v>0</v>
      </c>
      <c r="AO51" s="155">
        <v>11553</v>
      </c>
      <c r="AP51" s="198">
        <f t="shared" si="25"/>
        <v>6000</v>
      </c>
      <c r="AQ51" s="202"/>
      <c r="AR51" s="20">
        <f>AR50+7</f>
        <v>44116</v>
      </c>
      <c r="AS51" s="155">
        <v>7894</v>
      </c>
      <c r="AT51" s="198">
        <f t="shared" si="59"/>
        <v>84</v>
      </c>
      <c r="AU51" s="202"/>
      <c r="AV51" s="155">
        <v>17611208</v>
      </c>
      <c r="AW51" s="198">
        <f t="shared" si="60"/>
        <v>52369</v>
      </c>
      <c r="AX51" s="155">
        <v>401157751</v>
      </c>
      <c r="AY51" s="212">
        <f t="shared" si="61"/>
        <v>39952</v>
      </c>
      <c r="AZ51" s="198">
        <f t="shared" si="62"/>
        <v>12417</v>
      </c>
      <c r="BA51" s="155">
        <v>6929500</v>
      </c>
      <c r="BB51" s="198">
        <f t="shared" si="30"/>
        <v>2300</v>
      </c>
      <c r="BC51" s="156">
        <v>3736300</v>
      </c>
      <c r="BD51" s="198">
        <f t="shared" si="31"/>
        <v>700</v>
      </c>
      <c r="BE51" s="155">
        <v>42081242</v>
      </c>
      <c r="BF51" s="198">
        <f t="shared" si="32"/>
        <v>161554</v>
      </c>
      <c r="BG51" s="166"/>
      <c r="BH51" s="166"/>
      <c r="BI51" s="205">
        <f t="shared" si="1"/>
        <v>40103851</v>
      </c>
      <c r="BJ51" s="166"/>
      <c r="BK51" s="166"/>
      <c r="BL51" s="171"/>
      <c r="BM51" s="171"/>
      <c r="BN51" s="205">
        <f t="shared" si="2"/>
        <v>4656089</v>
      </c>
      <c r="BO51" s="166"/>
      <c r="BP51" s="166"/>
      <c r="BQ51" s="166"/>
      <c r="BR51" s="205">
        <f t="shared" si="3"/>
        <v>672042</v>
      </c>
      <c r="BS51" s="166"/>
      <c r="BT51" s="166"/>
      <c r="BU51" s="193"/>
      <c r="BV51" s="205">
        <f t="shared" si="4"/>
        <v>273150</v>
      </c>
      <c r="BW51" s="195"/>
      <c r="BX51" s="196"/>
      <c r="BY51" s="193"/>
      <c r="BZ51" s="196"/>
      <c r="CA51" s="193"/>
      <c r="CB51" s="202"/>
      <c r="CC51" s="205">
        <f t="shared" si="108"/>
        <v>6929500</v>
      </c>
      <c r="CD51" s="166"/>
      <c r="CE51" s="166"/>
      <c r="CF51" s="171"/>
      <c r="CG51" s="171"/>
      <c r="CH51" s="171"/>
      <c r="CI51" s="205">
        <f t="shared" si="6"/>
        <v>17611208</v>
      </c>
      <c r="CJ51" s="166"/>
      <c r="CK51" s="166"/>
      <c r="CL51" s="171"/>
      <c r="CN51" s="205">
        <f t="shared" si="7"/>
        <v>7894</v>
      </c>
      <c r="CO51" s="166"/>
      <c r="CP51" s="177"/>
      <c r="CQ51" s="194"/>
      <c r="CR51" s="205">
        <f t="shared" si="109"/>
        <v>3736300</v>
      </c>
      <c r="CS51" s="166"/>
      <c r="CT51" s="166"/>
      <c r="CU51" s="171"/>
      <c r="CW51" s="205">
        <f t="shared" si="9"/>
        <v>42081242</v>
      </c>
      <c r="CX51" s="166"/>
      <c r="CY51" s="166"/>
      <c r="CZ51" s="171"/>
      <c r="DA51" s="166"/>
      <c r="DB51" s="166"/>
      <c r="DC51" s="166"/>
      <c r="DD51" s="166"/>
      <c r="DE51" s="166"/>
      <c r="DF51" s="166"/>
      <c r="DG51" s="166"/>
      <c r="DH51" s="166"/>
      <c r="DI51" s="166"/>
      <c r="DJ51" s="166"/>
      <c r="DK51" s="166"/>
    </row>
    <row r="52" spans="2:115" x14ac:dyDescent="0.25">
      <c r="B52" s="20">
        <f t="shared" si="112"/>
        <v>44130</v>
      </c>
      <c r="C52" s="307">
        <v>40103851</v>
      </c>
      <c r="D52" s="307"/>
      <c r="E52" s="198">
        <v>1065110</v>
      </c>
      <c r="F52" s="307">
        <v>4656089</v>
      </c>
      <c r="G52" s="307"/>
      <c r="H52" s="198">
        <v>119990</v>
      </c>
      <c r="I52" s="307">
        <v>16634</v>
      </c>
      <c r="J52" s="307"/>
      <c r="K52" s="198">
        <v>160</v>
      </c>
      <c r="L52" s="307">
        <v>291825</v>
      </c>
      <c r="M52" s="307"/>
      <c r="N52" s="198">
        <v>728000</v>
      </c>
      <c r="O52" s="307">
        <v>3656</v>
      </c>
      <c r="P52" s="307"/>
      <c r="Q52" s="198">
        <v>22200</v>
      </c>
      <c r="R52" s="199"/>
      <c r="S52" s="307">
        <v>672042</v>
      </c>
      <c r="T52" s="307"/>
      <c r="U52" s="198">
        <v>181200</v>
      </c>
      <c r="V52" s="308">
        <v>273150</v>
      </c>
      <c r="W52" s="308"/>
      <c r="X52" s="198">
        <v>325000</v>
      </c>
      <c r="Y52" s="213">
        <v>506200</v>
      </c>
      <c r="Z52" s="200"/>
      <c r="AA52" s="201">
        <v>12622</v>
      </c>
      <c r="AB52" s="198">
        <v>2750000</v>
      </c>
      <c r="AC52" s="201">
        <v>350262984</v>
      </c>
      <c r="AD52" s="198">
        <v>891248.4</v>
      </c>
      <c r="AE52" s="201">
        <v>102691</v>
      </c>
      <c r="AF52" s="198">
        <v>1470</v>
      </c>
      <c r="AG52" s="201">
        <v>3074881</v>
      </c>
      <c r="AH52" s="198">
        <v>107210</v>
      </c>
      <c r="AI52" s="201">
        <v>3896700</v>
      </c>
      <c r="AJ52" s="198">
        <v>8377</v>
      </c>
      <c r="AK52" s="201">
        <v>16486</v>
      </c>
      <c r="AL52" s="198">
        <v>169000</v>
      </c>
      <c r="AM52" s="201">
        <v>10</v>
      </c>
      <c r="AN52" s="192">
        <v>0</v>
      </c>
      <c r="AO52" s="201">
        <v>11553</v>
      </c>
      <c r="AP52" s="198">
        <v>6000</v>
      </c>
      <c r="AQ52" s="202"/>
      <c r="AR52" s="197">
        <v>44123</v>
      </c>
      <c r="AS52" s="203">
        <v>7894</v>
      </c>
      <c r="AT52" s="198">
        <v>84</v>
      </c>
      <c r="AU52" s="202"/>
      <c r="AV52" s="203">
        <v>17611208</v>
      </c>
      <c r="AW52" s="198">
        <v>52369</v>
      </c>
      <c r="AX52" s="201">
        <v>401157751</v>
      </c>
      <c r="AY52" s="212">
        <v>39952</v>
      </c>
      <c r="AZ52" s="198">
        <v>12417</v>
      </c>
      <c r="BA52" s="203">
        <v>6929500</v>
      </c>
      <c r="BB52" s="215">
        <v>2300</v>
      </c>
      <c r="BC52" s="214">
        <v>3736300</v>
      </c>
      <c r="BD52" s="216">
        <v>700</v>
      </c>
      <c r="BE52" s="203">
        <v>42081242</v>
      </c>
      <c r="BF52" s="198">
        <v>161554</v>
      </c>
      <c r="BG52" s="204"/>
      <c r="BH52" s="204"/>
      <c r="BI52" s="205">
        <v>40103851</v>
      </c>
      <c r="BJ52" s="204"/>
      <c r="BK52" s="204"/>
      <c r="BL52" s="206"/>
      <c r="BM52" s="206"/>
      <c r="BN52" s="205">
        <v>4656089</v>
      </c>
      <c r="BO52" s="204"/>
      <c r="BP52" s="204"/>
      <c r="BQ52" s="204"/>
      <c r="BR52" s="205">
        <v>672042</v>
      </c>
      <c r="BS52" s="204"/>
      <c r="BT52" s="204"/>
      <c r="BU52" s="193"/>
      <c r="BV52" s="205">
        <v>273150</v>
      </c>
      <c r="BW52" s="195"/>
      <c r="BX52" s="196"/>
      <c r="BY52" s="193"/>
      <c r="BZ52" s="196"/>
      <c r="CA52" s="193"/>
      <c r="CB52" s="202"/>
      <c r="CC52" s="205">
        <v>6929500</v>
      </c>
      <c r="CD52" s="204"/>
      <c r="CE52" s="204"/>
      <c r="CF52" s="206"/>
      <c r="CG52" s="206"/>
      <c r="CH52" s="206"/>
      <c r="CI52" s="205">
        <v>17611208</v>
      </c>
      <c r="CJ52" s="204"/>
      <c r="CK52" s="204"/>
      <c r="CL52" s="206"/>
      <c r="CM52" s="207"/>
      <c r="CN52" s="205">
        <v>7894</v>
      </c>
      <c r="CO52" s="204"/>
      <c r="CP52" s="208"/>
      <c r="CQ52" s="194"/>
      <c r="CR52" s="205">
        <f t="shared" si="109"/>
        <v>3737000</v>
      </c>
      <c r="CS52" s="204"/>
      <c r="CT52" s="204"/>
      <c r="CU52" s="206"/>
      <c r="CV52" s="207"/>
      <c r="CW52" s="205">
        <v>42081242</v>
      </c>
      <c r="CX52" s="204"/>
      <c r="CY52" s="204"/>
      <c r="CZ52" s="206"/>
      <c r="DA52" s="204"/>
      <c r="DB52" s="204"/>
      <c r="DC52" s="204"/>
      <c r="DD52" s="209"/>
      <c r="DE52" s="209"/>
      <c r="DF52" s="209"/>
      <c r="DG52" s="209"/>
      <c r="DH52" s="210"/>
      <c r="DI52" s="210"/>
      <c r="DJ52" s="211"/>
      <c r="DK52" s="211"/>
    </row>
    <row r="53" spans="2:115" x14ac:dyDescent="0.25">
      <c r="B53" s="20">
        <v>44136</v>
      </c>
      <c r="C53" s="307">
        <v>40210862</v>
      </c>
      <c r="D53" s="307"/>
      <c r="E53" s="198">
        <v>1070110</v>
      </c>
      <c r="F53" s="307">
        <v>4663590</v>
      </c>
      <c r="G53" s="307"/>
      <c r="H53" s="198">
        <v>75010</v>
      </c>
      <c r="I53" s="307">
        <v>16650</v>
      </c>
      <c r="J53" s="307"/>
      <c r="K53" s="198">
        <v>160</v>
      </c>
      <c r="L53" s="307">
        <v>292503</v>
      </c>
      <c r="M53" s="307"/>
      <c r="N53" s="198">
        <v>678000</v>
      </c>
      <c r="O53" s="307">
        <v>3876</v>
      </c>
      <c r="P53" s="307"/>
      <c r="Q53" s="198">
        <v>22000</v>
      </c>
      <c r="R53" s="199"/>
      <c r="S53" s="307">
        <v>673739</v>
      </c>
      <c r="T53" s="307"/>
      <c r="U53" s="198">
        <v>169700</v>
      </c>
      <c r="V53" s="308">
        <v>278480</v>
      </c>
      <c r="W53" s="308"/>
      <c r="X53" s="198">
        <v>533000</v>
      </c>
      <c r="Y53" s="213">
        <v>702700</v>
      </c>
      <c r="Z53" s="200"/>
      <c r="AA53" s="201">
        <v>12879</v>
      </c>
      <c r="AB53" s="198">
        <v>2570000</v>
      </c>
      <c r="AC53" s="201">
        <v>358393960</v>
      </c>
      <c r="AD53" s="198">
        <v>813097.60000000009</v>
      </c>
      <c r="AE53" s="201">
        <v>102797</v>
      </c>
      <c r="AF53" s="198">
        <v>1060</v>
      </c>
      <c r="AG53" s="201">
        <v>3093480</v>
      </c>
      <c r="AH53" s="198">
        <v>185990</v>
      </c>
      <c r="AI53" s="201">
        <v>3907144</v>
      </c>
      <c r="AJ53" s="198">
        <v>10444</v>
      </c>
      <c r="AK53" s="201">
        <v>16626</v>
      </c>
      <c r="AL53" s="198">
        <v>140000</v>
      </c>
      <c r="AM53" s="201">
        <v>11</v>
      </c>
      <c r="AN53" s="192">
        <v>1000</v>
      </c>
      <c r="AO53" s="201">
        <v>11589</v>
      </c>
      <c r="AP53" s="198">
        <v>3600</v>
      </c>
      <c r="AQ53" s="202"/>
      <c r="AR53" s="197">
        <v>44130</v>
      </c>
      <c r="AS53" s="203">
        <v>8009</v>
      </c>
      <c r="AT53" s="198">
        <v>115</v>
      </c>
      <c r="AU53" s="202"/>
      <c r="AV53" s="203">
        <v>17661851</v>
      </c>
      <c r="AW53" s="198">
        <v>50643</v>
      </c>
      <c r="AX53" s="201">
        <v>405188214</v>
      </c>
      <c r="AY53" s="212">
        <v>40304.629999999997</v>
      </c>
      <c r="AZ53" s="198">
        <v>10338.370000000003</v>
      </c>
      <c r="BA53" s="203">
        <v>6935000</v>
      </c>
      <c r="BB53" s="215">
        <v>5500</v>
      </c>
      <c r="BC53" s="214">
        <v>3737000</v>
      </c>
      <c r="BD53" s="216">
        <v>700</v>
      </c>
      <c r="BE53" s="203">
        <v>42090303</v>
      </c>
      <c r="BF53" s="198">
        <v>9061</v>
      </c>
      <c r="BG53" s="204"/>
      <c r="BH53" s="204"/>
      <c r="BI53" s="205">
        <v>40210862</v>
      </c>
      <c r="BJ53" s="204"/>
      <c r="BK53" s="204"/>
      <c r="BL53" s="206"/>
      <c r="BM53" s="206"/>
      <c r="BN53" s="205">
        <v>4663590</v>
      </c>
      <c r="BO53" s="204"/>
      <c r="BP53" s="204"/>
      <c r="BQ53" s="204"/>
      <c r="BR53" s="205">
        <v>673739</v>
      </c>
      <c r="BS53" s="204"/>
      <c r="BT53" s="204"/>
      <c r="BU53" s="193"/>
      <c r="BV53" s="205">
        <v>278480</v>
      </c>
      <c r="BW53" s="195"/>
      <c r="BX53" s="196"/>
      <c r="BY53" s="193"/>
      <c r="BZ53" s="196"/>
      <c r="CA53" s="193"/>
      <c r="CB53" s="202"/>
      <c r="CC53" s="205">
        <v>6935000</v>
      </c>
      <c r="CD53" s="204"/>
      <c r="CE53" s="204"/>
      <c r="CF53" s="206"/>
      <c r="CG53" s="206"/>
      <c r="CH53" s="206"/>
      <c r="CI53" s="205">
        <v>17661851</v>
      </c>
      <c r="CJ53" s="204"/>
      <c r="CK53" s="204"/>
      <c r="CL53" s="206"/>
      <c r="CM53" s="207"/>
      <c r="CN53" s="205">
        <v>8009</v>
      </c>
      <c r="CO53" s="204"/>
      <c r="CP53" s="208"/>
      <c r="CQ53" s="194"/>
      <c r="CR53" s="205">
        <f t="shared" si="109"/>
        <v>3737700</v>
      </c>
      <c r="CS53" s="204"/>
      <c r="CT53" s="204"/>
      <c r="CU53" s="206"/>
      <c r="CV53" s="207"/>
      <c r="CW53" s="205">
        <v>42090303</v>
      </c>
      <c r="CX53" s="204"/>
      <c r="CY53" s="204"/>
      <c r="CZ53" s="206"/>
      <c r="DA53" s="204"/>
      <c r="DB53" s="204"/>
      <c r="DC53" s="204"/>
      <c r="DD53" s="209"/>
      <c r="DE53" s="209"/>
      <c r="DF53" s="209"/>
      <c r="DG53" s="209"/>
      <c r="DH53" s="210"/>
      <c r="DI53" s="210"/>
      <c r="DJ53" s="211"/>
      <c r="DK53" s="211"/>
    </row>
    <row r="54" spans="2:115" x14ac:dyDescent="0.25">
      <c r="B54" s="20">
        <v>44137</v>
      </c>
      <c r="C54" s="307">
        <v>40304105</v>
      </c>
      <c r="D54" s="307"/>
      <c r="E54" s="198">
        <v>932430</v>
      </c>
      <c r="F54" s="307">
        <v>4673077</v>
      </c>
      <c r="G54" s="307"/>
      <c r="H54" s="198">
        <v>94870</v>
      </c>
      <c r="I54" s="307">
        <v>16667</v>
      </c>
      <c r="J54" s="307"/>
      <c r="K54" s="198">
        <v>170</v>
      </c>
      <c r="L54" s="307">
        <v>293109</v>
      </c>
      <c r="M54" s="307"/>
      <c r="N54" s="198">
        <v>606000</v>
      </c>
      <c r="O54" s="307">
        <v>4055</v>
      </c>
      <c r="P54" s="307"/>
      <c r="Q54" s="198">
        <v>17900</v>
      </c>
      <c r="R54" s="199"/>
      <c r="S54" s="307">
        <v>675292</v>
      </c>
      <c r="T54" s="307"/>
      <c r="U54" s="198">
        <v>155300</v>
      </c>
      <c r="V54" s="308">
        <v>283820</v>
      </c>
      <c r="W54" s="308"/>
      <c r="X54" s="198">
        <v>534000</v>
      </c>
      <c r="Y54" s="213">
        <v>689300</v>
      </c>
      <c r="Z54" s="200"/>
      <c r="AA54" s="201">
        <v>13107</v>
      </c>
      <c r="AB54" s="198">
        <v>2280000</v>
      </c>
      <c r="AC54" s="201">
        <v>364049451</v>
      </c>
      <c r="AD54" s="198">
        <v>565549.1</v>
      </c>
      <c r="AE54" s="201">
        <v>103121</v>
      </c>
      <c r="AF54" s="198">
        <v>3240</v>
      </c>
      <c r="AG54" s="201">
        <v>3103793</v>
      </c>
      <c r="AH54" s="198">
        <v>103130</v>
      </c>
      <c r="AI54" s="201">
        <v>3918348</v>
      </c>
      <c r="AJ54" s="198">
        <v>11204</v>
      </c>
      <c r="AK54" s="201">
        <v>16790</v>
      </c>
      <c r="AL54" s="198">
        <v>164000</v>
      </c>
      <c r="AM54" s="201">
        <v>11</v>
      </c>
      <c r="AN54" s="192">
        <v>0</v>
      </c>
      <c r="AO54" s="201">
        <v>11621</v>
      </c>
      <c r="AP54" s="198">
        <v>3200</v>
      </c>
      <c r="AQ54" s="202"/>
      <c r="AR54" s="197">
        <v>44136</v>
      </c>
      <c r="AS54" s="203">
        <v>8068</v>
      </c>
      <c r="AT54" s="198">
        <v>59</v>
      </c>
      <c r="AU54" s="202"/>
      <c r="AV54" s="203">
        <v>17705220</v>
      </c>
      <c r="AW54" s="198">
        <v>43369</v>
      </c>
      <c r="AX54" s="201">
        <v>408811725</v>
      </c>
      <c r="AY54" s="212">
        <v>36235.11</v>
      </c>
      <c r="AZ54" s="198">
        <v>7133.8899999999994</v>
      </c>
      <c r="BA54" s="203">
        <v>6937300</v>
      </c>
      <c r="BB54" s="215">
        <v>2300</v>
      </c>
      <c r="BC54" s="214">
        <v>3737700</v>
      </c>
      <c r="BD54" s="216">
        <v>700</v>
      </c>
      <c r="BE54" s="203">
        <v>42187706</v>
      </c>
      <c r="BF54" s="198">
        <v>97403</v>
      </c>
      <c r="BG54" s="204"/>
      <c r="BH54" s="204"/>
      <c r="BI54" s="205">
        <v>40304105</v>
      </c>
      <c r="BJ54" s="204"/>
      <c r="BK54" s="204"/>
      <c r="BL54" s="206"/>
      <c r="BM54" s="206"/>
      <c r="BN54" s="205">
        <v>4673077</v>
      </c>
      <c r="BO54" s="204"/>
      <c r="BP54" s="204"/>
      <c r="BQ54" s="204"/>
      <c r="BR54" s="205">
        <v>675292</v>
      </c>
      <c r="BS54" s="204"/>
      <c r="BT54" s="204"/>
      <c r="BU54" s="193"/>
      <c r="BV54" s="205">
        <v>283820</v>
      </c>
      <c r="BW54" s="195"/>
      <c r="BX54" s="196"/>
      <c r="BY54" s="193"/>
      <c r="BZ54" s="196"/>
      <c r="CA54" s="193"/>
      <c r="CB54" s="202"/>
      <c r="CC54" s="205">
        <v>6937300</v>
      </c>
      <c r="CD54" s="204"/>
      <c r="CE54" s="204"/>
      <c r="CF54" s="206"/>
      <c r="CG54" s="206"/>
      <c r="CH54" s="206"/>
      <c r="CI54" s="205">
        <v>17705220</v>
      </c>
      <c r="CJ54" s="204"/>
      <c r="CK54" s="204"/>
      <c r="CL54" s="206"/>
      <c r="CM54" s="207"/>
      <c r="CN54" s="205">
        <v>8068</v>
      </c>
      <c r="CO54" s="204"/>
      <c r="CP54" s="208"/>
      <c r="CQ54" s="194"/>
      <c r="CR54" s="205">
        <f t="shared" si="109"/>
        <v>3738600</v>
      </c>
      <c r="CS54" s="204"/>
      <c r="CT54" s="204"/>
      <c r="CU54" s="206"/>
      <c r="CV54" s="207"/>
      <c r="CW54" s="205">
        <v>42187706</v>
      </c>
      <c r="CX54" s="204"/>
      <c r="CY54" s="204"/>
      <c r="CZ54" s="206"/>
      <c r="DA54" s="204"/>
      <c r="DB54" s="204"/>
      <c r="DC54" s="204"/>
      <c r="DD54" s="209"/>
      <c r="DE54" s="209"/>
      <c r="DF54" s="209"/>
      <c r="DG54" s="209"/>
      <c r="DH54" s="210"/>
      <c r="DI54" s="210"/>
      <c r="DJ54" s="211"/>
      <c r="DK54" s="211"/>
    </row>
    <row r="55" spans="2:115" x14ac:dyDescent="0.25">
      <c r="B55" s="20">
        <f>B54+7</f>
        <v>44144</v>
      </c>
      <c r="C55" s="307">
        <v>40390692</v>
      </c>
      <c r="D55" s="307"/>
      <c r="E55" s="198">
        <v>865870</v>
      </c>
      <c r="F55" s="307">
        <v>4685964</v>
      </c>
      <c r="G55" s="307"/>
      <c r="H55" s="198">
        <v>128870</v>
      </c>
      <c r="I55" s="307">
        <v>16684</v>
      </c>
      <c r="J55" s="307"/>
      <c r="K55" s="198">
        <v>170</v>
      </c>
      <c r="L55" s="307">
        <v>293648</v>
      </c>
      <c r="M55" s="307"/>
      <c r="N55" s="198">
        <v>539000</v>
      </c>
      <c r="O55" s="307">
        <v>4236</v>
      </c>
      <c r="P55" s="307"/>
      <c r="Q55" s="198">
        <v>18100</v>
      </c>
      <c r="R55" s="199"/>
      <c r="S55" s="307">
        <v>677027</v>
      </c>
      <c r="T55" s="307"/>
      <c r="U55" s="198">
        <v>173500</v>
      </c>
      <c r="V55" s="308">
        <v>296050</v>
      </c>
      <c r="W55" s="308"/>
      <c r="X55" s="198">
        <v>1223000</v>
      </c>
      <c r="Y55" s="213">
        <v>1396500</v>
      </c>
      <c r="Z55" s="200"/>
      <c r="AA55" s="201">
        <v>13264</v>
      </c>
      <c r="AB55" s="198">
        <v>1570000</v>
      </c>
      <c r="AC55" s="201">
        <v>365840293</v>
      </c>
      <c r="AD55" s="198">
        <v>179084.2</v>
      </c>
      <c r="AE55" s="201">
        <v>103250</v>
      </c>
      <c r="AF55" s="198">
        <v>1290</v>
      </c>
      <c r="AG55" s="201">
        <v>3113994</v>
      </c>
      <c r="AH55" s="198">
        <v>102010</v>
      </c>
      <c r="AI55" s="201">
        <v>3928149</v>
      </c>
      <c r="AJ55" s="198">
        <v>9801</v>
      </c>
      <c r="AK55" s="201">
        <v>16966</v>
      </c>
      <c r="AL55" s="198">
        <v>176000</v>
      </c>
      <c r="AM55" s="201">
        <v>11</v>
      </c>
      <c r="AN55" s="192">
        <v>0</v>
      </c>
      <c r="AO55" s="201">
        <v>11630</v>
      </c>
      <c r="AP55" s="198">
        <v>900</v>
      </c>
      <c r="AQ55" s="202"/>
      <c r="AR55" s="197">
        <v>44144</v>
      </c>
      <c r="AS55" s="203">
        <v>8141</v>
      </c>
      <c r="AT55" s="198">
        <v>73</v>
      </c>
      <c r="AU55" s="202"/>
      <c r="AV55" s="203">
        <v>17758329</v>
      </c>
      <c r="AW55" s="198">
        <v>53109</v>
      </c>
      <c r="AX55" s="201">
        <v>413399615</v>
      </c>
      <c r="AY55" s="212">
        <v>45878.9</v>
      </c>
      <c r="AZ55" s="198">
        <v>7230.0999999999985</v>
      </c>
      <c r="BA55" s="203">
        <v>6939000</v>
      </c>
      <c r="BB55" s="215">
        <v>1700</v>
      </c>
      <c r="BC55" s="214">
        <v>3738600</v>
      </c>
      <c r="BD55" s="216">
        <v>900</v>
      </c>
      <c r="BE55" s="203">
        <v>42771746</v>
      </c>
      <c r="BF55" s="198">
        <v>584040</v>
      </c>
      <c r="BG55" s="204"/>
      <c r="BH55" s="204"/>
      <c r="BI55" s="205">
        <v>40390692</v>
      </c>
      <c r="BJ55" s="204"/>
      <c r="BK55" s="204"/>
      <c r="BL55" s="206"/>
      <c r="BM55" s="206"/>
      <c r="BN55" s="205">
        <v>4685964</v>
      </c>
      <c r="BO55" s="204"/>
      <c r="BP55" s="204"/>
      <c r="BQ55" s="204"/>
      <c r="BR55" s="205">
        <v>677027</v>
      </c>
      <c r="BS55" s="204"/>
      <c r="BT55" s="204"/>
      <c r="BU55" s="193"/>
      <c r="BV55" s="205">
        <v>296050</v>
      </c>
      <c r="BW55" s="195"/>
      <c r="BX55" s="196"/>
      <c r="BY55" s="193"/>
      <c r="BZ55" s="196"/>
      <c r="CA55" s="193"/>
      <c r="CB55" s="202"/>
      <c r="CC55" s="205">
        <v>6939000</v>
      </c>
      <c r="CD55" s="204"/>
      <c r="CE55" s="204"/>
      <c r="CF55" s="206"/>
      <c r="CG55" s="206"/>
      <c r="CH55" s="206"/>
      <c r="CI55" s="205">
        <v>17758329</v>
      </c>
      <c r="CJ55" s="204"/>
      <c r="CK55" s="204"/>
      <c r="CL55" s="206"/>
      <c r="CM55" s="207"/>
      <c r="CN55" s="205">
        <v>8141</v>
      </c>
      <c r="CO55" s="204"/>
      <c r="CP55" s="208"/>
      <c r="CQ55" s="194"/>
      <c r="CR55" s="205">
        <f t="shared" si="109"/>
        <v>3739300</v>
      </c>
      <c r="CS55" s="204"/>
      <c r="CT55" s="204"/>
      <c r="CU55" s="206"/>
      <c r="CV55" s="207"/>
      <c r="CW55" s="205">
        <v>42771746</v>
      </c>
      <c r="CX55" s="204"/>
      <c r="CY55" s="204"/>
      <c r="CZ55" s="206"/>
      <c r="DA55" s="204"/>
      <c r="DB55" s="204"/>
      <c r="DC55" s="204"/>
      <c r="DD55" s="209"/>
      <c r="DE55" s="209"/>
      <c r="DF55" s="209"/>
      <c r="DG55" s="209"/>
      <c r="DH55" s="210"/>
      <c r="DI55" s="210"/>
      <c r="DJ55" s="211"/>
      <c r="DK55" s="211"/>
    </row>
    <row r="56" spans="2:115" x14ac:dyDescent="0.25">
      <c r="B56" s="20">
        <f t="shared" ref="B56:B58" si="113">B55+7</f>
        <v>44151</v>
      </c>
      <c r="C56" s="305">
        <v>40471618</v>
      </c>
      <c r="D56" s="306"/>
      <c r="E56" s="217">
        <v>809260</v>
      </c>
      <c r="F56" s="305">
        <v>4692227</v>
      </c>
      <c r="G56" s="306"/>
      <c r="H56" s="217">
        <v>62630</v>
      </c>
      <c r="I56" s="305">
        <v>16701</v>
      </c>
      <c r="J56" s="306"/>
      <c r="K56" s="217">
        <v>170</v>
      </c>
      <c r="L56" s="305">
        <v>294233</v>
      </c>
      <c r="M56" s="306"/>
      <c r="N56" s="217">
        <v>585000</v>
      </c>
      <c r="O56" s="305">
        <v>4422</v>
      </c>
      <c r="P56" s="306"/>
      <c r="Q56" s="217">
        <v>18600</v>
      </c>
      <c r="R56" s="234"/>
      <c r="S56" s="305">
        <v>678789</v>
      </c>
      <c r="T56" s="306"/>
      <c r="U56" s="217">
        <v>176200</v>
      </c>
      <c r="V56" s="305">
        <v>303060</v>
      </c>
      <c r="W56" s="306"/>
      <c r="X56" s="217">
        <v>701000</v>
      </c>
      <c r="Y56" s="235">
        <v>877200</v>
      </c>
      <c r="Z56" s="200"/>
      <c r="AA56" s="155">
        <v>13489</v>
      </c>
      <c r="AB56" s="217">
        <v>2250000</v>
      </c>
      <c r="AC56" s="155">
        <v>371018977</v>
      </c>
      <c r="AD56" s="217">
        <v>517868.4</v>
      </c>
      <c r="AE56" s="155">
        <v>103282</v>
      </c>
      <c r="AF56" s="217">
        <v>320</v>
      </c>
      <c r="AG56" s="155">
        <v>3124158</v>
      </c>
      <c r="AH56" s="217">
        <v>101640</v>
      </c>
      <c r="AI56" s="155">
        <v>3932042</v>
      </c>
      <c r="AJ56" s="217">
        <v>3893</v>
      </c>
      <c r="AK56" s="155">
        <v>17057</v>
      </c>
      <c r="AL56" s="217">
        <v>91000</v>
      </c>
      <c r="AM56" s="155">
        <v>7</v>
      </c>
      <c r="AN56" s="217">
        <v>-4</v>
      </c>
      <c r="AO56" s="155">
        <v>11640</v>
      </c>
      <c r="AP56" s="217">
        <v>1000</v>
      </c>
      <c r="AQ56" s="202"/>
      <c r="AR56" s="20">
        <f>AR55+7</f>
        <v>44151</v>
      </c>
      <c r="AS56" s="155">
        <v>8239</v>
      </c>
      <c r="AT56" s="217">
        <v>98</v>
      </c>
      <c r="AU56" s="202"/>
      <c r="AV56" s="155">
        <v>17813856</v>
      </c>
      <c r="AW56" s="217">
        <v>55527</v>
      </c>
      <c r="AX56" s="155">
        <v>418020285</v>
      </c>
      <c r="AY56" s="217">
        <v>46207</v>
      </c>
      <c r="AZ56" s="217">
        <v>9320.2999999999993</v>
      </c>
      <c r="BA56" s="155">
        <v>6940800</v>
      </c>
      <c r="BB56" s="236">
        <v>1800</v>
      </c>
      <c r="BC56" s="219">
        <v>3739300</v>
      </c>
      <c r="BD56" s="220">
        <v>700</v>
      </c>
      <c r="BE56" s="155">
        <v>42781035</v>
      </c>
      <c r="BF56" s="217">
        <v>9289</v>
      </c>
      <c r="BG56" s="166"/>
      <c r="BH56" s="166"/>
      <c r="BI56" s="205">
        <v>40390692</v>
      </c>
      <c r="BJ56" s="166"/>
      <c r="BK56" s="166"/>
      <c r="BL56" s="171"/>
      <c r="BM56" s="171"/>
      <c r="BN56" s="205">
        <v>4685964</v>
      </c>
      <c r="BO56" s="166"/>
      <c r="BP56" s="166"/>
      <c r="BQ56" s="166"/>
      <c r="BR56" s="205">
        <v>677027</v>
      </c>
      <c r="BS56" s="166"/>
      <c r="BT56" s="166"/>
      <c r="BU56" s="193"/>
      <c r="BV56" s="205">
        <v>296050</v>
      </c>
      <c r="BW56" s="195"/>
      <c r="BX56" s="196"/>
      <c r="BY56" s="193"/>
      <c r="BZ56" s="196"/>
      <c r="CA56" s="193"/>
      <c r="CB56" s="202"/>
      <c r="CC56" s="205">
        <v>6939001</v>
      </c>
      <c r="CD56" s="166"/>
      <c r="CE56" s="166"/>
      <c r="CF56" s="171"/>
      <c r="CG56" s="171"/>
      <c r="CH56" s="171"/>
      <c r="CI56" s="205">
        <v>17758329</v>
      </c>
      <c r="CJ56" s="166"/>
      <c r="CK56" s="166"/>
      <c r="CL56" s="171"/>
      <c r="CN56" s="205">
        <v>8141</v>
      </c>
      <c r="CO56" s="166"/>
      <c r="CP56" s="177"/>
      <c r="CQ56" s="194"/>
      <c r="CR56" s="205">
        <f t="shared" si="109"/>
        <v>3740200</v>
      </c>
      <c r="CS56" s="166"/>
      <c r="CT56" s="166"/>
      <c r="CU56" s="171"/>
      <c r="CW56" s="205">
        <v>42771746</v>
      </c>
      <c r="CX56" s="166"/>
      <c r="CY56" s="166"/>
      <c r="CZ56" s="171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</row>
    <row r="57" spans="2:115" x14ac:dyDescent="0.25">
      <c r="B57" s="20">
        <f t="shared" si="113"/>
        <v>44158</v>
      </c>
      <c r="C57" s="305">
        <v>40556817</v>
      </c>
      <c r="D57" s="306"/>
      <c r="E57" s="217">
        <v>851990</v>
      </c>
      <c r="F57" s="305">
        <v>4703670</v>
      </c>
      <c r="G57" s="306"/>
      <c r="H57" s="217">
        <v>114430</v>
      </c>
      <c r="I57" s="305">
        <v>16717</v>
      </c>
      <c r="J57" s="306"/>
      <c r="K57" s="217">
        <v>160</v>
      </c>
      <c r="L57" s="305">
        <v>294792</v>
      </c>
      <c r="M57" s="306"/>
      <c r="N57" s="217">
        <v>559000</v>
      </c>
      <c r="O57" s="305">
        <v>4621</v>
      </c>
      <c r="P57" s="306"/>
      <c r="Q57" s="217">
        <v>19900</v>
      </c>
      <c r="R57" s="234" t="s">
        <v>114</v>
      </c>
      <c r="S57" s="305">
        <v>680750</v>
      </c>
      <c r="T57" s="306"/>
      <c r="U57" s="217">
        <v>196100</v>
      </c>
      <c r="V57" s="305">
        <v>315910</v>
      </c>
      <c r="W57" s="306"/>
      <c r="X57" s="217">
        <v>1285000</v>
      </c>
      <c r="Y57" s="235">
        <v>1481100</v>
      </c>
      <c r="Z57" s="200"/>
      <c r="AA57" s="155">
        <v>13655</v>
      </c>
      <c r="AB57" s="217">
        <v>1660000</v>
      </c>
      <c r="AC57" s="155">
        <v>374392889</v>
      </c>
      <c r="AD57" s="217">
        <v>337391.2</v>
      </c>
      <c r="AE57" s="155">
        <v>103454</v>
      </c>
      <c r="AF57" s="217">
        <v>1720</v>
      </c>
      <c r="AG57" s="155">
        <v>3133833</v>
      </c>
      <c r="AH57" s="217">
        <v>96750</v>
      </c>
      <c r="AI57" s="155">
        <v>3940785</v>
      </c>
      <c r="AJ57" s="217">
        <v>8743</v>
      </c>
      <c r="AK57" s="155">
        <v>17205</v>
      </c>
      <c r="AL57" s="217">
        <v>148000</v>
      </c>
      <c r="AM57" s="155">
        <v>39</v>
      </c>
      <c r="AN57" s="217">
        <v>32</v>
      </c>
      <c r="AO57" s="155">
        <v>11678</v>
      </c>
      <c r="AP57" s="217">
        <v>3800</v>
      </c>
      <c r="AQ57" s="202"/>
      <c r="AR57" s="20">
        <f t="shared" ref="AR57:AR58" si="114">AR56+7</f>
        <v>44158</v>
      </c>
      <c r="AS57" s="155">
        <v>8316</v>
      </c>
      <c r="AT57" s="217">
        <v>77</v>
      </c>
      <c r="AU57" s="202"/>
      <c r="AV57" s="155">
        <v>17856535</v>
      </c>
      <c r="AW57" s="217">
        <v>42679</v>
      </c>
      <c r="AX57" s="155">
        <v>421454264</v>
      </c>
      <c r="AY57" s="217">
        <v>34340</v>
      </c>
      <c r="AZ57" s="217">
        <v>8339.2099999999991</v>
      </c>
      <c r="BA57" s="155">
        <v>6942400</v>
      </c>
      <c r="BB57" s="236">
        <v>1600</v>
      </c>
      <c r="BC57" s="219">
        <v>3740200</v>
      </c>
      <c r="BD57" s="220">
        <v>900</v>
      </c>
      <c r="BE57" s="155">
        <v>42788157</v>
      </c>
      <c r="BF57" s="217">
        <v>7122</v>
      </c>
      <c r="BG57" s="166"/>
      <c r="BH57" s="166"/>
      <c r="BI57" s="205">
        <v>40390692</v>
      </c>
      <c r="BJ57" s="166"/>
      <c r="BK57" s="166"/>
      <c r="BL57" s="171"/>
      <c r="BM57" s="171"/>
      <c r="BN57" s="205">
        <v>4685964</v>
      </c>
      <c r="BO57" s="166"/>
      <c r="BP57" s="166"/>
      <c r="BQ57" s="166"/>
      <c r="BR57" s="205">
        <v>677027</v>
      </c>
      <c r="BS57" s="166"/>
      <c r="BT57" s="166"/>
      <c r="BU57" s="193"/>
      <c r="BV57" s="205">
        <v>296050</v>
      </c>
      <c r="BW57" s="195"/>
      <c r="BX57" s="196"/>
      <c r="BY57" s="193"/>
      <c r="BZ57" s="196"/>
      <c r="CA57" s="193"/>
      <c r="CB57" s="202"/>
      <c r="CC57" s="205">
        <v>6939002</v>
      </c>
      <c r="CD57" s="166"/>
      <c r="CE57" s="166"/>
      <c r="CF57" s="171"/>
      <c r="CG57" s="171"/>
      <c r="CH57" s="171"/>
      <c r="CI57" s="205">
        <v>17758329</v>
      </c>
      <c r="CJ57" s="166"/>
      <c r="CK57" s="166"/>
      <c r="CL57" s="171"/>
      <c r="CN57" s="205">
        <v>8141</v>
      </c>
      <c r="CO57" s="166"/>
      <c r="CP57" s="177"/>
      <c r="CQ57" s="194"/>
      <c r="CR57" s="205">
        <f t="shared" si="109"/>
        <v>3741300</v>
      </c>
      <c r="CS57" s="166"/>
      <c r="CT57" s="166"/>
      <c r="CU57" s="171"/>
      <c r="CW57" s="205">
        <v>42771746</v>
      </c>
      <c r="CX57" s="166"/>
      <c r="CY57" s="166"/>
      <c r="CZ57" s="171"/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</row>
    <row r="58" spans="2:115" x14ac:dyDescent="0.25">
      <c r="B58" s="20">
        <f t="shared" si="113"/>
        <v>44165</v>
      </c>
      <c r="C58" s="305">
        <v>40656924</v>
      </c>
      <c r="D58" s="306"/>
      <c r="E58" s="217">
        <v>1001070</v>
      </c>
      <c r="F58" s="305">
        <v>4714584</v>
      </c>
      <c r="G58" s="306"/>
      <c r="H58" s="217">
        <v>109140</v>
      </c>
      <c r="I58" s="305">
        <v>16734</v>
      </c>
      <c r="J58" s="306"/>
      <c r="K58" s="217">
        <v>170</v>
      </c>
      <c r="L58" s="305">
        <v>295477</v>
      </c>
      <c r="M58" s="306"/>
      <c r="N58" s="217">
        <v>685000</v>
      </c>
      <c r="O58" s="305">
        <v>4829</v>
      </c>
      <c r="P58" s="306"/>
      <c r="Q58" s="217">
        <v>20800</v>
      </c>
      <c r="R58" s="234" t="s">
        <v>114</v>
      </c>
      <c r="S58" s="305">
        <v>682867</v>
      </c>
      <c r="T58" s="306"/>
      <c r="U58" s="217">
        <v>211700</v>
      </c>
      <c r="V58" s="305">
        <v>326643</v>
      </c>
      <c r="W58" s="306"/>
      <c r="X58" s="217">
        <v>1073300</v>
      </c>
      <c r="Y58" s="235">
        <v>1285000</v>
      </c>
      <c r="Z58" s="200"/>
      <c r="AA58" s="155">
        <v>13832</v>
      </c>
      <c r="AB58" s="217">
        <v>1770000</v>
      </c>
      <c r="AC58" s="155">
        <v>378059321</v>
      </c>
      <c r="AD58" s="217">
        <v>366643.20000000001</v>
      </c>
      <c r="AE58" s="155">
        <v>103770</v>
      </c>
      <c r="AF58" s="217">
        <v>3160</v>
      </c>
      <c r="AG58" s="155">
        <v>3141915</v>
      </c>
      <c r="AH58" s="217">
        <v>80820</v>
      </c>
      <c r="AI58" s="155">
        <v>3951010</v>
      </c>
      <c r="AJ58" s="217">
        <v>10225</v>
      </c>
      <c r="AK58" s="155">
        <v>17387</v>
      </c>
      <c r="AL58" s="217">
        <v>182000</v>
      </c>
      <c r="AM58" s="155">
        <v>610</v>
      </c>
      <c r="AN58" s="217">
        <v>571</v>
      </c>
      <c r="AO58" s="155">
        <v>11695</v>
      </c>
      <c r="AP58" s="217">
        <v>1700</v>
      </c>
      <c r="AQ58" s="202"/>
      <c r="AR58" s="20">
        <f t="shared" si="114"/>
        <v>44165</v>
      </c>
      <c r="AS58" s="155">
        <v>8411</v>
      </c>
      <c r="AT58" s="217">
        <v>95</v>
      </c>
      <c r="AU58" s="202"/>
      <c r="AV58" s="155">
        <v>17906674</v>
      </c>
      <c r="AW58" s="217">
        <v>50139</v>
      </c>
      <c r="AX58" s="155">
        <v>425439503</v>
      </c>
      <c r="AY58" s="217">
        <v>39852</v>
      </c>
      <c r="AZ58" s="217">
        <v>10286.61</v>
      </c>
      <c r="BA58" s="155">
        <v>6946600</v>
      </c>
      <c r="BB58" s="236">
        <v>4200</v>
      </c>
      <c r="BC58" s="219">
        <v>3741300</v>
      </c>
      <c r="BD58" s="220">
        <v>1100</v>
      </c>
      <c r="BE58" s="155">
        <v>42942937</v>
      </c>
      <c r="BF58" s="217">
        <v>154780</v>
      </c>
      <c r="BG58" s="166"/>
      <c r="BH58" s="166"/>
      <c r="BI58" s="205">
        <v>40390692</v>
      </c>
      <c r="BJ58" s="166"/>
      <c r="BK58" s="166"/>
      <c r="BL58" s="171"/>
      <c r="BM58" s="171"/>
      <c r="BN58" s="205">
        <v>4685964</v>
      </c>
      <c r="BO58" s="166"/>
      <c r="BP58" s="166"/>
      <c r="BQ58" s="166"/>
      <c r="BR58" s="205">
        <v>677027</v>
      </c>
      <c r="BS58" s="166"/>
      <c r="BT58" s="166"/>
      <c r="BU58" s="193"/>
      <c r="BV58" s="205">
        <v>296050</v>
      </c>
      <c r="BW58" s="195"/>
      <c r="BX58" s="196"/>
      <c r="BY58" s="193"/>
      <c r="BZ58" s="196"/>
      <c r="CA58" s="193"/>
      <c r="CB58" s="202"/>
      <c r="CC58" s="205">
        <v>6939003</v>
      </c>
      <c r="CD58" s="166"/>
      <c r="CE58" s="166"/>
      <c r="CF58" s="171"/>
      <c r="CG58" s="171"/>
      <c r="CH58" s="171"/>
      <c r="CI58" s="205">
        <v>17758329</v>
      </c>
      <c r="CJ58" s="166"/>
      <c r="CK58" s="166"/>
      <c r="CL58" s="171"/>
      <c r="CN58" s="205">
        <v>8141</v>
      </c>
      <c r="CO58" s="166"/>
      <c r="CP58" s="177"/>
      <c r="CQ58" s="194"/>
      <c r="CR58" s="205">
        <f t="shared" si="109"/>
        <v>3741500</v>
      </c>
      <c r="CS58" s="166"/>
      <c r="CT58" s="166"/>
      <c r="CU58" s="171"/>
      <c r="CW58" s="205">
        <v>42771746</v>
      </c>
      <c r="CX58" s="166"/>
      <c r="CY58" s="166"/>
      <c r="CZ58" s="171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</row>
    <row r="59" spans="2:115" x14ac:dyDescent="0.25">
      <c r="B59" s="20">
        <v>44166</v>
      </c>
      <c r="C59" s="305">
        <v>40681033</v>
      </c>
      <c r="D59" s="306"/>
      <c r="E59" s="217">
        <v>241090</v>
      </c>
      <c r="F59" s="305">
        <v>4718493</v>
      </c>
      <c r="G59" s="306"/>
      <c r="H59" s="217">
        <v>39090</v>
      </c>
      <c r="I59" s="305">
        <v>16749</v>
      </c>
      <c r="J59" s="306"/>
      <c r="K59" s="217">
        <v>150</v>
      </c>
      <c r="L59" s="305">
        <v>295616</v>
      </c>
      <c r="M59" s="306"/>
      <c r="N59" s="217">
        <v>139000</v>
      </c>
      <c r="O59" s="305">
        <v>4888</v>
      </c>
      <c r="P59" s="306"/>
      <c r="Q59" s="217">
        <v>5900</v>
      </c>
      <c r="R59" s="234"/>
      <c r="S59" s="305">
        <v>683510</v>
      </c>
      <c r="T59" s="306"/>
      <c r="U59" s="217">
        <v>64300</v>
      </c>
      <c r="V59" s="305">
        <v>332970</v>
      </c>
      <c r="W59" s="306"/>
      <c r="X59" s="217">
        <v>632700</v>
      </c>
      <c r="Y59" s="235">
        <v>697000</v>
      </c>
      <c r="Z59" s="200"/>
      <c r="AA59" s="155">
        <v>13863</v>
      </c>
      <c r="AB59" s="217">
        <v>310000</v>
      </c>
      <c r="AC59" s="155">
        <v>379153823</v>
      </c>
      <c r="AD59" s="217">
        <v>109450.2</v>
      </c>
      <c r="AE59" s="155">
        <v>103841</v>
      </c>
      <c r="AF59" s="217">
        <v>710</v>
      </c>
      <c r="AG59" s="155">
        <v>3144417</v>
      </c>
      <c r="AH59" s="217">
        <v>25020</v>
      </c>
      <c r="AI59" s="155">
        <v>3955419</v>
      </c>
      <c r="AJ59" s="217">
        <v>4409</v>
      </c>
      <c r="AK59" s="155">
        <v>17448</v>
      </c>
      <c r="AL59" s="217">
        <v>61000</v>
      </c>
      <c r="AM59" s="155">
        <v>740</v>
      </c>
      <c r="AN59" s="217">
        <v>130</v>
      </c>
      <c r="AO59" s="155">
        <v>11699</v>
      </c>
      <c r="AP59" s="217">
        <v>400</v>
      </c>
      <c r="AQ59" s="202"/>
      <c r="AR59" s="20">
        <v>44166</v>
      </c>
      <c r="AS59" s="155">
        <v>8421</v>
      </c>
      <c r="AT59" s="217">
        <v>10</v>
      </c>
      <c r="AU59" s="202"/>
      <c r="AV59" s="155">
        <v>17913264</v>
      </c>
      <c r="AW59" s="217">
        <v>6590</v>
      </c>
      <c r="AX59" s="155">
        <v>426028505</v>
      </c>
      <c r="AY59" s="217">
        <v>5890</v>
      </c>
      <c r="AZ59" s="217">
        <v>699.98</v>
      </c>
      <c r="BA59" s="155">
        <v>6946700</v>
      </c>
      <c r="BB59" s="236">
        <v>100</v>
      </c>
      <c r="BC59" s="219">
        <v>3741500</v>
      </c>
      <c r="BD59" s="220">
        <v>200</v>
      </c>
      <c r="BE59" s="155">
        <v>42942937</v>
      </c>
      <c r="BF59" s="217">
        <v>0</v>
      </c>
      <c r="BG59" s="166"/>
      <c r="BH59" s="166"/>
      <c r="BI59" s="205">
        <v>40390692</v>
      </c>
      <c r="BJ59" s="166"/>
      <c r="BK59" s="166"/>
      <c r="BL59" s="171"/>
      <c r="BM59" s="171"/>
      <c r="BN59" s="205">
        <v>4685964</v>
      </c>
      <c r="BO59" s="166"/>
      <c r="BP59" s="166"/>
      <c r="BQ59" s="166"/>
      <c r="BR59" s="205">
        <v>677027</v>
      </c>
      <c r="BS59" s="166"/>
      <c r="BT59" s="166"/>
      <c r="BU59" s="193"/>
      <c r="BV59" s="205">
        <v>296050</v>
      </c>
      <c r="BW59" s="195"/>
      <c r="BX59" s="196"/>
      <c r="BY59" s="193"/>
      <c r="BZ59" s="196"/>
      <c r="CA59" s="193"/>
      <c r="CB59" s="202"/>
      <c r="CC59" s="205">
        <v>6939004</v>
      </c>
      <c r="CD59" s="166"/>
      <c r="CE59" s="166"/>
      <c r="CF59" s="171"/>
      <c r="CG59" s="171"/>
      <c r="CH59" s="171"/>
      <c r="CI59" s="205">
        <v>17758329</v>
      </c>
      <c r="CJ59" s="166"/>
      <c r="CK59" s="166"/>
      <c r="CL59" s="171"/>
      <c r="CN59" s="205">
        <v>8141</v>
      </c>
      <c r="CO59" s="166"/>
      <c r="CP59" s="177"/>
      <c r="CQ59" s="194"/>
      <c r="CR59" s="205">
        <f t="shared" si="109"/>
        <v>3742600</v>
      </c>
      <c r="CS59" s="166"/>
      <c r="CT59" s="166"/>
      <c r="CU59" s="171"/>
      <c r="CW59" s="205">
        <v>42771746</v>
      </c>
      <c r="CX59" s="166"/>
      <c r="CY59" s="166"/>
      <c r="CZ59" s="171"/>
      <c r="DA59" s="166"/>
      <c r="DB59" s="166"/>
      <c r="DC59" s="166"/>
      <c r="DD59" s="166"/>
      <c r="DE59" s="166"/>
      <c r="DF59" s="166"/>
      <c r="DG59" s="166"/>
      <c r="DH59" s="166"/>
      <c r="DI59" s="166"/>
      <c r="DJ59" s="166"/>
      <c r="DK59" s="166"/>
    </row>
    <row r="60" spans="2:115" x14ac:dyDescent="0.25">
      <c r="B60" s="20">
        <v>44172</v>
      </c>
      <c r="C60" s="305">
        <v>40741541</v>
      </c>
      <c r="D60" s="306"/>
      <c r="E60" s="217">
        <v>605080</v>
      </c>
      <c r="F60" s="305">
        <v>4727346</v>
      </c>
      <c r="G60" s="306"/>
      <c r="H60" s="217">
        <v>88530</v>
      </c>
      <c r="I60" s="305">
        <v>16765</v>
      </c>
      <c r="J60" s="306"/>
      <c r="K60" s="217">
        <v>160</v>
      </c>
      <c r="L60" s="305">
        <v>295985</v>
      </c>
      <c r="M60" s="306"/>
      <c r="N60" s="217">
        <v>369000</v>
      </c>
      <c r="O60" s="305">
        <v>5031</v>
      </c>
      <c r="P60" s="306"/>
      <c r="Q60" s="217">
        <v>14300</v>
      </c>
      <c r="R60" s="234"/>
      <c r="S60" s="305">
        <v>685016</v>
      </c>
      <c r="T60" s="306"/>
      <c r="U60" s="217">
        <v>150600</v>
      </c>
      <c r="V60" s="305">
        <v>345480</v>
      </c>
      <c r="W60" s="306"/>
      <c r="X60" s="217">
        <v>1251000</v>
      </c>
      <c r="Y60" s="235">
        <v>1401600</v>
      </c>
      <c r="Z60" s="237"/>
      <c r="AA60" s="155">
        <v>13932</v>
      </c>
      <c r="AB60" s="217">
        <v>690000</v>
      </c>
      <c r="AC60" s="155">
        <v>380916884</v>
      </c>
      <c r="AD60" s="217">
        <v>176306.1</v>
      </c>
      <c r="AE60" s="155">
        <v>103960</v>
      </c>
      <c r="AF60" s="217">
        <v>1190</v>
      </c>
      <c r="AG60" s="155">
        <v>3150642</v>
      </c>
      <c r="AH60" s="217">
        <v>62250</v>
      </c>
      <c r="AI60" s="155">
        <v>3962671</v>
      </c>
      <c r="AJ60" s="217">
        <v>7252</v>
      </c>
      <c r="AK60" s="155">
        <v>17579</v>
      </c>
      <c r="AL60" s="217">
        <v>131000</v>
      </c>
      <c r="AM60" s="155">
        <v>1110</v>
      </c>
      <c r="AN60" s="217">
        <v>370</v>
      </c>
      <c r="AO60" s="155">
        <v>11707</v>
      </c>
      <c r="AP60" s="217">
        <v>800</v>
      </c>
      <c r="AQ60" s="202"/>
      <c r="AR60" s="20">
        <v>44172</v>
      </c>
      <c r="AS60" s="155">
        <v>8519</v>
      </c>
      <c r="AT60" s="217">
        <v>98</v>
      </c>
      <c r="AU60" s="238"/>
      <c r="AV60" s="155">
        <v>17957539</v>
      </c>
      <c r="AW60" s="217">
        <v>44275</v>
      </c>
      <c r="AX60" s="155">
        <v>429461162</v>
      </c>
      <c r="AY60" s="217">
        <v>34327</v>
      </c>
      <c r="AZ60" s="217">
        <v>9948.43</v>
      </c>
      <c r="BA60" s="155">
        <v>6950700</v>
      </c>
      <c r="BB60" s="236">
        <v>4000</v>
      </c>
      <c r="BC60" s="219">
        <v>3742600</v>
      </c>
      <c r="BD60" s="220">
        <v>1100</v>
      </c>
      <c r="BE60" s="155">
        <v>43100622</v>
      </c>
      <c r="BF60" s="217">
        <v>157685</v>
      </c>
      <c r="BG60" s="166"/>
      <c r="BH60" s="166"/>
      <c r="BI60" s="205">
        <v>40390692</v>
      </c>
      <c r="BJ60" s="166"/>
      <c r="BK60" s="166"/>
      <c r="BL60" s="171"/>
      <c r="BM60" s="171"/>
      <c r="BN60" s="205">
        <v>4685964</v>
      </c>
      <c r="BO60" s="166"/>
      <c r="BP60" s="166"/>
      <c r="BQ60" s="166"/>
      <c r="BR60" s="205">
        <v>677027</v>
      </c>
      <c r="BS60" s="166"/>
      <c r="BT60" s="166"/>
      <c r="BU60" s="193"/>
      <c r="BV60" s="205">
        <v>296050</v>
      </c>
      <c r="BW60" s="195"/>
      <c r="BX60" s="196"/>
      <c r="BY60" s="193"/>
      <c r="BZ60" s="196"/>
      <c r="CA60" s="193"/>
      <c r="CB60" s="202"/>
      <c r="CC60" s="205">
        <v>6939005</v>
      </c>
      <c r="CD60" s="166"/>
      <c r="CE60" s="166"/>
      <c r="CF60" s="171"/>
      <c r="CG60" s="171"/>
      <c r="CH60" s="171"/>
      <c r="CI60" s="205">
        <v>17758329</v>
      </c>
      <c r="CJ60" s="166"/>
      <c r="CK60" s="166"/>
      <c r="CL60" s="171"/>
      <c r="CN60" s="205">
        <v>8141</v>
      </c>
      <c r="CO60" s="166"/>
      <c r="CP60" s="177"/>
      <c r="CQ60" s="194"/>
      <c r="CR60" s="205">
        <f t="shared" si="109"/>
        <v>3744000</v>
      </c>
      <c r="CS60" s="166"/>
      <c r="CT60" s="166"/>
      <c r="CU60" s="171"/>
      <c r="CW60" s="205">
        <v>42771746</v>
      </c>
      <c r="CX60" s="166"/>
      <c r="CY60" s="166"/>
      <c r="CZ60" s="171"/>
      <c r="DA60" s="166"/>
      <c r="DB60" s="166"/>
      <c r="DC60" s="166"/>
      <c r="DD60" s="166"/>
      <c r="DE60" s="166"/>
      <c r="DF60" s="166"/>
      <c r="DG60" s="166"/>
      <c r="DH60" s="166"/>
      <c r="DI60" s="166"/>
      <c r="DJ60" s="166"/>
      <c r="DK60" s="166"/>
    </row>
    <row r="61" spans="2:115" x14ac:dyDescent="0.25">
      <c r="B61" s="20">
        <f>B60+7</f>
        <v>44179</v>
      </c>
      <c r="C61" s="305">
        <v>40816853</v>
      </c>
      <c r="D61" s="306"/>
      <c r="E61" s="217">
        <v>753120</v>
      </c>
      <c r="F61" s="305">
        <v>4738925</v>
      </c>
      <c r="G61" s="306"/>
      <c r="H61" s="217">
        <v>115790</v>
      </c>
      <c r="I61" s="305">
        <v>16773</v>
      </c>
      <c r="J61" s="306"/>
      <c r="K61" s="217">
        <v>80</v>
      </c>
      <c r="L61" s="305">
        <v>296440</v>
      </c>
      <c r="M61" s="306"/>
      <c r="N61" s="217">
        <v>455000</v>
      </c>
      <c r="O61" s="305">
        <v>5230</v>
      </c>
      <c r="P61" s="306"/>
      <c r="Q61" s="217">
        <v>19900</v>
      </c>
      <c r="R61" s="234"/>
      <c r="S61" s="305">
        <v>687011</v>
      </c>
      <c r="T61" s="306"/>
      <c r="U61" s="217">
        <v>199500</v>
      </c>
      <c r="V61" s="305">
        <v>363650</v>
      </c>
      <c r="W61" s="306"/>
      <c r="X61" s="217">
        <v>1817000</v>
      </c>
      <c r="Y61" s="235">
        <v>2016500</v>
      </c>
      <c r="Z61" s="237"/>
      <c r="AA61" s="155">
        <v>14016</v>
      </c>
      <c r="AB61" s="217">
        <v>840000</v>
      </c>
      <c r="AC61" s="155">
        <v>383551600</v>
      </c>
      <c r="AD61" s="217">
        <v>263471.59999999998</v>
      </c>
      <c r="AE61" s="155">
        <v>104058</v>
      </c>
      <c r="AF61" s="217">
        <v>980</v>
      </c>
      <c r="AG61" s="155">
        <v>3156738</v>
      </c>
      <c r="AH61" s="217">
        <v>60960</v>
      </c>
      <c r="AI61" s="155">
        <v>3985364</v>
      </c>
      <c r="AJ61" s="217">
        <v>22693</v>
      </c>
      <c r="AK61" s="155">
        <v>17768</v>
      </c>
      <c r="AL61" s="217">
        <v>189000</v>
      </c>
      <c r="AM61" s="155">
        <v>167</v>
      </c>
      <c r="AN61" s="217">
        <v>57</v>
      </c>
      <c r="AO61" s="155">
        <v>11718</v>
      </c>
      <c r="AP61" s="217">
        <v>1100</v>
      </c>
      <c r="AQ61" s="202"/>
      <c r="AR61" s="20">
        <f>AR60+7</f>
        <v>44179</v>
      </c>
      <c r="AS61" s="155">
        <v>8639</v>
      </c>
      <c r="AT61" s="217">
        <v>120</v>
      </c>
      <c r="AU61" s="238"/>
      <c r="AV61" s="155">
        <v>18007611</v>
      </c>
      <c r="AW61" s="217">
        <v>50072</v>
      </c>
      <c r="AX61" s="155">
        <v>433478563</v>
      </c>
      <c r="AY61" s="217">
        <v>40174</v>
      </c>
      <c r="AZ61" s="217">
        <v>9897.99</v>
      </c>
      <c r="BA61" s="155">
        <v>6953500</v>
      </c>
      <c r="BB61" s="236">
        <v>2800</v>
      </c>
      <c r="BC61" s="219">
        <v>3744000</v>
      </c>
      <c r="BD61" s="220">
        <v>1400</v>
      </c>
      <c r="BE61" s="155">
        <v>43100622</v>
      </c>
      <c r="BF61" s="217">
        <v>0</v>
      </c>
      <c r="BG61" s="166"/>
      <c r="BH61" s="166"/>
      <c r="BI61" s="166"/>
      <c r="BJ61" s="166"/>
      <c r="BK61" s="166"/>
      <c r="BL61" s="171"/>
      <c r="BM61" s="171"/>
      <c r="BN61" s="166"/>
      <c r="BO61" s="166"/>
      <c r="BP61" s="166"/>
      <c r="BQ61" s="166"/>
      <c r="BR61" s="166"/>
      <c r="BS61" s="166"/>
      <c r="BT61" s="166"/>
      <c r="BU61" s="193"/>
      <c r="BV61" s="193"/>
      <c r="BW61" s="195"/>
      <c r="BX61" s="196"/>
      <c r="BY61" s="193"/>
      <c r="BZ61" s="196"/>
      <c r="CA61" s="193"/>
      <c r="CB61" s="166"/>
      <c r="CC61" s="166"/>
      <c r="CD61" s="166"/>
      <c r="CE61" s="166"/>
      <c r="CF61" s="171"/>
      <c r="CG61" s="171"/>
      <c r="CH61" s="171"/>
      <c r="CI61" s="166"/>
      <c r="CJ61" s="166"/>
      <c r="CK61" s="166"/>
      <c r="CL61" s="171"/>
      <c r="CN61" s="166"/>
      <c r="CO61" s="166"/>
      <c r="CP61" s="177"/>
      <c r="CQ61" s="194"/>
      <c r="CR61" s="166"/>
      <c r="CS61" s="166"/>
      <c r="CT61" s="166"/>
      <c r="CU61" s="171"/>
      <c r="CW61" s="166"/>
      <c r="CX61" s="166"/>
      <c r="CY61" s="166"/>
      <c r="CZ61" s="171"/>
      <c r="DA61" s="166"/>
      <c r="DB61" s="166"/>
      <c r="DC61" s="166"/>
      <c r="DD61" s="166"/>
      <c r="DE61" s="166"/>
      <c r="DF61" s="166"/>
      <c r="DG61" s="166"/>
      <c r="DH61" s="166"/>
      <c r="DI61" s="166"/>
      <c r="DJ61" s="166"/>
      <c r="DK61" s="166"/>
    </row>
    <row r="62" spans="2:115" x14ac:dyDescent="0.25">
      <c r="B62" s="20">
        <f t="shared" ref="B62:B63" si="115">B61+7</f>
        <v>44186</v>
      </c>
      <c r="C62" s="305">
        <v>40904666</v>
      </c>
      <c r="D62" s="306"/>
      <c r="E62" s="217">
        <v>878130</v>
      </c>
      <c r="F62" s="305">
        <v>4753355</v>
      </c>
      <c r="G62" s="306"/>
      <c r="H62" s="217">
        <v>144300</v>
      </c>
      <c r="I62" s="305">
        <v>16795</v>
      </c>
      <c r="J62" s="306"/>
      <c r="K62" s="217">
        <v>220</v>
      </c>
      <c r="L62" s="305">
        <v>296950</v>
      </c>
      <c r="M62" s="306"/>
      <c r="N62" s="217">
        <v>510000</v>
      </c>
      <c r="O62" s="305">
        <v>5420</v>
      </c>
      <c r="P62" s="306"/>
      <c r="Q62" s="217">
        <v>19000</v>
      </c>
      <c r="R62" s="234"/>
      <c r="S62" s="305">
        <v>689126</v>
      </c>
      <c r="T62" s="306"/>
      <c r="U62" s="217">
        <v>211500</v>
      </c>
      <c r="V62" s="305">
        <v>379810</v>
      </c>
      <c r="W62" s="306"/>
      <c r="X62" s="217">
        <v>1616000</v>
      </c>
      <c r="Y62" s="235">
        <v>1827500</v>
      </c>
      <c r="Z62" s="237"/>
      <c r="AA62" s="155">
        <v>14128</v>
      </c>
      <c r="AB62" s="217">
        <v>1120000</v>
      </c>
      <c r="AC62" s="155">
        <v>386183184</v>
      </c>
      <c r="AD62" s="217">
        <v>263158.40000000002</v>
      </c>
      <c r="AE62" s="155">
        <v>104277</v>
      </c>
      <c r="AF62" s="217">
        <v>2190</v>
      </c>
      <c r="AG62" s="155">
        <v>3168303</v>
      </c>
      <c r="AH62" s="217">
        <v>115650</v>
      </c>
      <c r="AI62" s="155">
        <v>3998381</v>
      </c>
      <c r="AJ62" s="217">
        <v>13017</v>
      </c>
      <c r="AK62" s="155">
        <v>17960</v>
      </c>
      <c r="AL62" s="217">
        <v>192000</v>
      </c>
      <c r="AM62" s="155">
        <v>188</v>
      </c>
      <c r="AN62" s="217">
        <v>21</v>
      </c>
      <c r="AO62" s="155">
        <v>11731</v>
      </c>
      <c r="AP62" s="217">
        <v>1300</v>
      </c>
      <c r="AQ62" s="202"/>
      <c r="AR62" s="20">
        <f>AR61+7</f>
        <v>44186</v>
      </c>
      <c r="AS62" s="155">
        <v>8755</v>
      </c>
      <c r="AT62" s="217">
        <v>116</v>
      </c>
      <c r="AU62" s="238"/>
      <c r="AV62" s="155">
        <v>18057297</v>
      </c>
      <c r="AW62" s="217">
        <v>49686</v>
      </c>
      <c r="AX62" s="155">
        <v>437516011</v>
      </c>
      <c r="AY62" s="217">
        <v>40374</v>
      </c>
      <c r="AZ62" s="217">
        <v>9311.52</v>
      </c>
      <c r="BA62" s="155">
        <v>6958800</v>
      </c>
      <c r="BB62" s="236">
        <v>5300</v>
      </c>
      <c r="BC62" s="219">
        <v>3745600</v>
      </c>
      <c r="BD62" s="220">
        <v>1600</v>
      </c>
      <c r="BE62" s="155">
        <v>43171136</v>
      </c>
      <c r="BF62" s="217">
        <v>70514</v>
      </c>
      <c r="BG62" s="166"/>
      <c r="BH62" s="166"/>
      <c r="BI62" s="166"/>
      <c r="BJ62" s="166"/>
      <c r="BK62" s="166"/>
      <c r="BL62" s="171"/>
      <c r="BM62" s="171"/>
      <c r="BN62" s="166"/>
      <c r="BO62" s="166"/>
      <c r="BP62" s="166"/>
      <c r="BQ62" s="166"/>
      <c r="BR62" s="166"/>
      <c r="BS62" s="166"/>
      <c r="BT62" s="166"/>
      <c r="BU62" s="193"/>
      <c r="BV62" s="193"/>
      <c r="BW62" s="195"/>
      <c r="BX62" s="196"/>
      <c r="BY62" s="193"/>
      <c r="BZ62" s="196"/>
      <c r="CA62" s="193"/>
      <c r="CB62" s="166"/>
      <c r="CC62" s="166"/>
      <c r="CD62" s="166"/>
      <c r="CE62" s="166"/>
      <c r="CF62" s="171"/>
      <c r="CG62" s="171"/>
      <c r="CH62" s="171"/>
      <c r="CI62" s="166"/>
      <c r="CJ62" s="166"/>
      <c r="CK62" s="166"/>
      <c r="CL62" s="171"/>
      <c r="CN62" s="166"/>
      <c r="CO62" s="166"/>
      <c r="CP62" s="177"/>
      <c r="CQ62" s="194"/>
      <c r="CR62" s="166"/>
      <c r="CS62" s="166"/>
      <c r="CT62" s="166"/>
      <c r="CU62" s="171"/>
      <c r="CW62" s="166"/>
      <c r="CX62" s="166"/>
      <c r="CY62" s="166"/>
      <c r="CZ62" s="171"/>
      <c r="DA62" s="166"/>
      <c r="DB62" s="166"/>
      <c r="DC62" s="166"/>
      <c r="DD62" s="166"/>
      <c r="DE62" s="166"/>
      <c r="DF62" s="166"/>
      <c r="DG62" s="166"/>
      <c r="DH62" s="166"/>
      <c r="DI62" s="166"/>
      <c r="DJ62" s="166"/>
      <c r="DK62" s="166"/>
    </row>
    <row r="63" spans="2:115" x14ac:dyDescent="0.25">
      <c r="B63" s="20">
        <f t="shared" si="115"/>
        <v>44193</v>
      </c>
      <c r="C63" s="305">
        <v>40999595</v>
      </c>
      <c r="D63" s="306"/>
      <c r="E63" s="217">
        <v>949290</v>
      </c>
      <c r="F63" s="305">
        <v>4760527</v>
      </c>
      <c r="G63" s="306"/>
      <c r="H63" s="217">
        <v>71720</v>
      </c>
      <c r="I63" s="305">
        <v>16818</v>
      </c>
      <c r="J63" s="306"/>
      <c r="K63" s="217">
        <v>230</v>
      </c>
      <c r="L63" s="305">
        <v>297568</v>
      </c>
      <c r="M63" s="306"/>
      <c r="N63" s="217">
        <v>618000</v>
      </c>
      <c r="O63" s="305">
        <v>5607</v>
      </c>
      <c r="P63" s="306"/>
      <c r="Q63" s="217">
        <v>18700</v>
      </c>
      <c r="R63" s="234"/>
      <c r="S63" s="305">
        <v>691467</v>
      </c>
      <c r="T63" s="306"/>
      <c r="U63" s="217">
        <v>234100</v>
      </c>
      <c r="V63" s="305">
        <v>400770</v>
      </c>
      <c r="W63" s="306"/>
      <c r="X63" s="217">
        <v>2096000</v>
      </c>
      <c r="Y63" s="235">
        <v>2330100</v>
      </c>
      <c r="Z63" s="237"/>
      <c r="AA63" s="155">
        <v>14212</v>
      </c>
      <c r="AB63" s="217">
        <v>840000</v>
      </c>
      <c r="AC63" s="155">
        <v>388905821</v>
      </c>
      <c r="AD63" s="217">
        <v>272263.7</v>
      </c>
      <c r="AE63" s="155">
        <v>104376</v>
      </c>
      <c r="AF63" s="217">
        <v>990</v>
      </c>
      <c r="AG63" s="155">
        <v>3176495</v>
      </c>
      <c r="AH63" s="217">
        <v>81920</v>
      </c>
      <c r="AI63" s="155">
        <v>4009314</v>
      </c>
      <c r="AJ63" s="217">
        <v>10933</v>
      </c>
      <c r="AK63" s="155">
        <v>18148</v>
      </c>
      <c r="AL63" s="217">
        <v>188000</v>
      </c>
      <c r="AM63" s="155">
        <v>207</v>
      </c>
      <c r="AN63" s="217">
        <v>19</v>
      </c>
      <c r="AO63" s="155">
        <v>11742</v>
      </c>
      <c r="AP63" s="217">
        <v>1100</v>
      </c>
      <c r="AQ63" s="202"/>
      <c r="AR63" s="20">
        <f>AR62+7</f>
        <v>44193</v>
      </c>
      <c r="AS63" s="155">
        <v>8886</v>
      </c>
      <c r="AT63" s="217">
        <v>131</v>
      </c>
      <c r="AU63" s="238"/>
      <c r="AV63" s="155">
        <v>18110542</v>
      </c>
      <c r="AW63" s="217">
        <v>53245</v>
      </c>
      <c r="AX63" s="155">
        <v>441564824</v>
      </c>
      <c r="AY63" s="217">
        <v>40488</v>
      </c>
      <c r="AZ63" s="217">
        <v>12756.87</v>
      </c>
      <c r="BA63" s="155">
        <v>6957500</v>
      </c>
      <c r="BB63" s="236">
        <v>700</v>
      </c>
      <c r="BC63" s="219">
        <v>3747300</v>
      </c>
      <c r="BD63" s="220">
        <v>1700</v>
      </c>
      <c r="BE63" s="155">
        <v>43171136</v>
      </c>
      <c r="BF63" s="217">
        <v>0</v>
      </c>
      <c r="BG63" s="166"/>
      <c r="BH63" s="166"/>
      <c r="BI63" s="166"/>
      <c r="BJ63" s="166"/>
      <c r="BK63" s="166"/>
      <c r="BL63" s="171"/>
      <c r="BM63" s="171"/>
      <c r="BN63" s="166"/>
      <c r="BO63" s="166"/>
      <c r="BP63" s="166"/>
      <c r="BQ63" s="166"/>
      <c r="BR63" s="166"/>
      <c r="BS63" s="166"/>
      <c r="BT63" s="166"/>
      <c r="BU63" s="193"/>
      <c r="BV63" s="193"/>
      <c r="BW63" s="195"/>
      <c r="BX63" s="196"/>
      <c r="BY63" s="193"/>
      <c r="BZ63" s="196"/>
      <c r="CA63" s="193"/>
      <c r="CB63" s="166"/>
      <c r="CC63" s="166"/>
      <c r="CD63" s="166"/>
      <c r="CE63" s="166"/>
      <c r="CF63" s="171"/>
      <c r="CG63" s="171"/>
      <c r="CH63" s="171"/>
      <c r="CI63" s="166"/>
      <c r="CJ63" s="166"/>
      <c r="CK63" s="166"/>
      <c r="CL63" s="171"/>
      <c r="CN63" s="166"/>
      <c r="CO63" s="166"/>
      <c r="CP63" s="177"/>
      <c r="CQ63" s="194"/>
      <c r="CR63" s="166"/>
      <c r="CS63" s="166"/>
      <c r="CT63" s="166"/>
      <c r="CU63" s="171"/>
      <c r="CW63" s="166"/>
      <c r="CX63" s="166"/>
      <c r="CY63" s="166"/>
      <c r="CZ63" s="171"/>
      <c r="DA63" s="166"/>
      <c r="DB63" s="166"/>
      <c r="DC63" s="166"/>
      <c r="DD63" s="166"/>
      <c r="DE63" s="166"/>
      <c r="DF63" s="166"/>
      <c r="DG63" s="166"/>
      <c r="DH63" s="166"/>
      <c r="DI63" s="166"/>
      <c r="DJ63" s="166"/>
      <c r="DK63" s="166"/>
    </row>
    <row r="64" spans="2:115" x14ac:dyDescent="0.25">
      <c r="B64" s="20">
        <v>44197</v>
      </c>
      <c r="C64" s="305">
        <v>41067492</v>
      </c>
      <c r="D64" s="306"/>
      <c r="E64" s="217">
        <v>678970</v>
      </c>
      <c r="F64" s="305">
        <v>4762937</v>
      </c>
      <c r="G64" s="306"/>
      <c r="H64" s="217">
        <v>24100</v>
      </c>
      <c r="I64" s="305">
        <v>16838</v>
      </c>
      <c r="J64" s="306"/>
      <c r="K64" s="217">
        <v>200</v>
      </c>
      <c r="L64" s="305">
        <v>298034</v>
      </c>
      <c r="M64" s="306"/>
      <c r="N64" s="217">
        <v>466000</v>
      </c>
      <c r="O64" s="305">
        <v>5674</v>
      </c>
      <c r="P64" s="306"/>
      <c r="Q64" s="217">
        <v>6700</v>
      </c>
      <c r="R64" s="234"/>
      <c r="S64" s="305">
        <v>692861</v>
      </c>
      <c r="T64" s="306"/>
      <c r="U64" s="217">
        <v>139400</v>
      </c>
      <c r="V64" s="305">
        <v>409965</v>
      </c>
      <c r="W64" s="306"/>
      <c r="X64" s="217">
        <v>919500</v>
      </c>
      <c r="Y64" s="235">
        <v>1058900</v>
      </c>
      <c r="Z64" s="237"/>
      <c r="AA64" s="155">
        <v>14288</v>
      </c>
      <c r="AB64" s="217">
        <v>760000</v>
      </c>
      <c r="AC64" s="155">
        <v>390378242</v>
      </c>
      <c r="AD64" s="217">
        <v>147242.1</v>
      </c>
      <c r="AE64" s="155">
        <v>104670</v>
      </c>
      <c r="AF64" s="217">
        <v>2940</v>
      </c>
      <c r="AG64" s="155">
        <v>3181175</v>
      </c>
      <c r="AH64" s="217">
        <v>46800</v>
      </c>
      <c r="AI64" s="155">
        <v>4016165</v>
      </c>
      <c r="AJ64" s="217">
        <v>6851</v>
      </c>
      <c r="AK64" s="155">
        <v>18258</v>
      </c>
      <c r="AL64" s="217">
        <v>110000</v>
      </c>
      <c r="AM64" s="155">
        <v>215</v>
      </c>
      <c r="AN64" s="217">
        <v>8</v>
      </c>
      <c r="AO64" s="155">
        <v>11749</v>
      </c>
      <c r="AP64" s="217">
        <v>700</v>
      </c>
      <c r="AQ64" s="202"/>
      <c r="AR64" s="20">
        <v>44197</v>
      </c>
      <c r="AS64" s="155">
        <v>8951</v>
      </c>
      <c r="AT64" s="217">
        <v>65</v>
      </c>
      <c r="AU64" s="238"/>
      <c r="AV64" s="155">
        <v>18139365</v>
      </c>
      <c r="AW64" s="217">
        <v>28823</v>
      </c>
      <c r="AX64" s="155">
        <v>443832930</v>
      </c>
      <c r="AY64" s="217">
        <v>22681</v>
      </c>
      <c r="AZ64" s="217">
        <v>6141.94</v>
      </c>
      <c r="BA64" s="155">
        <v>6958600</v>
      </c>
      <c r="BB64" s="236">
        <v>1100</v>
      </c>
      <c r="BC64" s="219">
        <v>3748500</v>
      </c>
      <c r="BD64" s="220">
        <v>1200</v>
      </c>
      <c r="BE64" s="155">
        <v>43171136</v>
      </c>
      <c r="BF64" s="217">
        <v>0</v>
      </c>
      <c r="BG64" s="166"/>
      <c r="BH64" s="166"/>
      <c r="BI64" s="166"/>
      <c r="BJ64" s="166"/>
      <c r="BK64" s="166"/>
      <c r="BL64" s="171"/>
      <c r="BM64" s="171"/>
      <c r="BN64" s="166"/>
      <c r="BO64" s="166"/>
      <c r="BP64" s="166"/>
      <c r="BQ64" s="166"/>
      <c r="BR64" s="166"/>
      <c r="BS64" s="166"/>
      <c r="BT64" s="166"/>
      <c r="BU64" s="193"/>
      <c r="BV64" s="193"/>
      <c r="BW64" s="195"/>
      <c r="BX64" s="196"/>
      <c r="BY64" s="193"/>
      <c r="BZ64" s="196"/>
      <c r="CA64" s="193"/>
      <c r="CB64" s="166"/>
      <c r="CC64" s="166"/>
      <c r="CD64" s="166"/>
      <c r="CE64" s="166"/>
      <c r="CF64" s="171"/>
      <c r="CG64" s="171"/>
      <c r="CH64" s="171"/>
      <c r="CI64" s="166"/>
      <c r="CJ64" s="166"/>
      <c r="CK64" s="166"/>
      <c r="CL64" s="171"/>
      <c r="CN64" s="166"/>
      <c r="CO64" s="166"/>
      <c r="CP64" s="177"/>
      <c r="CQ64" s="194"/>
      <c r="CR64" s="166"/>
      <c r="CS64" s="166"/>
      <c r="CT64" s="166"/>
      <c r="CU64" s="171"/>
      <c r="CW64" s="166"/>
      <c r="CX64" s="166"/>
      <c r="CY64" s="166"/>
      <c r="CZ64" s="171"/>
      <c r="DA64" s="166"/>
      <c r="DB64" s="166"/>
      <c r="DC64" s="166"/>
      <c r="DD64" s="166"/>
      <c r="DE64" s="166"/>
      <c r="DF64" s="166"/>
      <c r="DG64" s="166"/>
      <c r="DH64" s="166"/>
      <c r="DI64" s="166"/>
      <c r="DJ64" s="166"/>
      <c r="DK64" s="166"/>
    </row>
    <row r="65" spans="43:47" x14ac:dyDescent="0.25">
      <c r="AQ65" s="202"/>
      <c r="AR65" s="166"/>
      <c r="AS65" s="166"/>
      <c r="AT65" s="166"/>
      <c r="AU65" s="202"/>
    </row>
  </sheetData>
  <mergeCells count="487">
    <mergeCell ref="V44:W44"/>
    <mergeCell ref="C44:D44"/>
    <mergeCell ref="F44:G44"/>
    <mergeCell ref="I44:J44"/>
    <mergeCell ref="L44:M44"/>
    <mergeCell ref="O44:P44"/>
    <mergeCell ref="S44:T44"/>
    <mergeCell ref="L54:M54"/>
    <mergeCell ref="O54:P54"/>
    <mergeCell ref="S54:T54"/>
    <mergeCell ref="V54:W54"/>
    <mergeCell ref="C53:D53"/>
    <mergeCell ref="F53:G53"/>
    <mergeCell ref="I53:J53"/>
    <mergeCell ref="L53:M53"/>
    <mergeCell ref="O53:P53"/>
    <mergeCell ref="S53:T53"/>
    <mergeCell ref="V53:W53"/>
    <mergeCell ref="C54:D54"/>
    <mergeCell ref="F54:G54"/>
    <mergeCell ref="I54:J54"/>
    <mergeCell ref="F48:G48"/>
    <mergeCell ref="F49:G49"/>
    <mergeCell ref="F50:G5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8:W8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AC2:AD2"/>
    <mergeCell ref="AE2:AF2"/>
    <mergeCell ref="AG2:AH2"/>
    <mergeCell ref="AI2:AJ2"/>
    <mergeCell ref="AK2:AL2"/>
    <mergeCell ref="AM2:AN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BV1:BY1"/>
    <mergeCell ref="CC1:CF1"/>
    <mergeCell ref="CG1:CH1"/>
    <mergeCell ref="AK1:AL1"/>
    <mergeCell ref="AM1:AN1"/>
    <mergeCell ref="AI1:AJ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E1:AF1"/>
    <mergeCell ref="AG1:AH1"/>
    <mergeCell ref="C55:D55"/>
    <mergeCell ref="F55:G55"/>
    <mergeCell ref="I55:J55"/>
    <mergeCell ref="L55:M55"/>
    <mergeCell ref="O55:P55"/>
    <mergeCell ref="S55:T55"/>
    <mergeCell ref="V55:W55"/>
    <mergeCell ref="O52:P52"/>
    <mergeCell ref="S52:T52"/>
    <mergeCell ref="V52:W52"/>
    <mergeCell ref="C52:D52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L45:M45"/>
    <mergeCell ref="L46:M46"/>
    <mergeCell ref="L47:M47"/>
    <mergeCell ref="L48:M48"/>
    <mergeCell ref="L49:M49"/>
    <mergeCell ref="L50:M50"/>
    <mergeCell ref="L51:M51"/>
    <mergeCell ref="F52:G52"/>
    <mergeCell ref="I52:J52"/>
    <mergeCell ref="L52:M52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51:G51"/>
    <mergeCell ref="I45:J45"/>
    <mergeCell ref="I46:J46"/>
    <mergeCell ref="I47:J47"/>
    <mergeCell ref="I48:J48"/>
    <mergeCell ref="I49:J49"/>
    <mergeCell ref="I50:J50"/>
    <mergeCell ref="I51:J51"/>
    <mergeCell ref="O56:P56"/>
    <mergeCell ref="S56:T56"/>
    <mergeCell ref="V56:W56"/>
    <mergeCell ref="C57:D57"/>
    <mergeCell ref="F57:G57"/>
    <mergeCell ref="I57:J57"/>
    <mergeCell ref="L57:M57"/>
    <mergeCell ref="O57:P57"/>
    <mergeCell ref="S57:T57"/>
    <mergeCell ref="V57:W57"/>
    <mergeCell ref="C56:D56"/>
    <mergeCell ref="F56:G56"/>
    <mergeCell ref="I56:J56"/>
    <mergeCell ref="L56:M56"/>
    <mergeCell ref="C58:D58"/>
    <mergeCell ref="F58:G58"/>
    <mergeCell ref="I58:J58"/>
    <mergeCell ref="L58:M58"/>
    <mergeCell ref="O58:P58"/>
    <mergeCell ref="S58:T58"/>
    <mergeCell ref="V58:W58"/>
    <mergeCell ref="C59:D59"/>
    <mergeCell ref="F59:G59"/>
    <mergeCell ref="I59:J59"/>
    <mergeCell ref="L59:M59"/>
    <mergeCell ref="O59:P59"/>
    <mergeCell ref="S59:T59"/>
    <mergeCell ref="V59:W59"/>
    <mergeCell ref="C60:D60"/>
    <mergeCell ref="F60:G60"/>
    <mergeCell ref="I60:J60"/>
    <mergeCell ref="L60:M60"/>
    <mergeCell ref="O60:P60"/>
    <mergeCell ref="S60:T60"/>
    <mergeCell ref="V60:W60"/>
    <mergeCell ref="C61:D61"/>
    <mergeCell ref="F61:G61"/>
    <mergeCell ref="I61:J61"/>
    <mergeCell ref="L61:M61"/>
    <mergeCell ref="O61:P61"/>
    <mergeCell ref="S61:T61"/>
    <mergeCell ref="V61:W61"/>
    <mergeCell ref="C64:D64"/>
    <mergeCell ref="F64:G64"/>
    <mergeCell ref="I64:J64"/>
    <mergeCell ref="L64:M64"/>
    <mergeCell ref="O64:P64"/>
    <mergeCell ref="S64:T64"/>
    <mergeCell ref="V64:W64"/>
    <mergeCell ref="C62:D62"/>
    <mergeCell ref="F62:G62"/>
    <mergeCell ref="I62:J62"/>
    <mergeCell ref="L62:M62"/>
    <mergeCell ref="O62:P62"/>
    <mergeCell ref="S62:T62"/>
    <mergeCell ref="V62:W62"/>
    <mergeCell ref="C63:D63"/>
    <mergeCell ref="F63:G63"/>
    <mergeCell ref="I63:J63"/>
    <mergeCell ref="L63:M63"/>
    <mergeCell ref="O63:P63"/>
    <mergeCell ref="S63:T63"/>
    <mergeCell ref="V63:W6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346" workbookViewId="0">
      <selection activeCell="K29" sqref="K29"/>
    </sheetView>
  </sheetViews>
  <sheetFormatPr defaultColWidth="13.28515625" defaultRowHeight="15" x14ac:dyDescent="0.25"/>
  <cols>
    <col min="1" max="1" width="18" style="230" bestFit="1" customWidth="1"/>
    <col min="2" max="2" width="3" style="230" bestFit="1" customWidth="1"/>
    <col min="3" max="3" width="17.42578125" style="230" customWidth="1"/>
    <col min="4" max="4" width="40.85546875" style="230" customWidth="1"/>
    <col min="5" max="7" width="14.28515625" style="230" customWidth="1"/>
    <col min="8" max="9" width="14.28515625" style="230" bestFit="1" customWidth="1"/>
    <col min="10" max="18" width="13.28515625" style="230"/>
    <col min="19" max="19" width="19" style="230" customWidth="1"/>
    <col min="20" max="16384" width="13.28515625" style="230"/>
  </cols>
  <sheetData>
    <row r="1" spans="1:10" x14ac:dyDescent="0.25">
      <c r="A1" s="229"/>
      <c r="B1" s="229"/>
      <c r="C1" s="229" t="s">
        <v>450</v>
      </c>
      <c r="D1" s="229" t="s">
        <v>451</v>
      </c>
      <c r="E1" s="229" t="s">
        <v>452</v>
      </c>
      <c r="F1" s="229" t="s">
        <v>453</v>
      </c>
      <c r="G1" s="229" t="s">
        <v>454</v>
      </c>
    </row>
    <row r="2" spans="1:10" x14ac:dyDescent="0.25">
      <c r="A2" s="229"/>
      <c r="B2" s="229"/>
      <c r="C2" s="231" t="s">
        <v>455</v>
      </c>
      <c r="D2" s="231" t="s">
        <v>455</v>
      </c>
      <c r="E2" s="231" t="s">
        <v>455</v>
      </c>
      <c r="F2" s="231" t="s">
        <v>455</v>
      </c>
      <c r="G2" s="231" t="s">
        <v>455</v>
      </c>
      <c r="H2" s="231" t="s">
        <v>455</v>
      </c>
      <c r="I2" s="231" t="s">
        <v>456</v>
      </c>
      <c r="J2" s="229"/>
    </row>
    <row r="3" spans="1:10" x14ac:dyDescent="0.25">
      <c r="A3" s="229"/>
      <c r="B3" s="229"/>
      <c r="C3" s="231" t="s">
        <v>457</v>
      </c>
      <c r="D3" s="231" t="s">
        <v>457</v>
      </c>
      <c r="E3" s="231" t="s">
        <v>457</v>
      </c>
      <c r="F3" s="231" t="s">
        <v>457</v>
      </c>
      <c r="G3" s="231" t="s">
        <v>457</v>
      </c>
      <c r="H3" s="231" t="s">
        <v>457</v>
      </c>
      <c r="I3" s="231" t="s">
        <v>457</v>
      </c>
      <c r="J3" s="229"/>
    </row>
    <row r="4" spans="1:10" x14ac:dyDescent="0.25">
      <c r="A4" s="229"/>
      <c r="B4" s="229"/>
      <c r="C4" s="232" t="s">
        <v>458</v>
      </c>
      <c r="D4" s="232" t="s">
        <v>459</v>
      </c>
      <c r="E4" s="232" t="s">
        <v>460</v>
      </c>
      <c r="F4" s="232" t="s">
        <v>461</v>
      </c>
      <c r="G4" s="232" t="s">
        <v>462</v>
      </c>
      <c r="H4" s="232" t="s">
        <v>463</v>
      </c>
      <c r="I4" s="232" t="s">
        <v>464</v>
      </c>
      <c r="J4" s="229"/>
    </row>
    <row r="5" spans="1:10" x14ac:dyDescent="0.25">
      <c r="A5" s="229"/>
      <c r="B5" s="229"/>
      <c r="C5" s="229" t="s">
        <v>465</v>
      </c>
      <c r="D5" s="229" t="s">
        <v>465</v>
      </c>
      <c r="E5" s="229" t="s">
        <v>465</v>
      </c>
      <c r="F5" s="229" t="s">
        <v>465</v>
      </c>
      <c r="G5" s="229" t="s">
        <v>465</v>
      </c>
      <c r="H5" s="229" t="s">
        <v>465</v>
      </c>
      <c r="I5" s="229" t="s">
        <v>465</v>
      </c>
      <c r="J5" s="229"/>
    </row>
    <row r="6" spans="1:10" x14ac:dyDescent="0.25">
      <c r="A6" s="229"/>
      <c r="B6" s="229"/>
      <c r="C6" s="229" t="s">
        <v>308</v>
      </c>
      <c r="D6" s="229" t="s">
        <v>308</v>
      </c>
      <c r="E6" s="229" t="s">
        <v>308</v>
      </c>
      <c r="F6" s="229" t="s">
        <v>308</v>
      </c>
      <c r="G6" s="229" t="s">
        <v>308</v>
      </c>
      <c r="H6" s="229" t="s">
        <v>308</v>
      </c>
      <c r="I6" s="229" t="s">
        <v>308</v>
      </c>
      <c r="J6" s="229"/>
    </row>
    <row r="7" spans="1:10" x14ac:dyDescent="0.25">
      <c r="A7" s="229"/>
      <c r="B7" s="229"/>
      <c r="C7" s="229"/>
      <c r="D7" s="229"/>
      <c r="G7" s="229"/>
      <c r="H7" s="229"/>
      <c r="I7" s="229"/>
      <c r="J7" s="229"/>
    </row>
    <row r="8" spans="1:10" x14ac:dyDescent="0.25">
      <c r="A8" s="229" t="s">
        <v>314</v>
      </c>
      <c r="B8" s="233" t="s">
        <v>313</v>
      </c>
      <c r="C8" s="229">
        <v>0</v>
      </c>
      <c r="D8" s="229">
        <v>281</v>
      </c>
      <c r="E8" s="230">
        <v>359</v>
      </c>
      <c r="F8" s="230">
        <v>309</v>
      </c>
      <c r="G8" s="229">
        <v>368</v>
      </c>
      <c r="H8" s="229">
        <v>410</v>
      </c>
      <c r="I8" s="229">
        <v>377</v>
      </c>
      <c r="J8" s="229"/>
    </row>
    <row r="9" spans="1:10" x14ac:dyDescent="0.25">
      <c r="A9" s="229" t="s">
        <v>314</v>
      </c>
      <c r="B9" s="233" t="s">
        <v>315</v>
      </c>
      <c r="C9" s="229">
        <v>0</v>
      </c>
      <c r="D9" s="229">
        <v>281</v>
      </c>
      <c r="E9" s="230">
        <v>261</v>
      </c>
      <c r="F9" s="230">
        <v>232</v>
      </c>
      <c r="G9" s="229">
        <v>316</v>
      </c>
      <c r="H9" s="229">
        <v>427</v>
      </c>
      <c r="I9" s="229">
        <v>379</v>
      </c>
      <c r="J9" s="229"/>
    </row>
    <row r="10" spans="1:10" x14ac:dyDescent="0.25">
      <c r="A10" s="229" t="s">
        <v>314</v>
      </c>
      <c r="B10" s="233" t="s">
        <v>316</v>
      </c>
      <c r="C10" s="229">
        <v>0</v>
      </c>
      <c r="D10" s="229">
        <v>243</v>
      </c>
      <c r="E10" s="230">
        <v>237</v>
      </c>
      <c r="F10" s="230">
        <v>307</v>
      </c>
      <c r="G10" s="229">
        <v>382</v>
      </c>
      <c r="H10" s="229">
        <v>415</v>
      </c>
      <c r="I10" s="229">
        <v>314</v>
      </c>
      <c r="J10" s="229"/>
    </row>
    <row r="11" spans="1:10" x14ac:dyDescent="0.25">
      <c r="A11" s="229" t="s">
        <v>314</v>
      </c>
      <c r="B11" s="233" t="s">
        <v>317</v>
      </c>
      <c r="C11" s="229">
        <v>0</v>
      </c>
      <c r="D11" s="229">
        <v>206</v>
      </c>
      <c r="E11" s="230">
        <v>341</v>
      </c>
      <c r="F11" s="230">
        <v>350</v>
      </c>
      <c r="G11" s="229">
        <v>421</v>
      </c>
      <c r="H11" s="229">
        <v>388</v>
      </c>
      <c r="I11" s="229">
        <v>210</v>
      </c>
      <c r="J11" s="229"/>
    </row>
    <row r="12" spans="1:10" x14ac:dyDescent="0.25">
      <c r="A12" s="229" t="s">
        <v>314</v>
      </c>
      <c r="B12" s="233" t="s">
        <v>318</v>
      </c>
      <c r="C12" s="229">
        <v>0</v>
      </c>
      <c r="D12" s="229">
        <v>240</v>
      </c>
      <c r="E12" s="230">
        <v>414</v>
      </c>
      <c r="F12" s="230">
        <v>337</v>
      </c>
      <c r="G12" s="229">
        <v>400</v>
      </c>
      <c r="H12" s="229">
        <v>287</v>
      </c>
      <c r="I12" s="229">
        <v>157</v>
      </c>
      <c r="J12" s="229"/>
    </row>
    <row r="13" spans="1:10" x14ac:dyDescent="0.25">
      <c r="A13" s="229" t="s">
        <v>314</v>
      </c>
      <c r="B13" s="233" t="s">
        <v>319</v>
      </c>
      <c r="C13" s="229">
        <v>0</v>
      </c>
      <c r="D13" s="229">
        <v>296</v>
      </c>
      <c r="E13" s="230">
        <v>408</v>
      </c>
      <c r="F13" s="230">
        <v>342</v>
      </c>
      <c r="G13" s="229">
        <v>341</v>
      </c>
      <c r="H13" s="229">
        <v>250</v>
      </c>
      <c r="I13" s="229">
        <v>146</v>
      </c>
      <c r="J13" s="229"/>
    </row>
    <row r="14" spans="1:10" x14ac:dyDescent="0.25">
      <c r="A14" s="229" t="s">
        <v>314</v>
      </c>
      <c r="B14" s="233" t="s">
        <v>320</v>
      </c>
      <c r="C14" s="229">
        <v>0</v>
      </c>
      <c r="D14" s="229">
        <v>287</v>
      </c>
      <c r="E14" s="230">
        <v>428</v>
      </c>
      <c r="F14" s="230">
        <v>370</v>
      </c>
      <c r="G14" s="229">
        <v>337</v>
      </c>
      <c r="H14" s="229">
        <v>300</v>
      </c>
      <c r="I14" s="229">
        <v>174</v>
      </c>
      <c r="J14" s="229"/>
    </row>
    <row r="15" spans="1:10" x14ac:dyDescent="0.25">
      <c r="A15" s="229" t="s">
        <v>314</v>
      </c>
      <c r="B15" s="233" t="s">
        <v>321</v>
      </c>
      <c r="C15" s="229">
        <v>0</v>
      </c>
      <c r="D15" s="229">
        <v>294</v>
      </c>
      <c r="E15" s="230">
        <v>349</v>
      </c>
      <c r="F15" s="230">
        <v>302</v>
      </c>
      <c r="G15" s="229">
        <v>398</v>
      </c>
      <c r="H15" s="229">
        <v>385</v>
      </c>
      <c r="I15" s="229">
        <v>219</v>
      </c>
      <c r="J15" s="229"/>
    </row>
    <row r="16" spans="1:10" x14ac:dyDescent="0.25">
      <c r="A16" s="229" t="s">
        <v>314</v>
      </c>
      <c r="B16" s="233" t="s">
        <v>322</v>
      </c>
      <c r="C16" s="229">
        <v>0</v>
      </c>
      <c r="D16" s="229">
        <v>234</v>
      </c>
      <c r="E16" s="230">
        <v>377</v>
      </c>
      <c r="F16" s="230">
        <v>388</v>
      </c>
      <c r="G16" s="229">
        <v>413</v>
      </c>
      <c r="H16" s="229">
        <v>345</v>
      </c>
      <c r="I16" s="229">
        <v>190</v>
      </c>
      <c r="J16" s="229"/>
    </row>
    <row r="17" spans="1:10" x14ac:dyDescent="0.25">
      <c r="A17" s="229" t="s">
        <v>314</v>
      </c>
      <c r="B17" s="233" t="s">
        <v>323</v>
      </c>
      <c r="C17" s="229">
        <v>0</v>
      </c>
      <c r="D17" s="229">
        <v>317</v>
      </c>
      <c r="E17" s="230">
        <v>392</v>
      </c>
      <c r="F17" s="230">
        <v>429</v>
      </c>
      <c r="G17" s="229">
        <v>397</v>
      </c>
      <c r="H17" s="229">
        <v>340</v>
      </c>
      <c r="I17" s="229">
        <v>217</v>
      </c>
      <c r="J17" s="229"/>
    </row>
    <row r="18" spans="1:10" x14ac:dyDescent="0.25">
      <c r="A18" s="229" t="s">
        <v>314</v>
      </c>
      <c r="B18" s="233" t="s">
        <v>324</v>
      </c>
      <c r="C18" s="229">
        <v>0</v>
      </c>
      <c r="D18" s="229">
        <v>330</v>
      </c>
      <c r="E18" s="230">
        <v>379</v>
      </c>
      <c r="F18" s="230">
        <v>370</v>
      </c>
      <c r="G18" s="229">
        <v>324</v>
      </c>
      <c r="H18" s="229">
        <v>240</v>
      </c>
      <c r="I18" s="229">
        <v>232</v>
      </c>
      <c r="J18" s="229"/>
    </row>
    <row r="19" spans="1:10" x14ac:dyDescent="0.25">
      <c r="A19" s="229" t="s">
        <v>314</v>
      </c>
      <c r="B19" s="233" t="s">
        <v>325</v>
      </c>
      <c r="C19" s="229">
        <v>0</v>
      </c>
      <c r="D19" s="229">
        <v>346</v>
      </c>
      <c r="E19" s="230">
        <v>332</v>
      </c>
      <c r="F19" s="230">
        <v>332</v>
      </c>
      <c r="G19" s="229">
        <v>427</v>
      </c>
      <c r="H19" s="229">
        <v>227</v>
      </c>
      <c r="I19" s="229">
        <v>192</v>
      </c>
      <c r="J19" s="229"/>
    </row>
    <row r="20" spans="1:10" x14ac:dyDescent="0.25">
      <c r="A20" s="229" t="s">
        <v>314</v>
      </c>
      <c r="B20" s="233" t="s">
        <v>326</v>
      </c>
      <c r="C20" s="229">
        <v>0</v>
      </c>
      <c r="D20" s="229">
        <v>335</v>
      </c>
      <c r="E20" s="230">
        <v>244</v>
      </c>
      <c r="F20" s="230">
        <v>312</v>
      </c>
      <c r="G20" s="229">
        <v>357</v>
      </c>
      <c r="H20" s="229">
        <v>256</v>
      </c>
      <c r="I20" s="229">
        <v>369</v>
      </c>
      <c r="J20" s="229"/>
    </row>
    <row r="21" spans="1:10" x14ac:dyDescent="0.25">
      <c r="A21" s="229" t="s">
        <v>314</v>
      </c>
      <c r="B21" s="233" t="s">
        <v>327</v>
      </c>
      <c r="C21" s="229">
        <v>0</v>
      </c>
      <c r="D21" s="229">
        <v>282</v>
      </c>
      <c r="E21" s="230">
        <v>324</v>
      </c>
      <c r="F21" s="230">
        <v>363</v>
      </c>
      <c r="G21" s="229">
        <v>348</v>
      </c>
      <c r="H21" s="229">
        <v>324</v>
      </c>
      <c r="I21" s="229">
        <v>369</v>
      </c>
      <c r="J21" s="229"/>
    </row>
    <row r="22" spans="1:10" x14ac:dyDescent="0.25">
      <c r="A22" s="229" t="s">
        <v>314</v>
      </c>
      <c r="B22" s="233" t="s">
        <v>328</v>
      </c>
      <c r="C22" s="229">
        <v>0</v>
      </c>
      <c r="D22" s="229">
        <v>176</v>
      </c>
      <c r="E22" s="230">
        <v>319</v>
      </c>
      <c r="F22" s="230">
        <v>384</v>
      </c>
      <c r="G22" s="229">
        <v>382</v>
      </c>
      <c r="H22" s="229">
        <v>320</v>
      </c>
      <c r="I22" s="229">
        <v>407</v>
      </c>
      <c r="J22" s="229"/>
    </row>
    <row r="23" spans="1:10" x14ac:dyDescent="0.25">
      <c r="A23" s="229" t="s">
        <v>314</v>
      </c>
      <c r="B23" s="233" t="s">
        <v>329</v>
      </c>
      <c r="C23" s="229">
        <v>0</v>
      </c>
      <c r="D23" s="229">
        <v>253</v>
      </c>
      <c r="E23" s="230">
        <v>371</v>
      </c>
      <c r="F23" s="230">
        <v>319</v>
      </c>
      <c r="G23" s="229">
        <v>391</v>
      </c>
      <c r="H23" s="229">
        <v>314</v>
      </c>
      <c r="I23" s="229">
        <v>407</v>
      </c>
      <c r="J23" s="229"/>
    </row>
    <row r="24" spans="1:10" x14ac:dyDescent="0.25">
      <c r="A24" s="229" t="s">
        <v>314</v>
      </c>
      <c r="B24" s="233" t="s">
        <v>330</v>
      </c>
      <c r="C24" s="229">
        <v>0</v>
      </c>
      <c r="D24" s="229">
        <v>305</v>
      </c>
      <c r="E24" s="230">
        <v>337</v>
      </c>
      <c r="F24" s="230">
        <v>383</v>
      </c>
      <c r="G24" s="229">
        <v>275</v>
      </c>
      <c r="H24" s="229">
        <v>284</v>
      </c>
      <c r="I24" s="229">
        <v>388</v>
      </c>
      <c r="J24" s="229"/>
    </row>
    <row r="25" spans="1:10" x14ac:dyDescent="0.25">
      <c r="A25" s="229" t="s">
        <v>314</v>
      </c>
      <c r="B25" s="233" t="s">
        <v>331</v>
      </c>
      <c r="C25" s="229">
        <v>0</v>
      </c>
      <c r="D25" s="229">
        <v>267</v>
      </c>
      <c r="E25" s="230">
        <v>226</v>
      </c>
      <c r="F25" s="230">
        <v>377</v>
      </c>
      <c r="G25" s="229">
        <v>247</v>
      </c>
      <c r="H25" s="229">
        <v>413</v>
      </c>
      <c r="I25" s="229">
        <v>394</v>
      </c>
      <c r="J25" s="229"/>
    </row>
    <row r="26" spans="1:10" x14ac:dyDescent="0.25">
      <c r="A26" s="229" t="s">
        <v>314</v>
      </c>
      <c r="B26" s="233" t="s">
        <v>332</v>
      </c>
      <c r="C26" s="229">
        <v>0</v>
      </c>
      <c r="D26" s="229">
        <v>187</v>
      </c>
      <c r="E26" s="230">
        <v>346</v>
      </c>
      <c r="F26" s="230">
        <v>382</v>
      </c>
      <c r="G26" s="229">
        <v>219</v>
      </c>
      <c r="H26" s="229">
        <v>423</v>
      </c>
      <c r="I26" s="229">
        <v>377</v>
      </c>
      <c r="J26" s="229"/>
    </row>
    <row r="27" spans="1:10" x14ac:dyDescent="0.25">
      <c r="A27" s="229" t="s">
        <v>314</v>
      </c>
      <c r="B27" s="233" t="s">
        <v>333</v>
      </c>
      <c r="C27" s="229">
        <v>0</v>
      </c>
      <c r="D27" s="229">
        <v>221</v>
      </c>
      <c r="E27" s="230">
        <v>412</v>
      </c>
      <c r="F27" s="230">
        <v>427</v>
      </c>
      <c r="G27" s="229">
        <v>253</v>
      </c>
      <c r="H27" s="229">
        <v>400</v>
      </c>
      <c r="I27" s="229">
        <v>387</v>
      </c>
      <c r="J27" s="229"/>
    </row>
    <row r="28" spans="1:10" x14ac:dyDescent="0.25">
      <c r="A28" s="229" t="s">
        <v>314</v>
      </c>
      <c r="B28" s="233" t="s">
        <v>334</v>
      </c>
      <c r="C28" s="229">
        <v>0</v>
      </c>
      <c r="D28" s="229">
        <v>359</v>
      </c>
      <c r="E28" s="230">
        <v>409</v>
      </c>
      <c r="F28" s="230">
        <v>237</v>
      </c>
      <c r="G28" s="229">
        <v>225</v>
      </c>
      <c r="H28" s="229">
        <v>355</v>
      </c>
      <c r="I28" s="229">
        <v>344</v>
      </c>
      <c r="J28" s="229"/>
    </row>
    <row r="29" spans="1:10" x14ac:dyDescent="0.25">
      <c r="A29" s="229" t="s">
        <v>314</v>
      </c>
      <c r="B29" s="233" t="s">
        <v>335</v>
      </c>
      <c r="C29" s="229">
        <v>0</v>
      </c>
      <c r="D29" s="229">
        <v>307</v>
      </c>
      <c r="E29" s="230">
        <v>320</v>
      </c>
      <c r="F29" s="230">
        <v>198</v>
      </c>
      <c r="G29" s="229">
        <v>285</v>
      </c>
      <c r="H29" s="229">
        <v>403</v>
      </c>
      <c r="I29" s="229">
        <v>401</v>
      </c>
      <c r="J29" s="229"/>
    </row>
    <row r="30" spans="1:10" x14ac:dyDescent="0.25">
      <c r="A30" s="229" t="s">
        <v>314</v>
      </c>
      <c r="B30" s="233" t="s">
        <v>336</v>
      </c>
      <c r="C30" s="229">
        <v>0</v>
      </c>
      <c r="D30" s="229">
        <v>323</v>
      </c>
      <c r="E30" s="230">
        <v>313</v>
      </c>
      <c r="F30" s="230">
        <v>206</v>
      </c>
      <c r="G30" s="229">
        <v>323</v>
      </c>
      <c r="H30" s="229">
        <v>359</v>
      </c>
      <c r="I30" s="229">
        <v>392</v>
      </c>
      <c r="J30" s="229"/>
    </row>
    <row r="31" spans="1:10" x14ac:dyDescent="0.25">
      <c r="A31" s="229" t="s">
        <v>314</v>
      </c>
      <c r="B31" s="233" t="s">
        <v>338</v>
      </c>
      <c r="C31" s="229">
        <v>0</v>
      </c>
      <c r="D31" s="229">
        <v>214</v>
      </c>
      <c r="E31" s="230">
        <v>197</v>
      </c>
      <c r="F31" s="230">
        <v>395</v>
      </c>
      <c r="G31" s="229">
        <v>322</v>
      </c>
      <c r="H31" s="229">
        <v>381</v>
      </c>
      <c r="I31" s="229">
        <v>416</v>
      </c>
      <c r="J31" s="229"/>
    </row>
    <row r="32" spans="1:10" x14ac:dyDescent="0.25">
      <c r="A32" s="229" t="s">
        <v>314</v>
      </c>
      <c r="B32" s="233" t="s">
        <v>340</v>
      </c>
      <c r="C32" s="229">
        <v>0</v>
      </c>
      <c r="D32" s="229">
        <v>353</v>
      </c>
      <c r="E32" s="230">
        <v>253</v>
      </c>
      <c r="F32" s="230">
        <v>416</v>
      </c>
      <c r="G32" s="229">
        <v>264</v>
      </c>
      <c r="H32" s="229">
        <v>265</v>
      </c>
      <c r="I32" s="229">
        <v>237</v>
      </c>
      <c r="J32" s="229"/>
    </row>
    <row r="33" spans="1:10" x14ac:dyDescent="0.25">
      <c r="A33" s="229" t="s">
        <v>314</v>
      </c>
      <c r="B33" s="233" t="s">
        <v>342</v>
      </c>
      <c r="C33" s="229">
        <v>0</v>
      </c>
      <c r="D33" s="229">
        <v>358</v>
      </c>
      <c r="E33" s="230">
        <v>295</v>
      </c>
      <c r="F33" s="230">
        <v>413</v>
      </c>
      <c r="G33" s="229">
        <v>249</v>
      </c>
      <c r="H33" s="229">
        <v>352</v>
      </c>
      <c r="I33" s="229">
        <v>374</v>
      </c>
      <c r="J33" s="229"/>
    </row>
    <row r="34" spans="1:10" x14ac:dyDescent="0.25">
      <c r="A34" s="229" t="s">
        <v>314</v>
      </c>
      <c r="B34" s="233" t="s">
        <v>344</v>
      </c>
      <c r="C34" s="229">
        <v>0</v>
      </c>
      <c r="D34" s="229">
        <v>342</v>
      </c>
      <c r="E34" s="230">
        <v>331</v>
      </c>
      <c r="F34" s="230">
        <v>417</v>
      </c>
      <c r="G34" s="229">
        <v>345</v>
      </c>
      <c r="H34" s="229">
        <v>345</v>
      </c>
      <c r="I34" s="229">
        <v>383</v>
      </c>
      <c r="J34" s="229"/>
    </row>
    <row r="35" spans="1:10" x14ac:dyDescent="0.25">
      <c r="A35" s="229" t="s">
        <v>314</v>
      </c>
      <c r="B35" s="233" t="s">
        <v>346</v>
      </c>
      <c r="C35" s="229">
        <v>0</v>
      </c>
      <c r="D35" s="229">
        <v>172</v>
      </c>
      <c r="E35" s="230">
        <v>369</v>
      </c>
      <c r="F35" s="230">
        <v>382</v>
      </c>
      <c r="G35" s="229">
        <v>411</v>
      </c>
      <c r="H35" s="229">
        <v>364</v>
      </c>
      <c r="I35" s="229">
        <v>352</v>
      </c>
      <c r="J35" s="229"/>
    </row>
    <row r="36" spans="1:10" x14ac:dyDescent="0.25">
      <c r="A36" s="229" t="s">
        <v>314</v>
      </c>
      <c r="B36" s="233" t="s">
        <v>347</v>
      </c>
      <c r="C36" s="229">
        <v>0</v>
      </c>
      <c r="D36" s="229">
        <v>197</v>
      </c>
      <c r="E36" s="230">
        <v>383</v>
      </c>
      <c r="F36" s="230">
        <v>260</v>
      </c>
      <c r="G36" s="229">
        <v>383</v>
      </c>
      <c r="H36" s="229">
        <v>344</v>
      </c>
      <c r="I36" s="229">
        <v>407</v>
      </c>
      <c r="J36" s="229"/>
    </row>
    <row r="37" spans="1:10" x14ac:dyDescent="0.25">
      <c r="A37" s="229" t="s">
        <v>314</v>
      </c>
      <c r="B37" s="233" t="s">
        <v>349</v>
      </c>
      <c r="C37" s="229">
        <v>0</v>
      </c>
      <c r="D37" s="229">
        <v>121</v>
      </c>
      <c r="E37" s="230">
        <v>412</v>
      </c>
      <c r="F37" s="230">
        <v>413</v>
      </c>
      <c r="G37" s="229">
        <v>372</v>
      </c>
      <c r="H37" s="229">
        <v>340</v>
      </c>
      <c r="I37" s="229">
        <v>364</v>
      </c>
      <c r="J37" s="229"/>
    </row>
    <row r="38" spans="1:10" x14ac:dyDescent="0.25">
      <c r="A38" s="229" t="s">
        <v>314</v>
      </c>
      <c r="B38" s="232" t="s">
        <v>350</v>
      </c>
      <c r="C38" s="229">
        <v>0</v>
      </c>
      <c r="D38" s="229">
        <v>152</v>
      </c>
      <c r="E38" s="230">
        <v>256</v>
      </c>
      <c r="F38" s="230">
        <v>415</v>
      </c>
      <c r="G38" s="229">
        <v>274</v>
      </c>
      <c r="H38" s="229">
        <v>296</v>
      </c>
      <c r="I38" s="229">
        <v>246</v>
      </c>
      <c r="J38" s="229"/>
    </row>
    <row r="39" spans="1:10" x14ac:dyDescent="0.25">
      <c r="A39" s="229" t="s">
        <v>351</v>
      </c>
      <c r="B39" s="233" t="s">
        <v>313</v>
      </c>
      <c r="C39" s="229">
        <v>0</v>
      </c>
      <c r="D39" s="229">
        <v>208</v>
      </c>
      <c r="E39" s="230">
        <v>386</v>
      </c>
      <c r="F39" s="230">
        <v>226</v>
      </c>
      <c r="G39" s="229">
        <v>311</v>
      </c>
      <c r="H39" s="229">
        <v>305</v>
      </c>
      <c r="I39" s="229">
        <v>264</v>
      </c>
      <c r="J39" s="229"/>
    </row>
    <row r="40" spans="1:10" x14ac:dyDescent="0.25">
      <c r="A40" s="229" t="s">
        <v>351</v>
      </c>
      <c r="B40" s="233" t="s">
        <v>315</v>
      </c>
      <c r="C40" s="229">
        <v>0</v>
      </c>
      <c r="D40" s="229">
        <v>279</v>
      </c>
      <c r="E40" s="230">
        <v>398</v>
      </c>
      <c r="F40" s="230">
        <v>265</v>
      </c>
      <c r="G40" s="229">
        <v>239</v>
      </c>
      <c r="H40" s="229">
        <v>365</v>
      </c>
      <c r="I40" s="229">
        <v>271</v>
      </c>
      <c r="J40" s="229"/>
    </row>
    <row r="41" spans="1:10" x14ac:dyDescent="0.25">
      <c r="A41" s="229" t="s">
        <v>351</v>
      </c>
      <c r="B41" s="233" t="s">
        <v>316</v>
      </c>
      <c r="C41" s="229">
        <v>0</v>
      </c>
      <c r="D41" s="229">
        <v>263</v>
      </c>
      <c r="E41" s="230">
        <v>355</v>
      </c>
      <c r="F41" s="230">
        <v>296</v>
      </c>
      <c r="G41" s="229">
        <v>218</v>
      </c>
      <c r="H41" s="229">
        <v>268</v>
      </c>
      <c r="I41" s="229">
        <v>418</v>
      </c>
      <c r="J41" s="229"/>
    </row>
    <row r="42" spans="1:10" x14ac:dyDescent="0.25">
      <c r="A42" s="229" t="s">
        <v>351</v>
      </c>
      <c r="B42" s="233" t="s">
        <v>317</v>
      </c>
      <c r="C42" s="229">
        <v>0</v>
      </c>
      <c r="D42" s="229">
        <v>183</v>
      </c>
      <c r="E42" s="230">
        <v>206</v>
      </c>
      <c r="F42" s="230">
        <v>310</v>
      </c>
      <c r="G42" s="229">
        <v>212</v>
      </c>
      <c r="H42" s="229">
        <v>308</v>
      </c>
      <c r="I42" s="229">
        <v>417</v>
      </c>
      <c r="J42" s="229"/>
    </row>
    <row r="43" spans="1:10" x14ac:dyDescent="0.25">
      <c r="A43" s="229" t="s">
        <v>351</v>
      </c>
      <c r="B43" s="233" t="s">
        <v>318</v>
      </c>
      <c r="C43" s="229">
        <v>0</v>
      </c>
      <c r="D43" s="229">
        <v>134</v>
      </c>
      <c r="E43" s="230">
        <v>278</v>
      </c>
      <c r="F43" s="230">
        <v>317</v>
      </c>
      <c r="G43" s="229">
        <v>365</v>
      </c>
      <c r="H43" s="229">
        <v>231</v>
      </c>
      <c r="I43" s="229">
        <v>349</v>
      </c>
      <c r="J43" s="229"/>
    </row>
    <row r="44" spans="1:10" x14ac:dyDescent="0.25">
      <c r="A44" s="229" t="s">
        <v>351</v>
      </c>
      <c r="B44" s="233" t="s">
        <v>319</v>
      </c>
      <c r="C44" s="229">
        <v>0</v>
      </c>
      <c r="D44" s="229">
        <v>161</v>
      </c>
      <c r="E44" s="230">
        <v>285</v>
      </c>
      <c r="F44" s="230">
        <v>308</v>
      </c>
      <c r="G44" s="229">
        <v>393</v>
      </c>
      <c r="H44" s="229">
        <v>410</v>
      </c>
      <c r="I44" s="229">
        <v>354</v>
      </c>
      <c r="J44" s="229"/>
    </row>
    <row r="45" spans="1:10" x14ac:dyDescent="0.25">
      <c r="A45" s="229" t="s">
        <v>351</v>
      </c>
      <c r="B45" s="233" t="s">
        <v>320</v>
      </c>
      <c r="C45" s="229">
        <v>0</v>
      </c>
      <c r="D45" s="229">
        <v>175</v>
      </c>
      <c r="E45" s="230">
        <v>345</v>
      </c>
      <c r="F45" s="230">
        <v>332</v>
      </c>
      <c r="G45" s="229">
        <v>345</v>
      </c>
      <c r="H45" s="229">
        <v>404</v>
      </c>
      <c r="I45" s="229">
        <v>404</v>
      </c>
      <c r="J45" s="229"/>
    </row>
    <row r="46" spans="1:10" x14ac:dyDescent="0.25">
      <c r="A46" s="229" t="s">
        <v>351</v>
      </c>
      <c r="B46" s="233" t="s">
        <v>321</v>
      </c>
      <c r="C46" s="229">
        <v>0</v>
      </c>
      <c r="D46" s="229">
        <v>137</v>
      </c>
      <c r="E46" s="230">
        <v>419</v>
      </c>
      <c r="F46" s="230">
        <v>327</v>
      </c>
      <c r="G46" s="229">
        <v>364</v>
      </c>
      <c r="H46" s="229">
        <v>432</v>
      </c>
      <c r="I46" s="229">
        <v>349</v>
      </c>
      <c r="J46" s="229"/>
    </row>
    <row r="47" spans="1:10" x14ac:dyDescent="0.25">
      <c r="A47" s="229" t="s">
        <v>351</v>
      </c>
      <c r="B47" s="233" t="s">
        <v>322</v>
      </c>
      <c r="C47" s="229">
        <v>0</v>
      </c>
      <c r="D47" s="229">
        <v>230</v>
      </c>
      <c r="E47" s="230">
        <v>390</v>
      </c>
      <c r="F47" s="230">
        <v>327</v>
      </c>
      <c r="G47" s="229">
        <v>330</v>
      </c>
      <c r="H47" s="229">
        <v>216</v>
      </c>
      <c r="I47" s="229">
        <v>296</v>
      </c>
      <c r="J47" s="229"/>
    </row>
    <row r="48" spans="1:10" x14ac:dyDescent="0.25">
      <c r="A48" s="229" t="s">
        <v>351</v>
      </c>
      <c r="B48" s="233" t="s">
        <v>323</v>
      </c>
      <c r="C48" s="229">
        <v>0</v>
      </c>
      <c r="D48" s="229">
        <v>243</v>
      </c>
      <c r="E48" s="230">
        <v>395</v>
      </c>
      <c r="F48" s="230">
        <v>328</v>
      </c>
      <c r="G48" s="229">
        <v>332</v>
      </c>
      <c r="H48" s="229">
        <v>240</v>
      </c>
      <c r="I48" s="229">
        <v>290</v>
      </c>
      <c r="J48" s="229"/>
    </row>
    <row r="49" spans="1:10" x14ac:dyDescent="0.25">
      <c r="A49" s="229" t="s">
        <v>351</v>
      </c>
      <c r="B49" s="233" t="s">
        <v>324</v>
      </c>
      <c r="C49" s="229">
        <v>0</v>
      </c>
      <c r="D49" s="229">
        <v>212</v>
      </c>
      <c r="E49" s="230">
        <v>347</v>
      </c>
      <c r="F49" s="230">
        <v>263</v>
      </c>
      <c r="G49" s="229">
        <v>326</v>
      </c>
      <c r="H49" s="229">
        <v>407</v>
      </c>
      <c r="I49" s="229">
        <v>232</v>
      </c>
      <c r="J49" s="229"/>
    </row>
    <row r="50" spans="1:10" x14ac:dyDescent="0.25">
      <c r="A50" s="229" t="s">
        <v>351</v>
      </c>
      <c r="B50" s="233" t="s">
        <v>325</v>
      </c>
      <c r="C50" s="229">
        <v>0</v>
      </c>
      <c r="D50" s="229">
        <v>226</v>
      </c>
      <c r="E50" s="230">
        <v>331</v>
      </c>
      <c r="F50" s="230">
        <v>248</v>
      </c>
      <c r="G50" s="229">
        <v>340</v>
      </c>
      <c r="H50" s="229">
        <v>405</v>
      </c>
      <c r="I50" s="229">
        <v>267</v>
      </c>
      <c r="J50" s="229"/>
    </row>
    <row r="51" spans="1:10" x14ac:dyDescent="0.25">
      <c r="A51" s="229" t="s">
        <v>351</v>
      </c>
      <c r="B51" s="233" t="s">
        <v>326</v>
      </c>
      <c r="C51" s="229">
        <v>0</v>
      </c>
      <c r="D51" s="229">
        <v>321</v>
      </c>
      <c r="E51" s="230">
        <v>406</v>
      </c>
      <c r="F51" s="230">
        <v>327</v>
      </c>
      <c r="G51" s="229">
        <v>389</v>
      </c>
      <c r="H51" s="229">
        <v>242</v>
      </c>
      <c r="I51" s="229">
        <v>329</v>
      </c>
      <c r="J51" s="229"/>
    </row>
    <row r="52" spans="1:10" x14ac:dyDescent="0.25">
      <c r="A52" s="229" t="s">
        <v>351</v>
      </c>
      <c r="B52" s="233" t="s">
        <v>327</v>
      </c>
      <c r="C52" s="229">
        <v>0</v>
      </c>
      <c r="D52" s="229">
        <v>409</v>
      </c>
      <c r="E52" s="230">
        <v>428</v>
      </c>
      <c r="F52" s="230">
        <v>359</v>
      </c>
      <c r="G52" s="229">
        <v>317</v>
      </c>
      <c r="H52" s="229">
        <v>317</v>
      </c>
      <c r="I52" s="229">
        <v>377</v>
      </c>
      <c r="J52" s="229"/>
    </row>
    <row r="53" spans="1:10" x14ac:dyDescent="0.25">
      <c r="A53" s="229" t="s">
        <v>351</v>
      </c>
      <c r="B53" s="233" t="s">
        <v>328</v>
      </c>
      <c r="C53" s="229">
        <v>0</v>
      </c>
      <c r="D53" s="229">
        <v>381</v>
      </c>
      <c r="E53" s="230">
        <v>410</v>
      </c>
      <c r="F53" s="230">
        <v>392</v>
      </c>
      <c r="G53" s="229">
        <v>384</v>
      </c>
      <c r="H53" s="229">
        <v>404</v>
      </c>
      <c r="I53" s="229">
        <v>435</v>
      </c>
      <c r="J53" s="229"/>
    </row>
    <row r="54" spans="1:10" x14ac:dyDescent="0.25">
      <c r="A54" s="229" t="s">
        <v>351</v>
      </c>
      <c r="B54" s="233" t="s">
        <v>329</v>
      </c>
      <c r="C54" s="229">
        <v>0</v>
      </c>
      <c r="D54" s="229">
        <v>275</v>
      </c>
      <c r="E54" s="230">
        <v>386</v>
      </c>
      <c r="F54" s="230">
        <v>373</v>
      </c>
      <c r="G54" s="229">
        <v>433</v>
      </c>
      <c r="H54" s="229">
        <v>432</v>
      </c>
      <c r="I54" s="229">
        <v>425</v>
      </c>
      <c r="J54" s="229"/>
    </row>
    <row r="55" spans="1:10" x14ac:dyDescent="0.25">
      <c r="A55" s="229" t="s">
        <v>351</v>
      </c>
      <c r="B55" s="233" t="s">
        <v>330</v>
      </c>
      <c r="C55" s="229">
        <v>0</v>
      </c>
      <c r="D55" s="229">
        <v>208</v>
      </c>
      <c r="E55" s="230">
        <v>395</v>
      </c>
      <c r="F55" s="230">
        <v>424</v>
      </c>
      <c r="G55" s="229">
        <v>435</v>
      </c>
      <c r="H55" s="229">
        <v>406</v>
      </c>
      <c r="I55" s="229">
        <v>317</v>
      </c>
      <c r="J55" s="229"/>
    </row>
    <row r="56" spans="1:10" x14ac:dyDescent="0.25">
      <c r="A56" s="229" t="s">
        <v>351</v>
      </c>
      <c r="B56" s="233" t="s">
        <v>331</v>
      </c>
      <c r="C56" s="229">
        <v>0</v>
      </c>
      <c r="D56" s="229">
        <v>250</v>
      </c>
      <c r="E56" s="230">
        <v>373</v>
      </c>
      <c r="F56" s="230">
        <v>440</v>
      </c>
      <c r="G56" s="229">
        <v>433</v>
      </c>
      <c r="H56" s="229">
        <v>346</v>
      </c>
      <c r="I56" s="229">
        <v>317</v>
      </c>
      <c r="J56" s="229"/>
    </row>
    <row r="57" spans="1:10" x14ac:dyDescent="0.25">
      <c r="A57" s="229" t="s">
        <v>351</v>
      </c>
      <c r="B57" s="233" t="s">
        <v>332</v>
      </c>
      <c r="C57" s="229">
        <v>0</v>
      </c>
      <c r="D57" s="229">
        <v>254</v>
      </c>
      <c r="E57" s="230">
        <v>409</v>
      </c>
      <c r="F57" s="230">
        <v>440</v>
      </c>
      <c r="G57" s="229">
        <v>392</v>
      </c>
      <c r="H57" s="229">
        <v>434</v>
      </c>
      <c r="I57" s="229">
        <v>436</v>
      </c>
      <c r="J57" s="229"/>
    </row>
    <row r="58" spans="1:10" x14ac:dyDescent="0.25">
      <c r="A58" s="229" t="s">
        <v>351</v>
      </c>
      <c r="B58" s="233" t="s">
        <v>333</v>
      </c>
      <c r="C58" s="229">
        <v>0</v>
      </c>
      <c r="D58" s="229">
        <v>248</v>
      </c>
      <c r="E58" s="230">
        <v>399</v>
      </c>
      <c r="F58" s="230">
        <v>350</v>
      </c>
      <c r="G58" s="229">
        <v>415</v>
      </c>
      <c r="H58" s="229">
        <v>436</v>
      </c>
      <c r="I58" s="229">
        <v>432</v>
      </c>
      <c r="J58" s="229"/>
    </row>
    <row r="59" spans="1:10" x14ac:dyDescent="0.25">
      <c r="A59" s="229" t="s">
        <v>351</v>
      </c>
      <c r="B59" s="233" t="s">
        <v>334</v>
      </c>
      <c r="C59" s="229">
        <v>0</v>
      </c>
      <c r="D59" s="229">
        <v>225</v>
      </c>
      <c r="E59" s="230">
        <v>360</v>
      </c>
      <c r="F59" s="230">
        <v>305</v>
      </c>
      <c r="G59" s="229">
        <v>420</v>
      </c>
      <c r="H59" s="229">
        <v>309</v>
      </c>
      <c r="I59" s="229">
        <v>369</v>
      </c>
      <c r="J59" s="229"/>
    </row>
    <row r="60" spans="1:10" x14ac:dyDescent="0.25">
      <c r="A60" s="229" t="s">
        <v>351</v>
      </c>
      <c r="B60" s="233" t="s">
        <v>335</v>
      </c>
      <c r="C60" s="229">
        <v>0</v>
      </c>
      <c r="D60" s="229">
        <v>201</v>
      </c>
      <c r="E60" s="230">
        <v>219</v>
      </c>
      <c r="F60" s="230">
        <v>376</v>
      </c>
      <c r="G60" s="229">
        <v>342</v>
      </c>
      <c r="H60" s="229">
        <v>363</v>
      </c>
      <c r="I60" s="229">
        <v>388</v>
      </c>
      <c r="J60" s="229"/>
    </row>
    <row r="61" spans="1:10" x14ac:dyDescent="0.25">
      <c r="A61" s="229" t="s">
        <v>351</v>
      </c>
      <c r="B61" s="233" t="s">
        <v>336</v>
      </c>
      <c r="C61" s="229">
        <v>0</v>
      </c>
      <c r="D61" s="229">
        <v>256</v>
      </c>
      <c r="E61" s="230">
        <v>219</v>
      </c>
      <c r="F61" s="230">
        <v>422</v>
      </c>
      <c r="G61" s="229">
        <v>355</v>
      </c>
      <c r="H61" s="229">
        <v>390</v>
      </c>
      <c r="I61" s="229">
        <v>364</v>
      </c>
      <c r="J61" s="229"/>
    </row>
    <row r="62" spans="1:10" x14ac:dyDescent="0.25">
      <c r="A62" s="229" t="s">
        <v>351</v>
      </c>
      <c r="B62" s="233" t="s">
        <v>338</v>
      </c>
      <c r="C62" s="229">
        <v>0</v>
      </c>
      <c r="D62" s="229">
        <v>258</v>
      </c>
      <c r="E62" s="230">
        <v>352</v>
      </c>
      <c r="F62" s="230">
        <v>416</v>
      </c>
      <c r="G62" s="229">
        <v>390</v>
      </c>
      <c r="H62" s="229">
        <v>399</v>
      </c>
      <c r="I62" s="229">
        <v>382</v>
      </c>
      <c r="J62" s="229"/>
    </row>
    <row r="63" spans="1:10" x14ac:dyDescent="0.25">
      <c r="A63" s="229" t="s">
        <v>351</v>
      </c>
      <c r="B63" s="233" t="s">
        <v>340</v>
      </c>
      <c r="C63" s="229">
        <v>0</v>
      </c>
      <c r="D63" s="229">
        <v>156</v>
      </c>
      <c r="E63" s="230">
        <v>336</v>
      </c>
      <c r="F63" s="230">
        <v>390</v>
      </c>
      <c r="G63" s="229">
        <v>320</v>
      </c>
      <c r="H63" s="229">
        <v>370</v>
      </c>
      <c r="I63" s="229">
        <v>334</v>
      </c>
      <c r="J63" s="229"/>
    </row>
    <row r="64" spans="1:10" x14ac:dyDescent="0.25">
      <c r="A64" s="229" t="s">
        <v>351</v>
      </c>
      <c r="B64" s="233" t="s">
        <v>342</v>
      </c>
      <c r="C64" s="229">
        <v>0</v>
      </c>
      <c r="D64" s="229">
        <v>125</v>
      </c>
      <c r="E64" s="230">
        <v>227</v>
      </c>
      <c r="F64" s="230">
        <v>291</v>
      </c>
      <c r="G64" s="229">
        <v>309</v>
      </c>
      <c r="H64" s="229">
        <v>329</v>
      </c>
      <c r="I64" s="229">
        <v>389</v>
      </c>
      <c r="J64" s="229"/>
    </row>
    <row r="65" spans="1:10" x14ac:dyDescent="0.25">
      <c r="A65" s="229" t="s">
        <v>351</v>
      </c>
      <c r="B65" s="233" t="s">
        <v>344</v>
      </c>
      <c r="C65" s="229">
        <v>0</v>
      </c>
      <c r="D65" s="229">
        <v>138</v>
      </c>
      <c r="E65" s="230">
        <v>267</v>
      </c>
      <c r="F65" s="230">
        <v>384</v>
      </c>
      <c r="G65" s="229">
        <v>206</v>
      </c>
      <c r="H65" s="229">
        <v>343</v>
      </c>
      <c r="I65" s="229">
        <v>355</v>
      </c>
      <c r="J65" s="229"/>
    </row>
    <row r="66" spans="1:10" x14ac:dyDescent="0.25">
      <c r="A66" s="229" t="s">
        <v>351</v>
      </c>
      <c r="B66" s="233" t="s">
        <v>346</v>
      </c>
      <c r="C66" s="229">
        <v>0</v>
      </c>
      <c r="D66" s="229">
        <v>150</v>
      </c>
      <c r="E66" s="230">
        <v>293</v>
      </c>
      <c r="F66" s="230">
        <v>363</v>
      </c>
      <c r="G66" s="229">
        <v>408</v>
      </c>
      <c r="H66" s="229">
        <v>407</v>
      </c>
      <c r="I66" s="229">
        <v>274</v>
      </c>
      <c r="J66" s="229"/>
    </row>
    <row r="67" spans="1:10" x14ac:dyDescent="0.25">
      <c r="A67" s="229" t="s">
        <v>351</v>
      </c>
      <c r="B67" s="232" t="s">
        <v>347</v>
      </c>
      <c r="C67" s="229">
        <v>0</v>
      </c>
      <c r="D67" s="229">
        <v>0</v>
      </c>
      <c r="E67" s="230">
        <v>311</v>
      </c>
      <c r="F67" s="230">
        <v>0</v>
      </c>
      <c r="G67" s="229">
        <v>0</v>
      </c>
      <c r="H67" s="229">
        <v>0</v>
      </c>
      <c r="I67" s="229">
        <v>284</v>
      </c>
      <c r="J67" s="229"/>
    </row>
    <row r="68" spans="1:10" x14ac:dyDescent="0.25">
      <c r="A68" s="229" t="s">
        <v>352</v>
      </c>
      <c r="B68" s="233" t="s">
        <v>313</v>
      </c>
      <c r="C68" s="229">
        <v>0</v>
      </c>
      <c r="D68" s="229">
        <v>128</v>
      </c>
      <c r="E68" s="230">
        <v>325</v>
      </c>
      <c r="F68" s="230">
        <v>366</v>
      </c>
      <c r="G68" s="229">
        <v>414</v>
      </c>
      <c r="H68" s="229">
        <v>366</v>
      </c>
      <c r="I68" s="229">
        <v>260</v>
      </c>
      <c r="J68" s="229"/>
    </row>
    <row r="69" spans="1:10" x14ac:dyDescent="0.25">
      <c r="A69" s="229" t="s">
        <v>352</v>
      </c>
      <c r="B69" s="233" t="s">
        <v>315</v>
      </c>
      <c r="C69" s="229">
        <v>0</v>
      </c>
      <c r="D69" s="229">
        <v>115</v>
      </c>
      <c r="E69" s="230">
        <v>343</v>
      </c>
      <c r="F69" s="230">
        <v>336</v>
      </c>
      <c r="G69" s="229">
        <v>416</v>
      </c>
      <c r="H69" s="229">
        <v>407</v>
      </c>
      <c r="I69" s="229">
        <v>311</v>
      </c>
      <c r="J69" s="229"/>
    </row>
    <row r="70" spans="1:10" x14ac:dyDescent="0.25">
      <c r="A70" s="229" t="s">
        <v>352</v>
      </c>
      <c r="B70" s="233" t="s">
        <v>316</v>
      </c>
      <c r="C70" s="229">
        <v>0</v>
      </c>
      <c r="D70" s="229">
        <v>142</v>
      </c>
      <c r="E70" s="230">
        <v>372</v>
      </c>
      <c r="F70" s="230">
        <v>387</v>
      </c>
      <c r="G70" s="229">
        <v>277</v>
      </c>
      <c r="H70" s="229">
        <v>307</v>
      </c>
      <c r="I70" s="229">
        <v>314</v>
      </c>
      <c r="J70" s="229"/>
    </row>
    <row r="71" spans="1:10" x14ac:dyDescent="0.25">
      <c r="A71" s="229" t="s">
        <v>352</v>
      </c>
      <c r="B71" s="233" t="s">
        <v>317</v>
      </c>
      <c r="C71" s="229">
        <v>0</v>
      </c>
      <c r="D71" s="229">
        <v>168</v>
      </c>
      <c r="E71" s="230">
        <v>371</v>
      </c>
      <c r="F71" s="230">
        <v>419</v>
      </c>
      <c r="G71" s="229">
        <v>348</v>
      </c>
      <c r="H71" s="229">
        <v>392</v>
      </c>
      <c r="I71" s="229">
        <v>368</v>
      </c>
      <c r="J71" s="229"/>
    </row>
    <row r="72" spans="1:10" x14ac:dyDescent="0.25">
      <c r="A72" s="229" t="s">
        <v>352</v>
      </c>
      <c r="B72" s="233" t="s">
        <v>318</v>
      </c>
      <c r="C72" s="229">
        <v>0</v>
      </c>
      <c r="D72" s="229">
        <v>172</v>
      </c>
      <c r="E72" s="230">
        <v>396</v>
      </c>
      <c r="F72" s="230">
        <v>351</v>
      </c>
      <c r="G72" s="229">
        <v>408</v>
      </c>
      <c r="H72" s="229">
        <v>393</v>
      </c>
      <c r="I72" s="229">
        <v>332</v>
      </c>
      <c r="J72" s="229"/>
    </row>
    <row r="73" spans="1:10" x14ac:dyDescent="0.25">
      <c r="A73" s="229" t="s">
        <v>352</v>
      </c>
      <c r="B73" s="233" t="s">
        <v>319</v>
      </c>
      <c r="C73" s="229">
        <v>0</v>
      </c>
      <c r="D73" s="229">
        <v>184</v>
      </c>
      <c r="E73" s="230">
        <v>250</v>
      </c>
      <c r="F73" s="230">
        <v>367</v>
      </c>
      <c r="G73" s="229">
        <v>290</v>
      </c>
      <c r="H73" s="229">
        <v>407</v>
      </c>
      <c r="I73" s="229">
        <v>291</v>
      </c>
      <c r="J73" s="229"/>
    </row>
    <row r="74" spans="1:10" x14ac:dyDescent="0.25">
      <c r="A74" s="229" t="s">
        <v>352</v>
      </c>
      <c r="B74" s="233" t="s">
        <v>320</v>
      </c>
      <c r="C74" s="229">
        <v>0</v>
      </c>
      <c r="D74" s="229">
        <v>330</v>
      </c>
      <c r="E74" s="230">
        <v>248</v>
      </c>
      <c r="F74" s="230">
        <v>331</v>
      </c>
      <c r="G74" s="229">
        <v>356</v>
      </c>
      <c r="H74" s="229">
        <v>431</v>
      </c>
      <c r="I74" s="229">
        <v>220</v>
      </c>
      <c r="J74" s="229"/>
    </row>
    <row r="75" spans="1:10" x14ac:dyDescent="0.25">
      <c r="A75" s="229" t="s">
        <v>352</v>
      </c>
      <c r="B75" s="233" t="s">
        <v>321</v>
      </c>
      <c r="C75" s="229">
        <v>0</v>
      </c>
      <c r="D75" s="229">
        <v>408</v>
      </c>
      <c r="E75" s="230">
        <v>247</v>
      </c>
      <c r="F75" s="230">
        <v>293</v>
      </c>
      <c r="G75" s="229">
        <v>361</v>
      </c>
      <c r="H75" s="229">
        <v>358</v>
      </c>
      <c r="I75" s="229">
        <v>204</v>
      </c>
      <c r="J75" s="229"/>
    </row>
    <row r="76" spans="1:10" x14ac:dyDescent="0.25">
      <c r="A76" s="229" t="s">
        <v>352</v>
      </c>
      <c r="B76" s="233" t="s">
        <v>322</v>
      </c>
      <c r="C76" s="229">
        <v>0</v>
      </c>
      <c r="D76" s="229">
        <v>388</v>
      </c>
      <c r="E76" s="230">
        <v>261</v>
      </c>
      <c r="F76" s="230">
        <v>310</v>
      </c>
      <c r="G76" s="229">
        <v>331</v>
      </c>
      <c r="H76" s="229">
        <v>362</v>
      </c>
      <c r="I76" s="229">
        <v>229</v>
      </c>
      <c r="J76" s="229"/>
    </row>
    <row r="77" spans="1:10" x14ac:dyDescent="0.25">
      <c r="A77" s="229" t="s">
        <v>352</v>
      </c>
      <c r="B77" s="233" t="s">
        <v>323</v>
      </c>
      <c r="C77" s="229">
        <v>0</v>
      </c>
      <c r="D77" s="229">
        <v>202</v>
      </c>
      <c r="E77" s="230">
        <v>289</v>
      </c>
      <c r="F77" s="230">
        <v>373</v>
      </c>
      <c r="G77" s="229">
        <v>345</v>
      </c>
      <c r="H77" s="229">
        <v>327</v>
      </c>
      <c r="I77" s="229">
        <v>210</v>
      </c>
      <c r="J77" s="229"/>
    </row>
    <row r="78" spans="1:10" x14ac:dyDescent="0.25">
      <c r="A78" s="229" t="s">
        <v>352</v>
      </c>
      <c r="B78" s="233" t="s">
        <v>324</v>
      </c>
      <c r="C78" s="229">
        <v>0</v>
      </c>
      <c r="D78" s="229">
        <v>298</v>
      </c>
      <c r="E78" s="230">
        <v>315</v>
      </c>
      <c r="F78" s="230">
        <v>400</v>
      </c>
      <c r="G78" s="229">
        <v>322</v>
      </c>
      <c r="H78" s="229">
        <v>413</v>
      </c>
      <c r="I78" s="229">
        <v>198</v>
      </c>
      <c r="J78" s="229"/>
    </row>
    <row r="79" spans="1:10" x14ac:dyDescent="0.25">
      <c r="A79" s="229" t="s">
        <v>352</v>
      </c>
      <c r="B79" s="233" t="s">
        <v>325</v>
      </c>
      <c r="C79" s="229">
        <v>0</v>
      </c>
      <c r="D79" s="229">
        <v>229</v>
      </c>
      <c r="E79" s="230">
        <v>334</v>
      </c>
      <c r="F79" s="230">
        <v>395</v>
      </c>
      <c r="G79" s="229">
        <v>393</v>
      </c>
      <c r="H79" s="229">
        <v>409</v>
      </c>
      <c r="I79" s="229">
        <v>207</v>
      </c>
      <c r="J79" s="229"/>
    </row>
    <row r="80" spans="1:10" x14ac:dyDescent="0.25">
      <c r="A80" s="229" t="s">
        <v>352</v>
      </c>
      <c r="B80" s="233" t="s">
        <v>326</v>
      </c>
      <c r="C80" s="229">
        <v>0</v>
      </c>
      <c r="D80" s="229">
        <v>295</v>
      </c>
      <c r="E80" s="230">
        <v>317</v>
      </c>
      <c r="F80" s="230">
        <v>439</v>
      </c>
      <c r="G80" s="229">
        <v>399</v>
      </c>
      <c r="H80" s="229">
        <v>356</v>
      </c>
      <c r="I80" s="229">
        <v>234</v>
      </c>
      <c r="J80" s="229"/>
    </row>
    <row r="81" spans="1:10" x14ac:dyDescent="0.25">
      <c r="A81" s="229" t="s">
        <v>352</v>
      </c>
      <c r="B81" s="233" t="s">
        <v>327</v>
      </c>
      <c r="C81" s="229">
        <v>0</v>
      </c>
      <c r="D81" s="229">
        <v>383</v>
      </c>
      <c r="E81" s="230">
        <v>423</v>
      </c>
      <c r="F81" s="230">
        <v>436</v>
      </c>
      <c r="G81" s="229">
        <v>378</v>
      </c>
      <c r="H81" s="229">
        <v>324</v>
      </c>
      <c r="I81" s="229">
        <v>180</v>
      </c>
      <c r="J81" s="229"/>
    </row>
    <row r="82" spans="1:10" x14ac:dyDescent="0.25">
      <c r="A82" s="229" t="s">
        <v>352</v>
      </c>
      <c r="B82" s="233" t="s">
        <v>328</v>
      </c>
      <c r="C82" s="229">
        <v>0</v>
      </c>
      <c r="D82" s="229">
        <v>358</v>
      </c>
      <c r="E82" s="230">
        <v>433</v>
      </c>
      <c r="F82" s="230">
        <v>407</v>
      </c>
      <c r="G82" s="229">
        <v>372</v>
      </c>
      <c r="H82" s="229">
        <v>319</v>
      </c>
      <c r="I82" s="229">
        <v>96</v>
      </c>
      <c r="J82" s="229"/>
    </row>
    <row r="83" spans="1:10" x14ac:dyDescent="0.25">
      <c r="A83" s="229" t="s">
        <v>352</v>
      </c>
      <c r="B83" s="233" t="s">
        <v>329</v>
      </c>
      <c r="C83" s="229">
        <v>0</v>
      </c>
      <c r="D83" s="229">
        <v>414</v>
      </c>
      <c r="E83" s="230">
        <v>375</v>
      </c>
      <c r="F83" s="230">
        <v>410</v>
      </c>
      <c r="G83" s="229">
        <v>373</v>
      </c>
      <c r="H83" s="229">
        <v>290</v>
      </c>
      <c r="I83" s="229">
        <v>61</v>
      </c>
      <c r="J83" s="229"/>
    </row>
    <row r="84" spans="1:10" x14ac:dyDescent="0.25">
      <c r="A84" s="229" t="s">
        <v>352</v>
      </c>
      <c r="B84" s="233" t="s">
        <v>330</v>
      </c>
      <c r="C84" s="229">
        <v>0</v>
      </c>
      <c r="D84" s="229">
        <v>424</v>
      </c>
      <c r="E84" s="230">
        <v>286</v>
      </c>
      <c r="F84" s="230">
        <v>401</v>
      </c>
      <c r="G84" s="229">
        <v>394</v>
      </c>
      <c r="H84" s="229">
        <v>351</v>
      </c>
      <c r="I84" s="229">
        <v>58</v>
      </c>
      <c r="J84" s="229"/>
    </row>
    <row r="85" spans="1:10" x14ac:dyDescent="0.25">
      <c r="A85" s="229" t="s">
        <v>352</v>
      </c>
      <c r="B85" s="233" t="s">
        <v>331</v>
      </c>
      <c r="C85" s="229">
        <v>0</v>
      </c>
      <c r="D85" s="229">
        <v>351</v>
      </c>
      <c r="E85" s="230">
        <v>339</v>
      </c>
      <c r="F85" s="230">
        <v>411</v>
      </c>
      <c r="G85" s="229">
        <v>379</v>
      </c>
      <c r="H85" s="229">
        <v>373</v>
      </c>
      <c r="I85" s="229">
        <v>49</v>
      </c>
      <c r="J85" s="229"/>
    </row>
    <row r="86" spans="1:10" x14ac:dyDescent="0.25">
      <c r="A86" s="229" t="s">
        <v>352</v>
      </c>
      <c r="B86" s="233" t="s">
        <v>332</v>
      </c>
      <c r="C86" s="229">
        <v>0</v>
      </c>
      <c r="D86" s="229">
        <v>281</v>
      </c>
      <c r="E86" s="230">
        <v>417</v>
      </c>
      <c r="F86" s="230">
        <v>331</v>
      </c>
      <c r="G86" s="229">
        <v>408</v>
      </c>
      <c r="H86" s="229">
        <v>363</v>
      </c>
      <c r="I86" s="229">
        <v>32</v>
      </c>
      <c r="J86" s="229"/>
    </row>
    <row r="87" spans="1:10" x14ac:dyDescent="0.25">
      <c r="A87" s="229" t="s">
        <v>352</v>
      </c>
      <c r="B87" s="233" t="s">
        <v>333</v>
      </c>
      <c r="C87" s="229">
        <v>0</v>
      </c>
      <c r="D87" s="229">
        <v>284</v>
      </c>
      <c r="E87" s="230">
        <v>405</v>
      </c>
      <c r="F87" s="230">
        <v>396</v>
      </c>
      <c r="G87" s="229">
        <v>405</v>
      </c>
      <c r="H87" s="229">
        <v>377</v>
      </c>
      <c r="I87" s="229">
        <v>23</v>
      </c>
      <c r="J87" s="229"/>
    </row>
    <row r="88" spans="1:10" x14ac:dyDescent="0.25">
      <c r="A88" s="229" t="s">
        <v>352</v>
      </c>
      <c r="B88" s="233" t="s">
        <v>334</v>
      </c>
      <c r="C88" s="229">
        <v>0</v>
      </c>
      <c r="D88" s="229">
        <v>315</v>
      </c>
      <c r="E88" s="230">
        <v>426</v>
      </c>
      <c r="F88" s="230">
        <v>417</v>
      </c>
      <c r="G88" s="229">
        <v>406</v>
      </c>
      <c r="H88" s="229">
        <v>333</v>
      </c>
      <c r="I88" s="229">
        <v>14</v>
      </c>
      <c r="J88" s="229"/>
    </row>
    <row r="89" spans="1:10" x14ac:dyDescent="0.25">
      <c r="A89" s="229" t="s">
        <v>352</v>
      </c>
      <c r="B89" s="233" t="s">
        <v>335</v>
      </c>
      <c r="C89" s="229">
        <v>0</v>
      </c>
      <c r="D89" s="229">
        <v>248</v>
      </c>
      <c r="E89" s="230">
        <v>418</v>
      </c>
      <c r="F89" s="230">
        <v>425</v>
      </c>
      <c r="G89" s="229">
        <v>347</v>
      </c>
      <c r="H89" s="229">
        <v>397</v>
      </c>
      <c r="I89" s="229">
        <v>5</v>
      </c>
      <c r="J89" s="229"/>
    </row>
    <row r="90" spans="1:10" x14ac:dyDescent="0.25">
      <c r="A90" s="229" t="s">
        <v>352</v>
      </c>
      <c r="B90" s="233" t="s">
        <v>336</v>
      </c>
      <c r="C90" s="229">
        <v>0</v>
      </c>
      <c r="D90" s="229">
        <v>247</v>
      </c>
      <c r="E90" s="230">
        <v>411</v>
      </c>
      <c r="F90" s="230">
        <v>405</v>
      </c>
      <c r="G90" s="229">
        <v>354</v>
      </c>
      <c r="H90" s="229">
        <v>416</v>
      </c>
      <c r="I90" s="229">
        <v>0</v>
      </c>
      <c r="J90" s="229"/>
    </row>
    <row r="91" spans="1:10" x14ac:dyDescent="0.25">
      <c r="A91" s="229" t="s">
        <v>352</v>
      </c>
      <c r="B91" s="233" t="s">
        <v>338</v>
      </c>
      <c r="C91" s="229">
        <v>0</v>
      </c>
      <c r="D91" s="229">
        <v>255</v>
      </c>
      <c r="E91" s="230">
        <v>418</v>
      </c>
      <c r="F91" s="230">
        <v>366</v>
      </c>
      <c r="G91" s="229">
        <v>398</v>
      </c>
      <c r="H91" s="229">
        <v>351</v>
      </c>
      <c r="I91" s="229">
        <v>0</v>
      </c>
      <c r="J91" s="229"/>
    </row>
    <row r="92" spans="1:10" x14ac:dyDescent="0.25">
      <c r="A92" s="229" t="s">
        <v>352</v>
      </c>
      <c r="B92" s="233" t="s">
        <v>340</v>
      </c>
      <c r="C92" s="229">
        <v>0</v>
      </c>
      <c r="D92" s="229">
        <v>237</v>
      </c>
      <c r="E92" s="230">
        <v>414</v>
      </c>
      <c r="F92" s="230">
        <v>392</v>
      </c>
      <c r="G92" s="229">
        <v>373</v>
      </c>
      <c r="H92" s="229">
        <v>417</v>
      </c>
      <c r="I92" s="229">
        <v>0</v>
      </c>
      <c r="J92" s="229"/>
    </row>
    <row r="93" spans="1:10" x14ac:dyDescent="0.25">
      <c r="A93" s="229" t="s">
        <v>352</v>
      </c>
      <c r="B93" s="233" t="s">
        <v>342</v>
      </c>
      <c r="C93" s="229">
        <v>0</v>
      </c>
      <c r="D93" s="229">
        <v>246</v>
      </c>
      <c r="E93" s="230">
        <v>398</v>
      </c>
      <c r="F93" s="230">
        <v>319</v>
      </c>
      <c r="G93" s="229">
        <v>426</v>
      </c>
      <c r="H93" s="229">
        <v>422</v>
      </c>
      <c r="I93" s="229">
        <v>0</v>
      </c>
      <c r="J93" s="229"/>
    </row>
    <row r="94" spans="1:10" x14ac:dyDescent="0.25">
      <c r="A94" s="229" t="s">
        <v>352</v>
      </c>
      <c r="B94" s="233" t="s">
        <v>344</v>
      </c>
      <c r="C94" s="229">
        <v>0</v>
      </c>
      <c r="D94" s="229">
        <v>256</v>
      </c>
      <c r="E94" s="230">
        <v>345</v>
      </c>
      <c r="F94" s="230">
        <v>327</v>
      </c>
      <c r="G94" s="229">
        <v>434</v>
      </c>
      <c r="H94" s="229">
        <v>413</v>
      </c>
      <c r="I94" s="229">
        <v>0</v>
      </c>
      <c r="J94" s="229"/>
    </row>
    <row r="95" spans="1:10" x14ac:dyDescent="0.25">
      <c r="A95" s="229" t="s">
        <v>352</v>
      </c>
      <c r="B95" s="233" t="s">
        <v>346</v>
      </c>
      <c r="C95" s="229">
        <v>0</v>
      </c>
      <c r="D95" s="229">
        <v>265</v>
      </c>
      <c r="E95" s="230">
        <v>403</v>
      </c>
      <c r="F95" s="230">
        <v>359</v>
      </c>
      <c r="G95" s="229">
        <v>398</v>
      </c>
      <c r="H95" s="229">
        <v>383</v>
      </c>
      <c r="I95" s="229">
        <v>0</v>
      </c>
      <c r="J95" s="229"/>
    </row>
    <row r="96" spans="1:10" x14ac:dyDescent="0.25">
      <c r="A96" s="229" t="s">
        <v>352</v>
      </c>
      <c r="B96" s="233" t="s">
        <v>347</v>
      </c>
      <c r="C96" s="229">
        <v>0</v>
      </c>
      <c r="D96" s="229">
        <v>227</v>
      </c>
      <c r="E96" s="230">
        <v>409</v>
      </c>
      <c r="F96" s="230">
        <v>343</v>
      </c>
      <c r="G96" s="229">
        <v>429</v>
      </c>
      <c r="H96" s="229">
        <v>313</v>
      </c>
      <c r="I96" s="229">
        <v>0</v>
      </c>
      <c r="J96" s="229"/>
    </row>
    <row r="97" spans="1:10" x14ac:dyDescent="0.25">
      <c r="A97" s="229" t="s">
        <v>352</v>
      </c>
      <c r="B97" s="233" t="s">
        <v>349</v>
      </c>
      <c r="C97" s="229">
        <v>0</v>
      </c>
      <c r="D97" s="229">
        <v>282</v>
      </c>
      <c r="E97" s="230">
        <v>411</v>
      </c>
      <c r="F97" s="230">
        <v>364</v>
      </c>
      <c r="G97" s="229">
        <v>425</v>
      </c>
      <c r="H97" s="229">
        <v>319</v>
      </c>
      <c r="I97" s="229">
        <v>0</v>
      </c>
      <c r="J97" s="229"/>
    </row>
    <row r="98" spans="1:10" x14ac:dyDescent="0.25">
      <c r="A98" s="229" t="s">
        <v>352</v>
      </c>
      <c r="B98" s="233" t="s">
        <v>350</v>
      </c>
      <c r="C98" s="229">
        <v>0</v>
      </c>
      <c r="D98" s="229">
        <v>323</v>
      </c>
      <c r="E98" s="230">
        <v>400</v>
      </c>
      <c r="F98" s="230">
        <v>337</v>
      </c>
      <c r="G98" s="229">
        <v>424</v>
      </c>
      <c r="H98" s="229">
        <v>224</v>
      </c>
      <c r="I98" s="229">
        <v>0</v>
      </c>
      <c r="J98" s="229"/>
    </row>
    <row r="99" spans="1:10" x14ac:dyDescent="0.25">
      <c r="A99" s="231" t="s">
        <v>353</v>
      </c>
      <c r="B99" s="233" t="s">
        <v>313</v>
      </c>
      <c r="C99" s="229">
        <v>0</v>
      </c>
      <c r="D99" s="229">
        <v>371</v>
      </c>
      <c r="E99" s="230">
        <v>332</v>
      </c>
      <c r="F99" s="230">
        <v>363</v>
      </c>
      <c r="G99" s="229">
        <v>410</v>
      </c>
      <c r="H99" s="229">
        <v>292</v>
      </c>
      <c r="I99" s="229">
        <v>0</v>
      </c>
      <c r="J99" s="229"/>
    </row>
    <row r="100" spans="1:10" x14ac:dyDescent="0.25">
      <c r="A100" s="231" t="s">
        <v>353</v>
      </c>
      <c r="B100" s="233" t="s">
        <v>315</v>
      </c>
      <c r="C100" s="229">
        <v>0</v>
      </c>
      <c r="D100" s="229">
        <v>399</v>
      </c>
      <c r="E100" s="230">
        <v>402</v>
      </c>
      <c r="F100" s="230">
        <v>272</v>
      </c>
      <c r="G100" s="229">
        <v>431</v>
      </c>
      <c r="H100" s="229">
        <v>333</v>
      </c>
      <c r="I100" s="229">
        <v>0</v>
      </c>
      <c r="J100" s="229"/>
    </row>
    <row r="101" spans="1:10" x14ac:dyDescent="0.25">
      <c r="A101" s="231" t="s">
        <v>353</v>
      </c>
      <c r="B101" s="233" t="s">
        <v>316</v>
      </c>
      <c r="C101" s="229">
        <v>0</v>
      </c>
      <c r="D101" s="229">
        <v>405</v>
      </c>
      <c r="E101" s="230">
        <v>416</v>
      </c>
      <c r="F101" s="230">
        <v>286</v>
      </c>
      <c r="G101" s="229">
        <v>431</v>
      </c>
      <c r="H101" s="229">
        <v>373</v>
      </c>
      <c r="I101" s="229">
        <v>0</v>
      </c>
      <c r="J101" s="229"/>
    </row>
    <row r="102" spans="1:10" x14ac:dyDescent="0.25">
      <c r="A102" s="231" t="s">
        <v>353</v>
      </c>
      <c r="B102" s="233" t="s">
        <v>317</v>
      </c>
      <c r="C102" s="229">
        <v>0</v>
      </c>
      <c r="D102" s="229">
        <v>392</v>
      </c>
      <c r="E102" s="230">
        <v>394</v>
      </c>
      <c r="F102" s="230">
        <v>289</v>
      </c>
      <c r="G102" s="229">
        <v>431</v>
      </c>
      <c r="H102" s="229">
        <v>354</v>
      </c>
      <c r="I102" s="229">
        <v>0</v>
      </c>
      <c r="J102" s="229"/>
    </row>
    <row r="103" spans="1:10" x14ac:dyDescent="0.25">
      <c r="A103" s="231" t="s">
        <v>353</v>
      </c>
      <c r="B103" s="233" t="s">
        <v>318</v>
      </c>
      <c r="C103" s="229">
        <v>0</v>
      </c>
      <c r="D103" s="229">
        <v>346</v>
      </c>
      <c r="E103" s="230">
        <v>231</v>
      </c>
      <c r="F103" s="230">
        <v>302</v>
      </c>
      <c r="G103" s="229">
        <v>418</v>
      </c>
      <c r="H103" s="229">
        <v>328</v>
      </c>
      <c r="I103" s="229">
        <v>0</v>
      </c>
      <c r="J103" s="229"/>
    </row>
    <row r="104" spans="1:10" x14ac:dyDescent="0.25">
      <c r="A104" s="231" t="s">
        <v>353</v>
      </c>
      <c r="B104" s="233" t="s">
        <v>319</v>
      </c>
      <c r="C104" s="229">
        <v>0</v>
      </c>
      <c r="D104" s="229">
        <v>391</v>
      </c>
      <c r="E104" s="230">
        <v>266</v>
      </c>
      <c r="F104" s="230">
        <v>292</v>
      </c>
      <c r="G104" s="229">
        <v>366</v>
      </c>
      <c r="H104" s="229">
        <v>320</v>
      </c>
      <c r="I104" s="229">
        <v>0</v>
      </c>
      <c r="J104" s="229"/>
    </row>
    <row r="105" spans="1:10" x14ac:dyDescent="0.25">
      <c r="A105" s="231" t="s">
        <v>353</v>
      </c>
      <c r="B105" s="233" t="s">
        <v>320</v>
      </c>
      <c r="C105" s="229">
        <v>0</v>
      </c>
      <c r="D105" s="229">
        <v>398</v>
      </c>
      <c r="E105" s="230">
        <v>362</v>
      </c>
      <c r="F105" s="230">
        <v>338</v>
      </c>
      <c r="G105" s="229">
        <v>412</v>
      </c>
      <c r="H105" s="229">
        <v>286</v>
      </c>
      <c r="I105" s="229">
        <v>0</v>
      </c>
      <c r="J105" s="229"/>
    </row>
    <row r="106" spans="1:10" x14ac:dyDescent="0.25">
      <c r="A106" s="231" t="s">
        <v>353</v>
      </c>
      <c r="B106" s="233" t="s">
        <v>321</v>
      </c>
      <c r="C106" s="229">
        <v>0</v>
      </c>
      <c r="D106" s="229">
        <v>399</v>
      </c>
      <c r="E106" s="230">
        <v>377</v>
      </c>
      <c r="F106" s="230">
        <v>392</v>
      </c>
      <c r="G106" s="229">
        <v>425</v>
      </c>
      <c r="H106" s="229">
        <v>328</v>
      </c>
      <c r="I106" s="229">
        <v>0</v>
      </c>
      <c r="J106" s="229"/>
    </row>
    <row r="107" spans="1:10" x14ac:dyDescent="0.25">
      <c r="A107" s="231" t="s">
        <v>353</v>
      </c>
      <c r="B107" s="233" t="s">
        <v>322</v>
      </c>
      <c r="C107" s="229">
        <v>0</v>
      </c>
      <c r="D107" s="229">
        <v>418</v>
      </c>
      <c r="E107" s="230">
        <v>365</v>
      </c>
      <c r="F107" s="230">
        <v>387</v>
      </c>
      <c r="G107" s="229">
        <v>414</v>
      </c>
      <c r="H107" s="229">
        <v>383</v>
      </c>
      <c r="I107" s="229">
        <v>0</v>
      </c>
      <c r="J107" s="229"/>
    </row>
    <row r="108" spans="1:10" x14ac:dyDescent="0.25">
      <c r="A108" s="231" t="s">
        <v>353</v>
      </c>
      <c r="B108" s="233" t="s">
        <v>323</v>
      </c>
      <c r="C108" s="229">
        <v>0</v>
      </c>
      <c r="D108" s="229">
        <v>408</v>
      </c>
      <c r="E108" s="230">
        <v>250</v>
      </c>
      <c r="F108" s="230">
        <v>389</v>
      </c>
      <c r="G108" s="229">
        <v>205</v>
      </c>
      <c r="H108" s="229">
        <v>355</v>
      </c>
      <c r="I108" s="229">
        <v>0</v>
      </c>
      <c r="J108" s="229"/>
    </row>
    <row r="109" spans="1:10" x14ac:dyDescent="0.25">
      <c r="A109" s="231" t="s">
        <v>353</v>
      </c>
      <c r="B109" s="233" t="s">
        <v>324</v>
      </c>
      <c r="C109" s="229">
        <v>0</v>
      </c>
      <c r="D109" s="229">
        <v>383</v>
      </c>
      <c r="E109" s="230">
        <v>409</v>
      </c>
      <c r="F109" s="230">
        <v>391</v>
      </c>
      <c r="G109" s="229">
        <v>361</v>
      </c>
      <c r="H109" s="229">
        <v>361</v>
      </c>
      <c r="I109" s="229">
        <v>0</v>
      </c>
      <c r="J109" s="229"/>
    </row>
    <row r="110" spans="1:10" x14ac:dyDescent="0.25">
      <c r="A110" s="231" t="s">
        <v>353</v>
      </c>
      <c r="B110" s="233" t="s">
        <v>325</v>
      </c>
      <c r="C110" s="229">
        <v>0</v>
      </c>
      <c r="D110" s="229">
        <v>332</v>
      </c>
      <c r="E110" s="230">
        <v>416</v>
      </c>
      <c r="F110" s="230">
        <v>419</v>
      </c>
      <c r="G110" s="229">
        <v>419</v>
      </c>
      <c r="H110" s="229">
        <v>326</v>
      </c>
      <c r="I110" s="229">
        <v>0</v>
      </c>
      <c r="J110" s="229"/>
    </row>
    <row r="111" spans="1:10" x14ac:dyDescent="0.25">
      <c r="A111" s="231" t="s">
        <v>353</v>
      </c>
      <c r="B111" s="233" t="s">
        <v>326</v>
      </c>
      <c r="C111" s="229">
        <v>0</v>
      </c>
      <c r="D111" s="229">
        <v>398</v>
      </c>
      <c r="E111" s="230">
        <v>370</v>
      </c>
      <c r="F111" s="230">
        <v>436</v>
      </c>
      <c r="G111" s="229">
        <v>401</v>
      </c>
      <c r="H111" s="229">
        <v>400</v>
      </c>
      <c r="I111" s="229">
        <v>0</v>
      </c>
      <c r="J111" s="229"/>
    </row>
    <row r="112" spans="1:10" x14ac:dyDescent="0.25">
      <c r="A112" s="231" t="s">
        <v>353</v>
      </c>
      <c r="B112" s="233" t="s">
        <v>327</v>
      </c>
      <c r="C112" s="229">
        <v>0</v>
      </c>
      <c r="D112" s="229">
        <v>402</v>
      </c>
      <c r="E112" s="230">
        <v>374</v>
      </c>
      <c r="F112" s="230">
        <v>438</v>
      </c>
      <c r="G112" s="229">
        <v>407</v>
      </c>
      <c r="H112" s="229">
        <v>337</v>
      </c>
      <c r="I112" s="229">
        <v>0</v>
      </c>
      <c r="J112" s="229"/>
    </row>
    <row r="113" spans="1:10" x14ac:dyDescent="0.25">
      <c r="A113" s="231" t="s">
        <v>353</v>
      </c>
      <c r="B113" s="233" t="s">
        <v>328</v>
      </c>
      <c r="C113" s="229">
        <v>0</v>
      </c>
      <c r="D113" s="229">
        <v>320</v>
      </c>
      <c r="E113" s="230">
        <v>416</v>
      </c>
      <c r="F113" s="230">
        <v>397</v>
      </c>
      <c r="G113" s="229">
        <v>269</v>
      </c>
      <c r="H113" s="229">
        <v>384</v>
      </c>
      <c r="I113" s="229">
        <v>0</v>
      </c>
      <c r="J113" s="229"/>
    </row>
    <row r="114" spans="1:10" x14ac:dyDescent="0.25">
      <c r="A114" s="231" t="s">
        <v>353</v>
      </c>
      <c r="B114" s="233" t="s">
        <v>329</v>
      </c>
      <c r="C114" s="229">
        <v>0</v>
      </c>
      <c r="D114" s="229">
        <v>303</v>
      </c>
      <c r="E114" s="230">
        <v>382</v>
      </c>
      <c r="F114" s="230">
        <v>338</v>
      </c>
      <c r="G114" s="229">
        <v>260</v>
      </c>
      <c r="H114" s="229">
        <v>404</v>
      </c>
      <c r="I114" s="229">
        <v>0</v>
      </c>
      <c r="J114" s="229"/>
    </row>
    <row r="115" spans="1:10" x14ac:dyDescent="0.25">
      <c r="A115" s="231" t="s">
        <v>353</v>
      </c>
      <c r="B115" s="233" t="s">
        <v>330</v>
      </c>
      <c r="C115" s="229">
        <v>0</v>
      </c>
      <c r="D115" s="229">
        <v>233</v>
      </c>
      <c r="E115" s="230">
        <v>215</v>
      </c>
      <c r="F115" s="230">
        <v>356</v>
      </c>
      <c r="G115" s="229">
        <v>303</v>
      </c>
      <c r="H115" s="229">
        <v>408</v>
      </c>
      <c r="I115" s="229">
        <v>0</v>
      </c>
      <c r="J115" s="229"/>
    </row>
    <row r="116" spans="1:10" x14ac:dyDescent="0.25">
      <c r="A116" s="231" t="s">
        <v>353</v>
      </c>
      <c r="B116" s="233" t="s">
        <v>331</v>
      </c>
      <c r="C116" s="229">
        <v>0</v>
      </c>
      <c r="D116" s="229">
        <v>293</v>
      </c>
      <c r="E116" s="230">
        <v>313</v>
      </c>
      <c r="F116" s="230">
        <v>340</v>
      </c>
      <c r="G116" s="229">
        <v>315</v>
      </c>
      <c r="H116" s="229">
        <v>430</v>
      </c>
      <c r="I116" s="229">
        <v>0</v>
      </c>
      <c r="J116" s="229"/>
    </row>
    <row r="117" spans="1:10" x14ac:dyDescent="0.25">
      <c r="A117" s="231" t="s">
        <v>353</v>
      </c>
      <c r="B117" s="233" t="s">
        <v>332</v>
      </c>
      <c r="C117" s="229">
        <v>0</v>
      </c>
      <c r="D117" s="229">
        <v>326</v>
      </c>
      <c r="E117" s="230">
        <v>336</v>
      </c>
      <c r="F117" s="230">
        <v>429</v>
      </c>
      <c r="G117" s="229">
        <v>366</v>
      </c>
      <c r="H117" s="229">
        <v>421</v>
      </c>
      <c r="I117" s="229">
        <v>0</v>
      </c>
      <c r="J117" s="229"/>
    </row>
    <row r="118" spans="1:10" x14ac:dyDescent="0.25">
      <c r="A118" s="231" t="s">
        <v>353</v>
      </c>
      <c r="B118" s="233" t="s">
        <v>333</v>
      </c>
      <c r="C118" s="229">
        <v>0</v>
      </c>
      <c r="D118" s="229">
        <v>316</v>
      </c>
      <c r="E118" s="230">
        <v>327</v>
      </c>
      <c r="F118" s="230">
        <v>414</v>
      </c>
      <c r="G118" s="229">
        <v>400</v>
      </c>
      <c r="H118" s="229">
        <v>401</v>
      </c>
      <c r="I118" s="229">
        <v>0</v>
      </c>
      <c r="J118" s="229"/>
    </row>
    <row r="119" spans="1:10" x14ac:dyDescent="0.25">
      <c r="A119" s="231" t="s">
        <v>353</v>
      </c>
      <c r="B119" s="233" t="s">
        <v>334</v>
      </c>
      <c r="C119" s="229">
        <v>0</v>
      </c>
      <c r="D119" s="229">
        <v>314</v>
      </c>
      <c r="E119" s="230">
        <v>344</v>
      </c>
      <c r="F119" s="230">
        <v>408</v>
      </c>
      <c r="G119" s="229">
        <v>402</v>
      </c>
      <c r="H119" s="229">
        <v>284</v>
      </c>
      <c r="I119" s="229">
        <v>0</v>
      </c>
      <c r="J119" s="229"/>
    </row>
    <row r="120" spans="1:10" x14ac:dyDescent="0.25">
      <c r="A120" s="231" t="s">
        <v>353</v>
      </c>
      <c r="B120" s="233" t="s">
        <v>335</v>
      </c>
      <c r="C120" s="229">
        <v>0</v>
      </c>
      <c r="D120" s="229">
        <v>334</v>
      </c>
      <c r="E120" s="230">
        <v>282</v>
      </c>
      <c r="F120" s="230">
        <v>423</v>
      </c>
      <c r="G120" s="229">
        <v>199</v>
      </c>
      <c r="H120" s="229">
        <v>268</v>
      </c>
      <c r="I120" s="229">
        <v>0</v>
      </c>
      <c r="J120" s="229"/>
    </row>
    <row r="121" spans="1:10" x14ac:dyDescent="0.25">
      <c r="A121" s="231" t="s">
        <v>353</v>
      </c>
      <c r="B121" s="233" t="s">
        <v>336</v>
      </c>
      <c r="C121" s="229">
        <v>0</v>
      </c>
      <c r="D121" s="229">
        <v>255</v>
      </c>
      <c r="E121" s="230">
        <v>315</v>
      </c>
      <c r="F121" s="230">
        <v>366</v>
      </c>
      <c r="G121" s="229">
        <v>328</v>
      </c>
      <c r="H121" s="229">
        <v>246</v>
      </c>
      <c r="I121" s="229">
        <v>0</v>
      </c>
      <c r="J121" s="229"/>
    </row>
    <row r="122" spans="1:10" x14ac:dyDescent="0.25">
      <c r="A122" s="231" t="s">
        <v>353</v>
      </c>
      <c r="B122" s="233" t="s">
        <v>338</v>
      </c>
      <c r="C122" s="229">
        <v>0</v>
      </c>
      <c r="D122" s="229">
        <v>336</v>
      </c>
      <c r="E122" s="230">
        <v>293</v>
      </c>
      <c r="F122" s="230">
        <v>312</v>
      </c>
      <c r="G122" s="229">
        <v>347</v>
      </c>
      <c r="H122" s="229">
        <v>266</v>
      </c>
      <c r="I122" s="229">
        <v>0</v>
      </c>
      <c r="J122" s="229"/>
    </row>
    <row r="123" spans="1:10" x14ac:dyDescent="0.25">
      <c r="A123" s="231" t="s">
        <v>353</v>
      </c>
      <c r="B123" s="233" t="s">
        <v>340</v>
      </c>
      <c r="C123" s="229">
        <v>0</v>
      </c>
      <c r="D123" s="229">
        <v>351</v>
      </c>
      <c r="E123" s="230">
        <v>352</v>
      </c>
      <c r="F123" s="230">
        <v>338</v>
      </c>
      <c r="G123" s="229">
        <v>404</v>
      </c>
      <c r="H123" s="229">
        <v>310</v>
      </c>
      <c r="I123" s="229">
        <v>0</v>
      </c>
      <c r="J123" s="229"/>
    </row>
    <row r="124" spans="1:10" x14ac:dyDescent="0.25">
      <c r="A124" s="231" t="s">
        <v>353</v>
      </c>
      <c r="B124" s="233" t="s">
        <v>342</v>
      </c>
      <c r="C124" s="229">
        <v>0</v>
      </c>
      <c r="D124" s="229">
        <v>253</v>
      </c>
      <c r="E124" s="230">
        <v>357</v>
      </c>
      <c r="F124" s="230">
        <v>231</v>
      </c>
      <c r="G124" s="229">
        <v>379</v>
      </c>
      <c r="H124" s="229">
        <v>312</v>
      </c>
      <c r="I124" s="229">
        <v>0</v>
      </c>
      <c r="J124" s="229"/>
    </row>
    <row r="125" spans="1:10" x14ac:dyDescent="0.25">
      <c r="A125" s="231" t="s">
        <v>353</v>
      </c>
      <c r="B125" s="233" t="s">
        <v>344</v>
      </c>
      <c r="C125" s="229">
        <v>0</v>
      </c>
      <c r="D125" s="229">
        <v>249</v>
      </c>
      <c r="E125" s="230">
        <v>340</v>
      </c>
      <c r="F125" s="230">
        <v>265</v>
      </c>
      <c r="G125" s="229">
        <v>418</v>
      </c>
      <c r="H125" s="229">
        <v>307</v>
      </c>
      <c r="I125" s="229">
        <v>0</v>
      </c>
      <c r="J125" s="229"/>
    </row>
    <row r="126" spans="1:10" x14ac:dyDescent="0.25">
      <c r="A126" s="231" t="s">
        <v>353</v>
      </c>
      <c r="B126" s="233" t="s">
        <v>346</v>
      </c>
      <c r="C126" s="229">
        <v>0</v>
      </c>
      <c r="D126" s="229">
        <v>261</v>
      </c>
      <c r="E126" s="230">
        <v>397</v>
      </c>
      <c r="F126" s="230">
        <v>333</v>
      </c>
      <c r="G126" s="229">
        <v>416</v>
      </c>
      <c r="H126" s="229">
        <v>373</v>
      </c>
      <c r="I126" s="229">
        <v>0</v>
      </c>
      <c r="J126" s="229"/>
    </row>
    <row r="127" spans="1:10" x14ac:dyDescent="0.25">
      <c r="A127" s="231" t="s">
        <v>353</v>
      </c>
      <c r="B127" s="233" t="s">
        <v>347</v>
      </c>
      <c r="C127" s="229">
        <v>0</v>
      </c>
      <c r="D127" s="229">
        <v>261</v>
      </c>
      <c r="E127" s="230">
        <v>405</v>
      </c>
      <c r="F127" s="230">
        <v>412</v>
      </c>
      <c r="G127" s="229">
        <v>392</v>
      </c>
      <c r="H127" s="229">
        <v>419</v>
      </c>
      <c r="I127" s="229">
        <v>0</v>
      </c>
      <c r="J127" s="229"/>
    </row>
    <row r="128" spans="1:10" x14ac:dyDescent="0.25">
      <c r="A128" s="231" t="s">
        <v>353</v>
      </c>
      <c r="B128" s="233" t="s">
        <v>349</v>
      </c>
      <c r="C128" s="229">
        <v>0</v>
      </c>
      <c r="D128" s="229">
        <v>298</v>
      </c>
      <c r="E128" s="230">
        <v>383</v>
      </c>
      <c r="F128" s="230">
        <v>277</v>
      </c>
      <c r="G128" s="229">
        <v>419</v>
      </c>
      <c r="H128" s="229">
        <v>380</v>
      </c>
      <c r="I128" s="229">
        <v>0</v>
      </c>
      <c r="J128" s="229"/>
    </row>
    <row r="129" spans="1:10" x14ac:dyDescent="0.25">
      <c r="A129" s="231" t="s">
        <v>354</v>
      </c>
      <c r="B129" s="233" t="s">
        <v>313</v>
      </c>
      <c r="C129" s="229">
        <v>0</v>
      </c>
      <c r="D129" s="229">
        <v>280</v>
      </c>
      <c r="E129" s="230">
        <v>236</v>
      </c>
      <c r="F129" s="230">
        <v>389</v>
      </c>
      <c r="G129" s="229">
        <v>363</v>
      </c>
      <c r="H129" s="229">
        <v>226</v>
      </c>
      <c r="I129" s="229">
        <v>0</v>
      </c>
      <c r="J129" s="229"/>
    </row>
    <row r="130" spans="1:10" x14ac:dyDescent="0.25">
      <c r="A130" s="231" t="s">
        <v>354</v>
      </c>
      <c r="B130" s="233" t="s">
        <v>315</v>
      </c>
      <c r="C130" s="229">
        <v>0</v>
      </c>
      <c r="D130" s="229">
        <v>315</v>
      </c>
      <c r="E130" s="230">
        <v>220</v>
      </c>
      <c r="F130" s="230">
        <v>380</v>
      </c>
      <c r="G130" s="229">
        <v>248</v>
      </c>
      <c r="H130" s="229">
        <v>314</v>
      </c>
      <c r="I130" s="229">
        <v>0</v>
      </c>
      <c r="J130" s="229"/>
    </row>
    <row r="131" spans="1:10" x14ac:dyDescent="0.25">
      <c r="A131" s="231" t="s">
        <v>354</v>
      </c>
      <c r="B131" s="233" t="s">
        <v>316</v>
      </c>
      <c r="C131" s="229">
        <v>0</v>
      </c>
      <c r="D131" s="229">
        <v>180</v>
      </c>
      <c r="E131" s="230">
        <v>231</v>
      </c>
      <c r="F131" s="230">
        <v>428</v>
      </c>
      <c r="G131" s="229">
        <v>371</v>
      </c>
      <c r="H131" s="229">
        <v>396</v>
      </c>
      <c r="I131" s="229">
        <v>0</v>
      </c>
      <c r="J131" s="229"/>
    </row>
    <row r="132" spans="1:10" x14ac:dyDescent="0.25">
      <c r="A132" s="231" t="s">
        <v>354</v>
      </c>
      <c r="B132" s="233" t="s">
        <v>317</v>
      </c>
      <c r="C132" s="229">
        <v>0</v>
      </c>
      <c r="D132" s="229">
        <v>234</v>
      </c>
      <c r="E132" s="230">
        <v>364</v>
      </c>
      <c r="F132" s="230">
        <v>407</v>
      </c>
      <c r="G132" s="229">
        <v>397</v>
      </c>
      <c r="H132" s="229">
        <v>401</v>
      </c>
      <c r="I132" s="229">
        <v>0</v>
      </c>
      <c r="J132" s="229"/>
    </row>
    <row r="133" spans="1:10" x14ac:dyDescent="0.25">
      <c r="A133" s="231" t="s">
        <v>354</v>
      </c>
      <c r="B133" s="233" t="s">
        <v>318</v>
      </c>
      <c r="C133" s="229">
        <v>0</v>
      </c>
      <c r="D133" s="229">
        <v>338</v>
      </c>
      <c r="E133" s="230">
        <v>318</v>
      </c>
      <c r="F133" s="230">
        <v>430</v>
      </c>
      <c r="G133" s="229">
        <v>408</v>
      </c>
      <c r="H133" s="229">
        <v>343</v>
      </c>
      <c r="I133" s="229">
        <v>0</v>
      </c>
      <c r="J133" s="229"/>
    </row>
    <row r="134" spans="1:10" x14ac:dyDescent="0.25">
      <c r="A134" s="231" t="s">
        <v>354</v>
      </c>
      <c r="B134" s="233" t="s">
        <v>319</v>
      </c>
      <c r="C134" s="229">
        <v>0</v>
      </c>
      <c r="D134" s="229">
        <v>373</v>
      </c>
      <c r="E134" s="230">
        <v>309</v>
      </c>
      <c r="F134" s="230">
        <v>419</v>
      </c>
      <c r="G134" s="229">
        <v>301</v>
      </c>
      <c r="H134" s="229">
        <v>389</v>
      </c>
      <c r="I134" s="229">
        <v>0</v>
      </c>
      <c r="J134" s="229"/>
    </row>
    <row r="135" spans="1:10" x14ac:dyDescent="0.25">
      <c r="A135" s="231" t="s">
        <v>354</v>
      </c>
      <c r="B135" s="233" t="s">
        <v>320</v>
      </c>
      <c r="C135" s="229">
        <v>0</v>
      </c>
      <c r="D135" s="229">
        <v>347</v>
      </c>
      <c r="E135" s="230">
        <v>370</v>
      </c>
      <c r="F135" s="230">
        <v>235</v>
      </c>
      <c r="G135" s="229">
        <v>333</v>
      </c>
      <c r="H135" s="229">
        <v>395</v>
      </c>
      <c r="I135" s="229">
        <v>0</v>
      </c>
      <c r="J135" s="229"/>
    </row>
    <row r="136" spans="1:10" x14ac:dyDescent="0.25">
      <c r="A136" s="231" t="s">
        <v>354</v>
      </c>
      <c r="B136" s="233" t="s">
        <v>321</v>
      </c>
      <c r="C136" s="229">
        <v>0</v>
      </c>
      <c r="D136" s="229">
        <v>234</v>
      </c>
      <c r="E136" s="230">
        <v>255</v>
      </c>
      <c r="F136" s="230">
        <v>217</v>
      </c>
      <c r="G136" s="229">
        <v>289</v>
      </c>
      <c r="H136" s="229">
        <v>401</v>
      </c>
      <c r="I136" s="229">
        <v>0</v>
      </c>
      <c r="J136" s="229"/>
    </row>
    <row r="137" spans="1:10" x14ac:dyDescent="0.25">
      <c r="A137" s="231" t="s">
        <v>354</v>
      </c>
      <c r="B137" s="233" t="s">
        <v>322</v>
      </c>
      <c r="C137" s="229">
        <v>0</v>
      </c>
      <c r="D137" s="229">
        <v>247</v>
      </c>
      <c r="E137" s="230">
        <v>391</v>
      </c>
      <c r="F137" s="230">
        <v>211</v>
      </c>
      <c r="G137" s="229">
        <v>375</v>
      </c>
      <c r="H137" s="229">
        <v>373</v>
      </c>
      <c r="I137" s="229">
        <v>0</v>
      </c>
      <c r="J137" s="229"/>
    </row>
    <row r="138" spans="1:10" x14ac:dyDescent="0.25">
      <c r="A138" s="231" t="s">
        <v>354</v>
      </c>
      <c r="B138" s="233" t="s">
        <v>323</v>
      </c>
      <c r="C138" s="229">
        <v>0</v>
      </c>
      <c r="D138" s="229">
        <v>137</v>
      </c>
      <c r="E138" s="230">
        <v>395</v>
      </c>
      <c r="F138" s="230">
        <v>229</v>
      </c>
      <c r="G138" s="229">
        <v>398</v>
      </c>
      <c r="H138" s="229">
        <v>358</v>
      </c>
      <c r="I138" s="229">
        <v>0</v>
      </c>
      <c r="J138" s="229"/>
    </row>
    <row r="139" spans="1:10" x14ac:dyDescent="0.25">
      <c r="A139" s="231" t="s">
        <v>354</v>
      </c>
      <c r="B139" s="233" t="s">
        <v>324</v>
      </c>
      <c r="C139" s="229">
        <v>0</v>
      </c>
      <c r="D139" s="229">
        <v>110</v>
      </c>
      <c r="E139" s="230">
        <v>321</v>
      </c>
      <c r="F139" s="230">
        <v>273</v>
      </c>
      <c r="G139" s="229">
        <v>384</v>
      </c>
      <c r="H139" s="229">
        <v>423</v>
      </c>
      <c r="I139" s="229">
        <v>0</v>
      </c>
      <c r="J139" s="229"/>
    </row>
    <row r="140" spans="1:10" x14ac:dyDescent="0.25">
      <c r="A140" s="231" t="s">
        <v>354</v>
      </c>
      <c r="B140" s="233" t="s">
        <v>325</v>
      </c>
      <c r="C140" s="229">
        <v>0</v>
      </c>
      <c r="D140" s="229">
        <v>130</v>
      </c>
      <c r="E140" s="230">
        <v>368</v>
      </c>
      <c r="F140" s="230">
        <v>350</v>
      </c>
      <c r="G140" s="229">
        <v>357</v>
      </c>
      <c r="H140" s="229">
        <v>252</v>
      </c>
      <c r="I140" s="229">
        <v>0</v>
      </c>
      <c r="J140" s="229"/>
    </row>
    <row r="141" spans="1:10" x14ac:dyDescent="0.25">
      <c r="A141" s="231" t="s">
        <v>354</v>
      </c>
      <c r="B141" s="233" t="s">
        <v>326</v>
      </c>
      <c r="C141" s="229">
        <v>0</v>
      </c>
      <c r="D141" s="229">
        <v>141</v>
      </c>
      <c r="E141" s="230">
        <v>377</v>
      </c>
      <c r="F141" s="230">
        <v>392</v>
      </c>
      <c r="G141" s="229">
        <v>193</v>
      </c>
      <c r="H141" s="229">
        <v>339</v>
      </c>
      <c r="I141" s="229">
        <v>0</v>
      </c>
      <c r="J141" s="229"/>
    </row>
    <row r="142" spans="1:10" x14ac:dyDescent="0.25">
      <c r="A142" s="231" t="s">
        <v>354</v>
      </c>
      <c r="B142" s="233" t="s">
        <v>327</v>
      </c>
      <c r="C142" s="229">
        <v>0</v>
      </c>
      <c r="D142" s="229">
        <v>240</v>
      </c>
      <c r="E142" s="230">
        <v>364</v>
      </c>
      <c r="F142" s="230">
        <v>180</v>
      </c>
      <c r="G142" s="229">
        <v>307</v>
      </c>
      <c r="H142" s="229">
        <v>344</v>
      </c>
      <c r="I142" s="229">
        <v>0</v>
      </c>
      <c r="J142" s="229"/>
    </row>
    <row r="143" spans="1:10" x14ac:dyDescent="0.25">
      <c r="A143" s="231" t="s">
        <v>354</v>
      </c>
      <c r="B143" s="233" t="s">
        <v>328</v>
      </c>
      <c r="C143" s="229">
        <v>0</v>
      </c>
      <c r="D143" s="229">
        <v>304</v>
      </c>
      <c r="E143" s="230">
        <v>234</v>
      </c>
      <c r="F143" s="230">
        <v>201</v>
      </c>
      <c r="G143" s="229">
        <v>373</v>
      </c>
      <c r="H143" s="229">
        <v>325</v>
      </c>
      <c r="I143" s="229">
        <v>0</v>
      </c>
      <c r="J143" s="229"/>
    </row>
    <row r="144" spans="1:10" x14ac:dyDescent="0.25">
      <c r="A144" s="231" t="s">
        <v>354</v>
      </c>
      <c r="B144" s="233" t="s">
        <v>329</v>
      </c>
      <c r="C144" s="229">
        <v>0</v>
      </c>
      <c r="D144" s="229">
        <v>360</v>
      </c>
      <c r="E144" s="230">
        <v>280</v>
      </c>
      <c r="F144" s="230">
        <v>413</v>
      </c>
      <c r="G144" s="229">
        <v>382</v>
      </c>
      <c r="H144" s="229">
        <v>285</v>
      </c>
      <c r="I144" s="229">
        <v>0</v>
      </c>
      <c r="J144" s="229"/>
    </row>
    <row r="145" spans="1:10" x14ac:dyDescent="0.25">
      <c r="A145" s="231" t="s">
        <v>354</v>
      </c>
      <c r="B145" s="233" t="s">
        <v>330</v>
      </c>
      <c r="C145" s="229">
        <v>0</v>
      </c>
      <c r="D145" s="229">
        <v>292</v>
      </c>
      <c r="E145" s="230">
        <v>313</v>
      </c>
      <c r="F145" s="230">
        <v>408</v>
      </c>
      <c r="G145" s="229">
        <v>273</v>
      </c>
      <c r="H145" s="229">
        <v>327</v>
      </c>
      <c r="I145" s="229">
        <v>0</v>
      </c>
      <c r="J145" s="229"/>
    </row>
    <row r="146" spans="1:10" x14ac:dyDescent="0.25">
      <c r="A146" s="231" t="s">
        <v>354</v>
      </c>
      <c r="B146" s="233" t="s">
        <v>331</v>
      </c>
      <c r="C146" s="229">
        <v>0</v>
      </c>
      <c r="D146" s="229">
        <v>319</v>
      </c>
      <c r="E146" s="230">
        <v>303</v>
      </c>
      <c r="F146" s="230">
        <v>397</v>
      </c>
      <c r="G146" s="229">
        <v>336</v>
      </c>
      <c r="H146" s="229">
        <v>353</v>
      </c>
      <c r="I146" s="229">
        <v>0</v>
      </c>
      <c r="J146" s="229"/>
    </row>
    <row r="147" spans="1:10" x14ac:dyDescent="0.25">
      <c r="A147" s="231" t="s">
        <v>354</v>
      </c>
      <c r="B147" s="233" t="s">
        <v>332</v>
      </c>
      <c r="C147" s="229">
        <v>0</v>
      </c>
      <c r="D147" s="229">
        <v>277</v>
      </c>
      <c r="E147" s="230">
        <v>371</v>
      </c>
      <c r="F147" s="230">
        <v>293</v>
      </c>
      <c r="G147" s="229">
        <v>365</v>
      </c>
      <c r="H147" s="229">
        <v>371</v>
      </c>
      <c r="I147" s="229">
        <v>0</v>
      </c>
      <c r="J147" s="229"/>
    </row>
    <row r="148" spans="1:10" x14ac:dyDescent="0.25">
      <c r="A148" s="231" t="s">
        <v>354</v>
      </c>
      <c r="B148" s="233" t="s">
        <v>333</v>
      </c>
      <c r="C148" s="229">
        <v>0</v>
      </c>
      <c r="D148" s="229">
        <v>224</v>
      </c>
      <c r="E148" s="230">
        <v>351</v>
      </c>
      <c r="F148" s="230">
        <v>369</v>
      </c>
      <c r="G148" s="229">
        <v>303</v>
      </c>
      <c r="H148" s="229">
        <v>393</v>
      </c>
      <c r="I148" s="229">
        <v>0</v>
      </c>
      <c r="J148" s="229"/>
    </row>
    <row r="149" spans="1:10" x14ac:dyDescent="0.25">
      <c r="A149" s="231" t="s">
        <v>354</v>
      </c>
      <c r="B149" s="233" t="s">
        <v>334</v>
      </c>
      <c r="C149" s="229">
        <v>0</v>
      </c>
      <c r="D149" s="229">
        <v>241</v>
      </c>
      <c r="E149" s="230">
        <v>321</v>
      </c>
      <c r="F149" s="230">
        <v>302</v>
      </c>
      <c r="G149" s="229">
        <v>284</v>
      </c>
      <c r="H149" s="229">
        <v>412</v>
      </c>
      <c r="I149" s="229">
        <v>0</v>
      </c>
      <c r="J149" s="229"/>
    </row>
    <row r="150" spans="1:10" x14ac:dyDescent="0.25">
      <c r="A150" s="231" t="s">
        <v>354</v>
      </c>
      <c r="B150" s="233" t="s">
        <v>335</v>
      </c>
      <c r="C150" s="229">
        <v>0</v>
      </c>
      <c r="D150" s="229">
        <v>313</v>
      </c>
      <c r="E150" s="230">
        <v>262</v>
      </c>
      <c r="F150" s="230">
        <v>347</v>
      </c>
      <c r="G150" s="229">
        <v>286</v>
      </c>
      <c r="H150" s="229">
        <v>262</v>
      </c>
      <c r="I150" s="229">
        <v>0</v>
      </c>
      <c r="J150" s="229"/>
    </row>
    <row r="151" spans="1:10" x14ac:dyDescent="0.25">
      <c r="A151" s="231" t="s">
        <v>354</v>
      </c>
      <c r="B151" s="233" t="s">
        <v>336</v>
      </c>
      <c r="C151" s="229">
        <v>0</v>
      </c>
      <c r="D151" s="229">
        <v>396</v>
      </c>
      <c r="E151" s="230">
        <v>379</v>
      </c>
      <c r="F151" s="230">
        <v>317</v>
      </c>
      <c r="G151" s="229">
        <v>268</v>
      </c>
      <c r="H151" s="229">
        <v>343</v>
      </c>
      <c r="I151" s="229">
        <v>0</v>
      </c>
      <c r="J151" s="229"/>
    </row>
    <row r="152" spans="1:10" x14ac:dyDescent="0.25">
      <c r="A152" s="231" t="s">
        <v>354</v>
      </c>
      <c r="B152" s="233" t="s">
        <v>338</v>
      </c>
      <c r="C152" s="229">
        <v>0</v>
      </c>
      <c r="D152" s="229">
        <v>381</v>
      </c>
      <c r="E152" s="230">
        <v>366</v>
      </c>
      <c r="F152" s="230">
        <v>303</v>
      </c>
      <c r="G152" s="229">
        <v>246</v>
      </c>
      <c r="H152" s="229">
        <v>378</v>
      </c>
      <c r="I152" s="229">
        <v>0</v>
      </c>
      <c r="J152" s="229"/>
    </row>
    <row r="153" spans="1:10" x14ac:dyDescent="0.25">
      <c r="A153" s="231" t="s">
        <v>354</v>
      </c>
      <c r="B153" s="233" t="s">
        <v>340</v>
      </c>
      <c r="C153" s="229">
        <v>0</v>
      </c>
      <c r="D153" s="229">
        <v>169</v>
      </c>
      <c r="E153" s="230">
        <v>365</v>
      </c>
      <c r="F153" s="230">
        <v>234</v>
      </c>
      <c r="G153" s="229">
        <v>378</v>
      </c>
      <c r="H153" s="229">
        <v>435</v>
      </c>
      <c r="I153" s="229">
        <v>0</v>
      </c>
      <c r="J153" s="229"/>
    </row>
    <row r="154" spans="1:10" x14ac:dyDescent="0.25">
      <c r="A154" s="231" t="s">
        <v>354</v>
      </c>
      <c r="B154" s="233" t="s">
        <v>342</v>
      </c>
      <c r="C154" s="229">
        <v>0</v>
      </c>
      <c r="D154" s="229">
        <v>136</v>
      </c>
      <c r="E154" s="230">
        <v>373</v>
      </c>
      <c r="F154" s="230">
        <v>387</v>
      </c>
      <c r="G154" s="229">
        <v>408</v>
      </c>
      <c r="H154" s="229">
        <v>423</v>
      </c>
      <c r="I154" s="229">
        <v>0</v>
      </c>
      <c r="J154" s="229"/>
    </row>
    <row r="155" spans="1:10" x14ac:dyDescent="0.25">
      <c r="A155" s="231" t="s">
        <v>354</v>
      </c>
      <c r="B155" s="233" t="s">
        <v>344</v>
      </c>
      <c r="C155" s="229">
        <v>0</v>
      </c>
      <c r="D155" s="229">
        <v>155</v>
      </c>
      <c r="E155" s="230">
        <v>367</v>
      </c>
      <c r="F155" s="230">
        <v>439</v>
      </c>
      <c r="G155" s="229">
        <v>381</v>
      </c>
      <c r="H155" s="229">
        <v>304</v>
      </c>
      <c r="I155" s="229">
        <v>0</v>
      </c>
      <c r="J155" s="229"/>
    </row>
    <row r="156" spans="1:10" x14ac:dyDescent="0.25">
      <c r="A156" s="231" t="s">
        <v>354</v>
      </c>
      <c r="B156" s="233" t="s">
        <v>346</v>
      </c>
      <c r="C156" s="229">
        <v>0</v>
      </c>
      <c r="D156" s="229">
        <v>164</v>
      </c>
      <c r="E156" s="230">
        <v>421</v>
      </c>
      <c r="F156" s="230">
        <v>418</v>
      </c>
      <c r="G156" s="229">
        <v>272</v>
      </c>
      <c r="H156" s="229">
        <v>270</v>
      </c>
      <c r="I156" s="229">
        <v>0</v>
      </c>
      <c r="J156" s="229"/>
    </row>
    <row r="157" spans="1:10" x14ac:dyDescent="0.25">
      <c r="A157" s="231" t="s">
        <v>354</v>
      </c>
      <c r="B157" s="233" t="s">
        <v>347</v>
      </c>
      <c r="C157" s="229">
        <v>0</v>
      </c>
      <c r="D157" s="229">
        <v>201</v>
      </c>
      <c r="E157" s="230">
        <v>411</v>
      </c>
      <c r="F157" s="230">
        <v>269</v>
      </c>
      <c r="G157" s="229">
        <v>366</v>
      </c>
      <c r="H157" s="229">
        <v>277</v>
      </c>
      <c r="I157" s="229">
        <v>0</v>
      </c>
      <c r="J157" s="229"/>
    </row>
    <row r="158" spans="1:10" x14ac:dyDescent="0.25">
      <c r="A158" s="231" t="s">
        <v>354</v>
      </c>
      <c r="B158" s="233" t="s">
        <v>349</v>
      </c>
      <c r="C158" s="229">
        <v>0</v>
      </c>
      <c r="D158" s="229">
        <v>234</v>
      </c>
      <c r="E158" s="230">
        <v>217</v>
      </c>
      <c r="F158" s="230">
        <v>261</v>
      </c>
      <c r="G158" s="229">
        <v>405</v>
      </c>
      <c r="H158" s="229">
        <v>298</v>
      </c>
      <c r="I158" s="229">
        <v>0</v>
      </c>
      <c r="J158" s="229"/>
    </row>
    <row r="159" spans="1:10" x14ac:dyDescent="0.25">
      <c r="A159" s="231" t="s">
        <v>354</v>
      </c>
      <c r="B159" s="233" t="s">
        <v>350</v>
      </c>
      <c r="C159" s="229">
        <v>0</v>
      </c>
      <c r="D159" s="229">
        <v>211</v>
      </c>
      <c r="E159" s="230">
        <v>223</v>
      </c>
      <c r="F159" s="230">
        <v>271</v>
      </c>
      <c r="G159" s="229">
        <v>396</v>
      </c>
      <c r="H159" s="229">
        <v>343</v>
      </c>
      <c r="I159" s="229">
        <v>0</v>
      </c>
      <c r="J159" s="229"/>
    </row>
    <row r="160" spans="1:10" x14ac:dyDescent="0.25">
      <c r="A160" s="229" t="s">
        <v>355</v>
      </c>
      <c r="B160" s="233" t="s">
        <v>313</v>
      </c>
      <c r="C160" s="229">
        <v>0</v>
      </c>
      <c r="D160" s="229">
        <v>272</v>
      </c>
      <c r="E160" s="230">
        <v>242</v>
      </c>
      <c r="F160" s="230">
        <v>275</v>
      </c>
      <c r="G160" s="229">
        <v>347</v>
      </c>
      <c r="H160" s="229">
        <v>386</v>
      </c>
      <c r="I160" s="229">
        <v>0</v>
      </c>
      <c r="J160" s="229"/>
    </row>
    <row r="161" spans="1:10" x14ac:dyDescent="0.25">
      <c r="A161" s="229" t="s">
        <v>355</v>
      </c>
      <c r="B161" s="233" t="s">
        <v>315</v>
      </c>
      <c r="C161" s="229">
        <v>0</v>
      </c>
      <c r="D161" s="229">
        <v>269</v>
      </c>
      <c r="E161" s="230">
        <v>279</v>
      </c>
      <c r="F161" s="230">
        <v>370</v>
      </c>
      <c r="G161" s="229">
        <v>344</v>
      </c>
      <c r="H161" s="229">
        <v>386</v>
      </c>
      <c r="I161" s="229">
        <v>0</v>
      </c>
      <c r="J161" s="229"/>
    </row>
    <row r="162" spans="1:10" x14ac:dyDescent="0.25">
      <c r="A162" s="229" t="s">
        <v>355</v>
      </c>
      <c r="B162" s="233" t="s">
        <v>316</v>
      </c>
      <c r="C162" s="229">
        <v>0</v>
      </c>
      <c r="D162" s="229">
        <v>209</v>
      </c>
      <c r="E162" s="230">
        <v>333</v>
      </c>
      <c r="F162" s="230">
        <v>338</v>
      </c>
      <c r="G162" s="229">
        <v>226</v>
      </c>
      <c r="H162" s="229">
        <v>388</v>
      </c>
      <c r="I162" s="229">
        <v>0</v>
      </c>
      <c r="J162" s="229"/>
    </row>
    <row r="163" spans="1:10" x14ac:dyDescent="0.25">
      <c r="A163" s="229" t="s">
        <v>355</v>
      </c>
      <c r="B163" s="233" t="s">
        <v>317</v>
      </c>
      <c r="C163" s="229">
        <v>0</v>
      </c>
      <c r="D163" s="229">
        <v>164</v>
      </c>
      <c r="E163" s="230">
        <v>342</v>
      </c>
      <c r="F163" s="230">
        <v>205</v>
      </c>
      <c r="G163" s="229">
        <v>263</v>
      </c>
      <c r="H163" s="229">
        <v>380</v>
      </c>
      <c r="I163" s="229">
        <v>0</v>
      </c>
      <c r="J163" s="229"/>
    </row>
    <row r="164" spans="1:10" x14ac:dyDescent="0.25">
      <c r="A164" s="229" t="s">
        <v>355</v>
      </c>
      <c r="B164" s="233" t="s">
        <v>318</v>
      </c>
      <c r="C164" s="229">
        <v>0</v>
      </c>
      <c r="D164" s="229">
        <v>191</v>
      </c>
      <c r="E164" s="230">
        <v>213</v>
      </c>
      <c r="F164" s="230">
        <v>217</v>
      </c>
      <c r="G164" s="229">
        <v>272</v>
      </c>
      <c r="H164" s="229">
        <v>364</v>
      </c>
      <c r="I164" s="229">
        <v>0</v>
      </c>
      <c r="J164" s="229"/>
    </row>
    <row r="165" spans="1:10" x14ac:dyDescent="0.25">
      <c r="A165" s="229" t="s">
        <v>355</v>
      </c>
      <c r="B165" s="233" t="s">
        <v>319</v>
      </c>
      <c r="C165" s="229">
        <v>0</v>
      </c>
      <c r="D165" s="229">
        <v>235</v>
      </c>
      <c r="E165" s="230">
        <v>191</v>
      </c>
      <c r="F165" s="230">
        <v>225</v>
      </c>
      <c r="G165" s="229">
        <v>362</v>
      </c>
      <c r="H165" s="229">
        <v>331</v>
      </c>
      <c r="I165" s="229">
        <v>0</v>
      </c>
      <c r="J165" s="229"/>
    </row>
    <row r="166" spans="1:10" x14ac:dyDescent="0.25">
      <c r="A166" s="229" t="s">
        <v>355</v>
      </c>
      <c r="B166" s="233" t="s">
        <v>320</v>
      </c>
      <c r="C166" s="229">
        <v>0</v>
      </c>
      <c r="D166" s="229">
        <v>159</v>
      </c>
      <c r="E166" s="230">
        <v>252</v>
      </c>
      <c r="F166" s="230">
        <v>243</v>
      </c>
      <c r="G166" s="229">
        <v>370</v>
      </c>
      <c r="H166" s="229">
        <v>277</v>
      </c>
      <c r="I166" s="229">
        <v>0</v>
      </c>
      <c r="J166" s="229"/>
    </row>
    <row r="167" spans="1:10" x14ac:dyDescent="0.25">
      <c r="A167" s="229" t="s">
        <v>355</v>
      </c>
      <c r="B167" s="233" t="s">
        <v>321</v>
      </c>
      <c r="C167" s="229">
        <v>0</v>
      </c>
      <c r="D167" s="229">
        <v>149</v>
      </c>
      <c r="E167" s="230">
        <v>325</v>
      </c>
      <c r="F167" s="230">
        <v>329</v>
      </c>
      <c r="G167" s="229">
        <v>329</v>
      </c>
      <c r="H167" s="229">
        <v>315</v>
      </c>
      <c r="I167" s="229">
        <v>0</v>
      </c>
      <c r="J167" s="229"/>
    </row>
    <row r="168" spans="1:10" x14ac:dyDescent="0.25">
      <c r="A168" s="229" t="s">
        <v>355</v>
      </c>
      <c r="B168" s="233" t="s">
        <v>322</v>
      </c>
      <c r="C168" s="229">
        <v>0</v>
      </c>
      <c r="D168" s="229">
        <v>140</v>
      </c>
      <c r="E168" s="230">
        <v>325</v>
      </c>
      <c r="F168" s="230">
        <v>402</v>
      </c>
      <c r="G168" s="229">
        <v>327</v>
      </c>
      <c r="H168" s="229">
        <v>322</v>
      </c>
      <c r="I168" s="229">
        <v>0</v>
      </c>
      <c r="J168" s="229"/>
    </row>
    <row r="169" spans="1:10" x14ac:dyDescent="0.25">
      <c r="A169" s="229" t="s">
        <v>355</v>
      </c>
      <c r="B169" s="233" t="s">
        <v>323</v>
      </c>
      <c r="C169" s="229">
        <v>0</v>
      </c>
      <c r="D169" s="229">
        <v>195</v>
      </c>
      <c r="E169" s="230">
        <v>291</v>
      </c>
      <c r="F169" s="230">
        <v>380</v>
      </c>
      <c r="G169" s="229">
        <v>335</v>
      </c>
      <c r="H169" s="229">
        <v>405</v>
      </c>
      <c r="I169" s="229">
        <v>0</v>
      </c>
      <c r="J169" s="229"/>
    </row>
    <row r="170" spans="1:10" x14ac:dyDescent="0.25">
      <c r="A170" s="229" t="s">
        <v>355</v>
      </c>
      <c r="B170" s="233" t="s">
        <v>324</v>
      </c>
      <c r="C170" s="229">
        <v>0</v>
      </c>
      <c r="D170" s="229">
        <v>245</v>
      </c>
      <c r="E170" s="230">
        <v>378</v>
      </c>
      <c r="F170" s="230">
        <v>236</v>
      </c>
      <c r="G170" s="229">
        <v>341</v>
      </c>
      <c r="H170" s="229">
        <v>380</v>
      </c>
      <c r="I170" s="229">
        <v>0</v>
      </c>
      <c r="J170" s="229"/>
    </row>
    <row r="171" spans="1:10" x14ac:dyDescent="0.25">
      <c r="A171" s="229" t="s">
        <v>355</v>
      </c>
      <c r="B171" s="233" t="s">
        <v>325</v>
      </c>
      <c r="C171" s="229">
        <v>0</v>
      </c>
      <c r="D171" s="229">
        <v>345</v>
      </c>
      <c r="E171" s="230">
        <v>370</v>
      </c>
      <c r="F171" s="230">
        <v>278</v>
      </c>
      <c r="G171" s="229">
        <v>330</v>
      </c>
      <c r="H171" s="229">
        <v>339</v>
      </c>
      <c r="I171" s="229">
        <v>0</v>
      </c>
      <c r="J171" s="229"/>
    </row>
    <row r="172" spans="1:10" x14ac:dyDescent="0.25">
      <c r="A172" s="229" t="s">
        <v>355</v>
      </c>
      <c r="B172" s="233" t="s">
        <v>326</v>
      </c>
      <c r="C172" s="229">
        <v>0</v>
      </c>
      <c r="D172" s="229">
        <v>324</v>
      </c>
      <c r="E172" s="230">
        <v>365</v>
      </c>
      <c r="F172" s="230">
        <v>380</v>
      </c>
      <c r="G172" s="229">
        <v>336</v>
      </c>
      <c r="H172" s="229">
        <v>292</v>
      </c>
      <c r="I172" s="229">
        <v>0</v>
      </c>
      <c r="J172" s="229"/>
    </row>
    <row r="173" spans="1:10" x14ac:dyDescent="0.25">
      <c r="A173" s="229" t="s">
        <v>355</v>
      </c>
      <c r="B173" s="233" t="s">
        <v>327</v>
      </c>
      <c r="C173" s="229">
        <v>0</v>
      </c>
      <c r="D173" s="229">
        <v>213</v>
      </c>
      <c r="E173" s="230">
        <v>376</v>
      </c>
      <c r="F173" s="230">
        <v>408</v>
      </c>
      <c r="G173" s="229">
        <v>351</v>
      </c>
      <c r="H173" s="229">
        <v>391</v>
      </c>
      <c r="I173" s="229">
        <v>0</v>
      </c>
      <c r="J173" s="229"/>
    </row>
    <row r="174" spans="1:10" x14ac:dyDescent="0.25">
      <c r="A174" s="229" t="s">
        <v>355</v>
      </c>
      <c r="B174" s="233" t="s">
        <v>328</v>
      </c>
      <c r="C174" s="229">
        <v>0</v>
      </c>
      <c r="D174" s="229">
        <v>176</v>
      </c>
      <c r="E174" s="230">
        <v>369</v>
      </c>
      <c r="F174" s="230">
        <v>409</v>
      </c>
      <c r="G174" s="229">
        <v>338</v>
      </c>
      <c r="H174" s="229">
        <v>406</v>
      </c>
      <c r="I174" s="229">
        <v>0</v>
      </c>
      <c r="J174" s="229"/>
    </row>
    <row r="175" spans="1:10" x14ac:dyDescent="0.25">
      <c r="A175" s="229" t="s">
        <v>355</v>
      </c>
      <c r="B175" s="233" t="s">
        <v>329</v>
      </c>
      <c r="C175" s="229">
        <v>0</v>
      </c>
      <c r="D175" s="229">
        <v>207</v>
      </c>
      <c r="E175" s="230">
        <v>288</v>
      </c>
      <c r="F175" s="230">
        <v>396</v>
      </c>
      <c r="G175" s="229">
        <v>366</v>
      </c>
      <c r="H175" s="229">
        <v>300</v>
      </c>
      <c r="I175" s="229">
        <v>0</v>
      </c>
      <c r="J175" s="229"/>
    </row>
    <row r="176" spans="1:10" x14ac:dyDescent="0.25">
      <c r="A176" s="229" t="s">
        <v>355</v>
      </c>
      <c r="B176" s="233" t="s">
        <v>330</v>
      </c>
      <c r="C176" s="229">
        <v>0</v>
      </c>
      <c r="D176" s="229">
        <v>196</v>
      </c>
      <c r="E176" s="230">
        <v>282</v>
      </c>
      <c r="F176" s="230">
        <v>400</v>
      </c>
      <c r="G176" s="229">
        <v>261</v>
      </c>
      <c r="H176" s="229">
        <v>405</v>
      </c>
      <c r="I176" s="229">
        <v>0</v>
      </c>
      <c r="J176" s="229"/>
    </row>
    <row r="177" spans="1:10" x14ac:dyDescent="0.25">
      <c r="A177" s="229" t="s">
        <v>355</v>
      </c>
      <c r="B177" s="233" t="s">
        <v>331</v>
      </c>
      <c r="C177" s="229">
        <v>0</v>
      </c>
      <c r="D177" s="229">
        <v>185</v>
      </c>
      <c r="E177" s="230">
        <v>288</v>
      </c>
      <c r="F177" s="230">
        <v>216</v>
      </c>
      <c r="G177" s="229">
        <v>253</v>
      </c>
      <c r="H177" s="229">
        <v>310</v>
      </c>
      <c r="I177" s="229">
        <v>0</v>
      </c>
      <c r="J177" s="229"/>
    </row>
    <row r="178" spans="1:10" x14ac:dyDescent="0.25">
      <c r="A178" s="229" t="s">
        <v>355</v>
      </c>
      <c r="B178" s="233" t="s">
        <v>332</v>
      </c>
      <c r="C178" s="229">
        <v>0</v>
      </c>
      <c r="D178" s="229">
        <v>215</v>
      </c>
      <c r="E178" s="230">
        <v>237</v>
      </c>
      <c r="F178" s="230">
        <v>299</v>
      </c>
      <c r="G178" s="229">
        <v>274</v>
      </c>
      <c r="H178" s="229">
        <v>404</v>
      </c>
      <c r="I178" s="229">
        <v>0</v>
      </c>
      <c r="J178" s="229"/>
    </row>
    <row r="179" spans="1:10" x14ac:dyDescent="0.25">
      <c r="A179" s="229" t="s">
        <v>355</v>
      </c>
      <c r="B179" s="233" t="s">
        <v>333</v>
      </c>
      <c r="C179" s="229">
        <v>0</v>
      </c>
      <c r="D179" s="229">
        <v>200</v>
      </c>
      <c r="E179" s="230">
        <v>298</v>
      </c>
      <c r="F179" s="230">
        <v>292</v>
      </c>
      <c r="G179" s="229">
        <v>361</v>
      </c>
      <c r="H179" s="229">
        <v>397</v>
      </c>
      <c r="I179" s="229">
        <v>0</v>
      </c>
      <c r="J179" s="229"/>
    </row>
    <row r="180" spans="1:10" x14ac:dyDescent="0.25">
      <c r="A180" s="229" t="s">
        <v>355</v>
      </c>
      <c r="B180" s="233" t="s">
        <v>334</v>
      </c>
      <c r="C180" s="229">
        <v>0</v>
      </c>
      <c r="D180" s="229">
        <v>189</v>
      </c>
      <c r="E180" s="230">
        <v>324</v>
      </c>
      <c r="F180" s="230">
        <v>396</v>
      </c>
      <c r="G180" s="229">
        <v>340</v>
      </c>
      <c r="H180" s="229">
        <v>316</v>
      </c>
      <c r="I180" s="229">
        <v>0</v>
      </c>
      <c r="J180" s="229"/>
    </row>
    <row r="181" spans="1:10" x14ac:dyDescent="0.25">
      <c r="A181" s="229" t="s">
        <v>355</v>
      </c>
      <c r="B181" s="233" t="s">
        <v>335</v>
      </c>
      <c r="C181" s="229">
        <v>0</v>
      </c>
      <c r="D181" s="229">
        <v>263</v>
      </c>
      <c r="E181" s="230">
        <v>295</v>
      </c>
      <c r="F181" s="230">
        <v>407</v>
      </c>
      <c r="G181" s="229">
        <v>391</v>
      </c>
      <c r="H181" s="229">
        <v>368</v>
      </c>
      <c r="I181" s="229">
        <v>0</v>
      </c>
      <c r="J181" s="229"/>
    </row>
    <row r="182" spans="1:10" x14ac:dyDescent="0.25">
      <c r="A182" s="229" t="s">
        <v>355</v>
      </c>
      <c r="B182" s="233" t="s">
        <v>336</v>
      </c>
      <c r="C182" s="229">
        <v>0</v>
      </c>
      <c r="D182" s="229">
        <v>245</v>
      </c>
      <c r="E182" s="230">
        <v>307</v>
      </c>
      <c r="F182" s="230">
        <v>418</v>
      </c>
      <c r="G182" s="229">
        <v>401</v>
      </c>
      <c r="H182" s="229">
        <v>411</v>
      </c>
      <c r="I182" s="229">
        <v>0</v>
      </c>
      <c r="J182" s="229"/>
    </row>
    <row r="183" spans="1:10" x14ac:dyDescent="0.25">
      <c r="A183" s="229" t="s">
        <v>355</v>
      </c>
      <c r="B183" s="233" t="s">
        <v>338</v>
      </c>
      <c r="C183" s="229">
        <v>0</v>
      </c>
      <c r="D183" s="229">
        <v>256</v>
      </c>
      <c r="E183" s="230">
        <v>338</v>
      </c>
      <c r="F183" s="230">
        <v>422</v>
      </c>
      <c r="G183" s="229">
        <v>279</v>
      </c>
      <c r="H183" s="229">
        <v>409</v>
      </c>
      <c r="I183" s="229">
        <v>0</v>
      </c>
      <c r="J183" s="229"/>
    </row>
    <row r="184" spans="1:10" x14ac:dyDescent="0.25">
      <c r="A184" s="229" t="s">
        <v>355</v>
      </c>
      <c r="B184" s="233" t="s">
        <v>340</v>
      </c>
      <c r="C184" s="229">
        <v>0</v>
      </c>
      <c r="D184" s="229">
        <v>284</v>
      </c>
      <c r="E184" s="230">
        <v>340</v>
      </c>
      <c r="F184" s="230">
        <v>212</v>
      </c>
      <c r="G184" s="229">
        <v>392</v>
      </c>
      <c r="H184" s="229">
        <v>409</v>
      </c>
      <c r="I184" s="229">
        <v>0</v>
      </c>
      <c r="J184" s="229"/>
    </row>
    <row r="185" spans="1:10" x14ac:dyDescent="0.25">
      <c r="A185" s="229" t="s">
        <v>355</v>
      </c>
      <c r="B185" s="233" t="s">
        <v>342</v>
      </c>
      <c r="C185" s="229">
        <v>0</v>
      </c>
      <c r="D185" s="229">
        <v>303</v>
      </c>
      <c r="E185" s="230">
        <v>399</v>
      </c>
      <c r="F185" s="230">
        <v>264</v>
      </c>
      <c r="G185" s="229">
        <v>399</v>
      </c>
      <c r="H185" s="229">
        <v>410</v>
      </c>
      <c r="I185" s="229">
        <v>0</v>
      </c>
      <c r="J185" s="229"/>
    </row>
    <row r="186" spans="1:10" x14ac:dyDescent="0.25">
      <c r="A186" s="229" t="s">
        <v>355</v>
      </c>
      <c r="B186" s="233" t="s">
        <v>344</v>
      </c>
      <c r="C186" s="229">
        <v>0</v>
      </c>
      <c r="D186" s="229">
        <v>316</v>
      </c>
      <c r="E186" s="230">
        <v>408</v>
      </c>
      <c r="F186" s="230">
        <v>298</v>
      </c>
      <c r="G186" s="229">
        <v>403</v>
      </c>
      <c r="H186" s="229">
        <v>323</v>
      </c>
      <c r="I186" s="229">
        <v>0</v>
      </c>
      <c r="J186" s="229"/>
    </row>
    <row r="187" spans="1:10" x14ac:dyDescent="0.25">
      <c r="A187" s="229" t="s">
        <v>355</v>
      </c>
      <c r="B187" s="233" t="s">
        <v>346</v>
      </c>
      <c r="C187" s="229">
        <v>0</v>
      </c>
      <c r="D187" s="229">
        <v>162</v>
      </c>
      <c r="E187" s="230">
        <v>421</v>
      </c>
      <c r="F187" s="230">
        <v>321</v>
      </c>
      <c r="G187" s="229">
        <v>281</v>
      </c>
      <c r="H187" s="229">
        <v>327</v>
      </c>
      <c r="I187" s="229">
        <v>0</v>
      </c>
      <c r="J187" s="229"/>
    </row>
    <row r="188" spans="1:10" x14ac:dyDescent="0.25">
      <c r="A188" s="229" t="s">
        <v>355</v>
      </c>
      <c r="B188" s="233" t="s">
        <v>347</v>
      </c>
      <c r="C188" s="229">
        <v>0</v>
      </c>
      <c r="D188" s="229">
        <v>138</v>
      </c>
      <c r="E188" s="230">
        <v>231</v>
      </c>
      <c r="F188" s="230">
        <v>396</v>
      </c>
      <c r="G188" s="229">
        <v>333</v>
      </c>
      <c r="H188" s="229">
        <v>335</v>
      </c>
      <c r="I188" s="229">
        <v>0</v>
      </c>
      <c r="J188" s="229"/>
    </row>
    <row r="189" spans="1:10" x14ac:dyDescent="0.25">
      <c r="A189" s="229" t="s">
        <v>355</v>
      </c>
      <c r="B189" s="233" t="s">
        <v>349</v>
      </c>
      <c r="C189" s="229">
        <v>0</v>
      </c>
      <c r="D189" s="229">
        <v>124</v>
      </c>
      <c r="E189" s="230">
        <v>248</v>
      </c>
      <c r="F189" s="230">
        <v>417</v>
      </c>
      <c r="G189" s="229">
        <v>320</v>
      </c>
      <c r="H189" s="229">
        <v>276</v>
      </c>
      <c r="I189" s="229">
        <v>0</v>
      </c>
      <c r="J189" s="229"/>
    </row>
    <row r="190" spans="1:10" x14ac:dyDescent="0.25">
      <c r="A190" s="229" t="s">
        <v>356</v>
      </c>
      <c r="B190" s="233" t="s">
        <v>313</v>
      </c>
      <c r="C190" s="229">
        <v>0</v>
      </c>
      <c r="D190" s="229">
        <v>142</v>
      </c>
      <c r="E190" s="230">
        <v>313</v>
      </c>
      <c r="F190" s="230">
        <v>397</v>
      </c>
      <c r="G190" s="229">
        <v>285</v>
      </c>
      <c r="H190" s="229">
        <v>416</v>
      </c>
      <c r="I190" s="229">
        <v>79</v>
      </c>
      <c r="J190" s="229"/>
    </row>
    <row r="191" spans="1:10" x14ac:dyDescent="0.25">
      <c r="A191" s="229" t="s">
        <v>356</v>
      </c>
      <c r="B191" s="233" t="s">
        <v>315</v>
      </c>
      <c r="C191" s="229">
        <v>0</v>
      </c>
      <c r="D191" s="229">
        <v>175</v>
      </c>
      <c r="E191" s="230">
        <v>382</v>
      </c>
      <c r="F191" s="230">
        <v>312</v>
      </c>
      <c r="G191" s="229">
        <v>298</v>
      </c>
      <c r="H191" s="229">
        <v>413</v>
      </c>
      <c r="I191" s="229">
        <v>124</v>
      </c>
      <c r="J191" s="229"/>
    </row>
    <row r="192" spans="1:10" x14ac:dyDescent="0.25">
      <c r="A192" s="229" t="s">
        <v>356</v>
      </c>
      <c r="B192" s="233" t="s">
        <v>316</v>
      </c>
      <c r="C192" s="229">
        <v>0</v>
      </c>
      <c r="D192" s="229">
        <v>199</v>
      </c>
      <c r="E192" s="230">
        <v>402</v>
      </c>
      <c r="F192" s="230">
        <v>316</v>
      </c>
      <c r="G192" s="229">
        <v>327</v>
      </c>
      <c r="H192" s="229">
        <v>337</v>
      </c>
      <c r="I192" s="229">
        <v>208</v>
      </c>
      <c r="J192" s="229"/>
    </row>
    <row r="193" spans="1:10" x14ac:dyDescent="0.25">
      <c r="A193" s="229" t="s">
        <v>356</v>
      </c>
      <c r="B193" s="233" t="s">
        <v>317</v>
      </c>
      <c r="C193" s="229">
        <v>0</v>
      </c>
      <c r="D193" s="229">
        <v>229</v>
      </c>
      <c r="E193" s="230">
        <v>348</v>
      </c>
      <c r="F193" s="230">
        <v>287</v>
      </c>
      <c r="G193" s="229">
        <v>350</v>
      </c>
      <c r="H193" s="229">
        <v>401</v>
      </c>
      <c r="I193" s="229">
        <v>218</v>
      </c>
      <c r="J193" s="229"/>
    </row>
    <row r="194" spans="1:10" x14ac:dyDescent="0.25">
      <c r="A194" s="229" t="s">
        <v>356</v>
      </c>
      <c r="B194" s="233" t="s">
        <v>318</v>
      </c>
      <c r="C194" s="229">
        <v>0</v>
      </c>
      <c r="D194" s="229">
        <v>142</v>
      </c>
      <c r="E194" s="230">
        <v>389</v>
      </c>
      <c r="F194" s="230">
        <v>386</v>
      </c>
      <c r="G194" s="229">
        <v>325</v>
      </c>
      <c r="H194" s="229">
        <v>399</v>
      </c>
      <c r="I194" s="229">
        <v>88</v>
      </c>
      <c r="J194" s="229"/>
    </row>
    <row r="195" spans="1:10" x14ac:dyDescent="0.25">
      <c r="A195" s="229" t="s">
        <v>356</v>
      </c>
      <c r="B195" s="233" t="s">
        <v>319</v>
      </c>
      <c r="C195" s="229">
        <v>0</v>
      </c>
      <c r="D195" s="229">
        <v>156</v>
      </c>
      <c r="E195" s="230">
        <v>387</v>
      </c>
      <c r="F195" s="230">
        <v>388</v>
      </c>
      <c r="G195" s="229">
        <v>329</v>
      </c>
      <c r="H195" s="229">
        <v>416</v>
      </c>
      <c r="I195" s="229">
        <v>69</v>
      </c>
      <c r="J195" s="229"/>
    </row>
    <row r="196" spans="1:10" x14ac:dyDescent="0.25">
      <c r="A196" s="229" t="s">
        <v>356</v>
      </c>
      <c r="B196" s="233" t="s">
        <v>320</v>
      </c>
      <c r="C196" s="229">
        <v>0</v>
      </c>
      <c r="D196" s="229">
        <v>164</v>
      </c>
      <c r="E196" s="230">
        <v>256</v>
      </c>
      <c r="F196" s="230">
        <v>267</v>
      </c>
      <c r="G196" s="229">
        <v>305</v>
      </c>
      <c r="H196" s="229">
        <v>316</v>
      </c>
      <c r="I196" s="229">
        <v>55</v>
      </c>
      <c r="J196" s="229"/>
    </row>
    <row r="197" spans="1:10" x14ac:dyDescent="0.25">
      <c r="A197" s="229" t="s">
        <v>356</v>
      </c>
      <c r="B197" s="233" t="s">
        <v>321</v>
      </c>
      <c r="C197" s="229">
        <v>0</v>
      </c>
      <c r="D197" s="229">
        <v>170</v>
      </c>
      <c r="E197" s="230">
        <v>346</v>
      </c>
      <c r="F197" s="230">
        <v>289</v>
      </c>
      <c r="G197" s="229">
        <v>242</v>
      </c>
      <c r="H197" s="229">
        <v>332</v>
      </c>
      <c r="I197" s="229">
        <v>48</v>
      </c>
      <c r="J197" s="229"/>
    </row>
    <row r="198" spans="1:10" x14ac:dyDescent="0.25">
      <c r="A198" s="229" t="s">
        <v>356</v>
      </c>
      <c r="B198" s="233" t="s">
        <v>322</v>
      </c>
      <c r="C198" s="229">
        <v>0</v>
      </c>
      <c r="D198" s="229">
        <v>161</v>
      </c>
      <c r="E198" s="230">
        <v>356</v>
      </c>
      <c r="F198" s="230">
        <v>259</v>
      </c>
      <c r="G198" s="229">
        <v>318</v>
      </c>
      <c r="H198" s="229">
        <v>384</v>
      </c>
      <c r="I198" s="229">
        <v>67</v>
      </c>
      <c r="J198" s="229"/>
    </row>
    <row r="199" spans="1:10" x14ac:dyDescent="0.25">
      <c r="A199" s="229" t="s">
        <v>356</v>
      </c>
      <c r="B199" s="233" t="s">
        <v>323</v>
      </c>
      <c r="C199" s="229">
        <v>0</v>
      </c>
      <c r="D199" s="229">
        <v>168</v>
      </c>
      <c r="E199" s="230">
        <v>310</v>
      </c>
      <c r="F199" s="230">
        <v>295</v>
      </c>
      <c r="G199" s="229">
        <v>316</v>
      </c>
      <c r="H199" s="229">
        <v>420</v>
      </c>
      <c r="I199" s="229">
        <v>100</v>
      </c>
      <c r="J199" s="229"/>
    </row>
    <row r="200" spans="1:10" x14ac:dyDescent="0.25">
      <c r="A200" s="229" t="s">
        <v>356</v>
      </c>
      <c r="B200" s="233" t="s">
        <v>324</v>
      </c>
      <c r="C200" s="229">
        <v>0</v>
      </c>
      <c r="D200" s="229">
        <v>183</v>
      </c>
      <c r="E200" s="230">
        <v>354</v>
      </c>
      <c r="F200" s="230">
        <v>312</v>
      </c>
      <c r="G200" s="229">
        <v>388</v>
      </c>
      <c r="H200" s="229">
        <v>394</v>
      </c>
      <c r="I200" s="229">
        <v>111</v>
      </c>
      <c r="J200" s="229"/>
    </row>
    <row r="201" spans="1:10" x14ac:dyDescent="0.25">
      <c r="A201" s="229" t="s">
        <v>356</v>
      </c>
      <c r="B201" s="233" t="s">
        <v>325</v>
      </c>
      <c r="C201" s="229">
        <v>0</v>
      </c>
      <c r="D201" s="229">
        <v>178</v>
      </c>
      <c r="E201" s="230">
        <v>409</v>
      </c>
      <c r="F201" s="230">
        <v>353</v>
      </c>
      <c r="G201" s="229">
        <v>388</v>
      </c>
      <c r="H201" s="229">
        <v>284</v>
      </c>
      <c r="I201" s="229">
        <v>59</v>
      </c>
      <c r="J201" s="229"/>
    </row>
    <row r="202" spans="1:10" x14ac:dyDescent="0.25">
      <c r="A202" s="229" t="s">
        <v>356</v>
      </c>
      <c r="B202" s="233" t="s">
        <v>326</v>
      </c>
      <c r="C202" s="229">
        <v>0</v>
      </c>
      <c r="D202" s="229">
        <v>214</v>
      </c>
      <c r="E202" s="230">
        <v>391</v>
      </c>
      <c r="F202" s="230">
        <v>403</v>
      </c>
      <c r="G202" s="229">
        <v>274</v>
      </c>
      <c r="H202" s="229">
        <v>291</v>
      </c>
      <c r="I202" s="229">
        <v>39</v>
      </c>
      <c r="J202" s="229"/>
    </row>
    <row r="203" spans="1:10" x14ac:dyDescent="0.25">
      <c r="A203" s="229" t="s">
        <v>356</v>
      </c>
      <c r="B203" s="233" t="s">
        <v>327</v>
      </c>
      <c r="C203" s="229">
        <v>0</v>
      </c>
      <c r="D203" s="229">
        <v>250</v>
      </c>
      <c r="E203" s="230">
        <v>383</v>
      </c>
      <c r="F203" s="230">
        <v>418</v>
      </c>
      <c r="G203" s="229">
        <v>333</v>
      </c>
      <c r="H203" s="229">
        <v>282</v>
      </c>
      <c r="I203" s="229">
        <v>42</v>
      </c>
      <c r="J203" s="229"/>
    </row>
    <row r="204" spans="1:10" x14ac:dyDescent="0.25">
      <c r="A204" s="229" t="s">
        <v>356</v>
      </c>
      <c r="B204" s="233" t="s">
        <v>328</v>
      </c>
      <c r="C204" s="229">
        <v>0</v>
      </c>
      <c r="D204" s="229">
        <v>257</v>
      </c>
      <c r="E204" s="230">
        <v>362</v>
      </c>
      <c r="F204" s="230">
        <v>421</v>
      </c>
      <c r="G204" s="229">
        <v>286</v>
      </c>
      <c r="H204" s="229">
        <v>300</v>
      </c>
      <c r="I204" s="229">
        <v>55</v>
      </c>
      <c r="J204" s="229"/>
    </row>
    <row r="205" spans="1:10" x14ac:dyDescent="0.25">
      <c r="A205" s="229" t="s">
        <v>356</v>
      </c>
      <c r="B205" s="233" t="s">
        <v>329</v>
      </c>
      <c r="C205" s="229">
        <v>0</v>
      </c>
      <c r="D205" s="229">
        <v>251</v>
      </c>
      <c r="E205" s="230">
        <v>378</v>
      </c>
      <c r="F205" s="230">
        <v>261</v>
      </c>
      <c r="G205" s="229">
        <v>287</v>
      </c>
      <c r="H205" s="229">
        <v>314</v>
      </c>
      <c r="I205" s="229">
        <v>84</v>
      </c>
      <c r="J205" s="229"/>
    </row>
    <row r="206" spans="1:10" x14ac:dyDescent="0.25">
      <c r="A206" s="229" t="s">
        <v>356</v>
      </c>
      <c r="B206" s="233" t="s">
        <v>330</v>
      </c>
      <c r="C206" s="229">
        <v>0</v>
      </c>
      <c r="D206" s="229">
        <v>280</v>
      </c>
      <c r="E206" s="230">
        <v>333</v>
      </c>
      <c r="F206" s="230">
        <v>235</v>
      </c>
      <c r="G206" s="229">
        <v>286</v>
      </c>
      <c r="H206" s="229">
        <v>317</v>
      </c>
      <c r="I206" s="229">
        <v>123</v>
      </c>
      <c r="J206" s="229"/>
    </row>
    <row r="207" spans="1:10" x14ac:dyDescent="0.25">
      <c r="A207" s="229" t="s">
        <v>356</v>
      </c>
      <c r="B207" s="233" t="s">
        <v>331</v>
      </c>
      <c r="C207" s="229">
        <v>0</v>
      </c>
      <c r="D207" s="229">
        <v>311</v>
      </c>
      <c r="E207" s="230">
        <v>340</v>
      </c>
      <c r="F207" s="230">
        <v>255</v>
      </c>
      <c r="G207" s="229">
        <v>278</v>
      </c>
      <c r="H207" s="229">
        <v>360</v>
      </c>
      <c r="I207" s="229">
        <v>152</v>
      </c>
      <c r="J207" s="229"/>
    </row>
    <row r="208" spans="1:10" x14ac:dyDescent="0.25">
      <c r="A208" s="229" t="s">
        <v>356</v>
      </c>
      <c r="B208" s="233" t="s">
        <v>332</v>
      </c>
      <c r="C208" s="229">
        <v>0</v>
      </c>
      <c r="D208" s="229">
        <v>198</v>
      </c>
      <c r="E208" s="230">
        <v>323</v>
      </c>
      <c r="F208" s="230">
        <v>371</v>
      </c>
      <c r="G208" s="229">
        <v>275</v>
      </c>
      <c r="H208" s="229">
        <v>424</v>
      </c>
      <c r="I208" s="229">
        <v>92</v>
      </c>
      <c r="J208" s="229"/>
    </row>
    <row r="209" spans="1:10" x14ac:dyDescent="0.25">
      <c r="A209" s="229" t="s">
        <v>356</v>
      </c>
      <c r="B209" s="233" t="s">
        <v>333</v>
      </c>
      <c r="C209" s="229">
        <v>0</v>
      </c>
      <c r="D209" s="229">
        <v>206</v>
      </c>
      <c r="E209" s="230">
        <v>373</v>
      </c>
      <c r="F209" s="230">
        <v>402</v>
      </c>
      <c r="G209" s="229">
        <v>274</v>
      </c>
      <c r="H209" s="229">
        <v>416</v>
      </c>
      <c r="I209" s="229">
        <v>63</v>
      </c>
      <c r="J209" s="229"/>
    </row>
    <row r="210" spans="1:10" x14ac:dyDescent="0.25">
      <c r="A210" s="229" t="s">
        <v>356</v>
      </c>
      <c r="B210" s="233" t="s">
        <v>334</v>
      </c>
      <c r="C210" s="229">
        <v>0</v>
      </c>
      <c r="D210" s="229">
        <v>215</v>
      </c>
      <c r="E210" s="230">
        <v>368</v>
      </c>
      <c r="F210" s="230">
        <v>368</v>
      </c>
      <c r="G210" s="229">
        <v>324</v>
      </c>
      <c r="H210" s="229">
        <v>392</v>
      </c>
      <c r="I210" s="229">
        <v>50</v>
      </c>
      <c r="J210" s="229"/>
    </row>
    <row r="211" spans="1:10" x14ac:dyDescent="0.25">
      <c r="A211" s="229" t="s">
        <v>356</v>
      </c>
      <c r="B211" s="233" t="s">
        <v>335</v>
      </c>
      <c r="C211" s="229">
        <v>0</v>
      </c>
      <c r="D211" s="229">
        <v>257</v>
      </c>
      <c r="E211" s="230">
        <v>351</v>
      </c>
      <c r="F211" s="230">
        <v>403</v>
      </c>
      <c r="G211" s="229">
        <v>377</v>
      </c>
      <c r="H211" s="229">
        <v>341</v>
      </c>
      <c r="I211" s="229">
        <v>66</v>
      </c>
      <c r="J211" s="229"/>
    </row>
    <row r="212" spans="1:10" x14ac:dyDescent="0.25">
      <c r="A212" s="229" t="s">
        <v>356</v>
      </c>
      <c r="B212" s="233" t="s">
        <v>336</v>
      </c>
      <c r="C212" s="229">
        <v>0</v>
      </c>
      <c r="D212" s="229">
        <v>299</v>
      </c>
      <c r="E212" s="230">
        <v>362</v>
      </c>
      <c r="F212" s="230">
        <v>246</v>
      </c>
      <c r="G212" s="229">
        <v>400</v>
      </c>
      <c r="H212" s="229">
        <v>312</v>
      </c>
      <c r="I212" s="229">
        <v>72</v>
      </c>
      <c r="J212" s="229"/>
    </row>
    <row r="213" spans="1:10" x14ac:dyDescent="0.25">
      <c r="A213" s="229" t="s">
        <v>356</v>
      </c>
      <c r="B213" s="233" t="s">
        <v>338</v>
      </c>
      <c r="C213" s="229">
        <v>0</v>
      </c>
      <c r="D213" s="229">
        <v>346</v>
      </c>
      <c r="E213" s="230">
        <v>305</v>
      </c>
      <c r="F213" s="230">
        <v>281</v>
      </c>
      <c r="G213" s="229">
        <v>368</v>
      </c>
      <c r="H213" s="229">
        <v>325</v>
      </c>
      <c r="I213" s="229">
        <v>125</v>
      </c>
      <c r="J213" s="229"/>
    </row>
    <row r="214" spans="1:10" x14ac:dyDescent="0.25">
      <c r="A214" s="229" t="s">
        <v>356</v>
      </c>
      <c r="B214" s="233" t="s">
        <v>340</v>
      </c>
      <c r="C214" s="229">
        <v>74</v>
      </c>
      <c r="D214" s="229">
        <v>378</v>
      </c>
      <c r="E214" s="230">
        <v>240</v>
      </c>
      <c r="F214" s="230">
        <v>302</v>
      </c>
      <c r="G214" s="229">
        <v>269</v>
      </c>
      <c r="H214" s="229">
        <v>378</v>
      </c>
      <c r="I214" s="229">
        <v>138</v>
      </c>
      <c r="J214" s="229"/>
    </row>
    <row r="215" spans="1:10" x14ac:dyDescent="0.25">
      <c r="A215" s="229" t="s">
        <v>356</v>
      </c>
      <c r="B215" s="232" t="s">
        <v>342</v>
      </c>
      <c r="C215" s="229">
        <v>101</v>
      </c>
      <c r="D215" s="229">
        <v>309</v>
      </c>
      <c r="E215" s="230">
        <v>251</v>
      </c>
      <c r="F215" s="230">
        <v>312</v>
      </c>
      <c r="G215" s="229">
        <v>270</v>
      </c>
      <c r="H215" s="229">
        <v>411</v>
      </c>
      <c r="I215" s="229">
        <v>78</v>
      </c>
      <c r="J215" s="229"/>
    </row>
    <row r="216" spans="1:10" x14ac:dyDescent="0.25">
      <c r="A216" s="229" t="s">
        <v>356</v>
      </c>
      <c r="B216" s="232" t="s">
        <v>344</v>
      </c>
      <c r="C216" s="229">
        <v>96</v>
      </c>
      <c r="D216" s="229">
        <v>335</v>
      </c>
      <c r="E216" s="230">
        <v>268</v>
      </c>
      <c r="F216" s="230">
        <v>394</v>
      </c>
      <c r="G216" s="229">
        <v>287</v>
      </c>
      <c r="H216" s="229">
        <v>411</v>
      </c>
      <c r="I216" s="229">
        <v>68</v>
      </c>
      <c r="J216" s="229"/>
    </row>
    <row r="217" spans="1:10" x14ac:dyDescent="0.25">
      <c r="A217" s="229" t="s">
        <v>356</v>
      </c>
      <c r="B217" s="232" t="s">
        <v>346</v>
      </c>
      <c r="C217" s="229">
        <v>93</v>
      </c>
      <c r="D217" s="229">
        <v>318</v>
      </c>
      <c r="E217" s="230">
        <v>286</v>
      </c>
      <c r="F217" s="230">
        <v>430</v>
      </c>
      <c r="G217" s="229">
        <v>310</v>
      </c>
      <c r="H217" s="229">
        <v>334</v>
      </c>
      <c r="I217" s="229">
        <v>71</v>
      </c>
      <c r="J217" s="229"/>
    </row>
    <row r="218" spans="1:10" x14ac:dyDescent="0.25">
      <c r="A218" s="229" t="s">
        <v>356</v>
      </c>
      <c r="B218" s="232" t="s">
        <v>347</v>
      </c>
      <c r="C218" s="229">
        <v>72</v>
      </c>
      <c r="D218" s="229">
        <v>258</v>
      </c>
      <c r="E218" s="230">
        <v>397</v>
      </c>
      <c r="F218" s="230">
        <v>422</v>
      </c>
      <c r="G218" s="229">
        <v>287</v>
      </c>
      <c r="H218" s="229">
        <v>338</v>
      </c>
      <c r="I218" s="229">
        <v>68</v>
      </c>
      <c r="J218" s="229"/>
    </row>
    <row r="219" spans="1:10" x14ac:dyDescent="0.25">
      <c r="A219" s="229" t="s">
        <v>356</v>
      </c>
      <c r="B219" s="233" t="s">
        <v>349</v>
      </c>
      <c r="C219" s="229">
        <v>73</v>
      </c>
      <c r="D219" s="229">
        <v>295</v>
      </c>
      <c r="E219" s="230">
        <v>363</v>
      </c>
      <c r="F219" s="230">
        <v>298</v>
      </c>
      <c r="G219" s="229">
        <v>352</v>
      </c>
      <c r="H219" s="229">
        <v>327</v>
      </c>
      <c r="I219" s="229">
        <v>84</v>
      </c>
      <c r="J219" s="229"/>
    </row>
    <row r="220" spans="1:10" x14ac:dyDescent="0.25">
      <c r="A220" s="229" t="s">
        <v>356</v>
      </c>
      <c r="B220" s="233" t="s">
        <v>350</v>
      </c>
      <c r="C220" s="229">
        <v>86</v>
      </c>
      <c r="D220" s="229">
        <v>342</v>
      </c>
      <c r="E220" s="230">
        <v>253</v>
      </c>
      <c r="F220" s="230">
        <v>251</v>
      </c>
      <c r="G220" s="229">
        <v>339</v>
      </c>
      <c r="H220" s="229">
        <v>335</v>
      </c>
      <c r="I220" s="229">
        <v>120</v>
      </c>
      <c r="J220" s="229"/>
    </row>
    <row r="221" spans="1:10" x14ac:dyDescent="0.25">
      <c r="A221" s="229" t="s">
        <v>357</v>
      </c>
      <c r="B221" s="233" t="s">
        <v>313</v>
      </c>
      <c r="C221" s="229">
        <v>81</v>
      </c>
      <c r="D221" s="229">
        <v>355</v>
      </c>
      <c r="E221" s="230">
        <v>238</v>
      </c>
      <c r="F221" s="230">
        <v>314</v>
      </c>
      <c r="G221" s="229">
        <v>379</v>
      </c>
      <c r="H221" s="229">
        <v>339</v>
      </c>
      <c r="I221" s="229">
        <v>124</v>
      </c>
      <c r="J221" s="229"/>
    </row>
    <row r="222" spans="1:10" x14ac:dyDescent="0.25">
      <c r="A222" s="229" t="s">
        <v>357</v>
      </c>
      <c r="B222" s="233" t="s">
        <v>315</v>
      </c>
      <c r="C222" s="229">
        <v>28</v>
      </c>
      <c r="D222" s="229">
        <v>299</v>
      </c>
      <c r="E222" s="230">
        <v>251</v>
      </c>
      <c r="F222" s="230">
        <v>352</v>
      </c>
      <c r="G222" s="229">
        <v>342</v>
      </c>
      <c r="H222" s="229">
        <v>366</v>
      </c>
      <c r="I222" s="229">
        <v>67</v>
      </c>
      <c r="J222" s="229"/>
    </row>
    <row r="223" spans="1:10" x14ac:dyDescent="0.25">
      <c r="A223" s="229" t="s">
        <v>357</v>
      </c>
      <c r="B223" s="233" t="s">
        <v>316</v>
      </c>
      <c r="C223" s="229">
        <v>86</v>
      </c>
      <c r="D223" s="229">
        <v>315</v>
      </c>
      <c r="E223" s="230">
        <v>281</v>
      </c>
      <c r="F223" s="230">
        <v>355</v>
      </c>
      <c r="G223" s="229">
        <v>339</v>
      </c>
      <c r="H223" s="229">
        <v>387</v>
      </c>
      <c r="I223" s="229">
        <v>69</v>
      </c>
      <c r="J223" s="229"/>
    </row>
    <row r="224" spans="1:10" x14ac:dyDescent="0.25">
      <c r="A224" s="229" t="s">
        <v>357</v>
      </c>
      <c r="B224" s="233" t="s">
        <v>317</v>
      </c>
      <c r="C224" s="229">
        <v>113</v>
      </c>
      <c r="D224" s="229">
        <v>303</v>
      </c>
      <c r="E224" s="230">
        <v>306</v>
      </c>
      <c r="F224" s="230">
        <v>416</v>
      </c>
      <c r="G224" s="229">
        <v>362</v>
      </c>
      <c r="H224" s="229">
        <v>328</v>
      </c>
      <c r="I224" s="229">
        <v>92</v>
      </c>
      <c r="J224" s="229"/>
    </row>
    <row r="225" spans="1:10" x14ac:dyDescent="0.25">
      <c r="A225" s="229" t="s">
        <v>357</v>
      </c>
      <c r="B225" s="233" t="s">
        <v>318</v>
      </c>
      <c r="C225" s="229">
        <v>143</v>
      </c>
      <c r="D225" s="229">
        <v>359</v>
      </c>
      <c r="E225" s="230">
        <v>346</v>
      </c>
      <c r="F225" s="230">
        <v>436</v>
      </c>
      <c r="G225" s="229">
        <v>368</v>
      </c>
      <c r="H225" s="229">
        <v>359</v>
      </c>
      <c r="I225" s="229">
        <v>122</v>
      </c>
      <c r="J225" s="229"/>
    </row>
    <row r="226" spans="1:10" x14ac:dyDescent="0.25">
      <c r="A226" s="229" t="s">
        <v>357</v>
      </c>
      <c r="B226" s="233" t="s">
        <v>319</v>
      </c>
      <c r="C226" s="229">
        <v>131</v>
      </c>
      <c r="D226" s="229">
        <v>368</v>
      </c>
      <c r="E226" s="230">
        <v>348</v>
      </c>
      <c r="F226" s="230">
        <v>311</v>
      </c>
      <c r="G226" s="229">
        <v>332</v>
      </c>
      <c r="H226" s="229">
        <v>333</v>
      </c>
      <c r="I226" s="229">
        <v>141</v>
      </c>
      <c r="J226" s="229"/>
    </row>
    <row r="227" spans="1:10" x14ac:dyDescent="0.25">
      <c r="A227" s="229" t="s">
        <v>357</v>
      </c>
      <c r="B227" s="233" t="s">
        <v>320</v>
      </c>
      <c r="C227" s="229">
        <v>136</v>
      </c>
      <c r="D227" s="229">
        <v>385</v>
      </c>
      <c r="E227" s="230">
        <v>303</v>
      </c>
      <c r="F227" s="230">
        <v>315</v>
      </c>
      <c r="G227" s="229">
        <v>271</v>
      </c>
      <c r="H227" s="229">
        <v>342</v>
      </c>
      <c r="I227" s="229">
        <v>194</v>
      </c>
      <c r="J227" s="229"/>
    </row>
    <row r="228" spans="1:10" x14ac:dyDescent="0.25">
      <c r="A228" s="229" t="s">
        <v>357</v>
      </c>
      <c r="B228" s="233" t="s">
        <v>321</v>
      </c>
      <c r="C228" s="229">
        <v>135</v>
      </c>
      <c r="D228" s="229">
        <v>328</v>
      </c>
      <c r="E228" s="230">
        <v>314</v>
      </c>
      <c r="F228" s="230">
        <v>321</v>
      </c>
      <c r="G228" s="229">
        <v>257</v>
      </c>
      <c r="H228" s="229">
        <v>356</v>
      </c>
      <c r="I228" s="229">
        <v>183</v>
      </c>
      <c r="J228" s="229"/>
    </row>
    <row r="229" spans="1:10" x14ac:dyDescent="0.25">
      <c r="A229" s="229" t="s">
        <v>357</v>
      </c>
      <c r="B229" s="233" t="s">
        <v>322</v>
      </c>
      <c r="C229" s="229">
        <v>137</v>
      </c>
      <c r="D229" s="229">
        <v>278</v>
      </c>
      <c r="E229" s="230">
        <v>364</v>
      </c>
      <c r="F229" s="230">
        <v>349</v>
      </c>
      <c r="G229" s="229">
        <v>287</v>
      </c>
      <c r="H229" s="229">
        <v>353</v>
      </c>
      <c r="I229" s="229">
        <v>106</v>
      </c>
      <c r="J229" s="229"/>
    </row>
    <row r="230" spans="1:10" x14ac:dyDescent="0.25">
      <c r="A230" s="229" t="s">
        <v>357</v>
      </c>
      <c r="B230" s="233" t="s">
        <v>323</v>
      </c>
      <c r="C230" s="229">
        <v>140</v>
      </c>
      <c r="D230" s="229">
        <v>288</v>
      </c>
      <c r="E230" s="230">
        <v>402</v>
      </c>
      <c r="F230" s="230">
        <v>337</v>
      </c>
      <c r="G230" s="229">
        <v>334</v>
      </c>
      <c r="H230" s="229">
        <v>322</v>
      </c>
      <c r="I230" s="229">
        <v>102</v>
      </c>
      <c r="J230" s="229"/>
    </row>
    <row r="231" spans="1:10" x14ac:dyDescent="0.25">
      <c r="A231" s="229" t="s">
        <v>357</v>
      </c>
      <c r="B231" s="233" t="s">
        <v>324</v>
      </c>
      <c r="C231" s="229">
        <v>144</v>
      </c>
      <c r="D231" s="229">
        <v>288</v>
      </c>
      <c r="E231" s="230">
        <v>422</v>
      </c>
      <c r="F231" s="230">
        <v>349</v>
      </c>
      <c r="G231" s="229">
        <v>364</v>
      </c>
      <c r="H231" s="229">
        <v>285</v>
      </c>
      <c r="I231" s="229">
        <v>95</v>
      </c>
      <c r="J231" s="229"/>
    </row>
    <row r="232" spans="1:10" x14ac:dyDescent="0.25">
      <c r="A232" s="229" t="s">
        <v>357</v>
      </c>
      <c r="B232" s="233" t="s">
        <v>325</v>
      </c>
      <c r="C232" s="229">
        <v>146</v>
      </c>
      <c r="D232" s="229">
        <v>283</v>
      </c>
      <c r="E232" s="230">
        <v>424</v>
      </c>
      <c r="F232" s="230">
        <v>345</v>
      </c>
      <c r="G232" s="229">
        <v>346</v>
      </c>
      <c r="H232" s="229">
        <v>315</v>
      </c>
      <c r="I232" s="229">
        <v>95</v>
      </c>
      <c r="J232" s="229"/>
    </row>
    <row r="233" spans="1:10" x14ac:dyDescent="0.25">
      <c r="A233" s="229" t="s">
        <v>357</v>
      </c>
      <c r="B233" s="233" t="s">
        <v>326</v>
      </c>
      <c r="C233" s="229">
        <v>160</v>
      </c>
      <c r="D233" s="229">
        <v>250</v>
      </c>
      <c r="E233" s="230">
        <v>410</v>
      </c>
      <c r="F233" s="230">
        <v>295</v>
      </c>
      <c r="G233" s="229">
        <v>367</v>
      </c>
      <c r="H233" s="229">
        <v>277</v>
      </c>
      <c r="I233" s="229">
        <v>125</v>
      </c>
      <c r="J233" s="229"/>
    </row>
    <row r="234" spans="1:10" x14ac:dyDescent="0.25">
      <c r="A234" s="229" t="s">
        <v>357</v>
      </c>
      <c r="B234" s="233" t="s">
        <v>327</v>
      </c>
      <c r="C234" s="229">
        <v>151</v>
      </c>
      <c r="D234" s="229">
        <v>273</v>
      </c>
      <c r="E234" s="230">
        <v>222</v>
      </c>
      <c r="F234" s="230">
        <v>305</v>
      </c>
      <c r="G234" s="229">
        <v>332</v>
      </c>
      <c r="H234" s="229">
        <v>262</v>
      </c>
      <c r="I234" s="229">
        <v>195</v>
      </c>
      <c r="J234" s="229"/>
    </row>
    <row r="235" spans="1:10" x14ac:dyDescent="0.25">
      <c r="A235" s="229" t="s">
        <v>357</v>
      </c>
      <c r="B235" s="233" t="s">
        <v>328</v>
      </c>
      <c r="C235" s="229">
        <v>161</v>
      </c>
      <c r="D235" s="229">
        <v>293</v>
      </c>
      <c r="E235" s="230">
        <v>279</v>
      </c>
      <c r="F235" s="230">
        <v>302</v>
      </c>
      <c r="G235" s="229">
        <v>346</v>
      </c>
      <c r="H235" s="229">
        <v>307</v>
      </c>
      <c r="I235" s="229">
        <v>209</v>
      </c>
      <c r="J235" s="229"/>
    </row>
    <row r="236" spans="1:10" x14ac:dyDescent="0.25">
      <c r="A236" s="229" t="s">
        <v>357</v>
      </c>
      <c r="B236" s="233" t="s">
        <v>329</v>
      </c>
      <c r="C236" s="229">
        <v>147</v>
      </c>
      <c r="D236" s="229">
        <v>255</v>
      </c>
      <c r="E236" s="230">
        <v>288</v>
      </c>
      <c r="F236" s="230">
        <v>270</v>
      </c>
      <c r="G236" s="229">
        <v>329</v>
      </c>
      <c r="H236" s="229">
        <v>319</v>
      </c>
      <c r="I236" s="229">
        <v>77</v>
      </c>
      <c r="J236" s="229"/>
    </row>
    <row r="237" spans="1:10" x14ac:dyDescent="0.25">
      <c r="A237" s="229" t="s">
        <v>357</v>
      </c>
      <c r="B237" s="233" t="s">
        <v>330</v>
      </c>
      <c r="C237" s="229">
        <v>132</v>
      </c>
      <c r="D237" s="229">
        <v>241</v>
      </c>
      <c r="E237" s="230">
        <v>264</v>
      </c>
      <c r="F237" s="230">
        <v>308</v>
      </c>
      <c r="G237" s="229">
        <v>357</v>
      </c>
      <c r="H237" s="229">
        <v>367</v>
      </c>
      <c r="I237" s="229">
        <v>60</v>
      </c>
      <c r="J237" s="229"/>
    </row>
    <row r="238" spans="1:10" x14ac:dyDescent="0.25">
      <c r="A238" s="229" t="s">
        <v>357</v>
      </c>
      <c r="B238" s="233" t="s">
        <v>331</v>
      </c>
      <c r="C238" s="229">
        <v>121</v>
      </c>
      <c r="D238" s="229">
        <v>233</v>
      </c>
      <c r="E238" s="230">
        <v>267</v>
      </c>
      <c r="F238" s="230">
        <v>365</v>
      </c>
      <c r="G238" s="229">
        <v>390</v>
      </c>
      <c r="H238" s="229">
        <v>265</v>
      </c>
      <c r="I238" s="229">
        <v>75</v>
      </c>
      <c r="J238" s="229"/>
    </row>
    <row r="239" spans="1:10" x14ac:dyDescent="0.25">
      <c r="A239" s="229" t="s">
        <v>357</v>
      </c>
      <c r="B239" s="233" t="s">
        <v>332</v>
      </c>
      <c r="C239" s="229">
        <v>133</v>
      </c>
      <c r="D239" s="229">
        <v>227</v>
      </c>
      <c r="E239" s="230">
        <v>332</v>
      </c>
      <c r="F239" s="230">
        <v>402</v>
      </c>
      <c r="G239" s="229">
        <v>238</v>
      </c>
      <c r="H239" s="229">
        <v>250</v>
      </c>
      <c r="I239" s="229">
        <v>68</v>
      </c>
      <c r="J239" s="229"/>
    </row>
    <row r="240" spans="1:10" x14ac:dyDescent="0.25">
      <c r="A240" s="229" t="s">
        <v>357</v>
      </c>
      <c r="B240" s="233" t="s">
        <v>333</v>
      </c>
      <c r="C240" s="229">
        <v>134</v>
      </c>
      <c r="D240" s="229">
        <v>235</v>
      </c>
      <c r="E240" s="230">
        <v>344</v>
      </c>
      <c r="F240" s="230">
        <v>253</v>
      </c>
      <c r="G240" s="229">
        <v>257</v>
      </c>
      <c r="H240" s="229">
        <v>300</v>
      </c>
      <c r="I240" s="229">
        <v>90</v>
      </c>
      <c r="J240" s="229"/>
    </row>
    <row r="241" spans="1:10" x14ac:dyDescent="0.25">
      <c r="A241" s="229" t="s">
        <v>357</v>
      </c>
      <c r="B241" s="233" t="s">
        <v>334</v>
      </c>
      <c r="C241" s="229">
        <v>143</v>
      </c>
      <c r="D241" s="229">
        <v>285</v>
      </c>
      <c r="E241" s="230">
        <v>268</v>
      </c>
      <c r="F241" s="230">
        <v>274</v>
      </c>
      <c r="G241" s="229">
        <v>249</v>
      </c>
      <c r="H241" s="229">
        <v>281</v>
      </c>
      <c r="I241" s="229">
        <v>180</v>
      </c>
      <c r="J241" s="229"/>
    </row>
    <row r="242" spans="1:10" x14ac:dyDescent="0.25">
      <c r="A242" s="229" t="s">
        <v>357</v>
      </c>
      <c r="B242" s="232" t="s">
        <v>335</v>
      </c>
      <c r="C242" s="229">
        <v>159</v>
      </c>
      <c r="D242" s="229">
        <v>318</v>
      </c>
      <c r="E242" s="230">
        <v>279</v>
      </c>
      <c r="F242" s="230">
        <v>290</v>
      </c>
      <c r="G242" s="229">
        <v>258</v>
      </c>
      <c r="H242" s="229">
        <v>264</v>
      </c>
      <c r="I242" s="229">
        <v>223</v>
      </c>
      <c r="J242" s="229"/>
    </row>
    <row r="243" spans="1:10" x14ac:dyDescent="0.25">
      <c r="A243" s="229" t="s">
        <v>357</v>
      </c>
      <c r="B243" s="232" t="s">
        <v>336</v>
      </c>
      <c r="C243" s="229">
        <v>156</v>
      </c>
      <c r="D243" s="229">
        <v>189</v>
      </c>
      <c r="E243" s="230">
        <v>246</v>
      </c>
      <c r="F243" s="230">
        <v>429</v>
      </c>
      <c r="G243" s="229">
        <v>282</v>
      </c>
      <c r="H243" s="229">
        <v>356</v>
      </c>
      <c r="I243" s="229">
        <v>99</v>
      </c>
      <c r="J243" s="229"/>
    </row>
    <row r="244" spans="1:10" x14ac:dyDescent="0.25">
      <c r="A244" s="229" t="s">
        <v>357</v>
      </c>
      <c r="B244" s="233" t="s">
        <v>338</v>
      </c>
      <c r="C244" s="229">
        <v>102</v>
      </c>
      <c r="D244" s="229">
        <v>199</v>
      </c>
      <c r="E244" s="230">
        <v>250</v>
      </c>
      <c r="F244" s="230">
        <v>296</v>
      </c>
      <c r="G244" s="229">
        <v>341</v>
      </c>
      <c r="H244" s="229">
        <v>390</v>
      </c>
      <c r="I244" s="229">
        <v>60</v>
      </c>
      <c r="J244" s="229"/>
    </row>
    <row r="245" spans="1:10" x14ac:dyDescent="0.25">
      <c r="A245" s="229" t="s">
        <v>357</v>
      </c>
      <c r="B245" s="233" t="s">
        <v>340</v>
      </c>
      <c r="C245" s="229">
        <v>98</v>
      </c>
      <c r="D245" s="229">
        <v>193</v>
      </c>
      <c r="E245" s="230">
        <v>274</v>
      </c>
      <c r="F245" s="230">
        <v>338</v>
      </c>
      <c r="G245" s="229">
        <v>366</v>
      </c>
      <c r="H245" s="229">
        <v>242</v>
      </c>
      <c r="I245" s="229">
        <v>56</v>
      </c>
      <c r="J245" s="229"/>
    </row>
    <row r="246" spans="1:10" x14ac:dyDescent="0.25">
      <c r="A246" s="229" t="s">
        <v>357</v>
      </c>
      <c r="B246" s="233" t="s">
        <v>342</v>
      </c>
      <c r="C246" s="229">
        <v>88</v>
      </c>
      <c r="D246" s="229">
        <v>184</v>
      </c>
      <c r="E246" s="230">
        <v>300</v>
      </c>
      <c r="F246" s="230">
        <v>386</v>
      </c>
      <c r="G246" s="229">
        <v>250</v>
      </c>
      <c r="H246" s="229">
        <v>223</v>
      </c>
      <c r="I246" s="229">
        <v>67</v>
      </c>
      <c r="J246" s="229"/>
    </row>
    <row r="247" spans="1:10" x14ac:dyDescent="0.25">
      <c r="A247" s="229" t="s">
        <v>357</v>
      </c>
      <c r="B247" s="233" t="s">
        <v>344</v>
      </c>
      <c r="C247" s="229">
        <v>89</v>
      </c>
      <c r="D247" s="229">
        <v>185</v>
      </c>
      <c r="E247" s="230">
        <v>316</v>
      </c>
      <c r="F247" s="230">
        <v>270</v>
      </c>
      <c r="G247" s="229">
        <v>327</v>
      </c>
      <c r="H247" s="229">
        <v>215</v>
      </c>
      <c r="I247" s="229">
        <v>82</v>
      </c>
      <c r="J247" s="229"/>
    </row>
    <row r="248" spans="1:10" x14ac:dyDescent="0.25">
      <c r="A248" s="229" t="s">
        <v>357</v>
      </c>
      <c r="B248" s="233" t="s">
        <v>346</v>
      </c>
      <c r="C248" s="229">
        <v>113</v>
      </c>
      <c r="D248" s="229">
        <v>218</v>
      </c>
      <c r="E248" s="230">
        <v>256</v>
      </c>
      <c r="F248" s="230">
        <v>294</v>
      </c>
      <c r="G248" s="229">
        <v>306</v>
      </c>
      <c r="H248" s="229">
        <v>201</v>
      </c>
      <c r="I248" s="229">
        <v>145</v>
      </c>
      <c r="J248" s="229"/>
    </row>
    <row r="249" spans="1:10" x14ac:dyDescent="0.25">
      <c r="A249" s="229" t="s">
        <v>357</v>
      </c>
      <c r="B249" s="233" t="s">
        <v>347</v>
      </c>
      <c r="C249" s="229">
        <v>144</v>
      </c>
      <c r="D249" s="229">
        <v>200</v>
      </c>
      <c r="E249" s="230">
        <v>207</v>
      </c>
      <c r="F249" s="230">
        <v>289</v>
      </c>
      <c r="G249" s="229">
        <v>307</v>
      </c>
      <c r="H249" s="229">
        <v>194</v>
      </c>
      <c r="I249" s="229">
        <v>185</v>
      </c>
      <c r="J249" s="229"/>
    </row>
    <row r="250" spans="1:10" x14ac:dyDescent="0.25">
      <c r="A250" s="229" t="s">
        <v>357</v>
      </c>
      <c r="B250" s="232" t="s">
        <v>349</v>
      </c>
      <c r="C250" s="229">
        <v>163</v>
      </c>
      <c r="D250" s="229">
        <v>141</v>
      </c>
      <c r="E250" s="230">
        <v>220</v>
      </c>
      <c r="F250" s="230">
        <v>325</v>
      </c>
      <c r="G250" s="229">
        <v>256</v>
      </c>
      <c r="H250" s="229">
        <v>211</v>
      </c>
      <c r="I250" s="229">
        <v>68</v>
      </c>
      <c r="J250" s="229"/>
    </row>
    <row r="251" spans="1:10" x14ac:dyDescent="0.25">
      <c r="A251" s="229" t="s">
        <v>357</v>
      </c>
      <c r="B251" s="233" t="s">
        <v>350</v>
      </c>
      <c r="C251" s="229">
        <v>156</v>
      </c>
      <c r="D251" s="229">
        <v>125</v>
      </c>
      <c r="E251" s="230">
        <v>218</v>
      </c>
      <c r="F251" s="230">
        <v>286</v>
      </c>
      <c r="G251" s="229">
        <v>349</v>
      </c>
      <c r="H251" s="229">
        <v>206</v>
      </c>
      <c r="I251" s="229">
        <v>56</v>
      </c>
      <c r="J251" s="229"/>
    </row>
    <row r="252" spans="1:10" x14ac:dyDescent="0.25">
      <c r="A252" s="229" t="s">
        <v>358</v>
      </c>
      <c r="B252" s="233" t="s">
        <v>313</v>
      </c>
      <c r="C252" s="229">
        <v>68</v>
      </c>
      <c r="D252" s="229">
        <v>120</v>
      </c>
      <c r="E252" s="230">
        <v>248</v>
      </c>
      <c r="F252" s="230">
        <v>374</v>
      </c>
      <c r="G252" s="229">
        <v>419</v>
      </c>
      <c r="H252" s="229">
        <v>195</v>
      </c>
      <c r="I252" s="229">
        <v>45</v>
      </c>
      <c r="J252" s="229"/>
    </row>
    <row r="253" spans="1:10" x14ac:dyDescent="0.25">
      <c r="A253" s="229" t="s">
        <v>358</v>
      </c>
      <c r="B253" s="233" t="s">
        <v>315</v>
      </c>
      <c r="C253" s="229">
        <v>63</v>
      </c>
      <c r="D253" s="229">
        <v>152</v>
      </c>
      <c r="E253" s="230">
        <v>313</v>
      </c>
      <c r="F253" s="230">
        <v>439</v>
      </c>
      <c r="G253" s="229">
        <v>375</v>
      </c>
      <c r="H253" s="229">
        <v>151</v>
      </c>
      <c r="I253" s="229">
        <v>53</v>
      </c>
      <c r="J253" s="229"/>
    </row>
    <row r="254" spans="1:10" x14ac:dyDescent="0.25">
      <c r="A254" s="229" t="s">
        <v>358</v>
      </c>
      <c r="B254" s="233" t="s">
        <v>316</v>
      </c>
      <c r="C254" s="229">
        <v>74</v>
      </c>
      <c r="D254" s="229">
        <v>145</v>
      </c>
      <c r="E254" s="230">
        <v>390</v>
      </c>
      <c r="F254" s="230">
        <v>401</v>
      </c>
      <c r="G254" s="229">
        <v>90</v>
      </c>
      <c r="H254" s="229">
        <v>121</v>
      </c>
      <c r="I254" s="229">
        <v>69</v>
      </c>
      <c r="J254" s="229"/>
    </row>
    <row r="255" spans="1:10" x14ac:dyDescent="0.25">
      <c r="A255" s="229" t="s">
        <v>358</v>
      </c>
      <c r="B255" s="233" t="s">
        <v>317</v>
      </c>
      <c r="C255" s="229">
        <v>89</v>
      </c>
      <c r="D255" s="229">
        <v>220</v>
      </c>
      <c r="E255" s="230">
        <v>365</v>
      </c>
      <c r="F255" s="230">
        <v>138</v>
      </c>
      <c r="G255" s="229">
        <v>93</v>
      </c>
      <c r="H255" s="229">
        <v>95</v>
      </c>
      <c r="I255" s="229">
        <v>177</v>
      </c>
      <c r="J255" s="229"/>
    </row>
    <row r="256" spans="1:10" x14ac:dyDescent="0.25">
      <c r="A256" s="229" t="s">
        <v>358</v>
      </c>
      <c r="B256" s="233" t="s">
        <v>318</v>
      </c>
      <c r="C256" s="229">
        <v>114</v>
      </c>
      <c r="D256" s="229">
        <v>327</v>
      </c>
      <c r="E256" s="230">
        <v>172</v>
      </c>
      <c r="F256" s="230">
        <v>114</v>
      </c>
      <c r="G256" s="229">
        <v>145</v>
      </c>
      <c r="H256" s="229">
        <v>104</v>
      </c>
      <c r="I256" s="229">
        <v>244</v>
      </c>
      <c r="J256" s="229"/>
    </row>
    <row r="257" spans="1:10" x14ac:dyDescent="0.25">
      <c r="A257" s="229" t="s">
        <v>358</v>
      </c>
      <c r="B257" s="233" t="s">
        <v>319</v>
      </c>
      <c r="C257" s="229">
        <v>123</v>
      </c>
      <c r="D257" s="229">
        <v>287</v>
      </c>
      <c r="E257" s="230">
        <v>152</v>
      </c>
      <c r="F257" s="230">
        <v>216</v>
      </c>
      <c r="G257" s="229">
        <v>182</v>
      </c>
      <c r="H257" s="229">
        <v>196</v>
      </c>
      <c r="I257" s="229">
        <v>235</v>
      </c>
      <c r="J257" s="229"/>
    </row>
    <row r="258" spans="1:10" x14ac:dyDescent="0.25">
      <c r="A258" s="229" t="s">
        <v>358</v>
      </c>
      <c r="B258" s="233" t="s">
        <v>320</v>
      </c>
      <c r="C258" s="229">
        <v>100</v>
      </c>
      <c r="D258" s="229">
        <v>90</v>
      </c>
      <c r="E258" s="230">
        <v>165</v>
      </c>
      <c r="F258" s="230">
        <v>233</v>
      </c>
      <c r="G258" s="229">
        <v>228</v>
      </c>
      <c r="H258" s="229">
        <v>243</v>
      </c>
      <c r="I258" s="229">
        <v>59</v>
      </c>
      <c r="J258" s="229"/>
    </row>
    <row r="259" spans="1:10" x14ac:dyDescent="0.25">
      <c r="A259" s="229" t="s">
        <v>358</v>
      </c>
      <c r="B259" s="233" t="s">
        <v>321</v>
      </c>
      <c r="C259" s="229">
        <v>165</v>
      </c>
      <c r="D259" s="229">
        <v>81</v>
      </c>
      <c r="E259" s="230">
        <v>183</v>
      </c>
      <c r="F259" s="230">
        <v>204</v>
      </c>
      <c r="G259" s="229">
        <v>301</v>
      </c>
      <c r="H259" s="229">
        <v>153</v>
      </c>
      <c r="I259" s="229">
        <v>65</v>
      </c>
      <c r="J259" s="229"/>
    </row>
    <row r="260" spans="1:10" x14ac:dyDescent="0.25">
      <c r="A260" s="229" t="s">
        <v>358</v>
      </c>
      <c r="B260" s="233" t="s">
        <v>322</v>
      </c>
      <c r="C260" s="229">
        <v>161</v>
      </c>
      <c r="D260" s="229">
        <v>98</v>
      </c>
      <c r="E260" s="230">
        <v>204</v>
      </c>
      <c r="F260" s="230">
        <v>202</v>
      </c>
      <c r="G260" s="229">
        <v>164</v>
      </c>
      <c r="H260" s="229">
        <v>192</v>
      </c>
      <c r="I260" s="229">
        <v>77</v>
      </c>
      <c r="J260" s="229"/>
    </row>
    <row r="261" spans="1:10" x14ac:dyDescent="0.25">
      <c r="A261" s="229" t="s">
        <v>358</v>
      </c>
      <c r="B261" s="233" t="s">
        <v>323</v>
      </c>
      <c r="C261" s="229">
        <v>99</v>
      </c>
      <c r="D261" s="229">
        <v>128</v>
      </c>
      <c r="E261" s="230">
        <v>211</v>
      </c>
      <c r="F261" s="230">
        <v>197</v>
      </c>
      <c r="G261" s="229">
        <v>220</v>
      </c>
      <c r="H261" s="229">
        <v>378</v>
      </c>
      <c r="I261" s="229">
        <v>90</v>
      </c>
      <c r="J261" s="229"/>
    </row>
    <row r="262" spans="1:10" x14ac:dyDescent="0.25">
      <c r="A262" s="229" t="s">
        <v>358</v>
      </c>
      <c r="B262" s="233" t="s">
        <v>324</v>
      </c>
      <c r="C262" s="229">
        <v>70</v>
      </c>
      <c r="D262" s="229">
        <v>213</v>
      </c>
      <c r="E262" s="230">
        <v>215</v>
      </c>
      <c r="F262" s="230">
        <v>176</v>
      </c>
      <c r="G262" s="229">
        <v>250</v>
      </c>
      <c r="H262" s="229">
        <v>360</v>
      </c>
      <c r="I262" s="229">
        <v>165</v>
      </c>
      <c r="J262" s="229"/>
    </row>
    <row r="263" spans="1:10" x14ac:dyDescent="0.25">
      <c r="A263" s="229" t="s">
        <v>358</v>
      </c>
      <c r="B263" s="233" t="s">
        <v>325</v>
      </c>
      <c r="C263" s="229">
        <v>118</v>
      </c>
      <c r="D263" s="229">
        <v>287</v>
      </c>
      <c r="E263" s="230">
        <v>277</v>
      </c>
      <c r="F263" s="230">
        <v>103</v>
      </c>
      <c r="G263" s="229">
        <v>394</v>
      </c>
      <c r="H263" s="229">
        <v>334</v>
      </c>
      <c r="I263" s="229">
        <v>199</v>
      </c>
      <c r="J263" s="229"/>
    </row>
    <row r="264" spans="1:10" x14ac:dyDescent="0.25">
      <c r="A264" s="229" t="s">
        <v>358</v>
      </c>
      <c r="B264" s="233" t="s">
        <v>326</v>
      </c>
      <c r="C264" s="229">
        <v>153</v>
      </c>
      <c r="D264" s="229">
        <v>235</v>
      </c>
      <c r="E264" s="230">
        <v>298</v>
      </c>
      <c r="F264" s="230">
        <v>90</v>
      </c>
      <c r="G264" s="229">
        <v>396</v>
      </c>
      <c r="H264" s="229">
        <v>195</v>
      </c>
      <c r="I264" s="229">
        <v>64</v>
      </c>
      <c r="J264" s="229"/>
    </row>
    <row r="265" spans="1:10" x14ac:dyDescent="0.25">
      <c r="A265" s="229" t="s">
        <v>358</v>
      </c>
      <c r="B265" s="233" t="s">
        <v>327</v>
      </c>
      <c r="C265" s="229">
        <v>153</v>
      </c>
      <c r="D265" s="229">
        <v>238</v>
      </c>
      <c r="E265" s="230">
        <v>300</v>
      </c>
      <c r="F265" s="230">
        <v>159</v>
      </c>
      <c r="G265" s="229">
        <v>250</v>
      </c>
      <c r="H265" s="229">
        <v>227</v>
      </c>
      <c r="I265" s="229">
        <v>40</v>
      </c>
      <c r="J265" s="229"/>
    </row>
    <row r="266" spans="1:10" x14ac:dyDescent="0.25">
      <c r="A266" s="229" t="s">
        <v>358</v>
      </c>
      <c r="B266" s="233" t="s">
        <v>328</v>
      </c>
      <c r="C266" s="229">
        <v>206</v>
      </c>
      <c r="D266" s="229">
        <v>205</v>
      </c>
      <c r="E266" s="230">
        <v>256</v>
      </c>
      <c r="F266" s="230">
        <v>329</v>
      </c>
      <c r="G266" s="229">
        <v>285</v>
      </c>
      <c r="H266" s="229">
        <v>280</v>
      </c>
      <c r="I266" s="229">
        <v>41</v>
      </c>
      <c r="J266" s="229"/>
    </row>
    <row r="267" spans="1:10" x14ac:dyDescent="0.25">
      <c r="A267" s="229" t="s">
        <v>358</v>
      </c>
      <c r="B267" s="233" t="s">
        <v>329</v>
      </c>
      <c r="C267" s="229">
        <v>190</v>
      </c>
      <c r="D267" s="229">
        <v>177</v>
      </c>
      <c r="E267" s="230">
        <v>251</v>
      </c>
      <c r="F267" s="230">
        <v>285</v>
      </c>
      <c r="G267" s="229">
        <v>155</v>
      </c>
      <c r="H267" s="229">
        <v>385</v>
      </c>
      <c r="I267" s="229">
        <v>36</v>
      </c>
      <c r="J267" s="229"/>
    </row>
    <row r="268" spans="1:10" x14ac:dyDescent="0.25">
      <c r="A268" s="229" t="s">
        <v>358</v>
      </c>
      <c r="B268" s="233" t="s">
        <v>330</v>
      </c>
      <c r="C268" s="229">
        <v>192</v>
      </c>
      <c r="D268" s="229">
        <v>223</v>
      </c>
      <c r="E268" s="230">
        <v>295</v>
      </c>
      <c r="F268" s="230">
        <v>256</v>
      </c>
      <c r="G268" s="229">
        <v>153</v>
      </c>
      <c r="H268" s="229">
        <v>382</v>
      </c>
      <c r="I268" s="229">
        <v>57</v>
      </c>
      <c r="J268" s="229"/>
    </row>
    <row r="269" spans="1:10" x14ac:dyDescent="0.25">
      <c r="A269" s="229" t="s">
        <v>358</v>
      </c>
      <c r="B269" s="233" t="s">
        <v>331</v>
      </c>
      <c r="C269" s="229">
        <v>109</v>
      </c>
      <c r="D269" s="229">
        <v>236</v>
      </c>
      <c r="E269" s="230">
        <v>199</v>
      </c>
      <c r="F269" s="230">
        <v>274</v>
      </c>
      <c r="G269" s="229">
        <v>147</v>
      </c>
      <c r="H269" s="229">
        <v>391</v>
      </c>
      <c r="I269" s="229">
        <v>157</v>
      </c>
      <c r="J269" s="229"/>
    </row>
    <row r="270" spans="1:10" x14ac:dyDescent="0.25">
      <c r="A270" s="229" t="s">
        <v>358</v>
      </c>
      <c r="B270" s="233" t="s">
        <v>332</v>
      </c>
      <c r="C270" s="229">
        <v>146</v>
      </c>
      <c r="D270" s="229">
        <v>374</v>
      </c>
      <c r="E270" s="230">
        <v>266</v>
      </c>
      <c r="F270" s="230">
        <v>287</v>
      </c>
      <c r="G270" s="229">
        <v>170</v>
      </c>
      <c r="H270" s="229">
        <v>118</v>
      </c>
      <c r="I270" s="229">
        <v>196</v>
      </c>
      <c r="J270" s="229"/>
    </row>
    <row r="271" spans="1:10" x14ac:dyDescent="0.25">
      <c r="A271" s="229" t="s">
        <v>358</v>
      </c>
      <c r="B271" s="233" t="s">
        <v>333</v>
      </c>
      <c r="C271" s="229">
        <v>157</v>
      </c>
      <c r="D271" s="229">
        <v>287</v>
      </c>
      <c r="E271" s="230">
        <v>266</v>
      </c>
      <c r="F271" s="230">
        <v>372</v>
      </c>
      <c r="G271" s="229">
        <v>191</v>
      </c>
      <c r="H271" s="229">
        <v>231</v>
      </c>
      <c r="I271" s="229">
        <v>69</v>
      </c>
      <c r="J271" s="229"/>
    </row>
    <row r="272" spans="1:10" x14ac:dyDescent="0.25">
      <c r="A272" s="229" t="s">
        <v>358</v>
      </c>
      <c r="B272" s="233" t="s">
        <v>334</v>
      </c>
      <c r="C272" s="229">
        <v>208</v>
      </c>
      <c r="D272" s="229">
        <v>283</v>
      </c>
      <c r="E272" s="230">
        <v>291</v>
      </c>
      <c r="F272" s="230">
        <v>360</v>
      </c>
      <c r="G272" s="229">
        <v>261</v>
      </c>
      <c r="H272" s="229">
        <v>275</v>
      </c>
      <c r="I272" s="229">
        <v>69</v>
      </c>
      <c r="J272" s="229"/>
    </row>
    <row r="273" spans="1:10" x14ac:dyDescent="0.25">
      <c r="A273" s="229" t="s">
        <v>358</v>
      </c>
      <c r="B273" s="233" t="s">
        <v>335</v>
      </c>
      <c r="C273" s="229">
        <v>200</v>
      </c>
      <c r="D273" s="229">
        <v>244</v>
      </c>
      <c r="E273" s="230">
        <v>202</v>
      </c>
      <c r="F273" s="230">
        <v>356</v>
      </c>
      <c r="G273" s="229">
        <v>306</v>
      </c>
      <c r="H273" s="229">
        <v>174</v>
      </c>
      <c r="I273" s="229">
        <v>65</v>
      </c>
      <c r="J273" s="229"/>
    </row>
    <row r="274" spans="1:10" x14ac:dyDescent="0.25">
      <c r="A274" s="229" t="s">
        <v>358</v>
      </c>
      <c r="B274" s="233" t="s">
        <v>336</v>
      </c>
      <c r="C274" s="229">
        <v>204</v>
      </c>
      <c r="D274" s="229">
        <v>263</v>
      </c>
      <c r="E274" s="230">
        <v>243</v>
      </c>
      <c r="F274" s="230">
        <v>369</v>
      </c>
      <c r="G274" s="229">
        <v>290</v>
      </c>
      <c r="H274" s="229">
        <v>171</v>
      </c>
      <c r="I274" s="229">
        <v>79</v>
      </c>
      <c r="J274" s="229"/>
    </row>
    <row r="275" spans="1:10" x14ac:dyDescent="0.25">
      <c r="A275" s="229" t="s">
        <v>358</v>
      </c>
      <c r="B275" s="233" t="s">
        <v>338</v>
      </c>
      <c r="C275" s="229">
        <v>105</v>
      </c>
      <c r="D275" s="229">
        <v>338</v>
      </c>
      <c r="E275" s="230">
        <v>375</v>
      </c>
      <c r="F275" s="230">
        <v>306</v>
      </c>
      <c r="G275" s="229">
        <v>347</v>
      </c>
      <c r="H275" s="229">
        <v>232</v>
      </c>
      <c r="I275" s="229">
        <v>142</v>
      </c>
      <c r="J275" s="229"/>
    </row>
    <row r="276" spans="1:10" x14ac:dyDescent="0.25">
      <c r="A276" s="229" t="s">
        <v>358</v>
      </c>
      <c r="B276" s="233" t="s">
        <v>340</v>
      </c>
      <c r="C276" s="229">
        <v>151</v>
      </c>
      <c r="D276" s="229">
        <v>293</v>
      </c>
      <c r="E276" s="230">
        <v>341</v>
      </c>
      <c r="F276" s="230">
        <v>331</v>
      </c>
      <c r="G276" s="229">
        <v>381</v>
      </c>
      <c r="H276" s="229">
        <v>318</v>
      </c>
      <c r="I276" s="229">
        <v>226</v>
      </c>
      <c r="J276" s="229"/>
    </row>
    <row r="277" spans="1:10" x14ac:dyDescent="0.25">
      <c r="A277" s="229" t="s">
        <v>358</v>
      </c>
      <c r="B277" s="233" t="s">
        <v>342</v>
      </c>
      <c r="C277" s="229">
        <v>178</v>
      </c>
      <c r="D277" s="229">
        <v>326</v>
      </c>
      <c r="E277" s="230">
        <v>364</v>
      </c>
      <c r="F277" s="230">
        <v>321</v>
      </c>
      <c r="G277" s="229">
        <v>354</v>
      </c>
      <c r="H277" s="229">
        <v>379</v>
      </c>
      <c r="I277" s="229">
        <v>239</v>
      </c>
      <c r="J277" s="229"/>
    </row>
    <row r="278" spans="1:10" x14ac:dyDescent="0.25">
      <c r="A278" s="229" t="s">
        <v>358</v>
      </c>
      <c r="B278" s="233" t="s">
        <v>344</v>
      </c>
      <c r="C278" s="229">
        <v>182</v>
      </c>
      <c r="D278" s="229">
        <v>305</v>
      </c>
      <c r="E278" s="230">
        <v>345</v>
      </c>
      <c r="F278" s="230">
        <v>237</v>
      </c>
      <c r="G278" s="229">
        <v>332</v>
      </c>
      <c r="H278" s="229">
        <v>414</v>
      </c>
      <c r="I278" s="229">
        <v>136</v>
      </c>
      <c r="J278" s="229"/>
    </row>
    <row r="279" spans="1:10" x14ac:dyDescent="0.25">
      <c r="A279" s="229" t="s">
        <v>358</v>
      </c>
      <c r="B279" s="233" t="s">
        <v>346</v>
      </c>
      <c r="C279" s="229">
        <v>140</v>
      </c>
      <c r="D279" s="229">
        <v>410</v>
      </c>
      <c r="E279" s="230">
        <v>379</v>
      </c>
      <c r="F279" s="230">
        <v>237</v>
      </c>
      <c r="G279" s="229">
        <v>395</v>
      </c>
      <c r="H279" s="229">
        <v>427</v>
      </c>
      <c r="I279" s="229">
        <v>93</v>
      </c>
      <c r="J279" s="229"/>
    </row>
    <row r="280" spans="1:10" x14ac:dyDescent="0.25">
      <c r="A280" s="229" t="s">
        <v>358</v>
      </c>
      <c r="B280" s="233" t="s">
        <v>347</v>
      </c>
      <c r="C280" s="229">
        <v>164</v>
      </c>
      <c r="D280" s="229">
        <v>404</v>
      </c>
      <c r="E280" s="230">
        <v>371</v>
      </c>
      <c r="F280" s="230">
        <v>312</v>
      </c>
      <c r="G280" s="229">
        <v>364</v>
      </c>
      <c r="H280" s="229">
        <v>425</v>
      </c>
      <c r="I280" s="229">
        <v>67</v>
      </c>
      <c r="J280" s="229"/>
    </row>
    <row r="281" spans="1:10" x14ac:dyDescent="0.25">
      <c r="A281" s="229" t="s">
        <v>358</v>
      </c>
      <c r="B281" s="232" t="s">
        <v>349</v>
      </c>
      <c r="C281" s="229">
        <v>178</v>
      </c>
      <c r="D281" s="229">
        <v>404</v>
      </c>
      <c r="E281" s="230">
        <v>289</v>
      </c>
      <c r="F281" s="230">
        <v>374</v>
      </c>
      <c r="G281" s="229">
        <v>227</v>
      </c>
      <c r="H281" s="229">
        <v>283</v>
      </c>
      <c r="I281" s="229">
        <v>68</v>
      </c>
      <c r="J281" s="229"/>
    </row>
    <row r="282" spans="1:10" x14ac:dyDescent="0.25">
      <c r="A282" s="229" t="s">
        <v>359</v>
      </c>
      <c r="B282" s="233" t="s">
        <v>313</v>
      </c>
      <c r="C282" s="229">
        <v>175</v>
      </c>
      <c r="D282" s="229">
        <v>316</v>
      </c>
      <c r="E282" s="230">
        <v>367</v>
      </c>
      <c r="F282" s="230">
        <v>221</v>
      </c>
      <c r="G282" s="229">
        <v>351</v>
      </c>
      <c r="H282" s="229">
        <v>245</v>
      </c>
      <c r="I282" s="229">
        <v>74</v>
      </c>
      <c r="J282" s="229"/>
    </row>
    <row r="283" spans="1:10" x14ac:dyDescent="0.25">
      <c r="A283" s="229" t="s">
        <v>359</v>
      </c>
      <c r="B283" s="233" t="s">
        <v>315</v>
      </c>
      <c r="C283" s="229">
        <v>227</v>
      </c>
      <c r="D283" s="229">
        <v>310</v>
      </c>
      <c r="E283" s="230">
        <v>232</v>
      </c>
      <c r="F283" s="230">
        <v>371</v>
      </c>
      <c r="G283" s="229">
        <v>367</v>
      </c>
      <c r="H283" s="229">
        <v>276</v>
      </c>
      <c r="I283" s="229">
        <v>122</v>
      </c>
      <c r="J283" s="229"/>
    </row>
    <row r="284" spans="1:10" x14ac:dyDescent="0.25">
      <c r="A284" s="229" t="s">
        <v>359</v>
      </c>
      <c r="B284" s="233" t="s">
        <v>316</v>
      </c>
      <c r="C284" s="229">
        <v>281</v>
      </c>
      <c r="D284" s="229">
        <v>389</v>
      </c>
      <c r="E284" s="230">
        <v>122</v>
      </c>
      <c r="F284" s="230">
        <v>382</v>
      </c>
      <c r="G284" s="229">
        <v>386</v>
      </c>
      <c r="H284" s="229">
        <v>271</v>
      </c>
      <c r="I284" s="229">
        <v>131</v>
      </c>
      <c r="J284" s="229"/>
    </row>
    <row r="285" spans="1:10" x14ac:dyDescent="0.25">
      <c r="A285" s="229" t="s">
        <v>359</v>
      </c>
      <c r="B285" s="233" t="s">
        <v>317</v>
      </c>
      <c r="C285" s="229">
        <v>300</v>
      </c>
      <c r="D285" s="229">
        <v>244</v>
      </c>
      <c r="E285" s="230">
        <v>85</v>
      </c>
      <c r="F285" s="230">
        <v>199</v>
      </c>
      <c r="G285" s="229">
        <v>389</v>
      </c>
      <c r="H285" s="229">
        <v>343</v>
      </c>
      <c r="I285" s="229">
        <v>65</v>
      </c>
      <c r="J285" s="229"/>
    </row>
    <row r="286" spans="1:10" x14ac:dyDescent="0.25">
      <c r="A286" s="229" t="s">
        <v>359</v>
      </c>
      <c r="B286" s="233" t="s">
        <v>318</v>
      </c>
      <c r="C286" s="229">
        <v>188</v>
      </c>
      <c r="D286" s="229">
        <v>390</v>
      </c>
      <c r="E286" s="230">
        <v>170</v>
      </c>
      <c r="F286" s="230">
        <v>249</v>
      </c>
      <c r="G286" s="229">
        <v>329</v>
      </c>
      <c r="H286" s="229">
        <v>315</v>
      </c>
      <c r="I286" s="229">
        <v>70</v>
      </c>
      <c r="J286" s="229"/>
    </row>
    <row r="287" spans="1:10" x14ac:dyDescent="0.25">
      <c r="A287" s="229" t="s">
        <v>359</v>
      </c>
      <c r="B287" s="233" t="s">
        <v>319</v>
      </c>
      <c r="C287" s="229">
        <v>201</v>
      </c>
      <c r="D287" s="229">
        <v>354</v>
      </c>
      <c r="E287" s="230">
        <v>223</v>
      </c>
      <c r="F287" s="230">
        <v>393</v>
      </c>
      <c r="G287" s="229">
        <v>385</v>
      </c>
      <c r="H287" s="229">
        <v>180</v>
      </c>
      <c r="I287" s="229">
        <v>67</v>
      </c>
      <c r="J287" s="229"/>
    </row>
    <row r="288" spans="1:10" x14ac:dyDescent="0.25">
      <c r="A288" s="229" t="s">
        <v>359</v>
      </c>
      <c r="B288" s="233" t="s">
        <v>320</v>
      </c>
      <c r="C288" s="229">
        <v>217</v>
      </c>
      <c r="D288" s="229">
        <v>345</v>
      </c>
      <c r="E288" s="230">
        <v>232</v>
      </c>
      <c r="F288" s="230">
        <v>418</v>
      </c>
      <c r="G288" s="229">
        <v>302</v>
      </c>
      <c r="H288" s="229">
        <v>151</v>
      </c>
      <c r="I288" s="229">
        <v>81</v>
      </c>
      <c r="J288" s="229"/>
    </row>
    <row r="289" spans="1:10" x14ac:dyDescent="0.25">
      <c r="A289" s="229" t="s">
        <v>359</v>
      </c>
      <c r="B289" s="233" t="s">
        <v>321</v>
      </c>
      <c r="C289" s="229">
        <v>258</v>
      </c>
      <c r="D289" s="229">
        <v>378</v>
      </c>
      <c r="E289" s="230">
        <v>254</v>
      </c>
      <c r="F289" s="230">
        <v>365</v>
      </c>
      <c r="G289" s="229">
        <v>204</v>
      </c>
      <c r="H289" s="229">
        <v>216</v>
      </c>
      <c r="I289" s="229">
        <v>125</v>
      </c>
      <c r="J289" s="229"/>
    </row>
    <row r="290" spans="1:10" x14ac:dyDescent="0.25">
      <c r="A290" s="229" t="s">
        <v>359</v>
      </c>
      <c r="B290" s="233" t="s">
        <v>322</v>
      </c>
      <c r="C290" s="229">
        <v>307</v>
      </c>
      <c r="D290" s="229">
        <v>337</v>
      </c>
      <c r="E290" s="230">
        <v>238</v>
      </c>
      <c r="F290" s="230">
        <v>256</v>
      </c>
      <c r="G290" s="229">
        <v>171</v>
      </c>
      <c r="H290" s="229">
        <v>270</v>
      </c>
      <c r="I290" s="229">
        <v>200</v>
      </c>
      <c r="J290" s="229"/>
    </row>
    <row r="291" spans="1:10" x14ac:dyDescent="0.25">
      <c r="A291" s="229" t="s">
        <v>359</v>
      </c>
      <c r="B291" s="233" t="s">
        <v>323</v>
      </c>
      <c r="C291" s="229">
        <v>294</v>
      </c>
      <c r="D291" s="229">
        <v>376</v>
      </c>
      <c r="E291" s="230">
        <v>255</v>
      </c>
      <c r="F291" s="230">
        <v>235</v>
      </c>
      <c r="G291" s="229">
        <v>223</v>
      </c>
      <c r="H291" s="229">
        <v>348</v>
      </c>
      <c r="I291" s="229">
        <v>205</v>
      </c>
      <c r="J291" s="229"/>
    </row>
    <row r="292" spans="1:10" x14ac:dyDescent="0.25">
      <c r="A292" s="229" t="s">
        <v>359</v>
      </c>
      <c r="B292" s="233" t="s">
        <v>324</v>
      </c>
      <c r="C292" s="229">
        <v>306</v>
      </c>
      <c r="D292" s="229">
        <v>359</v>
      </c>
      <c r="E292" s="230">
        <v>265</v>
      </c>
      <c r="F292" s="230">
        <v>253</v>
      </c>
      <c r="G292" s="229">
        <v>276</v>
      </c>
      <c r="H292" s="229">
        <v>394</v>
      </c>
      <c r="I292" s="229">
        <v>124</v>
      </c>
      <c r="J292" s="229"/>
    </row>
    <row r="293" spans="1:10" x14ac:dyDescent="0.25">
      <c r="A293" s="229" t="s">
        <v>359</v>
      </c>
      <c r="B293" s="233" t="s">
        <v>325</v>
      </c>
      <c r="C293" s="229">
        <v>307</v>
      </c>
      <c r="D293" s="229">
        <v>317</v>
      </c>
      <c r="E293" s="230">
        <v>251</v>
      </c>
      <c r="F293" s="230">
        <v>340</v>
      </c>
      <c r="G293" s="229">
        <v>335</v>
      </c>
      <c r="H293" s="229">
        <v>405</v>
      </c>
      <c r="I293" s="229">
        <v>82</v>
      </c>
      <c r="J293" s="229"/>
    </row>
    <row r="294" spans="1:10" x14ac:dyDescent="0.25">
      <c r="A294" s="229" t="s">
        <v>359</v>
      </c>
      <c r="B294" s="233" t="s">
        <v>326</v>
      </c>
      <c r="C294" s="229">
        <v>220</v>
      </c>
      <c r="D294" s="229">
        <v>333</v>
      </c>
      <c r="E294" s="230">
        <v>307</v>
      </c>
      <c r="F294" s="230">
        <v>405</v>
      </c>
      <c r="G294" s="229">
        <v>352</v>
      </c>
      <c r="H294" s="229">
        <v>354</v>
      </c>
      <c r="I294" s="229">
        <v>51</v>
      </c>
      <c r="J294" s="229"/>
    </row>
    <row r="295" spans="1:10" x14ac:dyDescent="0.25">
      <c r="A295" s="229" t="s">
        <v>359</v>
      </c>
      <c r="B295" s="233" t="s">
        <v>327</v>
      </c>
      <c r="C295" s="229">
        <v>262</v>
      </c>
      <c r="D295" s="229">
        <v>368</v>
      </c>
      <c r="E295" s="230">
        <v>356</v>
      </c>
      <c r="F295" s="230">
        <v>426</v>
      </c>
      <c r="G295" s="229">
        <v>282</v>
      </c>
      <c r="H295" s="229">
        <v>249</v>
      </c>
      <c r="I295" s="229">
        <v>90</v>
      </c>
      <c r="J295" s="229"/>
    </row>
    <row r="296" spans="1:10" x14ac:dyDescent="0.25">
      <c r="A296" s="229" t="s">
        <v>359</v>
      </c>
      <c r="B296" s="233" t="s">
        <v>328</v>
      </c>
      <c r="C296" s="229">
        <v>302</v>
      </c>
      <c r="D296" s="229">
        <v>316</v>
      </c>
      <c r="E296" s="230">
        <v>348</v>
      </c>
      <c r="F296" s="230">
        <v>200</v>
      </c>
      <c r="G296" s="229">
        <v>264</v>
      </c>
      <c r="H296" s="229">
        <v>268</v>
      </c>
      <c r="I296" s="229">
        <v>111</v>
      </c>
      <c r="J296" s="229"/>
    </row>
    <row r="297" spans="1:10" x14ac:dyDescent="0.25">
      <c r="A297" s="229" t="s">
        <v>359</v>
      </c>
      <c r="B297" s="233" t="s">
        <v>329</v>
      </c>
      <c r="C297" s="229">
        <v>340</v>
      </c>
      <c r="D297" s="229">
        <v>334</v>
      </c>
      <c r="E297" s="230">
        <v>262</v>
      </c>
      <c r="F297" s="230">
        <v>149</v>
      </c>
      <c r="G297" s="229">
        <v>277</v>
      </c>
      <c r="H297" s="229">
        <v>404</v>
      </c>
      <c r="I297" s="229">
        <v>149</v>
      </c>
      <c r="J297" s="229"/>
    </row>
    <row r="298" spans="1:10" x14ac:dyDescent="0.25">
      <c r="A298" s="229" t="s">
        <v>359</v>
      </c>
      <c r="B298" s="233" t="s">
        <v>330</v>
      </c>
      <c r="C298" s="229">
        <v>349</v>
      </c>
      <c r="D298" s="229">
        <v>386</v>
      </c>
      <c r="E298" s="230">
        <v>415</v>
      </c>
      <c r="F298" s="230">
        <v>151</v>
      </c>
      <c r="G298" s="229">
        <v>284</v>
      </c>
      <c r="H298" s="229">
        <v>433</v>
      </c>
      <c r="I298" s="229">
        <v>165</v>
      </c>
      <c r="J298" s="229"/>
    </row>
    <row r="299" spans="1:10" x14ac:dyDescent="0.25">
      <c r="A299" s="229" t="s">
        <v>359</v>
      </c>
      <c r="B299" s="233" t="s">
        <v>331</v>
      </c>
      <c r="C299" s="229">
        <v>374</v>
      </c>
      <c r="D299" s="229">
        <v>353</v>
      </c>
      <c r="E299" s="230">
        <v>402</v>
      </c>
      <c r="F299" s="230">
        <v>194</v>
      </c>
      <c r="G299" s="229">
        <v>277</v>
      </c>
      <c r="H299" s="229">
        <v>355</v>
      </c>
      <c r="I299" s="229">
        <v>95</v>
      </c>
      <c r="J299" s="229"/>
    </row>
    <row r="300" spans="1:10" x14ac:dyDescent="0.25">
      <c r="A300" s="229" t="s">
        <v>359</v>
      </c>
      <c r="B300" s="233" t="s">
        <v>332</v>
      </c>
      <c r="C300" s="229">
        <v>184</v>
      </c>
      <c r="D300" s="229">
        <v>329</v>
      </c>
      <c r="E300" s="230">
        <v>296</v>
      </c>
      <c r="F300" s="230">
        <v>274</v>
      </c>
      <c r="G300" s="229">
        <v>344</v>
      </c>
      <c r="H300" s="229">
        <v>430</v>
      </c>
      <c r="I300" s="229">
        <v>70</v>
      </c>
      <c r="J300" s="229"/>
    </row>
    <row r="301" spans="1:10" x14ac:dyDescent="0.25">
      <c r="A301" s="229" t="s">
        <v>359</v>
      </c>
      <c r="B301" s="233" t="s">
        <v>333</v>
      </c>
      <c r="C301" s="229">
        <v>275</v>
      </c>
      <c r="D301" s="229">
        <v>348</v>
      </c>
      <c r="E301" s="230">
        <v>382</v>
      </c>
      <c r="F301" s="230">
        <v>377</v>
      </c>
      <c r="G301" s="229">
        <v>379</v>
      </c>
      <c r="H301" s="229">
        <v>337</v>
      </c>
      <c r="I301" s="229">
        <v>68</v>
      </c>
      <c r="J301" s="229"/>
    </row>
    <row r="302" spans="1:10" x14ac:dyDescent="0.25">
      <c r="A302" s="229" t="s">
        <v>359</v>
      </c>
      <c r="B302" s="233" t="s">
        <v>334</v>
      </c>
      <c r="C302" s="229">
        <v>287</v>
      </c>
      <c r="D302" s="229">
        <v>382</v>
      </c>
      <c r="E302" s="230">
        <v>398</v>
      </c>
      <c r="F302" s="230">
        <v>399</v>
      </c>
      <c r="G302" s="229">
        <v>387</v>
      </c>
      <c r="H302" s="229">
        <v>389</v>
      </c>
      <c r="I302" s="229">
        <v>58</v>
      </c>
      <c r="J302" s="229"/>
    </row>
    <row r="303" spans="1:10" x14ac:dyDescent="0.25">
      <c r="A303" s="229" t="s">
        <v>359</v>
      </c>
      <c r="B303" s="233" t="s">
        <v>335</v>
      </c>
      <c r="C303" s="229">
        <v>235</v>
      </c>
      <c r="D303" s="229">
        <v>309</v>
      </c>
      <c r="E303" s="230">
        <v>431</v>
      </c>
      <c r="F303" s="230">
        <v>426</v>
      </c>
      <c r="G303" s="229">
        <v>388</v>
      </c>
      <c r="H303" s="229">
        <v>399</v>
      </c>
      <c r="I303" s="229">
        <v>83</v>
      </c>
      <c r="J303" s="229"/>
    </row>
    <row r="304" spans="1:10" x14ac:dyDescent="0.25">
      <c r="A304" s="229" t="s">
        <v>359</v>
      </c>
      <c r="B304" s="233" t="s">
        <v>336</v>
      </c>
      <c r="C304" s="229">
        <v>246</v>
      </c>
      <c r="D304" s="229">
        <v>357</v>
      </c>
      <c r="E304" s="230">
        <v>331</v>
      </c>
      <c r="F304" s="230">
        <v>390</v>
      </c>
      <c r="G304" s="229">
        <v>253</v>
      </c>
      <c r="H304" s="229">
        <v>362</v>
      </c>
      <c r="I304" s="229">
        <v>131</v>
      </c>
      <c r="J304" s="229"/>
    </row>
    <row r="305" spans="1:10" x14ac:dyDescent="0.25">
      <c r="A305" s="229" t="s">
        <v>359</v>
      </c>
      <c r="B305" s="233" t="s">
        <v>338</v>
      </c>
      <c r="C305" s="229">
        <v>228</v>
      </c>
      <c r="D305" s="229">
        <v>369</v>
      </c>
      <c r="E305" s="230">
        <v>346</v>
      </c>
      <c r="F305" s="230">
        <v>407</v>
      </c>
      <c r="G305" s="229">
        <v>264</v>
      </c>
      <c r="H305" s="229">
        <v>345</v>
      </c>
      <c r="I305" s="229">
        <v>151</v>
      </c>
      <c r="J305" s="229"/>
    </row>
    <row r="306" spans="1:10" x14ac:dyDescent="0.25">
      <c r="A306" s="229" t="s">
        <v>359</v>
      </c>
      <c r="B306" s="233" t="s">
        <v>340</v>
      </c>
      <c r="C306" s="229">
        <v>204</v>
      </c>
      <c r="D306" s="229">
        <v>309</v>
      </c>
      <c r="E306" s="230">
        <v>266</v>
      </c>
      <c r="F306" s="230">
        <v>296</v>
      </c>
      <c r="G306" s="229">
        <v>340</v>
      </c>
      <c r="H306" s="229">
        <v>407</v>
      </c>
      <c r="I306" s="229">
        <v>62</v>
      </c>
      <c r="J306" s="229"/>
    </row>
    <row r="307" spans="1:10" x14ac:dyDescent="0.25">
      <c r="A307" s="229" t="s">
        <v>359</v>
      </c>
      <c r="B307" s="233" t="s">
        <v>342</v>
      </c>
      <c r="C307" s="229">
        <v>214</v>
      </c>
      <c r="D307" s="229">
        <v>313</v>
      </c>
      <c r="E307" s="230">
        <v>241</v>
      </c>
      <c r="F307" s="230">
        <v>373</v>
      </c>
      <c r="G307" s="229">
        <v>391</v>
      </c>
      <c r="H307" s="229">
        <v>421</v>
      </c>
      <c r="I307" s="229">
        <v>59</v>
      </c>
      <c r="J307" s="229"/>
    </row>
    <row r="308" spans="1:10" x14ac:dyDescent="0.25">
      <c r="A308" s="229" t="s">
        <v>359</v>
      </c>
      <c r="B308" s="233" t="s">
        <v>344</v>
      </c>
      <c r="C308" s="229">
        <v>197</v>
      </c>
      <c r="D308" s="229">
        <v>379</v>
      </c>
      <c r="E308" s="230">
        <v>266</v>
      </c>
      <c r="F308" s="230">
        <v>418</v>
      </c>
      <c r="G308" s="229">
        <v>398</v>
      </c>
      <c r="H308" s="229">
        <v>313</v>
      </c>
      <c r="I308" s="229">
        <v>56</v>
      </c>
      <c r="J308" s="229"/>
    </row>
    <row r="309" spans="1:10" x14ac:dyDescent="0.25">
      <c r="A309" s="229" t="s">
        <v>359</v>
      </c>
      <c r="B309" s="233" t="s">
        <v>346</v>
      </c>
      <c r="C309" s="229">
        <v>202</v>
      </c>
      <c r="D309" s="229">
        <v>325</v>
      </c>
      <c r="E309" s="230">
        <v>354</v>
      </c>
      <c r="F309" s="230">
        <v>361</v>
      </c>
      <c r="G309" s="229">
        <v>296</v>
      </c>
      <c r="H309" s="229">
        <v>266</v>
      </c>
      <c r="I309" s="229">
        <v>57</v>
      </c>
      <c r="J309" s="229"/>
    </row>
    <row r="310" spans="1:10" x14ac:dyDescent="0.25">
      <c r="A310" s="229" t="s">
        <v>359</v>
      </c>
      <c r="B310" s="233" t="s">
        <v>347</v>
      </c>
      <c r="C310" s="229">
        <v>174</v>
      </c>
      <c r="D310" s="229">
        <v>365</v>
      </c>
      <c r="E310" s="230">
        <v>371</v>
      </c>
      <c r="F310" s="230">
        <v>229</v>
      </c>
      <c r="G310" s="229">
        <v>273</v>
      </c>
      <c r="H310" s="229">
        <v>262</v>
      </c>
      <c r="I310" s="229">
        <v>66</v>
      </c>
      <c r="J310" s="229"/>
    </row>
    <row r="311" spans="1:10" x14ac:dyDescent="0.25">
      <c r="A311" s="229" t="s">
        <v>359</v>
      </c>
      <c r="B311" s="233" t="s">
        <v>349</v>
      </c>
      <c r="C311" s="229">
        <v>149</v>
      </c>
      <c r="D311" s="229">
        <v>262</v>
      </c>
      <c r="E311" s="230">
        <v>280</v>
      </c>
      <c r="F311" s="230">
        <v>207</v>
      </c>
      <c r="G311" s="229">
        <v>252</v>
      </c>
      <c r="H311" s="229">
        <v>326</v>
      </c>
      <c r="I311" s="229">
        <v>110</v>
      </c>
      <c r="J311" s="229"/>
    </row>
    <row r="312" spans="1:10" x14ac:dyDescent="0.25">
      <c r="A312" s="229" t="s">
        <v>359</v>
      </c>
      <c r="B312" s="232" t="s">
        <v>350</v>
      </c>
      <c r="C312" s="229">
        <v>154</v>
      </c>
      <c r="D312" s="229">
        <v>266</v>
      </c>
      <c r="E312" s="230">
        <v>288</v>
      </c>
      <c r="F312" s="230">
        <v>261</v>
      </c>
      <c r="G312" s="229">
        <v>254</v>
      </c>
      <c r="H312" s="229">
        <v>331</v>
      </c>
      <c r="I312" s="229">
        <v>125</v>
      </c>
      <c r="J312" s="229"/>
    </row>
    <row r="313" spans="1:10" x14ac:dyDescent="0.25">
      <c r="A313" s="229" t="s">
        <v>466</v>
      </c>
      <c r="B313" s="233" t="s">
        <v>313</v>
      </c>
      <c r="C313" s="229">
        <v>178</v>
      </c>
      <c r="D313" s="229">
        <v>272</v>
      </c>
      <c r="E313" s="230">
        <v>325</v>
      </c>
      <c r="F313" s="230">
        <v>352</v>
      </c>
      <c r="G313" s="229">
        <v>285</v>
      </c>
      <c r="H313" s="229">
        <v>333</v>
      </c>
      <c r="I313" s="229">
        <v>88</v>
      </c>
      <c r="J313" s="229"/>
    </row>
    <row r="314" spans="1:10" x14ac:dyDescent="0.25">
      <c r="A314" s="229" t="s">
        <v>466</v>
      </c>
      <c r="B314" s="233" t="s">
        <v>315</v>
      </c>
      <c r="C314" s="229">
        <v>221</v>
      </c>
      <c r="D314" s="229">
        <v>267</v>
      </c>
      <c r="E314" s="230">
        <v>417</v>
      </c>
      <c r="F314" s="230">
        <v>341</v>
      </c>
      <c r="G314" s="229">
        <v>327</v>
      </c>
      <c r="H314" s="229">
        <v>331</v>
      </c>
      <c r="I314" s="229">
        <v>73</v>
      </c>
      <c r="J314" s="229"/>
    </row>
    <row r="315" spans="1:10" x14ac:dyDescent="0.25">
      <c r="A315" s="229" t="s">
        <v>466</v>
      </c>
      <c r="B315" s="233" t="s">
        <v>316</v>
      </c>
      <c r="C315" s="229">
        <v>376</v>
      </c>
      <c r="D315" s="229">
        <v>255</v>
      </c>
      <c r="E315" s="230">
        <v>426</v>
      </c>
      <c r="F315" s="230">
        <v>417</v>
      </c>
      <c r="G315" s="229">
        <v>341</v>
      </c>
      <c r="H315" s="229">
        <v>181</v>
      </c>
      <c r="I315" s="229">
        <v>57</v>
      </c>
      <c r="J315" s="229"/>
    </row>
    <row r="316" spans="1:10" x14ac:dyDescent="0.25">
      <c r="A316" s="229" t="s">
        <v>466</v>
      </c>
      <c r="B316" s="233" t="s">
        <v>317</v>
      </c>
      <c r="C316" s="229">
        <v>379</v>
      </c>
      <c r="D316" s="229">
        <v>296</v>
      </c>
      <c r="E316" s="230">
        <v>356</v>
      </c>
      <c r="F316" s="230">
        <v>417</v>
      </c>
      <c r="G316" s="229">
        <v>279</v>
      </c>
      <c r="H316" s="229">
        <v>199</v>
      </c>
      <c r="I316" s="229">
        <v>75</v>
      </c>
      <c r="J316" s="229"/>
    </row>
    <row r="317" spans="1:10" x14ac:dyDescent="0.25">
      <c r="A317" s="229" t="s">
        <v>466</v>
      </c>
      <c r="B317" s="233" t="s">
        <v>318</v>
      </c>
      <c r="C317" s="229">
        <v>233</v>
      </c>
      <c r="D317" s="229">
        <v>394</v>
      </c>
      <c r="E317" s="230">
        <v>304</v>
      </c>
      <c r="F317" s="230">
        <v>258</v>
      </c>
      <c r="G317" s="229">
        <v>289</v>
      </c>
      <c r="H317" s="229">
        <v>256</v>
      </c>
      <c r="I317" s="229">
        <v>102</v>
      </c>
      <c r="J317" s="229"/>
    </row>
    <row r="318" spans="1:10" x14ac:dyDescent="0.25">
      <c r="A318" s="229" t="s">
        <v>466</v>
      </c>
      <c r="B318" s="233" t="s">
        <v>319</v>
      </c>
      <c r="C318" s="229">
        <v>252</v>
      </c>
      <c r="D318" s="229">
        <v>336</v>
      </c>
      <c r="E318" s="230">
        <v>344</v>
      </c>
      <c r="F318" s="230">
        <v>245</v>
      </c>
      <c r="G318" s="229">
        <v>284</v>
      </c>
      <c r="H318" s="229">
        <v>352</v>
      </c>
      <c r="I318" s="229">
        <v>130</v>
      </c>
      <c r="J318" s="229"/>
    </row>
    <row r="319" spans="1:10" x14ac:dyDescent="0.25">
      <c r="A319" s="229" t="s">
        <v>466</v>
      </c>
      <c r="B319" s="233" t="s">
        <v>320</v>
      </c>
      <c r="C319" s="229">
        <v>320</v>
      </c>
      <c r="D319" s="229">
        <v>373</v>
      </c>
      <c r="E319" s="230">
        <v>356</v>
      </c>
      <c r="F319" s="230">
        <v>231</v>
      </c>
      <c r="G319" s="229">
        <v>333</v>
      </c>
      <c r="H319" s="229">
        <v>408</v>
      </c>
      <c r="I319" s="229">
        <v>122</v>
      </c>
      <c r="J319" s="229"/>
    </row>
    <row r="320" spans="1:10" x14ac:dyDescent="0.25">
      <c r="A320" s="229" t="s">
        <v>466</v>
      </c>
      <c r="B320" s="233" t="s">
        <v>321</v>
      </c>
      <c r="C320" s="229">
        <v>351</v>
      </c>
      <c r="D320" s="229">
        <v>382</v>
      </c>
      <c r="E320" s="230">
        <v>352</v>
      </c>
      <c r="F320" s="230">
        <v>352</v>
      </c>
      <c r="G320" s="229">
        <v>364</v>
      </c>
      <c r="H320" s="229">
        <v>434</v>
      </c>
      <c r="I320" s="229">
        <v>61</v>
      </c>
      <c r="J320" s="229"/>
    </row>
    <row r="321" spans="1:10" x14ac:dyDescent="0.25">
      <c r="A321" s="229" t="s">
        <v>466</v>
      </c>
      <c r="B321" s="233" t="s">
        <v>322</v>
      </c>
      <c r="C321" s="229">
        <v>232</v>
      </c>
      <c r="D321" s="229">
        <v>395</v>
      </c>
      <c r="E321" s="230">
        <v>277</v>
      </c>
      <c r="F321" s="230">
        <v>418</v>
      </c>
      <c r="G321" s="229">
        <v>326</v>
      </c>
      <c r="H321" s="229">
        <v>430</v>
      </c>
      <c r="I321" s="229">
        <v>56</v>
      </c>
      <c r="J321" s="229"/>
    </row>
    <row r="322" spans="1:10" x14ac:dyDescent="0.25">
      <c r="A322" s="229" t="s">
        <v>466</v>
      </c>
      <c r="B322" s="233" t="s">
        <v>323</v>
      </c>
      <c r="C322" s="229">
        <v>208</v>
      </c>
      <c r="D322" s="229">
        <v>385</v>
      </c>
      <c r="E322" s="230">
        <v>357</v>
      </c>
      <c r="F322" s="230">
        <v>425</v>
      </c>
      <c r="G322" s="229">
        <v>369</v>
      </c>
      <c r="H322" s="229">
        <v>263</v>
      </c>
      <c r="I322" s="229">
        <v>60</v>
      </c>
      <c r="J322" s="229"/>
    </row>
    <row r="323" spans="1:10" x14ac:dyDescent="0.25">
      <c r="A323" s="229" t="s">
        <v>466</v>
      </c>
      <c r="B323" s="233" t="s">
        <v>324</v>
      </c>
      <c r="C323" s="229">
        <v>224</v>
      </c>
      <c r="D323" s="229">
        <v>408</v>
      </c>
      <c r="E323" s="230">
        <v>363</v>
      </c>
      <c r="F323" s="230">
        <v>423</v>
      </c>
      <c r="G323" s="229">
        <v>270</v>
      </c>
      <c r="H323" s="229">
        <v>359</v>
      </c>
      <c r="I323" s="229">
        <v>58</v>
      </c>
      <c r="J323" s="229"/>
    </row>
    <row r="324" spans="1:10" x14ac:dyDescent="0.25">
      <c r="A324" s="229" t="s">
        <v>466</v>
      </c>
      <c r="B324" s="233" t="s">
        <v>325</v>
      </c>
      <c r="C324" s="229">
        <v>309</v>
      </c>
      <c r="D324" s="229">
        <v>299</v>
      </c>
      <c r="E324" s="230">
        <v>385</v>
      </c>
      <c r="F324" s="230">
        <v>217</v>
      </c>
      <c r="G324" s="229">
        <v>346</v>
      </c>
      <c r="H324" s="229">
        <v>324</v>
      </c>
      <c r="I324" s="229">
        <v>107</v>
      </c>
      <c r="J324" s="229"/>
    </row>
    <row r="325" spans="1:10" x14ac:dyDescent="0.25">
      <c r="A325" s="229" t="s">
        <v>466</v>
      </c>
      <c r="B325" s="233" t="s">
        <v>326</v>
      </c>
      <c r="C325" s="229">
        <v>252</v>
      </c>
      <c r="D325" s="229">
        <v>368</v>
      </c>
      <c r="E325" s="230">
        <v>338</v>
      </c>
      <c r="F325" s="230">
        <v>397</v>
      </c>
      <c r="G325" s="229">
        <v>350</v>
      </c>
      <c r="H325" s="229">
        <v>349</v>
      </c>
      <c r="I325" s="229">
        <v>138</v>
      </c>
      <c r="J325" s="229"/>
    </row>
    <row r="326" spans="1:10" x14ac:dyDescent="0.25">
      <c r="A326" s="229" t="s">
        <v>466</v>
      </c>
      <c r="B326" s="233" t="s">
        <v>327</v>
      </c>
      <c r="C326" s="229">
        <v>273</v>
      </c>
      <c r="D326" s="229">
        <v>386</v>
      </c>
      <c r="E326" s="230">
        <v>373</v>
      </c>
      <c r="F326" s="230">
        <v>414</v>
      </c>
      <c r="G326" s="229">
        <v>403</v>
      </c>
      <c r="H326" s="229">
        <v>395</v>
      </c>
      <c r="I326" s="229">
        <v>129</v>
      </c>
      <c r="J326" s="229"/>
    </row>
    <row r="327" spans="1:10" x14ac:dyDescent="0.25">
      <c r="A327" s="229" t="s">
        <v>466</v>
      </c>
      <c r="B327" s="233" t="s">
        <v>328</v>
      </c>
      <c r="C327" s="229">
        <v>258</v>
      </c>
      <c r="D327" s="229">
        <v>216</v>
      </c>
      <c r="E327" s="230">
        <v>396</v>
      </c>
      <c r="F327" s="230">
        <v>327</v>
      </c>
      <c r="G327" s="229">
        <v>347</v>
      </c>
      <c r="H327" s="229">
        <v>330</v>
      </c>
      <c r="I327" s="229">
        <v>71</v>
      </c>
      <c r="J327" s="229"/>
    </row>
    <row r="328" spans="1:10" x14ac:dyDescent="0.25">
      <c r="A328" s="229" t="s">
        <v>466</v>
      </c>
      <c r="B328" s="233" t="s">
        <v>329</v>
      </c>
      <c r="C328" s="229">
        <v>184</v>
      </c>
      <c r="D328" s="229">
        <v>300</v>
      </c>
      <c r="E328" s="230">
        <v>202</v>
      </c>
      <c r="F328" s="230">
        <v>287</v>
      </c>
      <c r="G328" s="229">
        <v>334</v>
      </c>
      <c r="H328" s="229">
        <v>383</v>
      </c>
      <c r="I328" s="229">
        <v>65</v>
      </c>
      <c r="J328" s="229"/>
    </row>
    <row r="329" spans="1:10" x14ac:dyDescent="0.25">
      <c r="A329" s="229" t="s">
        <v>466</v>
      </c>
      <c r="B329" s="233" t="s">
        <v>330</v>
      </c>
      <c r="C329" s="229">
        <v>227</v>
      </c>
      <c r="D329" s="229">
        <v>396</v>
      </c>
      <c r="E329" s="230">
        <v>205</v>
      </c>
      <c r="F329" s="230">
        <v>348</v>
      </c>
      <c r="G329" s="229">
        <v>374</v>
      </c>
      <c r="H329" s="229">
        <v>330</v>
      </c>
      <c r="I329" s="229">
        <v>76</v>
      </c>
      <c r="J329" s="229"/>
    </row>
    <row r="330" spans="1:10" x14ac:dyDescent="0.25">
      <c r="A330" s="229" t="s">
        <v>466</v>
      </c>
      <c r="B330" s="233" t="s">
        <v>331</v>
      </c>
      <c r="C330" s="229">
        <v>234</v>
      </c>
      <c r="D330" s="229">
        <v>385</v>
      </c>
      <c r="E330" s="230">
        <v>291</v>
      </c>
      <c r="F330" s="230">
        <v>414</v>
      </c>
      <c r="G330" s="229">
        <v>364</v>
      </c>
      <c r="H330" s="229">
        <v>332</v>
      </c>
      <c r="I330" s="229">
        <v>96</v>
      </c>
      <c r="J330" s="229"/>
    </row>
    <row r="331" spans="1:10" x14ac:dyDescent="0.25">
      <c r="A331" s="229" t="s">
        <v>466</v>
      </c>
      <c r="B331" s="233" t="s">
        <v>332</v>
      </c>
      <c r="C331" s="229">
        <v>232</v>
      </c>
      <c r="D331" s="229">
        <v>401</v>
      </c>
      <c r="E331" s="230">
        <v>348</v>
      </c>
      <c r="F331" s="230">
        <v>363</v>
      </c>
      <c r="G331" s="229">
        <v>348</v>
      </c>
      <c r="H331" s="229">
        <v>324</v>
      </c>
      <c r="I331" s="229">
        <v>92</v>
      </c>
      <c r="J331" s="229"/>
    </row>
    <row r="332" spans="1:10" x14ac:dyDescent="0.25">
      <c r="A332" s="229" t="s">
        <v>466</v>
      </c>
      <c r="B332" s="233" t="s">
        <v>333</v>
      </c>
      <c r="C332" s="229">
        <v>291</v>
      </c>
      <c r="D332" s="229">
        <v>364</v>
      </c>
      <c r="E332" s="230">
        <v>237</v>
      </c>
      <c r="F332" s="230">
        <v>332</v>
      </c>
      <c r="G332" s="229">
        <v>350</v>
      </c>
      <c r="H332" s="229">
        <v>299</v>
      </c>
      <c r="I332" s="229">
        <v>155</v>
      </c>
      <c r="J332" s="229"/>
    </row>
    <row r="333" spans="1:10" x14ac:dyDescent="0.25">
      <c r="A333" s="229" t="s">
        <v>466</v>
      </c>
      <c r="B333" s="233" t="s">
        <v>334</v>
      </c>
      <c r="C333" s="229">
        <v>250</v>
      </c>
      <c r="D333" s="229">
        <v>353</v>
      </c>
      <c r="E333" s="230">
        <v>221</v>
      </c>
      <c r="F333" s="230">
        <v>332</v>
      </c>
      <c r="G333" s="229">
        <v>387</v>
      </c>
      <c r="H333" s="229">
        <v>172</v>
      </c>
      <c r="I333" s="229">
        <v>171</v>
      </c>
      <c r="J333" s="229"/>
    </row>
    <row r="334" spans="1:10" x14ac:dyDescent="0.25">
      <c r="A334" s="229" t="s">
        <v>466</v>
      </c>
      <c r="B334" s="233" t="s">
        <v>335</v>
      </c>
      <c r="C334" s="229">
        <v>290</v>
      </c>
      <c r="D334" s="229">
        <v>335</v>
      </c>
      <c r="E334" s="230">
        <v>277</v>
      </c>
      <c r="F334" s="230">
        <v>376</v>
      </c>
      <c r="G334" s="229">
        <v>383</v>
      </c>
      <c r="H334" s="229">
        <v>323</v>
      </c>
      <c r="I334" s="229">
        <v>131</v>
      </c>
      <c r="J334" s="229"/>
    </row>
    <row r="335" spans="1:10" x14ac:dyDescent="0.25">
      <c r="A335" s="229" t="s">
        <v>466</v>
      </c>
      <c r="B335" s="233" t="s">
        <v>336</v>
      </c>
      <c r="C335" s="229">
        <v>205</v>
      </c>
      <c r="D335" s="229">
        <v>357</v>
      </c>
      <c r="E335" s="230">
        <v>302</v>
      </c>
      <c r="F335" s="230">
        <v>415</v>
      </c>
      <c r="G335" s="229">
        <v>390</v>
      </c>
      <c r="H335" s="229">
        <v>381</v>
      </c>
      <c r="I335" s="229">
        <v>149</v>
      </c>
      <c r="J335" s="229"/>
    </row>
    <row r="336" spans="1:10" x14ac:dyDescent="0.25">
      <c r="A336" s="229" t="s">
        <v>466</v>
      </c>
      <c r="B336" s="233" t="s">
        <v>338</v>
      </c>
      <c r="C336" s="229">
        <v>203</v>
      </c>
      <c r="D336" s="229">
        <v>324</v>
      </c>
      <c r="E336" s="230">
        <v>321</v>
      </c>
      <c r="F336" s="230">
        <v>429</v>
      </c>
      <c r="G336" s="229">
        <v>346</v>
      </c>
      <c r="H336" s="229">
        <v>294</v>
      </c>
      <c r="I336" s="229">
        <v>167</v>
      </c>
      <c r="J336" s="229"/>
    </row>
    <row r="337" spans="1:10" x14ac:dyDescent="0.25">
      <c r="A337" s="229" t="s">
        <v>466</v>
      </c>
      <c r="B337" s="233" t="s">
        <v>340</v>
      </c>
      <c r="C337" s="229">
        <v>247</v>
      </c>
      <c r="D337" s="229">
        <v>329</v>
      </c>
      <c r="E337" s="230">
        <v>340</v>
      </c>
      <c r="F337" s="230">
        <v>349</v>
      </c>
      <c r="G337" s="229">
        <v>195</v>
      </c>
      <c r="H337" s="229">
        <v>281</v>
      </c>
      <c r="I337" s="229">
        <v>220</v>
      </c>
      <c r="J337" s="229"/>
    </row>
    <row r="338" spans="1:10" x14ac:dyDescent="0.25">
      <c r="A338" s="229" t="s">
        <v>466</v>
      </c>
      <c r="B338" s="233" t="s">
        <v>342</v>
      </c>
      <c r="C338" s="229">
        <v>293</v>
      </c>
      <c r="D338" s="229">
        <v>361</v>
      </c>
      <c r="E338" s="230">
        <v>255</v>
      </c>
      <c r="F338" s="230">
        <v>113</v>
      </c>
      <c r="G338" s="229">
        <v>190</v>
      </c>
      <c r="H338" s="229">
        <v>297</v>
      </c>
      <c r="I338" s="229">
        <v>236</v>
      </c>
      <c r="J338" s="229"/>
    </row>
    <row r="339" spans="1:10" x14ac:dyDescent="0.25">
      <c r="A339" s="229" t="s">
        <v>466</v>
      </c>
      <c r="B339" s="233" t="s">
        <v>344</v>
      </c>
      <c r="C339" s="229">
        <v>329</v>
      </c>
      <c r="D339" s="229">
        <v>376</v>
      </c>
      <c r="E339" s="230">
        <v>100</v>
      </c>
      <c r="F339" s="230">
        <v>128</v>
      </c>
      <c r="G339" s="229">
        <v>417</v>
      </c>
      <c r="H339" s="229">
        <v>330</v>
      </c>
      <c r="I339" s="229">
        <v>220</v>
      </c>
      <c r="J339" s="229"/>
    </row>
    <row r="340" spans="1:10" x14ac:dyDescent="0.25">
      <c r="A340" s="229" t="s">
        <v>466</v>
      </c>
      <c r="B340" s="233" t="s">
        <v>346</v>
      </c>
      <c r="C340" s="229">
        <v>332</v>
      </c>
      <c r="D340" s="229">
        <v>311</v>
      </c>
      <c r="E340" s="230">
        <v>121</v>
      </c>
      <c r="F340" s="230">
        <v>410</v>
      </c>
      <c r="G340" s="229">
        <v>401</v>
      </c>
      <c r="H340" s="229">
        <v>370</v>
      </c>
      <c r="I340" s="229">
        <v>181</v>
      </c>
      <c r="J340" s="229"/>
    </row>
    <row r="341" spans="1:10" x14ac:dyDescent="0.25">
      <c r="A341" s="229" t="s">
        <v>466</v>
      </c>
      <c r="B341" s="233" t="s">
        <v>347</v>
      </c>
      <c r="C341" s="229">
        <v>268</v>
      </c>
      <c r="D341" s="229">
        <v>171</v>
      </c>
      <c r="E341" s="230">
        <v>393</v>
      </c>
      <c r="F341" s="230">
        <v>419</v>
      </c>
      <c r="G341" s="229">
        <v>256</v>
      </c>
      <c r="H341" s="229">
        <v>384</v>
      </c>
      <c r="I341" s="229">
        <v>68</v>
      </c>
      <c r="J341" s="229"/>
    </row>
    <row r="342" spans="1:10" x14ac:dyDescent="0.25">
      <c r="A342" s="229" t="s">
        <v>466</v>
      </c>
      <c r="B342" s="233" t="s">
        <v>349</v>
      </c>
      <c r="C342" s="229">
        <v>209</v>
      </c>
      <c r="D342" s="229">
        <v>141</v>
      </c>
      <c r="E342" s="230">
        <v>406</v>
      </c>
      <c r="F342" s="230">
        <v>207</v>
      </c>
      <c r="G342" s="229">
        <v>273</v>
      </c>
      <c r="H342" s="229">
        <v>312</v>
      </c>
      <c r="I342" s="229">
        <v>64</v>
      </c>
      <c r="J342" s="229"/>
    </row>
    <row r="343" spans="1:10" x14ac:dyDescent="0.25">
      <c r="A343" s="229" t="s">
        <v>467</v>
      </c>
      <c r="B343" s="233" t="s">
        <v>313</v>
      </c>
      <c r="C343" s="229">
        <v>240</v>
      </c>
      <c r="D343" s="229">
        <v>304</v>
      </c>
      <c r="E343" s="230">
        <v>265</v>
      </c>
      <c r="F343" s="230">
        <v>296</v>
      </c>
      <c r="G343" s="229">
        <v>276</v>
      </c>
      <c r="H343" s="229">
        <v>208</v>
      </c>
      <c r="I343" s="229">
        <v>46</v>
      </c>
      <c r="J343" s="229"/>
    </row>
    <row r="344" spans="1:10" x14ac:dyDescent="0.25">
      <c r="A344" s="229" t="s">
        <v>467</v>
      </c>
      <c r="B344" s="233" t="s">
        <v>315</v>
      </c>
      <c r="C344" s="229">
        <v>286</v>
      </c>
      <c r="D344" s="229">
        <v>339</v>
      </c>
      <c r="E344" s="230">
        <v>356</v>
      </c>
      <c r="F344" s="230">
        <v>301</v>
      </c>
      <c r="G344" s="229">
        <v>151</v>
      </c>
      <c r="H344" s="229">
        <v>229</v>
      </c>
      <c r="I344" s="229">
        <v>54</v>
      </c>
      <c r="J344" s="229"/>
    </row>
    <row r="345" spans="1:10" x14ac:dyDescent="0.25">
      <c r="A345" s="229" t="s">
        <v>467</v>
      </c>
      <c r="B345" s="233" t="s">
        <v>316</v>
      </c>
      <c r="C345" s="229">
        <v>310</v>
      </c>
      <c r="D345" s="229">
        <v>394</v>
      </c>
      <c r="E345" s="230">
        <v>346</v>
      </c>
      <c r="F345" s="230">
        <v>236</v>
      </c>
      <c r="G345" s="229">
        <v>194</v>
      </c>
      <c r="H345" s="229">
        <v>230</v>
      </c>
      <c r="I345" s="229">
        <v>57</v>
      </c>
      <c r="J345" s="229"/>
    </row>
    <row r="346" spans="1:10" x14ac:dyDescent="0.25">
      <c r="A346" s="229" t="s">
        <v>467</v>
      </c>
      <c r="B346" s="233" t="s">
        <v>317</v>
      </c>
      <c r="C346" s="229">
        <v>357</v>
      </c>
      <c r="D346" s="229">
        <v>376</v>
      </c>
      <c r="E346" s="230">
        <v>172</v>
      </c>
      <c r="F346" s="230">
        <v>248</v>
      </c>
      <c r="G346" s="229">
        <v>243</v>
      </c>
      <c r="H346" s="229">
        <v>302</v>
      </c>
      <c r="I346" s="229">
        <v>128</v>
      </c>
      <c r="J346" s="229"/>
    </row>
    <row r="347" spans="1:10" x14ac:dyDescent="0.25">
      <c r="A347" s="229" t="s">
        <v>467</v>
      </c>
      <c r="B347" s="233" t="s">
        <v>318</v>
      </c>
      <c r="C347" s="229">
        <v>306</v>
      </c>
      <c r="D347" s="229">
        <v>390</v>
      </c>
      <c r="E347" s="230">
        <v>291</v>
      </c>
      <c r="F347" s="230">
        <v>277</v>
      </c>
      <c r="G347" s="229">
        <v>299</v>
      </c>
      <c r="H347" s="229">
        <v>358</v>
      </c>
      <c r="I347" s="229">
        <v>178</v>
      </c>
      <c r="J347" s="229"/>
    </row>
    <row r="348" spans="1:10" x14ac:dyDescent="0.25">
      <c r="A348" s="229" t="s">
        <v>467</v>
      </c>
      <c r="B348" s="233" t="s">
        <v>319</v>
      </c>
      <c r="C348" s="229">
        <v>353</v>
      </c>
      <c r="D348" s="229">
        <v>386</v>
      </c>
      <c r="E348" s="230">
        <v>289</v>
      </c>
      <c r="F348" s="230">
        <v>261</v>
      </c>
      <c r="G348" s="229">
        <v>370</v>
      </c>
      <c r="H348" s="229">
        <v>383</v>
      </c>
      <c r="I348" s="229">
        <v>97</v>
      </c>
      <c r="J348" s="229"/>
    </row>
    <row r="349" spans="1:10" x14ac:dyDescent="0.25">
      <c r="A349" s="229" t="s">
        <v>467</v>
      </c>
      <c r="B349" s="233" t="s">
        <v>320</v>
      </c>
      <c r="C349" s="229">
        <v>256</v>
      </c>
      <c r="D349" s="229">
        <v>235</v>
      </c>
      <c r="E349" s="230">
        <v>180</v>
      </c>
      <c r="F349" s="230">
        <v>383</v>
      </c>
      <c r="G349" s="229">
        <v>392</v>
      </c>
      <c r="H349" s="229">
        <v>408</v>
      </c>
      <c r="I349" s="229">
        <v>67</v>
      </c>
      <c r="J349" s="229"/>
    </row>
    <row r="350" spans="1:10" x14ac:dyDescent="0.25">
      <c r="A350" s="229" t="s">
        <v>467</v>
      </c>
      <c r="B350" s="233" t="s">
        <v>321</v>
      </c>
      <c r="C350" s="229">
        <v>256</v>
      </c>
      <c r="D350" s="229">
        <v>165</v>
      </c>
      <c r="E350" s="230">
        <v>216</v>
      </c>
      <c r="F350" s="230">
        <v>344</v>
      </c>
      <c r="G350" s="229">
        <v>257</v>
      </c>
      <c r="H350" s="229">
        <v>254</v>
      </c>
      <c r="I350" s="229">
        <v>228</v>
      </c>
      <c r="J350" s="229"/>
    </row>
    <row r="351" spans="1:10" x14ac:dyDescent="0.25">
      <c r="A351" s="229" t="s">
        <v>467</v>
      </c>
      <c r="B351" s="233" t="s">
        <v>322</v>
      </c>
      <c r="C351" s="229">
        <v>258</v>
      </c>
      <c r="D351" s="229">
        <v>162</v>
      </c>
      <c r="E351" s="230">
        <v>261</v>
      </c>
      <c r="F351" s="230">
        <v>389</v>
      </c>
      <c r="G351" s="229">
        <v>158</v>
      </c>
      <c r="H351" s="229">
        <v>222</v>
      </c>
      <c r="I351" s="229">
        <v>252</v>
      </c>
      <c r="J351" s="229"/>
    </row>
    <row r="352" spans="1:10" x14ac:dyDescent="0.25">
      <c r="A352" s="229" t="s">
        <v>467</v>
      </c>
      <c r="B352" s="233" t="s">
        <v>323</v>
      </c>
      <c r="C352" s="229">
        <v>172</v>
      </c>
      <c r="D352" s="229">
        <v>206</v>
      </c>
      <c r="E352" s="230">
        <v>322</v>
      </c>
      <c r="F352" s="230">
        <v>198</v>
      </c>
      <c r="G352" s="229">
        <v>147</v>
      </c>
      <c r="H352" s="229">
        <v>195</v>
      </c>
      <c r="I352" s="229">
        <v>266</v>
      </c>
      <c r="J352" s="229"/>
    </row>
    <row r="353" spans="1:10" x14ac:dyDescent="0.25">
      <c r="A353" s="229" t="s">
        <v>467</v>
      </c>
      <c r="B353" s="233" t="s">
        <v>324</v>
      </c>
      <c r="C353" s="229">
        <v>190</v>
      </c>
      <c r="D353" s="229">
        <v>281</v>
      </c>
      <c r="E353" s="230">
        <v>193</v>
      </c>
      <c r="F353" s="230">
        <v>170</v>
      </c>
      <c r="G353" s="229">
        <v>151</v>
      </c>
      <c r="H353" s="229">
        <v>181</v>
      </c>
      <c r="I353" s="229">
        <v>143</v>
      </c>
      <c r="J353" s="229"/>
    </row>
    <row r="354" spans="1:10" x14ac:dyDescent="0.25">
      <c r="A354" s="229" t="s">
        <v>467</v>
      </c>
      <c r="B354" s="233" t="s">
        <v>325</v>
      </c>
      <c r="C354" s="229">
        <v>267</v>
      </c>
      <c r="D354" s="229">
        <v>327</v>
      </c>
      <c r="E354" s="230">
        <v>309</v>
      </c>
      <c r="F354" s="230">
        <v>170</v>
      </c>
      <c r="G354" s="229">
        <v>178</v>
      </c>
      <c r="H354" s="229">
        <v>234</v>
      </c>
      <c r="I354" s="229">
        <v>139</v>
      </c>
      <c r="J354" s="229"/>
    </row>
    <row r="355" spans="1:10" x14ac:dyDescent="0.25">
      <c r="A355" s="229" t="s">
        <v>467</v>
      </c>
      <c r="B355" s="233" t="s">
        <v>326</v>
      </c>
      <c r="C355" s="229">
        <v>345</v>
      </c>
      <c r="D355" s="229">
        <v>138</v>
      </c>
      <c r="E355" s="230">
        <v>331</v>
      </c>
      <c r="F355" s="230">
        <v>236</v>
      </c>
      <c r="G355" s="229">
        <v>219</v>
      </c>
      <c r="H355" s="229">
        <v>310</v>
      </c>
      <c r="I355" s="229">
        <v>87</v>
      </c>
      <c r="J355" s="229"/>
    </row>
    <row r="356" spans="1:10" x14ac:dyDescent="0.25">
      <c r="A356" s="229" t="s">
        <v>467</v>
      </c>
      <c r="B356" s="233" t="s">
        <v>327</v>
      </c>
      <c r="C356" s="229">
        <v>207</v>
      </c>
      <c r="D356" s="229">
        <v>132</v>
      </c>
      <c r="E356" s="230">
        <v>299</v>
      </c>
      <c r="F356" s="230">
        <v>307</v>
      </c>
      <c r="G356" s="229">
        <v>330</v>
      </c>
      <c r="H356" s="229">
        <v>331</v>
      </c>
      <c r="I356" s="229">
        <v>86</v>
      </c>
      <c r="J356" s="229"/>
    </row>
    <row r="357" spans="1:10" x14ac:dyDescent="0.25">
      <c r="A357" s="229" t="s">
        <v>467</v>
      </c>
      <c r="B357" s="233" t="s">
        <v>328</v>
      </c>
      <c r="C357" s="229">
        <v>124</v>
      </c>
      <c r="D357" s="229">
        <v>156</v>
      </c>
      <c r="E357" s="230">
        <v>186</v>
      </c>
      <c r="F357" s="230">
        <v>351</v>
      </c>
      <c r="G357" s="229">
        <v>363</v>
      </c>
      <c r="H357" s="229">
        <v>202</v>
      </c>
      <c r="I357" s="229">
        <v>94</v>
      </c>
      <c r="J357" s="229"/>
    </row>
    <row r="358" spans="1:10" x14ac:dyDescent="0.25">
      <c r="A358" s="229" t="s">
        <v>467</v>
      </c>
      <c r="B358" s="233" t="s">
        <v>329</v>
      </c>
      <c r="C358" s="229">
        <v>103</v>
      </c>
      <c r="D358" s="229">
        <v>173</v>
      </c>
      <c r="E358" s="230">
        <v>234</v>
      </c>
      <c r="F358" s="230">
        <v>364</v>
      </c>
      <c r="G358" s="229">
        <v>238</v>
      </c>
      <c r="H358" s="229">
        <v>212</v>
      </c>
      <c r="I358" s="229">
        <v>97</v>
      </c>
      <c r="J358" s="229"/>
    </row>
    <row r="359" spans="1:10" x14ac:dyDescent="0.25">
      <c r="A359" s="229" t="s">
        <v>467</v>
      </c>
      <c r="B359" s="233" t="s">
        <v>330</v>
      </c>
      <c r="C359" s="229">
        <v>87</v>
      </c>
      <c r="D359" s="229">
        <v>207</v>
      </c>
      <c r="E359" s="230">
        <v>302</v>
      </c>
      <c r="F359" s="230">
        <v>267</v>
      </c>
      <c r="G359" s="229">
        <v>203</v>
      </c>
      <c r="H359" s="229">
        <v>141</v>
      </c>
      <c r="I359" s="229">
        <v>101</v>
      </c>
      <c r="J359" s="229"/>
    </row>
    <row r="360" spans="1:10" x14ac:dyDescent="0.25">
      <c r="A360" s="229" t="s">
        <v>467</v>
      </c>
      <c r="B360" s="233" t="s">
        <v>331</v>
      </c>
      <c r="C360" s="229">
        <v>118</v>
      </c>
      <c r="D360" s="229">
        <v>281</v>
      </c>
      <c r="E360" s="230">
        <v>247</v>
      </c>
      <c r="F360" s="230">
        <v>263</v>
      </c>
      <c r="G360" s="229">
        <v>195</v>
      </c>
      <c r="H360" s="229">
        <v>154</v>
      </c>
      <c r="I360" s="229">
        <v>116</v>
      </c>
      <c r="J360" s="229"/>
    </row>
    <row r="361" spans="1:10" x14ac:dyDescent="0.25">
      <c r="A361" s="229" t="s">
        <v>467</v>
      </c>
      <c r="B361" s="233" t="s">
        <v>332</v>
      </c>
      <c r="C361" s="229">
        <v>157</v>
      </c>
      <c r="D361" s="229">
        <v>335</v>
      </c>
      <c r="E361" s="230">
        <v>239</v>
      </c>
      <c r="F361" s="230">
        <v>284</v>
      </c>
      <c r="G361" s="229">
        <v>206</v>
      </c>
      <c r="H361" s="229">
        <v>239</v>
      </c>
      <c r="I361" s="229">
        <v>116</v>
      </c>
      <c r="J361" s="229"/>
    </row>
    <row r="362" spans="1:10" x14ac:dyDescent="0.25">
      <c r="A362" s="229" t="s">
        <v>467</v>
      </c>
      <c r="B362" s="233" t="s">
        <v>333</v>
      </c>
      <c r="C362" s="229">
        <v>172</v>
      </c>
      <c r="D362" s="229">
        <v>310</v>
      </c>
      <c r="E362" s="230">
        <v>257</v>
      </c>
      <c r="F362" s="230">
        <v>290</v>
      </c>
      <c r="G362" s="229">
        <v>251</v>
      </c>
      <c r="H362" s="229">
        <v>352</v>
      </c>
      <c r="I362" s="229">
        <v>104</v>
      </c>
      <c r="J362" s="229"/>
    </row>
    <row r="363" spans="1:10" x14ac:dyDescent="0.25">
      <c r="A363" s="229" t="s">
        <v>467</v>
      </c>
      <c r="B363" s="233" t="s">
        <v>334</v>
      </c>
      <c r="C363" s="229">
        <v>177</v>
      </c>
      <c r="D363" s="229">
        <v>263</v>
      </c>
      <c r="E363" s="230">
        <v>258</v>
      </c>
      <c r="F363" s="230">
        <v>324</v>
      </c>
      <c r="G363" s="229">
        <v>266</v>
      </c>
      <c r="H363" s="229">
        <v>370</v>
      </c>
      <c r="I363" s="229">
        <v>109</v>
      </c>
      <c r="J363" s="229"/>
    </row>
    <row r="364" spans="1:10" x14ac:dyDescent="0.25">
      <c r="A364" s="229" t="s">
        <v>467</v>
      </c>
      <c r="B364" s="233" t="s">
        <v>335</v>
      </c>
      <c r="C364" s="229">
        <v>177</v>
      </c>
      <c r="D364" s="229">
        <v>234</v>
      </c>
      <c r="E364" s="230">
        <v>216</v>
      </c>
      <c r="F364" s="230">
        <v>342</v>
      </c>
      <c r="G364" s="229">
        <v>279</v>
      </c>
      <c r="H364" s="229">
        <v>343</v>
      </c>
      <c r="I364" s="229">
        <v>114</v>
      </c>
      <c r="J364" s="229"/>
    </row>
    <row r="365" spans="1:10" x14ac:dyDescent="0.25">
      <c r="A365" s="229" t="s">
        <v>467</v>
      </c>
      <c r="B365" s="233" t="s">
        <v>336</v>
      </c>
      <c r="C365" s="229">
        <v>152</v>
      </c>
      <c r="D365" s="229">
        <v>216</v>
      </c>
      <c r="E365" s="230">
        <v>224</v>
      </c>
      <c r="F365" s="230">
        <v>334</v>
      </c>
      <c r="G365" s="229">
        <v>292</v>
      </c>
      <c r="H365" s="229">
        <v>309</v>
      </c>
      <c r="I365" s="229">
        <v>104</v>
      </c>
      <c r="J365" s="229"/>
    </row>
    <row r="366" spans="1:10" x14ac:dyDescent="0.25">
      <c r="A366" s="229" t="s">
        <v>467</v>
      </c>
      <c r="B366" s="233" t="s">
        <v>338</v>
      </c>
      <c r="C366" s="229">
        <v>146</v>
      </c>
      <c r="D366" s="229">
        <v>200</v>
      </c>
      <c r="E366" s="230">
        <v>226</v>
      </c>
      <c r="F366" s="230">
        <v>333</v>
      </c>
      <c r="G366" s="229">
        <v>291</v>
      </c>
      <c r="H366" s="229">
        <v>290</v>
      </c>
      <c r="I366" s="229">
        <v>117</v>
      </c>
      <c r="J366" s="229"/>
    </row>
    <row r="367" spans="1:10" x14ac:dyDescent="0.25">
      <c r="A367" s="229" t="s">
        <v>467</v>
      </c>
      <c r="B367" s="233" t="s">
        <v>340</v>
      </c>
      <c r="C367" s="229">
        <v>152</v>
      </c>
      <c r="D367" s="229">
        <v>207</v>
      </c>
      <c r="E367" s="230">
        <v>213</v>
      </c>
      <c r="F367" s="230">
        <v>335</v>
      </c>
      <c r="G367" s="229">
        <v>288</v>
      </c>
      <c r="H367" s="229">
        <v>294</v>
      </c>
      <c r="I367" s="229">
        <v>145</v>
      </c>
      <c r="J367" s="229"/>
    </row>
    <row r="368" spans="1:10" x14ac:dyDescent="0.25">
      <c r="A368" s="229" t="s">
        <v>467</v>
      </c>
      <c r="B368" s="233" t="s">
        <v>342</v>
      </c>
      <c r="C368" s="229">
        <v>183</v>
      </c>
      <c r="D368" s="229">
        <v>256</v>
      </c>
      <c r="E368" s="230">
        <v>247</v>
      </c>
      <c r="F368" s="230">
        <v>372</v>
      </c>
      <c r="G368" s="229">
        <v>390</v>
      </c>
      <c r="H368" s="229">
        <v>327</v>
      </c>
      <c r="I368" s="229">
        <v>187</v>
      </c>
      <c r="J368" s="229"/>
    </row>
    <row r="369" spans="1:10" x14ac:dyDescent="0.25">
      <c r="A369" s="229" t="s">
        <v>467</v>
      </c>
      <c r="B369" s="233" t="s">
        <v>344</v>
      </c>
      <c r="C369" s="229">
        <v>220</v>
      </c>
      <c r="D369" s="229">
        <v>308</v>
      </c>
      <c r="E369" s="230">
        <v>289</v>
      </c>
      <c r="F369" s="230">
        <v>415</v>
      </c>
      <c r="G369" s="229">
        <v>427</v>
      </c>
      <c r="H369" s="229">
        <v>394</v>
      </c>
      <c r="I369" s="229">
        <v>258</v>
      </c>
      <c r="J369" s="229"/>
    </row>
    <row r="370" spans="1:10" x14ac:dyDescent="0.25">
      <c r="A370" s="229" t="s">
        <v>467</v>
      </c>
      <c r="B370" s="233" t="s">
        <v>346</v>
      </c>
      <c r="C370" s="229">
        <v>257</v>
      </c>
      <c r="D370" s="229">
        <v>353</v>
      </c>
      <c r="E370" s="230">
        <v>360</v>
      </c>
      <c r="F370" s="230">
        <v>430</v>
      </c>
      <c r="G370" s="229">
        <v>430</v>
      </c>
      <c r="H370" s="229">
        <v>412</v>
      </c>
      <c r="I370" s="229">
        <v>267</v>
      </c>
      <c r="J370" s="229"/>
    </row>
    <row r="371" spans="1:10" x14ac:dyDescent="0.25">
      <c r="A371" s="229" t="s">
        <v>467</v>
      </c>
      <c r="B371" s="233" t="s">
        <v>347</v>
      </c>
      <c r="C371" s="229">
        <v>284</v>
      </c>
      <c r="D371" s="229">
        <v>365</v>
      </c>
      <c r="E371" s="230">
        <v>413</v>
      </c>
      <c r="F371" s="230">
        <v>439</v>
      </c>
      <c r="G371" s="229">
        <v>442</v>
      </c>
      <c r="H371" s="229">
        <v>397</v>
      </c>
      <c r="I371" s="229">
        <v>275</v>
      </c>
      <c r="J371" s="229"/>
    </row>
    <row r="372" spans="1:10" x14ac:dyDescent="0.25">
      <c r="A372" s="229" t="s">
        <v>467</v>
      </c>
      <c r="B372" s="233" t="s">
        <v>349</v>
      </c>
      <c r="C372" s="229">
        <v>286</v>
      </c>
      <c r="D372" s="229">
        <v>386</v>
      </c>
      <c r="E372" s="230">
        <v>394</v>
      </c>
      <c r="F372" s="230">
        <v>440</v>
      </c>
      <c r="G372" s="229">
        <v>433</v>
      </c>
      <c r="H372" s="229">
        <v>378</v>
      </c>
      <c r="I372" s="229">
        <v>274</v>
      </c>
      <c r="J372" s="229"/>
    </row>
    <row r="373" spans="1:10" x14ac:dyDescent="0.25">
      <c r="A373" s="229" t="s">
        <v>467</v>
      </c>
      <c r="B373" s="233" t="s">
        <v>350</v>
      </c>
      <c r="C373" s="229">
        <v>271</v>
      </c>
      <c r="D373" s="229">
        <v>414</v>
      </c>
      <c r="E373" s="230">
        <v>398</v>
      </c>
      <c r="F373" s="230">
        <v>441</v>
      </c>
      <c r="G373" s="229">
        <v>441</v>
      </c>
      <c r="H373" s="229">
        <v>402</v>
      </c>
      <c r="I373" s="229">
        <v>289</v>
      </c>
      <c r="J373" s="229"/>
    </row>
    <row r="374" spans="1:10" x14ac:dyDescent="0.25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</row>
    <row r="375" spans="1:10" x14ac:dyDescent="0.2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</row>
    <row r="376" spans="1:10" x14ac:dyDescent="0.25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</row>
    <row r="377" spans="1:10" x14ac:dyDescent="0.25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</row>
    <row r="378" spans="1:10" x14ac:dyDescent="0.25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</row>
    <row r="379" spans="1:10" x14ac:dyDescent="0.25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</row>
    <row r="380" spans="1:10" x14ac:dyDescent="0.25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</row>
    <row r="381" spans="1:10" x14ac:dyDescent="0.25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</row>
    <row r="382" spans="1:10" x14ac:dyDescent="0.25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</row>
    <row r="383" spans="1:10" x14ac:dyDescent="0.25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</row>
    <row r="384" spans="1:10" x14ac:dyDescent="0.25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</row>
    <row r="385" spans="1:10" x14ac:dyDescent="0.2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</row>
    <row r="386" spans="1:10" x14ac:dyDescent="0.25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</row>
    <row r="387" spans="1:10" x14ac:dyDescent="0.25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</row>
    <row r="388" spans="1:10" x14ac:dyDescent="0.25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</row>
    <row r="389" spans="1:10" x14ac:dyDescent="0.25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</row>
    <row r="390" spans="1:10" x14ac:dyDescent="0.25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</row>
    <row r="391" spans="1:10" x14ac:dyDescent="0.25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</row>
    <row r="392" spans="1:10" x14ac:dyDescent="0.25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</row>
    <row r="393" spans="1:10" x14ac:dyDescent="0.25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</row>
    <row r="394" spans="1:10" x14ac:dyDescent="0.25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</row>
    <row r="395" spans="1:10" x14ac:dyDescent="0.2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</row>
    <row r="396" spans="1:10" x14ac:dyDescent="0.25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</row>
    <row r="397" spans="1:10" x14ac:dyDescent="0.25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</row>
    <row r="398" spans="1:10" x14ac:dyDescent="0.25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</row>
    <row r="399" spans="1:10" x14ac:dyDescent="0.25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</row>
    <row r="400" spans="1:10" x14ac:dyDescent="0.25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</row>
    <row r="401" spans="1:10" x14ac:dyDescent="0.25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</row>
    <row r="402" spans="1:10" x14ac:dyDescent="0.25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</row>
    <row r="403" spans="1:10" x14ac:dyDescent="0.25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</row>
    <row r="404" spans="1:10" x14ac:dyDescent="0.25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</row>
    <row r="405" spans="1:10" x14ac:dyDescent="0.2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</row>
    <row r="406" spans="1:10" x14ac:dyDescent="0.25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</row>
    <row r="407" spans="1:10" x14ac:dyDescent="0.25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</row>
    <row r="408" spans="1:10" x14ac:dyDescent="0.25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</row>
    <row r="409" spans="1:10" x14ac:dyDescent="0.25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</row>
    <row r="410" spans="1:10" x14ac:dyDescent="0.25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</row>
    <row r="411" spans="1:10" x14ac:dyDescent="0.25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</row>
    <row r="412" spans="1:10" x14ac:dyDescent="0.25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</row>
    <row r="413" spans="1:10" x14ac:dyDescent="0.25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</row>
    <row r="414" spans="1:10" x14ac:dyDescent="0.25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</row>
    <row r="415" spans="1:10" x14ac:dyDescent="0.2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</row>
    <row r="416" spans="1:10" x14ac:dyDescent="0.25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</row>
    <row r="417" spans="1:10" x14ac:dyDescent="0.25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</row>
    <row r="418" spans="1:10" x14ac:dyDescent="0.25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</row>
    <row r="419" spans="1:10" x14ac:dyDescent="0.25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</row>
    <row r="420" spans="1:10" x14ac:dyDescent="0.25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</row>
    <row r="421" spans="1:10" x14ac:dyDescent="0.25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</row>
    <row r="422" spans="1:10" x14ac:dyDescent="0.25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</row>
    <row r="423" spans="1:10" x14ac:dyDescent="0.25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</row>
    <row r="424" spans="1:10" x14ac:dyDescent="0.25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</row>
    <row r="425" spans="1:10" x14ac:dyDescent="0.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</row>
    <row r="426" spans="1:10" x14ac:dyDescent="0.25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</row>
    <row r="427" spans="1:10" x14ac:dyDescent="0.25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</row>
    <row r="428" spans="1:10" x14ac:dyDescent="0.25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</row>
    <row r="429" spans="1:10" x14ac:dyDescent="0.25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</row>
    <row r="430" spans="1:10" x14ac:dyDescent="0.25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</row>
    <row r="431" spans="1:10" x14ac:dyDescent="0.25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</row>
    <row r="432" spans="1:10" x14ac:dyDescent="0.25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</row>
    <row r="433" spans="1:10" x14ac:dyDescent="0.25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</row>
    <row r="434" spans="1:10" x14ac:dyDescent="0.25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</row>
    <row r="435" spans="1:10" x14ac:dyDescent="0.2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</row>
    <row r="436" spans="1:10" x14ac:dyDescent="0.25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</row>
    <row r="437" spans="1:10" x14ac:dyDescent="0.25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</row>
    <row r="438" spans="1:10" x14ac:dyDescent="0.25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</row>
    <row r="439" spans="1:10" x14ac:dyDescent="0.25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</row>
  </sheetData>
  <dataValidations count="1">
    <dataValidation type="list" allowBlank="1" showInputMessage="1" sqref="C1:G1 C2:J4" xr:uid="{00000000-0002-0000-0A00-000000000000}">
      <formula1>"..."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4"/>
  <sheetViews>
    <sheetView topLeftCell="A34" workbookViewId="0">
      <selection sqref="A1:J1048576"/>
    </sheetView>
  </sheetViews>
  <sheetFormatPr defaultRowHeight="15" x14ac:dyDescent="0.25"/>
  <cols>
    <col min="1" max="1" width="1.7109375" style="166" customWidth="1"/>
    <col min="2" max="2" width="12.85546875" style="166" customWidth="1"/>
    <col min="3" max="5" width="9.140625" style="166"/>
    <col min="6" max="6" width="2.7109375" style="166" customWidth="1"/>
    <col min="7" max="7" width="15.28515625" style="177" customWidth="1"/>
    <col min="8" max="10" width="11.7109375" style="177" customWidth="1"/>
  </cols>
  <sheetData>
    <row r="1" spans="1:10" ht="21" x14ac:dyDescent="0.35">
      <c r="A1" s="60"/>
      <c r="B1" s="87">
        <v>2020</v>
      </c>
      <c r="C1" s="311">
        <v>2130521</v>
      </c>
      <c r="D1" s="312"/>
      <c r="E1" s="313"/>
      <c r="F1" s="16"/>
      <c r="G1" s="309">
        <v>79177804</v>
      </c>
      <c r="H1" s="310"/>
      <c r="I1" s="309">
        <v>79305675</v>
      </c>
      <c r="J1" s="310"/>
    </row>
    <row r="2" spans="1:10" x14ac:dyDescent="0.25">
      <c r="B2" s="27" t="s">
        <v>380</v>
      </c>
      <c r="C2" s="288" t="s">
        <v>139</v>
      </c>
      <c r="D2" s="289"/>
      <c r="E2" s="27" t="s">
        <v>385</v>
      </c>
      <c r="F2" s="16"/>
      <c r="G2" s="279" t="s">
        <v>425</v>
      </c>
      <c r="H2" s="280"/>
      <c r="I2" s="279" t="s">
        <v>426</v>
      </c>
      <c r="J2" s="280"/>
    </row>
    <row r="3" spans="1:10" x14ac:dyDescent="0.25">
      <c r="B3" s="53"/>
      <c r="C3" s="279" t="s">
        <v>188</v>
      </c>
      <c r="D3" s="280"/>
      <c r="E3" s="18" t="s">
        <v>445</v>
      </c>
      <c r="F3" s="30"/>
      <c r="G3" s="241" t="s">
        <v>288</v>
      </c>
      <c r="H3" s="241" t="s">
        <v>448</v>
      </c>
      <c r="I3" s="241" t="s">
        <v>288</v>
      </c>
      <c r="J3" s="241" t="s">
        <v>448</v>
      </c>
    </row>
    <row r="4" spans="1:10" x14ac:dyDescent="0.25">
      <c r="A4" s="204"/>
      <c r="B4" s="197">
        <v>43831</v>
      </c>
      <c r="C4" s="307">
        <v>8303</v>
      </c>
      <c r="D4" s="307"/>
      <c r="E4" s="198">
        <v>0</v>
      </c>
      <c r="F4" s="199"/>
      <c r="G4" s="201">
        <v>4422</v>
      </c>
      <c r="H4" s="198">
        <v>0</v>
      </c>
      <c r="I4" s="201">
        <v>172374222</v>
      </c>
      <c r="J4" s="198">
        <v>0</v>
      </c>
    </row>
    <row r="5" spans="1:10" x14ac:dyDescent="0.25">
      <c r="A5" s="204"/>
      <c r="B5" s="197">
        <v>43835</v>
      </c>
      <c r="C5" s="307">
        <v>8434</v>
      </c>
      <c r="D5" s="307"/>
      <c r="E5" s="198">
        <f t="shared" ref="E5:E51" si="0">SUM(C5-C4)*100</f>
        <v>13100</v>
      </c>
      <c r="F5" s="199"/>
      <c r="G5" s="201">
        <v>4528</v>
      </c>
      <c r="H5" s="198">
        <f t="shared" ref="H5:H23" si="1">SUM(G5-G4)*10000</f>
        <v>1060000</v>
      </c>
      <c r="I5" s="201">
        <v>174621169</v>
      </c>
      <c r="J5" s="198">
        <f t="shared" ref="J5:J23" si="2">SUM(I5-I4)*0.1</f>
        <v>224694.7</v>
      </c>
    </row>
    <row r="6" spans="1:10" x14ac:dyDescent="0.25">
      <c r="A6" s="204"/>
      <c r="B6" s="197">
        <v>43842</v>
      </c>
      <c r="C6" s="307">
        <v>8471</v>
      </c>
      <c r="D6" s="307"/>
      <c r="E6" s="198">
        <f t="shared" si="0"/>
        <v>3700</v>
      </c>
      <c r="F6" s="199"/>
      <c r="G6" s="201">
        <v>4667</v>
      </c>
      <c r="H6" s="198">
        <f t="shared" si="1"/>
        <v>1390000</v>
      </c>
      <c r="I6" s="201">
        <v>177311807</v>
      </c>
      <c r="J6" s="198">
        <f t="shared" si="2"/>
        <v>269063.8</v>
      </c>
    </row>
    <row r="7" spans="1:10" x14ac:dyDescent="0.25">
      <c r="A7" s="204"/>
      <c r="B7" s="197">
        <v>43849</v>
      </c>
      <c r="C7" s="307">
        <v>8471</v>
      </c>
      <c r="D7" s="307"/>
      <c r="E7" s="198">
        <f t="shared" si="0"/>
        <v>0</v>
      </c>
      <c r="F7" s="199"/>
      <c r="G7" s="201">
        <v>4857</v>
      </c>
      <c r="H7" s="198">
        <f t="shared" si="1"/>
        <v>1900000</v>
      </c>
      <c r="I7" s="201">
        <v>181662374</v>
      </c>
      <c r="J7" s="198">
        <f t="shared" si="2"/>
        <v>435056.7</v>
      </c>
    </row>
    <row r="8" spans="1:10" x14ac:dyDescent="0.25">
      <c r="A8" s="204"/>
      <c r="B8" s="197">
        <v>43856</v>
      </c>
      <c r="C8" s="307">
        <v>8471</v>
      </c>
      <c r="D8" s="307"/>
      <c r="E8" s="198">
        <f t="shared" si="0"/>
        <v>0</v>
      </c>
      <c r="F8" s="199"/>
      <c r="G8" s="201">
        <v>4934</v>
      </c>
      <c r="H8" s="198">
        <f t="shared" si="1"/>
        <v>770000</v>
      </c>
      <c r="I8" s="201">
        <v>183453844</v>
      </c>
      <c r="J8" s="198">
        <f t="shared" si="2"/>
        <v>179147</v>
      </c>
    </row>
    <row r="9" spans="1:10" x14ac:dyDescent="0.25">
      <c r="A9" s="204"/>
      <c r="B9" s="197">
        <v>43862</v>
      </c>
      <c r="C9" s="307">
        <v>8471</v>
      </c>
      <c r="D9" s="307"/>
      <c r="E9" s="198">
        <f t="shared" si="0"/>
        <v>0</v>
      </c>
      <c r="F9" s="199"/>
      <c r="G9" s="201">
        <v>5022</v>
      </c>
      <c r="H9" s="198">
        <f t="shared" si="1"/>
        <v>880000</v>
      </c>
      <c r="I9" s="201">
        <v>185487750</v>
      </c>
      <c r="J9" s="198">
        <f t="shared" si="2"/>
        <v>203390.6</v>
      </c>
    </row>
    <row r="10" spans="1:10" x14ac:dyDescent="0.25">
      <c r="A10" s="204"/>
      <c r="B10" s="197">
        <v>43870</v>
      </c>
      <c r="C10" s="307">
        <v>8471</v>
      </c>
      <c r="D10" s="307"/>
      <c r="E10" s="198">
        <f t="shared" si="0"/>
        <v>0</v>
      </c>
      <c r="F10" s="199"/>
      <c r="G10" s="201">
        <v>5151</v>
      </c>
      <c r="H10" s="198">
        <f t="shared" si="1"/>
        <v>1290000</v>
      </c>
      <c r="I10" s="201">
        <v>188173534</v>
      </c>
      <c r="J10" s="198">
        <f t="shared" si="2"/>
        <v>268578.40000000002</v>
      </c>
    </row>
    <row r="11" spans="1:10" x14ac:dyDescent="0.25">
      <c r="A11" s="204"/>
      <c r="B11" s="197">
        <v>43877</v>
      </c>
      <c r="C11" s="307">
        <v>8471</v>
      </c>
      <c r="D11" s="307"/>
      <c r="E11" s="198">
        <f t="shared" si="0"/>
        <v>0</v>
      </c>
      <c r="F11" s="199"/>
      <c r="G11" s="201">
        <v>5366</v>
      </c>
      <c r="H11" s="198">
        <f t="shared" si="1"/>
        <v>2150000</v>
      </c>
      <c r="I11" s="201">
        <v>193537221</v>
      </c>
      <c r="J11" s="198">
        <f t="shared" si="2"/>
        <v>536368.70000000007</v>
      </c>
    </row>
    <row r="12" spans="1:10" x14ac:dyDescent="0.25">
      <c r="A12" s="204"/>
      <c r="B12" s="197">
        <v>43885</v>
      </c>
      <c r="C12" s="307">
        <v>8471</v>
      </c>
      <c r="D12" s="307"/>
      <c r="E12" s="198">
        <f t="shared" si="0"/>
        <v>0</v>
      </c>
      <c r="F12" s="199"/>
      <c r="G12" s="201">
        <v>5537</v>
      </c>
      <c r="H12" s="198">
        <f t="shared" si="1"/>
        <v>1710000</v>
      </c>
      <c r="I12" s="201">
        <v>197365002</v>
      </c>
      <c r="J12" s="198">
        <f t="shared" si="2"/>
        <v>382778.10000000003</v>
      </c>
    </row>
    <row r="13" spans="1:10" x14ac:dyDescent="0.25">
      <c r="A13" s="204"/>
      <c r="B13" s="197">
        <v>43891</v>
      </c>
      <c r="C13" s="307">
        <v>8471</v>
      </c>
      <c r="D13" s="307"/>
      <c r="E13" s="198">
        <f t="shared" si="0"/>
        <v>0</v>
      </c>
      <c r="F13" s="199"/>
      <c r="G13" s="201">
        <v>5640</v>
      </c>
      <c r="H13" s="198">
        <f t="shared" si="1"/>
        <v>1030000</v>
      </c>
      <c r="I13" s="201">
        <v>199831621</v>
      </c>
      <c r="J13" s="198">
        <f t="shared" si="2"/>
        <v>246661.90000000002</v>
      </c>
    </row>
    <row r="14" spans="1:10" x14ac:dyDescent="0.25">
      <c r="A14" s="204"/>
      <c r="B14" s="197">
        <v>43898</v>
      </c>
      <c r="C14" s="307">
        <v>8471</v>
      </c>
      <c r="D14" s="307"/>
      <c r="E14" s="198">
        <f t="shared" si="0"/>
        <v>0</v>
      </c>
      <c r="F14" s="199"/>
      <c r="G14" s="201">
        <v>5809</v>
      </c>
      <c r="H14" s="198">
        <f t="shared" si="1"/>
        <v>1690000</v>
      </c>
      <c r="I14" s="201">
        <v>203143220</v>
      </c>
      <c r="J14" s="198">
        <f t="shared" si="2"/>
        <v>331159.90000000002</v>
      </c>
    </row>
    <row r="15" spans="1:10" x14ac:dyDescent="0.25">
      <c r="A15" s="204"/>
      <c r="B15" s="197">
        <v>43905</v>
      </c>
      <c r="C15" s="307">
        <v>8471</v>
      </c>
      <c r="D15" s="307"/>
      <c r="E15" s="198">
        <f t="shared" si="0"/>
        <v>0</v>
      </c>
      <c r="F15" s="199"/>
      <c r="G15" s="201">
        <v>5998</v>
      </c>
      <c r="H15" s="198">
        <f t="shared" si="1"/>
        <v>1890000</v>
      </c>
      <c r="I15" s="201">
        <v>207166656</v>
      </c>
      <c r="J15" s="198">
        <f t="shared" si="2"/>
        <v>402343.60000000003</v>
      </c>
    </row>
    <row r="16" spans="1:10" x14ac:dyDescent="0.25">
      <c r="A16" s="204"/>
      <c r="B16" s="197">
        <v>43912</v>
      </c>
      <c r="C16" s="307">
        <v>8471</v>
      </c>
      <c r="D16" s="307"/>
      <c r="E16" s="198">
        <f t="shared" si="0"/>
        <v>0</v>
      </c>
      <c r="F16" s="199"/>
      <c r="G16" s="201">
        <v>6199</v>
      </c>
      <c r="H16" s="198">
        <f t="shared" si="1"/>
        <v>2010000</v>
      </c>
      <c r="I16" s="201">
        <v>211590060</v>
      </c>
      <c r="J16" s="198">
        <f t="shared" si="2"/>
        <v>442340.4</v>
      </c>
    </row>
    <row r="17" spans="1:10" x14ac:dyDescent="0.25">
      <c r="A17" s="204"/>
      <c r="B17" s="197">
        <v>43919</v>
      </c>
      <c r="C17" s="307">
        <v>8471</v>
      </c>
      <c r="D17" s="307"/>
      <c r="E17" s="198">
        <f t="shared" si="0"/>
        <v>0</v>
      </c>
      <c r="F17" s="199"/>
      <c r="G17" s="201">
        <v>6349</v>
      </c>
      <c r="H17" s="198">
        <f t="shared" si="1"/>
        <v>1500000</v>
      </c>
      <c r="I17" s="201">
        <v>214984470</v>
      </c>
      <c r="J17" s="198">
        <f t="shared" si="2"/>
        <v>339441</v>
      </c>
    </row>
    <row r="18" spans="1:10" x14ac:dyDescent="0.25">
      <c r="A18" s="204"/>
      <c r="B18" s="197">
        <v>43922</v>
      </c>
      <c r="C18" s="307">
        <v>8471</v>
      </c>
      <c r="D18" s="307"/>
      <c r="E18" s="198">
        <f t="shared" si="0"/>
        <v>0</v>
      </c>
      <c r="F18" s="199"/>
      <c r="G18" s="201">
        <v>6416</v>
      </c>
      <c r="H18" s="198">
        <f t="shared" si="1"/>
        <v>670000</v>
      </c>
      <c r="I18" s="201">
        <v>215542905</v>
      </c>
      <c r="J18" s="198">
        <f t="shared" si="2"/>
        <v>55843.5</v>
      </c>
    </row>
    <row r="19" spans="1:10" x14ac:dyDescent="0.25">
      <c r="A19" s="204"/>
      <c r="B19" s="197">
        <v>43926</v>
      </c>
      <c r="C19" s="307">
        <v>8471</v>
      </c>
      <c r="D19" s="307"/>
      <c r="E19" s="198">
        <f t="shared" si="0"/>
        <v>0</v>
      </c>
      <c r="F19" s="199"/>
      <c r="G19" s="201">
        <v>6482</v>
      </c>
      <c r="H19" s="198">
        <f t="shared" si="1"/>
        <v>660000</v>
      </c>
      <c r="I19" s="201">
        <v>216906355</v>
      </c>
      <c r="J19" s="198">
        <f t="shared" si="2"/>
        <v>136345</v>
      </c>
    </row>
    <row r="20" spans="1:10" x14ac:dyDescent="0.25">
      <c r="A20" s="204"/>
      <c r="B20" s="197">
        <v>43933</v>
      </c>
      <c r="C20" s="307">
        <v>8471</v>
      </c>
      <c r="D20" s="307"/>
      <c r="E20" s="198">
        <f t="shared" si="0"/>
        <v>0</v>
      </c>
      <c r="F20" s="199"/>
      <c r="G20" s="201">
        <v>6613</v>
      </c>
      <c r="H20" s="198">
        <f t="shared" si="1"/>
        <v>1310000</v>
      </c>
      <c r="I20" s="201">
        <v>219571355</v>
      </c>
      <c r="J20" s="198">
        <f t="shared" si="2"/>
        <v>266500</v>
      </c>
    </row>
    <row r="21" spans="1:10" x14ac:dyDescent="0.25">
      <c r="A21" s="204"/>
      <c r="B21" s="197">
        <v>43940</v>
      </c>
      <c r="C21" s="307">
        <v>8471</v>
      </c>
      <c r="D21" s="307"/>
      <c r="E21" s="198">
        <f t="shared" si="0"/>
        <v>0</v>
      </c>
      <c r="F21" s="199"/>
      <c r="G21" s="201">
        <v>6756</v>
      </c>
      <c r="H21" s="198">
        <f t="shared" si="1"/>
        <v>1430000</v>
      </c>
      <c r="I21" s="201">
        <v>222710659</v>
      </c>
      <c r="J21" s="198">
        <f t="shared" si="2"/>
        <v>313930.40000000002</v>
      </c>
    </row>
    <row r="22" spans="1:10" x14ac:dyDescent="0.25">
      <c r="A22" s="204"/>
      <c r="B22" s="197">
        <v>43947</v>
      </c>
      <c r="C22" s="307">
        <v>8471</v>
      </c>
      <c r="D22" s="307"/>
      <c r="E22" s="198">
        <f t="shared" si="0"/>
        <v>0</v>
      </c>
      <c r="F22" s="199"/>
      <c r="G22" s="201">
        <v>6904</v>
      </c>
      <c r="H22" s="198">
        <f t="shared" si="1"/>
        <v>1480000</v>
      </c>
      <c r="I22" s="201">
        <v>225965845</v>
      </c>
      <c r="J22" s="198">
        <f t="shared" si="2"/>
        <v>325518.60000000003</v>
      </c>
    </row>
    <row r="23" spans="1:10" x14ac:dyDescent="0.25">
      <c r="A23" s="204"/>
      <c r="B23" s="197">
        <v>43952</v>
      </c>
      <c r="C23" s="307">
        <v>8471</v>
      </c>
      <c r="D23" s="307"/>
      <c r="E23" s="198">
        <f t="shared" si="0"/>
        <v>0</v>
      </c>
      <c r="F23" s="199"/>
      <c r="G23" s="201">
        <v>6971</v>
      </c>
      <c r="H23" s="198">
        <f t="shared" si="1"/>
        <v>670000</v>
      </c>
      <c r="I23" s="201">
        <v>227674732</v>
      </c>
      <c r="J23" s="198">
        <f t="shared" si="2"/>
        <v>170888.7</v>
      </c>
    </row>
    <row r="24" spans="1:10" x14ac:dyDescent="0.25">
      <c r="A24" s="204"/>
      <c r="B24" s="197">
        <v>43955</v>
      </c>
      <c r="C24" s="307">
        <v>8471</v>
      </c>
      <c r="D24" s="307"/>
      <c r="E24" s="198">
        <f t="shared" si="0"/>
        <v>0</v>
      </c>
      <c r="F24" s="199"/>
      <c r="G24" s="201">
        <v>7012</v>
      </c>
      <c r="H24" s="198">
        <f t="shared" ref="H24" si="3">SUM(G24-G23)*10000</f>
        <v>410000</v>
      </c>
      <c r="I24" s="201">
        <v>228839165</v>
      </c>
      <c r="J24" s="198">
        <f t="shared" ref="J24" si="4">SUM(I24-I23)*0.1</f>
        <v>116443.3</v>
      </c>
    </row>
    <row r="25" spans="1:10" x14ac:dyDescent="0.25">
      <c r="A25" s="204"/>
      <c r="B25" s="197">
        <v>43961</v>
      </c>
      <c r="C25" s="307">
        <v>8471</v>
      </c>
      <c r="D25" s="307"/>
      <c r="E25" s="198">
        <f t="shared" si="0"/>
        <v>0</v>
      </c>
      <c r="F25" s="199"/>
      <c r="G25" s="201">
        <v>7139</v>
      </c>
      <c r="H25" s="198">
        <f t="shared" ref="H25:H51" si="5">SUM(G25-G24)*10000</f>
        <v>1270000</v>
      </c>
      <c r="I25" s="201">
        <v>231511872</v>
      </c>
      <c r="J25" s="198">
        <f t="shared" ref="J25:J51" si="6">SUM(I25-I24)*0.1</f>
        <v>267270.7</v>
      </c>
    </row>
    <row r="26" spans="1:10" x14ac:dyDescent="0.25">
      <c r="A26" s="204"/>
      <c r="B26" s="197">
        <v>43968</v>
      </c>
      <c r="C26" s="307">
        <v>8471</v>
      </c>
      <c r="D26" s="307"/>
      <c r="E26" s="198">
        <f t="shared" si="0"/>
        <v>0</v>
      </c>
      <c r="F26" s="199"/>
      <c r="G26" s="201">
        <v>7282</v>
      </c>
      <c r="H26" s="198">
        <f t="shared" si="5"/>
        <v>1430000</v>
      </c>
      <c r="I26" s="201">
        <v>234710843</v>
      </c>
      <c r="J26" s="198">
        <f t="shared" si="6"/>
        <v>319897.10000000003</v>
      </c>
    </row>
    <row r="27" spans="1:10" x14ac:dyDescent="0.25">
      <c r="A27" s="204"/>
      <c r="B27" s="197">
        <v>43975</v>
      </c>
      <c r="C27" s="307">
        <v>8471</v>
      </c>
      <c r="D27" s="307"/>
      <c r="E27" s="198">
        <f t="shared" si="0"/>
        <v>0</v>
      </c>
      <c r="F27" s="199"/>
      <c r="G27" s="201">
        <v>7443</v>
      </c>
      <c r="H27" s="198">
        <f t="shared" si="5"/>
        <v>1610000</v>
      </c>
      <c r="I27" s="201">
        <v>237991825</v>
      </c>
      <c r="J27" s="198">
        <f t="shared" si="6"/>
        <v>328098.2</v>
      </c>
    </row>
    <row r="28" spans="1:10" x14ac:dyDescent="0.25">
      <c r="A28" s="204"/>
      <c r="B28" s="197">
        <v>43983</v>
      </c>
      <c r="C28" s="307">
        <v>8471</v>
      </c>
      <c r="D28" s="307"/>
      <c r="E28" s="198">
        <f t="shared" si="0"/>
        <v>0</v>
      </c>
      <c r="F28" s="199"/>
      <c r="G28" s="201">
        <v>7603</v>
      </c>
      <c r="H28" s="198">
        <f t="shared" si="5"/>
        <v>1600000</v>
      </c>
      <c r="I28" s="201">
        <v>241502092</v>
      </c>
      <c r="J28" s="198">
        <f t="shared" si="6"/>
        <v>351026.7</v>
      </c>
    </row>
    <row r="29" spans="1:10" x14ac:dyDescent="0.25">
      <c r="A29" s="204"/>
      <c r="B29" s="197">
        <v>43990</v>
      </c>
      <c r="C29" s="307">
        <v>8471</v>
      </c>
      <c r="D29" s="307"/>
      <c r="E29" s="198">
        <f t="shared" si="0"/>
        <v>0</v>
      </c>
      <c r="F29" s="199"/>
      <c r="G29" s="201">
        <v>7757</v>
      </c>
      <c r="H29" s="198">
        <f t="shared" si="5"/>
        <v>1540000</v>
      </c>
      <c r="I29" s="201">
        <v>244567390</v>
      </c>
      <c r="J29" s="198">
        <f t="shared" si="6"/>
        <v>306529.8</v>
      </c>
    </row>
    <row r="30" spans="1:10" x14ac:dyDescent="0.25">
      <c r="A30" s="204"/>
      <c r="B30" s="197">
        <v>43997</v>
      </c>
      <c r="C30" s="307">
        <v>8471</v>
      </c>
      <c r="D30" s="307"/>
      <c r="E30" s="198">
        <f t="shared" si="0"/>
        <v>0</v>
      </c>
      <c r="F30" s="199"/>
      <c r="G30" s="201">
        <v>7942</v>
      </c>
      <c r="H30" s="198">
        <f t="shared" si="5"/>
        <v>1850000</v>
      </c>
      <c r="I30" s="201">
        <v>248467702</v>
      </c>
      <c r="J30" s="198">
        <f t="shared" si="6"/>
        <v>390031.2</v>
      </c>
    </row>
    <row r="31" spans="1:10" x14ac:dyDescent="0.25">
      <c r="A31" s="204"/>
      <c r="B31" s="197">
        <v>44004</v>
      </c>
      <c r="C31" s="307">
        <v>8471</v>
      </c>
      <c r="D31" s="307"/>
      <c r="E31" s="198">
        <f t="shared" si="0"/>
        <v>0</v>
      </c>
      <c r="F31" s="199"/>
      <c r="G31" s="201">
        <v>8182</v>
      </c>
      <c r="H31" s="198">
        <f t="shared" si="5"/>
        <v>2400000</v>
      </c>
      <c r="I31" s="201">
        <v>253362800</v>
      </c>
      <c r="J31" s="198">
        <f t="shared" si="6"/>
        <v>489509.80000000005</v>
      </c>
    </row>
    <row r="32" spans="1:10" x14ac:dyDescent="0.25">
      <c r="A32" s="204"/>
      <c r="B32" s="197">
        <v>44011</v>
      </c>
      <c r="C32" s="307">
        <v>129</v>
      </c>
      <c r="D32" s="307"/>
      <c r="E32" s="198">
        <v>129</v>
      </c>
      <c r="F32" s="199"/>
      <c r="G32" s="201">
        <v>8416</v>
      </c>
      <c r="H32" s="198">
        <f t="shared" si="5"/>
        <v>2340000</v>
      </c>
      <c r="I32" s="201">
        <v>258469200</v>
      </c>
      <c r="J32" s="198">
        <f t="shared" si="6"/>
        <v>510640</v>
      </c>
    </row>
    <row r="33" spans="1:10" x14ac:dyDescent="0.25">
      <c r="A33" s="204"/>
      <c r="B33" s="197">
        <v>44013</v>
      </c>
      <c r="C33" s="307">
        <v>170</v>
      </c>
      <c r="D33" s="307"/>
      <c r="E33" s="198">
        <f t="shared" si="0"/>
        <v>4100</v>
      </c>
      <c r="F33" s="199"/>
      <c r="G33" s="201">
        <v>8485</v>
      </c>
      <c r="H33" s="198">
        <f t="shared" si="5"/>
        <v>690000</v>
      </c>
      <c r="I33" s="201">
        <v>259824900</v>
      </c>
      <c r="J33" s="198">
        <f t="shared" si="6"/>
        <v>135570</v>
      </c>
    </row>
    <row r="34" spans="1:10" x14ac:dyDescent="0.25">
      <c r="A34" s="204"/>
      <c r="B34" s="197">
        <v>44018</v>
      </c>
      <c r="C34" s="307">
        <v>238</v>
      </c>
      <c r="D34" s="307"/>
      <c r="E34" s="198">
        <f t="shared" si="0"/>
        <v>6800</v>
      </c>
      <c r="F34" s="199"/>
      <c r="G34" s="201">
        <v>8668</v>
      </c>
      <c r="H34" s="198">
        <f t="shared" si="5"/>
        <v>1830000</v>
      </c>
      <c r="I34" s="201">
        <v>263618000</v>
      </c>
      <c r="J34" s="198">
        <f t="shared" si="6"/>
        <v>379310</v>
      </c>
    </row>
    <row r="35" spans="1:10" x14ac:dyDescent="0.25">
      <c r="A35" s="204"/>
      <c r="B35" s="197">
        <v>44025</v>
      </c>
      <c r="C35" s="307">
        <v>267</v>
      </c>
      <c r="D35" s="307"/>
      <c r="E35" s="198">
        <f t="shared" si="0"/>
        <v>2900</v>
      </c>
      <c r="F35" s="199"/>
      <c r="G35" s="201">
        <v>8909</v>
      </c>
      <c r="H35" s="198">
        <f t="shared" si="5"/>
        <v>2410000</v>
      </c>
      <c r="I35" s="201">
        <v>268907790</v>
      </c>
      <c r="J35" s="198">
        <f t="shared" si="6"/>
        <v>528979</v>
      </c>
    </row>
    <row r="36" spans="1:10" x14ac:dyDescent="0.25">
      <c r="A36" s="204"/>
      <c r="B36" s="197">
        <v>44032</v>
      </c>
      <c r="C36" s="307">
        <v>267</v>
      </c>
      <c r="D36" s="307"/>
      <c r="E36" s="198">
        <f t="shared" si="0"/>
        <v>0</v>
      </c>
      <c r="F36" s="199"/>
      <c r="G36" s="201">
        <v>9188</v>
      </c>
      <c r="H36" s="198">
        <f t="shared" si="5"/>
        <v>2790000</v>
      </c>
      <c r="I36" s="201">
        <v>274584800</v>
      </c>
      <c r="J36" s="198">
        <f t="shared" si="6"/>
        <v>567701</v>
      </c>
    </row>
    <row r="37" spans="1:10" x14ac:dyDescent="0.25">
      <c r="A37" s="204"/>
      <c r="B37" s="197">
        <v>44039</v>
      </c>
      <c r="C37" s="307">
        <v>267</v>
      </c>
      <c r="D37" s="307"/>
      <c r="E37" s="198">
        <f t="shared" si="0"/>
        <v>0</v>
      </c>
      <c r="F37" s="199"/>
      <c r="G37" s="201">
        <v>9468</v>
      </c>
      <c r="H37" s="198">
        <f t="shared" si="5"/>
        <v>2800000</v>
      </c>
      <c r="I37" s="201">
        <v>280718200</v>
      </c>
      <c r="J37" s="198">
        <f t="shared" si="6"/>
        <v>613340</v>
      </c>
    </row>
    <row r="38" spans="1:10" x14ac:dyDescent="0.25">
      <c r="A38" s="204"/>
      <c r="B38" s="197">
        <v>44044</v>
      </c>
      <c r="C38" s="307">
        <v>1306</v>
      </c>
      <c r="D38" s="307"/>
      <c r="E38" s="198">
        <f t="shared" si="0"/>
        <v>103900</v>
      </c>
      <c r="F38" s="199"/>
      <c r="G38" s="201">
        <v>9690</v>
      </c>
      <c r="H38" s="198">
        <f t="shared" si="5"/>
        <v>2220000</v>
      </c>
      <c r="I38" s="201">
        <v>284838691</v>
      </c>
      <c r="J38" s="198">
        <f t="shared" si="6"/>
        <v>412049.10000000003</v>
      </c>
    </row>
    <row r="39" spans="1:10" x14ac:dyDescent="0.25">
      <c r="A39" s="204"/>
      <c r="B39" s="197">
        <v>44046</v>
      </c>
      <c r="C39" s="307">
        <v>1373</v>
      </c>
      <c r="D39" s="307"/>
      <c r="E39" s="198">
        <f t="shared" si="0"/>
        <v>6700</v>
      </c>
      <c r="F39" s="199"/>
      <c r="G39" s="201">
        <v>9739</v>
      </c>
      <c r="H39" s="198">
        <f t="shared" si="5"/>
        <v>490000</v>
      </c>
      <c r="I39" s="201">
        <v>286300800</v>
      </c>
      <c r="J39" s="198">
        <f t="shared" si="6"/>
        <v>146210.9</v>
      </c>
    </row>
    <row r="40" spans="1:10" x14ac:dyDescent="0.25">
      <c r="A40" s="204"/>
      <c r="B40" s="197">
        <v>44053</v>
      </c>
      <c r="C40" s="307">
        <v>1590</v>
      </c>
      <c r="D40" s="307"/>
      <c r="E40" s="198">
        <f t="shared" si="0"/>
        <v>21700</v>
      </c>
      <c r="F40" s="199"/>
      <c r="G40" s="201">
        <v>10018</v>
      </c>
      <c r="H40" s="198">
        <f t="shared" si="5"/>
        <v>2790000</v>
      </c>
      <c r="I40" s="201">
        <v>292635100</v>
      </c>
      <c r="J40" s="198">
        <f t="shared" si="6"/>
        <v>633430</v>
      </c>
    </row>
    <row r="41" spans="1:10" x14ac:dyDescent="0.25">
      <c r="A41" s="204"/>
      <c r="B41" s="197">
        <v>44060</v>
      </c>
      <c r="C41" s="307">
        <v>1800</v>
      </c>
      <c r="D41" s="307"/>
      <c r="E41" s="198">
        <f t="shared" si="0"/>
        <v>21000</v>
      </c>
      <c r="F41" s="199"/>
      <c r="G41" s="201">
        <v>10317</v>
      </c>
      <c r="H41" s="198">
        <f t="shared" si="5"/>
        <v>2990000</v>
      </c>
      <c r="I41" s="201">
        <v>298983800</v>
      </c>
      <c r="J41" s="198">
        <f t="shared" si="6"/>
        <v>634870</v>
      </c>
    </row>
    <row r="42" spans="1:10" x14ac:dyDescent="0.25">
      <c r="A42" s="204"/>
      <c r="B42" s="197">
        <v>44067</v>
      </c>
      <c r="C42" s="307">
        <v>1992</v>
      </c>
      <c r="D42" s="307"/>
      <c r="E42" s="198">
        <f t="shared" si="0"/>
        <v>19200</v>
      </c>
      <c r="F42" s="199"/>
      <c r="G42" s="201">
        <v>10570</v>
      </c>
      <c r="H42" s="198">
        <f t="shared" si="5"/>
        <v>2530000</v>
      </c>
      <c r="I42" s="201">
        <v>304974000</v>
      </c>
      <c r="J42" s="198">
        <f t="shared" si="6"/>
        <v>599020</v>
      </c>
    </row>
    <row r="43" spans="1:10" x14ac:dyDescent="0.25">
      <c r="A43" s="204"/>
      <c r="B43" s="197">
        <v>44074</v>
      </c>
      <c r="C43" s="307">
        <v>2200</v>
      </c>
      <c r="D43" s="307"/>
      <c r="E43" s="198">
        <f t="shared" si="0"/>
        <v>20800</v>
      </c>
      <c r="F43" s="199"/>
      <c r="G43" s="201">
        <v>10859</v>
      </c>
      <c r="H43" s="198">
        <f t="shared" si="5"/>
        <v>2890000</v>
      </c>
      <c r="I43" s="201">
        <v>311224900</v>
      </c>
      <c r="J43" s="198">
        <f t="shared" si="6"/>
        <v>625090</v>
      </c>
    </row>
    <row r="44" spans="1:10" x14ac:dyDescent="0.25">
      <c r="A44" s="204"/>
      <c r="B44" s="197">
        <v>44080</v>
      </c>
      <c r="C44" s="307">
        <v>2415</v>
      </c>
      <c r="D44" s="307"/>
      <c r="E44" s="198">
        <f t="shared" si="0"/>
        <v>21500</v>
      </c>
      <c r="F44" s="199"/>
      <c r="G44" s="201">
        <v>11129</v>
      </c>
      <c r="H44" s="198">
        <f t="shared" si="5"/>
        <v>2700000</v>
      </c>
      <c r="I44" s="201">
        <v>316104090</v>
      </c>
      <c r="J44" s="198">
        <f t="shared" si="6"/>
        <v>487919</v>
      </c>
    </row>
    <row r="45" spans="1:10" x14ac:dyDescent="0.25">
      <c r="B45" s="20">
        <f>B44+7</f>
        <v>44087</v>
      </c>
      <c r="C45" s="305">
        <v>2595</v>
      </c>
      <c r="D45" s="306"/>
      <c r="E45" s="198">
        <f t="shared" si="0"/>
        <v>18000</v>
      </c>
      <c r="F45" s="199"/>
      <c r="G45" s="155">
        <v>11381</v>
      </c>
      <c r="H45" s="198">
        <f t="shared" si="5"/>
        <v>2520000</v>
      </c>
      <c r="I45" s="155">
        <v>321300930</v>
      </c>
      <c r="J45" s="198">
        <f t="shared" si="6"/>
        <v>519684</v>
      </c>
    </row>
    <row r="46" spans="1:10" x14ac:dyDescent="0.25">
      <c r="B46" s="20">
        <f t="shared" ref="B46:B47" si="7">B45+7</f>
        <v>44094</v>
      </c>
      <c r="C46" s="305">
        <v>2800</v>
      </c>
      <c r="D46" s="306"/>
      <c r="E46" s="198">
        <f t="shared" si="0"/>
        <v>20500</v>
      </c>
      <c r="F46" s="199"/>
      <c r="G46" s="155">
        <v>11640</v>
      </c>
      <c r="H46" s="198">
        <f t="shared" si="5"/>
        <v>2590000</v>
      </c>
      <c r="I46" s="155">
        <v>327154600</v>
      </c>
      <c r="J46" s="198">
        <f t="shared" si="6"/>
        <v>585367</v>
      </c>
    </row>
    <row r="47" spans="1:10" x14ac:dyDescent="0.25">
      <c r="B47" s="20">
        <f t="shared" si="7"/>
        <v>44101</v>
      </c>
      <c r="C47" s="305">
        <v>3000</v>
      </c>
      <c r="D47" s="306"/>
      <c r="E47" s="198">
        <f t="shared" si="0"/>
        <v>20000</v>
      </c>
      <c r="F47" s="199"/>
      <c r="G47" s="155">
        <v>11892</v>
      </c>
      <c r="H47" s="198">
        <f t="shared" si="5"/>
        <v>2520000</v>
      </c>
      <c r="I47" s="155">
        <v>332703900</v>
      </c>
      <c r="J47" s="198">
        <f t="shared" si="6"/>
        <v>554930</v>
      </c>
    </row>
    <row r="48" spans="1:10" x14ac:dyDescent="0.25">
      <c r="B48" s="20">
        <v>44105</v>
      </c>
      <c r="C48" s="305">
        <v>3000</v>
      </c>
      <c r="D48" s="306"/>
      <c r="E48" s="198">
        <f t="shared" si="0"/>
        <v>0</v>
      </c>
      <c r="F48" s="199"/>
      <c r="G48" s="155">
        <v>11892</v>
      </c>
      <c r="H48" s="198">
        <f t="shared" si="5"/>
        <v>0</v>
      </c>
      <c r="I48" s="155">
        <v>332703900</v>
      </c>
      <c r="J48" s="198">
        <f t="shared" si="6"/>
        <v>0</v>
      </c>
    </row>
    <row r="49" spans="2:10" x14ac:dyDescent="0.25">
      <c r="B49" s="20">
        <v>44109</v>
      </c>
      <c r="C49" s="305">
        <v>3215</v>
      </c>
      <c r="D49" s="306"/>
      <c r="E49" s="198">
        <f t="shared" si="0"/>
        <v>21500</v>
      </c>
      <c r="F49" s="199"/>
      <c r="G49" s="155">
        <v>12097</v>
      </c>
      <c r="H49" s="198">
        <f t="shared" si="5"/>
        <v>2050000</v>
      </c>
      <c r="I49" s="155">
        <v>337707600</v>
      </c>
      <c r="J49" s="198">
        <f t="shared" si="6"/>
        <v>500370</v>
      </c>
    </row>
    <row r="50" spans="2:10" x14ac:dyDescent="0.25">
      <c r="B50" s="20">
        <f>B49+7</f>
        <v>44116</v>
      </c>
      <c r="C50" s="305">
        <v>3434</v>
      </c>
      <c r="D50" s="306"/>
      <c r="E50" s="198">
        <f t="shared" si="0"/>
        <v>21900</v>
      </c>
      <c r="F50" s="199"/>
      <c r="G50" s="155">
        <v>12347</v>
      </c>
      <c r="H50" s="198">
        <f t="shared" si="5"/>
        <v>2500000</v>
      </c>
      <c r="I50" s="155">
        <v>341350500</v>
      </c>
      <c r="J50" s="198">
        <f t="shared" si="6"/>
        <v>364290</v>
      </c>
    </row>
    <row r="51" spans="2:10" x14ac:dyDescent="0.25">
      <c r="B51" s="20">
        <f t="shared" ref="B51:B52" si="8">B50+7</f>
        <v>44123</v>
      </c>
      <c r="C51" s="305">
        <v>3656</v>
      </c>
      <c r="D51" s="306"/>
      <c r="E51" s="198">
        <f t="shared" si="0"/>
        <v>22200</v>
      </c>
      <c r="F51" s="199"/>
      <c r="G51" s="155">
        <v>12622</v>
      </c>
      <c r="H51" s="198">
        <f t="shared" si="5"/>
        <v>2750000</v>
      </c>
      <c r="I51" s="155">
        <v>350262984</v>
      </c>
      <c r="J51" s="198">
        <f t="shared" si="6"/>
        <v>891248.4</v>
      </c>
    </row>
    <row r="52" spans="2:10" x14ac:dyDescent="0.25">
      <c r="B52" s="20">
        <f t="shared" si="8"/>
        <v>44130</v>
      </c>
      <c r="C52" s="307">
        <v>3656</v>
      </c>
      <c r="D52" s="307"/>
      <c r="E52" s="198">
        <v>22200</v>
      </c>
      <c r="F52" s="199"/>
      <c r="G52" s="201">
        <v>12622</v>
      </c>
      <c r="H52" s="198">
        <v>2750000</v>
      </c>
      <c r="I52" s="201">
        <v>350262984</v>
      </c>
      <c r="J52" s="198">
        <v>891248.4</v>
      </c>
    </row>
    <row r="53" spans="2:10" x14ac:dyDescent="0.25">
      <c r="B53" s="20">
        <v>44136</v>
      </c>
      <c r="C53" s="307">
        <v>3876</v>
      </c>
      <c r="D53" s="307"/>
      <c r="E53" s="198">
        <v>22000</v>
      </c>
      <c r="F53" s="199"/>
      <c r="G53" s="201">
        <v>12879</v>
      </c>
      <c r="H53" s="198">
        <v>2570000</v>
      </c>
      <c r="I53" s="201">
        <v>358393960</v>
      </c>
      <c r="J53" s="198">
        <v>813097.60000000009</v>
      </c>
    </row>
    <row r="54" spans="2:10" x14ac:dyDescent="0.25">
      <c r="B54" s="20">
        <v>44137</v>
      </c>
      <c r="C54" s="307">
        <v>4055</v>
      </c>
      <c r="D54" s="307"/>
      <c r="E54" s="198">
        <v>17900</v>
      </c>
      <c r="F54" s="199"/>
      <c r="G54" s="201">
        <v>13107</v>
      </c>
      <c r="H54" s="198">
        <v>2280000</v>
      </c>
      <c r="I54" s="201">
        <v>364049451</v>
      </c>
      <c r="J54" s="198">
        <v>565549.1</v>
      </c>
    </row>
    <row r="55" spans="2:10" x14ac:dyDescent="0.25">
      <c r="B55" s="20">
        <f>B54+7</f>
        <v>44144</v>
      </c>
      <c r="C55" s="307">
        <v>4236</v>
      </c>
      <c r="D55" s="307"/>
      <c r="E55" s="198">
        <v>18100</v>
      </c>
      <c r="F55" s="199"/>
      <c r="G55" s="201">
        <v>13264</v>
      </c>
      <c r="H55" s="198">
        <v>1570000</v>
      </c>
      <c r="I55" s="201">
        <v>365840293</v>
      </c>
      <c r="J55" s="198">
        <v>179084.2</v>
      </c>
    </row>
    <row r="56" spans="2:10" x14ac:dyDescent="0.25">
      <c r="B56" s="20">
        <f t="shared" ref="B56:B58" si="9">B55+7</f>
        <v>44151</v>
      </c>
      <c r="C56" s="305">
        <v>4422</v>
      </c>
      <c r="D56" s="306"/>
      <c r="E56" s="217">
        <v>18600</v>
      </c>
      <c r="F56" s="234"/>
      <c r="G56" s="155">
        <v>13489</v>
      </c>
      <c r="H56" s="217">
        <v>2250000</v>
      </c>
      <c r="I56" s="155">
        <v>371018977</v>
      </c>
      <c r="J56" s="217">
        <v>517868.4</v>
      </c>
    </row>
    <row r="57" spans="2:10" x14ac:dyDescent="0.25">
      <c r="B57" s="20">
        <f t="shared" si="9"/>
        <v>44158</v>
      </c>
      <c r="C57" s="305">
        <v>4621</v>
      </c>
      <c r="D57" s="306"/>
      <c r="E57" s="217">
        <v>19900</v>
      </c>
      <c r="F57" s="234" t="s">
        <v>114</v>
      </c>
      <c r="G57" s="155">
        <v>13655</v>
      </c>
      <c r="H57" s="217">
        <v>1660000</v>
      </c>
      <c r="I57" s="155">
        <v>374392889</v>
      </c>
      <c r="J57" s="217">
        <v>337391.2</v>
      </c>
    </row>
    <row r="58" spans="2:10" x14ac:dyDescent="0.25">
      <c r="B58" s="20">
        <f t="shared" si="9"/>
        <v>44165</v>
      </c>
      <c r="C58" s="305">
        <v>4829</v>
      </c>
      <c r="D58" s="306"/>
      <c r="E58" s="217">
        <v>20800</v>
      </c>
      <c r="F58" s="234" t="s">
        <v>114</v>
      </c>
      <c r="G58" s="155">
        <v>13832</v>
      </c>
      <c r="H58" s="217">
        <v>1770000</v>
      </c>
      <c r="I58" s="155">
        <v>378059321</v>
      </c>
      <c r="J58" s="217">
        <v>366643.20000000001</v>
      </c>
    </row>
    <row r="59" spans="2:10" x14ac:dyDescent="0.25">
      <c r="B59" s="20">
        <v>44166</v>
      </c>
      <c r="C59" s="305">
        <v>4888</v>
      </c>
      <c r="D59" s="306"/>
      <c r="E59" s="217">
        <v>5900</v>
      </c>
      <c r="F59" s="234"/>
      <c r="G59" s="155">
        <v>13863</v>
      </c>
      <c r="H59" s="217">
        <v>310000</v>
      </c>
      <c r="I59" s="155">
        <v>379153823</v>
      </c>
      <c r="J59" s="217">
        <v>109450.2</v>
      </c>
    </row>
    <row r="60" spans="2:10" x14ac:dyDescent="0.25">
      <c r="B60" s="20">
        <v>44172</v>
      </c>
      <c r="C60" s="305">
        <v>5031</v>
      </c>
      <c r="D60" s="306"/>
      <c r="E60" s="217">
        <v>14300</v>
      </c>
      <c r="F60" s="234"/>
      <c r="G60" s="155">
        <v>13932</v>
      </c>
      <c r="H60" s="217">
        <v>690000</v>
      </c>
      <c r="I60" s="155">
        <v>380916884</v>
      </c>
      <c r="J60" s="217">
        <v>176306.1</v>
      </c>
    </row>
    <row r="61" spans="2:10" x14ac:dyDescent="0.25">
      <c r="B61" s="20">
        <f>B60+7</f>
        <v>44179</v>
      </c>
      <c r="C61" s="305">
        <v>5230</v>
      </c>
      <c r="D61" s="306"/>
      <c r="E61" s="217">
        <v>19900</v>
      </c>
      <c r="F61" s="234"/>
      <c r="G61" s="155">
        <v>14016</v>
      </c>
      <c r="H61" s="217">
        <v>840000</v>
      </c>
      <c r="I61" s="155">
        <v>383551600</v>
      </c>
      <c r="J61" s="217">
        <v>263471.59999999998</v>
      </c>
    </row>
    <row r="62" spans="2:10" x14ac:dyDescent="0.25">
      <c r="B62" s="20">
        <f t="shared" ref="B62:B63" si="10">B61+7</f>
        <v>44186</v>
      </c>
      <c r="C62" s="305">
        <v>5420</v>
      </c>
      <c r="D62" s="306"/>
      <c r="E62" s="217">
        <v>19000</v>
      </c>
      <c r="F62" s="234"/>
      <c r="G62" s="155">
        <v>14128</v>
      </c>
      <c r="H62" s="217">
        <v>1120000</v>
      </c>
      <c r="I62" s="155">
        <v>386183184</v>
      </c>
      <c r="J62" s="217">
        <v>263158.40000000002</v>
      </c>
    </row>
    <row r="63" spans="2:10" x14ac:dyDescent="0.25">
      <c r="B63" s="20">
        <f t="shared" si="10"/>
        <v>44193</v>
      </c>
      <c r="C63" s="305">
        <v>5607</v>
      </c>
      <c r="D63" s="306"/>
      <c r="E63" s="217">
        <v>18700</v>
      </c>
      <c r="F63" s="234"/>
      <c r="G63" s="155">
        <v>14212</v>
      </c>
      <c r="H63" s="217">
        <v>840000</v>
      </c>
      <c r="I63" s="155">
        <v>388905821</v>
      </c>
      <c r="J63" s="217">
        <v>272263.7</v>
      </c>
    </row>
    <row r="64" spans="2:10" x14ac:dyDescent="0.25">
      <c r="B64" s="20">
        <v>44197</v>
      </c>
      <c r="C64" s="305">
        <v>5674</v>
      </c>
      <c r="D64" s="306"/>
      <c r="E64" s="217">
        <v>6700</v>
      </c>
      <c r="F64" s="234"/>
      <c r="G64" s="155">
        <v>14288</v>
      </c>
      <c r="H64" s="217">
        <v>760000</v>
      </c>
      <c r="I64" s="155">
        <v>390378242</v>
      </c>
      <c r="J64" s="217">
        <v>147242.1</v>
      </c>
    </row>
  </sheetData>
  <mergeCells count="68">
    <mergeCell ref="C61:D61"/>
    <mergeCell ref="C62:D62"/>
    <mergeCell ref="C63:D63"/>
    <mergeCell ref="C64:D64"/>
    <mergeCell ref="G1:H1"/>
    <mergeCell ref="C57:D57"/>
    <mergeCell ref="C58:D58"/>
    <mergeCell ref="C59:D59"/>
    <mergeCell ref="C60:D60"/>
    <mergeCell ref="C48:D48"/>
    <mergeCell ref="C37:D37"/>
    <mergeCell ref="C38:D38"/>
    <mergeCell ref="C39:D39"/>
    <mergeCell ref="C40:D40"/>
    <mergeCell ref="C41:D41"/>
    <mergeCell ref="C42:D42"/>
    <mergeCell ref="I1:J1"/>
    <mergeCell ref="G2:H2"/>
    <mergeCell ref="I2:J2"/>
    <mergeCell ref="C55:D55"/>
    <mergeCell ref="C56:D56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36:D36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24:D24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12:D12"/>
    <mergeCell ref="C1: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2022-02-04T19:38:36Z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