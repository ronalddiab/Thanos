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BA2FC0E9-7A8D-4D53-B3BC-E9E527CF8AB5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8" l="1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<sst xmlns="http://schemas.openxmlformats.org/spreadsheetml/2006/main" count="201" uniqueCount="128">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</sst>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-202199.99999999997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-32157</c:v>
                </c:pt>
                <c:pt idx="7">
                  <c:v>0.12921930755135499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6902.6999999999971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7" zoomScale="85" zoomScaleNormal="85" workbookViewId="0">
      <selection activeCell="M26" sqref="M26:O2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>
        <v>29</v>
      </c>
      <c r="N19" s="72">
        <v>77</v>
      </c>
      <c r="O19" s="72">
        <v>229</v>
      </c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>
        <v>22029.999999999745</v>
      </c>
      <c r="F20" s="48">
        <v>0.14000000000000001</v>
      </c>
      <c r="G20" s="107">
        <v>6495</v>
      </c>
      <c r="H20" s="48">
        <v>0.4453480216384178</v>
      </c>
      <c r="I20" s="65">
        <v>256</v>
      </c>
      <c r="J20" s="76">
        <v>0.4</v>
      </c>
      <c r="K20" s="108">
        <v>0</v>
      </c>
      <c r="L20" s="76">
        <v>1.5287027707808565</v>
      </c>
      <c r="M20" s="72">
        <v>35</v>
      </c>
      <c r="N20" s="72">
        <v>92</v>
      </c>
      <c r="O20" s="72">
        <v>263</v>
      </c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>
        <v>20809.999999999716</v>
      </c>
      <c r="F21" s="48">
        <v>0.14000000000000001</v>
      </c>
      <c r="G21" s="107">
        <v>5856</v>
      </c>
      <c r="H21" s="48">
        <v>0.4453480216384178</v>
      </c>
      <c r="I21" s="65">
        <v>266</v>
      </c>
      <c r="J21" s="76">
        <v>0.4</v>
      </c>
      <c r="K21" s="108">
        <v>0</v>
      </c>
      <c r="L21" s="76">
        <v>1.5287027707808565</v>
      </c>
      <c r="M21" s="72">
        <v>38</v>
      </c>
      <c r="N21" s="72">
        <v>99</v>
      </c>
      <c r="O21" s="72">
        <v>284</v>
      </c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>
        <v>23180.000000000742</v>
      </c>
      <c r="F22" s="48">
        <v>0.14000000000000001</v>
      </c>
      <c r="G22" s="107">
        <v>6926</v>
      </c>
      <c r="H22" s="48">
        <v>0.4453480216384178</v>
      </c>
      <c r="I22" s="65">
        <v>323</v>
      </c>
      <c r="J22" s="76">
        <v>0.4</v>
      </c>
      <c r="K22" s="108">
        <v>0</v>
      </c>
      <c r="L22" s="76">
        <v>1.5287027707808565</v>
      </c>
      <c r="M22" s="72">
        <v>41</v>
      </c>
      <c r="N22" s="72">
        <v>96</v>
      </c>
      <c r="O22" s="72">
        <v>272</v>
      </c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>
        <v>22719.99999999889</v>
      </c>
      <c r="F23" s="48">
        <v>0.14000000000000001</v>
      </c>
      <c r="G23" s="107">
        <v>6124</v>
      </c>
      <c r="H23" s="48">
        <v>0.4453480216384178</v>
      </c>
      <c r="I23" s="65">
        <v>269</v>
      </c>
      <c r="J23" s="76">
        <v>0.4</v>
      </c>
      <c r="K23" s="108">
        <v>0</v>
      </c>
      <c r="L23" s="76">
        <v>1.5287027707808565</v>
      </c>
      <c r="M23" s="72">
        <v>40</v>
      </c>
      <c r="N23" s="72">
        <v>92</v>
      </c>
      <c r="O23" s="72">
        <v>300</v>
      </c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>
        <v>22160.000000000764</v>
      </c>
      <c r="F24" s="48">
        <v>0.14000000000000001</v>
      </c>
      <c r="G24" s="107">
        <v>6423</v>
      </c>
      <c r="H24" s="48">
        <v>0.4453480216384178</v>
      </c>
      <c r="I24" s="65">
        <v>256</v>
      </c>
      <c r="J24" s="76">
        <v>0.4</v>
      </c>
      <c r="K24" s="108">
        <v>0</v>
      </c>
      <c r="L24" s="76">
        <v>1.5287027707808565</v>
      </c>
      <c r="M24" s="72">
        <v>41</v>
      </c>
      <c r="N24" s="72">
        <v>93</v>
      </c>
      <c r="O24" s="72">
        <v>282</v>
      </c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>
        <v>19610.000000000357</v>
      </c>
      <c r="F25" s="48">
        <v>0.14000000000000001</v>
      </c>
      <c r="G25" s="107">
        <v>5599</v>
      </c>
      <c r="H25" s="48">
        <v>0.4453480216384178</v>
      </c>
      <c r="I25" s="65">
        <v>275</v>
      </c>
      <c r="J25" s="76">
        <v>0.4</v>
      </c>
      <c r="K25" s="108">
        <v>0</v>
      </c>
      <c r="L25" s="76">
        <v>1.5287027707808565</v>
      </c>
      <c r="M25" s="72">
        <v>44</v>
      </c>
      <c r="N25" s="72">
        <v>101</v>
      </c>
      <c r="O25" s="72">
        <v>313</v>
      </c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>
        <v>21859.999999999673</v>
      </c>
      <c r="F26" s="48">
        <v>0.14000000000000001</v>
      </c>
      <c r="G26" s="107">
        <v>6191</v>
      </c>
      <c r="H26" s="48">
        <v>0.4453480216384178</v>
      </c>
      <c r="I26" s="65">
        <v>251</v>
      </c>
      <c r="J26" s="76">
        <v>0.4</v>
      </c>
      <c r="K26" s="108">
        <v>0</v>
      </c>
      <c r="L26" s="76">
        <v>1.5287027707808565</v>
      </c>
      <c r="M26" s="72">
        <v>44</v>
      </c>
      <c r="N26" s="72">
        <v>109</v>
      </c>
      <c r="O26" s="72">
        <v>321</v>
      </c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>
        <v>23069.999999999709</v>
      </c>
      <c r="F27" s="48">
        <v>0.14000000000000001</v>
      </c>
      <c r="G27" s="107">
        <v>6816</v>
      </c>
      <c r="H27" s="48">
        <v>0.4453480216384178</v>
      </c>
      <c r="I27" s="65">
        <v>243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568510</v>
      </c>
      <c r="F33" s="104">
        <v>0</v>
      </c>
      <c r="G33" s="101">
        <f>SUM(G2:G32)</f>
        <v>161532</v>
      </c>
      <c r="H33" s="102">
        <v>0</v>
      </c>
      <c r="I33" s="103">
        <f>SUM(I2:I32)</f>
        <v>6902.6999999999971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921</v>
      </c>
      <c r="N33" s="106">
        <f t="shared" si="1"/>
        <v>2279</v>
      </c>
      <c r="O33" s="106">
        <f t="shared" si="1"/>
        <v>6348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6" zoomScale="78" zoomScaleNormal="78" workbookViewId="0">
      <selection activeCell="V28" sqref="V28:X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>
        <v>29</v>
      </c>
      <c r="W21" s="71">
        <v>77</v>
      </c>
      <c r="X21" s="71">
        <v>229</v>
      </c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>
        <v>35</v>
      </c>
      <c r="W22" s="71">
        <v>92</v>
      </c>
      <c r="X22" s="71">
        <v>263</v>
      </c>
      <c r="Y22" s="17"/>
    </row>
    <row r="23" spans="1:25" ht="21" customHeight="1" x14ac:dyDescent="0.25">
      <c r="A23" s="8">
        <v>44275</v>
      </c>
      <c r="B23" s="1">
        <v>845.61</v>
      </c>
      <c r="C23" s="1">
        <v>206.69</v>
      </c>
      <c r="D23" s="1">
        <v>7231712.7999999998</v>
      </c>
      <c r="E23" s="1">
        <v>7863999.1600000001</v>
      </c>
      <c r="F23" s="1">
        <v>2.129</v>
      </c>
      <c r="G23" s="1">
        <v>651.57000000000005</v>
      </c>
      <c r="H23" s="1">
        <v>548.48</v>
      </c>
      <c r="I23" s="1">
        <v>202.87</v>
      </c>
      <c r="J23" s="1">
        <v>294.7</v>
      </c>
      <c r="K23" s="1">
        <v>312.11</v>
      </c>
      <c r="L23" s="1">
        <v>213.37</v>
      </c>
      <c r="M23" s="1">
        <v>440.39</v>
      </c>
      <c r="N23" s="1">
        <v>391.64</v>
      </c>
      <c r="O23" s="1">
        <v>125.87</v>
      </c>
      <c r="P23" s="1">
        <v>513.66</v>
      </c>
      <c r="Q23" s="1">
        <v>384.51</v>
      </c>
      <c r="R23" s="1">
        <v>127.2</v>
      </c>
      <c r="S23" s="1">
        <v>101.66</v>
      </c>
      <c r="T23" s="1">
        <v>373.13</v>
      </c>
      <c r="V23" s="71">
        <v>38</v>
      </c>
      <c r="W23" s="71">
        <v>99</v>
      </c>
      <c r="X23" s="71">
        <v>284</v>
      </c>
      <c r="Y23" s="17"/>
    </row>
    <row r="24" spans="1:25" ht="21" customHeight="1" x14ac:dyDescent="0.25">
      <c r="A24" s="8">
        <v>44276</v>
      </c>
      <c r="B24" s="1">
        <v>846.96</v>
      </c>
      <c r="C24" s="1">
        <v>206.92</v>
      </c>
      <c r="D24" s="1">
        <v>7233934.4900000002</v>
      </c>
      <c r="E24" s="1">
        <v>7866968.2599999998</v>
      </c>
      <c r="F24" s="1">
        <v>2.1315</v>
      </c>
      <c r="G24" s="1">
        <v>652.64</v>
      </c>
      <c r="H24" s="1">
        <v>549.36</v>
      </c>
      <c r="I24" s="1">
        <v>203.18</v>
      </c>
      <c r="J24" s="1">
        <v>294.99</v>
      </c>
      <c r="K24" s="1">
        <v>312.45999999999998</v>
      </c>
      <c r="L24" s="1">
        <v>213.6</v>
      </c>
      <c r="M24" s="1">
        <v>441.02</v>
      </c>
      <c r="N24" s="1">
        <v>392.47</v>
      </c>
      <c r="O24" s="1">
        <v>126.08</v>
      </c>
      <c r="P24" s="1">
        <v>514.73</v>
      </c>
      <c r="Q24" s="1">
        <v>385.28</v>
      </c>
      <c r="R24" s="1">
        <v>127.37</v>
      </c>
      <c r="S24" s="1">
        <v>101.8</v>
      </c>
      <c r="T24" s="1">
        <v>373.63</v>
      </c>
      <c r="V24" s="71">
        <v>41</v>
      </c>
      <c r="W24" s="71">
        <v>96</v>
      </c>
      <c r="X24" s="71">
        <v>272</v>
      </c>
      <c r="Y24" s="17"/>
    </row>
    <row r="25" spans="1:25" ht="21" customHeight="1" x14ac:dyDescent="0.25">
      <c r="A25" s="8">
        <v>44277</v>
      </c>
      <c r="B25" s="1">
        <v>848.31</v>
      </c>
      <c r="C25" s="1">
        <v>207.13</v>
      </c>
      <c r="D25" s="1">
        <v>7236152.3499999996</v>
      </c>
      <c r="E25" s="1">
        <v>7870038.9900000002</v>
      </c>
      <c r="F25" s="1">
        <v>2.1339999999999999</v>
      </c>
      <c r="G25" s="1">
        <v>653.65</v>
      </c>
      <c r="H25" s="1">
        <v>550.42999999999995</v>
      </c>
      <c r="I25" s="1">
        <v>203.5</v>
      </c>
      <c r="J25" s="1">
        <v>295.25</v>
      </c>
      <c r="K25" s="1">
        <v>312.81</v>
      </c>
      <c r="L25" s="1">
        <v>213.84</v>
      </c>
      <c r="M25" s="1">
        <v>441.64</v>
      </c>
      <c r="N25" s="1">
        <v>393.34</v>
      </c>
      <c r="O25" s="1">
        <v>126.34</v>
      </c>
      <c r="P25" s="1">
        <v>515.77</v>
      </c>
      <c r="Q25" s="1">
        <v>386.01</v>
      </c>
      <c r="R25" s="1">
        <v>127.64</v>
      </c>
      <c r="S25" s="1">
        <v>101.93</v>
      </c>
      <c r="T25" s="1">
        <v>374.12</v>
      </c>
      <c r="V25" s="71">
        <v>40</v>
      </c>
      <c r="W25" s="71">
        <v>92</v>
      </c>
      <c r="X25" s="71">
        <v>300</v>
      </c>
      <c r="Y25" s="17"/>
    </row>
    <row r="26" spans="1:25" ht="21" customHeight="1" x14ac:dyDescent="0.25">
      <c r="A26" s="8">
        <v>44278</v>
      </c>
      <c r="B26" s="1">
        <v>849.59</v>
      </c>
      <c r="C26" s="1">
        <v>207.36</v>
      </c>
      <c r="D26" s="1">
        <v>7238423.5899999999</v>
      </c>
      <c r="E26" s="1">
        <v>7873027.0899999999</v>
      </c>
      <c r="F26" s="1">
        <v>2.1364000000000001</v>
      </c>
      <c r="G26" s="1">
        <v>654.61</v>
      </c>
      <c r="H26" s="1">
        <v>551.32000000000005</v>
      </c>
      <c r="I26" s="1">
        <v>203.77</v>
      </c>
      <c r="J26" s="1">
        <v>295.47000000000003</v>
      </c>
      <c r="K26" s="1">
        <v>313.08</v>
      </c>
      <c r="L26" s="1">
        <v>214.04</v>
      </c>
      <c r="M26" s="1">
        <v>442.3</v>
      </c>
      <c r="N26" s="1">
        <v>394.12</v>
      </c>
      <c r="O26" s="1">
        <v>126.57</v>
      </c>
      <c r="P26" s="1">
        <v>516.61</v>
      </c>
      <c r="Q26" s="1">
        <v>386.74</v>
      </c>
      <c r="R26" s="1">
        <v>127.95</v>
      </c>
      <c r="S26" s="1">
        <v>102.09</v>
      </c>
      <c r="T26" s="1">
        <v>374.64</v>
      </c>
      <c r="V26" s="71">
        <v>41</v>
      </c>
      <c r="W26" s="71">
        <v>93</v>
      </c>
      <c r="X26" s="71">
        <v>282</v>
      </c>
      <c r="Y26" s="17"/>
    </row>
    <row r="27" spans="1:25" ht="21" customHeight="1" x14ac:dyDescent="0.25">
      <c r="A27" s="8">
        <v>44279</v>
      </c>
      <c r="B27" s="1">
        <v>850.89</v>
      </c>
      <c r="C27" s="1">
        <v>207.61</v>
      </c>
      <c r="D27" s="1">
        <v>7240687.7800000003</v>
      </c>
      <c r="E27" s="1">
        <v>7875874.9000000004</v>
      </c>
      <c r="F27" s="1">
        <v>2.1387</v>
      </c>
      <c r="G27" s="1">
        <v>655.66</v>
      </c>
      <c r="H27" s="1">
        <v>552.19000000000005</v>
      </c>
      <c r="I27" s="1">
        <v>204.07</v>
      </c>
      <c r="J27" s="1">
        <v>295.75</v>
      </c>
      <c r="K27" s="1">
        <v>313.43</v>
      </c>
      <c r="L27" s="1">
        <v>214.25</v>
      </c>
      <c r="M27" s="1">
        <v>442.97</v>
      </c>
      <c r="N27" s="1">
        <v>394.92</v>
      </c>
      <c r="O27" s="1">
        <v>126.79</v>
      </c>
      <c r="P27" s="1">
        <v>517.48</v>
      </c>
      <c r="Q27" s="1">
        <v>387.45</v>
      </c>
      <c r="R27" s="1">
        <v>128.24</v>
      </c>
      <c r="S27" s="1">
        <v>102.22</v>
      </c>
      <c r="T27" s="1">
        <v>375.1</v>
      </c>
      <c r="V27" s="71">
        <v>44</v>
      </c>
      <c r="W27" s="71">
        <v>101</v>
      </c>
      <c r="X27" s="71">
        <v>313</v>
      </c>
      <c r="Y27" s="17"/>
    </row>
    <row r="28" spans="1:25" ht="21" customHeight="1" x14ac:dyDescent="0.25">
      <c r="A28" s="8">
        <v>44280</v>
      </c>
      <c r="B28" s="1">
        <v>852.04</v>
      </c>
      <c r="C28" s="1">
        <v>207.85</v>
      </c>
      <c r="D28" s="1">
        <v>7242688.7800000003</v>
      </c>
      <c r="E28" s="1">
        <v>7878323.6500000004</v>
      </c>
      <c r="F28" s="1">
        <v>2.1412</v>
      </c>
      <c r="G28" s="1">
        <v>656.45</v>
      </c>
      <c r="H28" s="1">
        <v>552.87</v>
      </c>
      <c r="I28" s="1">
        <v>204.32</v>
      </c>
      <c r="J28" s="1">
        <v>296.06</v>
      </c>
      <c r="K28" s="1">
        <v>313.77999999999997</v>
      </c>
      <c r="L28" s="1">
        <v>214.5</v>
      </c>
      <c r="M28" s="1">
        <v>443.52</v>
      </c>
      <c r="N28" s="1">
        <v>395.6</v>
      </c>
      <c r="O28" s="1">
        <v>127</v>
      </c>
      <c r="P28" s="1">
        <v>518.09</v>
      </c>
      <c r="Q28" s="1">
        <v>388.08</v>
      </c>
      <c r="R28" s="1">
        <v>128.47999999999999</v>
      </c>
      <c r="S28" s="1">
        <v>102.33</v>
      </c>
      <c r="T28" s="1">
        <v>375.59</v>
      </c>
      <c r="V28" s="71">
        <v>44</v>
      </c>
      <c r="W28" s="71">
        <v>109</v>
      </c>
      <c r="X28" s="71">
        <v>321</v>
      </c>
      <c r="Y28" s="17"/>
    </row>
    <row r="29" spans="1:25" ht="21" customHeight="1" x14ac:dyDescent="0.25">
      <c r="A29" s="8">
        <v>44281</v>
      </c>
      <c r="B29" s="1">
        <v>852.22</v>
      </c>
      <c r="C29" s="1">
        <v>208.1</v>
      </c>
      <c r="D29" s="1">
        <v>7244930.9500000002</v>
      </c>
      <c r="E29" s="1">
        <v>7881288.2400000002</v>
      </c>
      <c r="F29" s="1">
        <v>2.1436000000000002</v>
      </c>
      <c r="G29" s="1">
        <v>657.37</v>
      </c>
      <c r="H29" s="1">
        <v>553.65</v>
      </c>
      <c r="I29" s="1">
        <v>204.59</v>
      </c>
      <c r="J29" s="1">
        <v>296.3</v>
      </c>
      <c r="K29" s="1">
        <v>314.13</v>
      </c>
      <c r="L29" s="1">
        <v>214.73</v>
      </c>
      <c r="M29" s="1">
        <v>444.16</v>
      </c>
      <c r="N29" s="1">
        <v>396.46</v>
      </c>
      <c r="O29" s="1">
        <v>127.22</v>
      </c>
      <c r="P29" s="1">
        <v>518.76</v>
      </c>
      <c r="Q29" s="1">
        <v>388.81</v>
      </c>
      <c r="R29" s="1">
        <v>128.77000000000001</v>
      </c>
      <c r="S29" s="1">
        <v>102.47</v>
      </c>
      <c r="T29" s="1">
        <v>376.05</v>
      </c>
      <c r="V29" s="71"/>
      <c r="W29" s="71"/>
      <c r="X29" s="71"/>
      <c r="Y29" s="17"/>
    </row>
    <row r="30" spans="1:25" ht="21" customHeight="1" x14ac:dyDescent="0.25">
      <c r="A30" s="8">
        <v>44282</v>
      </c>
      <c r="B30" s="1">
        <v>854.56</v>
      </c>
      <c r="C30" s="1">
        <v>208.37</v>
      </c>
      <c r="D30" s="1">
        <v>7247513.4299999997</v>
      </c>
      <c r="E30" s="1">
        <v>788423.24</v>
      </c>
      <c r="F30" s="1">
        <v>2.1463000000000001</v>
      </c>
      <c r="G30" s="1">
        <v>658.39</v>
      </c>
      <c r="H30" s="1">
        <v>554.5</v>
      </c>
      <c r="I30" s="1">
        <v>204.86</v>
      </c>
      <c r="J30" s="1">
        <v>296.60000000000002</v>
      </c>
      <c r="K30" s="1">
        <v>314.52</v>
      </c>
      <c r="L30" s="1">
        <v>214.97</v>
      </c>
      <c r="M30" s="1">
        <v>444.96</v>
      </c>
      <c r="N30" s="1">
        <v>397.34</v>
      </c>
      <c r="O30" s="1">
        <v>127.45</v>
      </c>
      <c r="P30" s="1">
        <v>519.72</v>
      </c>
      <c r="Q30" s="1">
        <v>389.66</v>
      </c>
      <c r="R30" s="1">
        <v>129.01</v>
      </c>
      <c r="S30" s="1">
        <v>102.58</v>
      </c>
      <c r="T30" s="1">
        <v>376.3</v>
      </c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921</v>
      </c>
      <c r="W35" s="78">
        <f>SUM(W4:W34)</f>
        <v>2279</v>
      </c>
      <c r="X35" s="78">
        <f>SUM(X4:X34)</f>
        <v>6348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7" activePane="bottomRight" state="frozen"/>
      <selection pane="topRight" activeCell="C1" sqref="C1"/>
      <selection pane="bottomLeft" activeCell="A4" sqref="A4"/>
      <selection pane="bottomRight" activeCell="G41" sqref="G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22029.999999999745</v>
      </c>
      <c r="C22" s="4">
        <f>('Kwh Reading'!T23-'Kwh Reading'!T22)*1000</f>
        <v>269.99999999998181</v>
      </c>
      <c r="D22" s="2">
        <f>('Kwh Reading'!F23-'Kwh Reading'!F22)*1000000</f>
        <v>2299.9999999999686</v>
      </c>
      <c r="E22" s="2">
        <f>('Kwh Reading'!C23-'Kwh Reading'!C22)*1000</f>
        <v>240.00000000000909</v>
      </c>
      <c r="F22" s="2">
        <f>('Kwh Reading'!J23-'Kwh Reading'!J22)*1000</f>
        <v>159.99999999996817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230.00000000000398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</f>
        <v>1210.0000000000364</v>
      </c>
      <c r="M22" s="2">
        <f>('Kwh Reading'!M23-'Kwh Reading'!M22)*1000</f>
        <v>579.99999999998408</v>
      </c>
      <c r="N22" s="2">
        <f>('Kwh Reading'!H23-'Kwh Reading'!H22)*1000</f>
        <v>789.99999999996362</v>
      </c>
      <c r="O22" s="2">
        <f>('Kwh Reading'!P23-'Kwh Reading'!P22)*1000</f>
        <v>939.99999999994088</v>
      </c>
      <c r="P22" s="2">
        <f>('Kwh Reading'!G23-'Kwh Reading'!G22)*1000</f>
        <v>840.00000000003183</v>
      </c>
      <c r="Q22" s="2">
        <f>('Kwh Reading'!Q23-'Kwh Reading'!Q22)*1000</f>
        <v>649.99999999997726</v>
      </c>
      <c r="R22" s="2">
        <f>('Kwh Reading'!N23-'Kwh Reading'!N22)*1000</f>
        <v>769.99999999998181</v>
      </c>
      <c r="S22" s="34">
        <f>'Kwh Reading'!E23-'Kwh Reading'!E22</f>
        <v>2445.9500000001863</v>
      </c>
      <c r="T22" s="34">
        <f>'Kwh Reading'!D23-'Kwh Reading'!D22</f>
        <v>2060.2800000002608</v>
      </c>
      <c r="U22" s="27">
        <f>('Kwh Reading'!O23-'Kwh Reading'!O22)*1000</f>
        <v>210.00000000000796</v>
      </c>
      <c r="V22" s="16">
        <f t="shared" si="0"/>
        <v>7513.7699999994511</v>
      </c>
    </row>
    <row r="23" spans="1:22" x14ac:dyDescent="0.25">
      <c r="A23" s="3">
        <f>'Kwh Reading'!A23</f>
        <v>44275</v>
      </c>
      <c r="B23" s="26">
        <f>TOTAL!E21</f>
        <v>20809.999999999716</v>
      </c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290.00000000002046</v>
      </c>
      <c r="G23" s="2">
        <f>('Kwh Reading'!K24-'Kwh Reading'!K23)*1000</f>
        <v>349.99999999996589</v>
      </c>
      <c r="H23" s="2">
        <f>('Kwh Reading'!L24-'Kwh Reading'!L23)*1000</f>
        <v>229.99999999998977</v>
      </c>
      <c r="I23" s="2">
        <f>('Kwh Reading'!R24-'Kwh Reading'!R23)*1000</f>
        <v>170.00000000000171</v>
      </c>
      <c r="J23" s="2">
        <f>('Kwh Reading'!S24-'Kwh Reading'!S23)*1000</f>
        <v>140.00000000000057</v>
      </c>
      <c r="K23" s="2">
        <f>('Kwh Reading'!I24-'Kwh Reading'!I23)*1000</f>
        <v>310.00000000000227</v>
      </c>
      <c r="L23" s="2">
        <f>('Kwh Reading'!B24-'Kwh Reading'!B23)*1000</f>
        <v>1350.0000000000227</v>
      </c>
      <c r="M23" s="2">
        <f>('Kwh Reading'!M24-'Kwh Reading'!M23)*1000</f>
        <v>629.99999999999545</v>
      </c>
      <c r="N23" s="2">
        <f>('Kwh Reading'!H24-'Kwh Reading'!H23)*1000</f>
        <v>879.99999999999545</v>
      </c>
      <c r="O23" s="2">
        <f>('Kwh Reading'!P24-'Kwh Reading'!P23)*1000</f>
        <v>1070.00000000005</v>
      </c>
      <c r="P23" s="2">
        <f>('Kwh Reading'!G24-'Kwh Reading'!G23)*1000</f>
        <v>1069.9999999999363</v>
      </c>
      <c r="Q23" s="2">
        <f>('Kwh Reading'!Q24-'Kwh Reading'!Q23)*1000</f>
        <v>769.99999999998181</v>
      </c>
      <c r="R23" s="2">
        <f>('Kwh Reading'!N24-'Kwh Reading'!N23)*1000</f>
        <v>830.00000000004093</v>
      </c>
      <c r="S23" s="34">
        <f>'Kwh Reading'!E24-'Kwh Reading'!E23</f>
        <v>2969.0999999996275</v>
      </c>
      <c r="T23" s="34">
        <f>'Kwh Reading'!D24-'Kwh Reading'!D23</f>
        <v>2221.6900000004098</v>
      </c>
      <c r="U23" s="27">
        <f>('Kwh Reading'!O24-'Kwh Reading'!O23)*1000</f>
        <v>209.99999999999375</v>
      </c>
      <c r="V23" s="16">
        <f t="shared" si="0"/>
        <v>4089.2099999997445</v>
      </c>
    </row>
    <row r="24" spans="1:22" x14ac:dyDescent="0.25">
      <c r="A24" s="3">
        <f>'Kwh Reading'!A24</f>
        <v>44276</v>
      </c>
      <c r="B24" s="26">
        <f>TOTAL!E22</f>
        <v>23180.000000000742</v>
      </c>
      <c r="C24" s="4">
        <f>('Kwh Reading'!T25-'Kwh Reading'!T24)*1000</f>
        <v>490.00000000000909</v>
      </c>
      <c r="D24" s="2">
        <f>('Kwh Reading'!F25-'Kwh Reading'!F24)*1000000</f>
        <v>2499.9999999999468</v>
      </c>
      <c r="E24" s="2">
        <f>('Kwh Reading'!C25-'Kwh Reading'!C24)*1000</f>
        <v>210.00000000000796</v>
      </c>
      <c r="F24" s="2">
        <f>('Kwh Reading'!J25-'Kwh Reading'!J24)*1000</f>
        <v>259.99999999999091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269.99999999999602</v>
      </c>
      <c r="J24" s="2">
        <f>('Kwh Reading'!S25-'Kwh Reading'!S24)*1000</f>
        <v>130.00000000000966</v>
      </c>
      <c r="K24" s="2">
        <f>('Kwh Reading'!I25-'Kwh Reading'!I24)*1000</f>
        <v>319.99999999999318</v>
      </c>
      <c r="L24" s="2">
        <f>('Kwh Reading'!B25-'Kwh Reading'!B24)*1000</f>
        <v>1349.9999999999091</v>
      </c>
      <c r="M24" s="2">
        <f>('Kwh Reading'!M25-'Kwh Reading'!M24)*1000</f>
        <v>620.00000000000455</v>
      </c>
      <c r="N24" s="2">
        <f>('Kwh Reading'!H25-'Kwh Reading'!H24)*1000</f>
        <v>1069.9999999999363</v>
      </c>
      <c r="O24" s="2">
        <f>('Kwh Reading'!P25-'Kwh Reading'!P24)*1000</f>
        <v>1039.9999999999636</v>
      </c>
      <c r="P24" s="2">
        <f>('Kwh Reading'!G25-'Kwh Reading'!G24)*1000</f>
        <v>1009.9999999999909</v>
      </c>
      <c r="Q24" s="2">
        <f>('Kwh Reading'!Q25-'Kwh Reading'!Q24)*1000</f>
        <v>730.00000000001819</v>
      </c>
      <c r="R24" s="2">
        <f>('Kwh Reading'!N25-'Kwh Reading'!N24)*1000</f>
        <v>869.9999999999477</v>
      </c>
      <c r="S24" s="2">
        <f>'Kwh Reading'!E25-'Kwh Reading'!E24</f>
        <v>3070.730000000447</v>
      </c>
      <c r="T24" s="2">
        <f>'Kwh Reading'!D25-'Kwh Reading'!D24</f>
        <v>2217.859999999404</v>
      </c>
      <c r="U24" s="27">
        <f>('Kwh Reading'!O25-'Kwh Reading'!O24)*1000</f>
        <v>260.00000000000512</v>
      </c>
      <c r="V24" s="16">
        <f t="shared" si="0"/>
        <v>6171.4100000011313</v>
      </c>
    </row>
    <row r="25" spans="1:22" x14ac:dyDescent="0.25">
      <c r="A25" s="3">
        <f>'Kwh Reading'!A25</f>
        <v>44277</v>
      </c>
      <c r="B25" s="26">
        <f>TOTAL!E23</f>
        <v>22719.99999999889</v>
      </c>
      <c r="C25" s="4">
        <f>('Kwh Reading'!T26-'Kwh Reading'!T25)*1000</f>
        <v>519.99999999998181</v>
      </c>
      <c r="D25" s="2">
        <f>('Kwh Reading'!F26-'Kwh Reading'!F25)*1000000</f>
        <v>2400.0000000001796</v>
      </c>
      <c r="E25" s="2">
        <f>('Kwh Reading'!C26-'Kwh Reading'!C25)*1000</f>
        <v>230.00000000001819</v>
      </c>
      <c r="F25" s="2">
        <f>('Kwh Reading'!J26-'Kwh Reading'!J25)*1000</f>
        <v>220.00000000002728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159.99999999999659</v>
      </c>
      <c r="K25" s="2">
        <f>('Kwh Reading'!I26-'Kwh Reading'!I25)*1000</f>
        <v>270.00000000001023</v>
      </c>
      <c r="L25" s="2">
        <f>('Kwh Reading'!B26-'Kwh Reading'!B25)*1000</f>
        <v>1280.0000000000864</v>
      </c>
      <c r="M25" s="2">
        <f>('Kwh Reading'!M26-'Kwh Reading'!M25)*1000</f>
        <v>660.00000000002501</v>
      </c>
      <c r="N25" s="2">
        <f>('Kwh Reading'!H26-'Kwh Reading'!H25)*1000</f>
        <v>890.00000000010004</v>
      </c>
      <c r="O25" s="2">
        <f>('Kwh Reading'!P26-'Kwh Reading'!P25)*1000</f>
        <v>840.00000000003183</v>
      </c>
      <c r="P25" s="2">
        <f>('Kwh Reading'!G26-'Kwh Reading'!G25)*1000</f>
        <v>960.00000000003638</v>
      </c>
      <c r="Q25" s="2">
        <f>('Kwh Reading'!Q26-'Kwh Reading'!Q25)*1000</f>
        <v>730.00000000001819</v>
      </c>
      <c r="R25" s="2">
        <f>('Kwh Reading'!N26-'Kwh Reading'!N25)*1000</f>
        <v>780.00000000002956</v>
      </c>
      <c r="S25" s="2">
        <f>'Kwh Reading'!E26-'Kwh Reading'!E25</f>
        <v>2988.0999999996275</v>
      </c>
      <c r="T25" s="2">
        <f>'Kwh Reading'!D26-'Kwh Reading'!D25</f>
        <v>2271.2400000002235</v>
      </c>
      <c r="U25" s="27">
        <f>('Kwh Reading'!O26-'Kwh Reading'!O25)*1000</f>
        <v>229.99999999998977</v>
      </c>
      <c r="V25" s="16">
        <f t="shared" si="0"/>
        <v>6510.6599999985374</v>
      </c>
    </row>
    <row r="26" spans="1:22" x14ac:dyDescent="0.25">
      <c r="A26" s="3">
        <f>'Kwh Reading'!A26</f>
        <v>44278</v>
      </c>
      <c r="B26" s="26">
        <f>TOTAL!E24</f>
        <v>22160.000000000764</v>
      </c>
      <c r="C26" s="4">
        <f>('Kwh Reading'!T27-'Kwh Reading'!T26)*1000</f>
        <v>460.00000000003638</v>
      </c>
      <c r="D26" s="2">
        <f>('Kwh Reading'!F27-'Kwh Reading'!F26)*1000000</f>
        <v>2299.9999999999686</v>
      </c>
      <c r="E26" s="2">
        <f>('Kwh Reading'!C27-'Kwh Reading'!C26)*1000</f>
        <v>250</v>
      </c>
      <c r="F26" s="2">
        <f>('Kwh Reading'!J27-'Kwh Reading'!J26)*1000</f>
        <v>279.99999999997272</v>
      </c>
      <c r="G26" s="2">
        <f>('Kwh Reading'!K27-'Kwh Reading'!K26)*1000</f>
        <v>350.00000000002274</v>
      </c>
      <c r="H26" s="2">
        <f>('Kwh Reading'!L27-'Kwh Reading'!L26)*1000</f>
        <v>210.00000000000796</v>
      </c>
      <c r="I26" s="2">
        <f>('Kwh Reading'!R27-'Kwh Reading'!R26)*1000</f>
        <v>290.00000000000625</v>
      </c>
      <c r="J26" s="2">
        <f>('Kwh Reading'!S27-'Kwh Reading'!S26)*1000</f>
        <v>129.99999999999545</v>
      </c>
      <c r="K26" s="2">
        <f>('Kwh Reading'!I27-'Kwh Reading'!I26)*1000</f>
        <v>299.99999999998295</v>
      </c>
      <c r="L26" s="2">
        <f>('Kwh Reading'!B27-'Kwh Reading'!B26)*1000</f>
        <v>1299.9999999999545</v>
      </c>
      <c r="M26" s="2">
        <f>('Kwh Reading'!M27-'Kwh Reading'!M26)*1000</f>
        <v>670.00000000001592</v>
      </c>
      <c r="N26" s="2">
        <f>('Kwh Reading'!H27-'Kwh Reading'!H26)*1000</f>
        <v>870.00000000000455</v>
      </c>
      <c r="O26" s="2">
        <f>('Kwh Reading'!P27-'Kwh Reading'!P26)*1000</f>
        <v>870.00000000000455</v>
      </c>
      <c r="P26" s="2">
        <f>('Kwh Reading'!G27-'Kwh Reading'!G26)*1000</f>
        <v>1049.9999999999545</v>
      </c>
      <c r="Q26" s="2">
        <f>('Kwh Reading'!Q27-'Kwh Reading'!Q26)*1000</f>
        <v>709.99999999997954</v>
      </c>
      <c r="R26" s="2">
        <f>('Kwh Reading'!N27-'Kwh Reading'!N26)*1000</f>
        <v>800.00000000001137</v>
      </c>
      <c r="S26" s="2">
        <f>'Kwh Reading'!E27-'Kwh Reading'!E26</f>
        <v>2847.8100000005215</v>
      </c>
      <c r="T26" s="2">
        <f>'Kwh Reading'!D27-'Kwh Reading'!D26</f>
        <v>2264.1900000004098</v>
      </c>
      <c r="U26" s="27">
        <f>('Kwh Reading'!O27-'Kwh Reading'!O26)*1000</f>
        <v>220.00000000001307</v>
      </c>
      <c r="V26" s="16">
        <f t="shared" si="0"/>
        <v>5987.9999999999018</v>
      </c>
    </row>
    <row r="27" spans="1:22" x14ac:dyDescent="0.25">
      <c r="A27" s="3">
        <f>'Kwh Reading'!A27</f>
        <v>44279</v>
      </c>
      <c r="B27" s="26">
        <f>TOTAL!E25</f>
        <v>19610.000000000357</v>
      </c>
      <c r="C27" s="4">
        <f>('Kwh Reading'!T28-'Kwh Reading'!T27)*1000</f>
        <v>489.99999999995225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310.00000000000227</v>
      </c>
      <c r="G27" s="2">
        <f>('Kwh Reading'!K28-'Kwh Reading'!K27)*1000</f>
        <v>349.99999999996589</v>
      </c>
      <c r="H27" s="2">
        <f>('Kwh Reading'!L28-'Kwh Reading'!L27)*1000</f>
        <v>250</v>
      </c>
      <c r="I27" s="2">
        <f>('Kwh Reading'!R28-'Kwh Reading'!R27)*1000</f>
        <v>239.99999999998067</v>
      </c>
      <c r="J27" s="2">
        <f>('Kwh Reading'!S28-'Kwh Reading'!S27)*1000</f>
        <v>109.99999999999943</v>
      </c>
      <c r="K27" s="2">
        <f>('Kwh Reading'!I28-'Kwh Reading'!I27)*1000</f>
        <v>250</v>
      </c>
      <c r="L27" s="2">
        <f>('Kwh Reading'!B28-'Kwh Reading'!B27)*1000</f>
        <v>1149.9999999999773</v>
      </c>
      <c r="M27" s="2">
        <f>('Kwh Reading'!M28-'Kwh Reading'!M27)*1000</f>
        <v>549.99999999995453</v>
      </c>
      <c r="N27" s="2">
        <f>('Kwh Reading'!H28-'Kwh Reading'!H27)*1000</f>
        <v>679.99999999994998</v>
      </c>
      <c r="O27" s="2">
        <f>('Kwh Reading'!P28-'Kwh Reading'!P27)*1000</f>
        <v>610.00000000001364</v>
      </c>
      <c r="P27" s="2">
        <f>('Kwh Reading'!G28-'Kwh Reading'!G27)*1000</f>
        <v>790.00000000007731</v>
      </c>
      <c r="Q27" s="2">
        <f>('Kwh Reading'!Q28-'Kwh Reading'!Q27)*1000</f>
        <v>629.99999999999545</v>
      </c>
      <c r="R27" s="2">
        <f>('Kwh Reading'!N28-'Kwh Reading'!N27)*1000</f>
        <v>680.00000000000682</v>
      </c>
      <c r="S27" s="2">
        <f>'Kwh Reading'!E28-'Kwh Reading'!E27</f>
        <v>2448.75</v>
      </c>
      <c r="T27" s="2">
        <f>'Kwh Reading'!D28-'Kwh Reading'!D27</f>
        <v>2001</v>
      </c>
      <c r="U27" s="27">
        <f>('Kwh Reading'!O28-'Kwh Reading'!O27)*1000</f>
        <v>209.99999999999375</v>
      </c>
      <c r="V27" s="16">
        <f t="shared" si="0"/>
        <v>5120.2500000005584</v>
      </c>
    </row>
    <row r="28" spans="1:22" x14ac:dyDescent="0.25">
      <c r="A28" s="3">
        <f>'Kwh Reading'!A28</f>
        <v>44280</v>
      </c>
      <c r="B28" s="26">
        <f>TOTAL!E26</f>
        <v>21859.999999999673</v>
      </c>
      <c r="C28" s="4">
        <f>('Kwh Reading'!T29-'Kwh Reading'!T28)*1000</f>
        <v>460.00000000003638</v>
      </c>
      <c r="D28" s="2">
        <f>('Kwh Reading'!F29-'Kwh Reading'!F28)*1000000</f>
        <v>2400.0000000001796</v>
      </c>
      <c r="E28" s="2">
        <f>('Kwh Reading'!C29-'Kwh Reading'!C28)*1000</f>
        <v>250</v>
      </c>
      <c r="F28" s="2">
        <f>('Kwh Reading'!J29-'Kwh Reading'!J28)*1000</f>
        <v>240.00000000000909</v>
      </c>
      <c r="G28" s="2">
        <f>('Kwh Reading'!K29-'Kwh Reading'!K28)*1000</f>
        <v>350.00000000002274</v>
      </c>
      <c r="H28" s="2">
        <f>('Kwh Reading'!L29-'Kwh Reading'!L28)*1000</f>
        <v>229.99999999998977</v>
      </c>
      <c r="I28" s="2">
        <f>('Kwh Reading'!R29-'Kwh Reading'!R28)*1000</f>
        <v>290.00000000002046</v>
      </c>
      <c r="J28" s="2">
        <f>('Kwh Reading'!S29-'Kwh Reading'!S28)*1000</f>
        <v>140.00000000000057</v>
      </c>
      <c r="K28" s="2">
        <f>('Kwh Reading'!I29-'Kwh Reading'!I28)*1000</f>
        <v>270.00000000001023</v>
      </c>
      <c r="L28" s="2">
        <f>('Kwh Reading'!B29-'Kwh Reading'!B28)*1000</f>
        <v>180.00000000006366</v>
      </c>
      <c r="M28" s="2">
        <f>('Kwh Reading'!M29-'Kwh Reading'!M28)*1000</f>
        <v>640.0000000000432</v>
      </c>
      <c r="N28" s="2">
        <f>('Kwh Reading'!H29-'Kwh Reading'!H28)*1000</f>
        <v>779.99999999997272</v>
      </c>
      <c r="O28" s="2">
        <f>('Kwh Reading'!P29-'Kwh Reading'!P28)*1000</f>
        <v>669.99999999995907</v>
      </c>
      <c r="P28" s="2">
        <f>('Kwh Reading'!G29-'Kwh Reading'!G28)*1000</f>
        <v>919.99999999995907</v>
      </c>
      <c r="Q28" s="2">
        <f>('Kwh Reading'!Q29-'Kwh Reading'!Q28)*1000</f>
        <v>730.00000000001819</v>
      </c>
      <c r="R28" s="2">
        <f>('Kwh Reading'!N29-'Kwh Reading'!N28)*1000</f>
        <v>859.9999999999568</v>
      </c>
      <c r="S28" s="2">
        <f>'Kwh Reading'!E29-'Kwh Reading'!E28</f>
        <v>2964.589999999851</v>
      </c>
      <c r="T28" s="2">
        <f>'Kwh Reading'!D29-'Kwh Reading'!D28</f>
        <v>2242.1699999999255</v>
      </c>
      <c r="U28" s="27">
        <f>('Kwh Reading'!O29-'Kwh Reading'!O28)*1000</f>
        <v>219.99999999999886</v>
      </c>
      <c r="V28" s="16">
        <f t="shared" si="0"/>
        <v>7023.239999999656</v>
      </c>
    </row>
    <row r="29" spans="1:22" x14ac:dyDescent="0.25">
      <c r="A29" s="3">
        <f>'Kwh Reading'!A29</f>
        <v>44281</v>
      </c>
      <c r="B29" s="26">
        <f>TOTAL!E27</f>
        <v>23069.999999999709</v>
      </c>
      <c r="C29" s="4">
        <f>('Kwh Reading'!T30-'Kwh Reading'!T29)*1000</f>
        <v>250</v>
      </c>
      <c r="D29" s="2">
        <f>('Kwh Reading'!F30-'Kwh Reading'!F29)*1000000</f>
        <v>2699.9999999999245</v>
      </c>
      <c r="E29" s="2">
        <f>('Kwh Reading'!C30-'Kwh Reading'!C29)*1000</f>
        <v>270.00000000001023</v>
      </c>
      <c r="F29" s="2">
        <f>('Kwh Reading'!J30-'Kwh Reading'!J29)*1000</f>
        <v>300.00000000001137</v>
      </c>
      <c r="G29" s="2">
        <f>('Kwh Reading'!K30-'Kwh Reading'!K29)*1000</f>
        <v>389.99999999998636</v>
      </c>
      <c r="H29" s="2">
        <f>('Kwh Reading'!L30-'Kwh Reading'!L29)*1000</f>
        <v>240.00000000000909</v>
      </c>
      <c r="I29" s="2">
        <f>('Kwh Reading'!R30-'Kwh Reading'!R29)*1000</f>
        <v>239.99999999998067</v>
      </c>
      <c r="J29" s="2">
        <f>('Kwh Reading'!S30-'Kwh Reading'!S29)*1000</f>
        <v>109.99999999999943</v>
      </c>
      <c r="K29" s="2">
        <f>('Kwh Reading'!I30-'Kwh Reading'!I29)*1000</f>
        <v>270.00000000001023</v>
      </c>
      <c r="L29" s="2">
        <f>('Kwh Reading'!B30-'Kwh Reading'!B29)*1000</f>
        <v>2339.9999999999181</v>
      </c>
      <c r="M29" s="2">
        <f>('Kwh Reading'!M30-'Kwh Reading'!M29)*1000</f>
        <v>799.99999999995453</v>
      </c>
      <c r="N29" s="2">
        <f>('Kwh Reading'!H30-'Kwh Reading'!H29)*1000</f>
        <v>850.00000000002274</v>
      </c>
      <c r="O29" s="2">
        <f>('Kwh Reading'!P30-'Kwh Reading'!P29)*1000</f>
        <v>960.00000000003638</v>
      </c>
      <c r="P29" s="2">
        <f>('Kwh Reading'!G30-'Kwh Reading'!G29)*1000</f>
        <v>1019.9999999999818</v>
      </c>
      <c r="Q29" s="2">
        <f>('Kwh Reading'!Q30-'Kwh Reading'!Q29)*1000</f>
        <v>850.00000000002274</v>
      </c>
      <c r="R29" s="2">
        <f>('Kwh Reading'!N30-'Kwh Reading'!N29)*1000</f>
        <v>879.99999999999545</v>
      </c>
      <c r="S29" s="2">
        <f>'Kwh Reading'!E30-'Kwh Reading'!E29</f>
        <v>-7092865</v>
      </c>
      <c r="T29" s="2">
        <f>'Kwh Reading'!D30-'Kwh Reading'!D29</f>
        <v>2582.4799999995157</v>
      </c>
      <c r="U29" s="27">
        <f>('Kwh Reading'!O30-'Kwh Reading'!O29)*1000</f>
        <v>230.00000000000398</v>
      </c>
      <c r="V29" s="16">
        <f t="shared" si="0"/>
        <v>7100652.5200000005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-376300</v>
      </c>
      <c r="D30" s="2">
        <f>('Kwh Reading'!F31-'Kwh Reading'!F30)*1000000</f>
        <v>-2146300</v>
      </c>
      <c r="E30" s="2">
        <f>('Kwh Reading'!C31-'Kwh Reading'!C30)*1000</f>
        <v>-208370</v>
      </c>
      <c r="F30" s="2">
        <f>('Kwh Reading'!J31-'Kwh Reading'!J30)*1000</f>
        <v>-296600</v>
      </c>
      <c r="G30" s="2">
        <f>('Kwh Reading'!K31-'Kwh Reading'!K30)*1000</f>
        <v>-314520</v>
      </c>
      <c r="H30" s="2">
        <f>('Kwh Reading'!L31-'Kwh Reading'!L30)*1000</f>
        <v>-214970</v>
      </c>
      <c r="I30" s="2">
        <f>('Kwh Reading'!R31-'Kwh Reading'!R30)*1000</f>
        <v>-129009.99999999999</v>
      </c>
      <c r="J30" s="2">
        <f>('Kwh Reading'!S31-'Kwh Reading'!S30)*1000</f>
        <v>-102580</v>
      </c>
      <c r="K30" s="2">
        <f>('Kwh Reading'!I31-'Kwh Reading'!I30)*1000</f>
        <v>-204860</v>
      </c>
      <c r="L30" s="2">
        <f>('Kwh Reading'!B31-'Kwh Reading'!B30)*1000</f>
        <v>-854560</v>
      </c>
      <c r="M30" s="2">
        <f>('Kwh Reading'!M31-'Kwh Reading'!M30)*1000</f>
        <v>-444960</v>
      </c>
      <c r="N30" s="2">
        <f>('Kwh Reading'!H31-'Kwh Reading'!H30)*1000</f>
        <v>-554500</v>
      </c>
      <c r="O30" s="2">
        <f>('Kwh Reading'!P31-'Kwh Reading'!P30)*1000</f>
        <v>-519720</v>
      </c>
      <c r="P30" s="2">
        <f>('Kwh Reading'!G31-'Kwh Reading'!G30)*1000</f>
        <v>-658390</v>
      </c>
      <c r="Q30" s="2">
        <f>('Kwh Reading'!Q31-'Kwh Reading'!Q30)*1000</f>
        <v>-389660</v>
      </c>
      <c r="R30" s="2">
        <f>('Kwh Reading'!N31-'Kwh Reading'!N30)*1000</f>
        <v>-397340</v>
      </c>
      <c r="S30" s="2">
        <f>'Kwh Reading'!E31-'Kwh Reading'!E30</f>
        <v>-788423.24</v>
      </c>
      <c r="T30" s="2">
        <f>'Kwh Reading'!D31-'Kwh Reading'!D30</f>
        <v>-7247513.4299999997</v>
      </c>
      <c r="U30" s="27">
        <f>('Kwh Reading'!O31-'Kwh Reading'!O30)*1000</f>
        <v>-127450</v>
      </c>
      <c r="V30" s="16">
        <f t="shared" si="0"/>
        <v>15976026.67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568510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-202199.99999999997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-370649.99999999994</v>
      </c>
      <c r="R35" s="75">
        <f t="shared" si="5"/>
        <v>-376040.00000000006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23224823.219999999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22029.999999999745</v>
      </c>
      <c r="C21" s="1">
        <f>'Kwh Consumption'!C22</f>
        <v>269.99999999998181</v>
      </c>
      <c r="D21" s="1">
        <f>'Kwh Consumption'!D22</f>
        <v>2299.9999999999686</v>
      </c>
      <c r="E21" s="1">
        <f>'Kwh Consumption'!E22</f>
        <v>240.00000000000909</v>
      </c>
      <c r="F21" s="1">
        <f>('Kwh Consumption'!F22+'Kwh Consumption'!G22+'Kwh Consumption'!H22)</f>
        <v>599.99999999996589</v>
      </c>
      <c r="G21" s="16">
        <f>('Kwh Consumption'!I22+'Kwh Consumption'!J22)</f>
        <v>359.99999999999943</v>
      </c>
      <c r="H21" s="1">
        <f>('Kwh Consumption'!K22+'Kwh Consumption'!L22)</f>
        <v>1460.0000000000364</v>
      </c>
      <c r="I21" s="1">
        <f>('Kwh Consumption'!M22+'Kwh Consumption'!N22+'Kwh Consumption'!O22+'Kwh Consumption'!P22+'Kwh Consumption'!Q22+'Kwh Consumption'!R22)</f>
        <v>4569.9999999998799</v>
      </c>
      <c r="J21" s="1">
        <f>('Kwh Consumption'!S22+'Kwh Consumption'!T22)</f>
        <v>4506.230000000447</v>
      </c>
      <c r="K21" s="1">
        <f>'Kwh Consumption'!U22</f>
        <v>210.00000000000796</v>
      </c>
      <c r="L21" s="32">
        <f t="shared" si="0"/>
        <v>7513.7699999994502</v>
      </c>
    </row>
    <row r="22" spans="1:12" x14ac:dyDescent="0.25">
      <c r="A22" s="14">
        <f>'Kwh Reading'!A23</f>
        <v>44275</v>
      </c>
      <c r="B22" s="83">
        <f>TOTAL!E21</f>
        <v>20809.999999999716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869.99999999997613</v>
      </c>
      <c r="G22" s="16">
        <f>('Kwh Consumption'!I23+'Kwh Consumption'!J23)</f>
        <v>310.00000000000227</v>
      </c>
      <c r="H22" s="1">
        <f>('Kwh Consumption'!K23+'Kwh Consumption'!L23)</f>
        <v>1660.000000000025</v>
      </c>
      <c r="I22" s="1">
        <f>('Kwh Consumption'!M23+'Kwh Consumption'!N23+'Kwh Consumption'!O23+'Kwh Consumption'!P23+'Kwh Consumption'!Q23+'Kwh Consumption'!R23)</f>
        <v>5250</v>
      </c>
      <c r="J22" s="1">
        <f>('Kwh Consumption'!S23+'Kwh Consumption'!T23)</f>
        <v>5190.7900000000373</v>
      </c>
      <c r="K22" s="1">
        <f>'Kwh Consumption'!U23</f>
        <v>209.99999999999375</v>
      </c>
      <c r="L22" s="32">
        <f t="shared" si="0"/>
        <v>4089.2099999997472</v>
      </c>
    </row>
    <row r="23" spans="1:12" x14ac:dyDescent="0.25">
      <c r="A23" s="14">
        <f>'Kwh Reading'!A24</f>
        <v>44276</v>
      </c>
      <c r="B23" s="83">
        <f>TOTAL!E22</f>
        <v>23180.000000000742</v>
      </c>
      <c r="C23" s="1">
        <f>'Kwh Consumption'!C24</f>
        <v>490.00000000000909</v>
      </c>
      <c r="D23" s="1">
        <f>'Kwh Consumption'!D24</f>
        <v>2499.9999999999468</v>
      </c>
      <c r="E23" s="1">
        <f>'Kwh Consumption'!E24</f>
        <v>210.00000000000796</v>
      </c>
      <c r="F23" s="1">
        <f>('Kwh Consumption'!F24+'Kwh Consumption'!G24+'Kwh Consumption'!H24)</f>
        <v>850.00000000002274</v>
      </c>
      <c r="G23" s="16">
        <f>('Kwh Consumption'!I24+'Kwh Consumption'!J24)</f>
        <v>400.00000000000568</v>
      </c>
      <c r="H23" s="1">
        <f>('Kwh Consumption'!K24+'Kwh Consumption'!L24)</f>
        <v>1669.9999999999022</v>
      </c>
      <c r="I23" s="1">
        <f>('Kwh Consumption'!M24+'Kwh Consumption'!N24+'Kwh Consumption'!O24+'Kwh Consumption'!P24+'Kwh Consumption'!Q24+'Kwh Consumption'!R24)</f>
        <v>5339.9999999998618</v>
      </c>
      <c r="J23" s="1">
        <f>('Kwh Consumption'!S24+'Kwh Consumption'!T24)</f>
        <v>5288.589999999851</v>
      </c>
      <c r="K23" s="1">
        <f>'Kwh Consumption'!U24</f>
        <v>260.00000000000512</v>
      </c>
      <c r="L23" s="32">
        <f t="shared" si="0"/>
        <v>6171.4100000011331</v>
      </c>
    </row>
    <row r="24" spans="1:12" x14ac:dyDescent="0.25">
      <c r="A24" s="14">
        <f>'Kwh Reading'!A25</f>
        <v>44277</v>
      </c>
      <c r="B24" s="83">
        <f>TOTAL!E23</f>
        <v>22719.99999999889</v>
      </c>
      <c r="C24" s="1">
        <f>'Kwh Consumption'!C25</f>
        <v>519.99999999998181</v>
      </c>
      <c r="D24" s="1">
        <f>'Kwh Consumption'!D25</f>
        <v>2400.0000000001796</v>
      </c>
      <c r="E24" s="1">
        <f>'Kwh Consumption'!E25</f>
        <v>230.00000000001819</v>
      </c>
      <c r="F24" s="1">
        <f>('Kwh Consumption'!F25+'Kwh Consumption'!G25+'Kwh Consumption'!H25)</f>
        <v>689.99999999999773</v>
      </c>
      <c r="G24" s="16">
        <f>('Kwh Consumption'!I25+'Kwh Consumption'!J25)</f>
        <v>469.99999999999886</v>
      </c>
      <c r="H24" s="1">
        <f>('Kwh Consumption'!K25+'Kwh Consumption'!L25)</f>
        <v>1550.0000000000966</v>
      </c>
      <c r="I24" s="1">
        <f>('Kwh Consumption'!M25+'Kwh Consumption'!N25+'Kwh Consumption'!O25+'Kwh Consumption'!P25+'Kwh Consumption'!Q25+'Kwh Consumption'!R25)</f>
        <v>4860.000000000241</v>
      </c>
      <c r="J24" s="1">
        <f>('Kwh Consumption'!S25+'Kwh Consumption'!T25)</f>
        <v>5259.339999999851</v>
      </c>
      <c r="K24" s="1">
        <f>'Kwh Consumption'!U25</f>
        <v>229.99999999998977</v>
      </c>
      <c r="L24" s="32">
        <f t="shared" si="0"/>
        <v>6510.6599999985365</v>
      </c>
    </row>
    <row r="25" spans="1:12" x14ac:dyDescent="0.25">
      <c r="A25" s="14">
        <f>'Kwh Reading'!A26</f>
        <v>44278</v>
      </c>
      <c r="B25" s="83">
        <f>TOTAL!E24</f>
        <v>22160.000000000764</v>
      </c>
      <c r="C25" s="1">
        <f>'Kwh Consumption'!C26</f>
        <v>460.00000000003638</v>
      </c>
      <c r="D25" s="1">
        <f>'Kwh Consumption'!D26</f>
        <v>2299.9999999999686</v>
      </c>
      <c r="E25" s="1">
        <f>'Kwh Consumption'!E26</f>
        <v>250</v>
      </c>
      <c r="F25" s="1">
        <f>('Kwh Consumption'!F26+'Kwh Consumption'!G26+'Kwh Consumption'!H26)</f>
        <v>840.00000000000341</v>
      </c>
      <c r="G25" s="16">
        <f>('Kwh Consumption'!I26+'Kwh Consumption'!J26)</f>
        <v>420.00000000000171</v>
      </c>
      <c r="H25" s="1">
        <f>('Kwh Consumption'!K26+'Kwh Consumption'!L26)</f>
        <v>1599.9999999999375</v>
      </c>
      <c r="I25" s="1">
        <f>('Kwh Consumption'!M26+'Kwh Consumption'!N26+'Kwh Consumption'!O26+'Kwh Consumption'!P26+'Kwh Consumption'!Q26+'Kwh Consumption'!R26)</f>
        <v>4969.9999999999709</v>
      </c>
      <c r="J25" s="1">
        <f>('Kwh Consumption'!S26+'Kwh Consumption'!T26)</f>
        <v>5112.0000000009313</v>
      </c>
      <c r="K25" s="1">
        <f>'Kwh Consumption'!U26</f>
        <v>220.00000000001307</v>
      </c>
      <c r="L25" s="32">
        <f t="shared" si="0"/>
        <v>5987.9999999999036</v>
      </c>
    </row>
    <row r="26" spans="1:12" x14ac:dyDescent="0.25">
      <c r="A26" s="14">
        <f>'Kwh Reading'!A27</f>
        <v>44279</v>
      </c>
      <c r="B26" s="83">
        <f>TOTAL!E25</f>
        <v>19610.000000000357</v>
      </c>
      <c r="C26" s="1">
        <f>'Kwh Consumption'!C27</f>
        <v>489.99999999995225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909.99999999996817</v>
      </c>
      <c r="G26" s="16">
        <f>('Kwh Consumption'!I27+'Kwh Consumption'!J27)</f>
        <v>349.9999999999801</v>
      </c>
      <c r="H26" s="1">
        <f>('Kwh Consumption'!K27+'Kwh Consumption'!L27)</f>
        <v>1399.9999999999773</v>
      </c>
      <c r="I26" s="1">
        <f>('Kwh Consumption'!M27+'Kwh Consumption'!N27+'Kwh Consumption'!O27+'Kwh Consumption'!P27+'Kwh Consumption'!Q27+'Kwh Consumption'!R27)</f>
        <v>3939.9999999999977</v>
      </c>
      <c r="J26" s="1">
        <f>('Kwh Consumption'!S27+'Kwh Consumption'!T27)</f>
        <v>4449.75</v>
      </c>
      <c r="K26" s="1">
        <f>'Kwh Consumption'!U27</f>
        <v>209.99999999999375</v>
      </c>
      <c r="L26" s="32">
        <f t="shared" si="0"/>
        <v>5120.2500000005612</v>
      </c>
    </row>
    <row r="27" spans="1:12" x14ac:dyDescent="0.25">
      <c r="A27" s="14">
        <f>'Kwh Reading'!A28</f>
        <v>44280</v>
      </c>
      <c r="B27" s="83">
        <f>TOTAL!E26</f>
        <v>21859.999999999673</v>
      </c>
      <c r="C27" s="1">
        <f>'Kwh Consumption'!C28</f>
        <v>460.00000000003638</v>
      </c>
      <c r="D27" s="1">
        <f>'Kwh Consumption'!D28</f>
        <v>2400.0000000001796</v>
      </c>
      <c r="E27" s="1">
        <f>'Kwh Consumption'!E28</f>
        <v>250</v>
      </c>
      <c r="F27" s="1">
        <f>('Kwh Consumption'!F28+'Kwh Consumption'!G28+'Kwh Consumption'!H28)</f>
        <v>820.0000000000216</v>
      </c>
      <c r="G27" s="16">
        <f>('Kwh Consumption'!I28+'Kwh Consumption'!J28)</f>
        <v>430.00000000002103</v>
      </c>
      <c r="H27" s="1">
        <f>('Kwh Consumption'!K28+'Kwh Consumption'!L28)</f>
        <v>450.0000000000739</v>
      </c>
      <c r="I27" s="1">
        <f>('Kwh Consumption'!M28+'Kwh Consumption'!N28+'Kwh Consumption'!O28+'Kwh Consumption'!P28+'Kwh Consumption'!Q28+'Kwh Consumption'!R28)</f>
        <v>4599.9999999999091</v>
      </c>
      <c r="J27" s="1">
        <f>('Kwh Consumption'!S28+'Kwh Consumption'!T28)</f>
        <v>5206.7599999997765</v>
      </c>
      <c r="K27" s="1">
        <f>'Kwh Consumption'!U28</f>
        <v>219.99999999999886</v>
      </c>
      <c r="L27" s="32">
        <f t="shared" si="0"/>
        <v>7023.2399999996569</v>
      </c>
    </row>
    <row r="28" spans="1:12" x14ac:dyDescent="0.25">
      <c r="A28" s="14">
        <f>'Kwh Reading'!A29</f>
        <v>44281</v>
      </c>
      <c r="B28" s="83">
        <f>TOTAL!E27</f>
        <v>23069.999999999709</v>
      </c>
      <c r="C28" s="1">
        <f>'Kwh Consumption'!C29</f>
        <v>250</v>
      </c>
      <c r="D28" s="1">
        <f>'Kwh Consumption'!D29</f>
        <v>2699.9999999999245</v>
      </c>
      <c r="E28" s="1">
        <f>'Kwh Consumption'!E29</f>
        <v>270.00000000001023</v>
      </c>
      <c r="F28" s="1">
        <f>('Kwh Consumption'!F29+'Kwh Consumption'!G29+'Kwh Consumption'!H29)</f>
        <v>930.00000000000682</v>
      </c>
      <c r="G28" s="16">
        <f>('Kwh Consumption'!I29+'Kwh Consumption'!J29)</f>
        <v>349.9999999999801</v>
      </c>
      <c r="H28" s="1">
        <f>('Kwh Consumption'!K29+'Kwh Consumption'!L29)</f>
        <v>2609.9999999999281</v>
      </c>
      <c r="I28" s="1">
        <f>('Kwh Consumption'!M29+'Kwh Consumption'!N29+'Kwh Consumption'!O29+'Kwh Consumption'!P29+'Kwh Consumption'!Q29+'Kwh Consumption'!R29)</f>
        <v>5360.0000000000136</v>
      </c>
      <c r="J28" s="1">
        <f>('Kwh Consumption'!S29+'Kwh Consumption'!T29)</f>
        <v>-7090282.5200000005</v>
      </c>
      <c r="K28" s="1">
        <f>'Kwh Consumption'!U29</f>
        <v>230.00000000000398</v>
      </c>
      <c r="L28" s="32">
        <f t="shared" si="0"/>
        <v>7100652.5200000005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-376300</v>
      </c>
      <c r="D29" s="1">
        <f>'Kwh Consumption'!D30</f>
        <v>-2146300</v>
      </c>
      <c r="E29" s="1">
        <f>'Kwh Consumption'!E30</f>
        <v>-208370</v>
      </c>
      <c r="F29" s="1">
        <f>('Kwh Consumption'!F30+'Kwh Consumption'!G30+'Kwh Consumption'!H30)</f>
        <v>-826090</v>
      </c>
      <c r="G29" s="16">
        <f>('Kwh Consumption'!I30+'Kwh Consumption'!J30)</f>
        <v>-231590</v>
      </c>
      <c r="H29" s="1">
        <f>('Kwh Consumption'!K30+'Kwh Consumption'!L30)</f>
        <v>-1059420</v>
      </c>
      <c r="I29" s="1">
        <f>('Kwh Consumption'!M30+'Kwh Consumption'!N30+'Kwh Consumption'!O30+'Kwh Consumption'!P30+'Kwh Consumption'!Q30+'Kwh Consumption'!R30)</f>
        <v>-2964570</v>
      </c>
      <c r="J29" s="1">
        <f>('Kwh Consumption'!S30+'Kwh Consumption'!T30)</f>
        <v>-8035936.6699999999</v>
      </c>
      <c r="K29" s="1">
        <f>'Kwh Consumption'!U30</f>
        <v>-127450</v>
      </c>
      <c r="L29" s="32">
        <f t="shared" si="0"/>
        <v>15976026.67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568510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-202199.99999999997</v>
      </c>
      <c r="F34" s="75">
        <f t="shared" si="1"/>
        <v>-804710</v>
      </c>
      <c r="G34" s="75">
        <f t="shared" si="1"/>
        <v>-223451.00000000003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-14999702.220000001</v>
      </c>
      <c r="K34" s="75">
        <f t="shared" si="1"/>
        <v>-121340</v>
      </c>
      <c r="L34" s="75">
        <f t="shared" si="1"/>
        <v>23224823.219999999</v>
      </c>
      <c r="M34" s="84">
        <f>C34+D34+E34+F34+G34+H34+I34+J34+K34+L34</f>
        <v>568510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</v>
      </c>
      <c r="F36" s="75">
        <f>F34*B36</f>
        <v>-112659.40000000001</v>
      </c>
      <c r="G36" s="75">
        <f>G34*B36</f>
        <v>-31283.140000000007</v>
      </c>
      <c r="H36" s="75">
        <f>H34*B36</f>
        <v>-142765</v>
      </c>
      <c r="I36" s="75">
        <f>I34*B36</f>
        <v>-397185.60000000003</v>
      </c>
      <c r="J36" s="75">
        <f>J34*B36</f>
        <v>-2099958.3108000001</v>
      </c>
      <c r="K36" s="75">
        <f>K34*B36</f>
        <v>-16987.600000000002</v>
      </c>
      <c r="L36" s="75">
        <f>L34*B36</f>
        <v>3251475.2508</v>
      </c>
      <c r="M36" s="84">
        <f>C36+D36+E36+F36+G36+H36+I36+J36+K36+L36</f>
        <v>79591.399999999441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3084.1999999999648</v>
      </c>
      <c r="D21" s="1">
        <f>'Kwh Consumption'!C22*' Kwh area wise $ '!B21</f>
        <v>37.799999999997461</v>
      </c>
      <c r="E21" s="1">
        <f>'Kwh Consumption'!D22*' Kwh area wise $ '!B21</f>
        <v>321.99999999999562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83.999999999995239</v>
      </c>
      <c r="H21" s="16">
        <f>('Kwh Consumption'!I22+'Kwh Consumption'!J22)*' Kwh area wise $ '!B21</f>
        <v>50.399999999999928</v>
      </c>
      <c r="I21" s="1">
        <f>('Kwh Consumption'!K22+'Kwh Consumption'!L22)*' Kwh area wise $ '!B21</f>
        <v>204.40000000000512</v>
      </c>
      <c r="J21" s="1">
        <f>('Kwh Consumption'!M22+'Kwh Consumption'!N22+'Kwh Consumption'!O22+'Kwh Consumption'!P22+'Kwh Consumption'!Q22+'Kwh Consumption'!R22)*' Kwh area wise $ '!B21</f>
        <v>639.79999999998324</v>
      </c>
      <c r="K21" s="1">
        <f>('Kwh Consumption'!S22+'Kwh Consumption'!T22)*' Kwh area wise $ '!B21</f>
        <v>630.87220000006266</v>
      </c>
      <c r="L21" s="1">
        <f>'Kwh Consumption'!U22*' Kwh area wise $ '!B21</f>
        <v>29.400000000001118</v>
      </c>
      <c r="M21" s="1">
        <f>'Kwh Consumption'!V22*' Kwh area wise $ '!B21</f>
        <v>1051.9277999999233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2913.3999999999605</v>
      </c>
      <c r="D22" s="1">
        <f>'Kwh Consumption'!C23*' Kwh area wise $ '!B22</f>
        <v>70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121.79999999999667</v>
      </c>
      <c r="H22" s="16">
        <f>('Kwh Consumption'!I23+'Kwh Consumption'!J23)*' Kwh area wise $ '!B22</f>
        <v>43.400000000000325</v>
      </c>
      <c r="I22" s="1">
        <f>('Kwh Consumption'!K23+'Kwh Consumption'!L23)*' Kwh area wise $ '!B22</f>
        <v>232.40000000000353</v>
      </c>
      <c r="J22" s="1">
        <f>('Kwh Consumption'!M23+'Kwh Consumption'!N23+'Kwh Consumption'!O23+'Kwh Consumption'!P23+'Kwh Consumption'!Q23+'Kwh Consumption'!R23)*' Kwh area wise $ '!B22</f>
        <v>735.00000000000011</v>
      </c>
      <c r="K22" s="1">
        <f>('Kwh Consumption'!S23+'Kwh Consumption'!T23)*' Kwh area wise $ '!B22</f>
        <v>726.71060000000523</v>
      </c>
      <c r="L22" s="1">
        <f>'Kwh Consumption'!U23*' Kwh area wise $ '!B22</f>
        <v>29.399999999999128</v>
      </c>
      <c r="M22" s="1">
        <f>'Kwh Consumption'!V23*' Kwh area wise $ '!B22</f>
        <v>572.48939999996423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3245.2000000001044</v>
      </c>
      <c r="D23" s="1">
        <f>'Kwh Consumption'!C24*' Kwh area wise $ '!B23</f>
        <v>68.600000000001273</v>
      </c>
      <c r="E23" s="1">
        <f>'Kwh Consumption'!D24*' Kwh area wise $ '!B23</f>
        <v>349.99999999999261</v>
      </c>
      <c r="F23" s="1">
        <f>'Kwh Consumption'!E24*' Kwh area wise $ '!B23</f>
        <v>29.400000000001118</v>
      </c>
      <c r="G23" s="1">
        <f>('Kwh Consumption'!F24+'Kwh Consumption'!G24+'Kwh Consumption'!H24)*' Kwh area wise $ '!B23</f>
        <v>119.0000000000032</v>
      </c>
      <c r="H23" s="16">
        <f>('Kwh Consumption'!I24+'Kwh Consumption'!J24)*' Kwh area wise $ '!B23</f>
        <v>56.000000000000803</v>
      </c>
      <c r="I23" s="1">
        <f>('Kwh Consumption'!K24+'Kwh Consumption'!L24)*' Kwh area wise $ '!B23</f>
        <v>233.79999999998634</v>
      </c>
      <c r="J23" s="1">
        <f>('Kwh Consumption'!M24+'Kwh Consumption'!N24+'Kwh Consumption'!O24+'Kwh Consumption'!P24+'Kwh Consumption'!Q24+'Kwh Consumption'!R24)*' Kwh area wise $ '!B23</f>
        <v>747.5999999999807</v>
      </c>
      <c r="K23" s="1">
        <f>('Kwh Consumption'!S24+'Kwh Consumption'!T24)*' Kwh area wise $ '!B23</f>
        <v>740.4025999999792</v>
      </c>
      <c r="L23" s="1">
        <f>'Kwh Consumption'!U24*' Kwh area wise $ '!B23</f>
        <v>36.400000000000716</v>
      </c>
      <c r="M23" s="1">
        <f>'Kwh Consumption'!V24*' Kwh area wise $ '!B23</f>
        <v>863.99740000015845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3180.7999999998451</v>
      </c>
      <c r="D24" s="1">
        <f>'Kwh Consumption'!C25*' Kwh area wise $ '!B24</f>
        <v>72.799999999997453</v>
      </c>
      <c r="E24" s="1">
        <f>'Kwh Consumption'!D25*' Kwh area wise $ '!B24</f>
        <v>336.00000000002518</v>
      </c>
      <c r="F24" s="1">
        <f>'Kwh Consumption'!E25*' Kwh area wise $ '!B24</f>
        <v>32.200000000002547</v>
      </c>
      <c r="G24" s="1">
        <f>('Kwh Consumption'!F25+'Kwh Consumption'!G25+'Kwh Consumption'!H25)*' Kwh area wise $ '!B24</f>
        <v>96.599999999999696</v>
      </c>
      <c r="H24" s="16">
        <f>('Kwh Consumption'!I25+'Kwh Consumption'!J25)*' Kwh area wise $ '!B24</f>
        <v>65.799999999999841</v>
      </c>
      <c r="I24" s="1">
        <f>('Kwh Consumption'!K25+'Kwh Consumption'!L25)*' Kwh area wise $ '!B24</f>
        <v>217.00000000001356</v>
      </c>
      <c r="J24" s="1">
        <f>('Kwh Consumption'!M25+'Kwh Consumption'!N25+'Kwh Consumption'!O25+'Kwh Consumption'!P25+'Kwh Consumption'!Q25+'Kwh Consumption'!R25)*' Kwh area wise $ '!B24</f>
        <v>680.40000000003386</v>
      </c>
      <c r="K24" s="1">
        <f>('Kwh Consumption'!S25+'Kwh Consumption'!T25)*' Kwh area wise $ '!B24</f>
        <v>736.30759999997917</v>
      </c>
      <c r="L24" s="1">
        <f>'Kwh Consumption'!U25*' Kwh area wise $ '!B24</f>
        <v>32.199999999998568</v>
      </c>
      <c r="M24" s="1">
        <f>'Kwh Consumption'!V25*' Kwh area wise $ '!B24</f>
        <v>911.49239999979534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3102.4000000001074</v>
      </c>
      <c r="D25" s="1">
        <f>'Kwh Consumption'!C26*' Kwh area wise $ '!B25</f>
        <v>64.400000000005093</v>
      </c>
      <c r="E25" s="1">
        <f>'Kwh Consumption'!D26*' Kwh area wise $ '!B25</f>
        <v>321.99999999999562</v>
      </c>
      <c r="F25" s="1">
        <f>'Kwh Consumption'!E26*' Kwh area wise $ '!B25</f>
        <v>35</v>
      </c>
      <c r="G25" s="1">
        <f>('Kwh Consumption'!F26+'Kwh Consumption'!G26+'Kwh Consumption'!H26)*' Kwh area wise $ '!B25</f>
        <v>117.60000000000049</v>
      </c>
      <c r="H25" s="16">
        <f>('Kwh Consumption'!I26+'Kwh Consumption'!J26)*' Kwh area wise $ '!B25</f>
        <v>58.800000000000246</v>
      </c>
      <c r="I25" s="1">
        <f>('Kwh Consumption'!K26+'Kwh Consumption'!L26)*' Kwh area wise $ '!B25</f>
        <v>223.99999999999127</v>
      </c>
      <c r="J25" s="1">
        <f>('Kwh Consumption'!M26+'Kwh Consumption'!N26+'Kwh Consumption'!O26+'Kwh Consumption'!P26+'Kwh Consumption'!Q26+'Kwh Consumption'!R26)*' Kwh area wise $ '!B25</f>
        <v>695.79999999999598</v>
      </c>
      <c r="K25" s="1">
        <f>('Kwh Consumption'!S26+'Kwh Consumption'!T26)*' Kwh area wise $ '!B25</f>
        <v>715.68000000013046</v>
      </c>
      <c r="L25" s="1">
        <f>'Kwh Consumption'!U26*' Kwh area wise $ '!B25</f>
        <v>30.800000000001834</v>
      </c>
      <c r="M25" s="1">
        <f>'Kwh Consumption'!V26*' Kwh area wise $ '!B25</f>
        <v>838.31999999998629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2745.4000000000501</v>
      </c>
      <c r="D26" s="1">
        <f>'Kwh Consumption'!C27*' Kwh area wise $ '!B26</f>
        <v>68.599999999993315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127.39999999999556</v>
      </c>
      <c r="H26" s="16">
        <f>('Kwh Consumption'!I27+'Kwh Consumption'!J27)*' Kwh area wise $ '!B26</f>
        <v>48.999999999997222</v>
      </c>
      <c r="I26" s="1">
        <f>('Kwh Consumption'!K27+'Kwh Consumption'!L27)*' Kwh area wise $ '!B26</f>
        <v>195.99999999999685</v>
      </c>
      <c r="J26" s="1">
        <f>('Kwh Consumption'!M27+'Kwh Consumption'!N27+'Kwh Consumption'!O27+'Kwh Consumption'!P27+'Kwh Consumption'!Q27+'Kwh Consumption'!R27)*' Kwh area wise $ '!B26</f>
        <v>551.59999999999968</v>
      </c>
      <c r="K26" s="1">
        <f>('Kwh Consumption'!S27+'Kwh Consumption'!T27)*' Kwh area wise $ '!B26</f>
        <v>622.96500000000003</v>
      </c>
      <c r="L26" s="1">
        <f>'Kwh Consumption'!U27*' Kwh area wise $ '!B26</f>
        <v>29.399999999999128</v>
      </c>
      <c r="M26" s="1">
        <f>'Kwh Consumption'!V27*' Kwh area wise $ '!B26</f>
        <v>716.83500000007825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3060.3999999999546</v>
      </c>
      <c r="D27" s="1">
        <f>'Kwh Consumption'!C28*' Kwh area wise $ '!B27</f>
        <v>64.400000000005093</v>
      </c>
      <c r="E27" s="1">
        <f>'Kwh Consumption'!D28*' Kwh area wise $ '!B27</f>
        <v>336.00000000002518</v>
      </c>
      <c r="F27" s="1">
        <f>'Kwh Consumption'!E28*' Kwh area wise $ '!B27</f>
        <v>35</v>
      </c>
      <c r="G27" s="1">
        <f>('Kwh Consumption'!F28+'Kwh Consumption'!G28+'Kwh Consumption'!H28)*' Kwh area wise $ '!B27</f>
        <v>114.80000000000304</v>
      </c>
      <c r="H27" s="16">
        <f>('Kwh Consumption'!I28+'Kwh Consumption'!J28)*' Kwh area wise $ '!B27</f>
        <v>60.200000000002952</v>
      </c>
      <c r="I27" s="1">
        <f>('Kwh Consumption'!K28+'Kwh Consumption'!L28)*' Kwh area wise $ '!B27</f>
        <v>63.000000000010353</v>
      </c>
      <c r="J27" s="1">
        <f>('Kwh Consumption'!M28+'Kwh Consumption'!N28+'Kwh Consumption'!O28+'Kwh Consumption'!P28+'Kwh Consumption'!Q28+'Kwh Consumption'!R28)*' Kwh area wise $ '!B27</f>
        <v>643.99999999998738</v>
      </c>
      <c r="K27" s="1">
        <f>('Kwh Consumption'!S28+'Kwh Consumption'!T28)*' Kwh area wise $ '!B27</f>
        <v>728.94639999996878</v>
      </c>
      <c r="L27" s="1">
        <f>'Kwh Consumption'!U28*' Kwh area wise $ '!B27</f>
        <v>30.799999999999844</v>
      </c>
      <c r="M27" s="1">
        <f>'Kwh Consumption'!V28*' Kwh area wise $ '!B27</f>
        <v>983.25359999995192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3229.7999999999597</v>
      </c>
      <c r="D28" s="1">
        <f>'Kwh Consumption'!C29*' Kwh area wise $ '!B28</f>
        <v>35</v>
      </c>
      <c r="E28" s="1">
        <f>'Kwh Consumption'!D29*' Kwh area wise $ '!B28</f>
        <v>377.99999999998948</v>
      </c>
      <c r="F28" s="1">
        <f>'Kwh Consumption'!E29*' Kwh area wise $ '!B28</f>
        <v>37.80000000000144</v>
      </c>
      <c r="G28" s="1">
        <f>('Kwh Consumption'!F29+'Kwh Consumption'!G29+'Kwh Consumption'!H29)*' Kwh area wise $ '!B28</f>
        <v>130.20000000000095</v>
      </c>
      <c r="H28" s="16">
        <f>('Kwh Consumption'!I29+'Kwh Consumption'!J29)*' Kwh area wise $ '!B28</f>
        <v>48.999999999997222</v>
      </c>
      <c r="I28" s="1">
        <f>('Kwh Consumption'!K29+'Kwh Consumption'!L29)*' Kwh area wise $ '!B28</f>
        <v>365.39999999998997</v>
      </c>
      <c r="J28" s="1">
        <f>('Kwh Consumption'!M29+'Kwh Consumption'!N29+'Kwh Consumption'!O29+'Kwh Consumption'!P29+'Kwh Consumption'!Q29+'Kwh Consumption'!R29)*' Kwh area wise $ '!B28</f>
        <v>750.40000000000202</v>
      </c>
      <c r="K28" s="1">
        <f>('Kwh Consumption'!S29+'Kwh Consumption'!T29)*' Kwh area wise $ '!B28</f>
        <v>-992639.55280000018</v>
      </c>
      <c r="L28" s="1">
        <f>'Kwh Consumption'!U29*' Kwh area wise $ '!B28</f>
        <v>32.200000000000557</v>
      </c>
      <c r="M28" s="1">
        <f>'Kwh Consumption'!V29*' Kwh area wise $ '!B28</f>
        <v>994091.35280000011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-52682.000000000007</v>
      </c>
      <c r="E29" s="1">
        <f>'Kwh Consumption'!D30*' Kwh area wise $ '!B29</f>
        <v>-300482</v>
      </c>
      <c r="F29" s="1">
        <f>'Kwh Consumption'!E30*' Kwh area wise $ '!B29</f>
        <v>-29171.800000000003</v>
      </c>
      <c r="G29" s="1">
        <f>('Kwh Consumption'!F30+'Kwh Consumption'!G30+'Kwh Consumption'!H30)*' Kwh area wise $ '!B29</f>
        <v>-115652.6</v>
      </c>
      <c r="H29" s="16">
        <f>('Kwh Consumption'!I30+'Kwh Consumption'!J30)*' Kwh area wise $ '!B29</f>
        <v>-32422.600000000002</v>
      </c>
      <c r="I29" s="1">
        <f>('Kwh Consumption'!K30+'Kwh Consumption'!L30)*' Kwh area wise $ '!B29</f>
        <v>-148318.80000000002</v>
      </c>
      <c r="J29" s="1">
        <f>('Kwh Consumption'!M30+'Kwh Consumption'!N30+'Kwh Consumption'!O30+'Kwh Consumption'!P30+'Kwh Consumption'!Q30+'Kwh Consumption'!R30)*' Kwh area wise $ '!B29</f>
        <v>-415039.80000000005</v>
      </c>
      <c r="K29" s="1">
        <f>('Kwh Consumption'!S30+'Kwh Consumption'!T30)*' Kwh area wise $ '!B29</f>
        <v>-1125031.1338000002</v>
      </c>
      <c r="L29" s="1">
        <f>'Kwh Consumption'!U30*' Kwh area wise $ '!B29</f>
        <v>-17843</v>
      </c>
      <c r="M29" s="1">
        <f>'Kwh Consumption'!V30*' Kwh area wise $ '!B29</f>
        <v>2236643.7338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79591.400000000023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-142765.00000000003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-16987.599999999999</v>
      </c>
      <c r="M34" s="75">
        <f>SUM(M3:M33)</f>
        <v>3251475.2508000005</v>
      </c>
      <c r="N34" s="84">
        <f>D34+E34+F34+G34+H34+I34+J34+K34+L34+M34</f>
        <v>79591.399999999907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29" sqref="R2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5763</v>
      </c>
    </row>
    <row r="22" spans="1:22" x14ac:dyDescent="0.25">
      <c r="A22" s="54">
        <v>44275</v>
      </c>
      <c r="B22" s="33">
        <v>149110</v>
      </c>
      <c r="C22" s="56">
        <v>106285</v>
      </c>
      <c r="D22" s="55">
        <v>194010</v>
      </c>
      <c r="E22" s="55">
        <v>241684</v>
      </c>
      <c r="F22" s="55">
        <v>66858</v>
      </c>
      <c r="G22" s="55">
        <v>109792</v>
      </c>
      <c r="H22" s="33">
        <v>47564</v>
      </c>
      <c r="I22" s="55">
        <v>58771</v>
      </c>
      <c r="J22" s="55">
        <v>18881</v>
      </c>
      <c r="K22" s="55">
        <v>1024</v>
      </c>
      <c r="L22" s="55">
        <v>16655</v>
      </c>
      <c r="M22" s="55">
        <v>22712</v>
      </c>
      <c r="N22" s="55">
        <v>6817</v>
      </c>
      <c r="O22" s="55">
        <v>1584</v>
      </c>
      <c r="P22" s="55">
        <v>26109</v>
      </c>
      <c r="Q22" s="33">
        <v>217</v>
      </c>
      <c r="R22" s="55">
        <v>5765</v>
      </c>
    </row>
    <row r="23" spans="1:22" x14ac:dyDescent="0.25">
      <c r="A23" s="54">
        <v>44276</v>
      </c>
      <c r="B23" s="33">
        <v>149235</v>
      </c>
      <c r="C23" s="33">
        <v>106499</v>
      </c>
      <c r="D23" s="55">
        <v>194154</v>
      </c>
      <c r="E23" s="55">
        <v>241739</v>
      </c>
      <c r="F23" s="55">
        <v>66858</v>
      </c>
      <c r="G23" s="55">
        <v>109811</v>
      </c>
      <c r="H23" s="33">
        <v>47607</v>
      </c>
      <c r="I23" s="55">
        <v>58829</v>
      </c>
      <c r="J23" s="55">
        <v>18892</v>
      </c>
      <c r="K23" s="55">
        <v>1024</v>
      </c>
      <c r="L23" s="55">
        <v>16562</v>
      </c>
      <c r="M23" s="55">
        <v>22726</v>
      </c>
      <c r="N23" s="55">
        <v>6819</v>
      </c>
      <c r="O23" s="55">
        <v>1585</v>
      </c>
      <c r="P23" s="55">
        <v>26127</v>
      </c>
      <c r="Q23" s="33">
        <v>229</v>
      </c>
      <c r="R23" s="55">
        <v>5772</v>
      </c>
    </row>
    <row r="24" spans="1:22" x14ac:dyDescent="0.25">
      <c r="A24" s="54">
        <v>44277</v>
      </c>
      <c r="B24" s="33">
        <v>149353</v>
      </c>
      <c r="C24" s="56">
        <v>106743</v>
      </c>
      <c r="D24" s="55">
        <v>194332</v>
      </c>
      <c r="E24" s="55">
        <v>241795</v>
      </c>
      <c r="F24" s="55">
        <v>66858</v>
      </c>
      <c r="G24" s="55">
        <v>109831</v>
      </c>
      <c r="H24" s="33">
        <v>47650</v>
      </c>
      <c r="I24" s="55">
        <v>58864</v>
      </c>
      <c r="J24" s="55">
        <v>18903</v>
      </c>
      <c r="K24" s="55">
        <v>1024</v>
      </c>
      <c r="L24" s="55">
        <v>16569</v>
      </c>
      <c r="M24" s="55">
        <v>22742</v>
      </c>
      <c r="N24" s="55">
        <v>6821</v>
      </c>
      <c r="O24" s="55">
        <v>1585</v>
      </c>
      <c r="P24" s="55">
        <v>26141</v>
      </c>
      <c r="Q24" s="33">
        <v>243</v>
      </c>
      <c r="R24" s="55">
        <v>5777</v>
      </c>
    </row>
    <row r="25" spans="1:22" x14ac:dyDescent="0.25">
      <c r="A25" s="54">
        <v>44278</v>
      </c>
      <c r="B25" s="33">
        <v>149474</v>
      </c>
      <c r="C25" s="33">
        <v>106940</v>
      </c>
      <c r="D25" s="55">
        <v>194482</v>
      </c>
      <c r="E25" s="55">
        <v>241849</v>
      </c>
      <c r="F25" s="55">
        <v>66860</v>
      </c>
      <c r="G25" s="55">
        <v>109850</v>
      </c>
      <c r="H25" s="33">
        <v>47690</v>
      </c>
      <c r="I25" s="55">
        <v>58895</v>
      </c>
      <c r="J25" s="55">
        <v>18913</v>
      </c>
      <c r="K25" s="55">
        <v>1024</v>
      </c>
      <c r="L25" s="55">
        <v>16576</v>
      </c>
      <c r="M25" s="55">
        <v>22758</v>
      </c>
      <c r="N25" s="55">
        <v>6824</v>
      </c>
      <c r="O25" s="55">
        <v>1586</v>
      </c>
      <c r="P25" s="55">
        <v>26141</v>
      </c>
      <c r="Q25" s="33">
        <v>257</v>
      </c>
      <c r="R25" s="55">
        <v>5783</v>
      </c>
    </row>
    <row r="26" spans="1:22" x14ac:dyDescent="0.25">
      <c r="A26" s="54">
        <v>44279</v>
      </c>
      <c r="B26" s="33">
        <v>149599</v>
      </c>
      <c r="C26" s="56">
        <v>107109</v>
      </c>
      <c r="D26" s="55">
        <v>194605</v>
      </c>
      <c r="E26" s="55">
        <v>241906</v>
      </c>
      <c r="F26" s="55">
        <v>66861</v>
      </c>
      <c r="G26" s="55">
        <v>109872</v>
      </c>
      <c r="H26" s="33">
        <v>47716</v>
      </c>
      <c r="I26" s="55">
        <v>58925</v>
      </c>
      <c r="J26" s="55">
        <v>18923</v>
      </c>
      <c r="K26" s="55">
        <v>1024</v>
      </c>
      <c r="L26" s="55">
        <v>16583</v>
      </c>
      <c r="M26" s="55">
        <v>22775</v>
      </c>
      <c r="N26" s="55">
        <v>6827</v>
      </c>
      <c r="O26" s="55">
        <v>1586</v>
      </c>
      <c r="P26" s="55">
        <v>26141</v>
      </c>
      <c r="Q26" s="33">
        <v>259</v>
      </c>
      <c r="R26" s="55">
        <v>5789</v>
      </c>
    </row>
    <row r="27" spans="1:22" x14ac:dyDescent="0.25">
      <c r="A27" s="54">
        <v>44280</v>
      </c>
      <c r="B27" s="33">
        <v>149800</v>
      </c>
      <c r="C27" s="33">
        <v>107306</v>
      </c>
      <c r="D27" s="55">
        <v>194756</v>
      </c>
      <c r="E27" s="55">
        <v>241967</v>
      </c>
      <c r="F27" s="55">
        <v>66861</v>
      </c>
      <c r="G27" s="55">
        <v>109898</v>
      </c>
      <c r="H27" s="33">
        <v>47748</v>
      </c>
      <c r="I27" s="55">
        <v>58957</v>
      </c>
      <c r="J27" s="55">
        <v>18934</v>
      </c>
      <c r="K27" s="55">
        <v>1024</v>
      </c>
      <c r="L27" s="55">
        <v>16590</v>
      </c>
      <c r="M27" s="55">
        <v>22789</v>
      </c>
      <c r="N27" s="55">
        <v>6829</v>
      </c>
      <c r="O27" s="55">
        <v>1588</v>
      </c>
      <c r="P27" s="55">
        <v>26141</v>
      </c>
      <c r="Q27" s="33">
        <v>265</v>
      </c>
      <c r="R27" s="55">
        <v>5795</v>
      </c>
    </row>
    <row r="28" spans="1:22" x14ac:dyDescent="0.25">
      <c r="A28" s="54">
        <v>44281</v>
      </c>
      <c r="B28" s="33">
        <v>149953</v>
      </c>
      <c r="C28" s="56">
        <v>107491</v>
      </c>
      <c r="D28" s="55">
        <v>194901</v>
      </c>
      <c r="E28" s="55">
        <v>242012</v>
      </c>
      <c r="F28" s="55">
        <v>66862</v>
      </c>
      <c r="G28" s="55">
        <v>109917</v>
      </c>
      <c r="H28" s="33">
        <v>47782</v>
      </c>
      <c r="I28" s="55">
        <v>58992</v>
      </c>
      <c r="J28" s="55">
        <v>18944</v>
      </c>
      <c r="K28" s="55">
        <v>1024</v>
      </c>
      <c r="L28" s="55">
        <v>16588</v>
      </c>
      <c r="M28" s="55">
        <v>22803</v>
      </c>
      <c r="N28" s="55">
        <v>6831</v>
      </c>
      <c r="O28" s="55">
        <v>1588</v>
      </c>
      <c r="P28" s="55">
        <v>26141</v>
      </c>
      <c r="Q28" s="33">
        <v>267</v>
      </c>
      <c r="R28" s="55">
        <v>5800</v>
      </c>
    </row>
    <row r="29" spans="1:22" x14ac:dyDescent="0.25">
      <c r="A29" s="54">
        <v>44282</v>
      </c>
      <c r="B29" s="33">
        <v>150068</v>
      </c>
      <c r="C29" s="33">
        <v>107700</v>
      </c>
      <c r="D29" s="55">
        <v>195043</v>
      </c>
      <c r="E29" s="55">
        <v>242078</v>
      </c>
      <c r="F29" s="55">
        <v>66863</v>
      </c>
      <c r="G29" s="55">
        <v>109945</v>
      </c>
      <c r="H29" s="33">
        <v>47828</v>
      </c>
      <c r="I29" s="10">
        <v>59043</v>
      </c>
      <c r="J29" s="55">
        <v>18954</v>
      </c>
      <c r="K29" s="55">
        <v>1024</v>
      </c>
      <c r="L29" s="55">
        <v>16605</v>
      </c>
      <c r="M29" s="55">
        <v>22819</v>
      </c>
      <c r="N29" s="55">
        <v>6834</v>
      </c>
      <c r="O29" s="55">
        <v>1588</v>
      </c>
      <c r="P29" s="55">
        <v>26141</v>
      </c>
      <c r="Q29" s="55">
        <v>267</v>
      </c>
      <c r="R29" s="55">
        <v>5801</v>
      </c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148</v>
      </c>
      <c r="H21" s="89">
        <f t="shared" si="4"/>
        <v>0.40547945205479452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6</v>
      </c>
      <c r="N21" s="92">
        <f t="shared" si="7"/>
        <v>1.643835616438356E-2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256</v>
      </c>
      <c r="C22" s="66">
        <f>('Water Reading'!B22-'Water Reading'!B21)+('Water Reading'!C22-'Water Reading'!C21)</f>
        <v>299</v>
      </c>
      <c r="D22" s="67">
        <f t="shared" si="2"/>
        <v>1.16796875</v>
      </c>
      <c r="E22" s="87">
        <f>'Water Reading'!H22-'Water Reading'!H21</f>
        <v>36</v>
      </c>
      <c r="F22" s="89">
        <f t="shared" si="3"/>
        <v>0.12040133779264214</v>
      </c>
      <c r="G22" s="93">
        <f>('Water Reading'!D22-'Water Reading'!D21)-('Water Reading'!R22-'Water Reading'!R21)-('Water Reading'!Q22-'Water Reading'!Q21)</f>
        <v>108</v>
      </c>
      <c r="H22" s="89">
        <f t="shared" si="4"/>
        <v>0.3612040133779264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27</v>
      </c>
      <c r="L22" s="68">
        <f t="shared" si="6"/>
        <v>9.0301003344481601E-2</v>
      </c>
      <c r="M22" s="90">
        <f>'Water Reading'!R22-'Water Reading'!R21</f>
        <v>2</v>
      </c>
      <c r="N22" s="92">
        <f t="shared" si="7"/>
        <v>6.688963210702341E-3</v>
      </c>
      <c r="O22" s="90">
        <f>'Water Reading'!Q22-'Water Reading'!Q21</f>
        <v>2</v>
      </c>
      <c r="P22" s="99">
        <f t="shared" si="8"/>
        <v>6.688963210702341E-3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54</v>
      </c>
      <c r="T22" s="100">
        <f t="shared" si="10"/>
        <v>0.1806020066889632</v>
      </c>
      <c r="U22" s="90">
        <f>'Water Reading'!G22-'Water Reading'!G21</f>
        <v>19</v>
      </c>
      <c r="V22" s="100">
        <f t="shared" si="11"/>
        <v>6.354515050167224E-2</v>
      </c>
      <c r="W22" s="90">
        <f>'Water Reading'!J22-'Water Reading'!J21</f>
        <v>11</v>
      </c>
      <c r="X22" s="100">
        <f t="shared" si="12"/>
        <v>3.678929765886288E-2</v>
      </c>
      <c r="Y22" s="66">
        <f t="shared" si="0"/>
        <v>259</v>
      </c>
      <c r="Z22" s="67">
        <f t="shared" si="1"/>
        <v>1.01171875</v>
      </c>
    </row>
    <row r="23" spans="1:26" x14ac:dyDescent="0.25">
      <c r="A23" s="8">
        <f>'Water Reading'!A22</f>
        <v>44275</v>
      </c>
      <c r="B23" s="65">
        <f>TOTAL!I21</f>
        <v>266</v>
      </c>
      <c r="C23" s="66">
        <f>('Water Reading'!B23-'Water Reading'!B22)+('Water Reading'!C23-'Water Reading'!C22)</f>
        <v>339</v>
      </c>
      <c r="D23" s="67">
        <f t="shared" si="2"/>
        <v>1.2744360902255638</v>
      </c>
      <c r="E23" s="87">
        <f>'Water Reading'!H23-'Water Reading'!H22</f>
        <v>43</v>
      </c>
      <c r="F23" s="89">
        <f t="shared" si="3"/>
        <v>0.12684365781710916</v>
      </c>
      <c r="G23" s="93">
        <f>('Water Reading'!D23-'Water Reading'!D22)-('Water Reading'!R23-'Water Reading'!R22)-('Water Reading'!Q23-'Water Reading'!Q22)</f>
        <v>125</v>
      </c>
      <c r="H23" s="89">
        <f t="shared" si="4"/>
        <v>0.36873156342182889</v>
      </c>
      <c r="I23" s="90">
        <f>'Water Reading'!P23-'Water Reading'!P22</f>
        <v>18</v>
      </c>
      <c r="J23" s="68">
        <f t="shared" si="5"/>
        <v>5.3097345132743362E-2</v>
      </c>
      <c r="K23" s="90">
        <f>('Water Reading'!I23-'Water Reading'!I22)-('Water Reading'!P23-'Water Reading'!P22)</f>
        <v>40</v>
      </c>
      <c r="L23" s="68">
        <f t="shared" si="6"/>
        <v>0.11799410029498525</v>
      </c>
      <c r="M23" s="90">
        <f>'Water Reading'!R23-'Water Reading'!R22</f>
        <v>7</v>
      </c>
      <c r="N23" s="92">
        <f t="shared" si="7"/>
        <v>2.0648967551622419E-2</v>
      </c>
      <c r="O23" s="90">
        <f>'Water Reading'!Q23-'Water Reading'!Q22</f>
        <v>12</v>
      </c>
      <c r="P23" s="99">
        <f t="shared" si="8"/>
        <v>3.5398230088495575E-2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55</v>
      </c>
      <c r="T23" s="100">
        <f t="shared" si="10"/>
        <v>0.16224188790560473</v>
      </c>
      <c r="U23" s="90">
        <f>'Water Reading'!G23-'Water Reading'!G22</f>
        <v>19</v>
      </c>
      <c r="V23" s="100">
        <f t="shared" si="11"/>
        <v>5.6047197640117993E-2</v>
      </c>
      <c r="W23" s="90">
        <f>'Water Reading'!J23-'Water Reading'!J22</f>
        <v>11</v>
      </c>
      <c r="X23" s="100">
        <f t="shared" si="12"/>
        <v>3.2448377581120944E-2</v>
      </c>
      <c r="Y23" s="66">
        <f t="shared" si="0"/>
        <v>330</v>
      </c>
      <c r="Z23" s="67">
        <f t="shared" si="1"/>
        <v>1.2406015037593985</v>
      </c>
    </row>
    <row r="24" spans="1:26" x14ac:dyDescent="0.25">
      <c r="A24" s="8">
        <f>'Water Reading'!A23</f>
        <v>44276</v>
      </c>
      <c r="B24" s="65">
        <f>TOTAL!I22</f>
        <v>323</v>
      </c>
      <c r="C24" s="66">
        <f>('Water Reading'!B24-'Water Reading'!B23)+('Water Reading'!C24-'Water Reading'!C23)</f>
        <v>362</v>
      </c>
      <c r="D24" s="67">
        <f t="shared" si="2"/>
        <v>1.1207430340557276</v>
      </c>
      <c r="E24" s="87">
        <f>'Water Reading'!H24-'Water Reading'!H23</f>
        <v>43</v>
      </c>
      <c r="F24" s="89">
        <f t="shared" si="3"/>
        <v>0.11878453038674033</v>
      </c>
      <c r="G24" s="93">
        <f>('Water Reading'!D24-'Water Reading'!D23)-('Water Reading'!R24-'Water Reading'!R23)-('Water Reading'!Q24-'Water Reading'!Q23)</f>
        <v>159</v>
      </c>
      <c r="H24" s="89">
        <f t="shared" si="4"/>
        <v>0.43922651933701656</v>
      </c>
      <c r="I24" s="90">
        <f>'Water Reading'!P24-'Water Reading'!P23</f>
        <v>14</v>
      </c>
      <c r="J24" s="68">
        <f t="shared" si="5"/>
        <v>3.8674033149171269E-2</v>
      </c>
      <c r="K24" s="90">
        <f>('Water Reading'!I24-'Water Reading'!I23)</f>
        <v>35</v>
      </c>
      <c r="L24" s="68">
        <f t="shared" si="6"/>
        <v>9.668508287292818E-2</v>
      </c>
      <c r="M24" s="90">
        <f>'Water Reading'!R24-'Water Reading'!R23</f>
        <v>5</v>
      </c>
      <c r="N24" s="92">
        <f t="shared" si="7"/>
        <v>1.3812154696132596E-2</v>
      </c>
      <c r="O24" s="90">
        <f>'Water Reading'!Q24-'Water Reading'!Q23</f>
        <v>14</v>
      </c>
      <c r="P24" s="99">
        <f t="shared" si="8"/>
        <v>3.8674033149171269E-2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56</v>
      </c>
      <c r="T24" s="100">
        <f t="shared" si="10"/>
        <v>0.15469613259668508</v>
      </c>
      <c r="U24" s="90">
        <f>'Water Reading'!G24-'Water Reading'!G23</f>
        <v>20</v>
      </c>
      <c r="V24" s="100">
        <f t="shared" si="11"/>
        <v>5.5248618784530384E-2</v>
      </c>
      <c r="W24" s="90">
        <f>'Water Reading'!J24-'Water Reading'!J23</f>
        <v>11</v>
      </c>
      <c r="X24" s="100">
        <f t="shared" si="12"/>
        <v>3.0386740331491711E-2</v>
      </c>
      <c r="Y24" s="66">
        <f t="shared" si="0"/>
        <v>357</v>
      </c>
      <c r="Z24" s="67">
        <f t="shared" si="1"/>
        <v>1.1052631578947369</v>
      </c>
    </row>
    <row r="25" spans="1:26" x14ac:dyDescent="0.25">
      <c r="A25" s="8">
        <f>'Water Reading'!A24</f>
        <v>44277</v>
      </c>
      <c r="B25" s="65">
        <f>TOTAL!I23</f>
        <v>269</v>
      </c>
      <c r="C25" s="66">
        <f>('Water Reading'!B25-'Water Reading'!B24)+('Water Reading'!C25-'Water Reading'!C24)</f>
        <v>318</v>
      </c>
      <c r="D25" s="67">
        <f t="shared" si="2"/>
        <v>1.1821561338289963</v>
      </c>
      <c r="E25" s="87">
        <f>'Water Reading'!H25-'Water Reading'!H24</f>
        <v>40</v>
      </c>
      <c r="F25" s="89">
        <f t="shared" si="3"/>
        <v>0.12578616352201258</v>
      </c>
      <c r="G25" s="93">
        <f>('Water Reading'!D25-'Water Reading'!D24)-('Water Reading'!R25-'Water Reading'!R24)-('Water Reading'!Q25-'Water Reading'!Q24)</f>
        <v>130</v>
      </c>
      <c r="H25" s="89">
        <f t="shared" si="4"/>
        <v>0.4088050314465409</v>
      </c>
      <c r="I25" s="90">
        <f>'Water Reading'!P25-'Water Reading'!P24</f>
        <v>0</v>
      </c>
      <c r="J25" s="68">
        <f t="shared" si="5"/>
        <v>0</v>
      </c>
      <c r="K25" s="90">
        <f>('Water Reading'!I25-'Water Reading'!I24)</f>
        <v>31</v>
      </c>
      <c r="L25" s="68">
        <f t="shared" si="6"/>
        <v>9.7484276729559755E-2</v>
      </c>
      <c r="M25" s="90">
        <f>'Water Reading'!R25-'Water Reading'!R24</f>
        <v>6</v>
      </c>
      <c r="N25" s="92">
        <f t="shared" si="7"/>
        <v>1.8867924528301886E-2</v>
      </c>
      <c r="O25" s="90">
        <f>'Water Reading'!Q25-'Water Reading'!Q24</f>
        <v>14</v>
      </c>
      <c r="P25" s="99">
        <f t="shared" si="8"/>
        <v>4.40251572327044E-2</v>
      </c>
      <c r="Q25" s="91">
        <f>'Water Reading'!F25-'Water Reading'!F24</f>
        <v>2</v>
      </c>
      <c r="R25" s="100">
        <f t="shared" si="9"/>
        <v>6.2893081761006293E-3</v>
      </c>
      <c r="S25" s="94">
        <f>'Water Reading'!E25-'Water Reading'!E24</f>
        <v>54</v>
      </c>
      <c r="T25" s="100">
        <f t="shared" si="10"/>
        <v>0.16981132075471697</v>
      </c>
      <c r="U25" s="90">
        <f>'Water Reading'!G25-'Water Reading'!G24</f>
        <v>19</v>
      </c>
      <c r="V25" s="100">
        <f t="shared" si="11"/>
        <v>5.9748427672955975E-2</v>
      </c>
      <c r="W25" s="90">
        <f>'Water Reading'!J25-'Water Reading'!J24</f>
        <v>10</v>
      </c>
      <c r="X25" s="100">
        <f t="shared" si="12"/>
        <v>3.1446540880503145E-2</v>
      </c>
      <c r="Y25" s="66">
        <f t="shared" si="0"/>
        <v>306</v>
      </c>
      <c r="Z25" s="67">
        <f t="shared" si="1"/>
        <v>1.1375464684014871</v>
      </c>
    </row>
    <row r="26" spans="1:26" x14ac:dyDescent="0.25">
      <c r="A26" s="8">
        <f>'Water Reading'!A25</f>
        <v>44278</v>
      </c>
      <c r="B26" s="65">
        <f>TOTAL!I24</f>
        <v>256</v>
      </c>
      <c r="C26" s="66">
        <f>('Water Reading'!B26-'Water Reading'!B25)+('Water Reading'!C26-'Water Reading'!C25)</f>
        <v>294</v>
      </c>
      <c r="D26" s="67">
        <f t="shared" si="2"/>
        <v>1.1484375</v>
      </c>
      <c r="E26" s="87">
        <f>'Water Reading'!H26-'Water Reading'!H25</f>
        <v>26</v>
      </c>
      <c r="F26" s="89">
        <f t="shared" si="3"/>
        <v>8.8435374149659865E-2</v>
      </c>
      <c r="G26" s="93">
        <f>('Water Reading'!D26-'Water Reading'!D25)-('Water Reading'!R26-'Water Reading'!R25)-('Water Reading'!Q26-'Water Reading'!Q25)</f>
        <v>115</v>
      </c>
      <c r="H26" s="89">
        <f t="shared" si="4"/>
        <v>0.391156462585034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30</v>
      </c>
      <c r="L26" s="68">
        <f t="shared" si="6"/>
        <v>0.10204081632653061</v>
      </c>
      <c r="M26" s="90">
        <f>'Water Reading'!R26-'Water Reading'!R25</f>
        <v>6</v>
      </c>
      <c r="N26" s="92">
        <f t="shared" si="7"/>
        <v>2.0408163265306121E-2</v>
      </c>
      <c r="O26" s="90">
        <f>'Water Reading'!Q26-'Water Reading'!Q25</f>
        <v>2</v>
      </c>
      <c r="P26" s="99">
        <f t="shared" si="8"/>
        <v>6.8027210884353739E-3</v>
      </c>
      <c r="Q26" s="91">
        <f>'Water Reading'!F26-'Water Reading'!F25</f>
        <v>1</v>
      </c>
      <c r="R26" s="100">
        <f t="shared" si="9"/>
        <v>3.4013605442176869E-3</v>
      </c>
      <c r="S26" s="94">
        <f>'Water Reading'!E26-'Water Reading'!E25</f>
        <v>57</v>
      </c>
      <c r="T26" s="100">
        <f t="shared" si="10"/>
        <v>0.19387755102040816</v>
      </c>
      <c r="U26" s="90">
        <f>'Water Reading'!G26-'Water Reading'!G25</f>
        <v>22</v>
      </c>
      <c r="V26" s="100">
        <f t="shared" si="11"/>
        <v>7.4829931972789115E-2</v>
      </c>
      <c r="W26" s="90">
        <f>'Water Reading'!J26-'Water Reading'!J25</f>
        <v>10</v>
      </c>
      <c r="X26" s="100">
        <f t="shared" si="12"/>
        <v>3.4013605442176874E-2</v>
      </c>
      <c r="Y26" s="66">
        <f t="shared" si="0"/>
        <v>269</v>
      </c>
      <c r="Z26" s="67">
        <f t="shared" si="1"/>
        <v>1.05078125</v>
      </c>
    </row>
    <row r="27" spans="1:26" x14ac:dyDescent="0.25">
      <c r="A27" s="8">
        <f>'Water Reading'!A26</f>
        <v>44279</v>
      </c>
      <c r="B27" s="65">
        <f>TOTAL!I25</f>
        <v>275</v>
      </c>
      <c r="C27" s="66">
        <f>('Water Reading'!B27-'Water Reading'!B26)+('Water Reading'!C27-'Water Reading'!C26)</f>
        <v>398</v>
      </c>
      <c r="D27" s="67">
        <f t="shared" si="2"/>
        <v>1.4472727272727273</v>
      </c>
      <c r="E27" s="87">
        <f>'Water Reading'!H27-'Water Reading'!H26</f>
        <v>32</v>
      </c>
      <c r="F27" s="89">
        <f t="shared" si="3"/>
        <v>8.0402010050251257E-2</v>
      </c>
      <c r="G27" s="93">
        <f>('Water Reading'!D27-'Water Reading'!D26)-('Water Reading'!R27-'Water Reading'!R26)-('Water Reading'!Q27-'Water Reading'!Q26)</f>
        <v>139</v>
      </c>
      <c r="H27" s="89">
        <f t="shared" si="4"/>
        <v>0.34924623115577891</v>
      </c>
      <c r="I27" s="90">
        <f>'Water Reading'!P27-'Water Reading'!P26</f>
        <v>0</v>
      </c>
      <c r="J27" s="68">
        <f t="shared" si="5"/>
        <v>0</v>
      </c>
      <c r="K27" s="90">
        <f>('Water Reading'!I27-'Water Reading'!I26)-('Water Reading'!P27-'Water Reading'!P26)</f>
        <v>32</v>
      </c>
      <c r="L27" s="68">
        <f t="shared" si="6"/>
        <v>8.0402010050251257E-2</v>
      </c>
      <c r="M27" s="90">
        <f>'Water Reading'!R27-'Water Reading'!R26</f>
        <v>6</v>
      </c>
      <c r="N27" s="92">
        <f t="shared" si="7"/>
        <v>1.507537688442211E-2</v>
      </c>
      <c r="O27" s="90">
        <f>'Water Reading'!Q27-'Water Reading'!Q26</f>
        <v>6</v>
      </c>
      <c r="P27" s="99">
        <f t="shared" si="8"/>
        <v>1.507537688442211E-2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61</v>
      </c>
      <c r="T27" s="100">
        <f t="shared" si="10"/>
        <v>0.15326633165829145</v>
      </c>
      <c r="U27" s="90">
        <f>'Water Reading'!G27-'Water Reading'!G26</f>
        <v>26</v>
      </c>
      <c r="V27" s="100">
        <f t="shared" si="11"/>
        <v>6.5326633165829151E-2</v>
      </c>
      <c r="W27" s="90">
        <f>'Water Reading'!J27-'Water Reading'!J26</f>
        <v>11</v>
      </c>
      <c r="X27" s="100">
        <f t="shared" si="12"/>
        <v>2.7638190954773871E-2</v>
      </c>
      <c r="Y27" s="66">
        <f t="shared" si="0"/>
        <v>313</v>
      </c>
      <c r="Z27" s="67">
        <f t="shared" si="1"/>
        <v>1.1381818181818182</v>
      </c>
    </row>
    <row r="28" spans="1:26" x14ac:dyDescent="0.25">
      <c r="A28" s="8">
        <f>'Water Reading'!A27</f>
        <v>44280</v>
      </c>
      <c r="B28" s="65">
        <f>TOTAL!I26</f>
        <v>251</v>
      </c>
      <c r="C28" s="66">
        <f>('Water Reading'!B28-'Water Reading'!B27)+('Water Reading'!C28-'Water Reading'!C27)</f>
        <v>338</v>
      </c>
      <c r="D28" s="67">
        <f t="shared" si="2"/>
        <v>1.346613545816733</v>
      </c>
      <c r="E28" s="87">
        <f>'Water Reading'!H28-'Water Reading'!H27</f>
        <v>34</v>
      </c>
      <c r="F28" s="89">
        <f t="shared" si="3"/>
        <v>0.10059171597633136</v>
      </c>
      <c r="G28" s="93">
        <f>('Water Reading'!D28-'Water Reading'!D27)-('Water Reading'!R28-'Water Reading'!R27)-('Water Reading'!Q28-'Water Reading'!Q27)</f>
        <v>138</v>
      </c>
      <c r="H28" s="89">
        <f t="shared" si="4"/>
        <v>0.40828402366863903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35</v>
      </c>
      <c r="L28" s="68">
        <f t="shared" si="6"/>
        <v>0.10355029585798817</v>
      </c>
      <c r="M28" s="90">
        <f>'Water Reading'!R28-'Water Reading'!R27</f>
        <v>5</v>
      </c>
      <c r="N28" s="92">
        <f t="shared" si="7"/>
        <v>1.4792899408284023E-2</v>
      </c>
      <c r="O28" s="90">
        <f>'Water Reading'!Q28-'Water Reading'!Q27</f>
        <v>2</v>
      </c>
      <c r="P28" s="99">
        <f t="shared" si="8"/>
        <v>5.9171597633136093E-3</v>
      </c>
      <c r="Q28" s="91">
        <f>'Water Reading'!F28-'Water Reading'!F27</f>
        <v>1</v>
      </c>
      <c r="R28" s="100">
        <f t="shared" si="9"/>
        <v>2.9585798816568047E-3</v>
      </c>
      <c r="S28" s="94">
        <f>'Water Reading'!E28-'Water Reading'!E27</f>
        <v>45</v>
      </c>
      <c r="T28" s="100">
        <f t="shared" si="10"/>
        <v>0.13313609467455623</v>
      </c>
      <c r="U28" s="90">
        <f>'Water Reading'!G28-'Water Reading'!G27</f>
        <v>19</v>
      </c>
      <c r="V28" s="100">
        <f t="shared" si="11"/>
        <v>5.6213017751479293E-2</v>
      </c>
      <c r="W28" s="90">
        <f>'Water Reading'!J28-'Water Reading'!J27</f>
        <v>10</v>
      </c>
      <c r="X28" s="100">
        <f t="shared" si="12"/>
        <v>2.9585798816568046E-2</v>
      </c>
      <c r="Y28" s="66">
        <f t="shared" si="0"/>
        <v>289</v>
      </c>
      <c r="Z28" s="67">
        <f t="shared" si="1"/>
        <v>1.1513944223107571</v>
      </c>
    </row>
    <row r="29" spans="1:26" x14ac:dyDescent="0.25">
      <c r="A29" s="8">
        <f>'Water Reading'!A28</f>
        <v>44281</v>
      </c>
      <c r="B29" s="65">
        <f>TOTAL!I27</f>
        <v>243</v>
      </c>
      <c r="C29" s="66">
        <f>('Water Reading'!B29-'Water Reading'!B28)+('Water Reading'!C29-'Water Reading'!C28)</f>
        <v>324</v>
      </c>
      <c r="D29" s="67">
        <f t="shared" si="2"/>
        <v>1.3333333333333333</v>
      </c>
      <c r="E29" s="87">
        <f>'Water Reading'!H29-'Water Reading'!H28</f>
        <v>46</v>
      </c>
      <c r="F29" s="89">
        <f t="shared" si="3"/>
        <v>0.1419753086419753</v>
      </c>
      <c r="G29" s="93">
        <f>('Water Reading'!D29-'Water Reading'!D28)-('Water Reading'!R29-'Water Reading'!R28)-('Water Reading'!Q29-'Water Reading'!Q28)</f>
        <v>141</v>
      </c>
      <c r="H29" s="89">
        <f t="shared" si="4"/>
        <v>0.43518518518518517</v>
      </c>
      <c r="I29" s="90">
        <f>'Water Reading'!P29-'Water Reading'!P28</f>
        <v>0</v>
      </c>
      <c r="J29" s="68">
        <f t="shared" si="5"/>
        <v>0</v>
      </c>
      <c r="K29" s="90">
        <f>('Water Reading'!I29-'Water Reading'!I28)</f>
        <v>51</v>
      </c>
      <c r="L29" s="68">
        <f t="shared" si="6"/>
        <v>0.15740740740740741</v>
      </c>
      <c r="M29" s="90">
        <f>'Water Reading'!R29-'Water Reading'!R28</f>
        <v>1</v>
      </c>
      <c r="N29" s="92">
        <f t="shared" si="7"/>
        <v>3.0864197530864196E-3</v>
      </c>
      <c r="O29" s="90">
        <f>'Water Reading'!Q29-'Water Reading'!Q28</f>
        <v>0</v>
      </c>
      <c r="P29" s="99">
        <f t="shared" si="8"/>
        <v>0</v>
      </c>
      <c r="Q29" s="91">
        <f>'Water Reading'!F29-'Water Reading'!F28</f>
        <v>1</v>
      </c>
      <c r="R29" s="100">
        <f t="shared" si="9"/>
        <v>3.0864197530864196E-3</v>
      </c>
      <c r="S29" s="94">
        <f>'Water Reading'!E29-'Water Reading'!E28</f>
        <v>66</v>
      </c>
      <c r="T29" s="100">
        <f t="shared" si="10"/>
        <v>0.20370370370370369</v>
      </c>
      <c r="U29" s="90">
        <f>'Water Reading'!G29-'Water Reading'!G28</f>
        <v>28</v>
      </c>
      <c r="V29" s="100">
        <f t="shared" si="11"/>
        <v>8.6419753086419748E-2</v>
      </c>
      <c r="W29" s="90">
        <f>'Water Reading'!J29-'Water Reading'!J28</f>
        <v>10</v>
      </c>
      <c r="X29" s="100">
        <f t="shared" si="12"/>
        <v>3.0864197530864196E-2</v>
      </c>
      <c r="Y29" s="66">
        <f t="shared" si="0"/>
        <v>344</v>
      </c>
      <c r="Z29" s="67">
        <f t="shared" si="1"/>
        <v>1.4156378600823045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-257768</v>
      </c>
      <c r="D30" s="67" t="e">
        <f t="shared" si="2"/>
        <v>#DIV/0!</v>
      </c>
      <c r="E30" s="87">
        <f>'Water Reading'!H30-'Water Reading'!H29</f>
        <v>-47828</v>
      </c>
      <c r="F30" s="89">
        <f t="shared" si="3"/>
        <v>0.18554669315042985</v>
      </c>
      <c r="G30" s="93">
        <f>('Water Reading'!D30-'Water Reading'!D29)-('Water Reading'!R30-'Water Reading'!R29)-('Water Reading'!Q30-'Water Reading'!Q29)</f>
        <v>-188975</v>
      </c>
      <c r="H30" s="89">
        <f t="shared" si="4"/>
        <v>0.73312048043201639</v>
      </c>
      <c r="I30" s="90">
        <f>'Water Reading'!P30-'Water Reading'!P29</f>
        <v>-26141</v>
      </c>
      <c r="J30" s="68">
        <f t="shared" si="5"/>
        <v>0.10141289842028491</v>
      </c>
      <c r="K30" s="90">
        <f>('Water Reading'!I30-'Water Reading'!I29)-('Water Reading'!P30-'Water Reading'!P29)</f>
        <v>-32902</v>
      </c>
      <c r="L30" s="68">
        <f t="shared" si="6"/>
        <v>0.12764191055522794</v>
      </c>
      <c r="M30" s="90">
        <f>'Water Reading'!R30-'Water Reading'!R29</f>
        <v>-5801</v>
      </c>
      <c r="N30" s="92">
        <f t="shared" si="7"/>
        <v>2.2504732938145929E-2</v>
      </c>
      <c r="O30" s="90">
        <f>'Water Reading'!Q30-'Water Reading'!Q29</f>
        <v>-267</v>
      </c>
      <c r="P30" s="99">
        <f t="shared" si="8"/>
        <v>1.035815151609199E-3</v>
      </c>
      <c r="Q30" s="91">
        <f>'Water Reading'!F30-'Water Reading'!F29</f>
        <v>-66863</v>
      </c>
      <c r="R30" s="100">
        <f t="shared" si="9"/>
        <v>0.25939216659942271</v>
      </c>
      <c r="S30" s="94">
        <f>'Water Reading'!E30-'Water Reading'!E29</f>
        <v>-242078</v>
      </c>
      <c r="T30" s="100">
        <f t="shared" si="10"/>
        <v>0.93913131187734711</v>
      </c>
      <c r="U30" s="90">
        <f>'Water Reading'!G30-'Water Reading'!G29</f>
        <v>-109945</v>
      </c>
      <c r="V30" s="100">
        <f t="shared" si="11"/>
        <v>0.42652695447068684</v>
      </c>
      <c r="W30" s="90">
        <f>'Water Reading'!J30-'Water Reading'!J29</f>
        <v>-18954</v>
      </c>
      <c r="X30" s="100">
        <f t="shared" si="12"/>
        <v>7.3531237391763135E-2</v>
      </c>
      <c r="Y30" s="66">
        <f t="shared" si="0"/>
        <v>-739754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6902.6999999999971</v>
      </c>
      <c r="C35" s="75">
        <f>SUM(C4:C34)</f>
        <v>-248856</v>
      </c>
      <c r="D35" s="96">
        <f>C35/B35</f>
        <v>-36.051979660133007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-32157</v>
      </c>
      <c r="L35" s="95">
        <f>K35/C35</f>
        <v>0.12921930755135499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-731726</v>
      </c>
      <c r="Z35" s="95">
        <f t="shared" si="1"/>
        <v>-106.00576585973609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2021-03-27T04:38:30Z</dcterms:modified>
  <cp:category/>
  <cp:contentStatus/>
</cp:coreProperties>
</file>