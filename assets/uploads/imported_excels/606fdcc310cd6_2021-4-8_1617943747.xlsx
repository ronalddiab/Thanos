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1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<sst xmlns="http://schemas.openxmlformats.org/spreadsheetml/2006/main" count="128" uniqueCount="49">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</sst>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Submetering!R9</f>
        <v>704.84334199999989</v>
      </c>
      <c r="H9" s="11">
        <v>0.52800000000000002</v>
      </c>
      <c r="I9" s="12">
        <f>Hotel!B14</f>
        <v>129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Hotel!AV14*0.00378541*100</f>
        <v>704.84334199999989</v>
      </c>
      <c r="S9" s="4">
        <f>Hotel!B14</f>
        <v>129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B14" sqref="B1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53"/>
      <c r="Q14" s="37">
        <f t="shared" si="16"/>
        <v>530</v>
      </c>
      <c r="R14" s="37">
        <f t="shared" si="17"/>
        <v>1780</v>
      </c>
      <c r="S14" s="37">
        <f t="shared" si="15"/>
        <v>3390</v>
      </c>
      <c r="T14" s="37">
        <f t="shared" si="32"/>
        <v>1430</v>
      </c>
      <c r="U14" s="37">
        <f t="shared" si="32"/>
        <v>3670</v>
      </c>
      <c r="V14" s="37">
        <f t="shared" si="32"/>
        <v>2700</v>
      </c>
      <c r="W14" s="37">
        <f t="shared" si="32"/>
        <v>2140</v>
      </c>
      <c r="X14" s="37">
        <f t="shared" si="22"/>
        <v>2950</v>
      </c>
      <c r="Y14" s="37">
        <f t="shared" si="23"/>
        <v>3970</v>
      </c>
      <c r="Z14" s="37">
        <f>IF((L14-L13&lt;0), "0",L14-L13)</f>
        <v>2220</v>
      </c>
      <c r="AA14" s="37">
        <f t="shared" si="25"/>
        <v>3540</v>
      </c>
      <c r="AB14" s="37">
        <f t="shared" si="26"/>
        <v>6000</v>
      </c>
      <c r="AC14" s="37">
        <f t="shared" si="27"/>
        <v>7930</v>
      </c>
      <c r="AD14" s="35">
        <f t="shared" si="28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29"/>
        <v>211.25</v>
      </c>
      <c r="AU14" s="47">
        <v>546613</v>
      </c>
      <c r="AV14" s="37">
        <f t="shared" si="31"/>
        <v>1862</v>
      </c>
      <c r="AW14" s="35">
        <f t="shared" si="30"/>
        <v>3.7240000000000002</v>
      </c>
    </row>
    <row r="15" spans="1:49" x14ac:dyDescent="0.25">
      <c r="A15" s="23">
        <v>44295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 t="str">
        <f t="shared" si="16"/>
        <v>0</v>
      </c>
      <c r="R15" s="37" t="str">
        <f t="shared" si="17"/>
        <v>0</v>
      </c>
      <c r="S15" s="37" t="str">
        <f t="shared" si="15"/>
        <v>0</v>
      </c>
      <c r="T15" s="37" t="str">
        <f t="shared" si="18"/>
        <v>0</v>
      </c>
      <c r="U15" s="37" t="str">
        <f t="shared" si="19"/>
        <v>0</v>
      </c>
      <c r="V15" s="37" t="str">
        <f t="shared" si="20"/>
        <v>0</v>
      </c>
      <c r="W15" s="37" t="str">
        <f t="shared" si="21"/>
        <v>0</v>
      </c>
      <c r="X15" s="37" t="str">
        <f t="shared" si="22"/>
        <v>0</v>
      </c>
      <c r="Y15" s="37" t="str">
        <f t="shared" si="23"/>
        <v>0</v>
      </c>
      <c r="Z15" s="37" t="str">
        <f t="shared" si="24"/>
        <v>0</v>
      </c>
      <c r="AA15" s="37" t="str">
        <f t="shared" si="25"/>
        <v>0</v>
      </c>
      <c r="AB15" s="37" t="str">
        <f t="shared" si="26"/>
        <v>0</v>
      </c>
      <c r="AC15" s="37" t="str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 t="str">
        <f t="shared" si="31"/>
        <v>0</v>
      </c>
      <c r="AW15" s="35">
        <f t="shared" si="30"/>
        <v>0</v>
      </c>
    </row>
    <row r="16" spans="1:49" x14ac:dyDescent="0.25">
      <c r="A16" s="23">
        <v>44296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44297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44298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44299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44300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44301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44302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44303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44304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44305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4420</v>
      </c>
      <c r="R38" s="38">
        <f t="shared" ref="R38:AD38" si="62">SUM(R7:R37)</f>
        <v>14960</v>
      </c>
      <c r="S38" s="38">
        <f t="shared" si="62"/>
        <v>26420</v>
      </c>
      <c r="T38" s="38">
        <f t="shared" si="62"/>
        <v>11940</v>
      </c>
      <c r="U38" s="38">
        <f t="shared" si="62"/>
        <v>31230</v>
      </c>
      <c r="V38" s="38">
        <f t="shared" si="62"/>
        <v>23250</v>
      </c>
      <c r="W38" s="38">
        <f t="shared" si="62"/>
        <v>18180</v>
      </c>
      <c r="X38" s="38">
        <f t="shared" si="62"/>
        <v>24480</v>
      </c>
      <c r="Y38" s="38">
        <f t="shared" si="62"/>
        <v>35010</v>
      </c>
      <c r="Z38" s="38">
        <f t="shared" si="62"/>
        <v>20760</v>
      </c>
      <c r="AA38" s="38">
        <f t="shared" si="62"/>
        <v>27230</v>
      </c>
      <c r="AB38" s="38">
        <f t="shared" si="62"/>
        <v>52520</v>
      </c>
      <c r="AC38" s="38">
        <f t="shared" si="62"/>
        <v>80580</v>
      </c>
      <c r="AD38" s="38">
        <f t="shared" si="62"/>
        <v>370980</v>
      </c>
      <c r="AF38" s="35">
        <f t="shared" ref="AF38:AS38" si="63">SUM(AF7:AF34)</f>
        <v>22.099999999999998</v>
      </c>
      <c r="AG38" s="35">
        <f t="shared" si="63"/>
        <v>74.800000000000011</v>
      </c>
      <c r="AH38" s="35">
        <f t="shared" si="63"/>
        <v>132.1</v>
      </c>
      <c r="AI38" s="35">
        <f t="shared" si="63"/>
        <v>59.699999999999996</v>
      </c>
      <c r="AJ38" s="35">
        <f t="shared" si="63"/>
        <v>156.15</v>
      </c>
      <c r="AK38" s="35">
        <f t="shared" si="63"/>
        <v>116.25000000000001</v>
      </c>
      <c r="AL38" s="35">
        <f t="shared" si="63"/>
        <v>90.9</v>
      </c>
      <c r="AM38" s="35">
        <f t="shared" si="63"/>
        <v>122.39999999999999</v>
      </c>
      <c r="AN38" s="35">
        <f t="shared" si="63"/>
        <v>175.05</v>
      </c>
      <c r="AO38" s="35">
        <f t="shared" si="63"/>
        <v>103.8</v>
      </c>
      <c r="AP38" s="35">
        <f t="shared" si="63"/>
        <v>136.15</v>
      </c>
      <c r="AQ38" s="35">
        <f t="shared" si="63"/>
        <v>262.60000000000002</v>
      </c>
      <c r="AR38" s="35">
        <f t="shared" si="63"/>
        <v>402.90000000000003</v>
      </c>
      <c r="AS38" s="35">
        <f t="shared" si="63"/>
        <v>1854.8999999999999</v>
      </c>
      <c r="AU38" s="48"/>
      <c r="AV38" s="35">
        <f>SUM(AV7:AV34)</f>
        <v>14161</v>
      </c>
      <c r="AW38" s="35">
        <f>SUM(AW7:AW34)</f>
        <v>20.92</v>
      </c>
    </row>
    <row r="39" spans="1:49" x14ac:dyDescent="0.25">
      <c r="D39">
        <v>5.0000000000000001E-3</v>
      </c>
      <c r="AV39" s="36">
        <f>AV38*0.00378541*1000</f>
        <v>53605.191009999995</v>
      </c>
    </row>
    <row r="40" spans="1:49" x14ac:dyDescent="0.25">
      <c r="D40">
        <v>2E-3</v>
      </c>
      <c r="AV40">
        <f>AV39/31</f>
        <v>1729.1997099999999</v>
      </c>
    </row>
    <row r="41" spans="1:49" x14ac:dyDescent="0.25">
      <c r="AV41">
        <f>AV38*0.00378541</f>
        <v>53.605191009999999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2021-04-09T04:48:52Z</dcterms:modified>
</cp:coreProperties>
</file>