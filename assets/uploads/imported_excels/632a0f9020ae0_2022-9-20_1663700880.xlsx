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2\"/>
    </mc:Choice>
  </mc:AlternateContent>
  <xr:revisionPtr revIDLastSave="0" documentId="13_ncr:1_{1C180E39-628C-4F90-9FB7-D86EC94D98C3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August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W40" i="2" l="1"/>
  <c r="W12" i="2"/>
  <c r="W13" i="2"/>
  <c r="W15" i="2"/>
  <c r="W17" i="2"/>
  <c r="W18" i="2"/>
  <c r="W21" i="2"/>
  <c r="W23" i="2"/>
  <c r="W29" i="2"/>
  <c r="P6" i="2"/>
  <c r="N6" i="2"/>
  <c r="L6" i="2"/>
  <c r="J6" i="2"/>
  <c r="H6" i="2"/>
  <c r="F6" i="2"/>
  <c r="D6" i="2"/>
  <c r="B6" i="2"/>
  <c r="R40" i="2" l="1"/>
  <c r="U38" i="2"/>
  <c r="V38" i="2" s="1"/>
  <c r="U37" i="2"/>
  <c r="V37" i="2" s="1"/>
  <c r="U36" i="2"/>
  <c r="V36" i="2" s="1"/>
  <c r="U35" i="2"/>
  <c r="V35" i="2" s="1"/>
  <c r="U34" i="2"/>
  <c r="V34" i="2" s="1"/>
  <c r="U33" i="2"/>
  <c r="V33" i="2" s="1"/>
  <c r="U32" i="2"/>
  <c r="V32" i="2" s="1"/>
  <c r="U31" i="2"/>
  <c r="V31" i="2" s="1"/>
  <c r="U30" i="2"/>
  <c r="V30" i="2" s="1"/>
  <c r="U29" i="2"/>
  <c r="U28" i="2"/>
  <c r="V28" i="2" s="1"/>
  <c r="U27" i="2"/>
  <c r="V27" i="2" s="1"/>
  <c r="U26" i="2"/>
  <c r="V26" i="2" s="1"/>
  <c r="U25" i="2"/>
  <c r="V25" i="2" s="1"/>
  <c r="U24" i="2"/>
  <c r="V24" i="2" s="1"/>
  <c r="U23" i="2"/>
  <c r="U22" i="2"/>
  <c r="V22" i="2" s="1"/>
  <c r="U21" i="2"/>
  <c r="V21" i="2" s="1"/>
  <c r="U20" i="2"/>
  <c r="V20" i="2" s="1"/>
  <c r="U19" i="2"/>
  <c r="V19" i="2" s="1"/>
  <c r="U18" i="2"/>
  <c r="V18" i="2" s="1"/>
  <c r="U17" i="2"/>
  <c r="U16" i="2"/>
  <c r="V16" i="2" s="1"/>
  <c r="U15" i="2"/>
  <c r="V15" i="2" s="1"/>
  <c r="U14" i="2"/>
  <c r="V14" i="2" s="1"/>
  <c r="U13" i="2"/>
  <c r="U12" i="2"/>
  <c r="U11" i="2"/>
  <c r="V11" i="2" s="1"/>
  <c r="U10" i="2"/>
  <c r="V10" i="2" s="1"/>
  <c r="V9" i="2"/>
  <c r="U9" i="2"/>
  <c r="U8" i="2"/>
  <c r="V8" i="2" s="1"/>
  <c r="V40" i="2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Q38" i="2" l="1"/>
  <c r="O38" i="2"/>
  <c r="M38" i="2"/>
  <c r="K38" i="2"/>
  <c r="I38" i="2"/>
  <c r="G38" i="2"/>
  <c r="E38" i="2"/>
  <c r="C38" i="2"/>
  <c r="K32" i="1" l="1"/>
  <c r="I32" i="1"/>
  <c r="G32" i="1"/>
  <c r="E32" i="1"/>
  <c r="B32" i="1"/>
  <c r="Q37" i="2" l="1"/>
  <c r="O37" i="2"/>
  <c r="M37" i="2"/>
  <c r="K37" i="2"/>
  <c r="I37" i="2"/>
  <c r="G37" i="2"/>
  <c r="E37" i="2"/>
  <c r="G31" i="1" s="1"/>
  <c r="C37" i="2"/>
  <c r="E31" i="1" s="1"/>
  <c r="Q36" i="2"/>
  <c r="O36" i="2"/>
  <c r="M36" i="2"/>
  <c r="K36" i="2"/>
  <c r="I36" i="2"/>
  <c r="G36" i="2"/>
  <c r="E36" i="2"/>
  <c r="G30" i="1" s="1"/>
  <c r="C36" i="2"/>
  <c r="E30" i="1" s="1"/>
  <c r="Q35" i="2"/>
  <c r="O35" i="2"/>
  <c r="M35" i="2"/>
  <c r="K35" i="2"/>
  <c r="I35" i="2"/>
  <c r="G35" i="2"/>
  <c r="E35" i="2"/>
  <c r="G29" i="1" s="1"/>
  <c r="C35" i="2"/>
  <c r="E29" i="1" s="1"/>
  <c r="Q34" i="2"/>
  <c r="O34" i="2"/>
  <c r="M34" i="2"/>
  <c r="K34" i="2"/>
  <c r="I34" i="2"/>
  <c r="G34" i="2"/>
  <c r="E34" i="2"/>
  <c r="G28" i="1" s="1"/>
  <c r="C34" i="2"/>
  <c r="E28" i="1" s="1"/>
  <c r="Q33" i="2"/>
  <c r="O33" i="2"/>
  <c r="M33" i="2"/>
  <c r="K33" i="2"/>
  <c r="I33" i="2"/>
  <c r="G33" i="2"/>
  <c r="E33" i="2"/>
  <c r="G27" i="1" s="1"/>
  <c r="C33" i="2"/>
  <c r="E27" i="1" s="1"/>
  <c r="Q32" i="2"/>
  <c r="O32" i="2"/>
  <c r="M32" i="2"/>
  <c r="K32" i="2"/>
  <c r="I32" i="2"/>
  <c r="G32" i="2"/>
  <c r="E32" i="2"/>
  <c r="G26" i="1" s="1"/>
  <c r="C32" i="2"/>
  <c r="E26" i="1" s="1"/>
  <c r="Q31" i="2"/>
  <c r="O31" i="2"/>
  <c r="M31" i="2"/>
  <c r="K31" i="2"/>
  <c r="I31" i="2"/>
  <c r="G31" i="2"/>
  <c r="E31" i="2"/>
  <c r="G25" i="1" s="1"/>
  <c r="C31" i="2"/>
  <c r="E25" i="1" s="1"/>
  <c r="Q30" i="2"/>
  <c r="O30" i="2"/>
  <c r="M30" i="2"/>
  <c r="K30" i="2"/>
  <c r="I30" i="2"/>
  <c r="G30" i="2"/>
  <c r="E30" i="2"/>
  <c r="G24" i="1" s="1"/>
  <c r="C30" i="2"/>
  <c r="E24" i="1" s="1"/>
  <c r="Q29" i="2"/>
  <c r="O29" i="2"/>
  <c r="M29" i="2"/>
  <c r="K29" i="2"/>
  <c r="I29" i="2"/>
  <c r="G29" i="2"/>
  <c r="E29" i="2"/>
  <c r="G23" i="1" s="1"/>
  <c r="C29" i="2"/>
  <c r="E23" i="1" s="1"/>
  <c r="Q28" i="2"/>
  <c r="O28" i="2"/>
  <c r="M28" i="2"/>
  <c r="K28" i="2"/>
  <c r="I28" i="2"/>
  <c r="G28" i="2"/>
  <c r="E28" i="2"/>
  <c r="G22" i="1" s="1"/>
  <c r="C28" i="2"/>
  <c r="E22" i="1" s="1"/>
  <c r="Q27" i="2"/>
  <c r="O27" i="2"/>
  <c r="M27" i="2"/>
  <c r="K27" i="2"/>
  <c r="I27" i="2"/>
  <c r="G27" i="2"/>
  <c r="E27" i="2"/>
  <c r="G21" i="1" s="1"/>
  <c r="C27" i="2"/>
  <c r="E21" i="1" s="1"/>
  <c r="Q26" i="2"/>
  <c r="O26" i="2"/>
  <c r="M26" i="2"/>
  <c r="K26" i="2"/>
  <c r="I26" i="2"/>
  <c r="G26" i="2"/>
  <c r="E26" i="2"/>
  <c r="G20" i="1" s="1"/>
  <c r="C26" i="2"/>
  <c r="E20" i="1" s="1"/>
  <c r="Q25" i="2"/>
  <c r="O25" i="2"/>
  <c r="M25" i="2"/>
  <c r="K25" i="2"/>
  <c r="I25" i="2"/>
  <c r="G25" i="2"/>
  <c r="E25" i="2"/>
  <c r="G19" i="1" s="1"/>
  <c r="C25" i="2"/>
  <c r="E19" i="1" s="1"/>
  <c r="Q24" i="2"/>
  <c r="O24" i="2"/>
  <c r="M24" i="2"/>
  <c r="K24" i="2"/>
  <c r="I24" i="2"/>
  <c r="G24" i="2"/>
  <c r="E24" i="2"/>
  <c r="G18" i="1" s="1"/>
  <c r="C24" i="2"/>
  <c r="E18" i="1" s="1"/>
  <c r="Q23" i="2"/>
  <c r="O23" i="2"/>
  <c r="M23" i="2"/>
  <c r="K23" i="2"/>
  <c r="I23" i="2"/>
  <c r="G23" i="2"/>
  <c r="E23" i="2"/>
  <c r="G17" i="1" s="1"/>
  <c r="C23" i="2"/>
  <c r="E17" i="1" s="1"/>
  <c r="Q22" i="2"/>
  <c r="O22" i="2"/>
  <c r="M22" i="2"/>
  <c r="K22" i="2"/>
  <c r="I22" i="2"/>
  <c r="G22" i="2"/>
  <c r="E22" i="2"/>
  <c r="G16" i="1" s="1"/>
  <c r="C22" i="2"/>
  <c r="E16" i="1" s="1"/>
  <c r="Q21" i="2"/>
  <c r="O21" i="2"/>
  <c r="M21" i="2"/>
  <c r="K21" i="2"/>
  <c r="I21" i="2"/>
  <c r="G21" i="2"/>
  <c r="E21" i="2"/>
  <c r="G15" i="1" s="1"/>
  <c r="C21" i="2"/>
  <c r="E15" i="1" s="1"/>
  <c r="Q20" i="2"/>
  <c r="O20" i="2"/>
  <c r="M20" i="2"/>
  <c r="K20" i="2"/>
  <c r="I20" i="2"/>
  <c r="G20" i="2"/>
  <c r="E20" i="2"/>
  <c r="G14" i="1" s="1"/>
  <c r="C20" i="2"/>
  <c r="E14" i="1" s="1"/>
  <c r="Q19" i="2"/>
  <c r="O19" i="2"/>
  <c r="M19" i="2"/>
  <c r="K19" i="2"/>
  <c r="I19" i="2"/>
  <c r="G19" i="2"/>
  <c r="E19" i="2"/>
  <c r="G13" i="1" s="1"/>
  <c r="C19" i="2"/>
  <c r="E13" i="1" s="1"/>
  <c r="Q18" i="2"/>
  <c r="O18" i="2"/>
  <c r="M18" i="2"/>
  <c r="K18" i="2"/>
  <c r="I18" i="2"/>
  <c r="G18" i="2"/>
  <c r="E18" i="2"/>
  <c r="G12" i="1" s="1"/>
  <c r="C18" i="2"/>
  <c r="E12" i="1" s="1"/>
  <c r="Q17" i="2"/>
  <c r="O17" i="2"/>
  <c r="M17" i="2"/>
  <c r="K17" i="2"/>
  <c r="I17" i="2"/>
  <c r="G17" i="2"/>
  <c r="E17" i="2"/>
  <c r="G11" i="1" s="1"/>
  <c r="C17" i="2"/>
  <c r="E11" i="1" s="1"/>
  <c r="Q16" i="2"/>
  <c r="O16" i="2"/>
  <c r="M16" i="2"/>
  <c r="K16" i="2"/>
  <c r="I16" i="2"/>
  <c r="G16" i="2"/>
  <c r="E16" i="2"/>
  <c r="G10" i="1" s="1"/>
  <c r="C16" i="2"/>
  <c r="E10" i="1" s="1"/>
  <c r="Q15" i="2"/>
  <c r="O15" i="2"/>
  <c r="M15" i="2"/>
  <c r="K15" i="2"/>
  <c r="I15" i="2"/>
  <c r="G15" i="2"/>
  <c r="E15" i="2"/>
  <c r="G9" i="1" s="1"/>
  <c r="C15" i="2"/>
  <c r="E9" i="1" s="1"/>
  <c r="Q14" i="2"/>
  <c r="O14" i="2"/>
  <c r="M14" i="2"/>
  <c r="K14" i="2"/>
  <c r="I14" i="2"/>
  <c r="G14" i="2"/>
  <c r="E14" i="2"/>
  <c r="G8" i="1" s="1"/>
  <c r="C14" i="2"/>
  <c r="E8" i="1" s="1"/>
  <c r="Q13" i="2"/>
  <c r="O13" i="2"/>
  <c r="M13" i="2"/>
  <c r="K13" i="2"/>
  <c r="I13" i="2"/>
  <c r="G13" i="2"/>
  <c r="E13" i="2"/>
  <c r="G7" i="1" s="1"/>
  <c r="C13" i="2"/>
  <c r="E7" i="1" s="1"/>
  <c r="Q12" i="2"/>
  <c r="O12" i="2"/>
  <c r="M12" i="2"/>
  <c r="K12" i="2"/>
  <c r="I12" i="2"/>
  <c r="G12" i="2"/>
  <c r="E12" i="2"/>
  <c r="G6" i="1" s="1"/>
  <c r="C12" i="2"/>
  <c r="E6" i="1" s="1"/>
  <c r="Q11" i="2"/>
  <c r="O11" i="2"/>
  <c r="M11" i="2"/>
  <c r="K11" i="2"/>
  <c r="I11" i="2"/>
  <c r="G11" i="2"/>
  <c r="E11" i="2"/>
  <c r="G5" i="1" s="1"/>
  <c r="C11" i="2"/>
  <c r="E5" i="1" s="1"/>
  <c r="Q10" i="2"/>
  <c r="O10" i="2"/>
  <c r="M10" i="2"/>
  <c r="K10" i="2"/>
  <c r="I10" i="2"/>
  <c r="G10" i="2"/>
  <c r="E10" i="2"/>
  <c r="G4" i="1" s="1"/>
  <c r="C10" i="2"/>
  <c r="E4" i="1" s="1"/>
  <c r="Q9" i="2"/>
  <c r="O9" i="2"/>
  <c r="M9" i="2"/>
  <c r="K9" i="2"/>
  <c r="I9" i="2"/>
  <c r="G9" i="2"/>
  <c r="E9" i="2"/>
  <c r="G3" i="1" s="1"/>
  <c r="C9" i="2"/>
  <c r="E3" i="1" s="1"/>
  <c r="Q8" i="2"/>
  <c r="O8" i="2"/>
  <c r="M8" i="2"/>
  <c r="K8" i="2"/>
  <c r="I8" i="2"/>
  <c r="G8" i="2"/>
  <c r="E8" i="2"/>
  <c r="C8" i="2"/>
  <c r="K9" i="1" l="1"/>
  <c r="K15" i="1"/>
  <c r="K21" i="1"/>
  <c r="K27" i="1"/>
  <c r="K3" i="1"/>
  <c r="O40" i="2"/>
  <c r="K4" i="1"/>
  <c r="K10" i="1"/>
  <c r="K13" i="1"/>
  <c r="K16" i="1"/>
  <c r="K22" i="1"/>
  <c r="K25" i="1"/>
  <c r="K28" i="1"/>
  <c r="M40" i="2"/>
  <c r="I5" i="1"/>
  <c r="I8" i="1"/>
  <c r="I11" i="1"/>
  <c r="I14" i="1"/>
  <c r="I17" i="1"/>
  <c r="I20" i="1"/>
  <c r="I23" i="1"/>
  <c r="I26" i="1"/>
  <c r="I29" i="1"/>
  <c r="I4" i="1"/>
  <c r="I10" i="1"/>
  <c r="I13" i="1"/>
  <c r="I16" i="1"/>
  <c r="I19" i="1"/>
  <c r="I22" i="1"/>
  <c r="I28" i="1"/>
  <c r="I31" i="1"/>
  <c r="G40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0" i="2"/>
  <c r="I6" i="1"/>
  <c r="I12" i="1"/>
  <c r="I18" i="1"/>
  <c r="I24" i="1"/>
  <c r="I30" i="1"/>
  <c r="I2" i="1"/>
  <c r="K8" i="1"/>
  <c r="K40" i="2"/>
  <c r="I40" i="2"/>
  <c r="E40" i="2"/>
  <c r="G2" i="1"/>
  <c r="C40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<sst xmlns="http://schemas.openxmlformats.org/spreadsheetml/2006/main" count="70" uniqueCount="37">
  <si>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</si>
  <si>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</si>
  <si>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</si>
  <si>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</si>
  <si>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</si>
  <si>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</si>
  <si>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</si>
  <si>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</si>
  <si>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</si>
  <si>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</si>
  <si>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Usage (kWh)</t>
  </si>
  <si>
    <t>Usage   (Therms)</t>
  </si>
  <si>
    <t>Usage (Mlbs)</t>
  </si>
  <si>
    <t>Usage      (Gallons)</t>
  </si>
  <si>
    <t>Usage (Gallons)</t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</si>
  <si>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</si>
  <si>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</si>
  <si>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</si>
  <si>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</si>
  <si>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</si>
  <si>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</si>
  <si>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</si>
  <si>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</si>
  <si>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August 2022</t>
  </si>
  <si>
    <r>
      <rPr>
        <b/>
        <sz val="9.5"/>
        <color theme="1"/>
        <rFont val="Calibri Light"/>
        <family val="2"/>
        <scheme val="major"/>
      </rPr>
      <t>1B ELECTRIC</t>
    </r>
    <r>
      <rPr>
        <sz val="9.5"/>
        <color theme="1"/>
        <rFont val="Calibri Light"/>
        <family val="2"/>
        <scheme val="major"/>
      </rPr>
      <t xml:space="preserve"> (kWh)</t>
    </r>
  </si>
  <si>
    <r>
      <rPr>
        <b/>
        <sz val="9.5"/>
        <color theme="1"/>
        <rFont val="Calibri Light"/>
        <family val="2"/>
        <scheme val="major"/>
      </rPr>
      <t>1B GAS</t>
    </r>
    <r>
      <rPr>
        <sz val="9.5"/>
        <color theme="1"/>
        <rFont val="Calibri Light"/>
        <family val="2"/>
        <scheme val="major"/>
      </rPr>
      <t xml:space="preserve">      (CCF)</t>
    </r>
  </si>
  <si>
    <r>
      <t xml:space="preserve">1B STEAM </t>
    </r>
    <r>
      <rPr>
        <sz val="9.5"/>
        <color theme="1"/>
        <rFont val="Calibri Light"/>
        <family val="2"/>
        <scheme val="major"/>
      </rPr>
      <t>(Mlbs)</t>
    </r>
  </si>
  <si>
    <r>
      <rPr>
        <b/>
        <sz val="9.5"/>
        <color theme="1"/>
        <rFont val="Calibri Light"/>
        <family val="2"/>
        <scheme val="major"/>
      </rPr>
      <t>1B WATER</t>
    </r>
    <r>
      <rPr>
        <sz val="9.5"/>
        <color theme="1"/>
        <rFont val="Calibri Light"/>
        <family val="2"/>
        <scheme val="major"/>
      </rPr>
      <t xml:space="preserve">    (Gallons)</t>
    </r>
  </si>
  <si>
    <r>
      <t xml:space="preserve">4TH CT - 5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</si>
  <si>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36TH STEAM </t>
    </r>
    <r>
      <rPr>
        <sz val="9.5"/>
        <color theme="1"/>
        <rFont val="Calibri Light"/>
        <family val="2"/>
        <scheme val="major"/>
      </rPr>
      <t>(Mlbs)</t>
    </r>
  </si>
  <si>
    <r>
      <t xml:space="preserve">36TH 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</si>
  <si>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EAST PENT.CT -3    </t>
    </r>
    <r>
      <rPr>
        <sz val="9.5"/>
        <color theme="1"/>
        <rFont val="Calibri Light"/>
        <family val="2"/>
        <scheme val="major"/>
      </rPr>
      <t>(Gallons)</t>
    </r>
  </si>
  <si>
    <t>High Temp</t>
  </si>
  <si>
    <t>Low Temp</t>
  </si>
  <si>
    <t>Avg Temp</t>
  </si>
  <si>
    <r>
      <t xml:space="preserve">Heating Degree Day </t>
    </r>
    <r>
      <rPr>
        <b/>
        <sz val="10"/>
        <color theme="1"/>
        <rFont val="Calibri Light"/>
        <family val="2"/>
        <scheme val="major"/>
      </rPr>
      <t>(HDD)</t>
    </r>
  </si>
  <si>
    <r>
      <t xml:space="preserve">Cooling Degree Day </t>
    </r>
    <r>
      <rPr>
        <b/>
        <sz val="10"/>
        <color theme="1"/>
        <rFont val="Calibri Light"/>
        <family val="2"/>
        <scheme val="major"/>
      </rPr>
      <t>(CDD)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</si>
</sst>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" fontId="0" fillId="0" borderId="15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  <xdr:oneCellAnchor>
    <xdr:from>
      <xdr:col>15</xdr:col>
      <xdr:colOff>28575</xdr:colOff>
      <xdr:row>0</xdr:row>
      <xdr:rowOff>0</xdr:rowOff>
    </xdr:from>
    <xdr:ext cx="1752600" cy="1123951"/>
    <xdr:pic>
      <xdr:nvPicPr>
        <xdr:cNvPr id="3" name="Picture 2">
          <a:extLst>
            <a:ext uri="{FF2B5EF4-FFF2-40B4-BE49-F238E27FC236}">
              <a16:creationId xmlns:a16="http://schemas.microsoft.com/office/drawing/2014/main" id="{9DF7C4AE-3E8E-44DF-AB38-A3355A784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2325" y="0"/>
          <a:ext cx="1752600" cy="11239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G\Engineering\Dept\Meter%20Readings\Engineering%20Meter%20Readings\Meter%20Readings%20Data%20Shee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YTD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38">
          <cell r="B38">
            <v>22529</v>
          </cell>
          <cell r="D38">
            <v>54300</v>
          </cell>
          <cell r="F38">
            <v>31617</v>
          </cell>
          <cell r="H38">
            <v>11092336</v>
          </cell>
          <cell r="J38">
            <v>368669</v>
          </cell>
          <cell r="L38">
            <v>32045</v>
          </cell>
          <cell r="N38">
            <v>30589649</v>
          </cell>
          <cell r="P38">
            <v>6317948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2"/>
  <sheetViews>
    <sheetView tabSelected="1" topLeftCell="H1" workbookViewId="0">
      <selection activeCell="J4" sqref="J4:J32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16</v>
      </c>
      <c r="H1" s="8" t="s">
        <v>17</v>
      </c>
      <c r="I1" s="7" t="s">
        <v>18</v>
      </c>
      <c r="J1" s="11" t="s">
        <v>19</v>
      </c>
      <c r="K1" s="7" t="s">
        <v>20</v>
      </c>
      <c r="L1" s="8" t="s">
        <v>21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8</v>
      </c>
      <c r="D2" s="2">
        <v>2022</v>
      </c>
      <c r="E2" s="4">
        <f>IF(August!C8&gt;0,August!C8,0)</f>
        <v>7200</v>
      </c>
      <c r="F2" s="9">
        <v>0.34</v>
      </c>
      <c r="G2" s="4">
        <f>IF(August!E8&gt;0,August!E8,0)</f>
        <v>51.302999999999997</v>
      </c>
      <c r="H2" s="10">
        <v>1.79</v>
      </c>
      <c r="I2" s="4">
        <f>IF((August!I8+August!O8)&gt;0,(August!I8+August!O8),0)</f>
        <v>9523</v>
      </c>
      <c r="J2" s="10">
        <v>0.04</v>
      </c>
      <c r="K2" s="4">
        <f>IF((August!G8+August!M8)&gt;0,(August!G8+August!M8),0)</f>
        <v>8.6</v>
      </c>
      <c r="L2" s="10">
        <v>42.06</v>
      </c>
      <c r="M2" s="4">
        <f>August!R8</f>
        <v>85</v>
      </c>
    </row>
    <row r="3" spans="1:25" x14ac:dyDescent="0.25">
      <c r="A3" s="3" t="s">
        <v>7</v>
      </c>
      <c r="B3" s="2">
        <f>B2+1</f>
        <v>2</v>
      </c>
      <c r="C3" s="14">
        <v>8</v>
      </c>
      <c r="D3" s="14">
        <v>2022</v>
      </c>
      <c r="E3" s="4">
        <f>IF(August!C9&gt;0,August!C9,0)</f>
        <v>6300</v>
      </c>
      <c r="F3" s="9">
        <v>0.34</v>
      </c>
      <c r="G3" s="4">
        <f>IF(August!E9&gt;0,August!E9,0)</f>
        <v>40.832999999999998</v>
      </c>
      <c r="H3" s="10">
        <v>1.79</v>
      </c>
      <c r="I3" s="4">
        <f>IF((August!I9+August!O9)&gt;0,(August!I9+August!O9),0)</f>
        <v>7977</v>
      </c>
      <c r="J3" s="10">
        <v>0.04</v>
      </c>
      <c r="K3" s="4">
        <f>IF((August!G9+August!M9)&gt;0,(August!G9+August!M9),0)</f>
        <v>7.4</v>
      </c>
      <c r="L3" s="10">
        <v>42.06</v>
      </c>
      <c r="M3" s="4">
        <f>August!R9</f>
        <v>110</v>
      </c>
      <c r="O3" s="4"/>
    </row>
    <row r="4" spans="1:25" x14ac:dyDescent="0.25">
      <c r="A4" s="3" t="s">
        <v>7</v>
      </c>
      <c r="B4" s="2">
        <f t="shared" ref="B4:B32" si="0">B3+1</f>
        <v>3</v>
      </c>
      <c r="C4" s="14">
        <v>8</v>
      </c>
      <c r="D4" s="14">
        <v>2022</v>
      </c>
      <c r="E4" s="4">
        <f>IF(August!C10&gt;0,August!C10,0)</f>
        <v>7200</v>
      </c>
      <c r="F4" s="9">
        <v>0.34</v>
      </c>
      <c r="G4" s="4">
        <f>IF(August!E10&gt;0,August!E10,0)</f>
        <v>49.208999999999996</v>
      </c>
      <c r="H4" s="10">
        <v>1.79</v>
      </c>
      <c r="I4" s="4">
        <f>IF((August!I10+August!O10)&gt;0,(August!I10+August!O10),0)</f>
        <v>10198</v>
      </c>
      <c r="J4" s="10">
        <v>0.04</v>
      </c>
      <c r="K4" s="4">
        <f>IF((August!G10+August!M10)&gt;0,(August!G10+August!M10),0)</f>
        <v>8.3000000000000007</v>
      </c>
      <c r="L4" s="10">
        <v>42.06</v>
      </c>
      <c r="M4" s="4">
        <f>August!R10</f>
        <v>109</v>
      </c>
    </row>
    <row r="5" spans="1:25" x14ac:dyDescent="0.25">
      <c r="A5" s="3" t="s">
        <v>7</v>
      </c>
      <c r="B5" s="2">
        <f t="shared" si="0"/>
        <v>4</v>
      </c>
      <c r="C5" s="14">
        <v>8</v>
      </c>
      <c r="D5" s="14">
        <v>2022</v>
      </c>
      <c r="E5" s="4">
        <f>IF(August!C11&gt;0,August!C11,0)</f>
        <v>7500</v>
      </c>
      <c r="F5" s="9">
        <v>0.34</v>
      </c>
      <c r="G5" s="4">
        <f>IF(August!E11&gt;0,August!E11,0)</f>
        <v>56.537999999999997</v>
      </c>
      <c r="H5" s="10">
        <v>1.79</v>
      </c>
      <c r="I5" s="4">
        <f>IF((August!I11+August!O11)&gt;0,(August!I11+August!O11),0)</f>
        <v>12982</v>
      </c>
      <c r="J5" s="10">
        <v>0.04</v>
      </c>
      <c r="K5" s="4">
        <f>IF((August!G11+August!M11)&gt;0,(August!G11+August!M11),0)</f>
        <v>9.5</v>
      </c>
      <c r="L5" s="10">
        <v>42.06</v>
      </c>
      <c r="M5" s="4">
        <f>August!R11</f>
        <v>115</v>
      </c>
    </row>
    <row r="6" spans="1:25" x14ac:dyDescent="0.25">
      <c r="A6" s="3" t="s">
        <v>7</v>
      </c>
      <c r="B6" s="2">
        <f t="shared" si="0"/>
        <v>5</v>
      </c>
      <c r="C6" s="14">
        <v>8</v>
      </c>
      <c r="D6" s="14">
        <v>2022</v>
      </c>
      <c r="E6" s="4">
        <f>IF(August!C12&gt;0,August!C12,0)</f>
        <v>10500</v>
      </c>
      <c r="F6" s="9">
        <v>0.34</v>
      </c>
      <c r="G6" s="4">
        <f>IF(August!E12&gt;0,August!E12,0)</f>
        <v>68.054999999999993</v>
      </c>
      <c r="H6" s="10">
        <v>1.79</v>
      </c>
      <c r="I6" s="4">
        <f>IF((August!I12+August!O12)&gt;0,(August!I12+August!O12),0)</f>
        <v>15851</v>
      </c>
      <c r="J6" s="10">
        <v>0.04</v>
      </c>
      <c r="K6" s="4">
        <f>IF((August!G12+August!M12)&gt;0,(August!G12+August!M12),0)</f>
        <v>10.700000000000001</v>
      </c>
      <c r="L6" s="10">
        <v>42.06</v>
      </c>
      <c r="M6" s="4">
        <f>August!R12</f>
        <v>115</v>
      </c>
    </row>
    <row r="7" spans="1:25" x14ac:dyDescent="0.25">
      <c r="A7" s="3" t="s">
        <v>7</v>
      </c>
      <c r="B7" s="2">
        <f t="shared" si="0"/>
        <v>6</v>
      </c>
      <c r="C7" s="14">
        <v>8</v>
      </c>
      <c r="D7" s="14">
        <v>2022</v>
      </c>
      <c r="E7" s="4">
        <f>IF(August!C13&gt;0,August!C13,0)</f>
        <v>5400</v>
      </c>
      <c r="F7" s="9">
        <v>0.34</v>
      </c>
      <c r="G7" s="4">
        <f>IF(August!E13&gt;0,August!E13,0)</f>
        <v>36.644999999999996</v>
      </c>
      <c r="H7" s="10">
        <v>1.79</v>
      </c>
      <c r="I7" s="4">
        <f>IF((August!I13+August!O13)&gt;0,(August!I13+August!O13),0)</f>
        <v>7369</v>
      </c>
      <c r="J7" s="10">
        <v>0.04</v>
      </c>
      <c r="K7" s="4">
        <f>IF((August!G13+August!M13)&gt;0,(August!G13+August!M13),0)</f>
        <v>6.4</v>
      </c>
      <c r="L7" s="10">
        <v>42.06</v>
      </c>
      <c r="M7" s="4">
        <f>August!R13</f>
        <v>124</v>
      </c>
    </row>
    <row r="8" spans="1:25" x14ac:dyDescent="0.25">
      <c r="A8" s="3" t="s">
        <v>7</v>
      </c>
      <c r="B8" s="2">
        <f t="shared" si="0"/>
        <v>7</v>
      </c>
      <c r="C8" s="14">
        <v>8</v>
      </c>
      <c r="D8" s="14">
        <v>2022</v>
      </c>
      <c r="E8" s="4">
        <f>IF(August!C14&gt;0,August!C14,0)</f>
        <v>6000</v>
      </c>
      <c r="F8" s="9">
        <v>0.34</v>
      </c>
      <c r="G8" s="4">
        <f>IF(August!E14&gt;0,August!E14,0)</f>
        <v>45.020999999999994</v>
      </c>
      <c r="H8" s="10">
        <v>1.79</v>
      </c>
      <c r="I8" s="4">
        <f>IF((August!I14+August!O14)&gt;0,(August!I14+August!O14),0)</f>
        <v>11191</v>
      </c>
      <c r="J8" s="10">
        <v>0.04</v>
      </c>
      <c r="K8" s="4">
        <f>IF((August!G14+August!M14)&gt;0,(August!G14+August!M14),0)</f>
        <v>7.2000000000000011</v>
      </c>
      <c r="L8" s="10">
        <v>42.06</v>
      </c>
      <c r="M8" s="4">
        <f>August!R14</f>
        <v>130</v>
      </c>
    </row>
    <row r="9" spans="1:25" x14ac:dyDescent="0.25">
      <c r="A9" s="3" t="s">
        <v>7</v>
      </c>
      <c r="B9" s="2">
        <f t="shared" si="0"/>
        <v>8</v>
      </c>
      <c r="C9" s="14">
        <v>8</v>
      </c>
      <c r="D9" s="14">
        <v>2022</v>
      </c>
      <c r="E9" s="4">
        <f>IF(August!C15&gt;0,August!C15,0)</f>
        <v>6900</v>
      </c>
      <c r="F9" s="9">
        <v>0.34</v>
      </c>
      <c r="G9" s="4">
        <f>IF(August!E15&gt;0,August!E15,0)</f>
        <v>53.396999999999998</v>
      </c>
      <c r="H9" s="10">
        <v>1.79</v>
      </c>
      <c r="I9" s="4">
        <f>IF((August!I15+August!O15)&gt;0,(August!I15+August!O15),0)</f>
        <v>11366</v>
      </c>
      <c r="J9" s="10">
        <v>0.04</v>
      </c>
      <c r="K9" s="4">
        <f>IF((August!G15+August!M15)&gt;0,(August!G15+August!M15),0)</f>
        <v>7.4</v>
      </c>
      <c r="L9" s="10">
        <v>42.06</v>
      </c>
      <c r="M9" s="4">
        <f>August!R15</f>
        <v>95</v>
      </c>
    </row>
    <row r="10" spans="1:25" x14ac:dyDescent="0.25">
      <c r="A10" s="3" t="s">
        <v>7</v>
      </c>
      <c r="B10" s="2">
        <f t="shared" si="0"/>
        <v>9</v>
      </c>
      <c r="C10" s="14">
        <v>8</v>
      </c>
      <c r="D10" s="14">
        <v>2022</v>
      </c>
      <c r="E10" s="4">
        <f>IF(August!C16&gt;0,August!C16,0)</f>
        <v>6900</v>
      </c>
      <c r="F10" s="9">
        <v>0.34</v>
      </c>
      <c r="G10" s="4">
        <f>IF(August!E16&gt;0,August!E16,0)</f>
        <v>50.256</v>
      </c>
      <c r="H10" s="10">
        <v>1.79</v>
      </c>
      <c r="I10" s="4">
        <f>IF((August!I16+August!O16)&gt;0,(August!I16+August!O16),0)</f>
        <v>9306</v>
      </c>
      <c r="J10" s="10">
        <v>0.04</v>
      </c>
      <c r="K10" s="4">
        <f>IF((August!G16+August!M16)&gt;0,(August!G16+August!M16),0)</f>
        <v>6.8000000000000007</v>
      </c>
      <c r="L10" s="10">
        <v>42.06</v>
      </c>
      <c r="M10" s="4">
        <f>August!R16</f>
        <v>78</v>
      </c>
    </row>
    <row r="11" spans="1:25" x14ac:dyDescent="0.25">
      <c r="A11" s="3" t="s">
        <v>7</v>
      </c>
      <c r="B11" s="2">
        <f t="shared" si="0"/>
        <v>10</v>
      </c>
      <c r="C11" s="14">
        <v>8</v>
      </c>
      <c r="D11" s="14">
        <v>2022</v>
      </c>
      <c r="E11" s="4">
        <f>IF(August!C17&gt;0,August!C17,0)</f>
        <v>6900</v>
      </c>
      <c r="F11" s="9">
        <v>0.34</v>
      </c>
      <c r="G11" s="4">
        <f>IF(August!E17&gt;0,August!E17,0)</f>
        <v>47.114999999999995</v>
      </c>
      <c r="H11" s="10">
        <v>1.79</v>
      </c>
      <c r="I11" s="4">
        <f>IF((August!I17+August!O17)&gt;0,(August!I17+August!O17),0)</f>
        <v>8003</v>
      </c>
      <c r="J11" s="10">
        <v>0.04</v>
      </c>
      <c r="K11" s="4">
        <f>IF((August!G17+August!M17)&gt;0,(August!G17+August!M17),0)</f>
        <v>7.0000000000000009</v>
      </c>
      <c r="L11" s="10">
        <v>42.06</v>
      </c>
      <c r="M11" s="4">
        <f>August!R17</f>
        <v>86</v>
      </c>
    </row>
    <row r="12" spans="1:25" x14ac:dyDescent="0.25">
      <c r="A12" s="3" t="s">
        <v>7</v>
      </c>
      <c r="B12" s="2">
        <f t="shared" si="0"/>
        <v>11</v>
      </c>
      <c r="C12" s="14">
        <v>8</v>
      </c>
      <c r="D12" s="14">
        <v>2022</v>
      </c>
      <c r="E12" s="4">
        <f>IF(August!C18&gt;0,August!C18,0)</f>
        <v>8100</v>
      </c>
      <c r="F12" s="9">
        <v>0.34</v>
      </c>
      <c r="G12" s="4">
        <f>IF(August!E18&gt;0,August!E18,0)</f>
        <v>50.256</v>
      </c>
      <c r="H12" s="10">
        <v>1.79</v>
      </c>
      <c r="I12" s="4">
        <f>IF((August!I18+August!O18)&gt;0,(August!I18+August!O18),0)</f>
        <v>10409</v>
      </c>
      <c r="J12" s="10">
        <v>0.04</v>
      </c>
      <c r="K12" s="4">
        <f>IF((August!G18+August!M18)&gt;0,(August!G18+August!M18),0)</f>
        <v>6.3</v>
      </c>
      <c r="L12" s="10">
        <v>42.06</v>
      </c>
      <c r="M12" s="4">
        <f>August!R18</f>
        <v>114</v>
      </c>
    </row>
    <row r="13" spans="1:25" x14ac:dyDescent="0.25">
      <c r="A13" s="3" t="s">
        <v>7</v>
      </c>
      <c r="B13" s="2">
        <f t="shared" si="0"/>
        <v>12</v>
      </c>
      <c r="C13" s="14">
        <v>8</v>
      </c>
      <c r="D13" s="14">
        <v>2022</v>
      </c>
      <c r="E13" s="4">
        <f>IF(August!C19&gt;0,August!C19,0)</f>
        <v>6900</v>
      </c>
      <c r="F13" s="9">
        <v>0.34</v>
      </c>
      <c r="G13" s="4">
        <f>IF(August!E19&gt;0,August!E19,0)</f>
        <v>48.161999999999999</v>
      </c>
      <c r="H13" s="10">
        <v>1.79</v>
      </c>
      <c r="I13" s="4">
        <f>IF((August!I19+August!O19)&gt;0,(August!I19+August!O19),0)</f>
        <v>11400</v>
      </c>
      <c r="J13" s="10">
        <v>0.04</v>
      </c>
      <c r="K13" s="4">
        <f>IF((August!G19+August!M19)&gt;0,(August!G19+August!M19),0)</f>
        <v>8.3000000000000007</v>
      </c>
      <c r="L13" s="10">
        <v>42.06</v>
      </c>
      <c r="M13" s="4">
        <f>August!R19</f>
        <v>97</v>
      </c>
    </row>
    <row r="14" spans="1:25" x14ac:dyDescent="0.25">
      <c r="A14" s="3" t="s">
        <v>7</v>
      </c>
      <c r="B14" s="2">
        <f t="shared" si="0"/>
        <v>13</v>
      </c>
      <c r="C14" s="14">
        <v>8</v>
      </c>
      <c r="D14" s="14">
        <v>2022</v>
      </c>
      <c r="E14" s="4">
        <f>IF(August!C20&gt;0,August!C20,0)</f>
        <v>8700</v>
      </c>
      <c r="F14" s="9">
        <v>0.34</v>
      </c>
      <c r="G14" s="4">
        <f>IF(August!E20&gt;0,August!E20,0)</f>
        <v>61.772999999999996</v>
      </c>
      <c r="H14" s="10">
        <v>1.79</v>
      </c>
      <c r="I14" s="4">
        <f>IF((August!I20+August!O20)&gt;0,(August!I20+August!O20),0)</f>
        <v>14490</v>
      </c>
      <c r="J14" s="10">
        <v>0.04</v>
      </c>
      <c r="K14" s="4">
        <f>IF((August!G20+August!M20)&gt;0,(August!G20+August!M20),0)</f>
        <v>6.8000000000000007</v>
      </c>
      <c r="L14" s="10">
        <v>42.06</v>
      </c>
      <c r="M14" s="4">
        <f>August!R20</f>
        <v>107</v>
      </c>
    </row>
    <row r="15" spans="1:25" x14ac:dyDescent="0.25">
      <c r="A15" s="3" t="s">
        <v>7</v>
      </c>
      <c r="B15" s="2">
        <f t="shared" si="0"/>
        <v>14</v>
      </c>
      <c r="C15" s="14">
        <v>8</v>
      </c>
      <c r="D15" s="14">
        <v>2022</v>
      </c>
      <c r="E15" s="4">
        <f>IF(August!C21&gt;0,August!C21,0)</f>
        <v>6300</v>
      </c>
      <c r="F15" s="9">
        <v>0.34</v>
      </c>
      <c r="G15" s="4">
        <f>IF(August!E21&gt;0,August!E21,0)</f>
        <v>45.020999999999994</v>
      </c>
      <c r="H15" s="10">
        <v>1.79</v>
      </c>
      <c r="I15" s="4">
        <f>IF((August!I21+August!O21)&gt;0,(August!I21+August!O21),0)</f>
        <v>9347</v>
      </c>
      <c r="J15" s="10">
        <v>0.04</v>
      </c>
      <c r="K15" s="4">
        <f>IF((August!G21+August!M21)&gt;0,(August!G21+August!M21),0)</f>
        <v>8.1000000000000014</v>
      </c>
      <c r="L15" s="10">
        <v>42.06</v>
      </c>
      <c r="M15" s="4">
        <f>August!R21</f>
        <v>91</v>
      </c>
    </row>
    <row r="16" spans="1:25" x14ac:dyDescent="0.25">
      <c r="A16" s="3" t="s">
        <v>7</v>
      </c>
      <c r="B16" s="2">
        <f t="shared" si="0"/>
        <v>15</v>
      </c>
      <c r="C16" s="14">
        <v>8</v>
      </c>
      <c r="D16" s="14">
        <v>2022</v>
      </c>
      <c r="E16" s="4">
        <f>IF(August!C22&gt;0,August!C22,0)</f>
        <v>5700</v>
      </c>
      <c r="F16" s="9">
        <v>0.34</v>
      </c>
      <c r="G16" s="4">
        <f>IF(August!E22&gt;0,August!E22,0)</f>
        <v>38.738999999999997</v>
      </c>
      <c r="H16" s="10">
        <v>1.79</v>
      </c>
      <c r="I16" s="4">
        <f>IF((August!I22+August!O22)&gt;0,(August!I22+August!O22),0)</f>
        <v>6928</v>
      </c>
      <c r="J16" s="10">
        <v>0.04</v>
      </c>
      <c r="K16" s="4">
        <f>IF((August!G22+August!M22)&gt;0,(August!G22+August!M22),0)</f>
        <v>5.4</v>
      </c>
      <c r="L16" s="10">
        <v>42.06</v>
      </c>
      <c r="M16" s="4">
        <f>August!R22</f>
        <v>66</v>
      </c>
    </row>
    <row r="17" spans="1:13" x14ac:dyDescent="0.25">
      <c r="A17" s="3" t="s">
        <v>7</v>
      </c>
      <c r="B17" s="2">
        <f t="shared" si="0"/>
        <v>16</v>
      </c>
      <c r="C17" s="14">
        <v>8</v>
      </c>
      <c r="D17" s="14">
        <v>2022</v>
      </c>
      <c r="E17" s="4">
        <f>IF(August!C23&gt;0,August!C23,0)</f>
        <v>6900</v>
      </c>
      <c r="F17" s="9">
        <v>0.34</v>
      </c>
      <c r="G17" s="4">
        <f>IF(August!E23&gt;0,August!E23,0)</f>
        <v>49.208999999999996</v>
      </c>
      <c r="H17" s="10">
        <v>1.79</v>
      </c>
      <c r="I17" s="4">
        <f>IF((August!I23+August!O23)&gt;0,(August!I23+August!O23),0)</f>
        <v>9088</v>
      </c>
      <c r="J17" s="10">
        <v>0.04</v>
      </c>
      <c r="K17" s="4">
        <f>IF((August!G23+August!M23)&gt;0,(August!G23+August!M23),0)</f>
        <v>6.5000000000000009</v>
      </c>
      <c r="L17" s="10">
        <v>42.06</v>
      </c>
      <c r="M17" s="4">
        <f>August!R23</f>
        <v>98</v>
      </c>
    </row>
    <row r="18" spans="1:13" x14ac:dyDescent="0.25">
      <c r="A18" s="3" t="s">
        <v>7</v>
      </c>
      <c r="B18" s="2">
        <f t="shared" si="0"/>
        <v>17</v>
      </c>
      <c r="C18" s="14">
        <v>8</v>
      </c>
      <c r="D18" s="14">
        <v>2022</v>
      </c>
      <c r="E18" s="4">
        <f>IF(August!C24&gt;0,August!C24,0)</f>
        <v>7500</v>
      </c>
      <c r="F18" s="9">
        <v>0.34</v>
      </c>
      <c r="G18" s="4">
        <f>IF(August!E24&gt;0,August!E24,0)</f>
        <v>49.208999999999996</v>
      </c>
      <c r="H18" s="10">
        <v>1.79</v>
      </c>
      <c r="I18" s="4">
        <f>IF((August!I24+August!O24)&gt;0,(August!I24+August!O24),0)</f>
        <v>10403</v>
      </c>
      <c r="J18" s="10">
        <v>0.04</v>
      </c>
      <c r="K18" s="4">
        <f>IF((August!G24+August!M24)&gt;0,(August!G24+August!M24),0)</f>
        <v>6.5</v>
      </c>
      <c r="L18" s="10">
        <v>42.06</v>
      </c>
      <c r="M18" s="4">
        <f>August!R24</f>
        <v>112</v>
      </c>
    </row>
    <row r="19" spans="1:13" x14ac:dyDescent="0.25">
      <c r="A19" s="3" t="s">
        <v>7</v>
      </c>
      <c r="B19" s="2">
        <f t="shared" si="0"/>
        <v>18</v>
      </c>
      <c r="C19" s="14">
        <v>8</v>
      </c>
      <c r="D19" s="14">
        <v>2022</v>
      </c>
      <c r="E19" s="4">
        <f>IF(August!C25&gt;0,August!C25,0)</f>
        <v>6900</v>
      </c>
      <c r="F19" s="9">
        <v>0.34</v>
      </c>
      <c r="G19" s="4">
        <f>IF(August!E25&gt;0,August!E25,0)</f>
        <v>51.302999999999997</v>
      </c>
      <c r="H19" s="10">
        <v>1.79</v>
      </c>
      <c r="I19" s="4">
        <f>IF((August!I25+August!O25)&gt;0,(August!I25+August!O25),0)</f>
        <v>10054</v>
      </c>
      <c r="J19" s="10">
        <v>0.04</v>
      </c>
      <c r="K19" s="4">
        <f>IF((August!G25+August!M25)&gt;0,(August!G25+August!M25),0)</f>
        <v>6.6000000000000005</v>
      </c>
      <c r="L19" s="10">
        <v>42.06</v>
      </c>
      <c r="M19" s="4">
        <f>August!R25</f>
        <v>109</v>
      </c>
    </row>
    <row r="20" spans="1:13" x14ac:dyDescent="0.25">
      <c r="A20" s="3" t="s">
        <v>7</v>
      </c>
      <c r="B20" s="2">
        <f t="shared" si="0"/>
        <v>19</v>
      </c>
      <c r="C20" s="14">
        <v>8</v>
      </c>
      <c r="D20" s="14">
        <v>2022</v>
      </c>
      <c r="E20" s="4">
        <f>IF(August!C26&gt;0,August!C26,0)</f>
        <v>6300</v>
      </c>
      <c r="F20" s="9">
        <v>0.34</v>
      </c>
      <c r="G20" s="4">
        <f>IF(August!E26&gt;0,August!E26,0)</f>
        <v>47.114999999999995</v>
      </c>
      <c r="H20" s="10">
        <v>1.79</v>
      </c>
      <c r="I20" s="4">
        <f>IF((August!I26+August!O26)&gt;0,(August!I26+August!O26),0)</f>
        <v>10150</v>
      </c>
      <c r="J20" s="10">
        <v>0.04</v>
      </c>
      <c r="K20" s="4">
        <f>IF((August!G26+August!M26)&gt;0,(August!G26+August!M26),0)</f>
        <v>7.2000000000000011</v>
      </c>
      <c r="L20" s="10">
        <v>42.06</v>
      </c>
      <c r="M20" s="4">
        <f>August!R26</f>
        <v>88</v>
      </c>
    </row>
    <row r="21" spans="1:13" x14ac:dyDescent="0.25">
      <c r="A21" s="3" t="s">
        <v>7</v>
      </c>
      <c r="B21" s="2">
        <f t="shared" si="0"/>
        <v>20</v>
      </c>
      <c r="C21" s="14">
        <v>8</v>
      </c>
      <c r="D21" s="14">
        <v>2022</v>
      </c>
      <c r="E21" s="4">
        <f>IF(August!C27&gt;0,August!C27,0)</f>
        <v>8100</v>
      </c>
      <c r="F21" s="9">
        <v>0.34</v>
      </c>
      <c r="G21" s="4">
        <f>IF(August!E27&gt;0,August!E27,0)</f>
        <v>59.678999999999995</v>
      </c>
      <c r="H21" s="10">
        <v>1.79</v>
      </c>
      <c r="I21" s="4">
        <f>IF((August!I27+August!O27)&gt;0,(August!I27+August!O27),0)</f>
        <v>11882</v>
      </c>
      <c r="J21" s="10">
        <v>0.04</v>
      </c>
      <c r="K21" s="4">
        <f>IF((August!G27+August!M27)&gt;0,(August!G27+August!M27),0)</f>
        <v>8.5</v>
      </c>
      <c r="L21" s="10">
        <v>42.06</v>
      </c>
      <c r="M21" s="4">
        <f>August!R27</f>
        <v>86</v>
      </c>
    </row>
    <row r="22" spans="1:13" x14ac:dyDescent="0.25">
      <c r="A22" s="3" t="s">
        <v>7</v>
      </c>
      <c r="B22" s="2">
        <f t="shared" si="0"/>
        <v>21</v>
      </c>
      <c r="C22" s="14">
        <v>8</v>
      </c>
      <c r="D22" s="14">
        <v>2022</v>
      </c>
      <c r="E22" s="4">
        <f>IF(August!C28&gt;0,August!C28,0)</f>
        <v>5700</v>
      </c>
      <c r="F22" s="9">
        <v>0.34</v>
      </c>
      <c r="G22" s="4">
        <f>IF(August!E28&gt;0,August!E28,0)</f>
        <v>39.785999999999994</v>
      </c>
      <c r="H22" s="10">
        <v>1.79</v>
      </c>
      <c r="I22" s="4">
        <f>IF((August!I28+August!O28)&gt;0,(August!I28+August!O28),0)</f>
        <v>8683</v>
      </c>
      <c r="J22" s="10">
        <v>0.04</v>
      </c>
      <c r="K22" s="4">
        <f>IF((August!G28+August!M28)&gt;0,(August!G28+August!M28),0)</f>
        <v>6.0000000000000009</v>
      </c>
      <c r="L22" s="10">
        <v>42.06</v>
      </c>
      <c r="M22" s="4">
        <f>August!R28</f>
        <v>91</v>
      </c>
    </row>
    <row r="23" spans="1:13" x14ac:dyDescent="0.25">
      <c r="A23" s="3" t="s">
        <v>7</v>
      </c>
      <c r="B23" s="2">
        <f t="shared" si="0"/>
        <v>22</v>
      </c>
      <c r="C23" s="14">
        <v>8</v>
      </c>
      <c r="D23" s="14">
        <v>2022</v>
      </c>
      <c r="E23" s="4">
        <f>IF(August!C29&gt;0,August!C29,0)</f>
        <v>6300</v>
      </c>
      <c r="F23" s="9">
        <v>0.34</v>
      </c>
      <c r="G23" s="4">
        <f>IF(August!E29&gt;0,August!E29,0)</f>
        <v>48.161999999999999</v>
      </c>
      <c r="H23" s="10">
        <v>1.79</v>
      </c>
      <c r="I23" s="4">
        <f>IF((August!I29+August!O29)&gt;0,(August!I29+August!O29),0)</f>
        <v>7147</v>
      </c>
      <c r="J23" s="10">
        <v>0.04</v>
      </c>
      <c r="K23" s="4">
        <f>IF((August!G29+August!M29)&gt;0,(August!G29+August!M29),0)</f>
        <v>6.8000000000000007</v>
      </c>
      <c r="L23" s="10">
        <v>42.06</v>
      </c>
      <c r="M23" s="4">
        <f>August!R29</f>
        <v>60</v>
      </c>
    </row>
    <row r="24" spans="1:13" x14ac:dyDescent="0.25">
      <c r="A24" s="3" t="s">
        <v>7</v>
      </c>
      <c r="B24" s="2">
        <f t="shared" si="0"/>
        <v>23</v>
      </c>
      <c r="C24" s="14">
        <v>8</v>
      </c>
      <c r="D24" s="14">
        <v>2022</v>
      </c>
      <c r="E24" s="4">
        <f>IF(August!C30&gt;0,August!C30,0)</f>
        <v>6900</v>
      </c>
      <c r="F24" s="9">
        <v>0.34</v>
      </c>
      <c r="G24" s="4">
        <f>IF(August!E30&gt;0,August!E30,0)</f>
        <v>47.114999999999995</v>
      </c>
      <c r="H24" s="10">
        <v>1.79</v>
      </c>
      <c r="I24" s="4">
        <f>IF((August!I30+August!O30)&gt;0,(August!I30+August!O30),0)</f>
        <v>7928</v>
      </c>
      <c r="J24" s="10">
        <v>0.04</v>
      </c>
      <c r="K24" s="4">
        <f>IF((August!G30+August!M30)&gt;0,(August!G30+August!M30),0)</f>
        <v>6.9</v>
      </c>
      <c r="L24" s="10">
        <v>42.06</v>
      </c>
      <c r="M24" s="4">
        <f>August!R30</f>
        <v>65</v>
      </c>
    </row>
    <row r="25" spans="1:13" x14ac:dyDescent="0.25">
      <c r="A25" s="3" t="s">
        <v>7</v>
      </c>
      <c r="B25" s="2">
        <f t="shared" si="0"/>
        <v>24</v>
      </c>
      <c r="C25" s="14">
        <v>8</v>
      </c>
      <c r="D25" s="14">
        <v>2022</v>
      </c>
      <c r="E25" s="4">
        <f>IF(August!C31&gt;0,August!C31,0)</f>
        <v>6900</v>
      </c>
      <c r="F25" s="9">
        <v>0.34</v>
      </c>
      <c r="G25" s="4">
        <f>IF(August!E31&gt;0,August!E31,0)</f>
        <v>48.161999999999999</v>
      </c>
      <c r="H25" s="10">
        <v>1.79</v>
      </c>
      <c r="I25" s="4">
        <f>IF((August!I31+August!O31)&gt;0,(August!I31+August!O31),0)</f>
        <v>8438</v>
      </c>
      <c r="J25" s="10">
        <v>0.04</v>
      </c>
      <c r="K25" s="4">
        <f>IF((August!G31+August!M31)&gt;0,(August!G31+August!M31),0)</f>
        <v>9</v>
      </c>
      <c r="L25" s="10">
        <v>42.06</v>
      </c>
      <c r="M25" s="4">
        <f>August!R31</f>
        <v>79</v>
      </c>
    </row>
    <row r="26" spans="1:13" x14ac:dyDescent="0.25">
      <c r="A26" s="3" t="s">
        <v>7</v>
      </c>
      <c r="B26" s="2">
        <f>B25+1</f>
        <v>25</v>
      </c>
      <c r="C26" s="14">
        <v>8</v>
      </c>
      <c r="D26" s="14">
        <v>2022</v>
      </c>
      <c r="E26" s="4">
        <f>IF(August!C32&gt;0,August!C32,0)</f>
        <v>9000</v>
      </c>
      <c r="F26" s="9">
        <v>0.34</v>
      </c>
      <c r="G26" s="4">
        <f>IF(August!E32&gt;0,August!E32,0)</f>
        <v>70.149000000000001</v>
      </c>
      <c r="H26" s="10">
        <v>1.79</v>
      </c>
      <c r="I26" s="4">
        <f>IF((August!I32+August!O32)&gt;0,(August!I32+August!O32),0)</f>
        <v>12907</v>
      </c>
      <c r="J26" s="10">
        <v>0.04</v>
      </c>
      <c r="K26" s="4">
        <f>IF((August!G32+August!M32)&gt;0,(August!G32+August!M32),0)</f>
        <v>13.600000000000001</v>
      </c>
      <c r="L26" s="10">
        <v>42.06</v>
      </c>
      <c r="M26" s="4">
        <f>August!R32</f>
        <v>75</v>
      </c>
    </row>
    <row r="27" spans="1:13" x14ac:dyDescent="0.25">
      <c r="A27" s="3" t="s">
        <v>7</v>
      </c>
      <c r="B27" s="2">
        <f t="shared" si="0"/>
        <v>26</v>
      </c>
      <c r="C27" s="14">
        <v>8</v>
      </c>
      <c r="D27" s="14">
        <v>2022</v>
      </c>
      <c r="E27" s="4">
        <f>IF(August!C33&gt;0,August!C33,0)</f>
        <v>4200</v>
      </c>
      <c r="F27" s="9">
        <v>0.34</v>
      </c>
      <c r="G27" s="4">
        <f>IF(August!E33&gt;0,August!E33,0)</f>
        <v>28.268999999999998</v>
      </c>
      <c r="H27" s="10">
        <v>1.79</v>
      </c>
      <c r="I27" s="4">
        <f>IF((August!I33+August!O33)&gt;0,(August!I33+August!O33),0)</f>
        <v>3155</v>
      </c>
      <c r="J27" s="10">
        <v>0.04</v>
      </c>
      <c r="K27" s="4">
        <f>IF((August!G33+August!M33)&gt;0,(August!G33+August!M33),0)</f>
        <v>6.6</v>
      </c>
      <c r="L27" s="10">
        <v>42.06</v>
      </c>
      <c r="M27" s="4">
        <f>August!R33</f>
        <v>79</v>
      </c>
    </row>
    <row r="28" spans="1:13" x14ac:dyDescent="0.25">
      <c r="A28" s="3" t="s">
        <v>7</v>
      </c>
      <c r="B28" s="2">
        <f t="shared" si="0"/>
        <v>27</v>
      </c>
      <c r="C28" s="14">
        <v>8</v>
      </c>
      <c r="D28" s="14">
        <v>2022</v>
      </c>
      <c r="E28" s="4">
        <f>IF(August!C34&gt;0,August!C34,0)</f>
        <v>6300</v>
      </c>
      <c r="F28" s="9">
        <v>0.34</v>
      </c>
      <c r="G28" s="4">
        <f>IF(August!E34&gt;0,August!E34,0)</f>
        <v>48.161999999999999</v>
      </c>
      <c r="H28" s="10">
        <v>1.79</v>
      </c>
      <c r="I28" s="4">
        <f>IF((August!I34+August!O34)&gt;0,(August!I34+August!O34),0)</f>
        <v>10227</v>
      </c>
      <c r="J28" s="10">
        <v>0.04</v>
      </c>
      <c r="K28" s="4">
        <f>IF((August!G34+August!M34)&gt;0,(August!G34+August!M34),0)</f>
        <v>11.8</v>
      </c>
      <c r="L28" s="10">
        <v>42.06</v>
      </c>
      <c r="M28" s="4">
        <f>August!R34</f>
        <v>90</v>
      </c>
    </row>
    <row r="29" spans="1:13" x14ac:dyDescent="0.25">
      <c r="A29" s="3" t="s">
        <v>7</v>
      </c>
      <c r="B29" s="2">
        <f t="shared" si="0"/>
        <v>28</v>
      </c>
      <c r="C29" s="14">
        <v>8</v>
      </c>
      <c r="D29" s="14">
        <v>2022</v>
      </c>
      <c r="E29" s="4">
        <f>IF(August!C35&gt;0,August!C35,0)</f>
        <v>6600</v>
      </c>
      <c r="F29" s="9">
        <v>0.34</v>
      </c>
      <c r="G29" s="4">
        <f>IF(August!E35&gt;0,August!E35,0)</f>
        <v>48.161999999999999</v>
      </c>
      <c r="H29" s="10">
        <v>1.79</v>
      </c>
      <c r="I29" s="4">
        <f>IF((August!I35+August!O35)&gt;0,(August!I35+August!O35),0)</f>
        <v>10265</v>
      </c>
      <c r="J29" s="10">
        <v>0.04</v>
      </c>
      <c r="K29" s="4">
        <f>IF((August!G35+August!M35)&gt;0,(August!G35+August!M35),0)</f>
        <v>11.400000000000002</v>
      </c>
      <c r="L29" s="10">
        <v>42.06</v>
      </c>
      <c r="M29" s="4">
        <f>August!R35</f>
        <v>94</v>
      </c>
    </row>
    <row r="30" spans="1:13" x14ac:dyDescent="0.25">
      <c r="A30" s="3" t="s">
        <v>7</v>
      </c>
      <c r="B30" s="2">
        <f t="shared" si="0"/>
        <v>29</v>
      </c>
      <c r="C30" s="14">
        <v>8</v>
      </c>
      <c r="D30" s="14">
        <v>2022</v>
      </c>
      <c r="E30" s="4">
        <f>IF(August!C36&gt;0,August!C36,0)</f>
        <v>6000</v>
      </c>
      <c r="F30" s="9">
        <v>0.34</v>
      </c>
      <c r="G30" s="4">
        <f>IF(August!E36&gt;0,August!E36,0)</f>
        <v>42.927</v>
      </c>
      <c r="H30" s="10">
        <v>1.79</v>
      </c>
      <c r="I30" s="4">
        <f>IF((August!I36+August!O36)&gt;0,(August!I36+August!O36),0)</f>
        <v>7998</v>
      </c>
      <c r="J30" s="10">
        <v>0.04</v>
      </c>
      <c r="K30" s="4">
        <f>IF((August!G36+August!M36)&gt;0,(August!G36+August!M36),0)</f>
        <v>10.5</v>
      </c>
      <c r="L30" s="10">
        <v>42.06</v>
      </c>
      <c r="M30" s="4">
        <f>August!R36</f>
        <v>63</v>
      </c>
    </row>
    <row r="31" spans="1:13" x14ac:dyDescent="0.25">
      <c r="A31" s="3" t="s">
        <v>7</v>
      </c>
      <c r="B31" s="2">
        <f t="shared" si="0"/>
        <v>30</v>
      </c>
      <c r="C31" s="14">
        <v>8</v>
      </c>
      <c r="D31" s="14">
        <v>2022</v>
      </c>
      <c r="E31" s="4">
        <f>IF(August!C37&gt;0,August!C37,0)</f>
        <v>7200</v>
      </c>
      <c r="F31" s="9">
        <v>0.34</v>
      </c>
      <c r="G31" s="4">
        <f>IF(August!E37&gt;0,August!E37,0)</f>
        <v>50.256</v>
      </c>
      <c r="H31" s="10">
        <v>1.79</v>
      </c>
      <c r="I31" s="4">
        <f>IF((August!I37+August!O37)&gt;0,(August!I37+August!O37),0)</f>
        <v>9496</v>
      </c>
      <c r="J31" s="10">
        <v>0.04</v>
      </c>
      <c r="K31" s="4">
        <f>IF((August!G37+August!M37)&gt;0,(August!G37+August!M37),0)</f>
        <v>12.2</v>
      </c>
      <c r="L31" s="10">
        <v>42.06</v>
      </c>
      <c r="M31" s="4">
        <f>August!R37</f>
        <v>99</v>
      </c>
    </row>
    <row r="32" spans="1:13" x14ac:dyDescent="0.25">
      <c r="A32" s="3" t="s">
        <v>7</v>
      </c>
      <c r="B32" s="2">
        <f t="shared" si="0"/>
        <v>31</v>
      </c>
      <c r="C32" s="14">
        <v>8</v>
      </c>
      <c r="D32" s="14">
        <v>2022</v>
      </c>
      <c r="E32" s="4">
        <f>IF(August!C38&gt;0,August!C38,0)</f>
        <v>6600</v>
      </c>
      <c r="F32" s="9">
        <v>0.34</v>
      </c>
      <c r="G32" s="4">
        <f>IF(August!E38&gt;0,August!E38,0)</f>
        <v>41.879999999999995</v>
      </c>
      <c r="H32" s="10">
        <v>1.79</v>
      </c>
      <c r="I32" s="4">
        <f>IF((August!I38+August!O38)&gt;0,(August!I38+August!O38),0)</f>
        <v>9075</v>
      </c>
      <c r="J32" s="10">
        <v>0.04</v>
      </c>
      <c r="K32" s="4">
        <f>IF((August!G38+August!M38)&gt;0,(August!G38+August!M38),0)</f>
        <v>10.900000000000002</v>
      </c>
      <c r="L32" s="10">
        <v>42.06</v>
      </c>
      <c r="M32" s="4">
        <f>August!R38</f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W40"/>
  <sheetViews>
    <sheetView showWhiteSpace="0" topLeftCell="M25" zoomScale="110" zoomScaleNormal="110" workbookViewId="0">
      <selection activeCell="T4" sqref="T4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8.7109375" style="16" customWidth="1"/>
    <col min="12" max="13" width="9.7109375" style="16" customWidth="1"/>
    <col min="14" max="15" width="13.7109375" style="16" customWidth="1"/>
    <col min="16" max="16" width="15.28515625" style="16" customWidth="1"/>
    <col min="17" max="17" width="13.7109375" style="16" customWidth="1"/>
    <col min="18" max="19" width="9.140625" style="16"/>
    <col min="20" max="20" width="6.85546875" style="16" customWidth="1"/>
    <col min="21" max="21" width="8.140625" style="16" customWidth="1"/>
    <col min="22" max="16384" width="9.140625" style="16"/>
  </cols>
  <sheetData>
    <row r="1" spans="1:23" ht="18" customHeight="1" x14ac:dyDescent="0.25">
      <c r="A1" s="54"/>
      <c r="B1" s="54"/>
      <c r="C1" s="15"/>
    </row>
    <row r="2" spans="1:23" ht="21" x14ac:dyDescent="0.35">
      <c r="A2" s="55" t="s">
        <v>23</v>
      </c>
      <c r="B2" s="55"/>
      <c r="C2" s="55"/>
      <c r="D2" s="55"/>
      <c r="E2" s="55"/>
      <c r="F2" s="55"/>
      <c r="G2" s="55"/>
      <c r="H2" s="55"/>
      <c r="I2" s="55"/>
      <c r="J2" s="55"/>
      <c r="K2" s="17"/>
    </row>
    <row r="3" spans="1:23" ht="16.5" customHeight="1" x14ac:dyDescent="0.35">
      <c r="A3" s="55"/>
      <c r="B3" s="55"/>
      <c r="C3" s="55"/>
      <c r="D3" s="55"/>
      <c r="E3" s="55"/>
      <c r="F3" s="55"/>
      <c r="G3" s="55"/>
      <c r="H3" s="55"/>
      <c r="I3" s="55"/>
      <c r="J3" s="55"/>
      <c r="K3" s="17"/>
    </row>
    <row r="4" spans="1:23" s="19" customFormat="1" ht="24.75" customHeight="1" x14ac:dyDescent="0.2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18"/>
    </row>
    <row r="5" spans="1:23" s="19" customFormat="1" ht="16.5" customHeight="1" x14ac:dyDescent="0.25">
      <c r="A5" s="18"/>
      <c r="B5" s="46"/>
      <c r="C5" s="18"/>
      <c r="D5" s="46"/>
      <c r="E5" s="18"/>
      <c r="F5" s="46"/>
      <c r="G5" s="18"/>
      <c r="H5" s="46"/>
      <c r="I5" s="18"/>
      <c r="J5" s="46"/>
      <c r="K5" s="18"/>
      <c r="L5" s="46"/>
      <c r="M5" s="18"/>
    </row>
    <row r="6" spans="1:23" s="19" customFormat="1" ht="49.5" customHeight="1" thickBot="1" x14ac:dyDescent="0.3">
      <c r="A6" s="43" t="s">
        <v>8</v>
      </c>
      <c r="B6" s="44">
        <f>[1]JULY!B38</f>
        <v>22529</v>
      </c>
      <c r="C6" s="44"/>
      <c r="D6" s="44">
        <f>[1]JULY!D38</f>
        <v>54300</v>
      </c>
      <c r="E6" s="44"/>
      <c r="F6" s="44">
        <f>[1]JULY!F38</f>
        <v>31617</v>
      </c>
      <c r="G6" s="44"/>
      <c r="H6" s="44">
        <f>[1]JULY!H38</f>
        <v>11092336</v>
      </c>
      <c r="I6" s="44"/>
      <c r="J6" s="44">
        <f>[1]JULY!J38</f>
        <v>368669</v>
      </c>
      <c r="K6" s="44"/>
      <c r="L6" s="44">
        <f>[1]JULY!L38</f>
        <v>32045</v>
      </c>
      <c r="M6" s="44"/>
      <c r="N6" s="45">
        <f>[1]JULY!N38</f>
        <v>30589649</v>
      </c>
      <c r="O6" s="45"/>
      <c r="P6" s="45">
        <f>[1]JULY!P38</f>
        <v>6317948</v>
      </c>
      <c r="Q6" s="45"/>
    </row>
    <row r="7" spans="1:23" s="20" customFormat="1" ht="47.25" customHeight="1" x14ac:dyDescent="0.25">
      <c r="A7" s="28" t="s">
        <v>9</v>
      </c>
      <c r="B7" s="21" t="s">
        <v>24</v>
      </c>
      <c r="C7" s="22" t="s">
        <v>10</v>
      </c>
      <c r="D7" s="21" t="s">
        <v>25</v>
      </c>
      <c r="E7" s="22" t="s">
        <v>11</v>
      </c>
      <c r="F7" s="23" t="s">
        <v>26</v>
      </c>
      <c r="G7" s="22" t="s">
        <v>12</v>
      </c>
      <c r="H7" s="21" t="s">
        <v>27</v>
      </c>
      <c r="I7" s="22" t="s">
        <v>13</v>
      </c>
      <c r="J7" s="23" t="s">
        <v>28</v>
      </c>
      <c r="K7" s="22" t="s">
        <v>14</v>
      </c>
      <c r="L7" s="23" t="s">
        <v>29</v>
      </c>
      <c r="M7" s="22" t="s">
        <v>12</v>
      </c>
      <c r="N7" s="23" t="s">
        <v>30</v>
      </c>
      <c r="O7" s="22" t="s">
        <v>13</v>
      </c>
      <c r="P7" s="23" t="s">
        <v>31</v>
      </c>
      <c r="Q7" s="29" t="s">
        <v>13</v>
      </c>
      <c r="R7" s="30" t="s">
        <v>22</v>
      </c>
      <c r="S7" s="31" t="s">
        <v>32</v>
      </c>
      <c r="T7" s="32" t="s">
        <v>33</v>
      </c>
      <c r="U7" s="51" t="s">
        <v>34</v>
      </c>
      <c r="V7" s="52" t="s">
        <v>35</v>
      </c>
      <c r="W7" s="52" t="s">
        <v>36</v>
      </c>
    </row>
    <row r="8" spans="1:23" ht="20.25" customHeight="1" x14ac:dyDescent="0.25">
      <c r="A8" s="41">
        <v>1</v>
      </c>
      <c r="B8" s="24">
        <v>22553</v>
      </c>
      <c r="C8" s="24">
        <f>+(B8-B6)*300</f>
        <v>7200</v>
      </c>
      <c r="D8" s="24">
        <v>54349</v>
      </c>
      <c r="E8" s="24">
        <f>+(D8-D6)*1.047</f>
        <v>51.302999999999997</v>
      </c>
      <c r="F8" s="24">
        <v>31626</v>
      </c>
      <c r="G8" s="24">
        <f>+(F8-F6)*0.1</f>
        <v>0.9</v>
      </c>
      <c r="H8" s="24">
        <v>11093981</v>
      </c>
      <c r="I8" s="24">
        <f>+H8-H6</f>
        <v>1645</v>
      </c>
      <c r="J8" s="24">
        <v>368936</v>
      </c>
      <c r="K8" s="24">
        <f>+J8-J6</f>
        <v>267</v>
      </c>
      <c r="L8" s="24">
        <v>32122</v>
      </c>
      <c r="M8" s="24">
        <f>+(L8-L6)*0.1</f>
        <v>7.7</v>
      </c>
      <c r="N8" s="24">
        <v>30597527</v>
      </c>
      <c r="O8" s="24">
        <f>+N8-N6</f>
        <v>7878</v>
      </c>
      <c r="P8" s="24">
        <v>6318257</v>
      </c>
      <c r="Q8" s="34">
        <f>+P8-P6</f>
        <v>309</v>
      </c>
      <c r="R8" s="38">
        <v>85</v>
      </c>
      <c r="S8" s="33">
        <v>69</v>
      </c>
      <c r="T8" s="24">
        <v>57</v>
      </c>
      <c r="U8" s="47">
        <f>(S8+T8)/2</f>
        <v>63</v>
      </c>
      <c r="V8" s="49">
        <f>65-U8</f>
        <v>2</v>
      </c>
      <c r="W8" s="53">
        <v>0</v>
      </c>
    </row>
    <row r="9" spans="1:23" ht="20.25" customHeight="1" x14ac:dyDescent="0.25">
      <c r="A9" s="41">
        <v>2</v>
      </c>
      <c r="B9" s="24">
        <v>22574</v>
      </c>
      <c r="C9" s="24">
        <f>+(B9-B8)*300</f>
        <v>6300</v>
      </c>
      <c r="D9" s="24">
        <v>54388</v>
      </c>
      <c r="E9" s="24">
        <f>+(D9-D8)*1.047</f>
        <v>40.832999999999998</v>
      </c>
      <c r="F9" s="24">
        <v>31635</v>
      </c>
      <c r="G9" s="24">
        <f>+(F9-F8)*0.1</f>
        <v>0.9</v>
      </c>
      <c r="H9" s="24">
        <v>11096011</v>
      </c>
      <c r="I9" s="24">
        <f>+H9-H8</f>
        <v>2030</v>
      </c>
      <c r="J9" s="24">
        <v>369507</v>
      </c>
      <c r="K9" s="24">
        <f>+J9-J8</f>
        <v>571</v>
      </c>
      <c r="L9" s="24">
        <v>32187</v>
      </c>
      <c r="M9" s="24">
        <f>+(L9-L8)*0.1</f>
        <v>6.5</v>
      </c>
      <c r="N9" s="24">
        <v>30603474</v>
      </c>
      <c r="O9" s="24">
        <f>+N9-N8</f>
        <v>5947</v>
      </c>
      <c r="P9" s="24">
        <v>6318897</v>
      </c>
      <c r="Q9" s="34">
        <f>+P9-P8</f>
        <v>640</v>
      </c>
      <c r="R9" s="39">
        <v>110</v>
      </c>
      <c r="S9" s="33">
        <v>70</v>
      </c>
      <c r="T9" s="24">
        <v>56</v>
      </c>
      <c r="U9" s="47">
        <f t="shared" ref="U9:U38" si="0">(S9+T9)/2</f>
        <v>63</v>
      </c>
      <c r="V9" s="49">
        <f t="shared" ref="V9:V38" si="1">65-U9</f>
        <v>2</v>
      </c>
      <c r="W9" s="53">
        <v>0</v>
      </c>
    </row>
    <row r="10" spans="1:23" ht="20.25" customHeight="1" x14ac:dyDescent="0.25">
      <c r="A10" s="41">
        <v>3</v>
      </c>
      <c r="B10" s="24">
        <v>22598</v>
      </c>
      <c r="C10" s="24">
        <f t="shared" ref="C10:C38" si="2">+(B10-B9)*300</f>
        <v>7200</v>
      </c>
      <c r="D10" s="24">
        <v>54435</v>
      </c>
      <c r="E10" s="24">
        <f t="shared" ref="E10:E38" si="3">+(D10-D9)*1.047</f>
        <v>49.208999999999996</v>
      </c>
      <c r="F10" s="24">
        <v>31644</v>
      </c>
      <c r="G10" s="24">
        <f t="shared" ref="G10:G38" si="4">+(F10-F9)*0.1</f>
        <v>0.9</v>
      </c>
      <c r="H10" s="24">
        <v>11098272</v>
      </c>
      <c r="I10" s="24">
        <f>+H10-H9</f>
        <v>2261</v>
      </c>
      <c r="J10" s="24">
        <v>370083</v>
      </c>
      <c r="K10" s="24">
        <f>+J10-J9</f>
        <v>576</v>
      </c>
      <c r="L10" s="24">
        <v>32261</v>
      </c>
      <c r="M10" s="24">
        <f t="shared" ref="M10:M38" si="5">+(L10-L9)*0.1</f>
        <v>7.4</v>
      </c>
      <c r="N10" s="24">
        <v>30611411</v>
      </c>
      <c r="O10" s="24">
        <f>+N10-N9</f>
        <v>7937</v>
      </c>
      <c r="P10" s="24">
        <v>6319193</v>
      </c>
      <c r="Q10" s="34">
        <f>+P10-P9</f>
        <v>296</v>
      </c>
      <c r="R10" s="39">
        <v>109</v>
      </c>
      <c r="S10" s="33">
        <v>67</v>
      </c>
      <c r="T10" s="24">
        <v>55</v>
      </c>
      <c r="U10" s="47">
        <f t="shared" si="0"/>
        <v>61</v>
      </c>
      <c r="V10" s="49">
        <f t="shared" si="1"/>
        <v>4</v>
      </c>
      <c r="W10" s="53">
        <v>0</v>
      </c>
    </row>
    <row r="11" spans="1:23" ht="20.25" customHeight="1" x14ac:dyDescent="0.25">
      <c r="A11" s="41">
        <v>4</v>
      </c>
      <c r="B11" s="24">
        <v>22623</v>
      </c>
      <c r="C11" s="24">
        <f t="shared" si="2"/>
        <v>7500</v>
      </c>
      <c r="D11" s="24">
        <v>54489</v>
      </c>
      <c r="E11" s="24">
        <f t="shared" si="3"/>
        <v>56.537999999999997</v>
      </c>
      <c r="F11" s="24">
        <v>31653</v>
      </c>
      <c r="G11" s="24">
        <f t="shared" si="4"/>
        <v>0.9</v>
      </c>
      <c r="H11" s="24">
        <v>11101015</v>
      </c>
      <c r="I11" s="24">
        <f t="shared" ref="I11:K38" si="6">+H11-H10</f>
        <v>2743</v>
      </c>
      <c r="J11" s="24">
        <v>371005</v>
      </c>
      <c r="K11" s="24">
        <f t="shared" si="6"/>
        <v>922</v>
      </c>
      <c r="L11" s="24">
        <v>32347</v>
      </c>
      <c r="M11" s="24">
        <f t="shared" si="5"/>
        <v>8.6</v>
      </c>
      <c r="N11" s="24">
        <v>30621650</v>
      </c>
      <c r="O11" s="24">
        <f t="shared" ref="O11:Q26" si="7">+N11-N10</f>
        <v>10239</v>
      </c>
      <c r="P11" s="24">
        <v>6320000</v>
      </c>
      <c r="Q11" s="34">
        <f t="shared" si="7"/>
        <v>807</v>
      </c>
      <c r="R11" s="39">
        <v>115</v>
      </c>
      <c r="S11" s="33">
        <v>69</v>
      </c>
      <c r="T11" s="24">
        <v>59</v>
      </c>
      <c r="U11" s="47">
        <f t="shared" si="0"/>
        <v>64</v>
      </c>
      <c r="V11" s="49">
        <f t="shared" si="1"/>
        <v>1</v>
      </c>
      <c r="W11" s="53">
        <v>0</v>
      </c>
    </row>
    <row r="12" spans="1:23" ht="20.25" customHeight="1" x14ac:dyDescent="0.25">
      <c r="A12" s="41">
        <v>5</v>
      </c>
      <c r="B12" s="24">
        <v>22658</v>
      </c>
      <c r="C12" s="24">
        <f t="shared" si="2"/>
        <v>10500</v>
      </c>
      <c r="D12" s="24">
        <v>54554</v>
      </c>
      <c r="E12" s="24">
        <f t="shared" si="3"/>
        <v>68.054999999999993</v>
      </c>
      <c r="F12" s="24">
        <v>31666</v>
      </c>
      <c r="G12" s="24">
        <f t="shared" si="4"/>
        <v>1.3</v>
      </c>
      <c r="H12" s="24">
        <v>11105175</v>
      </c>
      <c r="I12" s="24">
        <f t="shared" si="6"/>
        <v>4160</v>
      </c>
      <c r="J12" s="24">
        <v>371070</v>
      </c>
      <c r="K12" s="24">
        <f t="shared" si="6"/>
        <v>65</v>
      </c>
      <c r="L12" s="24">
        <v>32441</v>
      </c>
      <c r="M12" s="24">
        <f t="shared" si="5"/>
        <v>9.4</v>
      </c>
      <c r="N12" s="24">
        <v>30633341</v>
      </c>
      <c r="O12" s="24">
        <f t="shared" si="7"/>
        <v>11691</v>
      </c>
      <c r="P12" s="24">
        <v>6320840</v>
      </c>
      <c r="Q12" s="34">
        <f t="shared" si="7"/>
        <v>840</v>
      </c>
      <c r="R12" s="39">
        <v>115</v>
      </c>
      <c r="S12" s="33">
        <v>74</v>
      </c>
      <c r="T12" s="24">
        <v>60</v>
      </c>
      <c r="U12" s="47">
        <f t="shared" si="0"/>
        <v>67</v>
      </c>
      <c r="V12" s="49">
        <v>0</v>
      </c>
      <c r="W12" s="53">
        <f t="shared" ref="W12:W29" si="8">U12-65</f>
        <v>2</v>
      </c>
    </row>
    <row r="13" spans="1:23" ht="20.25" customHeight="1" x14ac:dyDescent="0.25">
      <c r="A13" s="41">
        <v>6</v>
      </c>
      <c r="B13" s="24">
        <v>22676</v>
      </c>
      <c r="C13" s="24">
        <f t="shared" si="2"/>
        <v>5400</v>
      </c>
      <c r="D13" s="24">
        <v>54589</v>
      </c>
      <c r="E13" s="24">
        <f t="shared" si="3"/>
        <v>36.644999999999996</v>
      </c>
      <c r="F13" s="24">
        <v>31676</v>
      </c>
      <c r="G13" s="24">
        <f t="shared" si="4"/>
        <v>1</v>
      </c>
      <c r="H13" s="24">
        <v>11106673</v>
      </c>
      <c r="I13" s="24">
        <f t="shared" si="6"/>
        <v>1498</v>
      </c>
      <c r="J13" s="24">
        <v>372020</v>
      </c>
      <c r="K13" s="24">
        <f t="shared" si="6"/>
        <v>950</v>
      </c>
      <c r="L13" s="24">
        <v>32495</v>
      </c>
      <c r="M13" s="24">
        <f t="shared" si="5"/>
        <v>5.4</v>
      </c>
      <c r="N13" s="24">
        <v>30639212</v>
      </c>
      <c r="O13" s="24">
        <f t="shared" si="7"/>
        <v>5871</v>
      </c>
      <c r="P13" s="24">
        <v>6321812</v>
      </c>
      <c r="Q13" s="34">
        <f t="shared" si="7"/>
        <v>972</v>
      </c>
      <c r="R13" s="39">
        <v>124</v>
      </c>
      <c r="S13" s="33">
        <v>74</v>
      </c>
      <c r="T13" s="24">
        <v>60</v>
      </c>
      <c r="U13" s="47">
        <f t="shared" si="0"/>
        <v>67</v>
      </c>
      <c r="V13" s="49">
        <v>0</v>
      </c>
      <c r="W13" s="53">
        <f t="shared" si="8"/>
        <v>2</v>
      </c>
    </row>
    <row r="14" spans="1:23" ht="20.25" customHeight="1" x14ac:dyDescent="0.25">
      <c r="A14" s="41">
        <v>7</v>
      </c>
      <c r="B14" s="24">
        <v>22696</v>
      </c>
      <c r="C14" s="24">
        <f t="shared" si="2"/>
        <v>6000</v>
      </c>
      <c r="D14" s="24">
        <v>54632</v>
      </c>
      <c r="E14" s="24">
        <f t="shared" si="3"/>
        <v>45.020999999999994</v>
      </c>
      <c r="F14" s="24">
        <v>31687</v>
      </c>
      <c r="G14" s="24">
        <f t="shared" si="4"/>
        <v>1.1000000000000001</v>
      </c>
      <c r="H14" s="24">
        <v>11108702</v>
      </c>
      <c r="I14" s="24">
        <f t="shared" si="6"/>
        <v>2029</v>
      </c>
      <c r="J14" s="24">
        <v>372215</v>
      </c>
      <c r="K14" s="24">
        <f t="shared" si="6"/>
        <v>195</v>
      </c>
      <c r="L14" s="24">
        <v>32556</v>
      </c>
      <c r="M14" s="24">
        <f t="shared" si="5"/>
        <v>6.1000000000000005</v>
      </c>
      <c r="N14" s="24">
        <v>30648374</v>
      </c>
      <c r="O14" s="24">
        <f t="shared" si="7"/>
        <v>9162</v>
      </c>
      <c r="P14" s="24">
        <v>6322381</v>
      </c>
      <c r="Q14" s="34">
        <f t="shared" si="7"/>
        <v>569</v>
      </c>
      <c r="R14" s="39">
        <v>130</v>
      </c>
      <c r="S14" s="33">
        <v>69</v>
      </c>
      <c r="T14" s="24">
        <v>58</v>
      </c>
      <c r="U14" s="47">
        <f t="shared" si="0"/>
        <v>63.5</v>
      </c>
      <c r="V14" s="49">
        <f t="shared" si="1"/>
        <v>1.5</v>
      </c>
      <c r="W14" s="53">
        <v>0</v>
      </c>
    </row>
    <row r="15" spans="1:23" ht="20.25" customHeight="1" x14ac:dyDescent="0.25">
      <c r="A15" s="41">
        <v>8</v>
      </c>
      <c r="B15" s="24">
        <v>22719</v>
      </c>
      <c r="C15" s="24">
        <f t="shared" si="2"/>
        <v>6900</v>
      </c>
      <c r="D15" s="24">
        <v>54683</v>
      </c>
      <c r="E15" s="24">
        <f t="shared" si="3"/>
        <v>53.396999999999998</v>
      </c>
      <c r="F15" s="24">
        <v>31698</v>
      </c>
      <c r="G15" s="24">
        <f t="shared" si="4"/>
        <v>1.1000000000000001</v>
      </c>
      <c r="H15" s="24">
        <v>11110759</v>
      </c>
      <c r="I15" s="24">
        <f t="shared" si="6"/>
        <v>2057</v>
      </c>
      <c r="J15" s="24">
        <v>372567</v>
      </c>
      <c r="K15" s="24">
        <f t="shared" si="6"/>
        <v>352</v>
      </c>
      <c r="L15" s="24">
        <v>32619</v>
      </c>
      <c r="M15" s="24">
        <f t="shared" si="5"/>
        <v>6.3000000000000007</v>
      </c>
      <c r="N15" s="27">
        <v>30657683</v>
      </c>
      <c r="O15" s="24">
        <f t="shared" si="7"/>
        <v>9309</v>
      </c>
      <c r="P15" s="24">
        <v>6323106</v>
      </c>
      <c r="Q15" s="34">
        <f t="shared" si="7"/>
        <v>725</v>
      </c>
      <c r="R15" s="39">
        <v>95</v>
      </c>
      <c r="S15" s="33">
        <v>71</v>
      </c>
      <c r="T15" s="24">
        <v>59</v>
      </c>
      <c r="U15" s="47">
        <f t="shared" si="0"/>
        <v>65</v>
      </c>
      <c r="V15" s="49">
        <f t="shared" si="1"/>
        <v>0</v>
      </c>
      <c r="W15" s="53">
        <f t="shared" si="8"/>
        <v>0</v>
      </c>
    </row>
    <row r="16" spans="1:23" ht="20.25" customHeight="1" x14ac:dyDescent="0.25">
      <c r="A16" s="41">
        <v>9</v>
      </c>
      <c r="B16" s="24">
        <v>22742</v>
      </c>
      <c r="C16" s="24">
        <f>+(B16-B15)*300</f>
        <v>6900</v>
      </c>
      <c r="D16" s="24">
        <v>54731</v>
      </c>
      <c r="E16" s="24">
        <f t="shared" si="3"/>
        <v>50.256</v>
      </c>
      <c r="F16" s="24">
        <v>31707</v>
      </c>
      <c r="G16" s="24">
        <f t="shared" si="4"/>
        <v>0.9</v>
      </c>
      <c r="H16" s="24">
        <v>11113096</v>
      </c>
      <c r="I16" s="24">
        <f t="shared" si="6"/>
        <v>2337</v>
      </c>
      <c r="J16" s="24">
        <v>373168</v>
      </c>
      <c r="K16" s="24">
        <f t="shared" si="6"/>
        <v>601</v>
      </c>
      <c r="L16" s="24">
        <v>32678</v>
      </c>
      <c r="M16" s="24">
        <f t="shared" si="5"/>
        <v>5.9</v>
      </c>
      <c r="N16" s="24">
        <v>30664652</v>
      </c>
      <c r="O16" s="24">
        <f t="shared" si="7"/>
        <v>6969</v>
      </c>
      <c r="P16" s="24">
        <v>6323918</v>
      </c>
      <c r="Q16" s="34">
        <f t="shared" si="7"/>
        <v>812</v>
      </c>
      <c r="R16" s="39">
        <v>78</v>
      </c>
      <c r="S16" s="33">
        <v>69</v>
      </c>
      <c r="T16" s="24">
        <v>60</v>
      </c>
      <c r="U16" s="47">
        <f t="shared" si="0"/>
        <v>64.5</v>
      </c>
      <c r="V16" s="49">
        <f t="shared" si="1"/>
        <v>0.5</v>
      </c>
      <c r="W16" s="53">
        <v>0</v>
      </c>
    </row>
    <row r="17" spans="1:23" ht="20.25" customHeight="1" x14ac:dyDescent="0.25">
      <c r="A17" s="41">
        <v>10</v>
      </c>
      <c r="B17" s="24">
        <v>22765</v>
      </c>
      <c r="C17" s="24">
        <f t="shared" si="2"/>
        <v>6900</v>
      </c>
      <c r="D17" s="24">
        <v>54776</v>
      </c>
      <c r="E17" s="24">
        <f t="shared" si="3"/>
        <v>47.114999999999995</v>
      </c>
      <c r="F17" s="24">
        <v>31719</v>
      </c>
      <c r="G17" s="24">
        <f t="shared" si="4"/>
        <v>1.2000000000000002</v>
      </c>
      <c r="H17" s="24">
        <v>11115118</v>
      </c>
      <c r="I17" s="24">
        <f t="shared" si="6"/>
        <v>2022</v>
      </c>
      <c r="J17" s="24">
        <v>374005</v>
      </c>
      <c r="K17" s="24">
        <f t="shared" si="6"/>
        <v>837</v>
      </c>
      <c r="L17" s="24">
        <v>32736</v>
      </c>
      <c r="M17" s="24">
        <f t="shared" si="5"/>
        <v>5.8000000000000007</v>
      </c>
      <c r="N17" s="24">
        <v>30670633</v>
      </c>
      <c r="O17" s="24">
        <f t="shared" si="7"/>
        <v>5981</v>
      </c>
      <c r="P17" s="24">
        <v>6324679</v>
      </c>
      <c r="Q17" s="34">
        <f t="shared" si="7"/>
        <v>761</v>
      </c>
      <c r="R17" s="39">
        <v>86</v>
      </c>
      <c r="S17" s="33">
        <v>73</v>
      </c>
      <c r="T17" s="24">
        <v>59</v>
      </c>
      <c r="U17" s="47">
        <f t="shared" si="0"/>
        <v>66</v>
      </c>
      <c r="V17" s="49">
        <v>0</v>
      </c>
      <c r="W17" s="53">
        <f t="shared" si="8"/>
        <v>1</v>
      </c>
    </row>
    <row r="18" spans="1:23" ht="20.25" customHeight="1" x14ac:dyDescent="0.25">
      <c r="A18" s="41">
        <v>11</v>
      </c>
      <c r="B18" s="24">
        <v>22792</v>
      </c>
      <c r="C18" s="24">
        <f t="shared" si="2"/>
        <v>8100</v>
      </c>
      <c r="D18" s="24">
        <v>54824</v>
      </c>
      <c r="E18" s="24">
        <f t="shared" si="3"/>
        <v>50.256</v>
      </c>
      <c r="F18" s="24">
        <v>31720</v>
      </c>
      <c r="G18" s="24">
        <f t="shared" si="4"/>
        <v>0.1</v>
      </c>
      <c r="H18" s="24">
        <v>11117550</v>
      </c>
      <c r="I18" s="24">
        <f t="shared" si="6"/>
        <v>2432</v>
      </c>
      <c r="J18" s="24">
        <v>375032</v>
      </c>
      <c r="K18" s="24">
        <f t="shared" si="6"/>
        <v>1027</v>
      </c>
      <c r="L18" s="24">
        <v>32798</v>
      </c>
      <c r="M18" s="24">
        <f t="shared" si="5"/>
        <v>6.2</v>
      </c>
      <c r="N18" s="24">
        <v>30678610</v>
      </c>
      <c r="O18" s="24">
        <f t="shared" si="7"/>
        <v>7977</v>
      </c>
      <c r="P18" s="24">
        <v>6325661</v>
      </c>
      <c r="Q18" s="34">
        <f t="shared" si="7"/>
        <v>982</v>
      </c>
      <c r="R18" s="39">
        <v>114</v>
      </c>
      <c r="S18" s="33">
        <v>72</v>
      </c>
      <c r="T18" s="24">
        <v>58</v>
      </c>
      <c r="U18" s="47">
        <f t="shared" si="0"/>
        <v>65</v>
      </c>
      <c r="V18" s="49">
        <f t="shared" si="1"/>
        <v>0</v>
      </c>
      <c r="W18" s="53">
        <f t="shared" si="8"/>
        <v>0</v>
      </c>
    </row>
    <row r="19" spans="1:23" ht="20.25" customHeight="1" x14ac:dyDescent="0.25">
      <c r="A19" s="41">
        <v>12</v>
      </c>
      <c r="B19" s="24">
        <v>22815</v>
      </c>
      <c r="C19" s="24">
        <f t="shared" si="2"/>
        <v>6900</v>
      </c>
      <c r="D19" s="24">
        <v>54870</v>
      </c>
      <c r="E19" s="24">
        <f t="shared" si="3"/>
        <v>48.161999999999999</v>
      </c>
      <c r="F19" s="24">
        <v>31740</v>
      </c>
      <c r="G19" s="24">
        <f t="shared" si="4"/>
        <v>2</v>
      </c>
      <c r="H19" s="24">
        <v>11120100</v>
      </c>
      <c r="I19" s="24">
        <f t="shared" si="6"/>
        <v>2550</v>
      </c>
      <c r="J19" s="24">
        <v>375974</v>
      </c>
      <c r="K19" s="24">
        <f t="shared" si="6"/>
        <v>942</v>
      </c>
      <c r="L19" s="24">
        <v>32861</v>
      </c>
      <c r="M19" s="24">
        <f t="shared" si="5"/>
        <v>6.3000000000000007</v>
      </c>
      <c r="N19" s="24">
        <v>30687460</v>
      </c>
      <c r="O19" s="24">
        <f t="shared" si="7"/>
        <v>8850</v>
      </c>
      <c r="P19" s="24">
        <v>6326457</v>
      </c>
      <c r="Q19" s="34">
        <f t="shared" si="7"/>
        <v>796</v>
      </c>
      <c r="R19" s="39">
        <v>97</v>
      </c>
      <c r="S19" s="33">
        <v>71</v>
      </c>
      <c r="T19" s="24">
        <v>57</v>
      </c>
      <c r="U19" s="47">
        <f t="shared" si="0"/>
        <v>64</v>
      </c>
      <c r="V19" s="49">
        <f t="shared" si="1"/>
        <v>1</v>
      </c>
      <c r="W19" s="53">
        <v>0</v>
      </c>
    </row>
    <row r="20" spans="1:23" ht="20.25" customHeight="1" x14ac:dyDescent="0.25">
      <c r="A20" s="41">
        <v>13</v>
      </c>
      <c r="B20" s="24">
        <v>22844</v>
      </c>
      <c r="C20" s="24">
        <f t="shared" si="2"/>
        <v>8700</v>
      </c>
      <c r="D20" s="24">
        <v>54929</v>
      </c>
      <c r="E20" s="24">
        <f t="shared" si="3"/>
        <v>61.772999999999996</v>
      </c>
      <c r="F20" s="24">
        <v>31752</v>
      </c>
      <c r="G20" s="24">
        <f t="shared" si="4"/>
        <v>1.2000000000000002</v>
      </c>
      <c r="H20" s="24">
        <v>11123350</v>
      </c>
      <c r="I20" s="24">
        <f t="shared" si="6"/>
        <v>3250</v>
      </c>
      <c r="J20" s="24">
        <v>376987</v>
      </c>
      <c r="K20" s="24">
        <f t="shared" si="6"/>
        <v>1013</v>
      </c>
      <c r="L20" s="24">
        <v>32917</v>
      </c>
      <c r="M20" s="24">
        <f t="shared" si="5"/>
        <v>5.6000000000000005</v>
      </c>
      <c r="N20" s="24">
        <v>30698700</v>
      </c>
      <c r="O20" s="24">
        <f t="shared" si="7"/>
        <v>11240</v>
      </c>
      <c r="P20" s="24">
        <v>6327334</v>
      </c>
      <c r="Q20" s="34">
        <f t="shared" si="7"/>
        <v>877</v>
      </c>
      <c r="R20" s="39">
        <v>107</v>
      </c>
      <c r="S20" s="33">
        <v>71</v>
      </c>
      <c r="T20" s="24">
        <v>57</v>
      </c>
      <c r="U20" s="47">
        <f t="shared" si="0"/>
        <v>64</v>
      </c>
      <c r="V20" s="49">
        <f t="shared" si="1"/>
        <v>1</v>
      </c>
      <c r="W20" s="53">
        <v>0</v>
      </c>
    </row>
    <row r="21" spans="1:23" ht="20.25" customHeight="1" x14ac:dyDescent="0.25">
      <c r="A21" s="41">
        <v>14</v>
      </c>
      <c r="B21" s="24">
        <v>22865</v>
      </c>
      <c r="C21" s="24">
        <f t="shared" si="2"/>
        <v>6300</v>
      </c>
      <c r="D21" s="24">
        <v>54972</v>
      </c>
      <c r="E21" s="24">
        <f t="shared" si="3"/>
        <v>45.020999999999994</v>
      </c>
      <c r="F21" s="24">
        <v>31762</v>
      </c>
      <c r="G21" s="24">
        <f t="shared" si="4"/>
        <v>1</v>
      </c>
      <c r="H21" s="24">
        <v>11125307</v>
      </c>
      <c r="I21" s="24">
        <f t="shared" si="6"/>
        <v>1957</v>
      </c>
      <c r="J21" s="24">
        <v>377505</v>
      </c>
      <c r="K21" s="24">
        <f t="shared" si="6"/>
        <v>518</v>
      </c>
      <c r="L21" s="24">
        <v>32988</v>
      </c>
      <c r="M21" s="24">
        <f t="shared" si="5"/>
        <v>7.1000000000000005</v>
      </c>
      <c r="N21" s="24">
        <v>30706090</v>
      </c>
      <c r="O21" s="24">
        <f t="shared" si="7"/>
        <v>7390</v>
      </c>
      <c r="P21" s="24">
        <v>6327740</v>
      </c>
      <c r="Q21" s="34">
        <f t="shared" si="7"/>
        <v>406</v>
      </c>
      <c r="R21" s="39">
        <v>91</v>
      </c>
      <c r="S21" s="33">
        <v>73</v>
      </c>
      <c r="T21" s="24">
        <v>57</v>
      </c>
      <c r="U21" s="47">
        <f t="shared" si="0"/>
        <v>65</v>
      </c>
      <c r="V21" s="49">
        <f t="shared" si="1"/>
        <v>0</v>
      </c>
      <c r="W21" s="53">
        <f t="shared" si="8"/>
        <v>0</v>
      </c>
    </row>
    <row r="22" spans="1:23" ht="20.25" customHeight="1" x14ac:dyDescent="0.25">
      <c r="A22" s="41">
        <v>15</v>
      </c>
      <c r="B22" s="24">
        <v>22884</v>
      </c>
      <c r="C22" s="24">
        <f t="shared" si="2"/>
        <v>5700</v>
      </c>
      <c r="D22" s="24">
        <v>55009</v>
      </c>
      <c r="E22" s="24">
        <f t="shared" si="3"/>
        <v>38.738999999999997</v>
      </c>
      <c r="F22" s="24">
        <v>31772</v>
      </c>
      <c r="G22" s="24">
        <f t="shared" si="4"/>
        <v>1</v>
      </c>
      <c r="H22" s="24">
        <v>11127192</v>
      </c>
      <c r="I22" s="24">
        <f t="shared" si="6"/>
        <v>1885</v>
      </c>
      <c r="J22" s="24">
        <v>377850</v>
      </c>
      <c r="K22" s="24">
        <f t="shared" si="6"/>
        <v>345</v>
      </c>
      <c r="L22" s="24">
        <v>33032</v>
      </c>
      <c r="M22" s="24">
        <f t="shared" si="5"/>
        <v>4.4000000000000004</v>
      </c>
      <c r="N22" s="24">
        <v>30711133</v>
      </c>
      <c r="O22" s="24">
        <f t="shared" si="7"/>
        <v>5043</v>
      </c>
      <c r="P22" s="24">
        <v>6328298</v>
      </c>
      <c r="Q22" s="34">
        <f t="shared" si="7"/>
        <v>558</v>
      </c>
      <c r="R22" s="39">
        <v>66</v>
      </c>
      <c r="S22" s="33">
        <v>73</v>
      </c>
      <c r="T22" s="24">
        <v>56</v>
      </c>
      <c r="U22" s="47">
        <f t="shared" si="0"/>
        <v>64.5</v>
      </c>
      <c r="V22" s="49">
        <f t="shared" si="1"/>
        <v>0.5</v>
      </c>
      <c r="W22" s="53">
        <v>0</v>
      </c>
    </row>
    <row r="23" spans="1:23" ht="20.25" customHeight="1" x14ac:dyDescent="0.25">
      <c r="A23" s="41">
        <v>16</v>
      </c>
      <c r="B23" s="24">
        <v>22907</v>
      </c>
      <c r="C23" s="24">
        <f t="shared" si="2"/>
        <v>6900</v>
      </c>
      <c r="D23" s="24">
        <v>55056</v>
      </c>
      <c r="E23" s="24">
        <f t="shared" si="3"/>
        <v>49.208999999999996</v>
      </c>
      <c r="F23" s="24">
        <v>31784</v>
      </c>
      <c r="G23" s="24">
        <f t="shared" si="4"/>
        <v>1.2000000000000002</v>
      </c>
      <c r="H23" s="24">
        <v>11129696</v>
      </c>
      <c r="I23" s="24">
        <f t="shared" si="6"/>
        <v>2504</v>
      </c>
      <c r="J23" s="24">
        <v>378764</v>
      </c>
      <c r="K23" s="24">
        <f t="shared" si="6"/>
        <v>914</v>
      </c>
      <c r="L23" s="24">
        <v>33085</v>
      </c>
      <c r="M23" s="24">
        <f t="shared" si="5"/>
        <v>5.3000000000000007</v>
      </c>
      <c r="N23" s="24">
        <v>30717717</v>
      </c>
      <c r="O23" s="24">
        <f t="shared" si="7"/>
        <v>6584</v>
      </c>
      <c r="P23" s="24">
        <v>6329134</v>
      </c>
      <c r="Q23" s="34">
        <f t="shared" si="7"/>
        <v>836</v>
      </c>
      <c r="R23" s="39">
        <v>98</v>
      </c>
      <c r="S23" s="33">
        <v>75</v>
      </c>
      <c r="T23" s="24">
        <v>56</v>
      </c>
      <c r="U23" s="47">
        <f t="shared" si="0"/>
        <v>65.5</v>
      </c>
      <c r="V23" s="49">
        <v>0</v>
      </c>
      <c r="W23" s="53">
        <f t="shared" si="8"/>
        <v>0.5</v>
      </c>
    </row>
    <row r="24" spans="1:23" ht="20.25" customHeight="1" x14ac:dyDescent="0.25">
      <c r="A24" s="41">
        <v>17</v>
      </c>
      <c r="B24" s="24">
        <v>22932</v>
      </c>
      <c r="C24" s="24">
        <f t="shared" si="2"/>
        <v>7500</v>
      </c>
      <c r="D24" s="24">
        <v>55103</v>
      </c>
      <c r="E24" s="24">
        <f t="shared" si="3"/>
        <v>49.208999999999996</v>
      </c>
      <c r="F24" s="24">
        <v>31794</v>
      </c>
      <c r="G24" s="24">
        <f t="shared" si="4"/>
        <v>1</v>
      </c>
      <c r="H24" s="24">
        <v>11132085</v>
      </c>
      <c r="I24" s="24">
        <f t="shared" si="6"/>
        <v>2389</v>
      </c>
      <c r="J24" s="24">
        <v>379666</v>
      </c>
      <c r="K24" s="24">
        <f t="shared" si="6"/>
        <v>902</v>
      </c>
      <c r="L24" s="24">
        <v>33140</v>
      </c>
      <c r="M24" s="24">
        <f t="shared" si="5"/>
        <v>5.5</v>
      </c>
      <c r="N24" s="24">
        <v>30725731</v>
      </c>
      <c r="O24" s="24">
        <f t="shared" si="7"/>
        <v>8014</v>
      </c>
      <c r="P24" s="24">
        <v>6330323</v>
      </c>
      <c r="Q24" s="34">
        <f t="shared" si="7"/>
        <v>1189</v>
      </c>
      <c r="R24" s="39">
        <v>112</v>
      </c>
      <c r="S24" s="33">
        <v>70</v>
      </c>
      <c r="T24" s="24">
        <v>55</v>
      </c>
      <c r="U24" s="47">
        <f t="shared" si="0"/>
        <v>62.5</v>
      </c>
      <c r="V24" s="49">
        <f t="shared" si="1"/>
        <v>2.5</v>
      </c>
      <c r="W24" s="53">
        <v>0</v>
      </c>
    </row>
    <row r="25" spans="1:23" ht="20.25" customHeight="1" x14ac:dyDescent="0.25">
      <c r="A25" s="41">
        <v>18</v>
      </c>
      <c r="B25" s="24">
        <v>22955</v>
      </c>
      <c r="C25" s="24">
        <f t="shared" si="2"/>
        <v>6900</v>
      </c>
      <c r="D25" s="24">
        <v>55152</v>
      </c>
      <c r="E25" s="24">
        <f t="shared" si="3"/>
        <v>51.302999999999997</v>
      </c>
      <c r="F25" s="24">
        <v>31803</v>
      </c>
      <c r="G25" s="24">
        <f t="shared" si="4"/>
        <v>0.9</v>
      </c>
      <c r="H25" s="24">
        <v>11134410</v>
      </c>
      <c r="I25" s="24">
        <f t="shared" si="6"/>
        <v>2325</v>
      </c>
      <c r="J25" s="24">
        <v>380659</v>
      </c>
      <c r="K25" s="24">
        <f t="shared" si="6"/>
        <v>993</v>
      </c>
      <c r="L25" s="24">
        <v>33197</v>
      </c>
      <c r="M25" s="24">
        <f t="shared" si="5"/>
        <v>5.7</v>
      </c>
      <c r="N25" s="24">
        <v>30733460</v>
      </c>
      <c r="O25" s="24">
        <f t="shared" si="7"/>
        <v>7729</v>
      </c>
      <c r="P25" s="24">
        <v>6330659</v>
      </c>
      <c r="Q25" s="34">
        <f t="shared" si="7"/>
        <v>336</v>
      </c>
      <c r="R25" s="39">
        <v>109</v>
      </c>
      <c r="S25" s="33">
        <v>68</v>
      </c>
      <c r="T25" s="24">
        <v>56</v>
      </c>
      <c r="U25" s="47">
        <f t="shared" si="0"/>
        <v>62</v>
      </c>
      <c r="V25" s="49">
        <f t="shared" si="1"/>
        <v>3</v>
      </c>
      <c r="W25" s="53">
        <v>0</v>
      </c>
    </row>
    <row r="26" spans="1:23" ht="20.25" customHeight="1" x14ac:dyDescent="0.25">
      <c r="A26" s="41">
        <v>19</v>
      </c>
      <c r="B26" s="24">
        <v>22976</v>
      </c>
      <c r="C26" s="24">
        <f t="shared" si="2"/>
        <v>6300</v>
      </c>
      <c r="D26" s="24">
        <v>55197</v>
      </c>
      <c r="E26" s="24">
        <f t="shared" si="3"/>
        <v>47.114999999999995</v>
      </c>
      <c r="F26" s="24">
        <v>31812</v>
      </c>
      <c r="G26" s="24">
        <f t="shared" si="4"/>
        <v>0.9</v>
      </c>
      <c r="H26" s="24">
        <v>11136680</v>
      </c>
      <c r="I26" s="24">
        <f t="shared" si="6"/>
        <v>2270</v>
      </c>
      <c r="J26" s="24">
        <v>380712</v>
      </c>
      <c r="K26" s="24">
        <f t="shared" si="6"/>
        <v>53</v>
      </c>
      <c r="L26" s="24">
        <v>33260</v>
      </c>
      <c r="M26" s="24">
        <f t="shared" si="5"/>
        <v>6.3000000000000007</v>
      </c>
      <c r="N26" s="24">
        <v>30741340</v>
      </c>
      <c r="O26" s="24">
        <f t="shared" si="7"/>
        <v>7880</v>
      </c>
      <c r="P26" s="24">
        <v>6330857</v>
      </c>
      <c r="Q26" s="34">
        <f t="shared" si="7"/>
        <v>198</v>
      </c>
      <c r="R26" s="39">
        <v>88</v>
      </c>
      <c r="S26" s="33">
        <v>70</v>
      </c>
      <c r="T26" s="24">
        <v>56</v>
      </c>
      <c r="U26" s="47">
        <f t="shared" si="0"/>
        <v>63</v>
      </c>
      <c r="V26" s="49">
        <f t="shared" si="1"/>
        <v>2</v>
      </c>
      <c r="W26" s="53">
        <v>0</v>
      </c>
    </row>
    <row r="27" spans="1:23" ht="20.25" customHeight="1" x14ac:dyDescent="0.25">
      <c r="A27" s="41">
        <v>20</v>
      </c>
      <c r="B27" s="24">
        <v>23003</v>
      </c>
      <c r="C27" s="24">
        <f t="shared" si="2"/>
        <v>8100</v>
      </c>
      <c r="D27" s="24">
        <v>55254</v>
      </c>
      <c r="E27" s="24">
        <f t="shared" si="3"/>
        <v>59.678999999999995</v>
      </c>
      <c r="F27" s="24">
        <v>31824</v>
      </c>
      <c r="G27" s="24">
        <f t="shared" si="4"/>
        <v>1.2000000000000002</v>
      </c>
      <c r="H27" s="24">
        <v>11139312</v>
      </c>
      <c r="I27" s="24">
        <f t="shared" si="6"/>
        <v>2632</v>
      </c>
      <c r="J27" s="24">
        <v>381384</v>
      </c>
      <c r="K27" s="24">
        <f t="shared" si="6"/>
        <v>672</v>
      </c>
      <c r="L27" s="24">
        <v>33333</v>
      </c>
      <c r="M27" s="24">
        <f t="shared" si="5"/>
        <v>7.3000000000000007</v>
      </c>
      <c r="N27" s="24">
        <v>30750590</v>
      </c>
      <c r="O27" s="24">
        <f t="shared" ref="O27:Q38" si="9">+N27-N26</f>
        <v>9250</v>
      </c>
      <c r="P27" s="24">
        <v>6330921</v>
      </c>
      <c r="Q27" s="34">
        <f t="shared" si="9"/>
        <v>64</v>
      </c>
      <c r="R27" s="39">
        <v>86</v>
      </c>
      <c r="S27" s="33">
        <v>70</v>
      </c>
      <c r="T27" s="24">
        <v>56</v>
      </c>
      <c r="U27" s="47">
        <f t="shared" si="0"/>
        <v>63</v>
      </c>
      <c r="V27" s="49">
        <f t="shared" si="1"/>
        <v>2</v>
      </c>
      <c r="W27" s="53">
        <v>0</v>
      </c>
    </row>
    <row r="28" spans="1:23" ht="20.25" customHeight="1" x14ac:dyDescent="0.25">
      <c r="A28" s="41">
        <v>21</v>
      </c>
      <c r="B28" s="24">
        <v>23022</v>
      </c>
      <c r="C28" s="24">
        <f t="shared" si="2"/>
        <v>5700</v>
      </c>
      <c r="D28" s="24">
        <v>55292</v>
      </c>
      <c r="E28" s="24">
        <f t="shared" si="3"/>
        <v>39.785999999999994</v>
      </c>
      <c r="F28" s="24">
        <v>31831</v>
      </c>
      <c r="G28" s="24">
        <f t="shared" si="4"/>
        <v>0.70000000000000007</v>
      </c>
      <c r="H28" s="24">
        <v>11141997</v>
      </c>
      <c r="I28" s="24">
        <f t="shared" si="6"/>
        <v>2685</v>
      </c>
      <c r="J28" s="24">
        <v>381664</v>
      </c>
      <c r="K28" s="24">
        <f t="shared" si="6"/>
        <v>280</v>
      </c>
      <c r="L28" s="24">
        <v>33386</v>
      </c>
      <c r="M28" s="24">
        <f t="shared" si="5"/>
        <v>5.3000000000000007</v>
      </c>
      <c r="N28" s="24">
        <v>30756588</v>
      </c>
      <c r="O28" s="24">
        <f t="shared" si="9"/>
        <v>5998</v>
      </c>
      <c r="P28" s="24">
        <v>6331864</v>
      </c>
      <c r="Q28" s="34">
        <f t="shared" si="9"/>
        <v>943</v>
      </c>
      <c r="R28" s="39">
        <v>91</v>
      </c>
      <c r="S28" s="33">
        <v>68</v>
      </c>
      <c r="T28" s="24">
        <v>56</v>
      </c>
      <c r="U28" s="47">
        <f t="shared" si="0"/>
        <v>62</v>
      </c>
      <c r="V28" s="49">
        <f t="shared" si="1"/>
        <v>3</v>
      </c>
      <c r="W28" s="53">
        <v>0</v>
      </c>
    </row>
    <row r="29" spans="1:23" ht="20.25" customHeight="1" x14ac:dyDescent="0.25">
      <c r="A29" s="41">
        <v>22</v>
      </c>
      <c r="B29" s="24">
        <v>23043</v>
      </c>
      <c r="C29" s="24">
        <f t="shared" si="2"/>
        <v>6300</v>
      </c>
      <c r="D29" s="24">
        <v>55338</v>
      </c>
      <c r="E29" s="24">
        <f t="shared" si="3"/>
        <v>48.161999999999999</v>
      </c>
      <c r="F29" s="24">
        <v>31841</v>
      </c>
      <c r="G29" s="24">
        <f t="shared" si="4"/>
        <v>1</v>
      </c>
      <c r="H29" s="24">
        <v>11142948</v>
      </c>
      <c r="I29" s="24">
        <f t="shared" si="6"/>
        <v>951</v>
      </c>
      <c r="J29" s="24">
        <v>381940</v>
      </c>
      <c r="K29" s="24">
        <f t="shared" si="6"/>
        <v>276</v>
      </c>
      <c r="L29" s="24">
        <v>33444</v>
      </c>
      <c r="M29" s="24">
        <f t="shared" si="5"/>
        <v>5.8000000000000007</v>
      </c>
      <c r="N29" s="24">
        <v>30762784</v>
      </c>
      <c r="O29" s="24">
        <f t="shared" si="9"/>
        <v>6196</v>
      </c>
      <c r="P29" s="24">
        <v>6332307</v>
      </c>
      <c r="Q29" s="34">
        <f t="shared" si="9"/>
        <v>443</v>
      </c>
      <c r="R29" s="39">
        <v>60</v>
      </c>
      <c r="S29" s="33">
        <v>76</v>
      </c>
      <c r="T29" s="24">
        <v>57</v>
      </c>
      <c r="U29" s="47">
        <f t="shared" si="0"/>
        <v>66.5</v>
      </c>
      <c r="V29" s="49">
        <v>0</v>
      </c>
      <c r="W29" s="53">
        <f t="shared" si="8"/>
        <v>1.5</v>
      </c>
    </row>
    <row r="30" spans="1:23" ht="20.25" customHeight="1" x14ac:dyDescent="0.25">
      <c r="A30" s="41">
        <v>23</v>
      </c>
      <c r="B30" s="24">
        <v>23066</v>
      </c>
      <c r="C30" s="24">
        <f t="shared" si="2"/>
        <v>6900</v>
      </c>
      <c r="D30" s="24">
        <v>55383</v>
      </c>
      <c r="E30" s="24">
        <f t="shared" si="3"/>
        <v>47.114999999999995</v>
      </c>
      <c r="F30" s="24">
        <v>31851</v>
      </c>
      <c r="G30" s="24">
        <f t="shared" si="4"/>
        <v>1</v>
      </c>
      <c r="H30" s="24">
        <v>11145149</v>
      </c>
      <c r="I30" s="24">
        <f t="shared" si="6"/>
        <v>2201</v>
      </c>
      <c r="J30" s="24">
        <v>382664</v>
      </c>
      <c r="K30" s="24">
        <f t="shared" si="6"/>
        <v>724</v>
      </c>
      <c r="L30" s="24">
        <v>33503</v>
      </c>
      <c r="M30" s="24">
        <f t="shared" si="5"/>
        <v>5.9</v>
      </c>
      <c r="N30" s="24">
        <v>30768511</v>
      </c>
      <c r="O30" s="24">
        <f t="shared" si="9"/>
        <v>5727</v>
      </c>
      <c r="P30" s="24">
        <v>6333032</v>
      </c>
      <c r="Q30" s="34">
        <f t="shared" si="9"/>
        <v>725</v>
      </c>
      <c r="R30" s="39">
        <v>65</v>
      </c>
      <c r="S30" s="33">
        <v>72</v>
      </c>
      <c r="T30" s="24">
        <v>56</v>
      </c>
      <c r="U30" s="47">
        <f t="shared" si="0"/>
        <v>64</v>
      </c>
      <c r="V30" s="49">
        <f t="shared" si="1"/>
        <v>1</v>
      </c>
      <c r="W30" s="53">
        <v>0</v>
      </c>
    </row>
    <row r="31" spans="1:23" ht="20.25" customHeight="1" x14ac:dyDescent="0.25">
      <c r="A31" s="41">
        <v>24</v>
      </c>
      <c r="B31" s="24">
        <v>23089</v>
      </c>
      <c r="C31" s="24">
        <f t="shared" si="2"/>
        <v>6900</v>
      </c>
      <c r="D31" s="24">
        <v>55429</v>
      </c>
      <c r="E31" s="24">
        <f t="shared" si="3"/>
        <v>48.161999999999999</v>
      </c>
      <c r="F31" s="24">
        <v>31881</v>
      </c>
      <c r="G31" s="24">
        <f t="shared" si="4"/>
        <v>3</v>
      </c>
      <c r="H31" s="24">
        <v>11147570</v>
      </c>
      <c r="I31" s="24">
        <f t="shared" si="6"/>
        <v>2421</v>
      </c>
      <c r="J31" s="24">
        <v>383333</v>
      </c>
      <c r="K31" s="24">
        <f t="shared" si="6"/>
        <v>669</v>
      </c>
      <c r="L31" s="24">
        <v>33563</v>
      </c>
      <c r="M31" s="24">
        <f t="shared" si="5"/>
        <v>6</v>
      </c>
      <c r="N31" s="24">
        <v>30774528</v>
      </c>
      <c r="O31" s="24">
        <f t="shared" si="9"/>
        <v>6017</v>
      </c>
      <c r="P31" s="24">
        <v>6333723</v>
      </c>
      <c r="Q31" s="34">
        <f t="shared" si="9"/>
        <v>691</v>
      </c>
      <c r="R31" s="39">
        <v>79</v>
      </c>
      <c r="S31" s="33">
        <v>67</v>
      </c>
      <c r="T31" s="24">
        <v>57</v>
      </c>
      <c r="U31" s="47">
        <f t="shared" si="0"/>
        <v>62</v>
      </c>
      <c r="V31" s="49">
        <f t="shared" si="1"/>
        <v>3</v>
      </c>
      <c r="W31" s="53">
        <v>0</v>
      </c>
    </row>
    <row r="32" spans="1:23" ht="20.25" customHeight="1" x14ac:dyDescent="0.25">
      <c r="A32" s="41">
        <v>25</v>
      </c>
      <c r="B32" s="24">
        <v>23119</v>
      </c>
      <c r="C32" s="24">
        <f t="shared" si="2"/>
        <v>9000</v>
      </c>
      <c r="D32" s="24">
        <v>55496</v>
      </c>
      <c r="E32" s="24">
        <f t="shared" si="3"/>
        <v>70.149000000000001</v>
      </c>
      <c r="F32" s="24">
        <v>31929</v>
      </c>
      <c r="G32" s="24">
        <f t="shared" si="4"/>
        <v>4.8000000000000007</v>
      </c>
      <c r="H32" s="24">
        <v>11150775</v>
      </c>
      <c r="I32" s="24">
        <f t="shared" si="6"/>
        <v>3205</v>
      </c>
      <c r="J32" s="24">
        <v>384132</v>
      </c>
      <c r="K32" s="24">
        <f t="shared" si="6"/>
        <v>799</v>
      </c>
      <c r="L32" s="24">
        <v>33651</v>
      </c>
      <c r="M32" s="24">
        <f t="shared" si="5"/>
        <v>8.8000000000000007</v>
      </c>
      <c r="N32" s="24">
        <v>30784230</v>
      </c>
      <c r="O32" s="24">
        <f t="shared" si="9"/>
        <v>9702</v>
      </c>
      <c r="P32" s="24">
        <v>6334228</v>
      </c>
      <c r="Q32" s="34">
        <f t="shared" si="9"/>
        <v>505</v>
      </c>
      <c r="R32" s="39">
        <v>75</v>
      </c>
      <c r="S32" s="33">
        <v>68</v>
      </c>
      <c r="T32" s="24">
        <v>58</v>
      </c>
      <c r="U32" s="47">
        <f t="shared" si="0"/>
        <v>63</v>
      </c>
      <c r="V32" s="49">
        <f t="shared" si="1"/>
        <v>2</v>
      </c>
      <c r="W32" s="53">
        <v>0</v>
      </c>
    </row>
    <row r="33" spans="1:23" ht="20.25" customHeight="1" x14ac:dyDescent="0.25">
      <c r="A33" s="41">
        <v>26</v>
      </c>
      <c r="B33" s="24">
        <v>23133</v>
      </c>
      <c r="C33" s="24">
        <f t="shared" si="2"/>
        <v>4200</v>
      </c>
      <c r="D33" s="24">
        <v>55523</v>
      </c>
      <c r="E33" s="24">
        <f t="shared" si="3"/>
        <v>28.268999999999998</v>
      </c>
      <c r="F33" s="24">
        <v>31964</v>
      </c>
      <c r="G33" s="24">
        <f t="shared" si="4"/>
        <v>3.5</v>
      </c>
      <c r="H33" s="24">
        <v>11151521</v>
      </c>
      <c r="I33" s="24">
        <f t="shared" si="6"/>
        <v>746</v>
      </c>
      <c r="J33" s="24">
        <v>384265</v>
      </c>
      <c r="K33" s="24">
        <f t="shared" si="6"/>
        <v>133</v>
      </c>
      <c r="L33" s="24">
        <v>33682</v>
      </c>
      <c r="M33" s="24">
        <f t="shared" si="5"/>
        <v>3.1</v>
      </c>
      <c r="N33" s="24">
        <v>30786639</v>
      </c>
      <c r="O33" s="24">
        <f t="shared" si="9"/>
        <v>2409</v>
      </c>
      <c r="P33" s="24">
        <v>6334230</v>
      </c>
      <c r="Q33" s="34">
        <f t="shared" si="9"/>
        <v>2</v>
      </c>
      <c r="R33" s="39">
        <v>79</v>
      </c>
      <c r="S33" s="33">
        <v>68</v>
      </c>
      <c r="T33" s="24">
        <v>56</v>
      </c>
      <c r="U33" s="47">
        <f t="shared" si="0"/>
        <v>62</v>
      </c>
      <c r="V33" s="49">
        <f t="shared" si="1"/>
        <v>3</v>
      </c>
      <c r="W33" s="53">
        <v>0</v>
      </c>
    </row>
    <row r="34" spans="1:23" ht="20.25" customHeight="1" x14ac:dyDescent="0.25">
      <c r="A34" s="41">
        <v>27</v>
      </c>
      <c r="B34" s="24">
        <v>23154</v>
      </c>
      <c r="C34" s="24">
        <f t="shared" si="2"/>
        <v>6300</v>
      </c>
      <c r="D34" s="24">
        <v>55569</v>
      </c>
      <c r="E34" s="24">
        <f t="shared" si="3"/>
        <v>48.161999999999999</v>
      </c>
      <c r="F34" s="24">
        <v>32020</v>
      </c>
      <c r="G34" s="24">
        <f t="shared" si="4"/>
        <v>5.6000000000000005</v>
      </c>
      <c r="H34" s="24">
        <v>11154010</v>
      </c>
      <c r="I34" s="24">
        <f t="shared" si="6"/>
        <v>2489</v>
      </c>
      <c r="J34" s="24">
        <v>384643</v>
      </c>
      <c r="K34" s="24">
        <f t="shared" si="6"/>
        <v>378</v>
      </c>
      <c r="L34" s="24">
        <v>33744</v>
      </c>
      <c r="M34" s="24">
        <f t="shared" si="5"/>
        <v>6.2</v>
      </c>
      <c r="N34" s="24">
        <v>30794377</v>
      </c>
      <c r="O34" s="24">
        <f t="shared" si="9"/>
        <v>7738</v>
      </c>
      <c r="P34" s="24">
        <v>6334576</v>
      </c>
      <c r="Q34" s="34">
        <f t="shared" si="9"/>
        <v>346</v>
      </c>
      <c r="R34" s="39">
        <v>90</v>
      </c>
      <c r="S34" s="33">
        <v>65</v>
      </c>
      <c r="T34" s="24">
        <v>56</v>
      </c>
      <c r="U34" s="47">
        <f t="shared" si="0"/>
        <v>60.5</v>
      </c>
      <c r="V34" s="49">
        <f t="shared" si="1"/>
        <v>4.5</v>
      </c>
      <c r="W34" s="53">
        <v>0</v>
      </c>
    </row>
    <row r="35" spans="1:23" ht="20.25" customHeight="1" x14ac:dyDescent="0.25">
      <c r="A35" s="41">
        <v>28</v>
      </c>
      <c r="B35" s="24">
        <v>23176</v>
      </c>
      <c r="C35" s="24">
        <f t="shared" si="2"/>
        <v>6600</v>
      </c>
      <c r="D35" s="24">
        <v>55615</v>
      </c>
      <c r="E35" s="24">
        <f t="shared" si="3"/>
        <v>48.161999999999999</v>
      </c>
      <c r="F35" s="24">
        <v>32076</v>
      </c>
      <c r="G35" s="24">
        <f t="shared" si="4"/>
        <v>5.6000000000000005</v>
      </c>
      <c r="H35" s="24">
        <v>11156058</v>
      </c>
      <c r="I35" s="24">
        <f t="shared" si="6"/>
        <v>2048</v>
      </c>
      <c r="J35" s="24">
        <v>385020</v>
      </c>
      <c r="K35" s="24">
        <f t="shared" si="6"/>
        <v>377</v>
      </c>
      <c r="L35" s="24">
        <v>33802</v>
      </c>
      <c r="M35" s="24">
        <f t="shared" si="5"/>
        <v>5.8000000000000007</v>
      </c>
      <c r="N35" s="24">
        <v>30802594</v>
      </c>
      <c r="O35" s="24">
        <f t="shared" si="9"/>
        <v>8217</v>
      </c>
      <c r="P35" s="24">
        <v>6334843</v>
      </c>
      <c r="Q35" s="34">
        <f t="shared" si="9"/>
        <v>267</v>
      </c>
      <c r="R35" s="39">
        <v>94</v>
      </c>
      <c r="S35" s="33">
        <v>69</v>
      </c>
      <c r="T35" s="24">
        <v>57</v>
      </c>
      <c r="U35" s="47">
        <f t="shared" si="0"/>
        <v>63</v>
      </c>
      <c r="V35" s="49">
        <f t="shared" si="1"/>
        <v>2</v>
      </c>
      <c r="W35" s="53">
        <v>0</v>
      </c>
    </row>
    <row r="36" spans="1:23" ht="20.25" customHeight="1" x14ac:dyDescent="0.25">
      <c r="A36" s="41">
        <v>29</v>
      </c>
      <c r="B36" s="24">
        <v>23196</v>
      </c>
      <c r="C36" s="24">
        <f t="shared" si="2"/>
        <v>6000</v>
      </c>
      <c r="D36" s="24">
        <v>55656</v>
      </c>
      <c r="E36" s="24">
        <f t="shared" si="3"/>
        <v>42.927</v>
      </c>
      <c r="F36" s="24">
        <v>32128</v>
      </c>
      <c r="G36" s="24">
        <f t="shared" si="4"/>
        <v>5.2</v>
      </c>
      <c r="H36" s="24">
        <v>11157849</v>
      </c>
      <c r="I36" s="24">
        <f t="shared" si="6"/>
        <v>1791</v>
      </c>
      <c r="J36" s="24">
        <v>385135</v>
      </c>
      <c r="K36" s="24">
        <f t="shared" si="6"/>
        <v>115</v>
      </c>
      <c r="L36" s="24">
        <v>33855</v>
      </c>
      <c r="M36" s="24">
        <f t="shared" si="5"/>
        <v>5.3000000000000007</v>
      </c>
      <c r="N36" s="24">
        <v>30808801</v>
      </c>
      <c r="O36" s="24">
        <f t="shared" si="9"/>
        <v>6207</v>
      </c>
      <c r="P36" s="24">
        <v>6335242</v>
      </c>
      <c r="Q36" s="34">
        <f t="shared" si="9"/>
        <v>399</v>
      </c>
      <c r="R36" s="39">
        <v>63</v>
      </c>
      <c r="S36" s="33">
        <v>68</v>
      </c>
      <c r="T36" s="24">
        <v>56</v>
      </c>
      <c r="U36" s="47">
        <f t="shared" si="0"/>
        <v>62</v>
      </c>
      <c r="V36" s="49">
        <f t="shared" si="1"/>
        <v>3</v>
      </c>
      <c r="W36" s="53">
        <v>0</v>
      </c>
    </row>
    <row r="37" spans="1:23" ht="20.25" customHeight="1" x14ac:dyDescent="0.25">
      <c r="A37" s="41">
        <v>30</v>
      </c>
      <c r="B37" s="24">
        <v>23220</v>
      </c>
      <c r="C37" s="24">
        <f t="shared" si="2"/>
        <v>7200</v>
      </c>
      <c r="D37" s="24">
        <v>55704</v>
      </c>
      <c r="E37" s="24">
        <f t="shared" si="3"/>
        <v>50.256</v>
      </c>
      <c r="F37" s="24">
        <v>32190</v>
      </c>
      <c r="G37" s="24">
        <f t="shared" si="4"/>
        <v>6.2</v>
      </c>
      <c r="H37" s="24">
        <v>11160341</v>
      </c>
      <c r="I37" s="24">
        <f t="shared" si="6"/>
        <v>2492</v>
      </c>
      <c r="J37" s="24">
        <v>385672</v>
      </c>
      <c r="K37" s="24">
        <f t="shared" si="6"/>
        <v>537</v>
      </c>
      <c r="L37" s="24">
        <v>33915</v>
      </c>
      <c r="M37" s="24">
        <f t="shared" si="5"/>
        <v>6</v>
      </c>
      <c r="N37" s="24">
        <v>30815805</v>
      </c>
      <c r="O37" s="24">
        <f t="shared" si="9"/>
        <v>7004</v>
      </c>
      <c r="P37" s="24">
        <v>6335632</v>
      </c>
      <c r="Q37" s="34">
        <f t="shared" si="9"/>
        <v>390</v>
      </c>
      <c r="R37" s="39">
        <v>99</v>
      </c>
      <c r="S37" s="33">
        <v>67</v>
      </c>
      <c r="T37" s="24">
        <v>56</v>
      </c>
      <c r="U37" s="47">
        <f t="shared" si="0"/>
        <v>61.5</v>
      </c>
      <c r="V37" s="49">
        <f t="shared" si="1"/>
        <v>3.5</v>
      </c>
      <c r="W37" s="53">
        <v>0</v>
      </c>
    </row>
    <row r="38" spans="1:23" ht="20.25" customHeight="1" thickBot="1" x14ac:dyDescent="0.3">
      <c r="A38" s="42">
        <v>31</v>
      </c>
      <c r="B38" s="24">
        <v>23242</v>
      </c>
      <c r="C38" s="36">
        <f t="shared" si="2"/>
        <v>6600</v>
      </c>
      <c r="D38" s="24">
        <v>55744</v>
      </c>
      <c r="E38" s="36">
        <f t="shared" si="3"/>
        <v>41.879999999999995</v>
      </c>
      <c r="F38" s="24">
        <v>32241</v>
      </c>
      <c r="G38" s="36">
        <f t="shared" si="4"/>
        <v>5.1000000000000005</v>
      </c>
      <c r="H38" s="24">
        <v>11162380</v>
      </c>
      <c r="I38" s="36">
        <f t="shared" si="6"/>
        <v>2039</v>
      </c>
      <c r="J38" s="24">
        <v>386184</v>
      </c>
      <c r="K38" s="36">
        <f t="shared" si="6"/>
        <v>512</v>
      </c>
      <c r="L38" s="24">
        <v>33973</v>
      </c>
      <c r="M38" s="36">
        <f t="shared" si="5"/>
        <v>5.8000000000000007</v>
      </c>
      <c r="N38" s="24">
        <v>30822841</v>
      </c>
      <c r="O38" s="36">
        <f t="shared" si="9"/>
        <v>7036</v>
      </c>
      <c r="P38" s="24">
        <v>6336229</v>
      </c>
      <c r="Q38" s="37">
        <f t="shared" si="9"/>
        <v>597</v>
      </c>
      <c r="R38" s="40">
        <v>114</v>
      </c>
      <c r="S38" s="35">
        <v>68</v>
      </c>
      <c r="T38" s="36">
        <v>56</v>
      </c>
      <c r="U38" s="48">
        <f t="shared" si="0"/>
        <v>62</v>
      </c>
      <c r="V38" s="50">
        <f t="shared" si="1"/>
        <v>3</v>
      </c>
      <c r="W38" s="53">
        <v>0</v>
      </c>
    </row>
    <row r="40" spans="1:23" x14ac:dyDescent="0.25">
      <c r="A40" s="25" t="s">
        <v>15</v>
      </c>
      <c r="C40" s="26">
        <f>SUM(C8:C39)</f>
        <v>213900</v>
      </c>
      <c r="E40" s="26">
        <f>SUM(E8:E39)</f>
        <v>1511.8679999999999</v>
      </c>
      <c r="G40" s="26">
        <f>SUM(G8:G39)</f>
        <v>62.400000000000006</v>
      </c>
      <c r="I40" s="26">
        <f>SUM(I8:I39)</f>
        <v>70044</v>
      </c>
      <c r="K40" s="26">
        <f>SUM(K8:K39)</f>
        <v>17515</v>
      </c>
      <c r="M40" s="26">
        <f>SUM(M8:M39)</f>
        <v>192.80000000000007</v>
      </c>
      <c r="O40" s="26">
        <f>SUM(O8:O39)</f>
        <v>233192</v>
      </c>
      <c r="Q40" s="26">
        <f>SUM(Q8:Q39)</f>
        <v>18281</v>
      </c>
      <c r="R40" s="16">
        <f>SUM(R8:R39)</f>
        <v>2924</v>
      </c>
      <c r="V40" s="16">
        <f>SUM(V8:V38)</f>
        <v>51</v>
      </c>
      <c r="W40" s="16">
        <f>SUM(W8:W39)</f>
        <v>7</v>
      </c>
    </row>
  </sheetData>
  <mergeCells count="3">
    <mergeCell ref="A1:B1"/>
    <mergeCell ref="A2:J3"/>
    <mergeCell ref="A4:L4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2022-09-20T18:41:57Z</dcterms:modified>
  <cp:category/>
  <cp:contentStatus/>
</cp:coreProperties>
</file>