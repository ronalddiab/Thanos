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7084EC2C-2DD5-4393-A2BE-F13BB461AF28}" xr6:coauthVersionLast="47" xr6:coauthVersionMax="47" xr10:uidLastSave="{00000000-0000-0000-0000-000000000000}"/>
  <bookViews>
    <workbookView xWindow="-12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T4" i="1"/>
  <c r="T5" i="1"/>
  <c r="T6" i="1"/>
  <c r="T7" i="1"/>
  <c r="T8" i="1"/>
  <c r="T9" i="1"/>
  <c r="T10" i="1"/>
  <c r="T11" i="1"/>
  <c r="T12" i="1"/>
  <c r="T13" i="1"/>
  <c r="T14" i="1"/>
  <c r="T15" i="1"/>
  <c r="N9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C32" i="1"/>
  <c r="C31" i="1"/>
  <c r="C30" i="1"/>
  <c r="C29" i="1"/>
  <c r="C28" i="1"/>
  <c r="C27" i="1"/>
  <c r="C26" i="1"/>
  <c r="C24" i="1"/>
  <c r="C23" i="1"/>
  <c r="C22" i="1"/>
  <c r="C21" i="1"/>
  <c r="C20" i="1"/>
  <c r="C19" i="1"/>
  <c r="C18" i="1"/>
  <c r="C17" i="1"/>
  <c r="AC2" i="1"/>
  <c r="L13" i="1" l="1"/>
  <c r="C16" i="1"/>
  <c r="C15" i="1"/>
  <c r="C13" i="1"/>
  <c r="C14" i="1"/>
  <c r="C12" i="1"/>
  <c r="C11" i="1"/>
  <c r="C10" i="1"/>
  <c r="C9" i="1"/>
  <c r="C8" i="1"/>
  <c r="C7" i="1"/>
  <c r="C6" i="1"/>
  <c r="C5" i="1"/>
  <c r="C4" i="1"/>
  <c r="C3" i="1"/>
  <c r="C2" i="1"/>
  <c r="AC26" i="1"/>
  <c r="AC32" i="1"/>
  <c r="AC23" i="1" l="1"/>
  <c r="Y33" i="1"/>
  <c r="D33" i="1"/>
  <c r="E32" i="1"/>
  <c r="AC19" i="1"/>
  <c r="AC8" i="1"/>
  <c r="AC9" i="1"/>
  <c r="D7" i="1" l="1"/>
  <c r="E5" i="1"/>
  <c r="E6" i="1"/>
  <c r="E7" i="1"/>
  <c r="E8" i="1"/>
  <c r="E9" i="1"/>
  <c r="AC31" i="1"/>
  <c r="AC30" i="1"/>
  <c r="AC29" i="1"/>
  <c r="AC28" i="1"/>
  <c r="AC27" i="1"/>
  <c r="AC25" i="1"/>
  <c r="AC24" i="1"/>
  <c r="AC22" i="1"/>
  <c r="Y32" i="1" l="1"/>
  <c r="Z32" i="1" s="1"/>
  <c r="E29" i="1"/>
  <c r="E30" i="1"/>
  <c r="E31" i="1"/>
  <c r="D32" i="1"/>
  <c r="D31" i="1"/>
  <c r="D30" i="1"/>
  <c r="D29" i="1"/>
  <c r="D28" i="1"/>
  <c r="AC21" i="1"/>
  <c r="D25" i="1"/>
  <c r="D26" i="1"/>
  <c r="D27" i="1"/>
  <c r="D19" i="1"/>
  <c r="D20" i="1"/>
  <c r="D24" i="1"/>
  <c r="D23" i="1"/>
  <c r="D22" i="1"/>
  <c r="D21" i="1"/>
  <c r="D18" i="1"/>
  <c r="D14" i="1"/>
  <c r="D17" i="1"/>
  <c r="D16" i="1"/>
  <c r="D15" i="1"/>
  <c r="AC6" i="1"/>
  <c r="Y12" i="1" l="1"/>
  <c r="Y13" i="1"/>
  <c r="D13" i="1"/>
  <c r="D12" i="1"/>
  <c r="D11" i="1"/>
  <c r="D10" i="1"/>
  <c r="D9" i="1"/>
  <c r="D8" i="1"/>
  <c r="D4" i="1"/>
  <c r="D5" i="1"/>
  <c r="D6" i="1"/>
  <c r="D3" i="1"/>
  <c r="D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1" i="1"/>
  <c r="I11" i="2" s="1"/>
  <c r="AC12" i="1"/>
  <c r="I12" i="2" s="1"/>
  <c r="R33" i="1"/>
  <c r="R22" i="1"/>
  <c r="R23" i="1"/>
  <c r="R24" i="1"/>
  <c r="R25" i="1"/>
  <c r="R26" i="1"/>
  <c r="R27" i="1"/>
  <c r="R28" i="1"/>
  <c r="R29" i="1"/>
  <c r="R30" i="1"/>
  <c r="R31" i="1"/>
  <c r="T31" i="1" s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23" i="1" l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T32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3" i="1"/>
  <c r="Y4" i="1"/>
  <c r="Y5" i="1"/>
  <c r="Y6" i="1"/>
  <c r="Y7" i="1"/>
  <c r="Y8" i="1"/>
  <c r="Y9" i="1"/>
  <c r="Y10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N7" i="1" s="1"/>
  <c r="L8" i="1"/>
  <c r="N8" i="1" s="1"/>
  <c r="L9" i="1"/>
  <c r="L10" i="1"/>
  <c r="L11" i="1"/>
  <c r="L12" i="1"/>
  <c r="L14" i="1"/>
  <c r="L15" i="1"/>
  <c r="L16" i="1"/>
  <c r="L17" i="1"/>
  <c r="L18" i="1"/>
  <c r="L19" i="1"/>
  <c r="L20" i="1"/>
  <c r="L21" i="1"/>
  <c r="L23" i="1"/>
  <c r="L24" i="1"/>
  <c r="L25" i="1"/>
  <c r="L27" i="1"/>
  <c r="L28" i="1"/>
  <c r="L29" i="1"/>
  <c r="L30" i="1"/>
  <c r="L31" i="1"/>
  <c r="L32" i="1"/>
  <c r="L33" i="1"/>
  <c r="L3" i="1"/>
  <c r="L2" i="1"/>
  <c r="S34" i="1"/>
  <c r="G18" i="2" l="1"/>
  <c r="U23" i="1"/>
  <c r="G17" i="2"/>
  <c r="U30" i="1"/>
  <c r="G26" i="2"/>
  <c r="U29" i="1"/>
  <c r="U22" i="1"/>
  <c r="U24" i="1"/>
  <c r="G25" i="2"/>
  <c r="N5" i="1"/>
  <c r="U5" i="1" s="1"/>
  <c r="N4" i="1"/>
  <c r="N6" i="1"/>
  <c r="U6" i="1" s="1"/>
  <c r="G13" i="2"/>
  <c r="G12" i="2"/>
  <c r="U4" i="1"/>
  <c r="U21" i="1"/>
  <c r="U31" i="1"/>
  <c r="N32" i="1"/>
  <c r="Z9" i="1"/>
  <c r="K9" i="2" s="1"/>
  <c r="N2" i="1"/>
  <c r="G2" i="2" s="1"/>
  <c r="G9" i="2"/>
  <c r="Z17" i="1"/>
  <c r="K17" i="2" s="1"/>
  <c r="Z14" i="1"/>
  <c r="K14" i="2" s="1"/>
  <c r="Z11" i="1"/>
  <c r="K11" i="2" s="1"/>
  <c r="Z10" i="1"/>
  <c r="K10" i="2" s="1"/>
  <c r="Z5" i="1"/>
  <c r="K5" i="2" s="1"/>
  <c r="Z2" i="1"/>
  <c r="K2" i="2" s="1"/>
  <c r="Z6" i="1"/>
  <c r="K6" i="2" s="1"/>
  <c r="N3" i="1"/>
  <c r="G3" i="2" s="1"/>
  <c r="Z18" i="1"/>
  <c r="K18" i="2" s="1"/>
  <c r="Z4" i="1"/>
  <c r="K4" i="2" s="1"/>
  <c r="Z30" i="1"/>
  <c r="K30" i="2" s="1"/>
  <c r="Z3" i="1"/>
  <c r="K3" i="2" s="1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G21" i="2" l="1"/>
  <c r="U13" i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32" i="1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<sst xmlns="http://schemas.openxmlformats.org/spreadsheetml/2006/main" count="79" uniqueCount="39">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</sst>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1" fontId="21" fillId="5" borderId="32" xfId="0" applyNumberFormat="1" applyFont="1" applyFill="1" applyBorder="1" applyAlignment="1">
      <alignment horizontal="center" vertical="center" wrapText="1"/>
    </xf>
    <xf numFmtId="165" fontId="21" fillId="5" borderId="32" xfId="0" applyNumberFormat="1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2" xfId="0" applyNumberFormat="1" applyFont="1" applyFill="1" applyBorder="1" applyAlignment="1">
      <alignment horizontal="center" vertical="center" wrapText="1"/>
    </xf>
    <xf numFmtId="166" fontId="24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45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82" customWidth="1"/>
    <col min="6" max="6" width="12.5703125" style="94" customWidth="1"/>
    <col min="7" max="7" width="8.85546875" style="84"/>
    <col min="8" max="8" width="8.85546875" style="90"/>
    <col min="9" max="9" width="8.85546875" style="86" customWidth="1"/>
    <col min="10" max="10" width="8.85546875" style="99"/>
    <col min="11" max="12" width="8.85546875" style="92"/>
    <col min="13" max="14" width="12.28515625" style="102" bestFit="1" customWidth="1"/>
    <col min="15" max="15" width="8.85546875" style="93"/>
    <col min="16" max="16" width="11.5703125" style="93" customWidth="1"/>
    <col min="17" max="16384" width="8.85546875" style="4"/>
  </cols>
  <sheetData>
    <row r="1" spans="1:16" ht="75.75" thickBot="1" x14ac:dyDescent="0.25">
      <c r="A1" s="73" t="s">
        <v>22</v>
      </c>
      <c r="B1" s="73" t="s">
        <v>23</v>
      </c>
      <c r="C1" s="73" t="s">
        <v>24</v>
      </c>
      <c r="D1" s="73" t="s">
        <v>25</v>
      </c>
      <c r="E1" s="74" t="s">
        <v>26</v>
      </c>
      <c r="F1" s="75" t="s">
        <v>27</v>
      </c>
      <c r="G1" s="76" t="s">
        <v>28</v>
      </c>
      <c r="H1" s="77" t="s">
        <v>38</v>
      </c>
      <c r="I1" s="95" t="s">
        <v>36</v>
      </c>
      <c r="J1" s="96" t="s">
        <v>37</v>
      </c>
      <c r="K1" s="78" t="s">
        <v>29</v>
      </c>
      <c r="L1" s="78" t="s">
        <v>30</v>
      </c>
      <c r="M1" s="79" t="s">
        <v>31</v>
      </c>
      <c r="N1" s="79" t="s">
        <v>32</v>
      </c>
      <c r="O1" s="80" t="s">
        <v>0</v>
      </c>
      <c r="P1" s="80" t="s">
        <v>33</v>
      </c>
    </row>
    <row r="2" spans="1:16" ht="15.75" thickTop="1" x14ac:dyDescent="0.25">
      <c r="A2" s="81" t="s">
        <v>34</v>
      </c>
      <c r="B2" s="4">
        <v>1</v>
      </c>
      <c r="C2" s="4">
        <v>9</v>
      </c>
      <c r="D2" s="3">
        <v>2024</v>
      </c>
      <c r="E2" s="82">
        <f>Anassa!D3-Anassa!D2</f>
        <v>11503.799999998882</v>
      </c>
      <c r="F2" s="83">
        <f>0.2563</f>
        <v>0.25629999999999997</v>
      </c>
      <c r="G2" s="84">
        <f>Anassa!N2</f>
        <v>125.00000000000091</v>
      </c>
      <c r="H2" s="85">
        <v>0.626</v>
      </c>
      <c r="I2" s="97">
        <f>Anassa!AC2*5.04</f>
        <v>7030.8</v>
      </c>
      <c r="J2" s="98">
        <v>8.2900000000000001E-2</v>
      </c>
      <c r="K2" s="86">
        <f>Anassa!Z2</f>
        <v>181</v>
      </c>
      <c r="L2" s="87">
        <v>1.25</v>
      </c>
      <c r="M2" s="100">
        <f>Anassa!H2</f>
        <v>421</v>
      </c>
      <c r="N2" s="101">
        <v>0.88</v>
      </c>
      <c r="O2" s="88">
        <f>Anassa!AD2</f>
        <v>122</v>
      </c>
      <c r="P2" s="88">
        <f>Anassa!AE2</f>
        <v>263</v>
      </c>
    </row>
    <row r="3" spans="1:16" ht="15" x14ac:dyDescent="0.25">
      <c r="A3" s="81" t="s">
        <v>34</v>
      </c>
      <c r="B3" s="4">
        <f>B2+1</f>
        <v>2</v>
      </c>
      <c r="C3" s="4">
        <v>9</v>
      </c>
      <c r="D3" s="3">
        <v>2024</v>
      </c>
      <c r="E3" s="82">
        <f>Anassa!D4-Anassa!D3</f>
        <v>11460.10000000149</v>
      </c>
      <c r="F3" s="83">
        <f t="shared" ref="F3:F32" si="0">0.2563</f>
        <v>0.25629999999999997</v>
      </c>
      <c r="G3" s="84">
        <f>Anassa!N3</f>
        <v>174.99999999999909</v>
      </c>
      <c r="H3" s="85">
        <v>0.626</v>
      </c>
      <c r="I3" s="97">
        <f>Anassa!AC3*5.04</f>
        <v>7030.8</v>
      </c>
      <c r="J3" s="98">
        <v>8.2900000000000001E-2</v>
      </c>
      <c r="K3" s="86">
        <f>Anassa!Z3</f>
        <v>128</v>
      </c>
      <c r="L3" s="87">
        <v>1.25</v>
      </c>
      <c r="M3" s="100">
        <f>Anassa!H3</f>
        <v>421</v>
      </c>
      <c r="N3" s="101">
        <v>0.88</v>
      </c>
      <c r="O3" s="88">
        <f>Anassa!AD3</f>
        <v>85</v>
      </c>
      <c r="P3" s="88">
        <f>Anassa!AE3</f>
        <v>179</v>
      </c>
    </row>
    <row r="4" spans="1:16" ht="15" x14ac:dyDescent="0.25">
      <c r="A4" s="81" t="s">
        <v>34</v>
      </c>
      <c r="B4" s="4">
        <f t="shared" ref="B4:B32" si="1">B3+1</f>
        <v>3</v>
      </c>
      <c r="C4" s="4">
        <v>9</v>
      </c>
      <c r="D4" s="3">
        <v>2024</v>
      </c>
      <c r="E4" s="82">
        <f>Anassa!D5-Anassa!D4</f>
        <v>10023.299999998882</v>
      </c>
      <c r="F4" s="83">
        <f t="shared" si="0"/>
        <v>0.25629999999999997</v>
      </c>
      <c r="G4" s="84">
        <f>Anassa!N4</f>
        <v>275.00000000000182</v>
      </c>
      <c r="H4" s="85">
        <v>0.626</v>
      </c>
      <c r="I4" s="97">
        <f>Anassa!AC4*5.04</f>
        <v>7030.8</v>
      </c>
      <c r="J4" s="98">
        <v>8.2900000000000001E-2</v>
      </c>
      <c r="K4" s="86">
        <f>Anassa!Z4</f>
        <v>102</v>
      </c>
      <c r="L4" s="87">
        <v>1.25</v>
      </c>
      <c r="M4" s="100">
        <f>Anassa!H4</f>
        <v>140</v>
      </c>
      <c r="N4" s="101">
        <v>0.88</v>
      </c>
      <c r="O4" s="88">
        <f>Anassa!AD4</f>
        <v>38</v>
      </c>
      <c r="P4" s="88">
        <f>Anassa!AE4</f>
        <v>80</v>
      </c>
    </row>
    <row r="5" spans="1:16" ht="15" x14ac:dyDescent="0.25">
      <c r="A5" s="81" t="s">
        <v>34</v>
      </c>
      <c r="B5" s="4">
        <f t="shared" si="1"/>
        <v>4</v>
      </c>
      <c r="C5" s="4">
        <v>9</v>
      </c>
      <c r="D5" s="3">
        <v>2024</v>
      </c>
      <c r="E5" s="82">
        <f>Anassa!D6-Anassa!D5</f>
        <v>10396.900000000373</v>
      </c>
      <c r="F5" s="83">
        <f t="shared" si="0"/>
        <v>0.25629999999999997</v>
      </c>
      <c r="G5" s="84">
        <f>Anassa!N5</f>
        <v>374.99999999999909</v>
      </c>
      <c r="H5" s="85">
        <v>0.626</v>
      </c>
      <c r="I5" s="97">
        <f>Anassa!AC5*5.04</f>
        <v>7030.8</v>
      </c>
      <c r="J5" s="98">
        <v>8.2900000000000001E-2</v>
      </c>
      <c r="K5" s="86">
        <f>Anassa!Z5</f>
        <v>82</v>
      </c>
      <c r="L5" s="87">
        <v>1.25</v>
      </c>
      <c r="M5" s="100">
        <f>Anassa!H5</f>
        <v>419</v>
      </c>
      <c r="N5" s="101">
        <v>0.88</v>
      </c>
      <c r="O5" s="88">
        <f>Anassa!AD5</f>
        <v>40</v>
      </c>
      <c r="P5" s="88">
        <f>Anassa!AE5</f>
        <v>74</v>
      </c>
    </row>
    <row r="6" spans="1:16" ht="15" x14ac:dyDescent="0.25">
      <c r="A6" s="81" t="s">
        <v>34</v>
      </c>
      <c r="B6" s="4">
        <f t="shared" si="1"/>
        <v>5</v>
      </c>
      <c r="C6" s="4">
        <v>9</v>
      </c>
      <c r="D6" s="3">
        <v>2024</v>
      </c>
      <c r="E6" s="82">
        <f>Anassa!D7-Anassa!D6</f>
        <v>9047.8000000007451</v>
      </c>
      <c r="F6" s="83">
        <f t="shared" si="0"/>
        <v>0.25629999999999997</v>
      </c>
      <c r="G6" s="84">
        <f>Anassa!N6</f>
        <v>150</v>
      </c>
      <c r="H6" s="85">
        <v>0.626</v>
      </c>
      <c r="I6" s="97">
        <f>Anassa!AC6*5.04</f>
        <v>7030.8</v>
      </c>
      <c r="J6" s="98">
        <v>8.2900000000000001E-2</v>
      </c>
      <c r="K6" s="86">
        <f>Anassa!Z6</f>
        <v>119</v>
      </c>
      <c r="L6" s="87">
        <v>1.25</v>
      </c>
      <c r="M6" s="100">
        <f>Anassa!H6</f>
        <v>555</v>
      </c>
      <c r="N6" s="101">
        <v>0.88</v>
      </c>
      <c r="O6" s="88">
        <f>Anassa!AD6</f>
        <v>32</v>
      </c>
      <c r="P6" s="88">
        <f>Anassa!AE6</f>
        <v>58</v>
      </c>
    </row>
    <row r="7" spans="1:16" ht="15" x14ac:dyDescent="0.25">
      <c r="A7" s="81" t="s">
        <v>34</v>
      </c>
      <c r="B7" s="4">
        <f t="shared" si="1"/>
        <v>6</v>
      </c>
      <c r="C7" s="4">
        <v>9</v>
      </c>
      <c r="D7" s="3">
        <v>2024</v>
      </c>
      <c r="E7" s="82">
        <f>Anassa!D8-Anassa!D7</f>
        <v>9661.7999999988824</v>
      </c>
      <c r="F7" s="83">
        <f t="shared" si="0"/>
        <v>0.25629999999999997</v>
      </c>
      <c r="G7" s="84">
        <f>Anassa!N7</f>
        <v>150</v>
      </c>
      <c r="H7" s="85">
        <v>0.626</v>
      </c>
      <c r="I7" s="97">
        <f>Anassa!AC7*5.04</f>
        <v>7030.8</v>
      </c>
      <c r="J7" s="98">
        <v>8.2900000000000001E-2</v>
      </c>
      <c r="K7" s="86">
        <f>Anassa!Z7</f>
        <v>270</v>
      </c>
      <c r="L7" s="87">
        <v>1.25</v>
      </c>
      <c r="M7" s="100">
        <f>Anassa!H7</f>
        <v>276</v>
      </c>
      <c r="N7" s="101">
        <v>0.88</v>
      </c>
      <c r="O7" s="88">
        <f>Anassa!AD7</f>
        <v>22</v>
      </c>
      <c r="P7" s="88">
        <f>Anassa!AE7</f>
        <v>39</v>
      </c>
    </row>
    <row r="8" spans="1:16" ht="15" x14ac:dyDescent="0.25">
      <c r="A8" s="81" t="s">
        <v>34</v>
      </c>
      <c r="B8" s="4">
        <f t="shared" si="1"/>
        <v>7</v>
      </c>
      <c r="C8" s="4">
        <v>9</v>
      </c>
      <c r="D8" s="3">
        <v>2024</v>
      </c>
      <c r="E8" s="82">
        <f>Anassa!D9-Anassa!D8</f>
        <v>8740.7000000011176</v>
      </c>
      <c r="F8" s="83">
        <f t="shared" si="0"/>
        <v>0.25629999999999997</v>
      </c>
      <c r="G8" s="84">
        <f>Anassa!N8</f>
        <v>200.00000000000091</v>
      </c>
      <c r="H8" s="85">
        <v>0.626</v>
      </c>
      <c r="I8" s="97">
        <f>Anassa!AC8*5.04</f>
        <v>7030.8</v>
      </c>
      <c r="J8" s="98">
        <v>8.2900000000000001E-2</v>
      </c>
      <c r="K8" s="86">
        <f>Anassa!Z8</f>
        <v>91</v>
      </c>
      <c r="L8" s="87">
        <v>1.25</v>
      </c>
      <c r="M8" s="100">
        <f>Anassa!H8</f>
        <v>686</v>
      </c>
      <c r="N8" s="101">
        <v>0.88</v>
      </c>
      <c r="O8" s="88">
        <f>Anassa!AD8</f>
        <v>54</v>
      </c>
      <c r="P8" s="88">
        <f>Anassa!AE8</f>
        <v>73</v>
      </c>
    </row>
    <row r="9" spans="1:16" ht="15" x14ac:dyDescent="0.25">
      <c r="A9" s="81" t="s">
        <v>34</v>
      </c>
      <c r="B9" s="4">
        <f t="shared" si="1"/>
        <v>8</v>
      </c>
      <c r="C9" s="4">
        <v>9</v>
      </c>
      <c r="D9" s="3">
        <v>2024</v>
      </c>
      <c r="E9" s="82">
        <f>Anassa!D10-Anassa!D9</f>
        <v>10328.89999999851</v>
      </c>
      <c r="F9" s="83">
        <f t="shared" si="0"/>
        <v>0.25629999999999997</v>
      </c>
      <c r="G9" s="84">
        <f>Anassa!N9</f>
        <v>174.99999999999909</v>
      </c>
      <c r="H9" s="85">
        <v>0.626</v>
      </c>
      <c r="I9" s="97">
        <f>Anassa!AC9*5.04</f>
        <v>7030.8</v>
      </c>
      <c r="J9" s="98">
        <v>8.2900000000000001E-2</v>
      </c>
      <c r="K9" s="86">
        <f>Anassa!Z9</f>
        <v>107</v>
      </c>
      <c r="L9" s="87">
        <v>1.25</v>
      </c>
      <c r="M9" s="100">
        <f>Anassa!H9</f>
        <v>676</v>
      </c>
      <c r="N9" s="101">
        <v>0.88</v>
      </c>
      <c r="O9" s="88">
        <f>Anassa!AD9</f>
        <v>60</v>
      </c>
      <c r="P9" s="88">
        <f>Anassa!AE9</f>
        <v>97</v>
      </c>
    </row>
    <row r="10" spans="1:16" ht="15" x14ac:dyDescent="0.25">
      <c r="A10" s="81" t="s">
        <v>34</v>
      </c>
      <c r="B10" s="4">
        <f t="shared" si="1"/>
        <v>9</v>
      </c>
      <c r="C10" s="4">
        <v>9</v>
      </c>
      <c r="D10" s="3">
        <v>2024</v>
      </c>
      <c r="E10" s="82">
        <f>Anassa!D11-Anassa!D10</f>
        <v>9150.3000000007451</v>
      </c>
      <c r="F10" s="83">
        <f t="shared" si="0"/>
        <v>0.25629999999999997</v>
      </c>
      <c r="G10" s="84">
        <f>Anassa!N10</f>
        <v>150</v>
      </c>
      <c r="H10" s="85">
        <v>0.626</v>
      </c>
      <c r="I10" s="97">
        <f>Anassa!AC10*5.04</f>
        <v>7030.8</v>
      </c>
      <c r="J10" s="98">
        <v>8.2900000000000001E-2</v>
      </c>
      <c r="K10" s="86">
        <f>Anassa!Z10</f>
        <v>87</v>
      </c>
      <c r="L10" s="87">
        <v>1.25</v>
      </c>
      <c r="M10" s="100">
        <f>Anassa!H10</f>
        <v>1060</v>
      </c>
      <c r="N10" s="101">
        <v>0.88</v>
      </c>
      <c r="O10" s="88">
        <f>Anassa!AD10</f>
        <v>29</v>
      </c>
      <c r="P10" s="88">
        <f>Anassa!AE10</f>
        <v>55</v>
      </c>
    </row>
    <row r="11" spans="1:16" ht="15" x14ac:dyDescent="0.25">
      <c r="A11" s="81" t="s">
        <v>34</v>
      </c>
      <c r="B11" s="4">
        <f t="shared" si="1"/>
        <v>10</v>
      </c>
      <c r="C11" s="4">
        <v>9</v>
      </c>
      <c r="D11" s="3">
        <v>2024</v>
      </c>
      <c r="E11" s="82">
        <f>Anassa!D12-Anassa!D11</f>
        <v>8359.3000000007451</v>
      </c>
      <c r="F11" s="83">
        <f t="shared" si="0"/>
        <v>0.25629999999999997</v>
      </c>
      <c r="G11" s="84">
        <f>Anassa!N11</f>
        <v>75</v>
      </c>
      <c r="H11" s="85">
        <v>0.626</v>
      </c>
      <c r="I11" s="97">
        <f>Anassa!AC11*5.04</f>
        <v>42739.199999999997</v>
      </c>
      <c r="J11" s="98">
        <v>8.2900000000000001E-2</v>
      </c>
      <c r="K11" s="86">
        <f>Anassa!Z11</f>
        <v>73</v>
      </c>
      <c r="L11" s="87">
        <v>1.25</v>
      </c>
      <c r="M11" s="100">
        <f>Anassa!H11</f>
        <v>277</v>
      </c>
      <c r="N11" s="101">
        <v>0.88</v>
      </c>
      <c r="O11" s="88">
        <f>Anassa!AD11</f>
        <v>6</v>
      </c>
      <c r="P11" s="88">
        <f>Anassa!AE11</f>
        <v>10</v>
      </c>
    </row>
    <row r="12" spans="1:16" ht="15" x14ac:dyDescent="0.25">
      <c r="A12" s="81" t="s">
        <v>34</v>
      </c>
      <c r="B12" s="4">
        <f t="shared" si="1"/>
        <v>11</v>
      </c>
      <c r="C12" s="4">
        <v>9</v>
      </c>
      <c r="D12" s="3">
        <v>2024</v>
      </c>
      <c r="E12" s="82">
        <f>Anassa!D13-Anassa!D12</f>
        <v>-294618.10000000149</v>
      </c>
      <c r="F12" s="83">
        <f t="shared" si="0"/>
        <v>0.25629999999999997</v>
      </c>
      <c r="G12" s="84">
        <f>Anassa!N12</f>
        <v>124.99999999999955</v>
      </c>
      <c r="H12" s="85">
        <v>0.626</v>
      </c>
      <c r="I12" s="97">
        <f>Anassa!AC12*5.04</f>
        <v>0</v>
      </c>
      <c r="J12" s="98">
        <v>8.2900000000000001E-2</v>
      </c>
      <c r="K12" s="86">
        <f>Anassa!Z12</f>
        <v>49</v>
      </c>
      <c r="L12" s="87">
        <v>1.25</v>
      </c>
      <c r="M12" s="100">
        <f>Anassa!H12</f>
        <v>368</v>
      </c>
      <c r="N12" s="101">
        <v>0.88</v>
      </c>
      <c r="O12" s="88">
        <f>Anassa!AD12</f>
        <v>10</v>
      </c>
      <c r="P12" s="88">
        <f>Anassa!AE12</f>
        <v>15</v>
      </c>
    </row>
    <row r="13" spans="1:16" ht="15" x14ac:dyDescent="0.25">
      <c r="A13" s="81" t="s">
        <v>34</v>
      </c>
      <c r="B13" s="4">
        <f t="shared" si="1"/>
        <v>12</v>
      </c>
      <c r="C13" s="4">
        <v>9</v>
      </c>
      <c r="D13" s="3">
        <v>2024</v>
      </c>
      <c r="E13" s="82">
        <f>Anassa!D14-Anassa!D13</f>
        <v>304063.70000000112</v>
      </c>
      <c r="F13" s="83">
        <f t="shared" si="0"/>
        <v>0.25629999999999997</v>
      </c>
      <c r="G13" s="84">
        <f>Anassa!N13</f>
        <v>50.000000000000455</v>
      </c>
      <c r="H13" s="85">
        <v>0.626</v>
      </c>
      <c r="I13" s="97">
        <f>Anassa!AC13*5.04</f>
        <v>0</v>
      </c>
      <c r="J13" s="98">
        <v>8.2900000000000001E-2</v>
      </c>
      <c r="K13" s="86">
        <f>Anassa!Z13</f>
        <v>44</v>
      </c>
      <c r="L13" s="87">
        <v>1.25</v>
      </c>
      <c r="M13" s="100">
        <f>Anassa!H13</f>
        <v>254</v>
      </c>
      <c r="N13" s="101">
        <v>0.88</v>
      </c>
      <c r="O13" s="88">
        <f>Anassa!AD13</f>
        <v>0</v>
      </c>
      <c r="P13" s="88">
        <f>Anassa!AE13</f>
        <v>0</v>
      </c>
    </row>
    <row r="14" spans="1:16" ht="15" x14ac:dyDescent="0.25">
      <c r="A14" s="81" t="s">
        <v>34</v>
      </c>
      <c r="B14" s="4">
        <f t="shared" si="1"/>
        <v>13</v>
      </c>
      <c r="C14" s="4">
        <v>9</v>
      </c>
      <c r="D14" s="3">
        <v>2024</v>
      </c>
      <c r="E14" s="82">
        <f>Anassa!D15-Anassa!D14</f>
        <v>3376.1999999992549</v>
      </c>
      <c r="F14" s="83">
        <f t="shared" si="0"/>
        <v>0.25629999999999997</v>
      </c>
      <c r="G14" s="84">
        <f>Anassa!N14</f>
        <v>50</v>
      </c>
      <c r="H14" s="85">
        <v>0.626</v>
      </c>
      <c r="I14" s="97">
        <f>Anassa!AC14*5.04</f>
        <v>0</v>
      </c>
      <c r="J14" s="98">
        <v>8.2900000000000001E-2</v>
      </c>
      <c r="K14" s="86">
        <f>Anassa!Z14</f>
        <v>34</v>
      </c>
      <c r="L14" s="87">
        <v>1.25</v>
      </c>
      <c r="M14" s="100">
        <f>Anassa!H14</f>
        <v>24</v>
      </c>
      <c r="N14" s="101">
        <v>0.88</v>
      </c>
      <c r="O14" s="88">
        <f>Anassa!AD14</f>
        <v>0</v>
      </c>
      <c r="P14" s="88">
        <f>Anassa!AE14</f>
        <v>0</v>
      </c>
    </row>
    <row r="15" spans="1:16" ht="15" x14ac:dyDescent="0.25">
      <c r="A15" s="81" t="s">
        <v>34</v>
      </c>
      <c r="B15" s="4">
        <f t="shared" si="1"/>
        <v>14</v>
      </c>
      <c r="C15" s="4">
        <v>9</v>
      </c>
      <c r="D15" s="3">
        <v>2024</v>
      </c>
      <c r="E15" s="82">
        <f>Anassa!D16-Anassa!D15</f>
        <v>3011.9000000003725</v>
      </c>
      <c r="F15" s="83">
        <f t="shared" si="0"/>
        <v>0.25629999999999997</v>
      </c>
      <c r="G15" s="84">
        <f>Anassa!N15</f>
        <v>25</v>
      </c>
      <c r="H15" s="85">
        <v>0.626</v>
      </c>
      <c r="I15" s="97">
        <f>Anassa!AC15*5.04</f>
        <v>0</v>
      </c>
      <c r="J15" s="98">
        <v>8.2900000000000001E-2</v>
      </c>
      <c r="K15" s="86">
        <f>Anassa!Z15</f>
        <v>35</v>
      </c>
      <c r="L15" s="87">
        <v>1.25</v>
      </c>
      <c r="M15" s="100">
        <f>Anassa!H15</f>
        <v>-150</v>
      </c>
      <c r="N15" s="101">
        <v>0.88</v>
      </c>
      <c r="O15" s="88">
        <f>Anassa!AD15</f>
        <v>0</v>
      </c>
      <c r="P15" s="88">
        <f>Anassa!AE15</f>
        <v>0</v>
      </c>
    </row>
    <row r="16" spans="1:16" ht="15" x14ac:dyDescent="0.25">
      <c r="A16" s="81" t="s">
        <v>34</v>
      </c>
      <c r="B16" s="4">
        <f t="shared" si="1"/>
        <v>15</v>
      </c>
      <c r="C16" s="4">
        <v>9</v>
      </c>
      <c r="D16" s="3">
        <v>2024</v>
      </c>
      <c r="E16" s="82">
        <f>Anassa!D17-Anassa!D16</f>
        <v>3337.1999999992549</v>
      </c>
      <c r="F16" s="83">
        <f t="shared" si="0"/>
        <v>0.25629999999999997</v>
      </c>
      <c r="G16" s="84">
        <f>Anassa!N16</f>
        <v>0</v>
      </c>
      <c r="H16" s="85">
        <v>0.626</v>
      </c>
      <c r="I16" s="97">
        <f>Anassa!AC16*5.04</f>
        <v>0</v>
      </c>
      <c r="J16" s="98">
        <v>8.2900000000000001E-2</v>
      </c>
      <c r="K16" s="86">
        <f>Anassa!Z16</f>
        <v>31</v>
      </c>
      <c r="L16" s="87">
        <v>1.25</v>
      </c>
      <c r="M16" s="100">
        <f>Anassa!H16</f>
        <v>0</v>
      </c>
      <c r="N16" s="101">
        <v>1.25</v>
      </c>
      <c r="O16" s="88">
        <f>Anassa!AD16</f>
        <v>0</v>
      </c>
      <c r="P16" s="88">
        <f>Anassa!AE16</f>
        <v>0</v>
      </c>
    </row>
    <row r="17" spans="1:16" ht="15" x14ac:dyDescent="0.25">
      <c r="A17" s="81" t="s">
        <v>34</v>
      </c>
      <c r="B17" s="4">
        <f t="shared" si="1"/>
        <v>16</v>
      </c>
      <c r="C17" s="4">
        <v>9</v>
      </c>
      <c r="D17" s="3">
        <v>2024</v>
      </c>
      <c r="E17" s="82">
        <f>Anassa!D18-Anassa!D17</f>
        <v>2671.1000000014901</v>
      </c>
      <c r="F17" s="83">
        <f t="shared" si="0"/>
        <v>0.25629999999999997</v>
      </c>
      <c r="G17" s="84">
        <f>Anassa!N17</f>
        <v>0</v>
      </c>
      <c r="H17" s="85">
        <v>0.626</v>
      </c>
      <c r="I17" s="97">
        <f>Anassa!AC17*5.04</f>
        <v>0</v>
      </c>
      <c r="J17" s="98">
        <v>8.2900000000000001E-2</v>
      </c>
      <c r="K17" s="86">
        <f>Anassa!Z17</f>
        <v>13</v>
      </c>
      <c r="L17" s="87">
        <v>1.25</v>
      </c>
      <c r="M17" s="100">
        <f>Anassa!H17</f>
        <v>0</v>
      </c>
      <c r="N17" s="101">
        <v>0.88</v>
      </c>
      <c r="O17" s="88">
        <f>Anassa!AD17</f>
        <v>0</v>
      </c>
      <c r="P17" s="88">
        <f>Anassa!AE17</f>
        <v>0</v>
      </c>
    </row>
    <row r="18" spans="1:16" ht="15" x14ac:dyDescent="0.25">
      <c r="A18" s="81" t="s">
        <v>34</v>
      </c>
      <c r="B18" s="4">
        <f t="shared" si="1"/>
        <v>17</v>
      </c>
      <c r="C18" s="4">
        <v>9</v>
      </c>
      <c r="D18" s="3">
        <v>2024</v>
      </c>
      <c r="E18" s="82">
        <f>Anassa!D19-Anassa!D18</f>
        <v>2549.1999999992549</v>
      </c>
      <c r="F18" s="83">
        <f t="shared" si="0"/>
        <v>0.25629999999999997</v>
      </c>
      <c r="G18" s="84">
        <f>Anassa!N18</f>
        <v>0</v>
      </c>
      <c r="H18" s="85">
        <v>0.626</v>
      </c>
      <c r="I18" s="97">
        <f>Anassa!AC18*5.04</f>
        <v>0</v>
      </c>
      <c r="J18" s="98">
        <v>8.2900000000000001E-2</v>
      </c>
      <c r="K18" s="86">
        <f>Anassa!Z18</f>
        <v>20</v>
      </c>
      <c r="L18" s="87">
        <v>1.25</v>
      </c>
      <c r="M18" s="100">
        <f>Anassa!H18</f>
        <v>0</v>
      </c>
      <c r="N18" s="101">
        <v>0.88</v>
      </c>
      <c r="O18" s="88">
        <f>Anassa!AD18</f>
        <v>0</v>
      </c>
      <c r="P18" s="88">
        <f>Anassa!AE18</f>
        <v>0</v>
      </c>
    </row>
    <row r="19" spans="1:16" ht="15" x14ac:dyDescent="0.25">
      <c r="A19" s="81" t="s">
        <v>34</v>
      </c>
      <c r="B19" s="4">
        <f t="shared" si="1"/>
        <v>18</v>
      </c>
      <c r="C19" s="4">
        <v>9</v>
      </c>
      <c r="D19" s="3">
        <v>2024</v>
      </c>
      <c r="E19" s="82">
        <f>Anassa!D20-Anassa!D19</f>
        <v>2640.6999999992549</v>
      </c>
      <c r="F19" s="83">
        <f t="shared" si="0"/>
        <v>0.25629999999999997</v>
      </c>
      <c r="G19" s="84">
        <f>Anassa!N19</f>
        <v>0</v>
      </c>
      <c r="H19" s="85">
        <v>0.626</v>
      </c>
      <c r="I19" s="97">
        <f>Anassa!AC19*5.04</f>
        <v>0</v>
      </c>
      <c r="J19" s="98">
        <v>8.2900000000000001E-2</v>
      </c>
      <c r="K19" s="86">
        <f>Anassa!Z19</f>
        <v>19</v>
      </c>
      <c r="L19" s="87">
        <v>1.25</v>
      </c>
      <c r="M19" s="100">
        <f>Anassa!H19</f>
        <v>0</v>
      </c>
      <c r="N19" s="101">
        <v>0.88</v>
      </c>
      <c r="O19" s="88">
        <f>Anassa!AD19</f>
        <v>0</v>
      </c>
      <c r="P19" s="88">
        <f>Anassa!AE19</f>
        <v>0</v>
      </c>
    </row>
    <row r="20" spans="1:16" ht="15" x14ac:dyDescent="0.25">
      <c r="A20" s="81" t="s">
        <v>34</v>
      </c>
      <c r="B20" s="4">
        <f t="shared" si="1"/>
        <v>19</v>
      </c>
      <c r="C20" s="4">
        <v>9</v>
      </c>
      <c r="D20" s="3">
        <v>2024</v>
      </c>
      <c r="E20" s="82">
        <f>Anassa!D21-Anassa!D20</f>
        <v>2563.8000000007451</v>
      </c>
      <c r="F20" s="83">
        <f t="shared" si="0"/>
        <v>0.25629999999999997</v>
      </c>
      <c r="G20" s="84">
        <f>Anassa!N20</f>
        <v>0</v>
      </c>
      <c r="H20" s="85">
        <v>0.626</v>
      </c>
      <c r="I20" s="97">
        <f>Anassa!AC20*5.04</f>
        <v>0</v>
      </c>
      <c r="J20" s="98">
        <v>8.2900000000000001E-2</v>
      </c>
      <c r="K20" s="86">
        <f>Anassa!Z20</f>
        <v>23</v>
      </c>
      <c r="L20" s="87">
        <v>1.25</v>
      </c>
      <c r="M20" s="100">
        <f>Anassa!H20</f>
        <v>0</v>
      </c>
      <c r="N20" s="101">
        <v>0.88</v>
      </c>
      <c r="O20" s="88">
        <f>Anassa!AD20</f>
        <v>0</v>
      </c>
      <c r="P20" s="88">
        <f>Anassa!AE20</f>
        <v>0</v>
      </c>
    </row>
    <row r="21" spans="1:16" ht="15" x14ac:dyDescent="0.25">
      <c r="A21" s="81" t="s">
        <v>34</v>
      </c>
      <c r="B21" s="4">
        <f t="shared" si="1"/>
        <v>20</v>
      </c>
      <c r="C21" s="4">
        <v>9</v>
      </c>
      <c r="D21" s="3">
        <v>2024</v>
      </c>
      <c r="E21" s="82">
        <f>Anassa!D22-Anassa!D21</f>
        <v>2564.9000000003725</v>
      </c>
      <c r="F21" s="83">
        <f t="shared" si="0"/>
        <v>0.25629999999999997</v>
      </c>
      <c r="G21" s="84">
        <f>Anassa!N21</f>
        <v>0</v>
      </c>
      <c r="H21" s="85">
        <v>0.626</v>
      </c>
      <c r="I21" s="97">
        <f>Anassa!AC21*5.04</f>
        <v>0</v>
      </c>
      <c r="J21" s="98">
        <v>8.2900000000000001E-2</v>
      </c>
      <c r="K21" s="86">
        <f>Anassa!Z21</f>
        <v>20</v>
      </c>
      <c r="L21" s="87">
        <v>1.25</v>
      </c>
      <c r="M21" s="100">
        <f>Anassa!H21</f>
        <v>0</v>
      </c>
      <c r="N21" s="101">
        <v>0.88</v>
      </c>
      <c r="O21" s="88">
        <f>Anassa!AD21</f>
        <v>0</v>
      </c>
      <c r="P21" s="88">
        <f>Anassa!AE21</f>
        <v>0</v>
      </c>
    </row>
    <row r="22" spans="1:16" ht="15" x14ac:dyDescent="0.25">
      <c r="A22" s="81" t="s">
        <v>34</v>
      </c>
      <c r="B22" s="4">
        <f t="shared" si="1"/>
        <v>21</v>
      </c>
      <c r="C22" s="4">
        <v>9</v>
      </c>
      <c r="D22" s="3">
        <v>2024</v>
      </c>
      <c r="E22" s="82">
        <f>Anassa!D23-Anassa!D22</f>
        <v>2779.2999999988824</v>
      </c>
      <c r="F22" s="83">
        <f t="shared" si="0"/>
        <v>0.25629999999999997</v>
      </c>
      <c r="G22" s="84">
        <f>Anassa!N22</f>
        <v>24.999999999999545</v>
      </c>
      <c r="H22" s="85">
        <v>0.626</v>
      </c>
      <c r="I22" s="97">
        <f>Anassa!AC22*5.04</f>
        <v>0</v>
      </c>
      <c r="J22" s="98">
        <v>8.2900000000000001E-2</v>
      </c>
      <c r="K22" s="86">
        <f>Anassa!Z22</f>
        <v>26</v>
      </c>
      <c r="L22" s="87">
        <v>1.25</v>
      </c>
      <c r="M22" s="100">
        <f>Anassa!H22</f>
        <v>0</v>
      </c>
      <c r="N22" s="101">
        <v>0.88</v>
      </c>
      <c r="O22" s="88">
        <f>Anassa!AD22</f>
        <v>0</v>
      </c>
      <c r="P22" s="88">
        <f>Anassa!AE22</f>
        <v>0</v>
      </c>
    </row>
    <row r="23" spans="1:16" ht="15" x14ac:dyDescent="0.25">
      <c r="A23" s="81" t="s">
        <v>34</v>
      </c>
      <c r="B23" s="4">
        <f t="shared" si="1"/>
        <v>22</v>
      </c>
      <c r="C23" s="4">
        <v>9</v>
      </c>
      <c r="D23" s="3">
        <v>2024</v>
      </c>
      <c r="E23" s="82">
        <f>Anassa!D24-Anassa!D23</f>
        <v>2836</v>
      </c>
      <c r="F23" s="83">
        <f t="shared" si="0"/>
        <v>0.25629999999999997</v>
      </c>
      <c r="G23" s="84">
        <f>Anassa!N23</f>
        <v>0</v>
      </c>
      <c r="H23" s="85">
        <v>0.626</v>
      </c>
      <c r="I23" s="97">
        <f>Anassa!AC23*5.04</f>
        <v>0</v>
      </c>
      <c r="J23" s="98">
        <v>8.2900000000000001E-2</v>
      </c>
      <c r="K23" s="86">
        <f>Anassa!Z23</f>
        <v>19</v>
      </c>
      <c r="L23" s="87">
        <v>1.25</v>
      </c>
      <c r="M23" s="100">
        <f>Anassa!H23</f>
        <v>0</v>
      </c>
      <c r="N23" s="101">
        <v>0.88</v>
      </c>
      <c r="O23" s="88">
        <f>Anassa!AD23</f>
        <v>0</v>
      </c>
      <c r="P23" s="88">
        <f>Anassa!AE23</f>
        <v>0</v>
      </c>
    </row>
    <row r="24" spans="1:16" ht="15" x14ac:dyDescent="0.25">
      <c r="A24" s="81" t="s">
        <v>34</v>
      </c>
      <c r="B24" s="4">
        <f t="shared" si="1"/>
        <v>23</v>
      </c>
      <c r="C24" s="4">
        <v>9</v>
      </c>
      <c r="D24" s="3">
        <v>2024</v>
      </c>
      <c r="E24" s="82">
        <f>Anassa!D25-Anassa!D24</f>
        <v>2412.8000000007451</v>
      </c>
      <c r="F24" s="83">
        <f t="shared" si="0"/>
        <v>0.25629999999999997</v>
      </c>
      <c r="G24" s="84">
        <f>Anassa!N24</f>
        <v>0</v>
      </c>
      <c r="H24" s="85">
        <v>0.626</v>
      </c>
      <c r="I24" s="97">
        <f>Anassa!AC24*5.04</f>
        <v>0</v>
      </c>
      <c r="J24" s="98">
        <v>8.2900000000000001E-2</v>
      </c>
      <c r="K24" s="86">
        <f>Anassa!Z24</f>
        <v>20</v>
      </c>
      <c r="L24" s="87">
        <v>1.25</v>
      </c>
      <c r="M24" s="100">
        <f>Anassa!H24</f>
        <v>0</v>
      </c>
      <c r="N24" s="101">
        <v>0.88</v>
      </c>
      <c r="O24" s="88">
        <f>Anassa!AD24</f>
        <v>0</v>
      </c>
      <c r="P24" s="88">
        <f>Anassa!AE24</f>
        <v>0</v>
      </c>
    </row>
    <row r="25" spans="1:16" ht="15" x14ac:dyDescent="0.25">
      <c r="A25" s="81" t="s">
        <v>34</v>
      </c>
      <c r="B25" s="4">
        <f t="shared" si="1"/>
        <v>24</v>
      </c>
      <c r="C25" s="4">
        <v>9</v>
      </c>
      <c r="D25" s="3">
        <v>2024</v>
      </c>
      <c r="E25" s="82">
        <f>Anassa!D26-Anassa!D25</f>
        <v>2413</v>
      </c>
      <c r="F25" s="83">
        <f t="shared" si="0"/>
        <v>0.25629999999999997</v>
      </c>
      <c r="G25" s="84">
        <f>Anassa!N25</f>
        <v>0</v>
      </c>
      <c r="H25" s="85">
        <v>0.626</v>
      </c>
      <c r="I25" s="97">
        <f>Anassa!AC25*5.04</f>
        <v>0</v>
      </c>
      <c r="J25" s="98">
        <v>8.2900000000000001E-2</v>
      </c>
      <c r="K25" s="86">
        <f>Anassa!Z25</f>
        <v>20</v>
      </c>
      <c r="L25" s="87">
        <v>1.25</v>
      </c>
      <c r="M25" s="100">
        <f>Anassa!H25</f>
        <v>0</v>
      </c>
      <c r="N25" s="101">
        <v>0.88</v>
      </c>
      <c r="O25" s="88">
        <f>Anassa!AD25</f>
        <v>0</v>
      </c>
      <c r="P25" s="88">
        <f>Anassa!AE25</f>
        <v>0</v>
      </c>
    </row>
    <row r="26" spans="1:16" ht="15" x14ac:dyDescent="0.25">
      <c r="A26" s="81" t="s">
        <v>34</v>
      </c>
      <c r="B26" s="4">
        <f>B25+1</f>
        <v>25</v>
      </c>
      <c r="C26" s="4">
        <v>9</v>
      </c>
      <c r="D26" s="3">
        <v>2024</v>
      </c>
      <c r="E26" s="82">
        <f>Anassa!D27-Anassa!D26</f>
        <v>2253.1999999992549</v>
      </c>
      <c r="F26" s="83">
        <f t="shared" si="0"/>
        <v>0.25629999999999997</v>
      </c>
      <c r="G26" s="84">
        <f>Anassa!N26</f>
        <v>0</v>
      </c>
      <c r="H26" s="85">
        <v>0.626</v>
      </c>
      <c r="I26" s="97">
        <f>Anassa!AC26*5.04</f>
        <v>0</v>
      </c>
      <c r="J26" s="98">
        <v>8.2900000000000001E-2</v>
      </c>
      <c r="K26" s="86">
        <f>Anassa!Z26</f>
        <v>295</v>
      </c>
      <c r="L26" s="87">
        <v>1.25</v>
      </c>
      <c r="M26" s="100">
        <f>Anassa!H26</f>
        <v>0</v>
      </c>
      <c r="N26" s="101">
        <v>0.88</v>
      </c>
      <c r="O26" s="88">
        <f>Anassa!AD26</f>
        <v>0</v>
      </c>
      <c r="P26" s="88">
        <f>Anassa!AE26</f>
        <v>0</v>
      </c>
    </row>
    <row r="27" spans="1:16" ht="15" x14ac:dyDescent="0.25">
      <c r="A27" s="81" t="s">
        <v>34</v>
      </c>
      <c r="B27" s="4">
        <f t="shared" si="1"/>
        <v>26</v>
      </c>
      <c r="C27" s="4">
        <v>9</v>
      </c>
      <c r="D27" s="3">
        <v>2024</v>
      </c>
      <c r="E27" s="82">
        <f>Anassa!D28-Anassa!D27</f>
        <v>2847.4000000003725</v>
      </c>
      <c r="F27" s="83">
        <f t="shared" si="0"/>
        <v>0.25629999999999997</v>
      </c>
      <c r="G27" s="84">
        <f>Anassa!N27</f>
        <v>25.000000000000455</v>
      </c>
      <c r="H27" s="85">
        <v>0.626</v>
      </c>
      <c r="I27" s="97">
        <f>Anassa!AC27*5.04</f>
        <v>0</v>
      </c>
      <c r="J27" s="98">
        <v>8.2900000000000001E-2</v>
      </c>
      <c r="K27" s="86">
        <f>Anassa!Z27</f>
        <v>22</v>
      </c>
      <c r="L27" s="87">
        <v>1.25</v>
      </c>
      <c r="M27" s="100">
        <f>Anassa!H27</f>
        <v>0</v>
      </c>
      <c r="N27" s="101">
        <v>0.88</v>
      </c>
      <c r="O27" s="88">
        <f>Anassa!AD27</f>
        <v>0</v>
      </c>
      <c r="P27" s="88">
        <f>Anassa!AE27</f>
        <v>0</v>
      </c>
    </row>
    <row r="28" spans="1:16" ht="15" x14ac:dyDescent="0.25">
      <c r="A28" s="81" t="s">
        <v>34</v>
      </c>
      <c r="B28" s="4">
        <f t="shared" si="1"/>
        <v>27</v>
      </c>
      <c r="C28" s="4">
        <v>9</v>
      </c>
      <c r="D28" s="3">
        <v>2024</v>
      </c>
      <c r="E28" s="82">
        <f>Anassa!D29-Anassa!D28</f>
        <v>27165.300000000745</v>
      </c>
      <c r="F28" s="83">
        <f t="shared" si="0"/>
        <v>0.25629999999999997</v>
      </c>
      <c r="G28" s="84">
        <f>Anassa!N28</f>
        <v>0</v>
      </c>
      <c r="H28" s="85">
        <v>0.626</v>
      </c>
      <c r="I28" s="97">
        <f>Anassa!AC28*5.04</f>
        <v>0</v>
      </c>
      <c r="J28" s="98">
        <v>8.2900000000000001E-2</v>
      </c>
      <c r="K28" s="86">
        <f>Anassa!Z28</f>
        <v>15</v>
      </c>
      <c r="L28" s="87">
        <v>1.25</v>
      </c>
      <c r="M28" s="100">
        <f>Anassa!H28</f>
        <v>0</v>
      </c>
      <c r="N28" s="101">
        <v>0.88</v>
      </c>
      <c r="O28" s="88">
        <f>Anassa!AD28</f>
        <v>0</v>
      </c>
      <c r="P28" s="88">
        <f>Anassa!AE28</f>
        <v>0</v>
      </c>
    </row>
    <row r="29" spans="1:16" ht="15" x14ac:dyDescent="0.25">
      <c r="A29" s="81" t="s">
        <v>34</v>
      </c>
      <c r="B29" s="4">
        <f t="shared" si="1"/>
        <v>28</v>
      </c>
      <c r="C29" s="4">
        <v>9</v>
      </c>
      <c r="D29" s="3">
        <v>2024</v>
      </c>
      <c r="E29" s="82">
        <f>Anassa!D30-Anassa!D29</f>
        <v>3701.7999999988824</v>
      </c>
      <c r="F29" s="83">
        <f t="shared" si="0"/>
        <v>0.25629999999999997</v>
      </c>
      <c r="G29" s="84">
        <f>Anassa!N29</f>
        <v>25</v>
      </c>
      <c r="H29" s="85">
        <v>0.626</v>
      </c>
      <c r="I29" s="97">
        <f>Anassa!AC29*5.04</f>
        <v>0</v>
      </c>
      <c r="J29" s="98">
        <v>8.2900000000000001E-2</v>
      </c>
      <c r="K29" s="86">
        <f>Anassa!Z29</f>
        <v>51</v>
      </c>
      <c r="L29" s="87">
        <v>1.25</v>
      </c>
      <c r="M29" s="100">
        <f>Anassa!H29</f>
        <v>0</v>
      </c>
      <c r="N29" s="101">
        <v>0.88</v>
      </c>
      <c r="O29" s="88">
        <f>Anassa!AD29</f>
        <v>0</v>
      </c>
      <c r="P29" s="88">
        <f>Anassa!AE29</f>
        <v>0</v>
      </c>
    </row>
    <row r="30" spans="1:16" ht="15" x14ac:dyDescent="0.25">
      <c r="A30" s="81" t="s">
        <v>34</v>
      </c>
      <c r="B30" s="4">
        <f t="shared" si="1"/>
        <v>29</v>
      </c>
      <c r="C30" s="4">
        <v>9</v>
      </c>
      <c r="D30" s="3">
        <v>2024</v>
      </c>
      <c r="E30" s="82">
        <f>Anassa!D31-Anassa!D30</f>
        <v>-22754.5</v>
      </c>
      <c r="F30" s="83">
        <f t="shared" si="0"/>
        <v>0.25629999999999997</v>
      </c>
      <c r="G30" s="84">
        <f>Anassa!N30</f>
        <v>24.999999999999545</v>
      </c>
      <c r="H30" s="85">
        <v>0.626</v>
      </c>
      <c r="I30" s="97">
        <f>Anassa!AC30*5.04</f>
        <v>0</v>
      </c>
      <c r="J30" s="98">
        <v>8.2900000000000001E-2</v>
      </c>
      <c r="K30" s="86">
        <f>Anassa!Z30</f>
        <v>23</v>
      </c>
      <c r="L30" s="87">
        <v>1.25</v>
      </c>
      <c r="M30" s="100">
        <f>Anassa!H30</f>
        <v>126</v>
      </c>
      <c r="N30" s="101">
        <v>0.88</v>
      </c>
      <c r="O30" s="88">
        <f>Anassa!AD30</f>
        <v>0</v>
      </c>
      <c r="P30" s="88">
        <f>Anassa!AE30</f>
        <v>0</v>
      </c>
    </row>
    <row r="31" spans="1:16" ht="15" x14ac:dyDescent="0.25">
      <c r="A31" s="81" t="s">
        <v>34</v>
      </c>
      <c r="B31" s="4">
        <f t="shared" si="1"/>
        <v>30</v>
      </c>
      <c r="C31" s="4">
        <v>9</v>
      </c>
      <c r="D31" s="3">
        <v>2024</v>
      </c>
      <c r="E31" s="82">
        <f>Anassa!D32-Anassa!D31</f>
        <v>23918.300000000745</v>
      </c>
      <c r="F31" s="83">
        <f t="shared" si="0"/>
        <v>0.25629999999999997</v>
      </c>
      <c r="G31" s="84">
        <f>Anassa!N31</f>
        <v>0</v>
      </c>
      <c r="H31" s="85">
        <v>0.626</v>
      </c>
      <c r="I31" s="97">
        <f>Anassa!AC31*5.04</f>
        <v>0</v>
      </c>
      <c r="J31" s="98">
        <v>8.2900000000000001E-2</v>
      </c>
      <c r="K31" s="86">
        <f>Anassa!Z31</f>
        <v>31</v>
      </c>
      <c r="L31" s="87">
        <v>1.25</v>
      </c>
      <c r="M31" s="100">
        <f>Anassa!H31</f>
        <v>0</v>
      </c>
      <c r="N31" s="101">
        <v>0.88</v>
      </c>
      <c r="O31" s="88">
        <f>Anassa!AD31</f>
        <v>0</v>
      </c>
      <c r="P31" s="88">
        <f>Anassa!AE31</f>
        <v>0</v>
      </c>
    </row>
    <row r="32" spans="1:16" ht="15" x14ac:dyDescent="0.25">
      <c r="A32" s="81" t="s">
        <v>34</v>
      </c>
      <c r="B32" s="4">
        <f t="shared" si="1"/>
        <v>31</v>
      </c>
      <c r="C32" s="4">
        <v>9</v>
      </c>
      <c r="D32" s="3">
        <v>2024</v>
      </c>
      <c r="E32" s="82">
        <f>Anassa!D33-Anassa!D32</f>
        <v>-13748511</v>
      </c>
      <c r="F32" s="83">
        <f t="shared" si="0"/>
        <v>0.25629999999999997</v>
      </c>
      <c r="G32" s="84">
        <f>Anassa!N32</f>
        <v>3800.0000000000005</v>
      </c>
      <c r="H32" s="85">
        <v>0.626</v>
      </c>
      <c r="I32" s="97">
        <f>Anassa!AC32*5.04</f>
        <v>0</v>
      </c>
      <c r="J32" s="98">
        <v>8.2900000000000001E-2</v>
      </c>
      <c r="K32" s="86">
        <f>Anassa!Z32</f>
        <v>-562447</v>
      </c>
      <c r="L32" s="87">
        <v>1.25</v>
      </c>
      <c r="M32" s="100">
        <f>Anassa!H32</f>
        <v>0</v>
      </c>
      <c r="N32" s="101">
        <v>0.88</v>
      </c>
      <c r="O32" s="88">
        <f>Anassa!AD32</f>
        <v>0</v>
      </c>
      <c r="P32" s="88">
        <f>Anassa!AE32</f>
        <v>0</v>
      </c>
    </row>
    <row r="33" spans="4:16" x14ac:dyDescent="0.2">
      <c r="D33" s="89"/>
      <c r="E33" s="82" t="s">
        <v>35</v>
      </c>
      <c r="F33" s="83"/>
      <c r="I33" s="97"/>
      <c r="J33" s="98"/>
      <c r="K33" s="87"/>
      <c r="L33" s="87"/>
      <c r="O33" s="91"/>
      <c r="P33" s="91"/>
    </row>
    <row r="34" spans="4:16" x14ac:dyDescent="0.2">
      <c r="D34" s="89"/>
      <c r="F34" s="83"/>
      <c r="I34" s="97"/>
      <c r="J34" s="98"/>
      <c r="K34" s="87"/>
      <c r="L34" s="87"/>
      <c r="O34" s="91"/>
      <c r="P34" s="91"/>
    </row>
    <row r="35" spans="4:16" x14ac:dyDescent="0.2">
      <c r="D35" s="89"/>
      <c r="F35" s="83"/>
      <c r="I35" s="97"/>
      <c r="J35" s="98"/>
      <c r="K35" s="87"/>
      <c r="L35" s="87"/>
      <c r="O35" s="91"/>
      <c r="P35" s="91"/>
    </row>
    <row r="36" spans="4:16" x14ac:dyDescent="0.2">
      <c r="D36" s="89"/>
      <c r="F36" s="83"/>
      <c r="I36" s="97"/>
      <c r="J36" s="98"/>
      <c r="K36" s="87"/>
      <c r="L36" s="87"/>
      <c r="O36" s="91"/>
      <c r="P36" s="91"/>
    </row>
    <row r="37" spans="4:16" x14ac:dyDescent="0.2">
      <c r="D37" s="89"/>
      <c r="F37" s="83"/>
      <c r="I37" s="97"/>
      <c r="J37" s="98"/>
      <c r="K37" s="87"/>
      <c r="L37" s="87"/>
      <c r="O37" s="91"/>
      <c r="P37" s="91"/>
    </row>
    <row r="38" spans="4:16" x14ac:dyDescent="0.2">
      <c r="D38" s="89"/>
      <c r="F38" s="83"/>
      <c r="I38" s="97"/>
      <c r="J38" s="98"/>
      <c r="K38" s="87"/>
      <c r="L38" s="87"/>
      <c r="O38" s="91"/>
      <c r="P38" s="91"/>
    </row>
    <row r="39" spans="4:16" x14ac:dyDescent="0.2">
      <c r="D39" s="89"/>
      <c r="F39" s="83"/>
      <c r="I39" s="97"/>
      <c r="J39" s="98"/>
      <c r="K39" s="87"/>
      <c r="L39" s="87"/>
      <c r="O39" s="91"/>
      <c r="P39" s="91"/>
    </row>
    <row r="40" spans="4:16" x14ac:dyDescent="0.2">
      <c r="F40" s="83"/>
      <c r="I40" s="97"/>
      <c r="J40" s="98"/>
    </row>
    <row r="41" spans="4:16" x14ac:dyDescent="0.2">
      <c r="F41" s="83"/>
      <c r="I41" s="97"/>
      <c r="J41" s="98"/>
    </row>
    <row r="42" spans="4:16" x14ac:dyDescent="0.2">
      <c r="F42" s="83"/>
      <c r="I42" s="97"/>
      <c r="J42" s="98"/>
    </row>
    <row r="43" spans="4:16" x14ac:dyDescent="0.2">
      <c r="F43" s="83"/>
      <c r="I43" s="97"/>
      <c r="J43" s="98"/>
    </row>
    <row r="44" spans="4:16" x14ac:dyDescent="0.2">
      <c r="I44" s="97"/>
      <c r="J44" s="9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A2" zoomScale="115" zoomScaleNormal="115" workbookViewId="0">
      <selection activeCell="X33" sqref="X33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49" customFormat="1" ht="90.75" thickTop="1" x14ac:dyDescent="0.2">
      <c r="A1" s="61" t="s">
        <v>1</v>
      </c>
      <c r="B1" s="62" t="s">
        <v>19</v>
      </c>
      <c r="C1" s="37" t="s">
        <v>20</v>
      </c>
      <c r="D1" s="50" t="s">
        <v>12</v>
      </c>
      <c r="E1" s="38" t="s">
        <v>3</v>
      </c>
      <c r="F1" s="39" t="s">
        <v>2</v>
      </c>
      <c r="G1" s="40" t="s">
        <v>8</v>
      </c>
      <c r="H1" s="38" t="s">
        <v>3</v>
      </c>
      <c r="I1" s="41" t="s">
        <v>4</v>
      </c>
      <c r="J1" s="42" t="s">
        <v>5</v>
      </c>
      <c r="K1" s="42" t="s">
        <v>13</v>
      </c>
      <c r="L1" s="51" t="s">
        <v>9</v>
      </c>
      <c r="M1" s="43" t="s">
        <v>7</v>
      </c>
      <c r="N1" s="38" t="s">
        <v>3</v>
      </c>
      <c r="O1" s="41" t="s">
        <v>4</v>
      </c>
      <c r="P1" s="42" t="s">
        <v>5</v>
      </c>
      <c r="Q1" s="42" t="s">
        <v>13</v>
      </c>
      <c r="R1" s="51" t="s">
        <v>14</v>
      </c>
      <c r="S1" s="43" t="s">
        <v>7</v>
      </c>
      <c r="T1" s="38" t="s">
        <v>3</v>
      </c>
      <c r="U1" s="38" t="s">
        <v>21</v>
      </c>
      <c r="V1" s="44" t="s">
        <v>15</v>
      </c>
      <c r="W1" s="59" t="s">
        <v>16</v>
      </c>
      <c r="X1" s="59" t="s">
        <v>17</v>
      </c>
      <c r="Y1" s="60" t="s">
        <v>18</v>
      </c>
      <c r="Z1" s="38" t="s">
        <v>3</v>
      </c>
      <c r="AA1" s="45" t="s">
        <v>10</v>
      </c>
      <c r="AB1" s="46" t="s">
        <v>11</v>
      </c>
      <c r="AC1" s="38" t="s">
        <v>3</v>
      </c>
      <c r="AD1" s="47" t="s">
        <v>0</v>
      </c>
      <c r="AE1" s="48" t="s">
        <v>6</v>
      </c>
    </row>
    <row r="2" spans="1:31" x14ac:dyDescent="0.2">
      <c r="A2" s="11">
        <v>45597</v>
      </c>
      <c r="B2" s="119">
        <v>16107142</v>
      </c>
      <c r="C2" s="120">
        <f>SUM(3914.4+1673779.2+588649+9811.5+236396+24487)</f>
        <v>2537037.0999999996</v>
      </c>
      <c r="D2" s="121">
        <f>B2-C2</f>
        <v>13570104.9</v>
      </c>
      <c r="E2" s="122">
        <f t="shared" ref="E2:E32" si="0">B3-B2</f>
        <v>12215</v>
      </c>
      <c r="F2" s="123">
        <v>10977</v>
      </c>
      <c r="G2" s="124"/>
      <c r="H2" s="122">
        <f>F2+G2-F3</f>
        <v>421</v>
      </c>
      <c r="I2" s="125">
        <v>0.8</v>
      </c>
      <c r="J2" s="126">
        <v>0.8</v>
      </c>
      <c r="K2" s="126">
        <v>0.8</v>
      </c>
      <c r="L2" s="105">
        <f>SUM(I2:K2)/3*7500</f>
        <v>6000.0000000000009</v>
      </c>
      <c r="M2" s="104">
        <v>0</v>
      </c>
      <c r="N2" s="122">
        <f>L2-L3</f>
        <v>125.00000000000091</v>
      </c>
      <c r="O2" s="125">
        <v>0.85</v>
      </c>
      <c r="P2" s="126">
        <v>0.85</v>
      </c>
      <c r="Q2" s="126">
        <v>0.85</v>
      </c>
      <c r="R2" s="105">
        <f>SUM(O2:Q2)/3*1500</f>
        <v>1275</v>
      </c>
      <c r="S2" s="104">
        <v>0</v>
      </c>
      <c r="T2" s="122">
        <f>SUM(R2+S2-R3)</f>
        <v>49.999999999999773</v>
      </c>
      <c r="U2" s="127">
        <f>SUM(N2+T2)</f>
        <v>175.00000000000068</v>
      </c>
      <c r="V2" s="128">
        <v>631116</v>
      </c>
      <c r="W2" s="129">
        <v>57087</v>
      </c>
      <c r="X2" s="129">
        <v>13632</v>
      </c>
      <c r="Y2" s="130">
        <f>SUM(V2-W2-X2)</f>
        <v>560397</v>
      </c>
      <c r="Z2" s="122">
        <f>SUM(Y3-Y2)</f>
        <v>181</v>
      </c>
      <c r="AA2" s="131">
        <v>8000</v>
      </c>
      <c r="AB2" s="132">
        <v>5035</v>
      </c>
      <c r="AC2" s="122">
        <f>SUM(AA2+AB2-AA3)</f>
        <v>1395</v>
      </c>
      <c r="AD2" s="133">
        <v>122</v>
      </c>
      <c r="AE2" s="134">
        <v>263</v>
      </c>
    </row>
    <row r="3" spans="1:31" x14ac:dyDescent="0.2">
      <c r="A3" s="11">
        <v>45598</v>
      </c>
      <c r="B3" s="119">
        <v>16119357</v>
      </c>
      <c r="C3" s="120">
        <f>SUM(3915.6+1674328.6+588649+9812.1+236538+24505)</f>
        <v>2537748.3000000003</v>
      </c>
      <c r="D3" s="121">
        <f t="shared" ref="D3:D33" si="1">B3-C3</f>
        <v>13581608.699999999</v>
      </c>
      <c r="E3" s="135">
        <f t="shared" si="0"/>
        <v>12181</v>
      </c>
      <c r="F3" s="123">
        <v>10556</v>
      </c>
      <c r="G3" s="124"/>
      <c r="H3" s="135">
        <f>F3+G3-F4</f>
        <v>421</v>
      </c>
      <c r="I3" s="125">
        <v>0.75</v>
      </c>
      <c r="J3" s="126">
        <v>0.8</v>
      </c>
      <c r="K3" s="126">
        <v>0.8</v>
      </c>
      <c r="L3" s="105">
        <f>SUM(I3:K3)/3*7500</f>
        <v>5875</v>
      </c>
      <c r="M3" s="104">
        <v>0</v>
      </c>
      <c r="N3" s="122">
        <f>L3-L4</f>
        <v>174.99999999999909</v>
      </c>
      <c r="O3" s="125">
        <v>0.8</v>
      </c>
      <c r="P3" s="126">
        <v>0.8</v>
      </c>
      <c r="Q3" s="126">
        <v>0.85</v>
      </c>
      <c r="R3" s="105">
        <f t="shared" ref="R3:R33" si="2">SUM(O3:Q3)/3*1500</f>
        <v>1225.0000000000002</v>
      </c>
      <c r="S3" s="104">
        <v>0</v>
      </c>
      <c r="T3" s="122">
        <f t="shared" ref="T3:T31" si="3">SUM(R3+S3-R4)</f>
        <v>50.000000000000227</v>
      </c>
      <c r="U3" s="127">
        <f t="shared" ref="U3:U31" si="4">SUM(N3+T3)</f>
        <v>224.99999999999932</v>
      </c>
      <c r="V3" s="128">
        <v>631421</v>
      </c>
      <c r="W3" s="129">
        <v>57199</v>
      </c>
      <c r="X3" s="129">
        <v>13644</v>
      </c>
      <c r="Y3" s="130">
        <f t="shared" ref="Y3:Y33" si="5">SUM(V3-W3-X3)</f>
        <v>560578</v>
      </c>
      <c r="Z3" s="122">
        <f t="shared" ref="Z3:Z32" si="6">SUM(Y4-Y3)</f>
        <v>128</v>
      </c>
      <c r="AA3" s="131">
        <v>11640</v>
      </c>
      <c r="AB3" s="132">
        <v>0</v>
      </c>
      <c r="AC3" s="122">
        <f t="shared" ref="AC3:AC12" si="7">AA3-AA4</f>
        <v>1395</v>
      </c>
      <c r="AD3" s="133">
        <v>85</v>
      </c>
      <c r="AE3" s="134">
        <v>179</v>
      </c>
    </row>
    <row r="4" spans="1:31" x14ac:dyDescent="0.2">
      <c r="A4" s="11">
        <v>45599</v>
      </c>
      <c r="B4" s="119">
        <v>16131538</v>
      </c>
      <c r="C4" s="120">
        <f>SUM(3916.7+1674878.8+588649+9812.7+236682+24530)</f>
        <v>2538469.2000000002</v>
      </c>
      <c r="D4" s="121">
        <f t="shared" si="1"/>
        <v>13593068.800000001</v>
      </c>
      <c r="E4" s="135">
        <f t="shared" si="0"/>
        <v>10451</v>
      </c>
      <c r="F4" s="123">
        <v>10135</v>
      </c>
      <c r="G4" s="124"/>
      <c r="H4" s="135">
        <f t="shared" ref="H4:H29" si="8">F4+G4-F5</f>
        <v>140</v>
      </c>
      <c r="I4" s="125">
        <v>0.75</v>
      </c>
      <c r="J4" s="126">
        <v>0.78</v>
      </c>
      <c r="K4" s="126">
        <v>0.75</v>
      </c>
      <c r="L4" s="105">
        <f t="shared" ref="L4:L33" si="9">SUM(I4:K4)/3*7500</f>
        <v>5700.0000000000009</v>
      </c>
      <c r="M4" s="104">
        <v>0</v>
      </c>
      <c r="N4" s="122">
        <f t="shared" ref="N4:N31" si="10">L4-L5</f>
        <v>275.00000000000182</v>
      </c>
      <c r="O4" s="125">
        <v>0.8</v>
      </c>
      <c r="P4" s="126">
        <v>0.8</v>
      </c>
      <c r="Q4" s="126">
        <v>0.75</v>
      </c>
      <c r="R4" s="105">
        <f t="shared" si="2"/>
        <v>1175</v>
      </c>
      <c r="S4" s="104">
        <v>0</v>
      </c>
      <c r="T4" s="122">
        <f t="shared" si="3"/>
        <v>125.00000000000023</v>
      </c>
      <c r="U4" s="127">
        <f t="shared" si="4"/>
        <v>400.00000000000205</v>
      </c>
      <c r="V4" s="128">
        <v>631676</v>
      </c>
      <c r="W4" s="129">
        <v>57314</v>
      </c>
      <c r="X4" s="129">
        <v>13656</v>
      </c>
      <c r="Y4" s="130">
        <f t="shared" si="5"/>
        <v>560706</v>
      </c>
      <c r="Z4" s="122">
        <f t="shared" si="6"/>
        <v>102</v>
      </c>
      <c r="AA4" s="131">
        <v>10245</v>
      </c>
      <c r="AB4" s="132">
        <v>0</v>
      </c>
      <c r="AC4" s="122">
        <f t="shared" si="7"/>
        <v>1395</v>
      </c>
      <c r="AD4" s="133">
        <v>38</v>
      </c>
      <c r="AE4" s="134">
        <v>80</v>
      </c>
    </row>
    <row r="5" spans="1:31" x14ac:dyDescent="0.2">
      <c r="A5" s="11">
        <v>45600</v>
      </c>
      <c r="B5" s="119">
        <v>16141989</v>
      </c>
      <c r="C5" s="120">
        <f>SUM(3917.4+1675196.6+588649+9812.9+236774+24547)</f>
        <v>2538896.9</v>
      </c>
      <c r="D5" s="121">
        <f t="shared" si="1"/>
        <v>13603092.1</v>
      </c>
      <c r="E5" s="135">
        <f t="shared" si="0"/>
        <v>11003</v>
      </c>
      <c r="F5" s="123">
        <v>9995</v>
      </c>
      <c r="G5" s="124"/>
      <c r="H5" s="135">
        <f t="shared" si="8"/>
        <v>419</v>
      </c>
      <c r="I5" s="125">
        <v>0.7</v>
      </c>
      <c r="J5" s="126">
        <v>0.77</v>
      </c>
      <c r="K5" s="126">
        <v>0.7</v>
      </c>
      <c r="L5" s="105">
        <f t="shared" si="9"/>
        <v>5424.9999999999991</v>
      </c>
      <c r="M5" s="104">
        <v>0</v>
      </c>
      <c r="N5" s="122">
        <f t="shared" si="10"/>
        <v>374.99999999999909</v>
      </c>
      <c r="O5" s="125">
        <v>0.7</v>
      </c>
      <c r="P5" s="126">
        <v>0.7</v>
      </c>
      <c r="Q5" s="126">
        <v>0.7</v>
      </c>
      <c r="R5" s="105">
        <f t="shared" si="2"/>
        <v>1049.9999999999998</v>
      </c>
      <c r="S5" s="104">
        <v>0</v>
      </c>
      <c r="T5" s="122">
        <f t="shared" si="3"/>
        <v>59.999999999999773</v>
      </c>
      <c r="U5" s="127">
        <f t="shared" si="4"/>
        <v>434.99999999999886</v>
      </c>
      <c r="V5" s="128">
        <v>631857</v>
      </c>
      <c r="W5" s="129">
        <v>57386</v>
      </c>
      <c r="X5" s="129">
        <v>13663</v>
      </c>
      <c r="Y5" s="130">
        <f t="shared" si="5"/>
        <v>560808</v>
      </c>
      <c r="Z5" s="122">
        <f t="shared" si="6"/>
        <v>82</v>
      </c>
      <c r="AA5" s="131">
        <v>8850</v>
      </c>
      <c r="AB5" s="132">
        <v>0</v>
      </c>
      <c r="AC5" s="122">
        <f t="shared" si="7"/>
        <v>1395</v>
      </c>
      <c r="AD5" s="133">
        <v>40</v>
      </c>
      <c r="AE5" s="134">
        <v>74</v>
      </c>
    </row>
    <row r="6" spans="1:31" x14ac:dyDescent="0.2">
      <c r="A6" s="11">
        <v>45601</v>
      </c>
      <c r="B6" s="119">
        <v>16152992</v>
      </c>
      <c r="C6" s="120">
        <f>SUM(3918.3+1675659.8+588649+9813.9+236894+24568)</f>
        <v>2539503</v>
      </c>
      <c r="D6" s="121">
        <f t="shared" si="1"/>
        <v>13613489</v>
      </c>
      <c r="E6" s="135">
        <f t="shared" si="0"/>
        <v>9503</v>
      </c>
      <c r="F6" s="123">
        <v>9576</v>
      </c>
      <c r="G6" s="124"/>
      <c r="H6" s="135">
        <f t="shared" si="8"/>
        <v>555</v>
      </c>
      <c r="I6" s="125">
        <v>0.66</v>
      </c>
      <c r="J6" s="126">
        <v>0.68</v>
      </c>
      <c r="K6" s="126">
        <v>0.68</v>
      </c>
      <c r="L6" s="105">
        <f t="shared" si="9"/>
        <v>5050</v>
      </c>
      <c r="M6" s="104">
        <v>0</v>
      </c>
      <c r="N6" s="122">
        <f t="shared" si="10"/>
        <v>150</v>
      </c>
      <c r="O6" s="125">
        <v>0.65</v>
      </c>
      <c r="P6" s="126">
        <v>0.65</v>
      </c>
      <c r="Q6" s="126">
        <v>0.68</v>
      </c>
      <c r="R6" s="105">
        <f t="shared" si="2"/>
        <v>990</v>
      </c>
      <c r="S6" s="104">
        <v>0</v>
      </c>
      <c r="T6" s="122">
        <f t="shared" si="3"/>
        <v>80.000000000000114</v>
      </c>
      <c r="U6" s="127">
        <f t="shared" si="4"/>
        <v>230.00000000000011</v>
      </c>
      <c r="V6" s="128">
        <v>632036</v>
      </c>
      <c r="W6" s="129">
        <v>57474</v>
      </c>
      <c r="X6" s="129">
        <v>13672</v>
      </c>
      <c r="Y6" s="130">
        <f t="shared" si="5"/>
        <v>560890</v>
      </c>
      <c r="Z6" s="122">
        <f t="shared" si="6"/>
        <v>119</v>
      </c>
      <c r="AA6" s="131">
        <v>7455</v>
      </c>
      <c r="AB6" s="132">
        <v>0</v>
      </c>
      <c r="AC6" s="122">
        <f>SUM(AA6+AB6-AA7)</f>
        <v>1395</v>
      </c>
      <c r="AD6" s="133">
        <v>32</v>
      </c>
      <c r="AE6" s="134">
        <v>58</v>
      </c>
    </row>
    <row r="7" spans="1:31" x14ac:dyDescent="0.2">
      <c r="A7" s="11">
        <v>45602</v>
      </c>
      <c r="B7" s="119">
        <v>16162495</v>
      </c>
      <c r="C7" s="120">
        <f>SUM(3919+1676008.6+588649+9814.6+236982+24585)</f>
        <v>2539958.2000000002</v>
      </c>
      <c r="D7" s="121">
        <f>B7-C7</f>
        <v>13622536.800000001</v>
      </c>
      <c r="E7" s="135">
        <f t="shared" si="0"/>
        <v>10195</v>
      </c>
      <c r="F7" s="123">
        <v>9021</v>
      </c>
      <c r="G7" s="124"/>
      <c r="H7" s="135">
        <f t="shared" si="8"/>
        <v>276</v>
      </c>
      <c r="I7" s="125">
        <v>0.65</v>
      </c>
      <c r="J7" s="126">
        <v>0.65</v>
      </c>
      <c r="K7" s="126">
        <v>0.66</v>
      </c>
      <c r="L7" s="105">
        <f t="shared" si="9"/>
        <v>4900</v>
      </c>
      <c r="M7" s="104">
        <v>0</v>
      </c>
      <c r="N7" s="122">
        <f t="shared" si="10"/>
        <v>150</v>
      </c>
      <c r="O7" s="125">
        <v>0.6</v>
      </c>
      <c r="P7" s="126">
        <v>0.6</v>
      </c>
      <c r="Q7" s="126">
        <v>0.62</v>
      </c>
      <c r="R7" s="105">
        <f t="shared" si="2"/>
        <v>909.99999999999989</v>
      </c>
      <c r="S7" s="104">
        <v>0</v>
      </c>
      <c r="T7" s="122">
        <f t="shared" si="3"/>
        <v>44.999999999999886</v>
      </c>
      <c r="U7" s="127">
        <f t="shared" si="4"/>
        <v>194.99999999999989</v>
      </c>
      <c r="V7" s="128">
        <v>632233</v>
      </c>
      <c r="W7" s="129">
        <v>57543</v>
      </c>
      <c r="X7" s="129">
        <v>13681</v>
      </c>
      <c r="Y7" s="130">
        <f t="shared" si="5"/>
        <v>561009</v>
      </c>
      <c r="Z7" s="122">
        <f t="shared" si="6"/>
        <v>270</v>
      </c>
      <c r="AA7" s="131">
        <v>6060</v>
      </c>
      <c r="AB7" s="132">
        <v>0</v>
      </c>
      <c r="AC7" s="122">
        <f t="shared" si="7"/>
        <v>1395</v>
      </c>
      <c r="AD7" s="133">
        <v>22</v>
      </c>
      <c r="AE7" s="134">
        <v>39</v>
      </c>
    </row>
    <row r="8" spans="1:31" x14ac:dyDescent="0.2">
      <c r="A8" s="11">
        <v>45603</v>
      </c>
      <c r="B8" s="119">
        <v>16172690</v>
      </c>
      <c r="C8" s="120">
        <f>SUM(3919.9+1676412.6+588649+9814.9+237088+24607)</f>
        <v>2540491.4</v>
      </c>
      <c r="D8" s="121">
        <f t="shared" si="1"/>
        <v>13632198.6</v>
      </c>
      <c r="E8" s="135">
        <f t="shared" si="0"/>
        <v>9253</v>
      </c>
      <c r="F8" s="123">
        <v>8745</v>
      </c>
      <c r="G8" s="124"/>
      <c r="H8" s="135">
        <f t="shared" si="8"/>
        <v>686</v>
      </c>
      <c r="I8" s="125">
        <v>0.6</v>
      </c>
      <c r="J8" s="126">
        <v>0.65</v>
      </c>
      <c r="K8" s="126">
        <v>0.65</v>
      </c>
      <c r="L8" s="105">
        <f t="shared" si="9"/>
        <v>4750</v>
      </c>
      <c r="M8" s="104">
        <v>0</v>
      </c>
      <c r="N8" s="122">
        <f t="shared" si="10"/>
        <v>200.00000000000091</v>
      </c>
      <c r="O8" s="125">
        <v>0.57999999999999996</v>
      </c>
      <c r="P8" s="126">
        <v>0.55000000000000004</v>
      </c>
      <c r="Q8" s="126">
        <v>0.6</v>
      </c>
      <c r="R8" s="105">
        <f t="shared" si="2"/>
        <v>865</v>
      </c>
      <c r="S8" s="104">
        <v>0</v>
      </c>
      <c r="T8" s="122">
        <f t="shared" si="3"/>
        <v>85</v>
      </c>
      <c r="U8" s="127">
        <f t="shared" si="4"/>
        <v>285.00000000000091</v>
      </c>
      <c r="V8" s="128">
        <v>632598</v>
      </c>
      <c r="W8" s="129">
        <v>57630</v>
      </c>
      <c r="X8" s="129">
        <v>13689</v>
      </c>
      <c r="Y8" s="130">
        <f t="shared" si="5"/>
        <v>561279</v>
      </c>
      <c r="Z8" s="122">
        <f t="shared" si="6"/>
        <v>91</v>
      </c>
      <c r="AA8" s="131">
        <v>4665</v>
      </c>
      <c r="AB8" s="132">
        <v>8000</v>
      </c>
      <c r="AC8" s="122">
        <f>SUM(AA8+AB8-AA9)</f>
        <v>1395</v>
      </c>
      <c r="AD8" s="133">
        <v>54</v>
      </c>
      <c r="AE8" s="134">
        <v>73</v>
      </c>
    </row>
    <row r="9" spans="1:31" x14ac:dyDescent="0.2">
      <c r="A9" s="11">
        <v>45604</v>
      </c>
      <c r="B9" s="119">
        <v>16181943</v>
      </c>
      <c r="C9" s="120">
        <f>SUM(3920.6+1676819.7+588644+9815.4+237178+24626)</f>
        <v>2541003.6999999997</v>
      </c>
      <c r="D9" s="121">
        <f t="shared" si="1"/>
        <v>13640939.300000001</v>
      </c>
      <c r="E9" s="135">
        <f t="shared" si="0"/>
        <v>10868</v>
      </c>
      <c r="F9" s="123">
        <v>8059</v>
      </c>
      <c r="G9" s="124"/>
      <c r="H9" s="135">
        <f t="shared" si="8"/>
        <v>676</v>
      </c>
      <c r="I9" s="125">
        <v>0.6</v>
      </c>
      <c r="J9" s="126">
        <v>0.6</v>
      </c>
      <c r="K9" s="126">
        <v>0.62</v>
      </c>
      <c r="L9" s="105">
        <f t="shared" si="9"/>
        <v>4549.9999999999991</v>
      </c>
      <c r="M9" s="104">
        <v>0</v>
      </c>
      <c r="N9" s="122">
        <f t="shared" si="10"/>
        <v>174.99999999999909</v>
      </c>
      <c r="O9" s="125">
        <v>0.52</v>
      </c>
      <c r="P9" s="126">
        <v>0.52</v>
      </c>
      <c r="Q9" s="126">
        <v>0.52</v>
      </c>
      <c r="R9" s="105">
        <f t="shared" si="2"/>
        <v>780</v>
      </c>
      <c r="S9" s="104">
        <v>0</v>
      </c>
      <c r="T9" s="122">
        <f t="shared" si="3"/>
        <v>30</v>
      </c>
      <c r="U9" s="127">
        <f t="shared" si="4"/>
        <v>204.99999999999909</v>
      </c>
      <c r="V9" s="128">
        <v>632768</v>
      </c>
      <c r="W9" s="129">
        <v>57702</v>
      </c>
      <c r="X9" s="129">
        <v>13696</v>
      </c>
      <c r="Y9" s="130">
        <f t="shared" si="5"/>
        <v>561370</v>
      </c>
      <c r="Z9" s="122">
        <f t="shared" si="6"/>
        <v>107</v>
      </c>
      <c r="AA9" s="131">
        <v>11270</v>
      </c>
      <c r="AB9" s="132">
        <v>0</v>
      </c>
      <c r="AC9" s="122">
        <f t="shared" si="7"/>
        <v>1395</v>
      </c>
      <c r="AD9" s="133">
        <v>60</v>
      </c>
      <c r="AE9" s="134">
        <v>97</v>
      </c>
    </row>
    <row r="10" spans="1:31" x14ac:dyDescent="0.2">
      <c r="A10" s="11">
        <v>45605</v>
      </c>
      <c r="B10" s="119">
        <v>16192811</v>
      </c>
      <c r="C10" s="120">
        <f>SUM(3921.5+1677220.8+588655+9816.5+237284+24645)</f>
        <v>2541542.7999999998</v>
      </c>
      <c r="D10" s="121">
        <f t="shared" si="1"/>
        <v>13651268.199999999</v>
      </c>
      <c r="E10" s="135">
        <f t="shared" si="0"/>
        <v>9616</v>
      </c>
      <c r="F10" s="123">
        <v>7383</v>
      </c>
      <c r="G10" s="124"/>
      <c r="H10" s="135">
        <f t="shared" si="8"/>
        <v>1060</v>
      </c>
      <c r="I10" s="125">
        <v>0.6</v>
      </c>
      <c r="J10" s="126">
        <v>0.6</v>
      </c>
      <c r="K10" s="126">
        <v>0.55000000000000004</v>
      </c>
      <c r="L10" s="105">
        <f t="shared" si="9"/>
        <v>4375</v>
      </c>
      <c r="M10" s="104">
        <v>0</v>
      </c>
      <c r="N10" s="122">
        <f t="shared" si="10"/>
        <v>150</v>
      </c>
      <c r="O10" s="125">
        <v>0.5</v>
      </c>
      <c r="P10" s="126">
        <v>0.5</v>
      </c>
      <c r="Q10" s="126">
        <v>0.5</v>
      </c>
      <c r="R10" s="105">
        <f t="shared" si="2"/>
        <v>750</v>
      </c>
      <c r="S10" s="104">
        <v>0</v>
      </c>
      <c r="T10" s="122">
        <f t="shared" si="3"/>
        <v>25</v>
      </c>
      <c r="U10" s="127">
        <f t="shared" si="4"/>
        <v>175</v>
      </c>
      <c r="V10" s="128">
        <v>632966</v>
      </c>
      <c r="W10" s="129">
        <v>57785</v>
      </c>
      <c r="X10" s="129">
        <v>13704</v>
      </c>
      <c r="Y10" s="130">
        <f t="shared" si="5"/>
        <v>561477</v>
      </c>
      <c r="Z10" s="122">
        <f t="shared" si="6"/>
        <v>87</v>
      </c>
      <c r="AA10" s="131">
        <v>9875</v>
      </c>
      <c r="AB10" s="132">
        <v>0</v>
      </c>
      <c r="AC10" s="122">
        <f t="shared" si="7"/>
        <v>1395</v>
      </c>
      <c r="AD10" s="133">
        <v>29</v>
      </c>
      <c r="AE10" s="134">
        <v>55</v>
      </c>
    </row>
    <row r="11" spans="1:31" x14ac:dyDescent="0.2">
      <c r="A11" s="11">
        <v>45606</v>
      </c>
      <c r="B11" s="119">
        <v>16202427</v>
      </c>
      <c r="C11" s="120">
        <f>SUM(3922.2+1677572.4+588655+9816.9+237379+24663)</f>
        <v>2542008.4999999995</v>
      </c>
      <c r="D11" s="121">
        <f t="shared" si="1"/>
        <v>13660418.5</v>
      </c>
      <c r="E11" s="135">
        <f t="shared" si="0"/>
        <v>8802</v>
      </c>
      <c r="F11" s="123">
        <v>6323</v>
      </c>
      <c r="G11" s="124"/>
      <c r="H11" s="135">
        <f t="shared" si="8"/>
        <v>277</v>
      </c>
      <c r="I11" s="125">
        <v>0.6</v>
      </c>
      <c r="J11" s="126">
        <v>0.55000000000000004</v>
      </c>
      <c r="K11" s="126">
        <v>0.54</v>
      </c>
      <c r="L11" s="105">
        <f t="shared" si="9"/>
        <v>4225</v>
      </c>
      <c r="M11" s="104">
        <v>0</v>
      </c>
      <c r="N11" s="122">
        <f t="shared" si="10"/>
        <v>75</v>
      </c>
      <c r="O11" s="125">
        <v>0.5</v>
      </c>
      <c r="P11" s="126">
        <v>0.5</v>
      </c>
      <c r="Q11" s="126">
        <v>0.45</v>
      </c>
      <c r="R11" s="105">
        <f t="shared" si="2"/>
        <v>725</v>
      </c>
      <c r="S11" s="104">
        <v>0</v>
      </c>
      <c r="T11" s="122">
        <f t="shared" si="3"/>
        <v>50</v>
      </c>
      <c r="U11" s="127">
        <f t="shared" si="4"/>
        <v>125</v>
      </c>
      <c r="V11" s="128">
        <v>633137</v>
      </c>
      <c r="W11" s="129">
        <v>57862</v>
      </c>
      <c r="X11" s="129">
        <v>13711</v>
      </c>
      <c r="Y11" s="130">
        <f t="shared" si="5"/>
        <v>561564</v>
      </c>
      <c r="Z11" s="122">
        <f t="shared" si="6"/>
        <v>73</v>
      </c>
      <c r="AA11" s="131">
        <v>8480</v>
      </c>
      <c r="AB11" s="132">
        <v>0</v>
      </c>
      <c r="AC11" s="122">
        <f t="shared" si="7"/>
        <v>8480</v>
      </c>
      <c r="AD11" s="133">
        <v>6</v>
      </c>
      <c r="AE11" s="134">
        <v>10</v>
      </c>
    </row>
    <row r="12" spans="1:31" x14ac:dyDescent="0.2">
      <c r="A12" s="11">
        <v>45607</v>
      </c>
      <c r="B12" s="119">
        <v>16211229</v>
      </c>
      <c r="C12" s="120">
        <f>SUM(3922.9+1677903.8+588655+9817.5+237472+24680)</f>
        <v>2542451.2000000002</v>
      </c>
      <c r="D12" s="121">
        <f t="shared" si="1"/>
        <v>13668777.800000001</v>
      </c>
      <c r="E12" s="135">
        <f t="shared" si="0"/>
        <v>5826</v>
      </c>
      <c r="F12" s="123">
        <v>6046</v>
      </c>
      <c r="G12" s="124"/>
      <c r="H12" s="135">
        <f t="shared" si="8"/>
        <v>368</v>
      </c>
      <c r="I12" s="125">
        <v>0.56999999999999995</v>
      </c>
      <c r="J12" s="126">
        <v>0.55000000000000004</v>
      </c>
      <c r="K12" s="126">
        <v>0.54</v>
      </c>
      <c r="L12" s="105">
        <f t="shared" si="9"/>
        <v>4150</v>
      </c>
      <c r="M12" s="104">
        <v>0</v>
      </c>
      <c r="N12" s="122">
        <f t="shared" si="10"/>
        <v>124.99999999999955</v>
      </c>
      <c r="O12" s="125">
        <v>0.45</v>
      </c>
      <c r="P12" s="126">
        <v>0.45</v>
      </c>
      <c r="Q12" s="126">
        <v>0.45</v>
      </c>
      <c r="R12" s="105">
        <f t="shared" si="2"/>
        <v>675</v>
      </c>
      <c r="S12" s="104">
        <v>0</v>
      </c>
      <c r="T12" s="122">
        <f t="shared" si="3"/>
        <v>74.999999999999886</v>
      </c>
      <c r="U12" s="127">
        <f t="shared" si="4"/>
        <v>199.99999999999943</v>
      </c>
      <c r="V12" s="128">
        <v>633292</v>
      </c>
      <c r="W12" s="129">
        <v>57936</v>
      </c>
      <c r="X12" s="129">
        <v>13719</v>
      </c>
      <c r="Y12" s="130">
        <f t="shared" si="5"/>
        <v>561637</v>
      </c>
      <c r="Z12" s="122">
        <f t="shared" si="6"/>
        <v>49</v>
      </c>
      <c r="AA12" s="131">
        <v>0</v>
      </c>
      <c r="AB12" s="132">
        <v>0</v>
      </c>
      <c r="AC12" s="122">
        <f t="shared" si="7"/>
        <v>0</v>
      </c>
      <c r="AD12" s="133">
        <v>10</v>
      </c>
      <c r="AE12" s="134">
        <v>15</v>
      </c>
    </row>
    <row r="13" spans="1:31" x14ac:dyDescent="0.2">
      <c r="A13" s="11">
        <v>45608</v>
      </c>
      <c r="B13" s="119">
        <v>16217055</v>
      </c>
      <c r="C13" s="120">
        <f>SUM(3923.7+1678233.4+888655+9818.2+237568+24697)</f>
        <v>2842895.3</v>
      </c>
      <c r="D13" s="121">
        <f t="shared" si="1"/>
        <v>13374159.699999999</v>
      </c>
      <c r="E13" s="135">
        <f t="shared" si="0"/>
        <v>4567</v>
      </c>
      <c r="F13" s="123">
        <v>5678</v>
      </c>
      <c r="G13" s="124"/>
      <c r="H13" s="135">
        <f t="shared" si="8"/>
        <v>254</v>
      </c>
      <c r="I13" s="125">
        <v>0.55000000000000004</v>
      </c>
      <c r="J13" s="126">
        <v>0.52</v>
      </c>
      <c r="K13" s="126">
        <v>0.54</v>
      </c>
      <c r="L13" s="105">
        <f t="shared" si="9"/>
        <v>4025.0000000000005</v>
      </c>
      <c r="M13" s="104">
        <v>0</v>
      </c>
      <c r="N13" s="122">
        <f t="shared" si="10"/>
        <v>50.000000000000455</v>
      </c>
      <c r="O13" s="125">
        <v>0.4</v>
      </c>
      <c r="P13" s="126">
        <v>0.4</v>
      </c>
      <c r="Q13" s="126">
        <v>0.4</v>
      </c>
      <c r="R13" s="105">
        <f t="shared" si="2"/>
        <v>600.00000000000011</v>
      </c>
      <c r="S13" s="104">
        <v>0</v>
      </c>
      <c r="T13" s="122">
        <f t="shared" si="3"/>
        <v>0</v>
      </c>
      <c r="U13" s="127">
        <f t="shared" si="4"/>
        <v>50.000000000000455</v>
      </c>
      <c r="V13" s="128">
        <v>633420</v>
      </c>
      <c r="W13" s="129">
        <v>58007</v>
      </c>
      <c r="X13" s="129">
        <v>13727</v>
      </c>
      <c r="Y13" s="130">
        <f t="shared" si="5"/>
        <v>561686</v>
      </c>
      <c r="Z13" s="122">
        <f t="shared" si="6"/>
        <v>44</v>
      </c>
      <c r="AA13" s="131">
        <v>0</v>
      </c>
      <c r="AB13" s="132">
        <v>0</v>
      </c>
      <c r="AC13" s="122">
        <f>AA13+AB13-AA14</f>
        <v>0</v>
      </c>
      <c r="AD13" s="133">
        <v>0</v>
      </c>
      <c r="AE13" s="134">
        <v>0</v>
      </c>
    </row>
    <row r="14" spans="1:31" x14ac:dyDescent="0.2">
      <c r="A14" s="11">
        <v>45609</v>
      </c>
      <c r="B14" s="119">
        <v>16221622</v>
      </c>
      <c r="C14" s="120">
        <f>SUM(3924.5+1678613.8+588655+9819.3+237668+24718)</f>
        <v>2543398.5999999996</v>
      </c>
      <c r="D14" s="121">
        <f t="shared" si="1"/>
        <v>13678223.4</v>
      </c>
      <c r="E14" s="135">
        <f t="shared" si="0"/>
        <v>3890</v>
      </c>
      <c r="F14" s="123">
        <v>5424</v>
      </c>
      <c r="G14" s="124"/>
      <c r="H14" s="135">
        <f t="shared" si="8"/>
        <v>24</v>
      </c>
      <c r="I14" s="125">
        <v>0.54</v>
      </c>
      <c r="J14" s="126">
        <v>0.52</v>
      </c>
      <c r="K14" s="126">
        <v>0.53</v>
      </c>
      <c r="L14" s="105">
        <f t="shared" si="9"/>
        <v>3975</v>
      </c>
      <c r="M14" s="104">
        <v>0</v>
      </c>
      <c r="N14" s="122">
        <f t="shared" si="10"/>
        <v>50</v>
      </c>
      <c r="O14" s="125">
        <v>0.4</v>
      </c>
      <c r="P14" s="126">
        <v>0.4</v>
      </c>
      <c r="Q14" s="126">
        <v>0.4</v>
      </c>
      <c r="R14" s="105">
        <f t="shared" si="2"/>
        <v>600.00000000000011</v>
      </c>
      <c r="S14" s="104">
        <v>0</v>
      </c>
      <c r="T14" s="122">
        <f t="shared" si="3"/>
        <v>0</v>
      </c>
      <c r="U14" s="127">
        <f t="shared" si="4"/>
        <v>50</v>
      </c>
      <c r="V14" s="128">
        <v>633551</v>
      </c>
      <c r="W14" s="129">
        <v>58085</v>
      </c>
      <c r="X14" s="129">
        <v>13736</v>
      </c>
      <c r="Y14" s="130">
        <f t="shared" si="5"/>
        <v>561730</v>
      </c>
      <c r="Z14" s="122">
        <f t="shared" si="6"/>
        <v>34</v>
      </c>
      <c r="AA14" s="131">
        <v>0</v>
      </c>
      <c r="AB14" s="132">
        <v>0</v>
      </c>
      <c r="AC14" s="122">
        <f>AA14-AA15</f>
        <v>0</v>
      </c>
      <c r="AD14" s="133">
        <v>0</v>
      </c>
      <c r="AE14" s="134">
        <v>0</v>
      </c>
    </row>
    <row r="15" spans="1:31" x14ac:dyDescent="0.2">
      <c r="A15" s="11">
        <v>45610</v>
      </c>
      <c r="B15" s="119">
        <v>16225512</v>
      </c>
      <c r="C15" s="120">
        <f>SUM(3925.3+1678998+588655+9820.1+237773+24741)</f>
        <v>2543912.4</v>
      </c>
      <c r="D15" s="121">
        <f t="shared" si="1"/>
        <v>13681599.6</v>
      </c>
      <c r="E15" s="135">
        <f t="shared" si="0"/>
        <v>3424</v>
      </c>
      <c r="F15" s="123">
        <v>5400</v>
      </c>
      <c r="G15" s="124"/>
      <c r="H15" s="135">
        <f t="shared" si="8"/>
        <v>-150</v>
      </c>
      <c r="I15" s="125">
        <v>0.52</v>
      </c>
      <c r="J15" s="126">
        <v>0.52</v>
      </c>
      <c r="K15" s="126">
        <v>0.53</v>
      </c>
      <c r="L15" s="105">
        <f t="shared" si="9"/>
        <v>3925</v>
      </c>
      <c r="M15" s="104">
        <v>0</v>
      </c>
      <c r="N15" s="122">
        <f t="shared" si="10"/>
        <v>25</v>
      </c>
      <c r="O15" s="125">
        <v>0.4</v>
      </c>
      <c r="P15" s="126">
        <v>0.4</v>
      </c>
      <c r="Q15" s="126">
        <v>0.4</v>
      </c>
      <c r="R15" s="105">
        <f t="shared" si="2"/>
        <v>600.00000000000011</v>
      </c>
      <c r="S15" s="104">
        <v>0</v>
      </c>
      <c r="T15" s="122">
        <f t="shared" si="3"/>
        <v>0</v>
      </c>
      <c r="U15" s="127">
        <f t="shared" si="4"/>
        <v>25</v>
      </c>
      <c r="V15" s="128">
        <v>633678</v>
      </c>
      <c r="W15" s="129">
        <v>58169</v>
      </c>
      <c r="X15" s="129">
        <v>13745</v>
      </c>
      <c r="Y15" s="130">
        <f t="shared" si="5"/>
        <v>561764</v>
      </c>
      <c r="Z15" s="122">
        <f t="shared" si="6"/>
        <v>35</v>
      </c>
      <c r="AA15" s="131">
        <v>0</v>
      </c>
      <c r="AB15" s="132">
        <v>0</v>
      </c>
      <c r="AC15" s="122">
        <f t="shared" ref="AC15:AC20" si="11">AA15-AA16</f>
        <v>0</v>
      </c>
      <c r="AD15" s="133">
        <v>0</v>
      </c>
      <c r="AE15" s="134">
        <v>0</v>
      </c>
    </row>
    <row r="16" spans="1:31" x14ac:dyDescent="0.2">
      <c r="A16" s="11">
        <v>45611</v>
      </c>
      <c r="B16" s="119">
        <v>16228936</v>
      </c>
      <c r="C16" s="120">
        <f>SUM(3926+1679303.9+588655+9820.6+237861+24758)</f>
        <v>2544324.5</v>
      </c>
      <c r="D16" s="121">
        <f t="shared" si="1"/>
        <v>13684611.5</v>
      </c>
      <c r="E16" s="135">
        <f t="shared" si="0"/>
        <v>3878</v>
      </c>
      <c r="F16" s="123">
        <v>5550</v>
      </c>
      <c r="G16" s="124"/>
      <c r="H16" s="135">
        <f t="shared" si="8"/>
        <v>0</v>
      </c>
      <c r="I16" s="125">
        <v>0.52</v>
      </c>
      <c r="J16" s="126">
        <v>0.52</v>
      </c>
      <c r="K16" s="126">
        <v>0.52</v>
      </c>
      <c r="L16" s="105">
        <f t="shared" si="9"/>
        <v>3900</v>
      </c>
      <c r="M16" s="104">
        <v>0</v>
      </c>
      <c r="N16" s="122">
        <f t="shared" si="10"/>
        <v>0</v>
      </c>
      <c r="O16" s="125">
        <v>0.4</v>
      </c>
      <c r="P16" s="126">
        <v>0.4</v>
      </c>
      <c r="Q16" s="126">
        <v>0.4</v>
      </c>
      <c r="R16" s="105">
        <f t="shared" si="2"/>
        <v>600.00000000000011</v>
      </c>
      <c r="S16" s="104">
        <v>0</v>
      </c>
      <c r="T16" s="122">
        <f t="shared" si="3"/>
        <v>10.000000000000114</v>
      </c>
      <c r="U16" s="127">
        <f t="shared" si="4"/>
        <v>10.000000000000114</v>
      </c>
      <c r="V16" s="128">
        <v>633790</v>
      </c>
      <c r="W16" s="129">
        <v>58237</v>
      </c>
      <c r="X16" s="129">
        <v>13754</v>
      </c>
      <c r="Y16" s="130">
        <f t="shared" si="5"/>
        <v>561799</v>
      </c>
      <c r="Z16" s="122">
        <f t="shared" si="6"/>
        <v>31</v>
      </c>
      <c r="AA16" s="131">
        <v>0</v>
      </c>
      <c r="AB16" s="132">
        <v>0</v>
      </c>
      <c r="AC16" s="122">
        <f t="shared" si="11"/>
        <v>0</v>
      </c>
      <c r="AD16" s="133">
        <v>0</v>
      </c>
      <c r="AE16" s="134">
        <v>0</v>
      </c>
    </row>
    <row r="17" spans="1:31" x14ac:dyDescent="0.2">
      <c r="A17" s="11">
        <v>45612</v>
      </c>
      <c r="B17" s="119">
        <v>16232814</v>
      </c>
      <c r="C17" s="120">
        <f>SUM(3927+1679714.1+588655+9821.2+237969+24779)</f>
        <v>2544865.3000000003</v>
      </c>
      <c r="D17" s="121">
        <f t="shared" si="1"/>
        <v>13687948.699999999</v>
      </c>
      <c r="E17" s="135">
        <f t="shared" si="0"/>
        <v>3084</v>
      </c>
      <c r="F17" s="123">
        <v>5550</v>
      </c>
      <c r="G17" s="124"/>
      <c r="H17" s="135">
        <f t="shared" si="8"/>
        <v>0</v>
      </c>
      <c r="I17" s="125">
        <v>0.52</v>
      </c>
      <c r="J17" s="126">
        <v>0.52</v>
      </c>
      <c r="K17" s="126">
        <v>0.52</v>
      </c>
      <c r="L17" s="105">
        <f t="shared" si="9"/>
        <v>3900</v>
      </c>
      <c r="M17" s="104">
        <v>0</v>
      </c>
      <c r="N17" s="122">
        <f t="shared" si="10"/>
        <v>0</v>
      </c>
      <c r="O17" s="125">
        <v>0.4</v>
      </c>
      <c r="P17" s="126">
        <v>0.39</v>
      </c>
      <c r="Q17" s="126">
        <v>0.39</v>
      </c>
      <c r="R17" s="105">
        <f t="shared" si="2"/>
        <v>590</v>
      </c>
      <c r="S17" s="104">
        <v>0</v>
      </c>
      <c r="T17" s="122">
        <f t="shared" si="3"/>
        <v>5.0000000000001137</v>
      </c>
      <c r="U17" s="127">
        <f t="shared" si="4"/>
        <v>5.0000000000001137</v>
      </c>
      <c r="V17" s="128">
        <v>633913</v>
      </c>
      <c r="W17" s="129">
        <v>58320</v>
      </c>
      <c r="X17" s="129">
        <v>13763</v>
      </c>
      <c r="Y17" s="130">
        <f t="shared" si="5"/>
        <v>561830</v>
      </c>
      <c r="Z17" s="122">
        <f t="shared" si="6"/>
        <v>13</v>
      </c>
      <c r="AA17" s="131">
        <v>0</v>
      </c>
      <c r="AB17" s="132">
        <v>0</v>
      </c>
      <c r="AC17" s="122">
        <f t="shared" si="11"/>
        <v>0</v>
      </c>
      <c r="AD17" s="133">
        <v>0</v>
      </c>
      <c r="AE17" s="134">
        <v>0</v>
      </c>
    </row>
    <row r="18" spans="1:31" x14ac:dyDescent="0.2">
      <c r="A18" s="11">
        <v>45613</v>
      </c>
      <c r="B18" s="119">
        <v>16235898</v>
      </c>
      <c r="C18" s="120">
        <f>SUM(3927.7+1680026.9+588655+9822.6+238054+24792)</f>
        <v>2545278.1999999997</v>
      </c>
      <c r="D18" s="121">
        <f t="shared" si="1"/>
        <v>13690619.800000001</v>
      </c>
      <c r="E18" s="135">
        <f t="shared" si="0"/>
        <v>2968</v>
      </c>
      <c r="F18" s="123">
        <v>5550</v>
      </c>
      <c r="G18" s="124"/>
      <c r="H18" s="135">
        <f t="shared" si="8"/>
        <v>0</v>
      </c>
      <c r="I18" s="125">
        <v>0.52</v>
      </c>
      <c r="J18" s="126">
        <v>0.52</v>
      </c>
      <c r="K18" s="126">
        <v>0.52</v>
      </c>
      <c r="L18" s="105">
        <f t="shared" si="9"/>
        <v>3900</v>
      </c>
      <c r="M18" s="104">
        <v>0</v>
      </c>
      <c r="N18" s="122">
        <f t="shared" si="10"/>
        <v>0</v>
      </c>
      <c r="O18" s="125">
        <v>0.4</v>
      </c>
      <c r="P18" s="126">
        <v>0.39</v>
      </c>
      <c r="Q18" s="126">
        <v>0.38</v>
      </c>
      <c r="R18" s="105">
        <f t="shared" si="2"/>
        <v>584.99999999999989</v>
      </c>
      <c r="S18" s="104">
        <v>0</v>
      </c>
      <c r="T18" s="122">
        <f t="shared" si="3"/>
        <v>4.9999999999997726</v>
      </c>
      <c r="U18" s="127">
        <f t="shared" si="4"/>
        <v>4.9999999999997726</v>
      </c>
      <c r="V18" s="128">
        <v>634004</v>
      </c>
      <c r="W18" s="129">
        <v>58391</v>
      </c>
      <c r="X18" s="129">
        <v>13770</v>
      </c>
      <c r="Y18" s="130">
        <f t="shared" si="5"/>
        <v>561843</v>
      </c>
      <c r="Z18" s="122">
        <f t="shared" si="6"/>
        <v>20</v>
      </c>
      <c r="AA18" s="131">
        <v>0</v>
      </c>
      <c r="AB18" s="132">
        <v>0</v>
      </c>
      <c r="AC18" s="122">
        <f t="shared" si="11"/>
        <v>0</v>
      </c>
      <c r="AD18" s="133">
        <v>0</v>
      </c>
      <c r="AE18" s="134">
        <v>0</v>
      </c>
    </row>
    <row r="19" spans="1:31" x14ac:dyDescent="0.2">
      <c r="A19" s="11">
        <v>45614</v>
      </c>
      <c r="B19" s="119">
        <v>16238866</v>
      </c>
      <c r="C19" s="120">
        <f>SUM(3928.4+1680347.4+588655+9824.2+238137+24805)</f>
        <v>2545697</v>
      </c>
      <c r="D19" s="121">
        <f t="shared" si="1"/>
        <v>13693169</v>
      </c>
      <c r="E19" s="135">
        <f t="shared" si="0"/>
        <v>3017</v>
      </c>
      <c r="F19" s="123">
        <v>5550</v>
      </c>
      <c r="G19" s="124"/>
      <c r="H19" s="135">
        <f t="shared" si="8"/>
        <v>0</v>
      </c>
      <c r="I19" s="125">
        <v>0.52</v>
      </c>
      <c r="J19" s="126">
        <v>0.52</v>
      </c>
      <c r="K19" s="126">
        <v>0.52</v>
      </c>
      <c r="L19" s="105">
        <f t="shared" si="9"/>
        <v>3900</v>
      </c>
      <c r="M19" s="104">
        <v>0</v>
      </c>
      <c r="N19" s="122">
        <f t="shared" si="10"/>
        <v>0</v>
      </c>
      <c r="O19" s="125">
        <v>0.4</v>
      </c>
      <c r="P19" s="126">
        <v>0.39</v>
      </c>
      <c r="Q19" s="126">
        <v>0.37</v>
      </c>
      <c r="R19" s="105">
        <f t="shared" si="2"/>
        <v>580.00000000000011</v>
      </c>
      <c r="S19" s="104">
        <v>0</v>
      </c>
      <c r="T19" s="122">
        <f t="shared" si="3"/>
        <v>5.0000000000001137</v>
      </c>
      <c r="U19" s="127">
        <f t="shared" si="4"/>
        <v>5.0000000000001137</v>
      </c>
      <c r="V19" s="128">
        <v>634091</v>
      </c>
      <c r="W19" s="129">
        <v>58450</v>
      </c>
      <c r="X19" s="129">
        <v>13778</v>
      </c>
      <c r="Y19" s="130">
        <f t="shared" si="5"/>
        <v>561863</v>
      </c>
      <c r="Z19" s="122">
        <f t="shared" si="6"/>
        <v>19</v>
      </c>
      <c r="AA19" s="131">
        <v>0</v>
      </c>
      <c r="AB19" s="132">
        <v>0</v>
      </c>
      <c r="AC19" s="122">
        <f>SUM(AA19+AB19-AA20)</f>
        <v>0</v>
      </c>
      <c r="AD19" s="133">
        <v>0</v>
      </c>
      <c r="AE19" s="134">
        <v>0</v>
      </c>
    </row>
    <row r="20" spans="1:31" x14ac:dyDescent="0.2">
      <c r="A20" s="11">
        <v>45615</v>
      </c>
      <c r="B20" s="119">
        <v>16241883</v>
      </c>
      <c r="C20" s="120">
        <f>SUM(3929+1680626.9+588655+9824.4+238218+24820)</f>
        <v>2546073.2999999998</v>
      </c>
      <c r="D20" s="121">
        <f t="shared" si="1"/>
        <v>13695809.699999999</v>
      </c>
      <c r="E20" s="135">
        <f t="shared" si="0"/>
        <v>3005</v>
      </c>
      <c r="F20" s="123">
        <v>5550</v>
      </c>
      <c r="G20" s="124"/>
      <c r="H20" s="135">
        <f t="shared" si="8"/>
        <v>0</v>
      </c>
      <c r="I20" s="125">
        <v>0.52</v>
      </c>
      <c r="J20" s="126">
        <v>0.52</v>
      </c>
      <c r="K20" s="126">
        <v>0.52</v>
      </c>
      <c r="L20" s="105">
        <f t="shared" si="9"/>
        <v>3900</v>
      </c>
      <c r="M20" s="104">
        <v>0</v>
      </c>
      <c r="N20" s="122">
        <f t="shared" si="10"/>
        <v>0</v>
      </c>
      <c r="O20" s="125">
        <v>0.4</v>
      </c>
      <c r="P20" s="126">
        <v>0.38</v>
      </c>
      <c r="Q20" s="126">
        <v>0.37</v>
      </c>
      <c r="R20" s="105">
        <f t="shared" si="2"/>
        <v>575</v>
      </c>
      <c r="S20" s="104">
        <v>0</v>
      </c>
      <c r="T20" s="122">
        <f t="shared" si="3"/>
        <v>4.9999999999998863</v>
      </c>
      <c r="U20" s="127">
        <f>SUM(N20+T20)</f>
        <v>4.9999999999998863</v>
      </c>
      <c r="V20" s="128">
        <v>634186</v>
      </c>
      <c r="W20" s="129">
        <v>58519</v>
      </c>
      <c r="X20" s="129">
        <v>13785</v>
      </c>
      <c r="Y20" s="130">
        <f t="shared" si="5"/>
        <v>561882</v>
      </c>
      <c r="Z20" s="122">
        <f t="shared" si="6"/>
        <v>23</v>
      </c>
      <c r="AA20" s="131">
        <v>0</v>
      </c>
      <c r="AB20" s="132">
        <v>0</v>
      </c>
      <c r="AC20" s="122">
        <f t="shared" si="11"/>
        <v>0</v>
      </c>
      <c r="AD20" s="133">
        <v>0</v>
      </c>
      <c r="AE20" s="134">
        <v>0</v>
      </c>
    </row>
    <row r="21" spans="1:31" x14ac:dyDescent="0.2">
      <c r="A21" s="11">
        <v>45616</v>
      </c>
      <c r="B21" s="119">
        <v>16244888</v>
      </c>
      <c r="C21" s="120">
        <f>SUM(3929.8+1680960.6+588655+9826.1+238308+24835)</f>
        <v>2546514.5000000005</v>
      </c>
      <c r="D21" s="121">
        <f t="shared" si="1"/>
        <v>13698373.5</v>
      </c>
      <c r="E21" s="135">
        <f t="shared" si="0"/>
        <v>3011</v>
      </c>
      <c r="F21" s="123">
        <v>5550</v>
      </c>
      <c r="G21" s="124"/>
      <c r="H21" s="135">
        <f t="shared" si="8"/>
        <v>0</v>
      </c>
      <c r="I21" s="125">
        <v>0.52</v>
      </c>
      <c r="J21" s="126">
        <v>0.52</v>
      </c>
      <c r="K21" s="126">
        <v>0.52</v>
      </c>
      <c r="L21" s="105">
        <f t="shared" si="9"/>
        <v>3900</v>
      </c>
      <c r="M21" s="104">
        <v>0</v>
      </c>
      <c r="N21" s="122">
        <f t="shared" si="10"/>
        <v>0</v>
      </c>
      <c r="O21" s="125">
        <v>0.4</v>
      </c>
      <c r="P21" s="126">
        <v>0.38</v>
      </c>
      <c r="Q21" s="126">
        <v>0.36</v>
      </c>
      <c r="R21" s="105">
        <f t="shared" si="2"/>
        <v>570.00000000000011</v>
      </c>
      <c r="S21" s="104">
        <v>0</v>
      </c>
      <c r="T21" s="122">
        <f t="shared" si="3"/>
        <v>5.0000000000001137</v>
      </c>
      <c r="U21" s="127">
        <f t="shared" si="4"/>
        <v>5.0000000000001137</v>
      </c>
      <c r="V21" s="128">
        <v>634287</v>
      </c>
      <c r="W21" s="129">
        <v>58589</v>
      </c>
      <c r="X21" s="129">
        <v>13793</v>
      </c>
      <c r="Y21" s="130">
        <f t="shared" si="5"/>
        <v>561905</v>
      </c>
      <c r="Z21" s="122">
        <f t="shared" si="6"/>
        <v>20</v>
      </c>
      <c r="AA21" s="131">
        <v>0</v>
      </c>
      <c r="AB21" s="132">
        <v>0</v>
      </c>
      <c r="AC21" s="122">
        <f>AA21+AB21-AA22</f>
        <v>0</v>
      </c>
      <c r="AD21" s="133">
        <v>0</v>
      </c>
      <c r="AE21" s="134">
        <v>0</v>
      </c>
    </row>
    <row r="22" spans="1:31" x14ac:dyDescent="0.2">
      <c r="A22" s="11">
        <v>45617</v>
      </c>
      <c r="B22" s="119">
        <v>16247899</v>
      </c>
      <c r="C22" s="120">
        <f>SUM(3930.5+1681292.6+588655+9826.5+238400+24856)</f>
        <v>2546960.6</v>
      </c>
      <c r="D22" s="121">
        <f t="shared" si="1"/>
        <v>13700938.4</v>
      </c>
      <c r="E22" s="135">
        <f t="shared" si="0"/>
        <v>3190</v>
      </c>
      <c r="F22" s="123">
        <v>5550</v>
      </c>
      <c r="G22" s="124"/>
      <c r="H22" s="135">
        <f t="shared" si="8"/>
        <v>0</v>
      </c>
      <c r="I22" s="125">
        <v>0.52</v>
      </c>
      <c r="J22" s="126">
        <v>0.52</v>
      </c>
      <c r="K22" s="126">
        <v>0.52</v>
      </c>
      <c r="L22" s="105">
        <f t="shared" si="9"/>
        <v>3900</v>
      </c>
      <c r="M22" s="104">
        <v>0</v>
      </c>
      <c r="N22" s="122">
        <f t="shared" si="10"/>
        <v>24.999999999999545</v>
      </c>
      <c r="O22" s="125">
        <v>0.4</v>
      </c>
      <c r="P22" s="126">
        <v>0.37</v>
      </c>
      <c r="Q22" s="126">
        <v>0.36</v>
      </c>
      <c r="R22" s="105">
        <f>SUM(O22:Q22)/3*1500</f>
        <v>565</v>
      </c>
      <c r="S22" s="104">
        <v>0</v>
      </c>
      <c r="T22" s="122">
        <f t="shared" si="3"/>
        <v>5</v>
      </c>
      <c r="U22" s="127">
        <f t="shared" si="4"/>
        <v>29.999999999999545</v>
      </c>
      <c r="V22" s="128">
        <v>634387</v>
      </c>
      <c r="W22" s="129">
        <v>58660</v>
      </c>
      <c r="X22" s="129">
        <v>13802</v>
      </c>
      <c r="Y22" s="130">
        <f t="shared" si="5"/>
        <v>561925</v>
      </c>
      <c r="Z22" s="122">
        <f t="shared" si="6"/>
        <v>26</v>
      </c>
      <c r="AA22" s="131">
        <v>0</v>
      </c>
      <c r="AB22" s="132">
        <v>0</v>
      </c>
      <c r="AC22" s="122">
        <f t="shared" ref="AC22:AC31" si="12">AA22-AA23</f>
        <v>0</v>
      </c>
      <c r="AD22" s="133">
        <v>0</v>
      </c>
      <c r="AE22" s="134">
        <v>0</v>
      </c>
    </row>
    <row r="23" spans="1:31" x14ac:dyDescent="0.2">
      <c r="A23" s="11">
        <v>45618</v>
      </c>
      <c r="B23" s="119">
        <v>16251089</v>
      </c>
      <c r="C23" s="120">
        <f>SUM(3931.2+1681596.1+588655+9827+238489+24873)</f>
        <v>2547371.2999999998</v>
      </c>
      <c r="D23" s="121">
        <f t="shared" si="1"/>
        <v>13703717.699999999</v>
      </c>
      <c r="E23" s="135">
        <f t="shared" si="0"/>
        <v>3243</v>
      </c>
      <c r="F23" s="123">
        <v>5550</v>
      </c>
      <c r="G23" s="124"/>
      <c r="H23" s="135">
        <f t="shared" si="8"/>
        <v>0</v>
      </c>
      <c r="I23" s="125">
        <v>0.51</v>
      </c>
      <c r="J23" s="126">
        <v>0.52</v>
      </c>
      <c r="K23" s="126">
        <v>0.52</v>
      </c>
      <c r="L23" s="105">
        <f t="shared" si="9"/>
        <v>3875.0000000000005</v>
      </c>
      <c r="M23" s="104">
        <v>0</v>
      </c>
      <c r="N23" s="122">
        <f t="shared" si="10"/>
        <v>0</v>
      </c>
      <c r="O23" s="125">
        <v>0.4</v>
      </c>
      <c r="P23" s="126">
        <v>0.37</v>
      </c>
      <c r="Q23" s="126">
        <v>0.35</v>
      </c>
      <c r="R23" s="105">
        <f t="shared" si="2"/>
        <v>560</v>
      </c>
      <c r="S23" s="104">
        <v>0</v>
      </c>
      <c r="T23" s="122">
        <f t="shared" si="3"/>
        <v>4.9999999999998863</v>
      </c>
      <c r="U23" s="127">
        <f t="shared" si="4"/>
        <v>4.9999999999998863</v>
      </c>
      <c r="V23" s="128">
        <v>634492</v>
      </c>
      <c r="W23" s="129">
        <v>58729</v>
      </c>
      <c r="X23" s="129">
        <v>13812</v>
      </c>
      <c r="Y23" s="130">
        <f t="shared" si="5"/>
        <v>561951</v>
      </c>
      <c r="Z23" s="122">
        <f t="shared" si="6"/>
        <v>19</v>
      </c>
      <c r="AA23" s="131">
        <v>0</v>
      </c>
      <c r="AB23" s="132">
        <v>0</v>
      </c>
      <c r="AC23" s="122">
        <f>SUM(AA23+AB23-AA24)</f>
        <v>0</v>
      </c>
      <c r="AD23" s="133">
        <v>0</v>
      </c>
      <c r="AE23" s="134">
        <v>0</v>
      </c>
    </row>
    <row r="24" spans="1:31" x14ac:dyDescent="0.2">
      <c r="A24" s="11">
        <v>45619</v>
      </c>
      <c r="B24" s="106">
        <v>16254332</v>
      </c>
      <c r="C24" s="107">
        <f>SUM(3931.9+1681892+588655+9827.4+238581+24891)</f>
        <v>2547778.2999999998</v>
      </c>
      <c r="D24" s="108">
        <f t="shared" si="1"/>
        <v>13706553.699999999</v>
      </c>
      <c r="E24" s="63">
        <f t="shared" si="0"/>
        <v>2826.5</v>
      </c>
      <c r="F24" s="109">
        <v>5550</v>
      </c>
      <c r="G24" s="64"/>
      <c r="H24" s="135">
        <f t="shared" si="8"/>
        <v>0</v>
      </c>
      <c r="I24" s="110">
        <v>0.51</v>
      </c>
      <c r="J24" s="111">
        <v>0.52</v>
      </c>
      <c r="K24" s="111">
        <v>0.52</v>
      </c>
      <c r="L24" s="112">
        <f t="shared" si="9"/>
        <v>3875.0000000000005</v>
      </c>
      <c r="M24" s="104">
        <v>0</v>
      </c>
      <c r="N24" s="122">
        <f t="shared" si="10"/>
        <v>0</v>
      </c>
      <c r="O24" s="110">
        <v>0.4</v>
      </c>
      <c r="P24" s="111">
        <v>0.37</v>
      </c>
      <c r="Q24" s="111">
        <v>0.34</v>
      </c>
      <c r="R24" s="112">
        <f t="shared" si="2"/>
        <v>555.00000000000011</v>
      </c>
      <c r="S24" s="104">
        <v>0</v>
      </c>
      <c r="T24" s="122">
        <f t="shared" si="3"/>
        <v>5.0000000000001137</v>
      </c>
      <c r="U24" s="66">
        <f t="shared" si="4"/>
        <v>5.0000000000001137</v>
      </c>
      <c r="V24" s="113">
        <v>634589</v>
      </c>
      <c r="W24" s="114">
        <v>58797</v>
      </c>
      <c r="X24" s="114">
        <v>13822</v>
      </c>
      <c r="Y24" s="67">
        <f t="shared" si="5"/>
        <v>561970</v>
      </c>
      <c r="Z24" s="65">
        <f t="shared" si="6"/>
        <v>20</v>
      </c>
      <c r="AA24" s="115">
        <v>0</v>
      </c>
      <c r="AB24" s="116">
        <v>0</v>
      </c>
      <c r="AC24" s="65">
        <f t="shared" si="12"/>
        <v>0</v>
      </c>
      <c r="AD24" s="117">
        <v>0</v>
      </c>
      <c r="AE24" s="118">
        <v>0</v>
      </c>
    </row>
    <row r="25" spans="1:31" x14ac:dyDescent="0.2">
      <c r="A25" s="11">
        <v>45620</v>
      </c>
      <c r="B25" s="53">
        <v>16257158.5</v>
      </c>
      <c r="C25" s="107">
        <v>2548192</v>
      </c>
      <c r="D25" s="57">
        <f t="shared" si="1"/>
        <v>13708966.5</v>
      </c>
      <c r="E25" s="14">
        <f t="shared" si="0"/>
        <v>2826.5</v>
      </c>
      <c r="F25" s="12">
        <v>5550</v>
      </c>
      <c r="G25" s="13"/>
      <c r="H25" s="135">
        <f t="shared" si="8"/>
        <v>0</v>
      </c>
      <c r="I25" s="9">
        <v>0.51</v>
      </c>
      <c r="J25" s="15">
        <v>0.52</v>
      </c>
      <c r="K25" s="15">
        <v>0.52</v>
      </c>
      <c r="L25" s="17">
        <f t="shared" si="9"/>
        <v>3875.0000000000005</v>
      </c>
      <c r="M25" s="104">
        <v>0</v>
      </c>
      <c r="N25" s="122">
        <f t="shared" si="10"/>
        <v>0</v>
      </c>
      <c r="O25" s="9">
        <v>0.4</v>
      </c>
      <c r="P25" s="15">
        <v>0.36</v>
      </c>
      <c r="Q25" s="15">
        <v>0.34</v>
      </c>
      <c r="R25" s="17">
        <f t="shared" si="2"/>
        <v>550</v>
      </c>
      <c r="S25" s="104">
        <v>0</v>
      </c>
      <c r="T25" s="122">
        <f t="shared" si="3"/>
        <v>5</v>
      </c>
      <c r="U25" s="52">
        <f t="shared" si="4"/>
        <v>5</v>
      </c>
      <c r="V25" s="20">
        <v>634688</v>
      </c>
      <c r="W25" s="36">
        <v>58867</v>
      </c>
      <c r="X25" s="36">
        <v>13831</v>
      </c>
      <c r="Y25" s="58">
        <f t="shared" si="5"/>
        <v>561990</v>
      </c>
      <c r="Z25" s="19">
        <f t="shared" si="6"/>
        <v>20</v>
      </c>
      <c r="AA25" s="21">
        <v>0</v>
      </c>
      <c r="AB25" s="22">
        <v>0</v>
      </c>
      <c r="AC25" s="19">
        <f t="shared" si="12"/>
        <v>0</v>
      </c>
      <c r="AD25" s="7">
        <v>0</v>
      </c>
      <c r="AE25" s="10">
        <v>0</v>
      </c>
    </row>
    <row r="26" spans="1:31" x14ac:dyDescent="0.2">
      <c r="A26" s="11">
        <v>45621</v>
      </c>
      <c r="B26" s="53">
        <v>16259985</v>
      </c>
      <c r="C26" s="107">
        <f>SUM(3933.4+1682500.9+588655+9828.2+238763+24925)</f>
        <v>2548605.5</v>
      </c>
      <c r="D26" s="57">
        <f t="shared" si="1"/>
        <v>13711379.5</v>
      </c>
      <c r="E26" s="68">
        <f t="shared" si="0"/>
        <v>2607</v>
      </c>
      <c r="F26" s="12">
        <v>5550</v>
      </c>
      <c r="G26" s="69"/>
      <c r="H26" s="68">
        <f t="shared" si="8"/>
        <v>0</v>
      </c>
      <c r="I26" s="9">
        <v>0.51</v>
      </c>
      <c r="J26" s="15">
        <v>0.52</v>
      </c>
      <c r="K26" s="15">
        <v>0.52</v>
      </c>
      <c r="L26" s="18">
        <f t="shared" si="9"/>
        <v>3875.0000000000005</v>
      </c>
      <c r="M26" s="104">
        <v>0</v>
      </c>
      <c r="N26" s="122">
        <f t="shared" si="10"/>
        <v>0</v>
      </c>
      <c r="O26" s="9">
        <v>0.4</v>
      </c>
      <c r="P26" s="15">
        <v>0.36</v>
      </c>
      <c r="Q26" s="15">
        <v>0.33</v>
      </c>
      <c r="R26" s="18">
        <f t="shared" si="2"/>
        <v>545</v>
      </c>
      <c r="S26" s="104">
        <v>0</v>
      </c>
      <c r="T26" s="122">
        <f t="shared" si="3"/>
        <v>4.9999999999998863</v>
      </c>
      <c r="U26" s="71">
        <f t="shared" si="4"/>
        <v>4.9999999999998863</v>
      </c>
      <c r="V26" s="20">
        <v>634787</v>
      </c>
      <c r="W26" s="36">
        <v>58937</v>
      </c>
      <c r="X26" s="36">
        <v>13840</v>
      </c>
      <c r="Y26" s="72">
        <f t="shared" si="5"/>
        <v>562010</v>
      </c>
      <c r="Z26" s="70">
        <f t="shared" si="6"/>
        <v>295</v>
      </c>
      <c r="AA26" s="21">
        <v>0</v>
      </c>
      <c r="AB26" s="22">
        <v>0</v>
      </c>
      <c r="AC26" s="70">
        <f>SUM(AA26+AB26-AA27)</f>
        <v>0</v>
      </c>
      <c r="AD26" s="7">
        <v>0</v>
      </c>
      <c r="AE26" s="10">
        <v>0</v>
      </c>
    </row>
    <row r="27" spans="1:31" x14ac:dyDescent="0.2">
      <c r="A27" s="11">
        <v>45622</v>
      </c>
      <c r="B27" s="53">
        <v>16262592</v>
      </c>
      <c r="C27" s="107">
        <f>SUM(3934.1+1682750.8+588655+9828.4+238843+24948)</f>
        <v>2548959.3000000003</v>
      </c>
      <c r="D27" s="57">
        <f t="shared" si="1"/>
        <v>13713632.699999999</v>
      </c>
      <c r="E27" s="63">
        <f t="shared" si="0"/>
        <v>3239</v>
      </c>
      <c r="F27" s="12">
        <v>5550</v>
      </c>
      <c r="G27" s="64"/>
      <c r="H27" s="63">
        <f t="shared" si="8"/>
        <v>0</v>
      </c>
      <c r="I27" s="9">
        <v>0.51</v>
      </c>
      <c r="J27" s="15">
        <v>0.52</v>
      </c>
      <c r="K27" s="15">
        <v>0.52</v>
      </c>
      <c r="L27" s="18">
        <f t="shared" si="9"/>
        <v>3875.0000000000005</v>
      </c>
      <c r="M27" s="104">
        <v>0</v>
      </c>
      <c r="N27" s="122">
        <f t="shared" si="10"/>
        <v>25.000000000000455</v>
      </c>
      <c r="O27" s="9">
        <v>0.4</v>
      </c>
      <c r="P27" s="15">
        <v>0.36</v>
      </c>
      <c r="Q27" s="15">
        <v>0.32</v>
      </c>
      <c r="R27" s="18">
        <f t="shared" si="2"/>
        <v>540.00000000000011</v>
      </c>
      <c r="S27" s="104">
        <v>0</v>
      </c>
      <c r="T27" s="122">
        <f t="shared" si="3"/>
        <v>5.0000000000001137</v>
      </c>
      <c r="U27" s="66">
        <f>SUM(N27+T27)</f>
        <v>30.000000000000568</v>
      </c>
      <c r="V27" s="20">
        <v>635137</v>
      </c>
      <c r="W27" s="36">
        <v>58990</v>
      </c>
      <c r="X27" s="36">
        <v>13842</v>
      </c>
      <c r="Y27" s="67">
        <f t="shared" si="5"/>
        <v>562305</v>
      </c>
      <c r="Z27" s="65">
        <f t="shared" si="6"/>
        <v>22</v>
      </c>
      <c r="AA27" s="21">
        <v>0</v>
      </c>
      <c r="AB27" s="22">
        <v>0</v>
      </c>
      <c r="AC27" s="65">
        <f t="shared" si="12"/>
        <v>0</v>
      </c>
      <c r="AD27" s="7">
        <v>0</v>
      </c>
      <c r="AE27" s="10">
        <v>0</v>
      </c>
    </row>
    <row r="28" spans="1:31" x14ac:dyDescent="0.2">
      <c r="A28" s="11">
        <v>45623</v>
      </c>
      <c r="B28" s="53">
        <v>16265831</v>
      </c>
      <c r="C28" s="107">
        <f>SUM(3934.9+1683037.3+588655+9828.7+238927+24968)</f>
        <v>2549350.9000000004</v>
      </c>
      <c r="D28" s="57">
        <f t="shared" si="1"/>
        <v>13716480.1</v>
      </c>
      <c r="E28" s="14">
        <f t="shared" si="0"/>
        <v>3141</v>
      </c>
      <c r="F28" s="12">
        <v>5550</v>
      </c>
      <c r="G28" s="13"/>
      <c r="H28" s="14">
        <f t="shared" si="8"/>
        <v>0</v>
      </c>
      <c r="I28" s="9">
        <v>0.5</v>
      </c>
      <c r="J28" s="15">
        <v>0.52</v>
      </c>
      <c r="K28" s="15">
        <v>0.52</v>
      </c>
      <c r="L28" s="18">
        <f t="shared" si="9"/>
        <v>3850</v>
      </c>
      <c r="M28" s="104">
        <v>0</v>
      </c>
      <c r="N28" s="122">
        <f t="shared" si="10"/>
        <v>0</v>
      </c>
      <c r="O28" s="9">
        <v>0.4</v>
      </c>
      <c r="P28" s="15">
        <v>0.36</v>
      </c>
      <c r="Q28" s="15">
        <v>0.31</v>
      </c>
      <c r="R28" s="18">
        <f t="shared" si="2"/>
        <v>535</v>
      </c>
      <c r="S28" s="104">
        <v>0</v>
      </c>
      <c r="T28" s="122">
        <f t="shared" si="3"/>
        <v>5</v>
      </c>
      <c r="U28" s="52">
        <f t="shared" si="4"/>
        <v>5</v>
      </c>
      <c r="V28" s="20">
        <v>635222</v>
      </c>
      <c r="W28" s="36">
        <v>59047</v>
      </c>
      <c r="X28" s="36">
        <v>13848</v>
      </c>
      <c r="Y28" s="58">
        <f t="shared" si="5"/>
        <v>562327</v>
      </c>
      <c r="Z28" s="19">
        <f t="shared" si="6"/>
        <v>15</v>
      </c>
      <c r="AA28" s="21">
        <v>0</v>
      </c>
      <c r="AB28" s="22">
        <v>0</v>
      </c>
      <c r="AC28" s="19">
        <f t="shared" si="12"/>
        <v>0</v>
      </c>
      <c r="AD28" s="7">
        <v>0</v>
      </c>
      <c r="AE28" s="10">
        <v>0</v>
      </c>
    </row>
    <row r="29" spans="1:31" x14ac:dyDescent="0.2">
      <c r="A29" s="11">
        <v>45624</v>
      </c>
      <c r="B29" s="53">
        <v>16268972</v>
      </c>
      <c r="C29" s="107">
        <f>SUM(3935.6+1683398.4+586655+9826+239013+2498.6)</f>
        <v>2525326.6</v>
      </c>
      <c r="D29" s="57">
        <f t="shared" si="1"/>
        <v>13743645.4</v>
      </c>
      <c r="E29" s="14">
        <f t="shared" si="0"/>
        <v>2090</v>
      </c>
      <c r="F29" s="12">
        <v>5550</v>
      </c>
      <c r="G29" s="13"/>
      <c r="H29" s="14">
        <f t="shared" si="8"/>
        <v>0</v>
      </c>
      <c r="I29" s="9">
        <v>0.5</v>
      </c>
      <c r="J29" s="15">
        <v>0.52</v>
      </c>
      <c r="K29" s="15">
        <v>0.52</v>
      </c>
      <c r="L29" s="18">
        <f t="shared" si="9"/>
        <v>3850</v>
      </c>
      <c r="M29" s="104">
        <v>0</v>
      </c>
      <c r="N29" s="122">
        <f t="shared" si="10"/>
        <v>25</v>
      </c>
      <c r="O29" s="9">
        <v>0.4</v>
      </c>
      <c r="P29" s="15">
        <v>0.35</v>
      </c>
      <c r="Q29" s="15">
        <v>0.31</v>
      </c>
      <c r="R29" s="18">
        <f t="shared" si="2"/>
        <v>530</v>
      </c>
      <c r="S29" s="104">
        <v>0</v>
      </c>
      <c r="T29" s="122">
        <f t="shared" si="3"/>
        <v>5</v>
      </c>
      <c r="U29" s="52">
        <f t="shared" si="4"/>
        <v>30</v>
      </c>
      <c r="V29" s="20">
        <v>635306</v>
      </c>
      <c r="W29" s="36">
        <v>59110</v>
      </c>
      <c r="X29" s="36">
        <v>13854</v>
      </c>
      <c r="Y29" s="58">
        <f t="shared" si="5"/>
        <v>562342</v>
      </c>
      <c r="Z29" s="19">
        <f t="shared" si="6"/>
        <v>51</v>
      </c>
      <c r="AA29" s="21">
        <v>0</v>
      </c>
      <c r="AB29" s="22">
        <v>0</v>
      </c>
      <c r="AC29" s="19">
        <f t="shared" si="12"/>
        <v>0</v>
      </c>
      <c r="AD29" s="7">
        <v>0</v>
      </c>
      <c r="AE29" s="10">
        <v>0</v>
      </c>
    </row>
    <row r="30" spans="1:31" x14ac:dyDescent="0.2">
      <c r="A30" s="11">
        <v>45625</v>
      </c>
      <c r="B30" s="53">
        <v>16271062</v>
      </c>
      <c r="C30" s="107">
        <f>SUM(3936.6+1683691.4+586655+9829.2+237102+2500.6)</f>
        <v>2523714.8000000003</v>
      </c>
      <c r="D30" s="57">
        <f t="shared" si="1"/>
        <v>13747347.199999999</v>
      </c>
      <c r="E30" s="14">
        <f t="shared" si="0"/>
        <v>4287</v>
      </c>
      <c r="F30" s="12">
        <v>5550</v>
      </c>
      <c r="G30" s="13"/>
      <c r="H30" s="14">
        <f>F30+G30-F31</f>
        <v>126</v>
      </c>
      <c r="I30" s="9">
        <v>0.5</v>
      </c>
      <c r="J30" s="15">
        <v>0.52</v>
      </c>
      <c r="K30" s="15">
        <v>0.51</v>
      </c>
      <c r="L30" s="18">
        <f t="shared" si="9"/>
        <v>3825</v>
      </c>
      <c r="M30" s="104">
        <v>0</v>
      </c>
      <c r="N30" s="122">
        <f t="shared" si="10"/>
        <v>24.999999999999545</v>
      </c>
      <c r="O30" s="9">
        <v>0.4</v>
      </c>
      <c r="P30" s="15">
        <v>0.35</v>
      </c>
      <c r="Q30" s="15">
        <v>0.3</v>
      </c>
      <c r="R30" s="18">
        <f t="shared" si="2"/>
        <v>525</v>
      </c>
      <c r="S30" s="104">
        <v>0</v>
      </c>
      <c r="T30" s="122">
        <f t="shared" si="3"/>
        <v>0</v>
      </c>
      <c r="U30" s="52">
        <f t="shared" si="4"/>
        <v>24.999999999999545</v>
      </c>
      <c r="V30" s="20">
        <v>635427</v>
      </c>
      <c r="W30" s="36">
        <v>59175</v>
      </c>
      <c r="X30" s="36">
        <v>13859</v>
      </c>
      <c r="Y30" s="58">
        <f t="shared" si="5"/>
        <v>562393</v>
      </c>
      <c r="Z30" s="19">
        <f t="shared" si="6"/>
        <v>23</v>
      </c>
      <c r="AA30" s="21">
        <v>0</v>
      </c>
      <c r="AB30" s="22">
        <v>0</v>
      </c>
      <c r="AC30" s="19">
        <f t="shared" si="12"/>
        <v>0</v>
      </c>
      <c r="AD30" s="7">
        <v>0</v>
      </c>
      <c r="AE30" s="10">
        <v>0</v>
      </c>
    </row>
    <row r="31" spans="1:31" x14ac:dyDescent="0.2">
      <c r="A31" s="11">
        <v>45626</v>
      </c>
      <c r="B31" s="53">
        <v>16275349</v>
      </c>
      <c r="C31" s="107">
        <f>SUM(3937.2+1684079.7+588655+9829.4+239223+25032)</f>
        <v>2550756.2999999998</v>
      </c>
      <c r="D31" s="57">
        <f t="shared" si="1"/>
        <v>13724592.699999999</v>
      </c>
      <c r="E31" s="14">
        <f t="shared" si="0"/>
        <v>1682</v>
      </c>
      <c r="F31" s="12">
        <v>5424</v>
      </c>
      <c r="G31" s="13"/>
      <c r="H31" s="14">
        <f>F31+G31-F32</f>
        <v>0</v>
      </c>
      <c r="I31" s="9">
        <v>0.5</v>
      </c>
      <c r="J31" s="15">
        <v>0.52</v>
      </c>
      <c r="K31" s="15">
        <v>0.5</v>
      </c>
      <c r="L31" s="103">
        <f t="shared" si="9"/>
        <v>3800.0000000000005</v>
      </c>
      <c r="M31" s="104">
        <v>0</v>
      </c>
      <c r="N31" s="122">
        <f t="shared" si="10"/>
        <v>0</v>
      </c>
      <c r="O31" s="9">
        <v>0.4</v>
      </c>
      <c r="P31" s="15">
        <v>0.35</v>
      </c>
      <c r="Q31" s="15">
        <v>0.3</v>
      </c>
      <c r="R31" s="103">
        <f t="shared" si="2"/>
        <v>525</v>
      </c>
      <c r="S31" s="104">
        <v>0</v>
      </c>
      <c r="T31" s="122">
        <f t="shared" si="3"/>
        <v>5</v>
      </c>
      <c r="U31" s="52">
        <f t="shared" si="4"/>
        <v>5</v>
      </c>
      <c r="V31" s="20">
        <v>635548</v>
      </c>
      <c r="W31" s="36">
        <v>59263</v>
      </c>
      <c r="X31" s="36">
        <v>13869</v>
      </c>
      <c r="Y31" s="58">
        <f t="shared" si="5"/>
        <v>562416</v>
      </c>
      <c r="Z31" s="19">
        <f t="shared" si="6"/>
        <v>31</v>
      </c>
      <c r="AA31" s="21">
        <v>0</v>
      </c>
      <c r="AB31" s="22">
        <v>0</v>
      </c>
      <c r="AC31" s="19">
        <f t="shared" si="12"/>
        <v>0</v>
      </c>
      <c r="AD31" s="7">
        <v>0</v>
      </c>
      <c r="AE31" s="10">
        <v>0</v>
      </c>
    </row>
    <row r="32" spans="1:31" ht="13.5" thickBot="1" x14ac:dyDescent="0.25">
      <c r="A32" s="11">
        <v>45627</v>
      </c>
      <c r="B32" s="53">
        <v>16277031</v>
      </c>
      <c r="C32" s="136">
        <f>SUM(3937.9+1684295.4+588655+9829.7+239297+2505)</f>
        <v>2528520</v>
      </c>
      <c r="D32" s="57">
        <f t="shared" si="1"/>
        <v>13748511</v>
      </c>
      <c r="E32" s="14">
        <f t="shared" si="0"/>
        <v>-16277031</v>
      </c>
      <c r="F32" s="12">
        <v>5424</v>
      </c>
      <c r="G32" s="13"/>
      <c r="H32" s="25"/>
      <c r="I32" s="9">
        <v>0.5</v>
      </c>
      <c r="J32" s="15">
        <v>0.52</v>
      </c>
      <c r="K32" s="15">
        <v>0.5</v>
      </c>
      <c r="L32" s="17">
        <f t="shared" si="9"/>
        <v>3800.0000000000005</v>
      </c>
      <c r="M32" s="104">
        <v>0</v>
      </c>
      <c r="N32" s="19">
        <f>SUM(L32+M32-L33)</f>
        <v>3800.0000000000005</v>
      </c>
      <c r="O32" s="9">
        <v>0.39</v>
      </c>
      <c r="P32" s="15">
        <v>0.35</v>
      </c>
      <c r="Q32" s="15">
        <v>0.3</v>
      </c>
      <c r="R32" s="17">
        <f t="shared" si="2"/>
        <v>520</v>
      </c>
      <c r="S32" s="104">
        <v>0</v>
      </c>
      <c r="T32" s="19">
        <f>SUM(R33-S32-R32)</f>
        <v>-520</v>
      </c>
      <c r="U32" s="52">
        <f>SUM(N32+T32)</f>
        <v>3280.0000000000005</v>
      </c>
      <c r="V32" s="20">
        <v>635634</v>
      </c>
      <c r="W32" s="36">
        <v>59308</v>
      </c>
      <c r="X32" s="36">
        <v>13879</v>
      </c>
      <c r="Y32" s="58">
        <f t="shared" si="5"/>
        <v>562447</v>
      </c>
      <c r="Z32" s="19">
        <f t="shared" si="6"/>
        <v>-562447</v>
      </c>
      <c r="AA32" s="21">
        <v>0</v>
      </c>
      <c r="AB32" s="22">
        <v>0</v>
      </c>
      <c r="AC32" s="19">
        <f>SUM(AA32+AB32-AA33)</f>
        <v>0</v>
      </c>
      <c r="AD32" s="7">
        <v>0</v>
      </c>
      <c r="AE32" s="10">
        <v>0</v>
      </c>
    </row>
    <row r="33" spans="1:31" ht="14.25" thickTop="1" thickBot="1" x14ac:dyDescent="0.25">
      <c r="A33" s="11"/>
      <c r="B33" s="53"/>
      <c r="C33" s="136"/>
      <c r="D33" s="57">
        <f t="shared" si="1"/>
        <v>0</v>
      </c>
      <c r="E33" s="26"/>
      <c r="F33" s="12"/>
      <c r="G33" s="27"/>
      <c r="H33" s="26"/>
      <c r="I33" s="9"/>
      <c r="J33" s="15"/>
      <c r="K33" s="15"/>
      <c r="L33" s="54">
        <f t="shared" si="9"/>
        <v>0</v>
      </c>
      <c r="M33" s="35">
        <v>0</v>
      </c>
      <c r="N33" s="26"/>
      <c r="O33" s="9"/>
      <c r="P33" s="15"/>
      <c r="Q33" s="15"/>
      <c r="R33" s="54">
        <f t="shared" si="2"/>
        <v>0</v>
      </c>
      <c r="S33" s="16">
        <v>0</v>
      </c>
      <c r="T33" s="55"/>
      <c r="U33" s="56"/>
      <c r="V33" s="20"/>
      <c r="W33" s="36"/>
      <c r="X33" s="36"/>
      <c r="Y33" s="58">
        <f t="shared" si="5"/>
        <v>0</v>
      </c>
      <c r="Z33" s="26"/>
      <c r="AA33" s="21"/>
      <c r="AB33" s="22"/>
      <c r="AC33" s="23"/>
      <c r="AD33" s="24"/>
      <c r="AE33" s="24"/>
    </row>
    <row r="34" spans="1:31" s="34" customFormat="1" ht="10.5" thickTop="1" x14ac:dyDescent="0.2">
      <c r="A34" s="28"/>
      <c r="B34" s="31"/>
      <c r="C34" s="31"/>
      <c r="D34" s="31"/>
      <c r="E34" s="29">
        <f>SUM(E2:E33)</f>
        <v>-16107142</v>
      </c>
      <c r="F34" s="30"/>
      <c r="G34" s="30"/>
      <c r="H34" s="29">
        <f>SUM(H2:H33)</f>
        <v>5553</v>
      </c>
      <c r="I34" s="28"/>
      <c r="J34" s="28"/>
      <c r="K34" s="28"/>
      <c r="L34" s="28"/>
      <c r="M34" s="30">
        <f>SUM(M2:M33)</f>
        <v>0</v>
      </c>
      <c r="N34" s="29">
        <f>SUM(N2:N33)</f>
        <v>6000.0000000000009</v>
      </c>
      <c r="O34" s="28"/>
      <c r="P34" s="28"/>
      <c r="Q34" s="28"/>
      <c r="R34" s="28"/>
      <c r="S34" s="30">
        <f>SUM(S2:S33)</f>
        <v>0</v>
      </c>
      <c r="T34" s="29">
        <f>SUM(T2:T33)</f>
        <v>235</v>
      </c>
      <c r="U34" s="29">
        <f>SUM(U2:U33)</f>
        <v>6235.0000000000009</v>
      </c>
      <c r="V34" s="28"/>
      <c r="W34" s="28"/>
      <c r="X34" s="28"/>
      <c r="Y34" s="28"/>
      <c r="Z34" s="29">
        <f>SUM(Z2:Z33)</f>
        <v>-560397</v>
      </c>
      <c r="AA34" s="28"/>
      <c r="AB34" s="28">
        <f>SUM(AB2:AB33)</f>
        <v>13035</v>
      </c>
      <c r="AC34" s="29">
        <f>SUM(AC2:AC33)</f>
        <v>21035</v>
      </c>
      <c r="AD34" s="32">
        <f>SUM(AD2:AD33)</f>
        <v>498</v>
      </c>
      <c r="AE34" s="33">
        <f>SUM(AE2:AE32)</f>
        <v>943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AC19 AC23 AC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2024-12-10T09:03:10Z</dcterms:modified>
  <cp:category/>
  <cp:contentStatus/>
</cp:coreProperties>
</file>