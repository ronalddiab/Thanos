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5864" documentId="8_{5B502D95-7A37-4D5A-8B6B-374537CC2F26}" xr6:coauthVersionLast="47" xr6:coauthVersionMax="47" xr10:uidLastSave="{7564BFA3-F3A5-4C16-B9BD-B7E1827A7579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8" i="2" l="1"/>
  <c r="N19" i="2"/>
  <c r="M19" i="2"/>
  <c r="L19" i="2"/>
  <c r="F19" i="2"/>
  <c r="K18" i="6"/>
  <c r="I18" i="6"/>
  <c r="G18" i="6"/>
  <c r="E18" i="6"/>
  <c r="C18" i="6"/>
  <c r="V15" i="2"/>
  <c r="V16" i="2"/>
  <c r="V17" i="2"/>
  <c r="N16" i="2"/>
  <c r="N17" i="2"/>
  <c r="N18" i="2"/>
  <c r="M16" i="2"/>
  <c r="M17" i="2"/>
  <c r="M18" i="2"/>
  <c r="L16" i="2"/>
  <c r="L17" i="2"/>
  <c r="L18" i="2"/>
  <c r="F16" i="2"/>
  <c r="F17" i="2"/>
  <c r="F18" i="2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3" i="2"/>
  <c r="N14" i="2"/>
  <c r="M14" i="2"/>
  <c r="L14" i="2"/>
  <c r="F14" i="2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P5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C10" i="6"/>
  <c r="K10" i="6"/>
  <c r="I10" i="6"/>
  <c r="G10" i="6"/>
  <c r="E10" i="6"/>
  <c r="G28" i="21"/>
  <c r="G29" i="21"/>
  <c r="G30" i="21"/>
  <c r="G31" i="21"/>
  <c r="G32" i="21"/>
  <c r="F28" i="21"/>
  <c r="F29" i="21"/>
  <c r="F30" i="21"/>
  <c r="F31" i="21"/>
  <c r="F32" i="21"/>
  <c r="E26" i="21"/>
  <c r="E27" i="21"/>
  <c r="E28" i="21"/>
  <c r="E29" i="21"/>
  <c r="E30" i="21"/>
  <c r="E31" i="21"/>
  <c r="E32" i="21"/>
  <c r="E32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G4" i="4"/>
  <c r="E4" i="4"/>
  <c r="C4" i="4"/>
  <c r="K39" i="6"/>
  <c r="K40" i="6"/>
  <c r="I39" i="6"/>
  <c r="I40" i="6"/>
  <c r="G39" i="6"/>
  <c r="G40" i="6"/>
  <c r="E39" i="6"/>
  <c r="E40" i="6"/>
  <c r="C39" i="6"/>
  <c r="C40" i="6"/>
  <c r="Q39" i="2"/>
  <c r="H39" i="2"/>
  <c r="H40" i="2"/>
  <c r="O39" i="2"/>
  <c r="C35" i="4"/>
  <c r="K38" i="6"/>
  <c r="I38" i="6"/>
  <c r="G38" i="6"/>
  <c r="E38" i="6"/>
  <c r="C38" i="6"/>
  <c r="K37" i="6"/>
  <c r="I37" i="6"/>
  <c r="G37" i="6"/>
  <c r="E37" i="6"/>
  <c r="C37" i="6"/>
  <c r="D29" i="10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P41" i="4"/>
  <c r="P42" i="4"/>
  <c r="N10" i="2"/>
  <c r="M10" i="2"/>
  <c r="L10" i="2"/>
  <c r="F10" i="2"/>
  <c r="L31" i="22"/>
  <c r="K31" i="22"/>
  <c r="I31" i="22"/>
  <c r="G32" i="22"/>
  <c r="B31" i="22"/>
  <c r="B32" i="22"/>
  <c r="I31" i="21"/>
  <c r="H31" i="21"/>
  <c r="B31" i="21"/>
  <c r="B32" i="21"/>
  <c r="C31" i="4"/>
  <c r="L28" i="22"/>
  <c r="L29" i="22"/>
  <c r="L30" i="22"/>
  <c r="K28" i="22"/>
  <c r="K29" i="22"/>
  <c r="K30" i="22"/>
  <c r="G27" i="22"/>
  <c r="G28" i="22"/>
  <c r="G29" i="22"/>
  <c r="G30" i="22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7" i="4"/>
  <c r="G8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F27" i="21"/>
  <c r="E23" i="21"/>
  <c r="E24" i="21"/>
  <c r="E25" i="21"/>
  <c r="O38" i="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1" i="2"/>
  <c r="I32" i="22" s="1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H32" i="2"/>
  <c r="G17" i="21"/>
  <c r="E20" i="21"/>
  <c r="I23" i="22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J21" i="21"/>
  <c r="I17" i="22"/>
  <c r="O20" i="2"/>
  <c r="Q19" i="2"/>
  <c r="E17" i="21"/>
  <c r="I26" i="2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M48" i="4" s="1"/>
  <c r="L9" i="4"/>
  <c r="N9" i="4"/>
  <c r="AC43" i="4"/>
  <c r="I9" i="4"/>
  <c r="O9" i="4"/>
  <c r="P9" i="4" s="1"/>
  <c r="E8" i="22" l="1"/>
  <c r="E9" i="22"/>
  <c r="Q40" i="2"/>
  <c r="O40" i="2"/>
  <c r="G10" i="4"/>
  <c r="E10" i="4"/>
  <c r="C10" i="4"/>
  <c r="L32" i="22"/>
  <c r="I32" i="21"/>
  <c r="K32" i="22"/>
  <c r="H32" i="21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7" i="22" l="1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<sst xmlns="http://schemas.openxmlformats.org/spreadsheetml/2006/main" count="478" uniqueCount="185">
  <si>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</si>
  <si>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</si>
  <si>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</si>
  <si>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</si>
  <si>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</si>
  <si>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</si>
  <si>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</si>
  <si>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</si>
  <si>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</si>
  <si>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</si>
  <si>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</si>
  <si>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</si>
  <si>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</si>
  <si>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</si>
  <si>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</si>
  <si>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</si>
  <si>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</si>
  <si>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</si>
  <si>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</si>
  <si>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</si>
  <si>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</si>
  <si>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</si>
  <si>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</si>
  <si>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</si>
  <si>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</si>
  <si>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</si>
  <si>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</si>
  <si>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</si>
  <si>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</si>
  <si>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</si>
  <si>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</si>
  <si>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</si>
  <si>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</si>
  <si>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</si>
  <si>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</si>
  <si>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</si>
  <si>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</si>
  <si>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</si>
  <si>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</si>
  <si>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</si>
  <si>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</si>
  <si>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</si>
  <si>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</si>
  <si>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</si>
  <si>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</si>
  <si>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</si>
  <si>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</si>
  <si>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</si>
  <si>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</si>
  <si>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</si>
  <si>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</si>
  <si>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</si>
  <si>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</si>
  <si>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</si>
  <si>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</si>
  <si>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</si>
  <si>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</si>
  <si>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</si>
  <si>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</si>
  <si>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</si>
  <si>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</si>
  <si>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</si>
  <si>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</si>
  <si>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</si>
  <si>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</si>
  <si>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</si>
  <si>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</si>
  <si>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</si>
  <si>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</si>
  <si>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</si>
  <si>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</si>
  <si>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</si>
  <si>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</si>
  <si>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</si>
  <si>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</si>
  <si>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</si>
  <si>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</si>
  <si>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</si>
  <si>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</si>
  <si>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</si>
  <si>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</si>
  <si>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</si>
  <si>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</si>
  <si>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</si>
  <si>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</si>
  <si>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</si>
  <si>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</si>
  <si>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Aout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</si>
  <si>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</si>
  <si>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</si>
  <si>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</si>
  <si>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</si>
  <si>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</si>
  <si>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</si>
  <si>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</si>
  <si>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</si>
  <si>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</si>
  <si>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</si>
  <si>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</si>
  <si>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</si>
  <si>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</si>
  <si>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</si>
  <si>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</si>
  <si>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</si>
  <si>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</si>
  <si>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</si>
  <si>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</si>
  <si>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</si>
  <si>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</si>
  <si>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</si>
  <si>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</si>
  <si>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</si>
  <si>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</si>
  <si>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</si>
  <si>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</si>
  <si>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</si>
  <si>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</si>
  <si>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</si>
  <si>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</si>
  <si>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</si>
  <si>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</si>
  <si>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</si>
  <si>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</si>
  <si>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</si>
  <si>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</si>
  <si>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</si>
  <si>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</si>
  <si>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</si>
  <si>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</si>
  <si>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</si>
  <si>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</si>
  <si>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</si>
  <si>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Aout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</si>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</sst>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25" borderId="60" xfId="0" applyFont="1" applyFill="1" applyBorder="1" applyAlignment="1">
      <alignment horizontal="center" vertical="center" wrapText="1"/>
    </xf>
    <xf numFmtId="0" fontId="21" fillId="13" borderId="42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116.39999999999418</c:v>
                </c:pt>
                <c:pt idx="1">
                  <c:v>106.40000000000873</c:v>
                </c:pt>
                <c:pt idx="2">
                  <c:v>237.59999999999127</c:v>
                </c:pt>
                <c:pt idx="3">
                  <c:v>123.5</c:v>
                </c:pt>
                <c:pt idx="4">
                  <c:v>103.70000000001164</c:v>
                </c:pt>
                <c:pt idx="5">
                  <c:v>107.09999999999127</c:v>
                </c:pt>
                <c:pt idx="6">
                  <c:v>125.10000000000582</c:v>
                </c:pt>
                <c:pt idx="7">
                  <c:v>117.59999999999127</c:v>
                </c:pt>
                <c:pt idx="8">
                  <c:v>91.100000000005821</c:v>
                </c:pt>
                <c:pt idx="9">
                  <c:v>122.60000000000582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3789</c:v>
                </c:pt>
                <c:pt idx="1">
                  <c:v>3323</c:v>
                </c:pt>
                <c:pt idx="2">
                  <c:v>3355</c:v>
                </c:pt>
                <c:pt idx="3">
                  <c:v>3228</c:v>
                </c:pt>
                <c:pt idx="4">
                  <c:v>4251</c:v>
                </c:pt>
                <c:pt idx="5">
                  <c:v>3759</c:v>
                </c:pt>
                <c:pt idx="6">
                  <c:v>4155</c:v>
                </c:pt>
                <c:pt idx="7">
                  <c:v>3897</c:v>
                </c:pt>
                <c:pt idx="8">
                  <c:v>3560</c:v>
                </c:pt>
                <c:pt idx="9">
                  <c:v>3409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8010</c:v>
                </c:pt>
                <c:pt idx="1">
                  <c:v>7812</c:v>
                </c:pt>
                <c:pt idx="2">
                  <c:v>7827</c:v>
                </c:pt>
                <c:pt idx="3">
                  <c:v>7581</c:v>
                </c:pt>
                <c:pt idx="4">
                  <c:v>7941</c:v>
                </c:pt>
                <c:pt idx="5">
                  <c:v>8185</c:v>
                </c:pt>
                <c:pt idx="6">
                  <c:v>8948</c:v>
                </c:pt>
                <c:pt idx="7">
                  <c:v>8099</c:v>
                </c:pt>
                <c:pt idx="8">
                  <c:v>7480</c:v>
                </c:pt>
                <c:pt idx="9">
                  <c:v>7802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2981</c:v>
                </c:pt>
                <c:pt idx="1">
                  <c:v>2885</c:v>
                </c:pt>
                <c:pt idx="2">
                  <c:v>3276</c:v>
                </c:pt>
                <c:pt idx="3">
                  <c:v>3114</c:v>
                </c:pt>
                <c:pt idx="4">
                  <c:v>2925</c:v>
                </c:pt>
                <c:pt idx="5">
                  <c:v>3363</c:v>
                </c:pt>
                <c:pt idx="6">
                  <c:v>3364</c:v>
                </c:pt>
                <c:pt idx="7">
                  <c:v>2782</c:v>
                </c:pt>
                <c:pt idx="8">
                  <c:v>2610</c:v>
                </c:pt>
                <c:pt idx="9">
                  <c:v>2111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333.27000000000004</c:v>
                </c:pt>
                <c:pt idx="1">
                  <c:v>370.3</c:v>
                </c:pt>
                <c:pt idx="2">
                  <c:v>407.33000000000004</c:v>
                </c:pt>
                <c:pt idx="3">
                  <c:v>148.4</c:v>
                </c:pt>
                <c:pt idx="4">
                  <c:v>191.99526</c:v>
                </c:pt>
                <c:pt idx="5">
                  <c:v>287.99288999999999</c:v>
                </c:pt>
                <c:pt idx="6">
                  <c:v>255.99368000000001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3" workbookViewId="0">
      <selection activeCell="E31" sqref="E31:E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2021</v>
      </c>
      <c r="E2" s="137">
        <f>submetering!E2+submetering!F2+submetering!G2</f>
        <v>14780</v>
      </c>
      <c r="F2" s="134">
        <v>1.05</v>
      </c>
      <c r="G2" s="134">
        <f>'Consommation mensuel énergie'!V10</f>
        <v>333.27000000000004</v>
      </c>
      <c r="H2" s="134">
        <v>8.6999999999999993</v>
      </c>
      <c r="I2" s="134">
        <f>'Consommation mensuel énergie'!F10</f>
        <v>116.39999999999418</v>
      </c>
      <c r="J2" s="134">
        <v>11.4</v>
      </c>
      <c r="K2" s="137">
        <f>'Consommation mensuel énergie'!D10</f>
        <v>107</v>
      </c>
      <c r="L2" s="137">
        <f>'Consommation mensuel énergie'!E10</f>
        <v>174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2021</v>
      </c>
      <c r="E3" s="137">
        <f>submetering!E3+submetering!F3+submetering!G3</f>
        <v>14060</v>
      </c>
      <c r="F3" s="134">
        <v>1.05</v>
      </c>
      <c r="G3" s="134">
        <f>'Consommation mensuel énergie'!V11</f>
        <v>370.3</v>
      </c>
      <c r="H3" s="134">
        <v>8.6999999999999993</v>
      </c>
      <c r="I3" s="134">
        <f>'Consommation mensuel énergie'!F11</f>
        <v>106.40000000000873</v>
      </c>
      <c r="J3" s="134">
        <v>11.4</v>
      </c>
      <c r="K3" s="137">
        <f>'Consommation mensuel énergie'!D11</f>
        <v>91</v>
      </c>
      <c r="L3" s="137">
        <f>'Consommation mensuel énergie'!E11</f>
        <v>155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2021</v>
      </c>
      <c r="E4" s="137">
        <f>submetering!E4+submetering!F4+submetering!G4</f>
        <v>14458</v>
      </c>
      <c r="F4" s="134">
        <v>1.05</v>
      </c>
      <c r="G4" s="134">
        <f>'Consommation mensuel énergie'!V12</f>
        <v>407.33000000000004</v>
      </c>
      <c r="H4" s="134">
        <v>8.6999999999999993</v>
      </c>
      <c r="I4" s="134">
        <f>'Consommation mensuel énergie'!F12</f>
        <v>237.59999999999127</v>
      </c>
      <c r="J4" s="134">
        <v>11.4</v>
      </c>
      <c r="K4" s="137">
        <f>'Consommation mensuel énergie'!D12</f>
        <v>84</v>
      </c>
      <c r="L4" s="137">
        <f>'Consommation mensuel énergie'!E12</f>
        <v>144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2021</v>
      </c>
      <c r="E5" s="137">
        <f>submetering!E5+submetering!F5+submetering!G5</f>
        <v>13923</v>
      </c>
      <c r="F5" s="134">
        <v>1.05</v>
      </c>
      <c r="G5" s="134">
        <f>'Consommation mensuel énergie'!V13</f>
        <v>148.4</v>
      </c>
      <c r="H5" s="134">
        <v>8.6999999999999993</v>
      </c>
      <c r="I5" s="134">
        <f>'Consommation mensuel énergie'!F13</f>
        <v>123.5</v>
      </c>
      <c r="J5" s="134">
        <v>11.4</v>
      </c>
      <c r="K5" s="137">
        <f>'Consommation mensuel énergie'!D13</f>
        <v>96</v>
      </c>
      <c r="L5" s="137">
        <f>'Consommation mensuel énergie'!E13</f>
        <v>152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2021</v>
      </c>
      <c r="E6" s="137">
        <f>submetering!E6+submetering!F6+submetering!G6</f>
        <v>15117</v>
      </c>
      <c r="F6" s="134">
        <v>1.05</v>
      </c>
      <c r="G6" s="134">
        <f>'Consommation mensuel énergie'!V14</f>
        <v>191.99526</v>
      </c>
      <c r="H6" s="134">
        <v>8.6999999999999993</v>
      </c>
      <c r="I6" s="134">
        <f>'Consommation mensuel énergie'!F14</f>
        <v>103.70000000001164</v>
      </c>
      <c r="J6" s="134">
        <v>11.4</v>
      </c>
      <c r="K6" s="137">
        <f>'Consommation mensuel énergie'!D14</f>
        <v>107</v>
      </c>
      <c r="L6" s="137">
        <f>'Consommation mensuel énergie'!E14</f>
        <v>168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2021</v>
      </c>
      <c r="E7" s="137">
        <f>submetering!E7+submetering!F7+submetering!G7</f>
        <v>15307</v>
      </c>
      <c r="F7" s="134">
        <v>1.05</v>
      </c>
      <c r="G7" s="134">
        <f>'Consommation mensuel énergie'!V15</f>
        <v>287.99288999999999</v>
      </c>
      <c r="H7" s="134">
        <v>8.6999999999999993</v>
      </c>
      <c r="I7" s="134">
        <f>'Consommation mensuel énergie'!F15</f>
        <v>107.09999999999127</v>
      </c>
      <c r="J7" s="134">
        <v>11.4</v>
      </c>
      <c r="K7" s="137">
        <f>'Consommation mensuel énergie'!D15</f>
        <v>98</v>
      </c>
      <c r="L7" s="137">
        <f>'Consommation mensuel énergie'!E15</f>
        <v>173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2021</v>
      </c>
      <c r="E8" s="137">
        <f>submetering!E8+submetering!F8+submetering!G8</f>
        <v>16467</v>
      </c>
      <c r="F8" s="134">
        <v>1.05</v>
      </c>
      <c r="G8" s="134">
        <f>'Consommation mensuel énergie'!V16</f>
        <v>255.99368000000001</v>
      </c>
      <c r="H8" s="134">
        <v>8.6999999999999993</v>
      </c>
      <c r="I8" s="134">
        <f>'Consommation mensuel énergie'!F16</f>
        <v>125.10000000000582</v>
      </c>
      <c r="J8" s="134">
        <v>11.4</v>
      </c>
      <c r="K8" s="137">
        <f>'Consommation mensuel énergie'!D16</f>
        <v>100</v>
      </c>
      <c r="L8" s="137">
        <f>'Consommation mensuel énergie'!E16</f>
        <v>182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2021</v>
      </c>
      <c r="E9" s="137">
        <f>submetering!E9+submetering!F9+submetering!G9</f>
        <v>14778</v>
      </c>
      <c r="F9" s="134">
        <v>1.05</v>
      </c>
      <c r="G9" s="134">
        <f>'Consommation mensuel énergie'!V17</f>
        <v>287.99288999999999</v>
      </c>
      <c r="H9" s="134">
        <v>8.6999999999999993</v>
      </c>
      <c r="I9" s="134">
        <f>'Consommation mensuel énergie'!F17</f>
        <v>117.59999999999127</v>
      </c>
      <c r="J9" s="134">
        <v>11.4</v>
      </c>
      <c r="K9" s="137">
        <f>'Consommation mensuel énergie'!D17</f>
        <v>66</v>
      </c>
      <c r="L9" s="137">
        <f>'Consommation mensuel énergie'!E17</f>
        <v>115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2021</v>
      </c>
      <c r="E10" s="137">
        <f>submetering!E10+submetering!F10+submetering!G10</f>
        <v>13650</v>
      </c>
      <c r="F10" s="134">
        <v>1.05</v>
      </c>
      <c r="G10" s="134">
        <f>'Consommation mensuel énergie'!V19</f>
        <v>0</v>
      </c>
      <c r="H10" s="134">
        <v>8.6999999999999993</v>
      </c>
      <c r="I10" s="134">
        <f>'Consommation mensuel énergie'!F18</f>
        <v>91.100000000005821</v>
      </c>
      <c r="J10" s="134">
        <v>11.4</v>
      </c>
      <c r="K10" s="137">
        <f>'Consommation mensuel énergie'!D18</f>
        <v>70</v>
      </c>
      <c r="L10" s="137">
        <f>'Consommation mensuel énergie'!E18</f>
        <v>127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2021</v>
      </c>
      <c r="E11" s="137">
        <f>submetering!E11+submetering!F11+submetering!G11</f>
        <v>13322</v>
      </c>
      <c r="F11" s="134">
        <v>1.05</v>
      </c>
      <c r="G11" s="134">
        <f>'Consommation mensuel énergie'!V20</f>
        <v>0</v>
      </c>
      <c r="H11" s="134">
        <v>8.6999999999999993</v>
      </c>
      <c r="I11" s="134">
        <f>'Consommation mensuel énergie'!F19</f>
        <v>122.60000000000582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8.6999999999999993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2539.2684000000004</v>
      </c>
      <c r="H31" s="134">
        <v>8.6999999999999993</v>
      </c>
      <c r="I31" s="134">
        <f>'Consommation mensuel énergie'!F40</f>
        <v>0</v>
      </c>
      <c r="J31" s="134">
        <v>11.4</v>
      </c>
      <c r="K31" s="137">
        <f>'Consommation mensuel énergie'!D40</f>
        <v>0</v>
      </c>
      <c r="L31" s="137">
        <f>'Consommation mensuel énergie'!E40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8.6999999999999993</v>
      </c>
      <c r="I32" s="134">
        <f>'Consommation mensuel énergie'!F41</f>
        <v>1251.1000000000058</v>
      </c>
      <c r="J32" s="134">
        <v>11.4</v>
      </c>
      <c r="K32" s="137">
        <f>'Consommation mensuel énergie'!D41</f>
        <v>819</v>
      </c>
      <c r="L32" s="137">
        <f>'Consommation mensuel énergie'!E41</f>
        <v>1390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A35" s="169"/>
      <c r="F35" s="134"/>
      <c r="G35" s="134"/>
      <c r="H35" s="134"/>
      <c r="I35" s="134"/>
      <c r="J35" s="134"/>
    </row>
    <row r="36" spans="1:13">
      <c r="A36" s="169"/>
      <c r="F36" s="134"/>
      <c r="G36" s="134"/>
      <c r="H36" s="134"/>
      <c r="I36" s="134"/>
      <c r="J36" s="134"/>
    </row>
    <row r="37" spans="1:13">
      <c r="A37" s="169"/>
      <c r="F37" s="134"/>
      <c r="G37" s="134"/>
      <c r="H37" s="134"/>
      <c r="I37" s="134"/>
      <c r="J37" s="134"/>
    </row>
    <row r="38" spans="1:13">
      <c r="A38" s="169"/>
      <c r="F38" s="134"/>
      <c r="G38" s="134"/>
      <c r="H38" s="134"/>
      <c r="I38" s="134"/>
      <c r="J38" s="134"/>
    </row>
    <row r="39" spans="1:13">
      <c r="A39" s="169"/>
      <c r="F39" s="134"/>
      <c r="G39" s="134"/>
      <c r="H39" s="134"/>
      <c r="I39" s="134"/>
      <c r="J39" s="134"/>
    </row>
    <row r="40" spans="1:13">
      <c r="A40" s="169"/>
      <c r="F40" s="134"/>
      <c r="G40" s="134"/>
      <c r="H40" s="134"/>
      <c r="I40" s="134"/>
      <c r="J40" s="134"/>
    </row>
    <row r="41" spans="1:13">
      <c r="A41" s="169"/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E15" sqref="E15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2021</v>
      </c>
      <c r="E2" s="137">
        <f>'Consommation mensuel énergie'!L10</f>
        <v>3789</v>
      </c>
      <c r="F2" s="137">
        <f>'Consommation mensuel énergie'!M10</f>
        <v>8010</v>
      </c>
      <c r="G2" s="137">
        <f>'Consommation mensuel énergie'!N10</f>
        <v>2981</v>
      </c>
      <c r="H2" s="137">
        <f>'Consommation mensuel énergie'!D10</f>
        <v>107</v>
      </c>
      <c r="I2" s="137">
        <f>'Consommation mensuel énergie'!E10</f>
        <v>174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2021</v>
      </c>
      <c r="E3" s="137">
        <f>'Consommation mensuel énergie'!L11</f>
        <v>3323</v>
      </c>
      <c r="F3" s="137">
        <f>'Consommation mensuel énergie'!M11</f>
        <v>7812</v>
      </c>
      <c r="G3" s="137">
        <f>'Consommation mensuel énergie'!N14</f>
        <v>2925</v>
      </c>
      <c r="H3" s="137">
        <f>'Consommation mensuel énergie'!D11</f>
        <v>91</v>
      </c>
      <c r="I3" s="137">
        <f>'Consommation mensuel énergie'!E11</f>
        <v>155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2021</v>
      </c>
      <c r="E4" s="137">
        <f>'Consommation mensuel énergie'!L12</f>
        <v>3355</v>
      </c>
      <c r="F4" s="137">
        <f>'Consommation mensuel énergie'!M12</f>
        <v>7827</v>
      </c>
      <c r="G4" s="137">
        <f>'Consommation mensuel énergie'!N12</f>
        <v>3276</v>
      </c>
      <c r="H4" s="137">
        <f>'Consommation mensuel énergie'!D12</f>
        <v>84</v>
      </c>
      <c r="I4" s="137">
        <f>'Consommation mensuel énergie'!E12</f>
        <v>144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2021</v>
      </c>
      <c r="E5" s="137">
        <f>'Consommation mensuel énergie'!L13</f>
        <v>3228</v>
      </c>
      <c r="F5" s="137">
        <f>'Consommation mensuel énergie'!M13</f>
        <v>7581</v>
      </c>
      <c r="G5" s="137">
        <f>'Consommation mensuel énergie'!N13</f>
        <v>3114</v>
      </c>
      <c r="H5" s="137">
        <f>'Consommation mensuel énergie'!D13</f>
        <v>96</v>
      </c>
      <c r="I5" s="137">
        <f>'Consommation mensuel énergie'!E13</f>
        <v>152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2021</v>
      </c>
      <c r="E6" s="137">
        <f>'Consommation mensuel énergie'!L14</f>
        <v>4251</v>
      </c>
      <c r="F6" s="137">
        <f>'Consommation mensuel énergie'!M14</f>
        <v>7941</v>
      </c>
      <c r="G6" s="137">
        <f>'Consommation mensuel énergie'!N14</f>
        <v>2925</v>
      </c>
      <c r="H6" s="137">
        <f>'Consommation mensuel énergie'!D14</f>
        <v>107</v>
      </c>
      <c r="I6" s="137">
        <f>'Consommation mensuel énergie'!E14</f>
        <v>168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2021</v>
      </c>
      <c r="E7" s="137">
        <f>'Consommation mensuel énergie'!L15</f>
        <v>3759</v>
      </c>
      <c r="F7" s="137">
        <f>'Consommation mensuel énergie'!M15</f>
        <v>8185</v>
      </c>
      <c r="G7" s="137">
        <f>'Consommation mensuel énergie'!N15</f>
        <v>3363</v>
      </c>
      <c r="H7" s="137">
        <f>'Consommation mensuel énergie'!D15</f>
        <v>98</v>
      </c>
      <c r="I7" s="137">
        <f>'Consommation mensuel énergie'!E15</f>
        <v>173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2021</v>
      </c>
      <c r="E8" s="137">
        <f>'Consommation mensuel énergie'!L16</f>
        <v>4155</v>
      </c>
      <c r="F8" s="137">
        <f>'Consommation mensuel énergie'!M16</f>
        <v>8948</v>
      </c>
      <c r="G8" s="137">
        <f>'Consommation mensuel énergie'!N16</f>
        <v>3364</v>
      </c>
      <c r="H8" s="137">
        <f>'Consommation mensuel énergie'!D16</f>
        <v>100</v>
      </c>
      <c r="I8" s="137">
        <f>'Consommation mensuel énergie'!E16</f>
        <v>182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2021</v>
      </c>
      <c r="E9" s="137">
        <f>'Consommation mensuel énergie'!L17</f>
        <v>3897</v>
      </c>
      <c r="F9" s="137">
        <f>'Consommation mensuel énergie'!M17</f>
        <v>8099</v>
      </c>
      <c r="G9" s="137">
        <f>'Consommation mensuel énergie'!N17</f>
        <v>2782</v>
      </c>
      <c r="H9" s="137">
        <f>'Consommation mensuel énergie'!D17</f>
        <v>66</v>
      </c>
      <c r="I9" s="137">
        <f>'Consommation mensuel énergie'!E17</f>
        <v>115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2021</v>
      </c>
      <c r="E10" s="137">
        <f>'Consommation mensuel énergie'!L18</f>
        <v>3560</v>
      </c>
      <c r="F10" s="137">
        <f>'Consommation mensuel énergie'!M18</f>
        <v>7480</v>
      </c>
      <c r="G10" s="137">
        <f>'Consommation mensuel énergie'!N18</f>
        <v>2610</v>
      </c>
      <c r="H10" s="137">
        <f>'Consommation mensuel énergie'!D18</f>
        <v>70</v>
      </c>
      <c r="I10" s="137">
        <f>'Consommation mensuel énergie'!E18</f>
        <v>127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2021</v>
      </c>
      <c r="E11" s="137">
        <f>'Consommation mensuel énergie'!L19</f>
        <v>3409</v>
      </c>
      <c r="F11" s="137">
        <f>'Consommation mensuel énergie'!M19</f>
        <v>7802</v>
      </c>
      <c r="G11" s="137">
        <f>'Consommation mensuel énergie'!N19</f>
        <v>2111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énergie'!D40</f>
        <v>0</v>
      </c>
      <c r="I31" s="137">
        <f>'Consommation mensuel énergie'!E40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énergie'!D41</f>
        <v>819</v>
      </c>
      <c r="I32" s="137">
        <f>'Consommation mensuel énergie'!E41</f>
        <v>1390</v>
      </c>
      <c r="J32" s="133"/>
    </row>
    <row r="33" spans="1:9">
      <c r="A33" s="169"/>
      <c r="E33" s="134"/>
      <c r="F33" s="134"/>
      <c r="G33" s="134"/>
      <c r="H33" s="133"/>
      <c r="I33" s="133"/>
    </row>
    <row r="34" spans="1:9">
      <c r="A34" s="169"/>
      <c r="E34" s="134"/>
      <c r="F34" s="134"/>
      <c r="G34" s="134"/>
      <c r="H34" s="133"/>
      <c r="I34" s="133"/>
    </row>
    <row r="35" spans="1:9">
      <c r="A35" s="169"/>
      <c r="E35" s="134"/>
      <c r="F35" s="134"/>
      <c r="G35" s="134"/>
      <c r="H35" s="133"/>
      <c r="I35" s="133"/>
    </row>
    <row r="36" spans="1:9">
      <c r="A36" s="169"/>
      <c r="E36" s="134"/>
      <c r="F36" s="134"/>
      <c r="G36" s="134"/>
      <c r="H36" s="133"/>
      <c r="I36" s="133"/>
    </row>
    <row r="37" spans="1:9">
      <c r="A37" s="169"/>
      <c r="E37" s="134"/>
      <c r="F37" s="134"/>
      <c r="G37" s="134"/>
      <c r="H37" s="133"/>
      <c r="I37" s="133"/>
    </row>
    <row r="38" spans="1:9">
      <c r="A38" s="169"/>
      <c r="E38" s="134"/>
      <c r="F38" s="134"/>
      <c r="G38" s="134"/>
      <c r="H38" s="133"/>
      <c r="I38" s="133"/>
    </row>
    <row r="39" spans="1:9">
      <c r="A39" s="169"/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5" activePane="bottomRight" state="frozen"/>
      <selection pane="bottomRight" activeCell="F18" sqref="F1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5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</row>
    <row r="2" spans="1:24" ht="100.5" customHeight="1" thickBot="1">
      <c r="A2" s="239"/>
      <c r="B2" s="240"/>
      <c r="C2" s="240"/>
      <c r="D2" s="240"/>
      <c r="E2" s="240"/>
      <c r="F2" s="240"/>
      <c r="G2" s="240"/>
      <c r="H2" s="241"/>
      <c r="I2" s="250" t="s">
        <v>17</v>
      </c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</row>
    <row r="3" spans="1:24" ht="15" hidden="1" customHeight="1" thickBot="1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</row>
    <row r="4" spans="1:24" ht="39" hidden="1" customHeight="1" thickBot="1">
      <c r="A4" s="242"/>
      <c r="B4" s="242"/>
      <c r="C4" s="242"/>
      <c r="D4" s="160"/>
      <c r="E4" s="160"/>
      <c r="F4" s="160"/>
      <c r="G4" s="160"/>
      <c r="H4" s="160"/>
      <c r="I4" s="160"/>
      <c r="J4" s="160"/>
      <c r="K4" s="160"/>
      <c r="L4" s="160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42"/>
      <c r="B5" s="242"/>
      <c r="C5" s="242"/>
      <c r="D5" s="160"/>
      <c r="E5" s="160"/>
      <c r="F5" s="160"/>
      <c r="G5" s="160"/>
      <c r="H5" s="160"/>
      <c r="I5" s="160"/>
      <c r="J5" s="160"/>
      <c r="K5" s="160"/>
      <c r="L5" s="160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</row>
    <row r="6" spans="1:24" s="5" customFormat="1" ht="44.25" hidden="1" customHeight="1" thickBot="1">
      <c r="A6" s="3"/>
      <c r="B6" s="3"/>
      <c r="C6" s="3"/>
      <c r="D6" s="160"/>
      <c r="E6" s="160"/>
      <c r="F6" s="160"/>
      <c r="G6" s="160"/>
      <c r="H6" s="160"/>
      <c r="I6" s="160"/>
      <c r="J6" s="160"/>
      <c r="K6" s="160"/>
      <c r="L6" s="160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</row>
    <row r="7" spans="1:24" s="5" customFormat="1" ht="18.75" hidden="1" customHeight="1" thickBot="1">
      <c r="A7" s="160"/>
      <c r="B7" s="160"/>
      <c r="C7" s="160"/>
      <c r="D7" s="160"/>
      <c r="E7" s="160"/>
      <c r="F7" s="243"/>
      <c r="G7" s="243"/>
      <c r="H7" s="243"/>
      <c r="I7" s="243"/>
      <c r="J7" s="243"/>
      <c r="K7" s="243"/>
      <c r="L7" s="243"/>
      <c r="M7" s="243"/>
      <c r="N7" s="252"/>
      <c r="O7" s="252"/>
      <c r="P7" s="243"/>
      <c r="Q7" s="243"/>
      <c r="R7" s="243"/>
      <c r="S7" s="243"/>
      <c r="T7" s="243"/>
      <c r="U7" s="243"/>
      <c r="V7" s="243"/>
      <c r="W7" s="243"/>
      <c r="X7" s="243"/>
    </row>
    <row r="8" spans="1:24" ht="18.75" customHeight="1" thickBot="1">
      <c r="A8" s="243"/>
      <c r="B8" s="254" t="s">
        <v>19</v>
      </c>
      <c r="C8" s="4"/>
      <c r="D8" s="214" t="s">
        <v>20</v>
      </c>
      <c r="E8" s="214" t="s">
        <v>21</v>
      </c>
      <c r="F8" s="237" t="s">
        <v>22</v>
      </c>
      <c r="G8" s="2"/>
      <c r="H8" s="244" t="s">
        <v>23</v>
      </c>
      <c r="I8" s="245"/>
      <c r="J8" s="246"/>
      <c r="K8" s="255" t="s">
        <v>24</v>
      </c>
      <c r="L8" s="236" t="s">
        <v>25</v>
      </c>
      <c r="M8" s="236"/>
      <c r="N8" s="236"/>
      <c r="O8" s="236" t="s">
        <v>26</v>
      </c>
      <c r="P8" s="2"/>
      <c r="Q8" s="216" t="s">
        <v>23</v>
      </c>
      <c r="R8" s="2"/>
      <c r="S8" s="216" t="s">
        <v>27</v>
      </c>
      <c r="T8" s="2"/>
      <c r="U8" s="216" t="s">
        <v>28</v>
      </c>
      <c r="V8" s="218" t="s">
        <v>29</v>
      </c>
      <c r="W8" s="2"/>
      <c r="X8" s="216" t="s">
        <v>23</v>
      </c>
    </row>
    <row r="9" spans="1:24" ht="59.25" customHeight="1" thickBot="1">
      <c r="A9" s="243"/>
      <c r="B9" s="254"/>
      <c r="C9" s="4"/>
      <c r="D9" s="215"/>
      <c r="E9" s="215"/>
      <c r="F9" s="238"/>
      <c r="G9" s="2"/>
      <c r="H9" s="247"/>
      <c r="I9" s="248"/>
      <c r="J9" s="249"/>
      <c r="K9" s="256"/>
      <c r="L9" s="159" t="s">
        <v>30</v>
      </c>
      <c r="M9" s="159" t="s">
        <v>31</v>
      </c>
      <c r="N9" s="159" t="s">
        <v>32</v>
      </c>
      <c r="O9" s="253"/>
      <c r="P9" s="2"/>
      <c r="Q9" s="217"/>
      <c r="R9" s="2"/>
      <c r="S9" s="217"/>
      <c r="T9" s="2"/>
      <c r="U9" s="217"/>
      <c r="V9" s="219"/>
      <c r="W9" s="2"/>
      <c r="X9" s="217"/>
    </row>
    <row r="10" spans="1:24" ht="32.25" customHeight="1">
      <c r="A10" s="2"/>
      <c r="B10" s="6">
        <v>44409</v>
      </c>
      <c r="C10" s="7"/>
      <c r="D10" s="143">
        <v>107</v>
      </c>
      <c r="E10" s="143">
        <v>174</v>
      </c>
      <c r="F10" s="13">
        <f>'Suivi EAU-ELEC'!E9</f>
        <v>116.39999999999418</v>
      </c>
      <c r="G10" s="11"/>
      <c r="H10" s="173">
        <f>F10*8.79</f>
        <v>1023.1559999999488</v>
      </c>
      <c r="I10" s="174"/>
      <c r="J10" s="174"/>
      <c r="K10" s="60">
        <v>42278</v>
      </c>
      <c r="L10" s="90">
        <f>'Suivi EAU-ELEC'!G9</f>
        <v>3789</v>
      </c>
      <c r="M10" s="91">
        <f>'Suivi EAU-ELEC'!I9</f>
        <v>8010</v>
      </c>
      <c r="N10" s="91">
        <f>'Suivi EAU-ELEC'!K9</f>
        <v>2981</v>
      </c>
      <c r="O10" s="91">
        <f>L10+M10+N10</f>
        <v>14780</v>
      </c>
      <c r="P10" s="11"/>
      <c r="Q10" s="34">
        <f>L10*0.6985+M10*0.9514+N10*1.3304</f>
        <v>14233.252899999999</v>
      </c>
      <c r="R10" s="11"/>
      <c r="S10" s="28"/>
      <c r="T10" s="11"/>
      <c r="U10" s="28"/>
      <c r="V10" s="146">
        <f>'Suvi Gaz'!O4</f>
        <v>333.27000000000004</v>
      </c>
      <c r="W10" s="11"/>
      <c r="X10" s="34">
        <f>V10*9.01</f>
        <v>3002.7627000000002</v>
      </c>
    </row>
    <row r="11" spans="1:24" ht="32.25" customHeight="1">
      <c r="A11" s="2"/>
      <c r="B11" s="6">
        <v>44410</v>
      </c>
      <c r="C11" s="7"/>
      <c r="D11" s="143">
        <v>91</v>
      </c>
      <c r="E11" s="143">
        <v>155</v>
      </c>
      <c r="F11" s="13">
        <f>'Suivi EAU-ELEC'!E10</f>
        <v>106.40000000000873</v>
      </c>
      <c r="G11" s="11"/>
      <c r="H11" s="173">
        <f t="shared" ref="H11:H21" si="0">F11*8.79</f>
        <v>935.25600000007671</v>
      </c>
      <c r="I11" s="174"/>
      <c r="J11" s="174"/>
      <c r="K11" s="60">
        <v>42279</v>
      </c>
      <c r="L11" s="90">
        <f>'Suivi EAU-ELEC'!G10</f>
        <v>3323</v>
      </c>
      <c r="M11" s="91">
        <f>'Suivi EAU-ELEC'!I10</f>
        <v>7812</v>
      </c>
      <c r="N11" s="91">
        <f>'Suivi EAU-ELEC'!K10</f>
        <v>2885</v>
      </c>
      <c r="O11" s="91">
        <f>L11+M11+N11</f>
        <v>14020</v>
      </c>
      <c r="P11" s="11"/>
      <c r="Q11" s="34">
        <f>L11*0.6985+M11*0.9514+N14*1.3304</f>
        <v>13644.872300000001</v>
      </c>
      <c r="R11" s="11"/>
      <c r="S11" s="28"/>
      <c r="T11" s="11"/>
      <c r="U11" s="28"/>
      <c r="V11" s="146">
        <f>'Suvi Gaz'!O5</f>
        <v>370.3</v>
      </c>
      <c r="W11" s="11"/>
      <c r="X11" s="34">
        <f t="shared" ref="X11:X40" si="1">V11*9.01</f>
        <v>3336.4030000000002</v>
      </c>
    </row>
    <row r="12" spans="1:24" ht="32.25" customHeight="1">
      <c r="A12" s="2"/>
      <c r="B12" s="6">
        <v>44411</v>
      </c>
      <c r="C12" s="7"/>
      <c r="D12" s="143">
        <v>84</v>
      </c>
      <c r="E12" s="143">
        <v>144</v>
      </c>
      <c r="F12" s="13">
        <f>'Suivi EAU-ELEC'!E11</f>
        <v>237.59999999999127</v>
      </c>
      <c r="G12" s="11"/>
      <c r="H12" s="173">
        <f t="shared" si="0"/>
        <v>2088.5039999999231</v>
      </c>
      <c r="I12" s="174"/>
      <c r="J12" s="174"/>
      <c r="K12" s="60">
        <v>42280</v>
      </c>
      <c r="L12" s="90">
        <f>'Suivi EAU-ELEC'!G11</f>
        <v>3355</v>
      </c>
      <c r="M12" s="91">
        <f>'Suivi EAU-ELEC'!I11</f>
        <v>7827</v>
      </c>
      <c r="N12" s="91">
        <f>'Suivi EAU-ELEC'!K11</f>
        <v>3276</v>
      </c>
      <c r="O12" s="91">
        <f>L12+M12+N12</f>
        <v>14458</v>
      </c>
      <c r="P12" s="11"/>
      <c r="Q12" s="34">
        <f>L12*0.6985+M12*0.9514+N12*1.3304</f>
        <v>14148.465700000001</v>
      </c>
      <c r="R12" s="11"/>
      <c r="S12" s="28"/>
      <c r="T12" s="11"/>
      <c r="U12" s="28"/>
      <c r="V12" s="146">
        <f>'Suvi Gaz'!O6</f>
        <v>407.33000000000004</v>
      </c>
      <c r="W12" s="11"/>
      <c r="X12" s="34">
        <f t="shared" si="1"/>
        <v>3670.0433000000003</v>
      </c>
    </row>
    <row r="13" spans="1:24" ht="32.25" customHeight="1">
      <c r="A13" s="2"/>
      <c r="B13" s="6">
        <v>44412</v>
      </c>
      <c r="C13" s="7"/>
      <c r="D13" s="143">
        <v>96</v>
      </c>
      <c r="E13" s="143">
        <v>152</v>
      </c>
      <c r="F13" s="13">
        <f>'Suivi EAU-ELEC'!E12</f>
        <v>123.5</v>
      </c>
      <c r="G13" s="11"/>
      <c r="H13" s="173">
        <f t="shared" si="0"/>
        <v>1085.5649999999998</v>
      </c>
      <c r="I13" s="174"/>
      <c r="J13" s="174"/>
      <c r="K13" s="60">
        <v>42281</v>
      </c>
      <c r="L13" s="90">
        <f>'Suivi EAU-ELEC'!G12</f>
        <v>3228</v>
      </c>
      <c r="M13" s="91">
        <f>'Suivi EAU-ELEC'!I12</f>
        <v>7581</v>
      </c>
      <c r="N13" s="91">
        <f>'Suivi EAU-ELEC'!K12</f>
        <v>3114</v>
      </c>
      <c r="O13" s="91">
        <f t="shared" ref="O13:O40" si="2">L13+M13+N13</f>
        <v>13923</v>
      </c>
      <c r="P13" s="11"/>
      <c r="Q13" s="34">
        <f t="shared" ref="Q13:Q40" si="3">L13*0.6985+M13*0.9514+N13*1.3304</f>
        <v>13610.187000000002</v>
      </c>
      <c r="R13" s="11"/>
      <c r="S13" s="28"/>
      <c r="T13" s="11"/>
      <c r="U13" s="28"/>
      <c r="V13" s="146">
        <f>'Suvi Gaz'!O7</f>
        <v>148.4</v>
      </c>
      <c r="W13" s="11"/>
      <c r="X13" s="34">
        <f t="shared" si="1"/>
        <v>1337.0840000000001</v>
      </c>
    </row>
    <row r="14" spans="1:24" ht="32.25" customHeight="1">
      <c r="A14" s="2"/>
      <c r="B14" s="6">
        <v>44413</v>
      </c>
      <c r="C14" s="7"/>
      <c r="D14" s="143">
        <v>107</v>
      </c>
      <c r="E14" s="143">
        <v>168</v>
      </c>
      <c r="F14" s="13">
        <f>'Suivi EAU-ELEC'!E13</f>
        <v>103.70000000001164</v>
      </c>
      <c r="G14" s="12"/>
      <c r="H14" s="173">
        <f t="shared" si="0"/>
        <v>911.52300000010223</v>
      </c>
      <c r="I14" s="174"/>
      <c r="J14" s="174"/>
      <c r="K14" s="60">
        <v>42282</v>
      </c>
      <c r="L14" s="90">
        <f>'Suivi EAU-ELEC'!G13</f>
        <v>4251</v>
      </c>
      <c r="M14" s="91">
        <f>'Suivi EAU-ELEC'!I13</f>
        <v>7941</v>
      </c>
      <c r="N14" s="91">
        <f>'Suivi EAU-ELEC'!K13</f>
        <v>2925</v>
      </c>
      <c r="O14" s="91">
        <f t="shared" si="2"/>
        <v>15117</v>
      </c>
      <c r="P14" s="12"/>
      <c r="Q14" s="34">
        <f t="shared" si="3"/>
        <v>14415.8109</v>
      </c>
      <c r="R14" s="12"/>
      <c r="S14" s="28"/>
      <c r="T14" s="12"/>
      <c r="U14" s="28"/>
      <c r="V14" s="146">
        <f>'Suvi Gaz'!O8</f>
        <v>191.99526</v>
      </c>
      <c r="W14" s="11"/>
      <c r="X14" s="34">
        <f t="shared" si="1"/>
        <v>1729.8772925999999</v>
      </c>
    </row>
    <row r="15" spans="1:24" ht="32.25" customHeight="1">
      <c r="A15" s="160"/>
      <c r="B15" s="6">
        <v>44414</v>
      </c>
      <c r="C15" s="7"/>
      <c r="D15" s="143">
        <v>98</v>
      </c>
      <c r="E15" s="143">
        <v>173</v>
      </c>
      <c r="F15" s="13">
        <f>'Suivi EAU-ELEC'!E14</f>
        <v>107.09999999999127</v>
      </c>
      <c r="G15" s="11"/>
      <c r="H15" s="173">
        <f t="shared" si="0"/>
        <v>941.40899999992314</v>
      </c>
      <c r="I15" s="174"/>
      <c r="J15" s="174"/>
      <c r="K15" s="60">
        <v>42283</v>
      </c>
      <c r="L15" s="90">
        <f>'Suivi EAU-ELEC'!G14</f>
        <v>3759</v>
      </c>
      <c r="M15" s="91">
        <f>'Suivi EAU-ELEC'!I14</f>
        <v>8185</v>
      </c>
      <c r="N15" s="91">
        <f>'Suivi EAU-ELEC'!K14</f>
        <v>3363</v>
      </c>
      <c r="O15" s="91">
        <f t="shared" si="2"/>
        <v>15307</v>
      </c>
      <c r="P15" s="12"/>
      <c r="Q15" s="34">
        <f>L15*0.6985+M15*0.9514+N15*1.3304</f>
        <v>14887.005700000002</v>
      </c>
      <c r="R15" s="12"/>
      <c r="S15" s="28"/>
      <c r="T15" s="12"/>
      <c r="U15" s="28"/>
      <c r="V15" s="146">
        <f>'Suvi Gaz'!O9</f>
        <v>287.99288999999999</v>
      </c>
      <c r="W15" s="11"/>
      <c r="X15" s="34">
        <f t="shared" si="1"/>
        <v>2594.8159388999998</v>
      </c>
    </row>
    <row r="16" spans="1:24" ht="32.25" customHeight="1">
      <c r="A16" s="160"/>
      <c r="B16" s="6">
        <v>44415</v>
      </c>
      <c r="C16" s="7"/>
      <c r="D16" s="143">
        <v>100</v>
      </c>
      <c r="E16" s="143">
        <v>182</v>
      </c>
      <c r="F16" s="13">
        <f>'Suivi EAU-ELEC'!E15</f>
        <v>125.10000000000582</v>
      </c>
      <c r="G16" s="11"/>
      <c r="H16" s="173">
        <f t="shared" si="0"/>
        <v>1099.6290000000511</v>
      </c>
      <c r="I16" s="174"/>
      <c r="J16" s="174"/>
      <c r="K16" s="60">
        <v>42284</v>
      </c>
      <c r="L16" s="90">
        <f>'Suivi EAU-ELEC'!G15</f>
        <v>4155</v>
      </c>
      <c r="M16" s="91">
        <f>'Suivi EAU-ELEC'!I15</f>
        <v>8948</v>
      </c>
      <c r="N16" s="91">
        <f>'Suivi EAU-ELEC'!K15</f>
        <v>3364</v>
      </c>
      <c r="O16" s="91">
        <f t="shared" si="2"/>
        <v>16467</v>
      </c>
      <c r="P16" s="11"/>
      <c r="Q16" s="34">
        <f t="shared" si="3"/>
        <v>15890.8603</v>
      </c>
      <c r="R16" s="11"/>
      <c r="S16" s="28"/>
      <c r="T16" s="11"/>
      <c r="U16" s="28"/>
      <c r="V16" s="146">
        <f>'Suvi Gaz'!O10</f>
        <v>255.99368000000001</v>
      </c>
      <c r="W16" s="11"/>
      <c r="X16" s="34">
        <f t="shared" si="1"/>
        <v>2306.5030568000002</v>
      </c>
    </row>
    <row r="17" spans="1:24" s="5" customFormat="1" ht="32.25" customHeight="1">
      <c r="A17" s="2"/>
      <c r="B17" s="6">
        <v>44416</v>
      </c>
      <c r="C17" s="7"/>
      <c r="D17" s="143">
        <v>66</v>
      </c>
      <c r="E17" s="143">
        <v>115</v>
      </c>
      <c r="F17" s="13">
        <f>'Suivi EAU-ELEC'!E16</f>
        <v>117.59999999999127</v>
      </c>
      <c r="G17" s="11"/>
      <c r="H17" s="173">
        <f t="shared" si="0"/>
        <v>1033.7039999999231</v>
      </c>
      <c r="I17" s="174"/>
      <c r="J17" s="174"/>
      <c r="K17" s="60">
        <v>42285</v>
      </c>
      <c r="L17" s="90">
        <f>'Suivi EAU-ELEC'!G16</f>
        <v>3897</v>
      </c>
      <c r="M17" s="91">
        <f>'Suivi EAU-ELEC'!I16</f>
        <v>8099</v>
      </c>
      <c r="N17" s="91">
        <f>'Suivi EAU-ELEC'!K16</f>
        <v>2782</v>
      </c>
      <c r="O17" s="91">
        <f t="shared" si="2"/>
        <v>14778</v>
      </c>
      <c r="P17" s="12"/>
      <c r="Q17" s="34">
        <f t="shared" si="3"/>
        <v>14128.615900000001</v>
      </c>
      <c r="R17" s="12"/>
      <c r="S17" s="28"/>
      <c r="T17" s="12"/>
      <c r="U17" s="28"/>
      <c r="V17" s="146">
        <f>'Suvi Gaz'!O11</f>
        <v>287.99288999999999</v>
      </c>
      <c r="W17" s="11"/>
      <c r="X17" s="34">
        <f t="shared" si="1"/>
        <v>2594.8159388999998</v>
      </c>
    </row>
    <row r="18" spans="1:24" ht="32.25" customHeight="1">
      <c r="A18" s="2"/>
      <c r="B18" s="6">
        <v>44417</v>
      </c>
      <c r="C18" s="7"/>
      <c r="D18" s="143">
        <v>70</v>
      </c>
      <c r="E18" s="143">
        <v>127</v>
      </c>
      <c r="F18" s="13">
        <f>'Suivi EAU-ELEC'!E17</f>
        <v>91.100000000005821</v>
      </c>
      <c r="G18" s="11"/>
      <c r="H18" s="173">
        <f t="shared" si="0"/>
        <v>800.76900000005105</v>
      </c>
      <c r="I18" s="174"/>
      <c r="J18" s="174"/>
      <c r="K18" s="60">
        <v>42286</v>
      </c>
      <c r="L18" s="90">
        <f>'Suivi EAU-ELEC'!G17</f>
        <v>3560</v>
      </c>
      <c r="M18" s="91">
        <f>'Suivi EAU-ELEC'!I17</f>
        <v>7480</v>
      </c>
      <c r="N18" s="91">
        <f>'Suivi EAU-ELEC'!K17</f>
        <v>2610</v>
      </c>
      <c r="O18" s="91">
        <f t="shared" si="2"/>
        <v>13650</v>
      </c>
      <c r="P18" s="12"/>
      <c r="Q18" s="34">
        <f t="shared" si="3"/>
        <v>13075.475999999999</v>
      </c>
      <c r="R18" s="12"/>
      <c r="S18" s="28"/>
      <c r="T18" s="12"/>
      <c r="U18" s="28"/>
      <c r="V18" s="146">
        <f>'Suvi Gaz'!O12</f>
        <v>255.99368000000001</v>
      </c>
      <c r="W18" s="11"/>
      <c r="X18" s="34">
        <f t="shared" si="1"/>
        <v>2306.5030568000002</v>
      </c>
    </row>
    <row r="19" spans="1:24" ht="32.25" customHeight="1">
      <c r="A19" s="2"/>
      <c r="B19" s="6">
        <v>44418</v>
      </c>
      <c r="C19" s="7"/>
      <c r="D19" s="143"/>
      <c r="E19" s="143"/>
      <c r="F19" s="13">
        <f>'Suivi EAU-ELEC'!E18</f>
        <v>122.60000000000582</v>
      </c>
      <c r="G19" s="12"/>
      <c r="H19" s="173">
        <f t="shared" si="0"/>
        <v>1077.6540000000512</v>
      </c>
      <c r="I19" s="174"/>
      <c r="J19" s="174"/>
      <c r="K19" s="60">
        <v>42287</v>
      </c>
      <c r="L19" s="90">
        <f>'Suivi EAU-ELEC'!G18</f>
        <v>3409</v>
      </c>
      <c r="M19" s="91">
        <f>'Suivi EAU-ELEC'!I18</f>
        <v>7802</v>
      </c>
      <c r="N19" s="91">
        <f>'Suivi EAU-ELEC'!K18</f>
        <v>2111</v>
      </c>
      <c r="O19" s="91">
        <f t="shared" si="2"/>
        <v>13322</v>
      </c>
      <c r="P19" s="12"/>
      <c r="Q19" s="34">
        <f t="shared" si="3"/>
        <v>12612.483700000001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44419</v>
      </c>
      <c r="C20" s="7"/>
      <c r="D20" s="143"/>
      <c r="E20" s="143"/>
      <c r="F20" s="13"/>
      <c r="G20" s="12"/>
      <c r="H20" s="173">
        <f t="shared" si="0"/>
        <v>0</v>
      </c>
      <c r="I20" s="174"/>
      <c r="J20" s="174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44420</v>
      </c>
      <c r="C21" s="7"/>
      <c r="D21" s="143"/>
      <c r="E21" s="143"/>
      <c r="F21" s="13"/>
      <c r="G21" s="12"/>
      <c r="H21" s="173">
        <f t="shared" si="0"/>
        <v>0</v>
      </c>
      <c r="I21" s="174"/>
      <c r="J21" s="174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44421</v>
      </c>
      <c r="C22" s="7"/>
      <c r="D22" s="143"/>
      <c r="E22" s="143"/>
      <c r="F22" s="13"/>
      <c r="G22" s="12"/>
      <c r="H22" s="173">
        <f t="shared" ref="H22:H35" si="4">F22*8.79</f>
        <v>0</v>
      </c>
      <c r="I22" s="174"/>
      <c r="J22" s="174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44422</v>
      </c>
      <c r="C23" s="7"/>
      <c r="D23" s="143"/>
      <c r="E23" s="143"/>
      <c r="F23" s="13"/>
      <c r="G23" s="14"/>
      <c r="H23" s="173">
        <f t="shared" si="4"/>
        <v>0</v>
      </c>
      <c r="I23" s="174"/>
      <c r="J23" s="174"/>
      <c r="K23" s="60">
        <v>42291</v>
      </c>
      <c r="L23" s="90"/>
      <c r="M23" s="91"/>
      <c r="N23" s="91"/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44423</v>
      </c>
      <c r="C24" s="7"/>
      <c r="D24" s="143"/>
      <c r="E24" s="143"/>
      <c r="F24" s="13"/>
      <c r="G24" s="14"/>
      <c r="H24" s="173">
        <f t="shared" si="4"/>
        <v>0</v>
      </c>
      <c r="I24" s="174"/>
      <c r="J24" s="174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44424</v>
      </c>
      <c r="C25" s="7"/>
      <c r="D25" s="143"/>
      <c r="E25" s="143"/>
      <c r="F25" s="13"/>
      <c r="G25" s="14"/>
      <c r="H25" s="173">
        <f t="shared" si="4"/>
        <v>0</v>
      </c>
      <c r="I25" s="174"/>
      <c r="J25" s="174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44425</v>
      </c>
      <c r="C26" s="7"/>
      <c r="D26" s="143"/>
      <c r="E26" s="143"/>
      <c r="F26" s="13"/>
      <c r="G26" s="14"/>
      <c r="H26" s="173">
        <f t="shared" si="4"/>
        <v>0</v>
      </c>
      <c r="I26" s="174"/>
      <c r="J26" s="174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44426</v>
      </c>
      <c r="C27" s="7"/>
      <c r="D27" s="143"/>
      <c r="E27" s="143"/>
      <c r="F27" s="13"/>
      <c r="G27" s="14"/>
      <c r="H27" s="173">
        <f t="shared" si="4"/>
        <v>0</v>
      </c>
      <c r="I27" s="174"/>
      <c r="J27" s="174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44427</v>
      </c>
      <c r="C28" s="7"/>
      <c r="D28" s="143"/>
      <c r="E28" s="143"/>
      <c r="F28" s="13"/>
      <c r="G28" s="11"/>
      <c r="H28" s="173">
        <f t="shared" si="4"/>
        <v>0</v>
      </c>
      <c r="I28" s="174"/>
      <c r="J28" s="174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44428</v>
      </c>
      <c r="C29" s="7"/>
      <c r="D29" s="143"/>
      <c r="E29" s="143"/>
      <c r="F29" s="13"/>
      <c r="G29" s="11"/>
      <c r="H29" s="173">
        <f t="shared" si="4"/>
        <v>0</v>
      </c>
      <c r="I29" s="174"/>
      <c r="J29" s="174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44429</v>
      </c>
      <c r="C30" s="7"/>
      <c r="D30" s="143"/>
      <c r="E30" s="143"/>
      <c r="F30" s="13"/>
      <c r="G30" s="11"/>
      <c r="H30" s="173">
        <f t="shared" si="4"/>
        <v>0</v>
      </c>
      <c r="I30" s="174"/>
      <c r="J30" s="174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44430</v>
      </c>
      <c r="C31" s="7"/>
      <c r="D31" s="143"/>
      <c r="E31" s="143"/>
      <c r="F31" s="13"/>
      <c r="G31" s="11"/>
      <c r="H31" s="173">
        <f t="shared" si="4"/>
        <v>0</v>
      </c>
      <c r="I31" s="174"/>
      <c r="J31" s="174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44431</v>
      </c>
      <c r="C32" s="7"/>
      <c r="D32" s="143"/>
      <c r="E32" s="143"/>
      <c r="F32" s="13"/>
      <c r="G32" s="11"/>
      <c r="H32" s="173">
        <f t="shared" si="4"/>
        <v>0</v>
      </c>
      <c r="I32" s="174"/>
      <c r="J32" s="174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44432</v>
      </c>
      <c r="C33" s="7"/>
      <c r="D33" s="143"/>
      <c r="E33" s="143"/>
      <c r="F33" s="13"/>
      <c r="G33" s="11"/>
      <c r="H33" s="173">
        <f t="shared" si="4"/>
        <v>0</v>
      </c>
      <c r="I33" s="174"/>
      <c r="J33" s="174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44433</v>
      </c>
      <c r="C34" s="7"/>
      <c r="D34" s="143"/>
      <c r="E34" s="143"/>
      <c r="F34" s="13"/>
      <c r="G34" s="11"/>
      <c r="H34" s="173">
        <f t="shared" si="4"/>
        <v>0</v>
      </c>
      <c r="I34" s="174"/>
      <c r="J34" s="174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44434</v>
      </c>
      <c r="C35" s="7"/>
      <c r="D35" s="143"/>
      <c r="E35" s="143"/>
      <c r="F35" s="13"/>
      <c r="G35" s="11"/>
      <c r="H35" s="173">
        <f t="shared" si="4"/>
        <v>0</v>
      </c>
      <c r="I35" s="174"/>
      <c r="J35" s="174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44435</v>
      </c>
      <c r="C36" s="7"/>
      <c r="D36" s="143"/>
      <c r="E36" s="143"/>
      <c r="F36" s="13"/>
      <c r="G36" s="11"/>
      <c r="H36" s="173">
        <f>F36*8.79</f>
        <v>0</v>
      </c>
      <c r="I36" s="174"/>
      <c r="J36" s="174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44436</v>
      </c>
      <c r="C37" s="7"/>
      <c r="D37" s="143"/>
      <c r="E37" s="143"/>
      <c r="F37" s="13"/>
      <c r="G37" s="11"/>
      <c r="H37" s="173">
        <f t="shared" ref="H37:H38" si="5">F37*8.79</f>
        <v>0</v>
      </c>
      <c r="I37" s="174"/>
      <c r="J37" s="174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44437</v>
      </c>
      <c r="C38" s="7"/>
      <c r="D38" s="143"/>
      <c r="E38" s="143"/>
      <c r="F38" s="13"/>
      <c r="G38" s="11"/>
      <c r="H38" s="173">
        <f t="shared" si="5"/>
        <v>0</v>
      </c>
      <c r="I38" s="174"/>
      <c r="J38" s="174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s="153" customFormat="1" ht="33.75" customHeight="1">
      <c r="A39" s="2"/>
      <c r="B39" s="6">
        <v>44438</v>
      </c>
      <c r="C39" s="7"/>
      <c r="D39" s="143"/>
      <c r="E39" s="143"/>
      <c r="F39" s="13"/>
      <c r="G39" s="11"/>
      <c r="H39" s="173">
        <f t="shared" ref="H39:H40" si="6">F39*8.79</f>
        <v>0</v>
      </c>
      <c r="I39" s="174"/>
      <c r="J39" s="174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44439</v>
      </c>
      <c r="C40" s="7"/>
      <c r="D40" s="143"/>
      <c r="E40" s="143"/>
      <c r="F40" s="13"/>
      <c r="G40" s="11"/>
      <c r="H40" s="173">
        <f t="shared" si="6"/>
        <v>0</v>
      </c>
      <c r="I40" s="174"/>
      <c r="J40" s="174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819</v>
      </c>
      <c r="E41" s="8">
        <f>SUM(E10:E40)</f>
        <v>1390</v>
      </c>
      <c r="F41" s="152">
        <f>SUM(F10:F40)</f>
        <v>1251.1000000000058</v>
      </c>
      <c r="G41" s="1"/>
      <c r="H41" s="211">
        <f>SUM(H10:H40)</f>
        <v>10997.169000000049</v>
      </c>
      <c r="I41" s="212"/>
      <c r="J41" s="213"/>
      <c r="K41" s="1"/>
      <c r="L41" s="53">
        <f>SUM(L10:L40)</f>
        <v>36726</v>
      </c>
      <c r="M41" s="53">
        <f>SUM(M10:M40)</f>
        <v>79685</v>
      </c>
      <c r="N41" s="54">
        <f>SUM(N10:N40)</f>
        <v>29411</v>
      </c>
      <c r="O41" s="55">
        <f>SUM(O10:O40)</f>
        <v>145822</v>
      </c>
      <c r="P41" s="31"/>
      <c r="Q41" s="32">
        <f>SUM(Q10:Q40)</f>
        <v>140647.03040000002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2539.2684000000004</v>
      </c>
      <c r="W41" s="31"/>
      <c r="X41" s="32">
        <f>SUM(X10:X40)</f>
        <v>22878.808283999999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0"/>
      <c r="M42" s="160"/>
      <c r="N42" s="160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91" t="s">
        <v>33</v>
      </c>
      <c r="B43" s="192"/>
      <c r="C43" s="192"/>
      <c r="D43" s="192"/>
      <c r="E43" s="192"/>
      <c r="F43" s="193"/>
      <c r="G43" s="26"/>
      <c r="H43" s="27" t="s">
        <v>34</v>
      </c>
      <c r="I43" s="203" t="s">
        <v>35</v>
      </c>
      <c r="J43" s="204"/>
      <c r="K43" s="205"/>
      <c r="L43" s="234" t="s">
        <v>36</v>
      </c>
      <c r="M43" s="235"/>
      <c r="N43" s="191" t="s">
        <v>37</v>
      </c>
      <c r="O43" s="192"/>
      <c r="P43" s="192"/>
      <c r="Q43" s="192"/>
      <c r="R43" s="192"/>
      <c r="S43" s="192"/>
      <c r="T43" s="192"/>
      <c r="U43" s="192"/>
      <c r="V43" s="192"/>
      <c r="W43" s="192"/>
      <c r="X43" s="193"/>
    </row>
    <row r="44" spans="1:24" s="18" customFormat="1" ht="29.25" customHeight="1" thickBot="1">
      <c r="A44" s="228" t="s">
        <v>38</v>
      </c>
      <c r="B44" s="229"/>
      <c r="C44" s="230"/>
      <c r="D44" s="162" t="s">
        <v>30</v>
      </c>
      <c r="E44" s="162" t="s">
        <v>30</v>
      </c>
      <c r="F44" s="162" t="s">
        <v>30</v>
      </c>
      <c r="G44" s="16"/>
      <c r="H44" s="17">
        <v>0.69850000000000001</v>
      </c>
      <c r="I44" s="225">
        <f>L41</f>
        <v>36726</v>
      </c>
      <c r="J44" s="226"/>
      <c r="K44" s="227"/>
      <c r="L44" s="209">
        <f>I44*H44</f>
        <v>25653.111000000001</v>
      </c>
      <c r="M44" s="210"/>
      <c r="N44" s="182">
        <f>L44+L45+L46</f>
        <v>140593.8144</v>
      </c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9.25" customHeight="1" thickBot="1">
      <c r="A45" s="231"/>
      <c r="B45" s="232"/>
      <c r="C45" s="233"/>
      <c r="D45" s="161" t="s">
        <v>31</v>
      </c>
      <c r="E45" s="161" t="s">
        <v>31</v>
      </c>
      <c r="F45" s="161" t="s">
        <v>31</v>
      </c>
      <c r="G45" s="16"/>
      <c r="H45" s="19">
        <v>0.95140000000000002</v>
      </c>
      <c r="I45" s="225">
        <f>M41</f>
        <v>79685</v>
      </c>
      <c r="J45" s="226"/>
      <c r="K45" s="227"/>
      <c r="L45" s="209">
        <f>I45*H45</f>
        <v>75812.309000000008</v>
      </c>
      <c r="M45" s="210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24.75" customHeight="1" thickBot="1">
      <c r="A46" s="231"/>
      <c r="B46" s="232"/>
      <c r="C46" s="233"/>
      <c r="D46" s="168" t="s">
        <v>32</v>
      </c>
      <c r="E46" s="168" t="s">
        <v>32</v>
      </c>
      <c r="F46" s="168" t="s">
        <v>32</v>
      </c>
      <c r="G46" s="20"/>
      <c r="H46" s="20">
        <v>1.3304</v>
      </c>
      <c r="I46" s="200">
        <f>N41</f>
        <v>29411</v>
      </c>
      <c r="J46" s="201"/>
      <c r="K46" s="202"/>
      <c r="L46" s="209">
        <f>I46*H46</f>
        <v>39128.394399999997</v>
      </c>
      <c r="M46" s="210"/>
      <c r="N46" s="188"/>
      <c r="O46" s="189"/>
      <c r="P46" s="189"/>
      <c r="Q46" s="189"/>
      <c r="R46" s="189"/>
      <c r="S46" s="189"/>
      <c r="T46" s="189"/>
      <c r="U46" s="189"/>
      <c r="V46" s="189"/>
      <c r="W46" s="189"/>
      <c r="X46" s="190"/>
    </row>
    <row r="47" spans="1:24" s="18" customFormat="1" ht="43.5" customHeight="1" thickBot="1">
      <c r="A47" s="163"/>
      <c r="B47" s="164"/>
      <c r="C47" s="164"/>
      <c r="D47" s="168"/>
      <c r="E47" s="168"/>
      <c r="F47" s="168"/>
      <c r="G47" s="16"/>
      <c r="H47" s="16"/>
      <c r="I47" s="166"/>
      <c r="J47" s="167"/>
      <c r="K47" s="168"/>
      <c r="L47" s="157"/>
      <c r="M47" s="158"/>
      <c r="N47" s="206">
        <f>N44*1.3</f>
        <v>182771.95872000002</v>
      </c>
      <c r="O47" s="207"/>
      <c r="P47" s="207"/>
      <c r="Q47" s="207"/>
      <c r="R47" s="207"/>
      <c r="S47" s="207"/>
      <c r="T47" s="207"/>
      <c r="U47" s="207"/>
      <c r="V47" s="207"/>
      <c r="W47" s="207"/>
      <c r="X47" s="208"/>
    </row>
    <row r="48" spans="1:24" s="23" customFormat="1" ht="32.25" customHeight="1" thickBot="1">
      <c r="A48" s="220" t="s">
        <v>39</v>
      </c>
      <c r="B48" s="221"/>
      <c r="C48" s="221"/>
      <c r="D48" s="221"/>
      <c r="E48" s="221"/>
      <c r="F48" s="222"/>
      <c r="G48" s="21"/>
      <c r="H48" s="22">
        <v>8.7899999999999991</v>
      </c>
      <c r="I48" s="220">
        <f>F41</f>
        <v>1251.1000000000058</v>
      </c>
      <c r="J48" s="221"/>
      <c r="K48" s="222"/>
      <c r="L48" s="223">
        <f>I48*H48</f>
        <v>10997.169000000051</v>
      </c>
      <c r="M48" s="224"/>
      <c r="N48" s="179">
        <f>L48</f>
        <v>10997.169000000051</v>
      </c>
      <c r="O48" s="180"/>
      <c r="P48" s="180"/>
      <c r="Q48" s="180"/>
      <c r="R48" s="180"/>
      <c r="S48" s="180"/>
      <c r="T48" s="180"/>
      <c r="U48" s="180"/>
      <c r="V48" s="180"/>
      <c r="W48" s="180"/>
      <c r="X48" s="181"/>
    </row>
    <row r="49" spans="1:24" s="23" customFormat="1" ht="36.75" customHeight="1">
      <c r="A49" s="194" t="s">
        <v>40</v>
      </c>
      <c r="B49" s="195"/>
      <c r="C49" s="195"/>
      <c r="D49" s="195"/>
      <c r="E49" s="195"/>
      <c r="F49" s="196"/>
      <c r="G49" s="24"/>
      <c r="H49" s="25">
        <v>9.01</v>
      </c>
      <c r="I49" s="197">
        <f>V41</f>
        <v>2539.2684000000004</v>
      </c>
      <c r="J49" s="198"/>
      <c r="K49" s="199"/>
      <c r="L49" s="197">
        <f>I49*H49</f>
        <v>22878.808284000002</v>
      </c>
      <c r="M49" s="199"/>
      <c r="N49" s="176">
        <f>L49</f>
        <v>22878.808284000002</v>
      </c>
      <c r="O49" s="177"/>
      <c r="P49" s="177"/>
      <c r="Q49" s="177"/>
      <c r="R49" s="177"/>
      <c r="S49" s="177"/>
      <c r="T49" s="177"/>
      <c r="U49" s="177"/>
      <c r="V49" s="177"/>
      <c r="W49" s="177"/>
      <c r="X49" s="178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</row>
    <row r="55" spans="1:24" ht="39" customHeight="1">
      <c r="A55" s="16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6" activePane="bottomRight" state="frozen"/>
      <selection pane="bottomRight" activeCell="K17" sqref="K17:K1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6"/>
      <c r="B1" s="277"/>
      <c r="C1" s="277"/>
      <c r="D1" s="278"/>
      <c r="E1" s="259" t="s">
        <v>41</v>
      </c>
      <c r="F1" s="260"/>
      <c r="G1" s="260"/>
      <c r="H1" s="260"/>
      <c r="I1" s="261"/>
      <c r="J1" s="268" t="s">
        <v>42</v>
      </c>
      <c r="K1" s="269"/>
      <c r="L1" s="49"/>
    </row>
    <row r="2" spans="1:12" ht="16.5" customHeight="1">
      <c r="A2" s="279"/>
      <c r="B2" s="280"/>
      <c r="C2" s="280"/>
      <c r="D2" s="281"/>
      <c r="E2" s="262"/>
      <c r="F2" s="263"/>
      <c r="G2" s="263"/>
      <c r="H2" s="263"/>
      <c r="I2" s="264"/>
      <c r="J2" s="270"/>
      <c r="K2" s="271"/>
      <c r="L2" s="49"/>
    </row>
    <row r="3" spans="1:12" ht="48" customHeight="1">
      <c r="A3" s="282"/>
      <c r="B3" s="283"/>
      <c r="C3" s="283"/>
      <c r="D3" s="284"/>
      <c r="E3" s="265"/>
      <c r="F3" s="266"/>
      <c r="G3" s="266"/>
      <c r="H3" s="266"/>
      <c r="I3" s="267"/>
      <c r="J3" s="272"/>
      <c r="K3" s="273"/>
      <c r="L3" s="49"/>
    </row>
    <row r="6" spans="1:12" ht="10.5" customHeight="1">
      <c r="A6" s="169"/>
      <c r="B6" s="169"/>
      <c r="C6" s="169"/>
    </row>
    <row r="7" spans="1:12" ht="16.5" customHeight="1">
      <c r="A7" s="257" t="s">
        <v>43</v>
      </c>
      <c r="B7" s="285" t="s">
        <v>44</v>
      </c>
      <c r="C7" s="286"/>
      <c r="D7" s="274" t="s">
        <v>45</v>
      </c>
      <c r="E7" s="274"/>
      <c r="F7" s="275" t="s">
        <v>46</v>
      </c>
      <c r="G7" s="275"/>
      <c r="H7" s="275"/>
      <c r="I7" s="275"/>
      <c r="J7" s="275"/>
      <c r="K7" s="275"/>
    </row>
    <row r="8" spans="1:12" s="29" customFormat="1" ht="28.5" customHeight="1">
      <c r="A8" s="258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44409</v>
      </c>
      <c r="B9" s="116">
        <v>2559</v>
      </c>
      <c r="C9" s="115">
        <v>0</v>
      </c>
      <c r="D9" s="57">
        <v>117748.9</v>
      </c>
      <c r="E9" s="50">
        <v>116.39999999999418</v>
      </c>
      <c r="F9" s="51">
        <v>10808905</v>
      </c>
      <c r="G9" s="50">
        <v>3789</v>
      </c>
      <c r="H9" s="51">
        <v>18313415</v>
      </c>
      <c r="I9" s="50">
        <v>8010</v>
      </c>
      <c r="J9" s="51">
        <v>8072575</v>
      </c>
      <c r="K9" s="50">
        <v>2981</v>
      </c>
    </row>
    <row r="10" spans="1:12" ht="19.5">
      <c r="A10" s="59">
        <v>44410</v>
      </c>
      <c r="B10" s="116">
        <v>2559</v>
      </c>
      <c r="C10" s="115">
        <f>B10-B9</f>
        <v>0</v>
      </c>
      <c r="D10" s="57">
        <v>117855.3</v>
      </c>
      <c r="E10" s="50">
        <f>D10-D9</f>
        <v>106.40000000000873</v>
      </c>
      <c r="F10" s="51">
        <v>10812228</v>
      </c>
      <c r="G10" s="50">
        <f>F10-F9</f>
        <v>3323</v>
      </c>
      <c r="H10" s="51">
        <v>18321227</v>
      </c>
      <c r="I10" s="50">
        <f>H10-H9</f>
        <v>7812</v>
      </c>
      <c r="J10" s="51">
        <v>8075460</v>
      </c>
      <c r="K10" s="50">
        <f>J10-J9</f>
        <v>2885</v>
      </c>
    </row>
    <row r="11" spans="1:12" ht="19.5">
      <c r="A11" s="59">
        <v>44411</v>
      </c>
      <c r="B11" s="116">
        <v>2559</v>
      </c>
      <c r="C11" s="115">
        <f>B11-B10</f>
        <v>0</v>
      </c>
      <c r="D11" s="57">
        <v>118092.9</v>
      </c>
      <c r="E11" s="50">
        <f>D11-D10</f>
        <v>237.59999999999127</v>
      </c>
      <c r="F11" s="51">
        <v>10815583</v>
      </c>
      <c r="G11" s="50">
        <f>F11-F10</f>
        <v>3355</v>
      </c>
      <c r="H11" s="51">
        <v>18329054</v>
      </c>
      <c r="I11" s="50">
        <f>H11-H10</f>
        <v>7827</v>
      </c>
      <c r="J11" s="51">
        <v>8078736</v>
      </c>
      <c r="K11" s="50">
        <f>J11-J10</f>
        <v>3276</v>
      </c>
    </row>
    <row r="12" spans="1:12" ht="19.5">
      <c r="A12" s="59">
        <v>44412</v>
      </c>
      <c r="B12" s="116">
        <v>2559</v>
      </c>
      <c r="C12" s="115">
        <f>B12-B11</f>
        <v>0</v>
      </c>
      <c r="D12" s="57">
        <v>118216.4</v>
      </c>
      <c r="E12" s="50">
        <f>D12-D11</f>
        <v>123.5</v>
      </c>
      <c r="F12" s="51">
        <v>10818811</v>
      </c>
      <c r="G12" s="50">
        <f>F12-F11</f>
        <v>3228</v>
      </c>
      <c r="H12" s="51">
        <v>18336635</v>
      </c>
      <c r="I12" s="50">
        <f>H12-H11</f>
        <v>7581</v>
      </c>
      <c r="J12" s="51">
        <v>8081850</v>
      </c>
      <c r="K12" s="50">
        <f>J12-J11</f>
        <v>3114</v>
      </c>
    </row>
    <row r="13" spans="1:12" ht="19.5">
      <c r="A13" s="59">
        <v>44413</v>
      </c>
      <c r="B13" s="116">
        <v>2559</v>
      </c>
      <c r="C13" s="115">
        <f>B13-B12</f>
        <v>0</v>
      </c>
      <c r="D13" s="57">
        <v>118320.1</v>
      </c>
      <c r="E13" s="50">
        <f>D13-D12</f>
        <v>103.70000000001164</v>
      </c>
      <c r="F13" s="51">
        <v>10823062</v>
      </c>
      <c r="G13" s="50">
        <f>F13-F12</f>
        <v>4251</v>
      </c>
      <c r="H13" s="51">
        <v>18344576</v>
      </c>
      <c r="I13" s="50">
        <f>H13-H12</f>
        <v>7941</v>
      </c>
      <c r="J13" s="51">
        <v>8084775</v>
      </c>
      <c r="K13" s="50">
        <f>J13-J12</f>
        <v>2925</v>
      </c>
    </row>
    <row r="14" spans="1:12" ht="19.5">
      <c r="A14" s="59">
        <v>44414</v>
      </c>
      <c r="B14" s="116">
        <v>2559</v>
      </c>
      <c r="C14" s="115">
        <f>B14-B13</f>
        <v>0</v>
      </c>
      <c r="D14" s="57">
        <v>118427.2</v>
      </c>
      <c r="E14" s="50">
        <f>D14-D13</f>
        <v>107.09999999999127</v>
      </c>
      <c r="F14" s="51">
        <v>10826821</v>
      </c>
      <c r="G14" s="50">
        <f>F14-F13</f>
        <v>3759</v>
      </c>
      <c r="H14" s="51">
        <v>18352761</v>
      </c>
      <c r="I14" s="50">
        <f>H14-H13</f>
        <v>8185</v>
      </c>
      <c r="J14" s="51">
        <v>8088138</v>
      </c>
      <c r="K14" s="50">
        <f>J14-J13</f>
        <v>3363</v>
      </c>
    </row>
    <row r="15" spans="1:12" ht="19.5">
      <c r="A15" s="59">
        <v>44415</v>
      </c>
      <c r="B15" s="116">
        <v>2559</v>
      </c>
      <c r="C15" s="115">
        <f>B15-B14</f>
        <v>0</v>
      </c>
      <c r="D15" s="57">
        <v>118552.3</v>
      </c>
      <c r="E15" s="50">
        <f>D15-D14</f>
        <v>125.10000000000582</v>
      </c>
      <c r="F15" s="51">
        <v>10830976</v>
      </c>
      <c r="G15" s="50">
        <f>F15-F14</f>
        <v>4155</v>
      </c>
      <c r="H15" s="51">
        <v>18361709</v>
      </c>
      <c r="I15" s="50">
        <f>H15-H14</f>
        <v>8948</v>
      </c>
      <c r="J15" s="51">
        <v>8091502</v>
      </c>
      <c r="K15" s="50">
        <f>J15-J14</f>
        <v>3364</v>
      </c>
    </row>
    <row r="16" spans="1:12" ht="19.5">
      <c r="A16" s="59">
        <v>44416</v>
      </c>
      <c r="B16" s="116">
        <v>2559</v>
      </c>
      <c r="C16" s="115">
        <f>B16-B15</f>
        <v>0</v>
      </c>
      <c r="D16" s="57">
        <v>118669.9</v>
      </c>
      <c r="E16" s="50">
        <f>D16-D15</f>
        <v>117.59999999999127</v>
      </c>
      <c r="F16" s="51">
        <v>10834873</v>
      </c>
      <c r="G16" s="50">
        <f>F16-F15</f>
        <v>3897</v>
      </c>
      <c r="H16" s="51">
        <v>18369808</v>
      </c>
      <c r="I16" s="50">
        <f>H16-H15</f>
        <v>8099</v>
      </c>
      <c r="J16" s="51">
        <v>8094284</v>
      </c>
      <c r="K16" s="50">
        <f>J16-J15</f>
        <v>2782</v>
      </c>
    </row>
    <row r="17" spans="1:29" ht="19.5">
      <c r="A17" s="59">
        <v>44417</v>
      </c>
      <c r="B17" s="116">
        <v>2559</v>
      </c>
      <c r="C17" s="115">
        <f>B17-B16</f>
        <v>0</v>
      </c>
      <c r="D17" s="57">
        <v>118761</v>
      </c>
      <c r="E17" s="50">
        <f>D17-D16</f>
        <v>91.100000000005821</v>
      </c>
      <c r="F17" s="51">
        <v>10838433</v>
      </c>
      <c r="G17" s="50">
        <f>F17-F16</f>
        <v>3560</v>
      </c>
      <c r="H17" s="51">
        <v>18377288</v>
      </c>
      <c r="I17" s="50">
        <f>H17-H16</f>
        <v>7480</v>
      </c>
      <c r="J17" s="51">
        <v>8096894</v>
      </c>
      <c r="K17" s="50">
        <f>J17-J16</f>
        <v>2610</v>
      </c>
    </row>
    <row r="18" spans="1:29" ht="19.5">
      <c r="A18" s="59">
        <v>44418</v>
      </c>
      <c r="B18" s="116">
        <v>2559</v>
      </c>
      <c r="C18" s="115">
        <f>B18-B17</f>
        <v>0</v>
      </c>
      <c r="D18" s="57">
        <v>118883.6</v>
      </c>
      <c r="E18" s="50">
        <f>D18-D17</f>
        <v>122.60000000000582</v>
      </c>
      <c r="F18" s="51">
        <v>10841842</v>
      </c>
      <c r="G18" s="50">
        <f>F18-F17</f>
        <v>3409</v>
      </c>
      <c r="H18" s="51">
        <v>18385090</v>
      </c>
      <c r="I18" s="50">
        <f>H18-H17</f>
        <v>7802</v>
      </c>
      <c r="J18" s="51">
        <v>8099005</v>
      </c>
      <c r="K18" s="50">
        <f>J18-J17</f>
        <v>2111</v>
      </c>
    </row>
    <row r="19" spans="1:29" ht="19.5">
      <c r="A19" s="59">
        <v>44419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44420</v>
      </c>
      <c r="B20" s="116"/>
      <c r="C20" s="115">
        <f t="shared" ref="C11:D40" si="0">B20-B19</f>
        <v>0</v>
      </c>
      <c r="D20" s="57"/>
      <c r="E20" s="50">
        <f t="shared" ref="E11:E40" si="1">D20-D19</f>
        <v>0</v>
      </c>
      <c r="F20" s="51"/>
      <c r="G20" s="50">
        <f t="shared" ref="G11:G40" si="2">F20-F19</f>
        <v>0</v>
      </c>
      <c r="H20" s="51"/>
      <c r="I20" s="50">
        <f t="shared" ref="I11:I40" si="3">H20-H19</f>
        <v>0</v>
      </c>
      <c r="J20" s="51"/>
      <c r="K20" s="50">
        <f t="shared" ref="K11:K40" si="4">J20-J19</f>
        <v>0</v>
      </c>
      <c r="L20" s="117" t="s">
        <v>18</v>
      </c>
      <c r="AC20" t="s">
        <v>56</v>
      </c>
    </row>
    <row r="21" spans="1:29" ht="19.5">
      <c r="A21" s="59">
        <v>44421</v>
      </c>
      <c r="B21" s="116"/>
      <c r="C21" s="115">
        <f t="shared" si="0"/>
        <v>0</v>
      </c>
      <c r="D21" s="57"/>
      <c r="E21" s="50">
        <f t="shared" si="1"/>
        <v>0</v>
      </c>
      <c r="F21" s="51"/>
      <c r="G21" s="50">
        <f t="shared" si="2"/>
        <v>0</v>
      </c>
      <c r="H21" s="51"/>
      <c r="I21" s="50">
        <f t="shared" si="3"/>
        <v>0</v>
      </c>
      <c r="J21" s="51"/>
      <c r="K21" s="50">
        <f t="shared" si="4"/>
        <v>0</v>
      </c>
    </row>
    <row r="22" spans="1:29" ht="19.5">
      <c r="A22" s="59">
        <v>44422</v>
      </c>
      <c r="B22" s="116"/>
      <c r="C22" s="115">
        <f t="shared" si="0"/>
        <v>0</v>
      </c>
      <c r="D22" s="57"/>
      <c r="E22" s="50">
        <f t="shared" si="1"/>
        <v>0</v>
      </c>
      <c r="F22" s="51"/>
      <c r="G22" s="50">
        <f t="shared" si="2"/>
        <v>0</v>
      </c>
      <c r="H22" s="51"/>
      <c r="I22" s="50">
        <f t="shared" si="3"/>
        <v>0</v>
      </c>
      <c r="J22" s="51"/>
      <c r="K22" s="50">
        <f t="shared" si="4"/>
        <v>0</v>
      </c>
    </row>
    <row r="23" spans="1:29" ht="19.5">
      <c r="A23" s="59">
        <v>44423</v>
      </c>
      <c r="B23" s="116"/>
      <c r="C23" s="115">
        <f t="shared" si="0"/>
        <v>0</v>
      </c>
      <c r="D23" s="57"/>
      <c r="E23" s="50">
        <f t="shared" si="1"/>
        <v>0</v>
      </c>
      <c r="F23" s="51"/>
      <c r="G23" s="50">
        <f t="shared" si="2"/>
        <v>0</v>
      </c>
      <c r="H23" s="51"/>
      <c r="I23" s="50">
        <f t="shared" si="3"/>
        <v>0</v>
      </c>
      <c r="J23" s="51"/>
      <c r="K23" s="50">
        <f t="shared" si="4"/>
        <v>0</v>
      </c>
    </row>
    <row r="24" spans="1:29" ht="19.5">
      <c r="A24" s="59">
        <v>44424</v>
      </c>
      <c r="B24" s="116"/>
      <c r="C24" s="115">
        <f t="shared" si="0"/>
        <v>0</v>
      </c>
      <c r="D24" s="57"/>
      <c r="E24" s="50">
        <f t="shared" si="1"/>
        <v>0</v>
      </c>
      <c r="F24" s="51"/>
      <c r="G24" s="50">
        <f t="shared" si="2"/>
        <v>0</v>
      </c>
      <c r="H24" s="51"/>
      <c r="I24" s="50">
        <f t="shared" si="3"/>
        <v>0</v>
      </c>
      <c r="J24" s="51"/>
      <c r="K24" s="50">
        <f t="shared" si="4"/>
        <v>0</v>
      </c>
    </row>
    <row r="25" spans="1:29" ht="19.5">
      <c r="A25" s="59">
        <v>44425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44426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44427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 t="shared" si="2"/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44428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 t="shared" si="2"/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44429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 t="shared" si="2"/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44430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44431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 t="shared" si="2"/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44432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44433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44434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44435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44436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44437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44438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44439</v>
      </c>
      <c r="B39" s="154"/>
      <c r="C39" s="115">
        <f t="shared" si="0"/>
        <v>0</v>
      </c>
      <c r="D39" s="155"/>
      <c r="E39" s="50">
        <f t="shared" si="1"/>
        <v>0</v>
      </c>
      <c r="F39" s="156"/>
      <c r="G39" s="50">
        <f t="shared" si="2"/>
        <v>0</v>
      </c>
      <c r="H39" s="156"/>
      <c r="I39" s="50">
        <f t="shared" si="3"/>
        <v>0</v>
      </c>
      <c r="J39" s="156"/>
      <c r="K39" s="50">
        <f t="shared" si="4"/>
        <v>0</v>
      </c>
    </row>
    <row r="40" spans="1:11" ht="21.75" customHeight="1">
      <c r="A40" s="59">
        <v>44440</v>
      </c>
      <c r="B40" s="154"/>
      <c r="C40" s="115">
        <f t="shared" si="0"/>
        <v>0</v>
      </c>
      <c r="D40" s="155"/>
      <c r="E40" s="50">
        <f t="shared" si="1"/>
        <v>0</v>
      </c>
      <c r="F40" s="156"/>
      <c r="G40" s="50">
        <f t="shared" si="2"/>
        <v>0</v>
      </c>
      <c r="H40" s="156"/>
      <c r="I40" s="50">
        <f t="shared" si="3"/>
        <v>0</v>
      </c>
      <c r="J40" s="156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6" activePane="bottomRight" state="frozen"/>
      <selection pane="bottomRight" activeCell="H14" sqref="H1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0" t="s">
        <v>57</v>
      </c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</row>
    <row r="2" spans="1:31" ht="41.25" customHeight="1" thickBot="1">
      <c r="Q2" s="295">
        <v>803</v>
      </c>
      <c r="R2" s="296"/>
      <c r="S2" s="297"/>
      <c r="T2" s="298">
        <v>519</v>
      </c>
      <c r="U2" s="296"/>
      <c r="V2" s="297"/>
      <c r="W2" s="298">
        <v>800</v>
      </c>
      <c r="X2" s="296"/>
      <c r="Y2" s="297"/>
      <c r="Z2" s="298">
        <v>802</v>
      </c>
      <c r="AA2" s="296"/>
      <c r="AB2" s="299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44409</v>
      </c>
      <c r="B4" s="41">
        <v>60</v>
      </c>
      <c r="C4" s="39">
        <f t="shared" ref="C4" si="0">IF(AC4&gt;0,((B4-R4)+(S4-B5)),IF(B5=0, ,(B4-B5)))</f>
        <v>0</v>
      </c>
      <c r="D4" s="41">
        <v>62</v>
      </c>
      <c r="E4" s="39">
        <f t="shared" ref="E4" si="1">IF(AC4&gt;0,((D4-U4)+(V4-D5)),IF(D5=0, ,(D4-D5)))</f>
        <v>2</v>
      </c>
      <c r="F4" s="41">
        <v>64</v>
      </c>
      <c r="G4" s="39">
        <f t="shared" ref="G4" si="2">IF(AC4&gt;0,((F4-X4)+(Y4-F5)),IF(F5=0, ,(F4-F5)))</f>
        <v>4</v>
      </c>
      <c r="H4" s="41">
        <v>64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2.25</v>
      </c>
      <c r="M4" s="149">
        <f>7000*4</f>
        <v>28000</v>
      </c>
      <c r="N4" s="39">
        <f>L4*M4/100</f>
        <v>630</v>
      </c>
      <c r="O4" s="39">
        <f>N4*0.529</f>
        <v>333.27000000000004</v>
      </c>
      <c r="P4" s="42">
        <f>O4*9.01</f>
        <v>3002.7627000000002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44410</v>
      </c>
      <c r="B5" s="41">
        <v>60</v>
      </c>
      <c r="C5" s="39">
        <f t="shared" ref="C4:C35" si="6">IF(AC5&gt;0,((B5-R5)+(S5-B6)),IF(B6=0, ,(B5-B6)))</f>
        <v>4</v>
      </c>
      <c r="D5" s="41">
        <v>60</v>
      </c>
      <c r="E5" s="39">
        <f t="shared" ref="E4:E35" si="7">IF(AC5&gt;0,((D5-U5)+(V5-D6)),IF(D6=0, ,(D5-D6)))</f>
        <v>2</v>
      </c>
      <c r="F5" s="41">
        <v>60</v>
      </c>
      <c r="G5" s="39">
        <f t="shared" ref="G4:G35" si="8">IF(AC5&gt;0,((F5-X5)+(Y5-F6)),IF(F6=0, ,(F5-F6)))</f>
        <v>1</v>
      </c>
      <c r="H5" s="41">
        <v>61</v>
      </c>
      <c r="I5" s="39">
        <f>IF(AC5&gt;0,((H5-AA5)+(AB5-H6)),IF(H6=0, ,(H5-H6)))</f>
        <v>3</v>
      </c>
      <c r="J5" s="39">
        <f>B5+D5+F5+H5</f>
        <v>241</v>
      </c>
      <c r="K5" s="39">
        <f>J5/4</f>
        <v>60.25</v>
      </c>
      <c r="L5" s="39">
        <f>IF(AC5&gt;0,((K5-AD5)+(AE5-K6)),IF(K6=0, ,(K5-K6)))</f>
        <v>2.5</v>
      </c>
      <c r="M5" s="149">
        <f t="shared" ref="M5:M42" si="9">7000*4</f>
        <v>28000</v>
      </c>
      <c r="N5" s="39">
        <f>L5*M5/100</f>
        <v>700</v>
      </c>
      <c r="O5" s="39">
        <f>N5*0.529</f>
        <v>370.3</v>
      </c>
      <c r="P5" s="42">
        <f t="shared" ref="P5:P40" si="10">O5*9.01</f>
        <v>3336.4030000000002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44411</v>
      </c>
      <c r="B6" s="41">
        <v>56</v>
      </c>
      <c r="C6" s="39">
        <f t="shared" si="6"/>
        <v>1</v>
      </c>
      <c r="D6" s="41">
        <v>58</v>
      </c>
      <c r="E6" s="39">
        <f t="shared" si="7"/>
        <v>3</v>
      </c>
      <c r="F6" s="41">
        <v>59</v>
      </c>
      <c r="G6" s="39">
        <f t="shared" si="8"/>
        <v>4</v>
      </c>
      <c r="H6" s="41">
        <v>58</v>
      </c>
      <c r="I6" s="39">
        <f t="shared" ref="I6:I36" si="11">IF(AC6&gt;0,((H6-AA6)+(AB6-H7)),IF(H7=0, ,(H6-H7)))</f>
        <v>3</v>
      </c>
      <c r="J6" s="39">
        <f t="shared" ref="J6:J42" si="12">B6+D6+F6+H6</f>
        <v>231</v>
      </c>
      <c r="K6" s="39">
        <f t="shared" ref="K6:K42" si="13">J6/4</f>
        <v>57.75</v>
      </c>
      <c r="L6" s="39">
        <f t="shared" ref="L6:L19" si="14">IF(AC6&gt;0,((K6-AD6)+(AE6-K7)),IF(K7=0, ,(K6-K7)))</f>
        <v>2.75</v>
      </c>
      <c r="M6" s="149">
        <f t="shared" si="9"/>
        <v>28000</v>
      </c>
      <c r="N6" s="39">
        <f t="shared" ref="N6:N42" si="15">L6*M6/100</f>
        <v>770</v>
      </c>
      <c r="O6" s="39">
        <f>N6*0.529</f>
        <v>407.33000000000004</v>
      </c>
      <c r="P6" s="42">
        <f t="shared" si="10"/>
        <v>3670.0433000000003</v>
      </c>
      <c r="Q6" s="39">
        <v>1907</v>
      </c>
      <c r="R6" s="39">
        <v>55</v>
      </c>
      <c r="S6" s="39">
        <v>83</v>
      </c>
      <c r="T6" s="39">
        <v>2139</v>
      </c>
      <c r="U6" s="39">
        <v>55</v>
      </c>
      <c r="V6" s="39">
        <v>85</v>
      </c>
      <c r="W6" s="39">
        <v>2180</v>
      </c>
      <c r="X6" s="39">
        <v>55</v>
      </c>
      <c r="Y6" s="39">
        <v>85</v>
      </c>
      <c r="Z6" s="39">
        <v>2197</v>
      </c>
      <c r="AA6" s="39">
        <v>55</v>
      </c>
      <c r="AB6" s="39">
        <v>85</v>
      </c>
      <c r="AC6" s="39">
        <f t="shared" si="3"/>
        <v>8423</v>
      </c>
      <c r="AD6" s="38">
        <f t="shared" si="4"/>
        <v>55</v>
      </c>
      <c r="AE6" s="38">
        <f t="shared" si="5"/>
        <v>84.5</v>
      </c>
    </row>
    <row r="7" spans="1:31" ht="32.25" customHeight="1">
      <c r="A7" s="40">
        <v>44412</v>
      </c>
      <c r="B7" s="41">
        <v>83</v>
      </c>
      <c r="C7" s="39">
        <f t="shared" si="6"/>
        <v>2</v>
      </c>
      <c r="D7" s="41">
        <v>85</v>
      </c>
      <c r="E7" s="39">
        <f t="shared" si="7"/>
        <v>1</v>
      </c>
      <c r="F7" s="41">
        <v>85</v>
      </c>
      <c r="G7" s="39">
        <f t="shared" si="8"/>
        <v>0</v>
      </c>
      <c r="H7" s="41">
        <v>85</v>
      </c>
      <c r="I7" s="39">
        <f t="shared" si="11"/>
        <v>1</v>
      </c>
      <c r="J7" s="39">
        <f t="shared" si="12"/>
        <v>338</v>
      </c>
      <c r="K7" s="39">
        <f t="shared" si="13"/>
        <v>84.5</v>
      </c>
      <c r="L7" s="39">
        <f t="shared" si="14"/>
        <v>1</v>
      </c>
      <c r="M7" s="149">
        <f t="shared" si="9"/>
        <v>28000</v>
      </c>
      <c r="N7" s="39">
        <f t="shared" si="15"/>
        <v>280</v>
      </c>
      <c r="O7" s="39">
        <f>N7*0.53</f>
        <v>148.4</v>
      </c>
      <c r="P7" s="42">
        <f t="shared" si="10"/>
        <v>1337.0840000000001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44413</v>
      </c>
      <c r="B8" s="41">
        <v>81</v>
      </c>
      <c r="C8" s="39">
        <f t="shared" si="6"/>
        <v>0</v>
      </c>
      <c r="D8" s="41">
        <v>84</v>
      </c>
      <c r="E8" s="39">
        <f t="shared" si="7"/>
        <v>2</v>
      </c>
      <c r="F8" s="41">
        <v>85</v>
      </c>
      <c r="G8" s="39">
        <f t="shared" si="8"/>
        <v>2</v>
      </c>
      <c r="H8" s="41">
        <v>84</v>
      </c>
      <c r="I8" s="39">
        <f t="shared" si="11"/>
        <v>2</v>
      </c>
      <c r="J8" s="39">
        <f t="shared" si="12"/>
        <v>334</v>
      </c>
      <c r="K8" s="39">
        <f t="shared" si="13"/>
        <v>83.5</v>
      </c>
      <c r="L8" s="39">
        <f t="shared" si="14"/>
        <v>1.5</v>
      </c>
      <c r="M8" s="149">
        <f>6049*4</f>
        <v>24196</v>
      </c>
      <c r="N8" s="39">
        <f t="shared" si="15"/>
        <v>362.94</v>
      </c>
      <c r="O8" s="148">
        <f t="shared" ref="O8:O37" si="16">N8*0.529</f>
        <v>191.99526</v>
      </c>
      <c r="P8" s="42">
        <f t="shared" si="10"/>
        <v>1729.8772925999999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44414</v>
      </c>
      <c r="B9" s="41">
        <v>81</v>
      </c>
      <c r="C9" s="39">
        <f t="shared" si="6"/>
        <v>1</v>
      </c>
      <c r="D9" s="41">
        <v>82</v>
      </c>
      <c r="E9" s="39">
        <f t="shared" si="7"/>
        <v>2</v>
      </c>
      <c r="F9" s="41">
        <v>83</v>
      </c>
      <c r="G9" s="39">
        <f t="shared" si="8"/>
        <v>3</v>
      </c>
      <c r="H9" s="41">
        <v>82</v>
      </c>
      <c r="I9" s="39">
        <f t="shared" si="11"/>
        <v>3</v>
      </c>
      <c r="J9" s="39">
        <f t="shared" si="12"/>
        <v>328</v>
      </c>
      <c r="K9" s="39">
        <f t="shared" si="13"/>
        <v>82</v>
      </c>
      <c r="L9" s="39">
        <f t="shared" si="14"/>
        <v>2.25</v>
      </c>
      <c r="M9" s="149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2594.8159388999998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44415</v>
      </c>
      <c r="B10" s="41">
        <v>80</v>
      </c>
      <c r="C10" s="39">
        <f t="shared" si="6"/>
        <v>1</v>
      </c>
      <c r="D10" s="41">
        <v>80</v>
      </c>
      <c r="E10" s="39">
        <f t="shared" si="7"/>
        <v>2</v>
      </c>
      <c r="F10" s="41">
        <v>80</v>
      </c>
      <c r="G10" s="39">
        <f t="shared" si="8"/>
        <v>1</v>
      </c>
      <c r="H10" s="41">
        <v>79</v>
      </c>
      <c r="I10" s="39">
        <f t="shared" si="11"/>
        <v>4</v>
      </c>
      <c r="J10" s="39">
        <f t="shared" si="12"/>
        <v>319</v>
      </c>
      <c r="K10" s="39">
        <f t="shared" si="13"/>
        <v>79.75</v>
      </c>
      <c r="L10" s="39">
        <f t="shared" si="14"/>
        <v>2</v>
      </c>
      <c r="M10" s="149">
        <f t="shared" si="17"/>
        <v>24196</v>
      </c>
      <c r="N10" s="39">
        <f t="shared" si="15"/>
        <v>483.92</v>
      </c>
      <c r="O10" s="148">
        <f t="shared" si="16"/>
        <v>255.99368000000001</v>
      </c>
      <c r="P10" s="42">
        <f t="shared" si="10"/>
        <v>2306.5030568000002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44416</v>
      </c>
      <c r="B11" s="41">
        <v>79</v>
      </c>
      <c r="C11" s="39">
        <f t="shared" si="6"/>
        <v>2</v>
      </c>
      <c r="D11" s="41">
        <v>78</v>
      </c>
      <c r="E11" s="39">
        <f t="shared" si="7"/>
        <v>2</v>
      </c>
      <c r="F11" s="41">
        <v>79</v>
      </c>
      <c r="G11" s="39">
        <f t="shared" si="8"/>
        <v>4</v>
      </c>
      <c r="H11" s="41">
        <v>75</v>
      </c>
      <c r="I11" s="39">
        <f t="shared" si="11"/>
        <v>1</v>
      </c>
      <c r="J11" s="39">
        <f t="shared" si="12"/>
        <v>311</v>
      </c>
      <c r="K11" s="39">
        <f t="shared" si="13"/>
        <v>77.75</v>
      </c>
      <c r="L11" s="39">
        <f t="shared" si="14"/>
        <v>2.25</v>
      </c>
      <c r="M11" s="149">
        <f t="shared" si="17"/>
        <v>24196</v>
      </c>
      <c r="N11" s="39">
        <f t="shared" si="15"/>
        <v>544.41</v>
      </c>
      <c r="O11" s="39">
        <f t="shared" si="16"/>
        <v>287.99288999999999</v>
      </c>
      <c r="P11" s="42">
        <f t="shared" si="10"/>
        <v>2594.8159388999998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44417</v>
      </c>
      <c r="B12" s="41">
        <v>77</v>
      </c>
      <c r="C12" s="39">
        <f t="shared" si="6"/>
        <v>3</v>
      </c>
      <c r="D12" s="41">
        <v>76</v>
      </c>
      <c r="E12" s="39">
        <f t="shared" si="7"/>
        <v>2</v>
      </c>
      <c r="F12" s="41">
        <v>75</v>
      </c>
      <c r="G12" s="39">
        <f t="shared" si="8"/>
        <v>0</v>
      </c>
      <c r="H12" s="41">
        <v>74</v>
      </c>
      <c r="I12" s="39">
        <f t="shared" si="11"/>
        <v>3</v>
      </c>
      <c r="J12" s="39">
        <f t="shared" si="12"/>
        <v>302</v>
      </c>
      <c r="K12" s="39">
        <f t="shared" si="13"/>
        <v>75.5</v>
      </c>
      <c r="L12" s="39">
        <f t="shared" si="14"/>
        <v>2</v>
      </c>
      <c r="M12" s="149">
        <f t="shared" si="17"/>
        <v>24196</v>
      </c>
      <c r="N12" s="39">
        <f t="shared" si="15"/>
        <v>483.92</v>
      </c>
      <c r="O12" s="39">
        <f t="shared" si="16"/>
        <v>255.99368000000001</v>
      </c>
      <c r="P12" s="42">
        <f t="shared" si="10"/>
        <v>2306.5030568000002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44418</v>
      </c>
      <c r="B13" s="41">
        <v>74</v>
      </c>
      <c r="C13" s="39">
        <f t="shared" si="6"/>
        <v>0</v>
      </c>
      <c r="D13" s="41">
        <v>74</v>
      </c>
      <c r="E13" s="39">
        <f t="shared" si="7"/>
        <v>0</v>
      </c>
      <c r="F13" s="41">
        <v>75</v>
      </c>
      <c r="G13" s="39">
        <f t="shared" si="8"/>
        <v>0</v>
      </c>
      <c r="H13" s="41">
        <v>71</v>
      </c>
      <c r="I13" s="39">
        <f t="shared" si="11"/>
        <v>0</v>
      </c>
      <c r="J13" s="39">
        <f t="shared" si="12"/>
        <v>294</v>
      </c>
      <c r="K13" s="39">
        <f t="shared" si="13"/>
        <v>73.5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44419</v>
      </c>
      <c r="B14" s="41"/>
      <c r="C14" s="39">
        <f t="shared" si="6"/>
        <v>0</v>
      </c>
      <c r="D14" s="41"/>
      <c r="E14" s="39">
        <f t="shared" si="7"/>
        <v>0</v>
      </c>
      <c r="F14" s="41"/>
      <c r="G14" s="39">
        <f t="shared" si="8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44420</v>
      </c>
      <c r="B15" s="41"/>
      <c r="C15" s="39">
        <f t="shared" si="6"/>
        <v>0</v>
      </c>
      <c r="D15" s="41"/>
      <c r="E15" s="39">
        <f t="shared" si="7"/>
        <v>0</v>
      </c>
      <c r="F15" s="41"/>
      <c r="G15" s="39">
        <f t="shared" si="8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44421</v>
      </c>
      <c r="B16" s="41"/>
      <c r="C16" s="39">
        <f t="shared" si="6"/>
        <v>0</v>
      </c>
      <c r="D16" s="41"/>
      <c r="E16" s="39">
        <f t="shared" si="7"/>
        <v>0</v>
      </c>
      <c r="F16" s="41"/>
      <c r="G16" s="39">
        <f t="shared" si="8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44422</v>
      </c>
      <c r="B17" s="41"/>
      <c r="C17" s="39">
        <f t="shared" si="6"/>
        <v>0</v>
      </c>
      <c r="D17" s="41"/>
      <c r="E17" s="39">
        <f t="shared" si="7"/>
        <v>0</v>
      </c>
      <c r="F17" s="41"/>
      <c r="G17" s="39">
        <f t="shared" si="8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44423</v>
      </c>
      <c r="B18" s="41"/>
      <c r="C18" s="39">
        <f t="shared" si="6"/>
        <v>0</v>
      </c>
      <c r="D18" s="41"/>
      <c r="E18" s="39">
        <f t="shared" si="7"/>
        <v>0</v>
      </c>
      <c r="F18" s="41"/>
      <c r="G18" s="39">
        <f t="shared" si="8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44424</v>
      </c>
      <c r="B19" s="41"/>
      <c r="C19" s="39">
        <f t="shared" si="6"/>
        <v>0</v>
      </c>
      <c r="D19" s="41"/>
      <c r="E19" s="39">
        <f t="shared" si="7"/>
        <v>0</v>
      </c>
      <c r="F19" s="41"/>
      <c r="G19" s="39">
        <f t="shared" si="8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44425</v>
      </c>
      <c r="B20" s="41"/>
      <c r="C20" s="39">
        <f t="shared" si="6"/>
        <v>0</v>
      </c>
      <c r="D20" s="41"/>
      <c r="E20" s="39">
        <f t="shared" si="7"/>
        <v>0</v>
      </c>
      <c r="F20" s="41"/>
      <c r="G20" s="39">
        <f t="shared" si="8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44426</v>
      </c>
      <c r="B21" s="41"/>
      <c r="C21" s="39">
        <f t="shared" si="6"/>
        <v>0</v>
      </c>
      <c r="D21" s="41"/>
      <c r="E21" s="39">
        <f t="shared" si="7"/>
        <v>0</v>
      </c>
      <c r="F21" s="41"/>
      <c r="G21" s="39">
        <f t="shared" si="8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44427</v>
      </c>
      <c r="B22" s="41"/>
      <c r="C22" s="39">
        <f t="shared" si="6"/>
        <v>0</v>
      </c>
      <c r="D22" s="41"/>
      <c r="E22" s="39">
        <f t="shared" si="7"/>
        <v>0</v>
      </c>
      <c r="F22" s="41"/>
      <c r="G22" s="39">
        <f t="shared" si="8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44428</v>
      </c>
      <c r="B23" s="41"/>
      <c r="C23" s="39">
        <f t="shared" si="6"/>
        <v>0</v>
      </c>
      <c r="D23" s="41"/>
      <c r="E23" s="39">
        <f t="shared" si="7"/>
        <v>0</v>
      </c>
      <c r="F23" s="41"/>
      <c r="G23" s="39">
        <f t="shared" si="8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44429</v>
      </c>
      <c r="B24" s="41"/>
      <c r="C24" s="39">
        <f t="shared" si="6"/>
        <v>0</v>
      </c>
      <c r="D24" s="41"/>
      <c r="E24" s="39">
        <f t="shared" si="7"/>
        <v>0</v>
      </c>
      <c r="F24" s="41"/>
      <c r="G24" s="39">
        <f t="shared" si="8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44430</v>
      </c>
      <c r="B25" s="41"/>
      <c r="C25" s="39">
        <f t="shared" si="6"/>
        <v>0</v>
      </c>
      <c r="D25" s="41"/>
      <c r="E25" s="39">
        <f t="shared" si="7"/>
        <v>0</v>
      </c>
      <c r="F25" s="41"/>
      <c r="G25" s="39">
        <f t="shared" si="8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44431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44432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44433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44434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44435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44436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44437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44438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44439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44440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7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4799.6000000000004</v>
      </c>
      <c r="O43" s="39">
        <f>N43*0.529</f>
        <v>2538.9884000000002</v>
      </c>
      <c r="P43" s="42">
        <f>O43*9.01</f>
        <v>22876.285484</v>
      </c>
      <c r="Q43" s="291">
        <f>SUM(Q4:Q42)</f>
        <v>1907</v>
      </c>
      <c r="R43" s="292"/>
      <c r="S43" s="293"/>
      <c r="T43" s="294">
        <f>SUM(T4:T42)</f>
        <v>2139</v>
      </c>
      <c r="U43" s="292"/>
      <c r="V43" s="293"/>
      <c r="W43" s="294">
        <f>SUM(W4:W42)</f>
        <v>2180</v>
      </c>
      <c r="X43" s="292"/>
      <c r="Y43" s="293"/>
      <c r="Z43" s="294">
        <f>SUM(Z4:Z42)</f>
        <v>2197</v>
      </c>
      <c r="AA43" s="292"/>
      <c r="AB43" s="293"/>
      <c r="AC43" s="39">
        <f t="shared" si="20"/>
        <v>8423</v>
      </c>
    </row>
    <row r="44" spans="1:31" ht="35.25" customHeight="1" thickBot="1">
      <c r="B44" s="300"/>
      <c r="C44" s="301"/>
      <c r="D44" s="301"/>
      <c r="E44" s="301"/>
      <c r="F44" s="301"/>
      <c r="G44" s="301"/>
      <c r="H44" s="301"/>
      <c r="I44" s="302"/>
      <c r="J44" s="37"/>
      <c r="K44" s="37"/>
      <c r="L44" s="37"/>
      <c r="M44" s="37"/>
      <c r="N44" s="37"/>
      <c r="O44" s="37"/>
      <c r="P44" s="37"/>
      <c r="Q44" s="303">
        <f>Q43+T43+W43+Z43</f>
        <v>8423</v>
      </c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5"/>
      <c r="AC44" s="39">
        <f>Q44+T44+W44+Z44</f>
        <v>8423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7" t="s">
        <v>85</v>
      </c>
      <c r="I47" s="288"/>
      <c r="J47" s="289"/>
      <c r="K47" s="45">
        <f>N43</f>
        <v>4799.6000000000004</v>
      </c>
      <c r="L47" s="46">
        <f>O43</f>
        <v>2538.9884000000002</v>
      </c>
      <c r="M47" s="46">
        <f>P43</f>
        <v>22876.285484</v>
      </c>
    </row>
    <row r="48" spans="1:31" ht="54.75" customHeight="1" thickBot="1">
      <c r="H48" s="287" t="s">
        <v>86</v>
      </c>
      <c r="I48" s="288"/>
      <c r="J48" s="289"/>
      <c r="K48" s="43">
        <f>AC44</f>
        <v>8423</v>
      </c>
      <c r="L48" s="44">
        <f>K48*0.529</f>
        <v>4455.7669999999998</v>
      </c>
      <c r="M48" s="44">
        <f>L48*9.01</f>
        <v>40146.46067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6"/>
      <c r="B1" s="278"/>
      <c r="C1" s="364" t="s">
        <v>87</v>
      </c>
      <c r="D1" s="365"/>
      <c r="E1" s="365"/>
      <c r="F1" s="365"/>
      <c r="G1" s="365"/>
      <c r="H1" s="370" t="s">
        <v>88</v>
      </c>
      <c r="I1" s="371"/>
      <c r="J1" s="372"/>
    </row>
    <row r="2" spans="1:10" ht="16.5" customHeight="1" thickBot="1">
      <c r="A2" s="279"/>
      <c r="B2" s="281"/>
      <c r="C2" s="366"/>
      <c r="D2" s="367"/>
      <c r="E2" s="367"/>
      <c r="F2" s="367"/>
      <c r="G2" s="367"/>
      <c r="H2" s="373"/>
      <c r="I2" s="374"/>
      <c r="J2" s="375"/>
    </row>
    <row r="3" spans="1:10" ht="15" customHeight="1">
      <c r="A3" s="279"/>
      <c r="B3" s="281"/>
      <c r="C3" s="366"/>
      <c r="D3" s="367"/>
      <c r="E3" s="367"/>
      <c r="F3" s="367"/>
      <c r="G3" s="367"/>
      <c r="H3" s="376" t="s">
        <v>89</v>
      </c>
      <c r="I3" s="377"/>
      <c r="J3" s="378"/>
    </row>
    <row r="4" spans="1:10" ht="15.75" customHeight="1" thickBot="1">
      <c r="A4" s="282"/>
      <c r="B4" s="284"/>
      <c r="C4" s="368"/>
      <c r="D4" s="369"/>
      <c r="E4" s="369"/>
      <c r="F4" s="369"/>
      <c r="G4" s="369"/>
      <c r="H4" s="379"/>
      <c r="I4" s="380"/>
      <c r="J4" s="381"/>
    </row>
    <row r="6" spans="1:10" ht="33" customHeight="1" thickBot="1"/>
    <row r="7" spans="1:10" ht="36.75" thickTop="1">
      <c r="A7" s="382" t="s">
        <v>90</v>
      </c>
      <c r="B7" s="382"/>
      <c r="C7" s="383" t="s">
        <v>91</v>
      </c>
      <c r="D7" s="384"/>
      <c r="E7" s="61" t="s">
        <v>92</v>
      </c>
      <c r="F7" s="61" t="s">
        <v>93</v>
      </c>
      <c r="G7" s="61" t="s">
        <v>94</v>
      </c>
      <c r="H7" s="61" t="s">
        <v>95</v>
      </c>
      <c r="I7" s="385" t="s">
        <v>96</v>
      </c>
      <c r="J7" s="386"/>
    </row>
    <row r="8" spans="1:10">
      <c r="A8" s="352">
        <v>95670781</v>
      </c>
      <c r="B8" s="352"/>
      <c r="C8" s="357">
        <v>44375</v>
      </c>
      <c r="D8" s="358"/>
      <c r="E8" s="113">
        <v>44405</v>
      </c>
      <c r="F8" s="170" t="s">
        <v>97</v>
      </c>
      <c r="G8" s="62"/>
      <c r="H8" s="62"/>
      <c r="I8" s="359"/>
      <c r="J8" s="360"/>
    </row>
    <row r="10" spans="1:10" ht="23.25" customHeight="1" thickBot="1"/>
    <row r="11" spans="1:10" ht="24.75" customHeight="1" thickTop="1">
      <c r="A11" s="336" t="s">
        <v>98</v>
      </c>
      <c r="B11" s="336"/>
      <c r="C11" s="361" t="s">
        <v>99</v>
      </c>
      <c r="D11" s="362"/>
      <c r="E11" s="336" t="s">
        <v>100</v>
      </c>
      <c r="F11" s="336"/>
      <c r="G11" s="361" t="s">
        <v>101</v>
      </c>
      <c r="H11" s="362"/>
      <c r="I11" s="363" t="s">
        <v>102</v>
      </c>
      <c r="J11" s="363"/>
    </row>
    <row r="12" spans="1:10">
      <c r="A12" s="352" t="s">
        <v>103</v>
      </c>
      <c r="B12" s="352"/>
      <c r="C12" s="352">
        <v>3750</v>
      </c>
      <c r="D12" s="352"/>
      <c r="E12" s="352">
        <v>1000</v>
      </c>
      <c r="F12" s="352"/>
      <c r="G12" s="353">
        <v>1155</v>
      </c>
      <c r="H12" s="353"/>
      <c r="I12" s="354"/>
      <c r="J12" s="354"/>
    </row>
    <row r="13" spans="1:10">
      <c r="A13" s="355"/>
      <c r="B13" s="356"/>
      <c r="C13" s="356"/>
      <c r="D13" s="356"/>
      <c r="E13" s="356"/>
      <c r="F13" s="356"/>
      <c r="G13" s="356"/>
      <c r="H13" s="356"/>
      <c r="I13" s="356"/>
      <c r="J13" s="356"/>
    </row>
    <row r="15" spans="1:10" ht="13.5" thickBot="1"/>
    <row r="16" spans="1:10" ht="26.25" thickTop="1">
      <c r="A16" s="336" t="s">
        <v>104</v>
      </c>
      <c r="B16" s="336"/>
      <c r="C16" s="63" t="s">
        <v>105</v>
      </c>
      <c r="D16" s="64" t="s">
        <v>106</v>
      </c>
      <c r="E16" s="64" t="s">
        <v>48</v>
      </c>
      <c r="F16" s="64" t="s">
        <v>107</v>
      </c>
      <c r="G16" s="349" t="s">
        <v>108</v>
      </c>
      <c r="H16" s="349"/>
      <c r="I16" s="350" t="s">
        <v>109</v>
      </c>
      <c r="J16" s="351"/>
    </row>
    <row r="17" spans="1:10">
      <c r="A17" s="341" t="s">
        <v>110</v>
      </c>
      <c r="B17" s="342"/>
      <c r="C17" s="66">
        <v>18279374</v>
      </c>
      <c r="D17" s="66">
        <v>18027836</v>
      </c>
      <c r="E17" s="67">
        <f>MIN(C17-D17)</f>
        <v>251538</v>
      </c>
      <c r="F17" s="67">
        <f>+E17</f>
        <v>251538</v>
      </c>
      <c r="G17" s="343"/>
      <c r="H17" s="344"/>
      <c r="I17" s="343">
        <f>+E17</f>
        <v>251538</v>
      </c>
      <c r="J17" s="344"/>
    </row>
    <row r="18" spans="1:10">
      <c r="A18" s="341" t="s">
        <v>111</v>
      </c>
      <c r="B18" s="342"/>
      <c r="C18" s="66">
        <v>10791230</v>
      </c>
      <c r="D18" s="66">
        <v>10683972</v>
      </c>
      <c r="E18" s="67">
        <f>MIN(C18-D18)</f>
        <v>107258</v>
      </c>
      <c r="F18" s="67">
        <f>+E18</f>
        <v>107258</v>
      </c>
      <c r="G18" s="343"/>
      <c r="H18" s="344"/>
      <c r="I18" s="343">
        <f>+E18</f>
        <v>107258</v>
      </c>
      <c r="J18" s="344"/>
    </row>
    <row r="19" spans="1:10">
      <c r="A19" s="341" t="s">
        <v>112</v>
      </c>
      <c r="B19" s="342"/>
      <c r="C19" s="66">
        <v>8059869</v>
      </c>
      <c r="D19" s="66">
        <v>7964067</v>
      </c>
      <c r="E19" s="67">
        <f>AVERAGE(C19-D19)</f>
        <v>95802</v>
      </c>
      <c r="F19" s="67">
        <f>+E19</f>
        <v>95802</v>
      </c>
      <c r="G19" s="343"/>
      <c r="H19" s="344"/>
      <c r="I19" s="343">
        <f>+E19</f>
        <v>95802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454598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28"/>
      <c r="H21" s="328"/>
    </row>
    <row r="22" spans="1:10" ht="13.5" thickBot="1">
      <c r="G22" s="329"/>
      <c r="H22" s="329"/>
    </row>
    <row r="23" spans="1:10" ht="13.5" thickTop="1">
      <c r="A23" s="330" t="s">
        <v>115</v>
      </c>
      <c r="B23" s="331"/>
      <c r="C23" s="332"/>
      <c r="D23" s="336" t="s">
        <v>116</v>
      </c>
      <c r="E23" s="336" t="s">
        <v>117</v>
      </c>
      <c r="F23" s="338" t="s">
        <v>118</v>
      </c>
      <c r="G23" s="340" t="s">
        <v>119</v>
      </c>
      <c r="H23" s="340"/>
      <c r="I23" s="324" t="s">
        <v>120</v>
      </c>
      <c r="J23" s="324"/>
    </row>
    <row r="24" spans="1:10">
      <c r="A24" s="333"/>
      <c r="B24" s="334"/>
      <c r="C24" s="335"/>
      <c r="D24" s="337"/>
      <c r="E24" s="337"/>
      <c r="F24" s="339"/>
      <c r="G24" s="171" t="s">
        <v>121</v>
      </c>
      <c r="H24" s="71" t="s">
        <v>122</v>
      </c>
      <c r="I24" s="324"/>
      <c r="J24" s="324"/>
    </row>
    <row r="25" spans="1:10" ht="15">
      <c r="A25" s="325" t="s">
        <v>123</v>
      </c>
      <c r="B25" s="326"/>
      <c r="C25" s="327"/>
      <c r="D25" s="67">
        <f>+E17</f>
        <v>251538</v>
      </c>
      <c r="E25" s="72">
        <v>0.95140000000000002</v>
      </c>
      <c r="F25" s="73">
        <f>PRODUCT(D25*E25)</f>
        <v>239313.25320000001</v>
      </c>
      <c r="G25" s="151">
        <v>14</v>
      </c>
      <c r="H25" s="65">
        <f>PRODUCT(0.14,F25)</f>
        <v>33503.855448000002</v>
      </c>
      <c r="I25" s="309">
        <f>SUM(H25,F25)</f>
        <v>272817.10864799999</v>
      </c>
      <c r="J25" s="310"/>
    </row>
    <row r="26" spans="1:10" ht="15">
      <c r="A26" s="306" t="s">
        <v>124</v>
      </c>
      <c r="B26" s="307"/>
      <c r="C26" s="308"/>
      <c r="D26" s="67">
        <f>+E18</f>
        <v>107258</v>
      </c>
      <c r="E26" s="74">
        <v>0.69850000000000001</v>
      </c>
      <c r="F26" s="73">
        <f>PRODUCT(D26*E26)</f>
        <v>74919.713000000003</v>
      </c>
      <c r="G26">
        <v>14</v>
      </c>
      <c r="H26" s="67">
        <f>PRODUCT(0.14,F26)</f>
        <v>10488.759820000001</v>
      </c>
      <c r="I26" s="309">
        <f t="shared" ref="I26:I31" si="0">SUM(H26,F26)</f>
        <v>85408.47282000001</v>
      </c>
      <c r="J26" s="310"/>
    </row>
    <row r="27" spans="1:10" ht="15">
      <c r="A27" s="306" t="s">
        <v>125</v>
      </c>
      <c r="B27" s="307"/>
      <c r="C27" s="308"/>
      <c r="D27" s="67">
        <f>+E19</f>
        <v>95802</v>
      </c>
      <c r="E27" s="74">
        <v>1.3304</v>
      </c>
      <c r="F27" s="73">
        <f>PRODUCT(D27*E27)</f>
        <v>127454.9808</v>
      </c>
      <c r="G27">
        <v>14</v>
      </c>
      <c r="H27" s="67">
        <f>PRODUCT(0.14,F27)</f>
        <v>17843.697312000004</v>
      </c>
      <c r="I27" s="309">
        <f>SUM(H27,F27)</f>
        <v>145298.67811199999</v>
      </c>
      <c r="J27" s="310"/>
    </row>
    <row r="28" spans="1:10" ht="15">
      <c r="A28" s="306" t="s">
        <v>126</v>
      </c>
      <c r="B28" s="307"/>
      <c r="C28" s="308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9">
        <f t="shared" si="0"/>
        <v>50025.103799999997</v>
      </c>
      <c r="J28" s="310"/>
    </row>
    <row r="29" spans="1:10" ht="15">
      <c r="A29" s="319" t="s">
        <v>127</v>
      </c>
      <c r="B29" s="320"/>
      <c r="C29" s="321"/>
      <c r="D29" s="75">
        <f>G12-E12</f>
        <v>155</v>
      </c>
      <c r="E29" s="76">
        <f>E28*1.5</f>
        <v>65.822505000000007</v>
      </c>
      <c r="F29" s="77">
        <f>PRODUCT(D29,E29)</f>
        <v>10202.488275000002</v>
      </c>
      <c r="G29" s="78">
        <v>14</v>
      </c>
      <c r="H29" s="75">
        <f>PRODUCT(0.14,F29)</f>
        <v>1428.3483585000004</v>
      </c>
      <c r="I29" s="322">
        <f t="shared" si="0"/>
        <v>11630.836633500003</v>
      </c>
      <c r="J29" s="323"/>
    </row>
    <row r="30" spans="1:10" ht="15">
      <c r="A30" s="306" t="s">
        <v>128</v>
      </c>
      <c r="B30" s="307"/>
      <c r="C30" s="308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9">
        <f>SUM(H30,F30)</f>
        <v>1009.2</v>
      </c>
      <c r="J30" s="310"/>
    </row>
    <row r="31" spans="1:10" ht="15.75" thickBot="1">
      <c r="A31" s="311" t="s">
        <v>129</v>
      </c>
      <c r="B31" s="312"/>
      <c r="C31" s="31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9">
        <f t="shared" si="0"/>
        <v>1596.44</v>
      </c>
      <c r="J31" s="310"/>
    </row>
    <row r="32" spans="1:10" ht="21">
      <c r="A32" s="314" t="s">
        <v>130</v>
      </c>
      <c r="B32" s="315"/>
      <c r="C32" s="315"/>
      <c r="D32" s="315"/>
      <c r="E32" s="315"/>
      <c r="F32" s="84">
        <f>SUM(F25:F31)</f>
        <v>498105.10527500004</v>
      </c>
      <c r="G32" s="85"/>
      <c r="H32" s="86"/>
      <c r="I32" s="318">
        <f>SUM(I25:J31)</f>
        <v>567785.84001349984</v>
      </c>
      <c r="J32" s="318"/>
    </row>
    <row r="33" spans="1:10" ht="21.75" thickBot="1">
      <c r="A33" s="316"/>
      <c r="B33" s="317"/>
      <c r="C33" s="317"/>
      <c r="D33" s="317"/>
      <c r="E33" s="317"/>
      <c r="F33" s="87"/>
      <c r="G33" s="88"/>
      <c r="H33" s="89"/>
      <c r="I33" s="318"/>
      <c r="J33" s="31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6"/>
      <c r="B1" s="278"/>
      <c r="C1" s="364" t="s">
        <v>87</v>
      </c>
      <c r="D1" s="365"/>
      <c r="E1" s="365"/>
      <c r="F1" s="365"/>
      <c r="G1" s="365"/>
      <c r="H1" s="370" t="s">
        <v>88</v>
      </c>
      <c r="I1" s="371"/>
      <c r="J1" s="372"/>
    </row>
    <row r="2" spans="1:10" ht="16.5" customHeight="1" thickBot="1">
      <c r="A2" s="279"/>
      <c r="B2" s="281"/>
      <c r="C2" s="366"/>
      <c r="D2" s="367"/>
      <c r="E2" s="367"/>
      <c r="F2" s="367"/>
      <c r="G2" s="367"/>
      <c r="H2" s="373"/>
      <c r="I2" s="374"/>
      <c r="J2" s="375"/>
    </row>
    <row r="3" spans="1:10" ht="15" customHeight="1">
      <c r="A3" s="279"/>
      <c r="B3" s="281"/>
      <c r="C3" s="366"/>
      <c r="D3" s="367"/>
      <c r="E3" s="367"/>
      <c r="F3" s="367"/>
      <c r="G3" s="367"/>
      <c r="H3" s="376" t="s">
        <v>89</v>
      </c>
      <c r="I3" s="377"/>
      <c r="J3" s="378"/>
    </row>
    <row r="4" spans="1:10" ht="15.75" customHeight="1" thickBot="1">
      <c r="A4" s="282"/>
      <c r="B4" s="284"/>
      <c r="C4" s="368"/>
      <c r="D4" s="369"/>
      <c r="E4" s="369"/>
      <c r="F4" s="369"/>
      <c r="G4" s="369"/>
      <c r="H4" s="379"/>
      <c r="I4" s="380"/>
      <c r="J4" s="381"/>
    </row>
    <row r="6" spans="1:10" ht="33" customHeight="1" thickBot="1"/>
    <row r="7" spans="1:10" ht="36.75" thickTop="1">
      <c r="A7" s="382" t="s">
        <v>90</v>
      </c>
      <c r="B7" s="382"/>
      <c r="C7" s="383" t="s">
        <v>91</v>
      </c>
      <c r="D7" s="384"/>
      <c r="E7" s="61" t="s">
        <v>92</v>
      </c>
      <c r="F7" s="61" t="s">
        <v>93</v>
      </c>
      <c r="G7" s="61" t="s">
        <v>94</v>
      </c>
      <c r="H7" s="61" t="s">
        <v>95</v>
      </c>
      <c r="I7" s="385" t="s">
        <v>96</v>
      </c>
      <c r="J7" s="386"/>
    </row>
    <row r="8" spans="1:10">
      <c r="A8" s="352">
        <v>95670781</v>
      </c>
      <c r="B8" s="352"/>
      <c r="C8" s="357">
        <v>44293</v>
      </c>
      <c r="D8" s="358"/>
      <c r="E8" s="113">
        <v>44323</v>
      </c>
      <c r="F8" s="170" t="s">
        <v>131</v>
      </c>
      <c r="G8" s="62"/>
      <c r="H8" s="62"/>
      <c r="I8" s="359"/>
      <c r="J8" s="360"/>
    </row>
    <row r="10" spans="1:10" ht="23.25" customHeight="1" thickBot="1"/>
    <row r="11" spans="1:10" ht="24.75" customHeight="1" thickTop="1">
      <c r="A11" s="336" t="s">
        <v>98</v>
      </c>
      <c r="B11" s="336"/>
      <c r="C11" s="361" t="s">
        <v>99</v>
      </c>
      <c r="D11" s="362"/>
      <c r="E11" s="336" t="s">
        <v>100</v>
      </c>
      <c r="F11" s="336"/>
      <c r="G11" s="361" t="s">
        <v>101</v>
      </c>
      <c r="H11" s="362"/>
      <c r="I11" s="363" t="s">
        <v>102</v>
      </c>
      <c r="J11" s="363"/>
    </row>
    <row r="12" spans="1:10">
      <c r="A12" s="352" t="s">
        <v>103</v>
      </c>
      <c r="B12" s="352"/>
      <c r="C12" s="352">
        <v>3750</v>
      </c>
      <c r="D12" s="352"/>
      <c r="E12" s="352">
        <v>1000</v>
      </c>
      <c r="F12" s="352"/>
      <c r="G12" s="353">
        <v>712</v>
      </c>
      <c r="H12" s="353"/>
      <c r="I12" s="354"/>
      <c r="J12" s="354"/>
    </row>
    <row r="13" spans="1:10">
      <c r="A13" s="355"/>
      <c r="B13" s="356"/>
      <c r="C13" s="356"/>
      <c r="D13" s="356"/>
      <c r="E13" s="356"/>
      <c r="F13" s="356"/>
      <c r="G13" s="356"/>
      <c r="H13" s="356"/>
      <c r="I13" s="356"/>
      <c r="J13" s="356"/>
    </row>
    <row r="15" spans="1:10" ht="13.5" thickBot="1"/>
    <row r="16" spans="1:10" ht="26.25" thickTop="1">
      <c r="A16" s="336" t="s">
        <v>104</v>
      </c>
      <c r="B16" s="336"/>
      <c r="C16" s="63" t="s">
        <v>105</v>
      </c>
      <c r="D16" s="64" t="s">
        <v>106</v>
      </c>
      <c r="E16" s="64" t="s">
        <v>48</v>
      </c>
      <c r="F16" s="64" t="s">
        <v>107</v>
      </c>
      <c r="G16" s="349" t="s">
        <v>108</v>
      </c>
      <c r="H16" s="349"/>
      <c r="I16" s="350" t="s">
        <v>109</v>
      </c>
      <c r="J16" s="351"/>
    </row>
    <row r="17" spans="1:10">
      <c r="A17" s="341" t="s">
        <v>110</v>
      </c>
      <c r="B17" s="342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3"/>
      <c r="H17" s="344"/>
      <c r="I17" s="343">
        <f>+E17</f>
        <v>7632</v>
      </c>
      <c r="J17" s="344"/>
    </row>
    <row r="18" spans="1:10">
      <c r="A18" s="341" t="s">
        <v>111</v>
      </c>
      <c r="B18" s="342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3"/>
      <c r="H18" s="344"/>
      <c r="I18" s="343">
        <f>+E18</f>
        <v>3388</v>
      </c>
      <c r="J18" s="344"/>
    </row>
    <row r="19" spans="1:10">
      <c r="A19" s="341" t="s">
        <v>112</v>
      </c>
      <c r="B19" s="342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3"/>
      <c r="H19" s="344"/>
      <c r="I19" s="343">
        <f>+E19</f>
        <v>2677</v>
      </c>
      <c r="J19" s="344"/>
    </row>
    <row r="20" spans="1:10" ht="15">
      <c r="A20" s="345" t="s">
        <v>113</v>
      </c>
      <c r="B20" s="346"/>
      <c r="C20" s="68"/>
      <c r="D20" s="69"/>
      <c r="E20" s="68">
        <f>SUM(E17:E19)</f>
        <v>13697</v>
      </c>
      <c r="F20" s="70"/>
      <c r="G20" s="347"/>
      <c r="H20" s="348"/>
      <c r="I20" s="347"/>
      <c r="J20" s="348"/>
    </row>
    <row r="21" spans="1:10">
      <c r="C21" s="110" t="s">
        <v>18</v>
      </c>
      <c r="D21" t="s">
        <v>114</v>
      </c>
      <c r="G21" s="328"/>
      <c r="H21" s="328"/>
    </row>
    <row r="22" spans="1:10" ht="13.5" thickBot="1">
      <c r="G22" s="329"/>
      <c r="H22" s="329"/>
    </row>
    <row r="23" spans="1:10" ht="13.5" thickTop="1">
      <c r="A23" s="330" t="s">
        <v>115</v>
      </c>
      <c r="B23" s="331"/>
      <c r="C23" s="332"/>
      <c r="D23" s="336" t="s">
        <v>116</v>
      </c>
      <c r="E23" s="336" t="s">
        <v>117</v>
      </c>
      <c r="F23" s="338" t="s">
        <v>118</v>
      </c>
      <c r="G23" s="340" t="s">
        <v>119</v>
      </c>
      <c r="H23" s="340"/>
      <c r="I23" s="324" t="s">
        <v>120</v>
      </c>
      <c r="J23" s="324"/>
    </row>
    <row r="24" spans="1:10">
      <c r="A24" s="333"/>
      <c r="B24" s="334"/>
      <c r="C24" s="335"/>
      <c r="D24" s="337"/>
      <c r="E24" s="337"/>
      <c r="F24" s="339"/>
      <c r="G24" s="171" t="s">
        <v>121</v>
      </c>
      <c r="H24" s="71" t="s">
        <v>122</v>
      </c>
      <c r="I24" s="324"/>
      <c r="J24" s="324"/>
    </row>
    <row r="25" spans="1:10" ht="15">
      <c r="A25" s="325" t="s">
        <v>123</v>
      </c>
      <c r="B25" s="326"/>
      <c r="C25" s="327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09">
        <f>SUM(H25,F25)</f>
        <v>8277.6366720000005</v>
      </c>
      <c r="J25" s="310"/>
    </row>
    <row r="26" spans="1:10" ht="15">
      <c r="A26" s="306" t="s">
        <v>124</v>
      </c>
      <c r="B26" s="307"/>
      <c r="C26" s="308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09">
        <f t="shared" ref="I26:I31" si="0">SUM(H26,F26)</f>
        <v>2697.83052</v>
      </c>
      <c r="J26" s="310"/>
    </row>
    <row r="27" spans="1:10" ht="15">
      <c r="A27" s="306" t="s">
        <v>125</v>
      </c>
      <c r="B27" s="307"/>
      <c r="C27" s="308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09">
        <f>SUM(H27,F27)</f>
        <v>4060.0881120000004</v>
      </c>
      <c r="J27" s="310"/>
    </row>
    <row r="28" spans="1:10" ht="15">
      <c r="A28" s="306" t="s">
        <v>126</v>
      </c>
      <c r="B28" s="307"/>
      <c r="C28" s="308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9">
        <f t="shared" si="0"/>
        <v>50025.103799999997</v>
      </c>
      <c r="J28" s="310"/>
    </row>
    <row r="29" spans="1:10" ht="15">
      <c r="A29" s="319" t="s">
        <v>127</v>
      </c>
      <c r="B29" s="320"/>
      <c r="C29" s="321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22">
        <f t="shared" si="0"/>
        <v>0</v>
      </c>
      <c r="J29" s="323"/>
    </row>
    <row r="30" spans="1:10" ht="15">
      <c r="A30" s="306" t="s">
        <v>128</v>
      </c>
      <c r="B30" s="307"/>
      <c r="C30" s="308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9">
        <f>SUM(H30,F30)</f>
        <v>1009.2</v>
      </c>
      <c r="J30" s="310"/>
    </row>
    <row r="31" spans="1:10" ht="15.75" thickBot="1">
      <c r="A31" s="311" t="s">
        <v>129</v>
      </c>
      <c r="B31" s="312"/>
      <c r="C31" s="31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9">
        <f t="shared" si="0"/>
        <v>1596.44</v>
      </c>
      <c r="J31" s="310"/>
    </row>
    <row r="32" spans="1:10" ht="21">
      <c r="A32" s="314" t="s">
        <v>130</v>
      </c>
      <c r="B32" s="315"/>
      <c r="C32" s="315"/>
      <c r="D32" s="315"/>
      <c r="E32" s="315"/>
      <c r="F32" s="84">
        <f>SUM(F25:F31)</f>
        <v>59403.753599999996</v>
      </c>
      <c r="G32" s="85"/>
      <c r="H32" s="86"/>
      <c r="I32" s="318">
        <f>SUM(I25:J31)</f>
        <v>67666.299104000005</v>
      </c>
      <c r="J32" s="318"/>
    </row>
    <row r="33" spans="1:10" ht="21.75" thickBot="1">
      <c r="A33" s="316"/>
      <c r="B33" s="317"/>
      <c r="C33" s="317"/>
      <c r="D33" s="317"/>
      <c r="E33" s="317"/>
      <c r="F33" s="87"/>
      <c r="G33" s="88"/>
      <c r="H33" s="89"/>
      <c r="I33" s="318"/>
      <c r="J33" s="31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0"/>
      <c r="B1" s="364" t="s">
        <v>132</v>
      </c>
      <c r="C1" s="365"/>
      <c r="D1" s="365"/>
      <c r="E1" s="365"/>
      <c r="F1" s="413" t="s">
        <v>88</v>
      </c>
      <c r="G1" s="414"/>
      <c r="H1" s="415"/>
    </row>
    <row r="2" spans="1:8" ht="15.75" customHeight="1" thickBot="1">
      <c r="A2" s="411"/>
      <c r="B2" s="366"/>
      <c r="C2" s="367"/>
      <c r="D2" s="367"/>
      <c r="E2" s="367"/>
      <c r="F2" s="416"/>
      <c r="G2" s="417"/>
      <c r="H2" s="418"/>
    </row>
    <row r="3" spans="1:8" ht="15" customHeight="1">
      <c r="A3" s="411"/>
      <c r="B3" s="366"/>
      <c r="C3" s="367"/>
      <c r="D3" s="367"/>
      <c r="E3" s="367"/>
      <c r="F3" s="413" t="s">
        <v>89</v>
      </c>
      <c r="G3" s="414"/>
      <c r="H3" s="415"/>
    </row>
    <row r="4" spans="1:8" ht="15.75" customHeight="1" thickBot="1">
      <c r="A4" s="412"/>
      <c r="B4" s="368"/>
      <c r="C4" s="369"/>
      <c r="D4" s="369"/>
      <c r="E4" s="369"/>
      <c r="F4" s="419"/>
      <c r="G4" s="420"/>
      <c r="H4" s="421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72"/>
      <c r="B8" s="95" t="s">
        <v>137</v>
      </c>
      <c r="C8" s="96">
        <v>113929.60000000001</v>
      </c>
      <c r="D8" s="97">
        <v>44013</v>
      </c>
      <c r="E8" s="96">
        <v>117748.9</v>
      </c>
      <c r="F8" s="97">
        <v>44409</v>
      </c>
      <c r="G8" s="98">
        <f>E8-C8</f>
        <v>3819.2999999999884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2" t="s">
        <v>116</v>
      </c>
      <c r="C10" s="423"/>
      <c r="D10" s="424" t="s">
        <v>138</v>
      </c>
      <c r="E10" s="424"/>
      <c r="F10" s="422" t="s">
        <v>139</v>
      </c>
      <c r="G10" s="425"/>
      <c r="H10" s="423"/>
    </row>
    <row r="11" spans="1:8" ht="15">
      <c r="A11" s="102" t="s">
        <v>140</v>
      </c>
      <c r="B11" s="402"/>
      <c r="C11" s="402"/>
      <c r="D11" s="402"/>
      <c r="E11" s="402"/>
      <c r="F11" s="402">
        <v>23</v>
      </c>
      <c r="G11" s="402"/>
      <c r="H11" s="402"/>
    </row>
    <row r="12" spans="1:8" ht="21">
      <c r="A12" s="408" t="s">
        <v>141</v>
      </c>
      <c r="B12" s="408"/>
      <c r="C12" s="408"/>
      <c r="D12" s="408"/>
      <c r="E12" s="408"/>
      <c r="F12" s="408"/>
      <c r="G12" s="408"/>
      <c r="H12" s="408"/>
    </row>
    <row r="13" spans="1:8" ht="15">
      <c r="A13" s="102" t="s">
        <v>142</v>
      </c>
      <c r="B13" s="402">
        <f>G8</f>
        <v>3819.2999999999884</v>
      </c>
      <c r="C13" s="402"/>
      <c r="D13" s="402">
        <v>8.7899999999999991</v>
      </c>
      <c r="E13" s="402"/>
      <c r="F13" s="409">
        <f>PRODUCT(D13,B13)</f>
        <v>33571.646999999895</v>
      </c>
      <c r="G13" s="409"/>
      <c r="H13" s="409"/>
    </row>
    <row r="14" spans="1:8" ht="45" customHeight="1">
      <c r="A14" s="406" t="s">
        <v>143</v>
      </c>
      <c r="B14" s="406"/>
      <c r="C14" s="406"/>
      <c r="D14" s="406"/>
      <c r="E14" s="406"/>
      <c r="F14" s="406"/>
      <c r="G14" s="406"/>
      <c r="H14" s="406"/>
    </row>
    <row r="15" spans="1:8">
      <c r="A15" s="407"/>
      <c r="B15" s="407"/>
      <c r="C15" s="407"/>
      <c r="D15" s="407"/>
      <c r="E15" s="407"/>
      <c r="F15" s="407"/>
      <c r="G15" s="407"/>
      <c r="H15" s="407"/>
    </row>
    <row r="16" spans="1:8" ht="15">
      <c r="A16" s="103" t="s">
        <v>144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>
      <c r="A17" s="103" t="s">
        <v>145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>
      <c r="A18" s="103" t="s">
        <v>146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>
      <c r="A19" s="103" t="s">
        <v>147</v>
      </c>
      <c r="B19" s="402">
        <f>G8</f>
        <v>3819.2999999999884</v>
      </c>
      <c r="C19" s="402"/>
      <c r="D19" s="402">
        <v>2.61</v>
      </c>
      <c r="E19" s="402"/>
      <c r="F19" s="402">
        <f>PRODUCT(D19,B19)</f>
        <v>9968.3729999999687</v>
      </c>
      <c r="G19" s="402"/>
      <c r="H19" s="402"/>
    </row>
    <row r="20" spans="1:8" ht="18.75">
      <c r="A20" s="398" t="s">
        <v>148</v>
      </c>
      <c r="B20" s="399"/>
      <c r="C20" s="399"/>
      <c r="D20" s="399"/>
      <c r="E20" s="400"/>
      <c r="F20" s="401">
        <f>SUM(F11+F13+F16+F17+F18+F19)</f>
        <v>43563.019999999866</v>
      </c>
      <c r="G20" s="401"/>
      <c r="H20" s="401"/>
    </row>
    <row r="21" spans="1:8" ht="15">
      <c r="A21" s="387" t="s">
        <v>149</v>
      </c>
      <c r="B21" s="388"/>
      <c r="C21" s="388"/>
      <c r="D21" s="388"/>
      <c r="E21" s="389"/>
      <c r="F21" s="402">
        <f>PRODUCT(F20,0.07)</f>
        <v>3049.4113999999909</v>
      </c>
      <c r="G21" s="402"/>
      <c r="H21" s="402"/>
    </row>
    <row r="22" spans="1:8" ht="15">
      <c r="A22" s="403" t="s">
        <v>150</v>
      </c>
      <c r="B22" s="404"/>
      <c r="C22" s="404"/>
      <c r="D22" s="404"/>
      <c r="E22" s="405"/>
      <c r="F22" s="402">
        <v>208.26</v>
      </c>
      <c r="G22" s="402"/>
      <c r="H22" s="402"/>
    </row>
    <row r="23" spans="1:8" ht="15.75">
      <c r="A23" s="387" t="s">
        <v>151</v>
      </c>
      <c r="B23" s="388"/>
      <c r="C23" s="388"/>
      <c r="D23" s="388"/>
      <c r="E23" s="389"/>
      <c r="F23" s="390">
        <f>SUM(F21:H22)</f>
        <v>3257.6713999999911</v>
      </c>
      <c r="G23" s="390"/>
      <c r="H23" s="390"/>
    </row>
    <row r="24" spans="1:8">
      <c r="A24" s="391" t="s">
        <v>152</v>
      </c>
      <c r="B24" s="392"/>
      <c r="C24" s="392"/>
      <c r="D24" s="392"/>
      <c r="E24" s="393"/>
      <c r="F24" s="397">
        <f>SUM(F20,F23)</f>
        <v>46820.691399999858</v>
      </c>
      <c r="G24" s="397"/>
      <c r="H24" s="397"/>
    </row>
    <row r="25" spans="1:8">
      <c r="A25" s="394"/>
      <c r="B25" s="395"/>
      <c r="C25" s="395"/>
      <c r="D25" s="395"/>
      <c r="E25" s="396"/>
      <c r="F25" s="397"/>
      <c r="G25" s="397"/>
      <c r="H25" s="397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0"/>
      <c r="B1" s="364" t="s">
        <v>132</v>
      </c>
      <c r="C1" s="365"/>
      <c r="D1" s="365"/>
      <c r="E1" s="365"/>
      <c r="F1" s="413" t="s">
        <v>88</v>
      </c>
      <c r="G1" s="414"/>
      <c r="H1" s="415"/>
    </row>
    <row r="2" spans="1:8" ht="15.75" customHeight="1" thickBot="1">
      <c r="A2" s="411"/>
      <c r="B2" s="366"/>
      <c r="C2" s="367"/>
      <c r="D2" s="367"/>
      <c r="E2" s="367"/>
      <c r="F2" s="416"/>
      <c r="G2" s="417"/>
      <c r="H2" s="418"/>
    </row>
    <row r="3" spans="1:8" ht="15" customHeight="1">
      <c r="A3" s="411"/>
      <c r="B3" s="366"/>
      <c r="C3" s="367"/>
      <c r="D3" s="367"/>
      <c r="E3" s="367"/>
      <c r="F3" s="413" t="s">
        <v>89</v>
      </c>
      <c r="G3" s="414"/>
      <c r="H3" s="415"/>
    </row>
    <row r="4" spans="1:8" ht="15.75" customHeight="1" thickBot="1">
      <c r="A4" s="412"/>
      <c r="B4" s="368"/>
      <c r="C4" s="369"/>
      <c r="D4" s="369"/>
      <c r="E4" s="369"/>
      <c r="F4" s="419"/>
      <c r="G4" s="420"/>
      <c r="H4" s="421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72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2" t="s">
        <v>116</v>
      </c>
      <c r="C10" s="423"/>
      <c r="D10" s="424" t="s">
        <v>138</v>
      </c>
      <c r="E10" s="424"/>
      <c r="F10" s="422" t="s">
        <v>139</v>
      </c>
      <c r="G10" s="425"/>
      <c r="H10" s="423"/>
    </row>
    <row r="11" spans="1:8" ht="15">
      <c r="A11" s="102" t="s">
        <v>140</v>
      </c>
      <c r="B11" s="402"/>
      <c r="C11" s="402"/>
      <c r="D11" s="402"/>
      <c r="E11" s="402"/>
      <c r="F11" s="402">
        <v>23</v>
      </c>
      <c r="G11" s="402"/>
      <c r="H11" s="402"/>
    </row>
    <row r="12" spans="1:8" ht="21">
      <c r="A12" s="408" t="s">
        <v>141</v>
      </c>
      <c r="B12" s="408"/>
      <c r="C12" s="408"/>
      <c r="D12" s="408"/>
      <c r="E12" s="408"/>
      <c r="F12" s="408"/>
      <c r="G12" s="408"/>
      <c r="H12" s="408"/>
    </row>
    <row r="13" spans="1:8" ht="15">
      <c r="A13" s="102" t="s">
        <v>142</v>
      </c>
      <c r="B13" s="402">
        <f>G8</f>
        <v>98</v>
      </c>
      <c r="C13" s="402"/>
      <c r="D13" s="402">
        <v>8.5</v>
      </c>
      <c r="E13" s="402"/>
      <c r="F13" s="409">
        <f>PRODUCT(D13,B13)</f>
        <v>833</v>
      </c>
      <c r="G13" s="409"/>
      <c r="H13" s="409"/>
    </row>
    <row r="14" spans="1:8" ht="45" customHeight="1">
      <c r="A14" s="406" t="s">
        <v>143</v>
      </c>
      <c r="B14" s="406"/>
      <c r="C14" s="406"/>
      <c r="D14" s="406"/>
      <c r="E14" s="406"/>
      <c r="F14" s="406"/>
      <c r="G14" s="406"/>
      <c r="H14" s="406"/>
    </row>
    <row r="15" spans="1:8">
      <c r="A15" s="407"/>
      <c r="B15" s="407"/>
      <c r="C15" s="407"/>
      <c r="D15" s="407"/>
      <c r="E15" s="407"/>
      <c r="F15" s="407"/>
      <c r="G15" s="407"/>
      <c r="H15" s="407"/>
    </row>
    <row r="16" spans="1:8" ht="15">
      <c r="A16" s="103" t="s">
        <v>144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>
      <c r="A17" s="103" t="s">
        <v>145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>
      <c r="A18" s="103" t="s">
        <v>146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>
      <c r="A19" s="103" t="s">
        <v>147</v>
      </c>
      <c r="B19" s="402">
        <v>0</v>
      </c>
      <c r="C19" s="402"/>
      <c r="D19" s="426">
        <v>0</v>
      </c>
      <c r="E19" s="427"/>
      <c r="F19" s="426">
        <v>0</v>
      </c>
      <c r="G19" s="427"/>
      <c r="H19" s="172"/>
    </row>
    <row r="20" spans="1:8" ht="15">
      <c r="A20" s="103" t="s">
        <v>153</v>
      </c>
      <c r="B20" s="402">
        <f>G8</f>
        <v>98</v>
      </c>
      <c r="C20" s="402"/>
      <c r="D20" s="402">
        <v>2.54</v>
      </c>
      <c r="E20" s="402"/>
      <c r="F20" s="402">
        <f>PRODUCT(D20,B20)</f>
        <v>248.92000000000002</v>
      </c>
      <c r="G20" s="402"/>
      <c r="H20" s="402"/>
    </row>
    <row r="21" spans="1:8" ht="18.75">
      <c r="A21" s="398" t="s">
        <v>148</v>
      </c>
      <c r="B21" s="399"/>
      <c r="C21" s="399"/>
      <c r="D21" s="399"/>
      <c r="E21" s="400"/>
      <c r="F21" s="401">
        <f>SUM(F11+F13+F16+F17+F18+F20)</f>
        <v>1104.92</v>
      </c>
      <c r="G21" s="401"/>
      <c r="H21" s="401"/>
    </row>
    <row r="22" spans="1:8" ht="15">
      <c r="A22" s="387" t="s">
        <v>149</v>
      </c>
      <c r="B22" s="388"/>
      <c r="C22" s="388"/>
      <c r="D22" s="388"/>
      <c r="E22" s="389"/>
      <c r="F22" s="402">
        <f>PRODUCT(F21,0.07)</f>
        <v>77.344400000000007</v>
      </c>
      <c r="G22" s="402"/>
      <c r="H22" s="402"/>
    </row>
    <row r="23" spans="1:8" ht="15">
      <c r="A23" s="403" t="s">
        <v>150</v>
      </c>
      <c r="B23" s="404"/>
      <c r="C23" s="404"/>
      <c r="D23" s="404"/>
      <c r="E23" s="405"/>
      <c r="F23" s="402">
        <v>208.26</v>
      </c>
      <c r="G23" s="402"/>
      <c r="H23" s="402"/>
    </row>
    <row r="24" spans="1:8" ht="15.75">
      <c r="A24" s="387" t="s">
        <v>151</v>
      </c>
      <c r="B24" s="388"/>
      <c r="C24" s="388"/>
      <c r="D24" s="388"/>
      <c r="E24" s="389"/>
      <c r="F24" s="390">
        <f>SUM(F22:H23)</f>
        <v>285.6044</v>
      </c>
      <c r="G24" s="390"/>
      <c r="H24" s="390"/>
    </row>
    <row r="25" spans="1:8">
      <c r="A25" s="391" t="s">
        <v>152</v>
      </c>
      <c r="B25" s="392"/>
      <c r="C25" s="392"/>
      <c r="D25" s="392"/>
      <c r="E25" s="393"/>
      <c r="F25" s="397">
        <f>SUM(F21,F24)</f>
        <v>1390.5244</v>
      </c>
      <c r="G25" s="397"/>
      <c r="H25" s="397"/>
    </row>
    <row r="26" spans="1:8">
      <c r="A26" s="394"/>
      <c r="B26" s="395"/>
      <c r="C26" s="395"/>
      <c r="D26" s="395"/>
      <c r="E26" s="396"/>
      <c r="F26" s="397"/>
      <c r="G26" s="397"/>
      <c r="H26" s="397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0"/>
      <c r="B1" s="364" t="s">
        <v>154</v>
      </c>
      <c r="C1" s="365"/>
      <c r="D1" s="365"/>
      <c r="E1" s="365"/>
      <c r="F1" s="413" t="s">
        <v>88</v>
      </c>
      <c r="G1" s="414"/>
      <c r="H1" s="415"/>
    </row>
    <row r="2" spans="1:8" ht="15.75" customHeight="1" thickBot="1">
      <c r="A2" s="411"/>
      <c r="B2" s="366"/>
      <c r="C2" s="367"/>
      <c r="D2" s="367"/>
      <c r="E2" s="367"/>
      <c r="F2" s="416"/>
      <c r="G2" s="417"/>
      <c r="H2" s="418"/>
    </row>
    <row r="3" spans="1:8" ht="15" customHeight="1">
      <c r="A3" s="411"/>
      <c r="B3" s="366"/>
      <c r="C3" s="367"/>
      <c r="D3" s="367"/>
      <c r="E3" s="367"/>
      <c r="F3" s="413" t="s">
        <v>89</v>
      </c>
      <c r="G3" s="414"/>
      <c r="H3" s="415"/>
    </row>
    <row r="4" spans="1:8" ht="15.75" customHeight="1" thickBot="1">
      <c r="A4" s="412"/>
      <c r="B4" s="368"/>
      <c r="C4" s="369"/>
      <c r="D4" s="369"/>
      <c r="E4" s="369"/>
      <c r="F4" s="419"/>
      <c r="G4" s="420"/>
      <c r="H4" s="421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72"/>
      <c r="B8" s="95" t="s">
        <v>137</v>
      </c>
      <c r="C8" s="96">
        <v>2559</v>
      </c>
      <c r="D8" s="97">
        <v>44348</v>
      </c>
      <c r="E8" s="96">
        <v>2559</v>
      </c>
      <c r="F8" s="97">
        <v>44409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22" t="s">
        <v>116</v>
      </c>
      <c r="C10" s="423"/>
      <c r="D10" s="424" t="s">
        <v>138</v>
      </c>
      <c r="E10" s="424"/>
      <c r="F10" s="422" t="s">
        <v>139</v>
      </c>
      <c r="G10" s="425"/>
      <c r="H10" s="423"/>
    </row>
    <row r="11" spans="1:8" ht="15">
      <c r="A11" s="102" t="s">
        <v>140</v>
      </c>
      <c r="B11" s="402"/>
      <c r="C11" s="402"/>
      <c r="D11" s="402"/>
      <c r="E11" s="402"/>
      <c r="F11" s="402">
        <v>15</v>
      </c>
      <c r="G11" s="402"/>
      <c r="H11" s="402"/>
    </row>
    <row r="12" spans="1:8" ht="21">
      <c r="A12" s="408" t="s">
        <v>141</v>
      </c>
      <c r="B12" s="408"/>
      <c r="C12" s="408"/>
      <c r="D12" s="408"/>
      <c r="E12" s="408"/>
      <c r="F12" s="408"/>
      <c r="G12" s="408"/>
      <c r="H12" s="408"/>
    </row>
    <row r="13" spans="1:8" ht="15">
      <c r="A13" s="102" t="s">
        <v>155</v>
      </c>
      <c r="B13" s="402">
        <f>G8</f>
        <v>0</v>
      </c>
      <c r="C13" s="402"/>
      <c r="D13" s="402">
        <v>16.48</v>
      </c>
      <c r="E13" s="402"/>
      <c r="F13" s="409">
        <f>PRODUCT(D13,B13)</f>
        <v>0</v>
      </c>
      <c r="G13" s="409"/>
      <c r="H13" s="409"/>
    </row>
    <row r="14" spans="1:8" ht="15">
      <c r="A14" s="102" t="s">
        <v>156</v>
      </c>
      <c r="B14" s="426"/>
      <c r="C14" s="427"/>
      <c r="D14" s="426"/>
      <c r="E14" s="427"/>
      <c r="F14" s="426"/>
      <c r="G14" s="427"/>
      <c r="H14" s="111"/>
    </row>
    <row r="15" spans="1:8" ht="15">
      <c r="A15" s="102" t="s">
        <v>157</v>
      </c>
      <c r="B15" s="426"/>
      <c r="C15" s="427"/>
      <c r="D15" s="426"/>
      <c r="E15" s="427"/>
      <c r="F15" s="426"/>
      <c r="G15" s="427"/>
      <c r="H15" s="111"/>
    </row>
    <row r="16" spans="1:8" ht="15">
      <c r="A16" s="102" t="s">
        <v>158</v>
      </c>
      <c r="B16" s="426"/>
      <c r="C16" s="427"/>
      <c r="D16" s="426"/>
      <c r="E16" s="427"/>
      <c r="F16" s="426"/>
      <c r="G16" s="427"/>
      <c r="H16" s="111"/>
    </row>
    <row r="17" spans="1:8" ht="15">
      <c r="A17" s="102" t="s">
        <v>159</v>
      </c>
      <c r="B17" s="426"/>
      <c r="C17" s="427"/>
      <c r="D17" s="426"/>
      <c r="E17" s="427"/>
      <c r="F17" s="426"/>
      <c r="G17" s="427"/>
      <c r="H17" s="111"/>
    </row>
    <row r="18" spans="1:8" ht="45" customHeight="1">
      <c r="A18" s="406" t="s">
        <v>143</v>
      </c>
      <c r="B18" s="406"/>
      <c r="C18" s="406"/>
      <c r="D18" s="406"/>
      <c r="E18" s="406"/>
      <c r="F18" s="406"/>
      <c r="G18" s="406"/>
      <c r="H18" s="406"/>
    </row>
    <row r="19" spans="1:8">
      <c r="A19" s="407"/>
      <c r="B19" s="407"/>
      <c r="C19" s="407"/>
      <c r="D19" s="407"/>
      <c r="E19" s="407"/>
      <c r="F19" s="407"/>
      <c r="G19" s="407"/>
      <c r="H19" s="407"/>
    </row>
    <row r="20" spans="1:8" ht="15">
      <c r="A20" s="103" t="s">
        <v>144</v>
      </c>
      <c r="B20" s="402">
        <v>0</v>
      </c>
      <c r="C20" s="402"/>
      <c r="D20" s="402">
        <v>0</v>
      </c>
      <c r="E20" s="402"/>
      <c r="F20" s="402">
        <f>PRODUCT(D20,B20)</f>
        <v>0</v>
      </c>
      <c r="G20" s="402"/>
      <c r="H20" s="402"/>
    </row>
    <row r="21" spans="1:8" ht="15">
      <c r="A21" s="103" t="s">
        <v>145</v>
      </c>
      <c r="B21" s="402">
        <v>0</v>
      </c>
      <c r="C21" s="402"/>
      <c r="D21" s="402">
        <v>0</v>
      </c>
      <c r="E21" s="402"/>
      <c r="F21" s="402">
        <f>PRODUCT(D21,B21)</f>
        <v>0</v>
      </c>
      <c r="G21" s="402"/>
      <c r="H21" s="402"/>
    </row>
    <row r="22" spans="1:8" ht="15">
      <c r="A22" s="103" t="s">
        <v>146</v>
      </c>
      <c r="B22" s="402">
        <v>0</v>
      </c>
      <c r="C22" s="402"/>
      <c r="D22" s="402">
        <v>0</v>
      </c>
      <c r="E22" s="402"/>
      <c r="F22" s="402">
        <f>PRODUCT(D22,B22)</f>
        <v>0</v>
      </c>
      <c r="G22" s="402"/>
      <c r="H22" s="402"/>
    </row>
    <row r="23" spans="1:8" ht="15">
      <c r="A23" s="103" t="s">
        <v>147</v>
      </c>
      <c r="B23" s="402">
        <f>G8</f>
        <v>0</v>
      </c>
      <c r="C23" s="402"/>
      <c r="D23" s="402">
        <v>0</v>
      </c>
      <c r="E23" s="402"/>
      <c r="F23" s="402">
        <f>PRODUCT(D23,B23)</f>
        <v>0</v>
      </c>
      <c r="G23" s="402"/>
      <c r="H23" s="402"/>
    </row>
    <row r="24" spans="1:8" ht="15">
      <c r="A24" s="103" t="s">
        <v>153</v>
      </c>
      <c r="B24" s="426">
        <v>0</v>
      </c>
      <c r="C24" s="427"/>
      <c r="D24" s="426">
        <v>2.54</v>
      </c>
      <c r="E24" s="427"/>
      <c r="F24" s="426">
        <f>B24*D24</f>
        <v>0</v>
      </c>
      <c r="G24" s="427"/>
      <c r="H24" s="172"/>
    </row>
    <row r="25" spans="1:8" ht="18.75">
      <c r="A25" s="398" t="s">
        <v>148</v>
      </c>
      <c r="B25" s="399"/>
      <c r="C25" s="399"/>
      <c r="D25" s="399"/>
      <c r="E25" s="400"/>
      <c r="F25" s="428">
        <f>SUM(F11+F13+F20+F21+F22+F23)</f>
        <v>15</v>
      </c>
      <c r="G25" s="401"/>
      <c r="H25" s="401"/>
    </row>
    <row r="26" spans="1:8" ht="15">
      <c r="A26" s="387" t="s">
        <v>149</v>
      </c>
      <c r="B26" s="388"/>
      <c r="C26" s="388"/>
      <c r="D26" s="388"/>
      <c r="E26" s="389"/>
      <c r="F26" s="402">
        <v>63.63</v>
      </c>
      <c r="G26" s="402"/>
      <c r="H26" s="402"/>
    </row>
    <row r="27" spans="1:8" ht="15">
      <c r="A27" s="403" t="s">
        <v>150</v>
      </c>
      <c r="B27" s="404"/>
      <c r="C27" s="404"/>
      <c r="D27" s="404"/>
      <c r="E27" s="405"/>
      <c r="F27" s="402">
        <v>2.4300000000000002</v>
      </c>
      <c r="G27" s="402"/>
      <c r="H27" s="402"/>
    </row>
    <row r="28" spans="1:8" ht="15.75">
      <c r="A28" s="387" t="s">
        <v>151</v>
      </c>
      <c r="B28" s="388"/>
      <c r="C28" s="388"/>
      <c r="D28" s="388"/>
      <c r="E28" s="389"/>
      <c r="F28" s="390">
        <f>SUM(F26:H27)</f>
        <v>66.06</v>
      </c>
      <c r="G28" s="390"/>
      <c r="H28" s="390"/>
    </row>
    <row r="29" spans="1:8">
      <c r="A29" s="391" t="s">
        <v>152</v>
      </c>
      <c r="B29" s="392"/>
      <c r="C29" s="392"/>
      <c r="D29" s="392"/>
      <c r="E29" s="393"/>
      <c r="F29" s="397">
        <f>SUM(F25,F28)</f>
        <v>81.06</v>
      </c>
      <c r="G29" s="397"/>
      <c r="H29" s="397"/>
    </row>
    <row r="30" spans="1:8">
      <c r="A30" s="394"/>
      <c r="B30" s="395"/>
      <c r="C30" s="395"/>
      <c r="D30" s="395"/>
      <c r="E30" s="396"/>
      <c r="F30" s="397"/>
      <c r="G30" s="397"/>
      <c r="H30" s="397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6" zoomScaleNormal="100" workbookViewId="0">
      <selection activeCell="I24" sqref="I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9" t="s">
        <v>160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/>
      <c r="K14" s="104"/>
      <c r="L14" s="104"/>
      <c r="M14" s="104"/>
      <c r="N14" s="104"/>
    </row>
    <row r="15" spans="2:14" ht="21" thickBot="1">
      <c r="C15" s="432" t="s">
        <v>180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I24" sqref="I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9" t="s">
        <v>181</v>
      </c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/>
      <c r="K14" s="104"/>
      <c r="L14" s="104"/>
      <c r="M14" s="104"/>
      <c r="N14" s="104"/>
    </row>
    <row r="15" spans="2:14" ht="21" thickBot="1">
      <c r="C15" s="432" t="s">
        <v>182</v>
      </c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1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I24" sqref="I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9" t="s">
        <v>183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/>
      <c r="K14" s="104"/>
      <c r="L14" s="104"/>
      <c r="M14" s="104"/>
      <c r="N14" s="104"/>
    </row>
    <row r="15" spans="2:14" ht="21" thickBot="1">
      <c r="C15" s="432" t="s">
        <v>184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2021-08-10T11:05:46Z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