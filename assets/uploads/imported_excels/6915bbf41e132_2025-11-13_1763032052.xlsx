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3AAC99C8-E266-425B-8F05-E9EFAD7F8D43}" xr6:coauthVersionLast="47" xr6:coauthVersionMax="47" xr10:uidLastSave="{00000000-0000-0000-0000-000000000000}"/>
  <bookViews>
    <workbookView xWindow="2868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L13" i="1" l="1"/>
  <c r="Y33" i="1" l="1"/>
  <c r="D33" i="1"/>
  <c r="E5" i="1" l="1"/>
  <c r="E6" i="1"/>
  <c r="E7" i="1"/>
  <c r="E8" i="1"/>
  <c r="E9" i="1"/>
  <c r="Y32" i="1" l="1"/>
  <c r="E30" i="1"/>
  <c r="E31" i="1"/>
  <c r="D32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AC5" i="1"/>
  <c r="I5" i="2" s="1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14" i="1" l="1"/>
  <c r="T5" i="1"/>
  <c r="T31" i="1"/>
  <c r="T8" i="1"/>
  <c r="T7" i="1"/>
  <c r="T4" i="1"/>
  <c r="T15" i="1"/>
  <c r="T13" i="1"/>
  <c r="T12" i="1"/>
  <c r="T11" i="1"/>
  <c r="T10" i="1"/>
  <c r="T9" i="1"/>
  <c r="T6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L17" i="1"/>
  <c r="L18" i="1"/>
  <c r="L19" i="1"/>
  <c r="L20" i="1"/>
  <c r="L21" i="1"/>
  <c r="N21" i="1" s="1"/>
  <c r="L23" i="1"/>
  <c r="N22" i="1" s="1"/>
  <c r="L24" i="1"/>
  <c r="L25" i="1"/>
  <c r="N25" i="1" s="1"/>
  <c r="L27" i="1"/>
  <c r="L28" i="1"/>
  <c r="L29" i="1"/>
  <c r="L30" i="1"/>
  <c r="L31" i="1"/>
  <c r="L32" i="1"/>
  <c r="L33" i="1"/>
  <c r="L3" i="1"/>
  <c r="L2" i="1"/>
  <c r="S34" i="1"/>
  <c r="N2" i="1" l="1"/>
  <c r="G2" i="2" s="1"/>
  <c r="U21" i="1"/>
  <c r="Z26" i="1"/>
  <c r="K26" i="2" s="1"/>
  <c r="N3" i="1"/>
  <c r="U3" i="1" s="1"/>
  <c r="N31" i="1"/>
  <c r="U31" i="1" s="1"/>
  <c r="U25" i="1"/>
  <c r="U22" i="1"/>
  <c r="N24" i="1"/>
  <c r="U24" i="1" s="1"/>
  <c r="N23" i="1"/>
  <c r="U23" i="1" s="1"/>
  <c r="U12" i="1"/>
  <c r="N20" i="1"/>
  <c r="U20" i="1" s="1"/>
  <c r="N19" i="1"/>
  <c r="U19" i="1" s="1"/>
  <c r="N18" i="1"/>
  <c r="U18" i="1" s="1"/>
  <c r="N17" i="1"/>
  <c r="U17" i="1" s="1"/>
  <c r="N16" i="1"/>
  <c r="U16" i="1" s="1"/>
  <c r="N15" i="1"/>
  <c r="U15" i="1" s="1"/>
  <c r="N14" i="1"/>
  <c r="U14" i="1" s="1"/>
  <c r="N13" i="1"/>
  <c r="G13" i="2" s="1"/>
  <c r="N28" i="1"/>
  <c r="U28" i="1" s="1"/>
  <c r="N29" i="1"/>
  <c r="U29" i="1" s="1"/>
  <c r="N30" i="1"/>
  <c r="U30" i="1" s="1"/>
  <c r="N27" i="1"/>
  <c r="U27" i="1" s="1"/>
  <c r="N26" i="1"/>
  <c r="U26" i="1" s="1"/>
  <c r="N9" i="1"/>
  <c r="G9" i="2" s="1"/>
  <c r="N6" i="1"/>
  <c r="U6" i="1" s="1"/>
  <c r="N10" i="1"/>
  <c r="U10" i="1" s="1"/>
  <c r="N11" i="1"/>
  <c r="U11" i="1" s="1"/>
  <c r="N7" i="1"/>
  <c r="U7" i="1" s="1"/>
  <c r="N8" i="1"/>
  <c r="U8" i="1" s="1"/>
  <c r="N4" i="1"/>
  <c r="U4" i="1" s="1"/>
  <c r="N5" i="1"/>
  <c r="U5" i="1" s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24" i="2"/>
  <c r="K20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<sst xmlns="http://schemas.openxmlformats.org/spreadsheetml/2006/main" count="79" uniqueCount="39">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</sst>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/>
      <diagonal/>
    </border>
  </borders>
  <cellStyleXfs count="1">
    <xf numFmtId="0" fontId="0" fillId="0" borderId="0"/>
  </cellStyleXfs>
  <cellXfs count="19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8" xfId="0" applyNumberFormat="1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18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" fontId="21" fillId="4" borderId="21" xfId="0" applyNumberFormat="1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1" fontId="21" fillId="5" borderId="21" xfId="0" applyNumberFormat="1" applyFont="1" applyFill="1" applyBorder="1" applyAlignment="1">
      <alignment horizontal="center" vertical="center" wrapText="1"/>
    </xf>
    <xf numFmtId="165" fontId="21" fillId="5" borderId="21" xfId="0" applyNumberFormat="1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1" xfId="0" applyNumberFormat="1" applyFont="1" applyFill="1" applyBorder="1" applyAlignment="1">
      <alignment horizontal="center" vertical="center" wrapText="1"/>
    </xf>
    <xf numFmtId="166" fontId="24" fillId="9" borderId="2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/>
    </xf>
    <xf numFmtId="9" fontId="4" fillId="0" borderId="32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3" fontId="10" fillId="2" borderId="36" xfId="0" applyNumberFormat="1" applyFont="1" applyFill="1" applyBorder="1" applyAlignment="1">
      <alignment horizontal="center" vertical="center" textRotation="90" wrapText="1"/>
    </xf>
    <xf numFmtId="1" fontId="12" fillId="0" borderId="37" xfId="0" applyNumberFormat="1" applyFont="1" applyBorder="1" applyAlignment="1">
      <alignment horizontal="center" vertical="center" wrapText="1"/>
    </xf>
    <xf numFmtId="1" fontId="12" fillId="0" borderId="38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64" fontId="0" fillId="3" borderId="41" xfId="0" applyNumberFormat="1" applyFill="1" applyBorder="1" applyAlignment="1">
      <alignment horizontal="right" vertical="center"/>
    </xf>
    <xf numFmtId="164" fontId="0" fillId="3" borderId="42" xfId="0" applyNumberFormat="1" applyFill="1" applyBorder="1" applyAlignment="1">
      <alignment horizontal="right" vertical="center"/>
    </xf>
    <xf numFmtId="1" fontId="7" fillId="0" borderId="43" xfId="0" applyNumberFormat="1" applyFont="1" applyBorder="1" applyAlignment="1">
      <alignment horizontal="center" vertical="center"/>
    </xf>
    <xf numFmtId="1" fontId="7" fillId="0" borderId="44" xfId="0" applyNumberFormat="1" applyFont="1" applyBorder="1" applyAlignment="1">
      <alignment horizontal="center" vertical="center"/>
    </xf>
    <xf numFmtId="1" fontId="7" fillId="0" borderId="45" xfId="0" applyNumberFormat="1" applyFont="1" applyBorder="1" applyAlignment="1">
      <alignment horizontal="center" vertical="center"/>
    </xf>
    <xf numFmtId="3" fontId="2" fillId="2" borderId="46" xfId="0" applyNumberFormat="1" applyFont="1" applyFill="1" applyBorder="1" applyAlignment="1">
      <alignment horizontal="center"/>
    </xf>
    <xf numFmtId="1" fontId="5" fillId="0" borderId="47" xfId="0" applyNumberFormat="1" applyFont="1" applyBorder="1" applyAlignment="1">
      <alignment horizontal="center"/>
    </xf>
    <xf numFmtId="1" fontId="5" fillId="0" borderId="48" xfId="0" applyNumberFormat="1" applyFont="1" applyBorder="1" applyAlignment="1">
      <alignment horizontal="center"/>
    </xf>
    <xf numFmtId="9" fontId="4" fillId="0" borderId="47" xfId="0" applyNumberFormat="1" applyFont="1" applyBorder="1" applyAlignment="1">
      <alignment horizontal="center" vertical="center"/>
    </xf>
    <xf numFmtId="9" fontId="4" fillId="0" borderId="48" xfId="0" applyNumberFormat="1" applyFont="1" applyBorder="1" applyAlignment="1">
      <alignment horizontal="center" vertical="center"/>
    </xf>
    <xf numFmtId="1" fontId="4" fillId="3" borderId="48" xfId="0" applyNumberFormat="1" applyFont="1" applyFill="1" applyBorder="1" applyAlignment="1">
      <alignment horizontal="center" vertical="center"/>
    </xf>
    <xf numFmtId="1" fontId="4" fillId="0" borderId="48" xfId="0" applyNumberFormat="1" applyFont="1" applyBorder="1" applyAlignment="1">
      <alignment horizontal="center"/>
    </xf>
    <xf numFmtId="3" fontId="2" fillId="2" borderId="46" xfId="0" applyNumberFormat="1" applyFont="1" applyFill="1" applyBorder="1" applyAlignment="1">
      <alignment horizontal="center" vertical="center" wrapText="1"/>
    </xf>
    <xf numFmtId="3" fontId="2" fillId="2" borderId="49" xfId="0" applyNumberFormat="1" applyFont="1" applyFill="1" applyBorder="1" applyAlignment="1">
      <alignment horizontal="center" vertical="center" wrapText="1"/>
    </xf>
    <xf numFmtId="1" fontId="3" fillId="0" borderId="47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3" fillId="0" borderId="48" xfId="0" applyNumberFormat="1" applyFont="1" applyBorder="1" applyAlignment="1">
      <alignment horizontal="center" vertical="center"/>
    </xf>
    <xf numFmtId="1" fontId="6" fillId="0" borderId="47" xfId="0" applyNumberFormat="1" applyFont="1" applyBorder="1" applyAlignment="1">
      <alignment horizontal="center" vertical="center"/>
    </xf>
    <xf numFmtId="1" fontId="6" fillId="0" borderId="48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4" fontId="0" fillId="3" borderId="51" xfId="0" applyNumberFormat="1" applyFill="1" applyBorder="1" applyAlignment="1">
      <alignment horizontal="right" vertical="center"/>
    </xf>
    <xf numFmtId="1" fontId="7" fillId="0" borderId="52" xfId="0" applyNumberFormat="1" applyFont="1" applyBorder="1" applyAlignment="1">
      <alignment horizontal="center" vertical="center"/>
    </xf>
    <xf numFmtId="1" fontId="7" fillId="0" borderId="53" xfId="0" applyNumberFormat="1" applyFont="1" applyBorder="1" applyAlignment="1">
      <alignment horizontal="center" vertical="center"/>
    </xf>
    <xf numFmtId="1" fontId="7" fillId="0" borderId="54" xfId="0" applyNumberFormat="1" applyFont="1" applyBorder="1" applyAlignment="1">
      <alignment horizontal="center" vertical="center"/>
    </xf>
    <xf numFmtId="3" fontId="2" fillId="2" borderId="55" xfId="0" applyNumberFormat="1" applyFont="1" applyFill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/>
    </xf>
    <xf numFmtId="1" fontId="5" fillId="0" borderId="57" xfId="0" applyNumberFormat="1" applyFont="1" applyBorder="1" applyAlignment="1">
      <alignment horizontal="center"/>
    </xf>
    <xf numFmtId="9" fontId="4" fillId="0" borderId="56" xfId="0" applyNumberFormat="1" applyFont="1" applyBorder="1" applyAlignment="1">
      <alignment horizontal="center" vertical="center"/>
    </xf>
    <xf numFmtId="9" fontId="4" fillId="0" borderId="57" xfId="0" applyNumberFormat="1" applyFont="1" applyBorder="1" applyAlignment="1">
      <alignment horizontal="center" vertical="center"/>
    </xf>
    <xf numFmtId="1" fontId="4" fillId="3" borderId="57" xfId="0" applyNumberFormat="1" applyFont="1" applyFill="1" applyBorder="1" applyAlignment="1">
      <alignment horizontal="center" vertical="center"/>
    </xf>
    <xf numFmtId="1" fontId="4" fillId="0" borderId="57" xfId="0" applyNumberFormat="1" applyFont="1" applyBorder="1" applyAlignment="1">
      <alignment horizontal="center"/>
    </xf>
    <xf numFmtId="3" fontId="2" fillId="2" borderId="58" xfId="0" applyNumberFormat="1" applyFont="1" applyFill="1" applyBorder="1" applyAlignment="1">
      <alignment horizontal="center" vertical="center" wrapText="1"/>
    </xf>
    <xf numFmtId="1" fontId="3" fillId="0" borderId="56" xfId="0" applyNumberFormat="1" applyFont="1" applyBorder="1" applyAlignment="1">
      <alignment horizontal="center" vertical="center"/>
    </xf>
    <xf numFmtId="1" fontId="3" fillId="0" borderId="53" xfId="0" applyNumberFormat="1" applyFont="1" applyBorder="1" applyAlignment="1">
      <alignment horizontal="center" vertical="center"/>
    </xf>
    <xf numFmtId="1" fontId="3" fillId="0" borderId="57" xfId="0" applyNumberFormat="1" applyFont="1" applyBorder="1" applyAlignment="1">
      <alignment horizontal="center" vertical="center"/>
    </xf>
    <xf numFmtId="1" fontId="6" fillId="0" borderId="56" xfId="0" applyNumberFormat="1" applyFont="1" applyBorder="1" applyAlignment="1">
      <alignment horizontal="center" vertical="center"/>
    </xf>
    <xf numFmtId="1" fontId="6" fillId="0" borderId="57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4" fontId="0" fillId="3" borderId="60" xfId="0" applyNumberFormat="1" applyFill="1" applyBorder="1" applyAlignment="1">
      <alignment horizontal="right" vertical="center"/>
    </xf>
    <xf numFmtId="1" fontId="7" fillId="0" borderId="61" xfId="0" applyNumberFormat="1" applyFont="1" applyBorder="1" applyAlignment="1">
      <alignment horizontal="center" vertical="center"/>
    </xf>
    <xf numFmtId="1" fontId="7" fillId="0" borderId="62" xfId="0" applyNumberFormat="1" applyFont="1" applyBorder="1" applyAlignment="1">
      <alignment horizontal="center" vertical="center"/>
    </xf>
    <xf numFmtId="1" fontId="7" fillId="0" borderId="63" xfId="0" applyNumberFormat="1" applyFont="1" applyBorder="1" applyAlignment="1">
      <alignment horizontal="center" vertical="center"/>
    </xf>
    <xf numFmtId="3" fontId="2" fillId="2" borderId="64" xfId="0" applyNumberFormat="1" applyFont="1" applyFill="1" applyBorder="1" applyAlignment="1">
      <alignment horizontal="center"/>
    </xf>
    <xf numFmtId="1" fontId="5" fillId="0" borderId="65" xfId="0" applyNumberFormat="1" applyFont="1" applyBorder="1" applyAlignment="1">
      <alignment horizontal="center"/>
    </xf>
    <xf numFmtId="1" fontId="5" fillId="0" borderId="66" xfId="0" applyNumberFormat="1" applyFont="1" applyBorder="1" applyAlignment="1">
      <alignment horizontal="center"/>
    </xf>
    <xf numFmtId="9" fontId="4" fillId="0" borderId="65" xfId="0" applyNumberFormat="1" applyFont="1" applyBorder="1" applyAlignment="1">
      <alignment horizontal="center" vertical="center"/>
    </xf>
    <xf numFmtId="9" fontId="4" fillId="0" borderId="66" xfId="0" applyNumberFormat="1" applyFont="1" applyBorder="1" applyAlignment="1">
      <alignment horizontal="center" vertical="center"/>
    </xf>
    <xf numFmtId="1" fontId="4" fillId="3" borderId="66" xfId="0" applyNumberFormat="1" applyFont="1" applyFill="1" applyBorder="1" applyAlignment="1">
      <alignment horizontal="center" vertical="center"/>
    </xf>
    <xf numFmtId="1" fontId="4" fillId="0" borderId="66" xfId="0" applyNumberFormat="1" applyFont="1" applyBorder="1" applyAlignment="1">
      <alignment horizontal="center"/>
    </xf>
    <xf numFmtId="3" fontId="2" fillId="2" borderId="64" xfId="0" applyNumberFormat="1" applyFont="1" applyFill="1" applyBorder="1" applyAlignment="1">
      <alignment horizontal="center" vertical="center" wrapText="1"/>
    </xf>
    <xf numFmtId="3" fontId="2" fillId="2" borderId="67" xfId="0" applyNumberFormat="1" applyFont="1" applyFill="1" applyBorder="1" applyAlignment="1">
      <alignment horizontal="center" vertical="center" wrapText="1"/>
    </xf>
    <xf numFmtId="1" fontId="3" fillId="0" borderId="65" xfId="0" applyNumberFormat="1" applyFont="1" applyBorder="1" applyAlignment="1">
      <alignment horizontal="center" vertical="center"/>
    </xf>
    <xf numFmtId="1" fontId="3" fillId="0" borderId="62" xfId="0" applyNumberFormat="1" applyFont="1" applyBorder="1" applyAlignment="1">
      <alignment horizontal="center" vertical="center"/>
    </xf>
    <xf numFmtId="1" fontId="3" fillId="0" borderId="66" xfId="0" applyNumberFormat="1" applyFont="1" applyBorder="1" applyAlignment="1">
      <alignment horizontal="center" vertical="center"/>
    </xf>
    <xf numFmtId="1" fontId="6" fillId="0" borderId="65" xfId="0" applyNumberFormat="1" applyFont="1" applyBorder="1" applyAlignment="1">
      <alignment horizontal="center" vertical="center"/>
    </xf>
    <xf numFmtId="1" fontId="6" fillId="0" borderId="66" xfId="0" applyNumberFormat="1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topLeftCell="A2" workbookViewId="0">
      <selection activeCell="C33" sqref="C33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8" customWidth="1"/>
    <col min="6" max="6" width="12.5703125" style="70" customWidth="1"/>
    <col min="7" max="7" width="8.85546875" style="60"/>
    <col min="8" max="8" width="8.85546875" style="66"/>
    <col min="9" max="9" width="8.85546875" style="62" customWidth="1"/>
    <col min="10" max="10" width="8.85546875" style="75"/>
    <col min="11" max="12" width="8.85546875" style="68"/>
    <col min="13" max="14" width="12.28515625" style="78" bestFit="1" customWidth="1"/>
    <col min="15" max="15" width="8.85546875" style="69"/>
    <col min="16" max="16" width="11.5703125" style="69" customWidth="1"/>
    <col min="17" max="16384" width="8.85546875" style="4"/>
  </cols>
  <sheetData>
    <row r="1" spans="1:16" ht="75.75" thickBot="1" x14ac:dyDescent="0.25">
      <c r="A1" s="49" t="s">
        <v>22</v>
      </c>
      <c r="B1" s="49" t="s">
        <v>23</v>
      </c>
      <c r="C1" s="49" t="s">
        <v>24</v>
      </c>
      <c r="D1" s="49" t="s">
        <v>25</v>
      </c>
      <c r="E1" s="50" t="s">
        <v>26</v>
      </c>
      <c r="F1" s="51" t="s">
        <v>27</v>
      </c>
      <c r="G1" s="52" t="s">
        <v>28</v>
      </c>
      <c r="H1" s="53" t="s">
        <v>38</v>
      </c>
      <c r="I1" s="71" t="s">
        <v>36</v>
      </c>
      <c r="J1" s="72" t="s">
        <v>37</v>
      </c>
      <c r="K1" s="54" t="s">
        <v>29</v>
      </c>
      <c r="L1" s="54" t="s">
        <v>30</v>
      </c>
      <c r="M1" s="55" t="s">
        <v>31</v>
      </c>
      <c r="N1" s="55" t="s">
        <v>32</v>
      </c>
      <c r="O1" s="56" t="s">
        <v>0</v>
      </c>
      <c r="P1" s="56" t="s">
        <v>33</v>
      </c>
    </row>
    <row r="2" spans="1:16" ht="15.75" thickTop="1" x14ac:dyDescent="0.25">
      <c r="A2" s="57" t="s">
        <v>34</v>
      </c>
      <c r="B2" s="4">
        <v>1</v>
      </c>
      <c r="C2" s="4">
        <v>6</v>
      </c>
      <c r="D2" s="3">
        <v>2024</v>
      </c>
      <c r="E2" s="58">
        <f>Anassa!D3-Anassa!D2</f>
        <v>11600.400000000373</v>
      </c>
      <c r="F2" s="59">
        <f>0.2563</f>
        <v>0.25629999999999997</v>
      </c>
      <c r="G2" s="60">
        <f>Anassa!N2</f>
        <v>275</v>
      </c>
      <c r="H2" s="61">
        <v>0.626</v>
      </c>
      <c r="I2" s="73">
        <f>Anassa!AC2*5.04</f>
        <v>2272.5359999999982</v>
      </c>
      <c r="J2" s="74">
        <v>8.2900000000000001E-2</v>
      </c>
      <c r="K2" s="62">
        <f>Anassa!Z2</f>
        <v>151</v>
      </c>
      <c r="L2" s="63">
        <v>1.25</v>
      </c>
      <c r="M2" s="76">
        <f>Anassa!H2</f>
        <v>423</v>
      </c>
      <c r="N2" s="77">
        <v>0.88</v>
      </c>
      <c r="O2" s="64">
        <f>Anassa!AD2</f>
        <v>64</v>
      </c>
      <c r="P2" s="64">
        <f>Anassa!AE2</f>
        <v>128</v>
      </c>
    </row>
    <row r="3" spans="1:16" ht="15" x14ac:dyDescent="0.25">
      <c r="A3" s="57" t="s">
        <v>34</v>
      </c>
      <c r="B3" s="4">
        <f>B2+1</f>
        <v>2</v>
      </c>
      <c r="C3" s="4">
        <v>6</v>
      </c>
      <c r="D3" s="3">
        <v>2024</v>
      </c>
      <c r="E3" s="58">
        <f>Anassa!D4-Anassa!D3</f>
        <v>11136.799999998882</v>
      </c>
      <c r="F3" s="59">
        <f t="shared" ref="F3:F32" si="0">0.2563</f>
        <v>0.25629999999999997</v>
      </c>
      <c r="G3" s="60">
        <f>Anassa!N3</f>
        <v>125.00000000000091</v>
      </c>
      <c r="H3" s="61">
        <v>0.626</v>
      </c>
      <c r="I3" s="73">
        <f>Anassa!AC3*5.04</f>
        <v>2270.0160000000028</v>
      </c>
      <c r="J3" s="74">
        <v>8.2900000000000001E-2</v>
      </c>
      <c r="K3" s="62">
        <f>Anassa!Z3</f>
        <v>23</v>
      </c>
      <c r="L3" s="63">
        <v>1.25</v>
      </c>
      <c r="M3" s="76">
        <f>Anassa!H3</f>
        <v>282</v>
      </c>
      <c r="N3" s="77">
        <v>0.88</v>
      </c>
      <c r="O3" s="64">
        <f>Anassa!AD3</f>
        <v>75</v>
      </c>
      <c r="P3" s="64">
        <f>Anassa!AE3</f>
        <v>150</v>
      </c>
    </row>
    <row r="4" spans="1:16" ht="15" x14ac:dyDescent="0.25">
      <c r="A4" s="57" t="s">
        <v>34</v>
      </c>
      <c r="B4" s="4">
        <f t="shared" ref="B4:B32" si="1">B3+1</f>
        <v>3</v>
      </c>
      <c r="C4" s="4">
        <v>6</v>
      </c>
      <c r="D4" s="3">
        <v>2024</v>
      </c>
      <c r="E4" s="58">
        <f>Anassa!D5-Anassa!D4</f>
        <v>11773</v>
      </c>
      <c r="F4" s="59">
        <f t="shared" si="0"/>
        <v>0.25629999999999997</v>
      </c>
      <c r="G4" s="60">
        <f>Anassa!N4</f>
        <v>249.99999999999909</v>
      </c>
      <c r="H4" s="61">
        <v>0.626</v>
      </c>
      <c r="I4" s="73">
        <f>Anassa!AC4*5.04</f>
        <v>2270.0159999999983</v>
      </c>
      <c r="J4" s="74">
        <v>8.2900000000000001E-2</v>
      </c>
      <c r="K4" s="62">
        <f>Anassa!Z4</f>
        <v>127</v>
      </c>
      <c r="L4" s="63">
        <v>1.25</v>
      </c>
      <c r="M4" s="76">
        <f>Anassa!H4</f>
        <v>141</v>
      </c>
      <c r="N4" s="77">
        <v>0.88</v>
      </c>
      <c r="O4" s="64">
        <f>Anassa!AD4</f>
        <v>78</v>
      </c>
      <c r="P4" s="64">
        <f>Anassa!AE4</f>
        <v>155</v>
      </c>
    </row>
    <row r="5" spans="1:16" ht="15" x14ac:dyDescent="0.25">
      <c r="A5" s="57" t="s">
        <v>34</v>
      </c>
      <c r="B5" s="4">
        <f t="shared" si="1"/>
        <v>4</v>
      </c>
      <c r="C5" s="4">
        <v>6</v>
      </c>
      <c r="D5" s="3">
        <v>2024</v>
      </c>
      <c r="E5" s="58">
        <f>Anassa!D6-Anassa!D5</f>
        <v>11806.700000001118</v>
      </c>
      <c r="F5" s="59">
        <f t="shared" si="0"/>
        <v>0.25629999999999997</v>
      </c>
      <c r="G5" s="60">
        <f>Anassa!N5</f>
        <v>125</v>
      </c>
      <c r="H5" s="61">
        <v>0.626</v>
      </c>
      <c r="I5" s="73">
        <f>Anassa!AC5*5.04</f>
        <v>2270.0160000000005</v>
      </c>
      <c r="J5" s="74">
        <v>8.2900000000000001E-2</v>
      </c>
      <c r="K5" s="62">
        <f>Anassa!Z5</f>
        <v>134</v>
      </c>
      <c r="L5" s="63">
        <v>1.25</v>
      </c>
      <c r="M5" s="76">
        <f>Anassa!H5</f>
        <v>563</v>
      </c>
      <c r="N5" s="77">
        <v>0.88</v>
      </c>
      <c r="O5" s="64">
        <f>Anassa!AD5</f>
        <v>50</v>
      </c>
      <c r="P5" s="64">
        <f>Anassa!AE5</f>
        <v>99</v>
      </c>
    </row>
    <row r="6" spans="1:16" ht="15" x14ac:dyDescent="0.25">
      <c r="A6" s="57" t="s">
        <v>34</v>
      </c>
      <c r="B6" s="4">
        <f t="shared" si="1"/>
        <v>5</v>
      </c>
      <c r="C6" s="4">
        <v>6</v>
      </c>
      <c r="D6" s="3">
        <v>2024</v>
      </c>
      <c r="E6" s="58">
        <f>Anassa!D7-Anassa!D6</f>
        <v>12431.199999999255</v>
      </c>
      <c r="F6" s="59">
        <f t="shared" si="0"/>
        <v>0.25629999999999997</v>
      </c>
      <c r="G6" s="60">
        <f>Anassa!N6</f>
        <v>203</v>
      </c>
      <c r="H6" s="61">
        <v>0.626</v>
      </c>
      <c r="I6" s="73">
        <f>Anassa!AC6*5.04</f>
        <v>2267.4960000000005</v>
      </c>
      <c r="J6" s="74">
        <v>8.2900000000000001E-2</v>
      </c>
      <c r="K6" s="62">
        <f>Anassa!Z6</f>
        <v>104</v>
      </c>
      <c r="L6" s="63">
        <v>1.25</v>
      </c>
      <c r="M6" s="76">
        <f>Anassa!H6</f>
        <v>422</v>
      </c>
      <c r="N6" s="77">
        <v>0.88</v>
      </c>
      <c r="O6" s="64">
        <f>Anassa!AD6</f>
        <v>50</v>
      </c>
      <c r="P6" s="64">
        <f>Anassa!AE6</f>
        <v>102</v>
      </c>
    </row>
    <row r="7" spans="1:16" ht="15" x14ac:dyDescent="0.25">
      <c r="A7" s="57" t="s">
        <v>34</v>
      </c>
      <c r="B7" s="4">
        <f t="shared" si="1"/>
        <v>6</v>
      </c>
      <c r="C7" s="4">
        <v>6</v>
      </c>
      <c r="D7" s="3">
        <v>2024</v>
      </c>
      <c r="E7" s="58">
        <f>Anassa!D8-Anassa!D7</f>
        <v>13018.800000000745</v>
      </c>
      <c r="F7" s="59">
        <f t="shared" si="0"/>
        <v>0.25629999999999997</v>
      </c>
      <c r="G7" s="60">
        <f>Anassa!N7</f>
        <v>475</v>
      </c>
      <c r="H7" s="61">
        <v>0.626</v>
      </c>
      <c r="I7" s="73">
        <f>Anassa!AC7*5.04</f>
        <v>2291.8895999999991</v>
      </c>
      <c r="J7" s="74">
        <v>8.2900000000000001E-2</v>
      </c>
      <c r="K7" s="62">
        <f>Anassa!Z7</f>
        <v>124</v>
      </c>
      <c r="L7" s="63">
        <v>1.25</v>
      </c>
      <c r="M7" s="76">
        <f>Anassa!H7</f>
        <v>140</v>
      </c>
      <c r="N7" s="77">
        <v>0.88</v>
      </c>
      <c r="O7" s="64">
        <f>Anassa!AD7</f>
        <v>47</v>
      </c>
      <c r="P7" s="64">
        <f>Anassa!AE7</f>
        <v>94</v>
      </c>
    </row>
    <row r="8" spans="1:16" ht="15" x14ac:dyDescent="0.25">
      <c r="A8" s="57" t="s">
        <v>34</v>
      </c>
      <c r="B8" s="4">
        <f t="shared" si="1"/>
        <v>7</v>
      </c>
      <c r="C8" s="4">
        <v>6</v>
      </c>
      <c r="D8" s="3">
        <v>2024</v>
      </c>
      <c r="E8" s="58">
        <f>Anassa!D9-Anassa!D8</f>
        <v>15850.400000000373</v>
      </c>
      <c r="F8" s="59">
        <f t="shared" si="0"/>
        <v>0.25629999999999997</v>
      </c>
      <c r="G8" s="60">
        <f>Anassa!N8</f>
        <v>275</v>
      </c>
      <c r="H8" s="61">
        <v>0.626</v>
      </c>
      <c r="I8" s="73">
        <f>Anassa!AC8*5.04</f>
        <v>2291.8895999999991</v>
      </c>
      <c r="J8" s="74">
        <v>8.2900000000000001E-2</v>
      </c>
      <c r="K8" s="62">
        <f>Anassa!Z8</f>
        <v>173</v>
      </c>
      <c r="L8" s="63">
        <v>1.25</v>
      </c>
      <c r="M8" s="76">
        <f>Anassa!H8</f>
        <v>557</v>
      </c>
      <c r="N8" s="77">
        <v>0.88</v>
      </c>
      <c r="O8" s="64">
        <f>Anassa!AD8</f>
        <v>51</v>
      </c>
      <c r="P8" s="64">
        <f>Anassa!AE8</f>
        <v>101</v>
      </c>
    </row>
    <row r="9" spans="1:16" ht="15" x14ac:dyDescent="0.25">
      <c r="A9" s="57" t="s">
        <v>34</v>
      </c>
      <c r="B9" s="4">
        <f t="shared" si="1"/>
        <v>8</v>
      </c>
      <c r="C9" s="4">
        <v>6</v>
      </c>
      <c r="D9" s="3">
        <v>2024</v>
      </c>
      <c r="E9" s="58">
        <f>Anassa!D10-Anassa!D9</f>
        <v>13227.699999999255</v>
      </c>
      <c r="F9" s="59">
        <f t="shared" si="0"/>
        <v>0.25629999999999997</v>
      </c>
      <c r="G9" s="60">
        <f>Anassa!N9</f>
        <v>375.00000000000091</v>
      </c>
      <c r="H9" s="61">
        <v>0.626</v>
      </c>
      <c r="I9" s="73">
        <f>Anassa!AC9*5.04</f>
        <v>2291.8895999999991</v>
      </c>
      <c r="J9" s="74">
        <v>8.2900000000000001E-2</v>
      </c>
      <c r="K9" s="62">
        <f>Anassa!Z9</f>
        <v>156</v>
      </c>
      <c r="L9" s="63">
        <v>1.25</v>
      </c>
      <c r="M9" s="76">
        <f>Anassa!H9</f>
        <v>2</v>
      </c>
      <c r="N9" s="77">
        <v>0.88</v>
      </c>
      <c r="O9" s="64">
        <f>Anassa!AD9</f>
        <v>51</v>
      </c>
      <c r="P9" s="64">
        <f>Anassa!AE9</f>
        <v>99</v>
      </c>
    </row>
    <row r="10" spans="1:16" ht="15" x14ac:dyDescent="0.25">
      <c r="A10" s="57" t="s">
        <v>34</v>
      </c>
      <c r="B10" s="4">
        <f t="shared" si="1"/>
        <v>9</v>
      </c>
      <c r="C10" s="4">
        <v>6</v>
      </c>
      <c r="D10" s="3">
        <v>2024</v>
      </c>
      <c r="E10" s="58">
        <f>Anassa!D11-Anassa!D10</f>
        <v>14480.60000000149</v>
      </c>
      <c r="F10" s="59">
        <f t="shared" si="0"/>
        <v>0.25629999999999997</v>
      </c>
      <c r="G10" s="60">
        <f>Anassa!N10</f>
        <v>249.99999999999909</v>
      </c>
      <c r="H10" s="61">
        <v>0.626</v>
      </c>
      <c r="I10" s="73">
        <f>Anassa!AC10*5.04</f>
        <v>2291.8895999999991</v>
      </c>
      <c r="J10" s="74">
        <v>8.2900000000000001E-2</v>
      </c>
      <c r="K10" s="62">
        <f>Anassa!Z10</f>
        <v>112</v>
      </c>
      <c r="L10" s="63">
        <v>1.25</v>
      </c>
      <c r="M10" s="76">
        <f>Anassa!H10</f>
        <v>418</v>
      </c>
      <c r="N10" s="77">
        <v>0.88</v>
      </c>
      <c r="O10" s="64">
        <f>Anassa!AD10</f>
        <v>65</v>
      </c>
      <c r="P10" s="64">
        <f>Anassa!AE10</f>
        <v>126</v>
      </c>
    </row>
    <row r="11" spans="1:16" ht="15" x14ac:dyDescent="0.25">
      <c r="A11" s="57" t="s">
        <v>34</v>
      </c>
      <c r="B11" s="4">
        <f t="shared" si="1"/>
        <v>10</v>
      </c>
      <c r="C11" s="4">
        <v>6</v>
      </c>
      <c r="D11" s="3">
        <v>2024</v>
      </c>
      <c r="E11" s="58">
        <f>Anassa!D12-Anassa!D11</f>
        <v>16492.89999999851</v>
      </c>
      <c r="F11" s="59">
        <f t="shared" si="0"/>
        <v>0.25629999999999997</v>
      </c>
      <c r="G11" s="60">
        <f>Anassa!N11</f>
        <v>250</v>
      </c>
      <c r="H11" s="61">
        <v>0.626</v>
      </c>
      <c r="I11" s="73">
        <f>Anassa!AC11*5.04</f>
        <v>2291.8896000000036</v>
      </c>
      <c r="J11" s="74">
        <v>8.2900000000000001E-2</v>
      </c>
      <c r="K11" s="62">
        <f>Anassa!Z11</f>
        <v>140</v>
      </c>
      <c r="L11" s="63">
        <v>1.25</v>
      </c>
      <c r="M11" s="76">
        <f>Anassa!H11</f>
        <v>415</v>
      </c>
      <c r="N11" s="77">
        <v>0.88</v>
      </c>
      <c r="O11" s="64">
        <f>Anassa!AD11</f>
        <v>78</v>
      </c>
      <c r="P11" s="64">
        <f>Anassa!AE11</f>
        <v>154</v>
      </c>
    </row>
    <row r="12" spans="1:16" ht="15" x14ac:dyDescent="0.25">
      <c r="A12" s="57" t="s">
        <v>34</v>
      </c>
      <c r="B12" s="4">
        <f t="shared" si="1"/>
        <v>11</v>
      </c>
      <c r="C12" s="4">
        <v>6</v>
      </c>
      <c r="D12" s="3">
        <v>2024</v>
      </c>
      <c r="E12" s="58">
        <f>Anassa!D13-Anassa!D12</f>
        <v>16969.900000000373</v>
      </c>
      <c r="F12" s="59">
        <f t="shared" si="0"/>
        <v>0.25629999999999997</v>
      </c>
      <c r="G12" s="60">
        <f>Anassa!N12</f>
        <v>125</v>
      </c>
      <c r="H12" s="61">
        <v>0.626</v>
      </c>
      <c r="I12" s="73">
        <f>Anassa!AC12*5.04</f>
        <v>2291.8895999999991</v>
      </c>
      <c r="J12" s="74">
        <v>8.2900000000000001E-2</v>
      </c>
      <c r="K12" s="62">
        <f>Anassa!Z12</f>
        <v>145</v>
      </c>
      <c r="L12" s="63">
        <v>1.25</v>
      </c>
      <c r="M12" s="76">
        <f>Anassa!H12</f>
        <v>0</v>
      </c>
      <c r="N12" s="77">
        <v>0.88</v>
      </c>
      <c r="O12" s="64">
        <f>Anassa!AD12</f>
        <v>58</v>
      </c>
      <c r="P12" s="64">
        <f>Anassa!AE12</f>
        <v>107</v>
      </c>
    </row>
    <row r="13" spans="1:16" ht="15" x14ac:dyDescent="0.25">
      <c r="A13" s="57" t="s">
        <v>34</v>
      </c>
      <c r="B13" s="4">
        <f t="shared" si="1"/>
        <v>12</v>
      </c>
      <c r="C13" s="4">
        <v>6</v>
      </c>
      <c r="D13" s="3">
        <v>2024</v>
      </c>
      <c r="E13" s="58">
        <f>Anassa!D14-Anassa!D13</f>
        <v>16898</v>
      </c>
      <c r="F13" s="59">
        <f t="shared" si="0"/>
        <v>0.25629999999999997</v>
      </c>
      <c r="G13" s="60">
        <f>Anassa!N13</f>
        <v>-61.490000000000691</v>
      </c>
      <c r="H13" s="61">
        <v>0.626</v>
      </c>
      <c r="I13" s="73">
        <f>Anassa!AC13*5.04</f>
        <v>2291.8896000000036</v>
      </c>
      <c r="J13" s="74">
        <v>8.2900000000000001E-2</v>
      </c>
      <c r="K13" s="62">
        <f>Anassa!Z13</f>
        <v>22</v>
      </c>
      <c r="L13" s="63">
        <v>1.25</v>
      </c>
      <c r="M13" s="76">
        <f>Anassa!H13</f>
        <v>550</v>
      </c>
      <c r="N13" s="77">
        <v>0.88</v>
      </c>
      <c r="O13" s="64">
        <f>Anassa!AD13</f>
        <v>59</v>
      </c>
      <c r="P13" s="64">
        <f>Anassa!AE13</f>
        <v>104</v>
      </c>
    </row>
    <row r="14" spans="1:16" ht="15" x14ac:dyDescent="0.25">
      <c r="A14" s="57" t="s">
        <v>34</v>
      </c>
      <c r="B14" s="4">
        <f t="shared" si="1"/>
        <v>13</v>
      </c>
      <c r="C14" s="4">
        <v>6</v>
      </c>
      <c r="D14" s="3">
        <v>2024</v>
      </c>
      <c r="E14" s="58">
        <f>Anassa!D15-Anassa!D14</f>
        <v>15763.599999999627</v>
      </c>
      <c r="F14" s="59">
        <f t="shared" si="0"/>
        <v>0.25629999999999997</v>
      </c>
      <c r="G14" s="60">
        <f>Anassa!N14</f>
        <v>250.00000000000091</v>
      </c>
      <c r="H14" s="61">
        <v>0.626</v>
      </c>
      <c r="I14" s="73">
        <f>Anassa!AC14*5.04</f>
        <v>2291.8895999999991</v>
      </c>
      <c r="J14" s="74">
        <v>8.2900000000000001E-2</v>
      </c>
      <c r="K14" s="62">
        <f>Anassa!Z14</f>
        <v>1132</v>
      </c>
      <c r="L14" s="63">
        <v>1.25</v>
      </c>
      <c r="M14" s="76">
        <f>Anassa!H14</f>
        <v>137</v>
      </c>
      <c r="N14" s="77">
        <v>0.88</v>
      </c>
      <c r="O14" s="64">
        <f>Anassa!AD14</f>
        <v>60</v>
      </c>
      <c r="P14" s="64">
        <f>Anassa!AE14</f>
        <v>100</v>
      </c>
    </row>
    <row r="15" spans="1:16" ht="15" x14ac:dyDescent="0.25">
      <c r="A15" s="57" t="s">
        <v>34</v>
      </c>
      <c r="B15" s="4">
        <f t="shared" si="1"/>
        <v>14</v>
      </c>
      <c r="C15" s="4">
        <v>6</v>
      </c>
      <c r="D15" s="3">
        <v>2024</v>
      </c>
      <c r="E15" s="58">
        <f>Anassa!D16-Anassa!D15</f>
        <v>17120</v>
      </c>
      <c r="F15" s="59">
        <f t="shared" si="0"/>
        <v>0.25629999999999997</v>
      </c>
      <c r="G15" s="60">
        <f>Anassa!N15</f>
        <v>250</v>
      </c>
      <c r="H15" s="61">
        <v>0.626</v>
      </c>
      <c r="I15" s="73">
        <f>Anassa!AC15*5.04</f>
        <v>2291.8895999999991</v>
      </c>
      <c r="J15" s="74">
        <v>8.2900000000000001E-2</v>
      </c>
      <c r="K15" s="62">
        <f>Anassa!Z15</f>
        <v>-867</v>
      </c>
      <c r="L15" s="63">
        <v>1.25</v>
      </c>
      <c r="M15" s="76">
        <f>Anassa!H15</f>
        <v>273</v>
      </c>
      <c r="N15" s="77">
        <v>0.88</v>
      </c>
      <c r="O15" s="64">
        <f>Anassa!AD15</f>
        <v>70</v>
      </c>
      <c r="P15" s="64">
        <f>Anassa!AE15</f>
        <v>120</v>
      </c>
    </row>
    <row r="16" spans="1:16" ht="15" x14ac:dyDescent="0.25">
      <c r="A16" s="57" t="s">
        <v>34</v>
      </c>
      <c r="B16" s="4">
        <f t="shared" si="1"/>
        <v>15</v>
      </c>
      <c r="C16" s="4">
        <v>6</v>
      </c>
      <c r="D16" s="3">
        <v>2024</v>
      </c>
      <c r="E16" s="58">
        <f>Anassa!D17-Anassa!D16</f>
        <v>15036.599999999627</v>
      </c>
      <c r="F16" s="59">
        <f t="shared" si="0"/>
        <v>0.25629999999999997</v>
      </c>
      <c r="G16" s="60">
        <f>Anassa!N16</f>
        <v>75.000000000000909</v>
      </c>
      <c r="H16" s="61">
        <v>0.626</v>
      </c>
      <c r="I16" s="73">
        <f>Anassa!AC16*5.04</f>
        <v>2291.8895999999991</v>
      </c>
      <c r="J16" s="74">
        <v>8.2900000000000001E-2</v>
      </c>
      <c r="K16" s="62">
        <f>Anassa!Z16</f>
        <v>154</v>
      </c>
      <c r="L16" s="63">
        <v>1.25</v>
      </c>
      <c r="M16" s="76">
        <f>Anassa!H16</f>
        <v>941</v>
      </c>
      <c r="N16" s="77">
        <v>1.25</v>
      </c>
      <c r="O16" s="64">
        <f>Anassa!AD16</f>
        <v>70</v>
      </c>
      <c r="P16" s="64">
        <f>Anassa!AE16</f>
        <v>123</v>
      </c>
    </row>
    <row r="17" spans="1:16" ht="15" x14ac:dyDescent="0.25">
      <c r="A17" s="57" t="s">
        <v>34</v>
      </c>
      <c r="B17" s="4">
        <f t="shared" si="1"/>
        <v>16</v>
      </c>
      <c r="C17" s="4">
        <v>6</v>
      </c>
      <c r="D17" s="3">
        <v>2024</v>
      </c>
      <c r="E17" s="58">
        <f>Anassa!D18-Anassa!D17</f>
        <v>15582.599999999627</v>
      </c>
      <c r="F17" s="59">
        <f t="shared" si="0"/>
        <v>0.25629999999999997</v>
      </c>
      <c r="G17" s="60">
        <f>Anassa!N17</f>
        <v>249.99999999999909</v>
      </c>
      <c r="H17" s="61">
        <v>0.626</v>
      </c>
      <c r="I17" s="73">
        <f>Anassa!AC17*5.04</f>
        <v>2291.8896000000036</v>
      </c>
      <c r="J17" s="74">
        <v>8.2900000000000001E-2</v>
      </c>
      <c r="K17" s="62">
        <f>Anassa!Z17</f>
        <v>120</v>
      </c>
      <c r="L17" s="63">
        <v>1.25</v>
      </c>
      <c r="M17" s="76">
        <f>Anassa!H17</f>
        <v>919</v>
      </c>
      <c r="N17" s="77">
        <v>0.88</v>
      </c>
      <c r="O17" s="64">
        <f>Anassa!AD17</f>
        <v>83</v>
      </c>
      <c r="P17" s="64">
        <f>Anassa!AE17</f>
        <v>150</v>
      </c>
    </row>
    <row r="18" spans="1:16" ht="15" x14ac:dyDescent="0.25">
      <c r="A18" s="57" t="s">
        <v>34</v>
      </c>
      <c r="B18" s="4">
        <f t="shared" si="1"/>
        <v>17</v>
      </c>
      <c r="C18" s="4">
        <v>6</v>
      </c>
      <c r="D18" s="3">
        <v>2024</v>
      </c>
      <c r="E18" s="58">
        <f>Anassa!D19-Anassa!D18</f>
        <v>16005.60000000149</v>
      </c>
      <c r="F18" s="59">
        <f t="shared" si="0"/>
        <v>0.25629999999999997</v>
      </c>
      <c r="G18" s="60">
        <f>Anassa!N18</f>
        <v>50.000000000000909</v>
      </c>
      <c r="H18" s="61">
        <v>0.626</v>
      </c>
      <c r="I18" s="73">
        <f>Anassa!AC18*5.04</f>
        <v>2291.8895999999991</v>
      </c>
      <c r="J18" s="74">
        <v>8.2900000000000001E-2</v>
      </c>
      <c r="K18" s="62">
        <f>Anassa!Z18</f>
        <v>122</v>
      </c>
      <c r="L18" s="63">
        <v>1.25</v>
      </c>
      <c r="M18" s="76">
        <f>Anassa!H18</f>
        <v>891</v>
      </c>
      <c r="N18" s="77">
        <v>0.88</v>
      </c>
      <c r="O18" s="64">
        <f>Anassa!AD18</f>
        <v>85</v>
      </c>
      <c r="P18" s="64">
        <f>Anassa!AE18</f>
        <v>152</v>
      </c>
    </row>
    <row r="19" spans="1:16" ht="15" x14ac:dyDescent="0.25">
      <c r="A19" s="57" t="s">
        <v>34</v>
      </c>
      <c r="B19" s="4">
        <f t="shared" si="1"/>
        <v>18</v>
      </c>
      <c r="C19" s="4">
        <v>6</v>
      </c>
      <c r="D19" s="3">
        <v>2024</v>
      </c>
      <c r="E19" s="58">
        <f>Anassa!D20-Anassa!D19</f>
        <v>15169.299999998882</v>
      </c>
      <c r="F19" s="59">
        <f t="shared" si="0"/>
        <v>0.25629999999999997</v>
      </c>
      <c r="G19" s="60">
        <f>Anassa!N19</f>
        <v>224.99999999999909</v>
      </c>
      <c r="H19" s="61">
        <v>0.626</v>
      </c>
      <c r="I19" s="73">
        <f>Anassa!AC19*5.04</f>
        <v>2291.8895999999991</v>
      </c>
      <c r="J19" s="74">
        <v>8.2900000000000001E-2</v>
      </c>
      <c r="K19" s="62">
        <f>Anassa!Z19</f>
        <v>126</v>
      </c>
      <c r="L19" s="63">
        <v>1.25</v>
      </c>
      <c r="M19" s="76">
        <f>Anassa!H19</f>
        <v>976</v>
      </c>
      <c r="N19" s="77">
        <v>0.88</v>
      </c>
      <c r="O19" s="64">
        <f>Anassa!AD19</f>
        <v>0</v>
      </c>
      <c r="P19" s="64">
        <f>Anassa!AE19</f>
        <v>0</v>
      </c>
    </row>
    <row r="20" spans="1:16" ht="15" x14ac:dyDescent="0.25">
      <c r="A20" s="57" t="s">
        <v>34</v>
      </c>
      <c r="B20" s="4">
        <f t="shared" si="1"/>
        <v>19</v>
      </c>
      <c r="C20" s="4">
        <v>6</v>
      </c>
      <c r="D20" s="3">
        <v>2024</v>
      </c>
      <c r="E20" s="58">
        <f>Anassa!D21-Anassa!D20</f>
        <v>16674.800000000745</v>
      </c>
      <c r="F20" s="59">
        <f t="shared" si="0"/>
        <v>0.25629999999999997</v>
      </c>
      <c r="G20" s="60">
        <f>Anassa!N20</f>
        <v>124</v>
      </c>
      <c r="H20" s="61">
        <v>0.626</v>
      </c>
      <c r="I20" s="73">
        <f>Anassa!AC20*5.04</f>
        <v>2291.8896000000013</v>
      </c>
      <c r="J20" s="74">
        <v>8.2900000000000001E-2</v>
      </c>
      <c r="K20" s="62">
        <f>Anassa!Z20</f>
        <v>94</v>
      </c>
      <c r="L20" s="63">
        <v>1.25</v>
      </c>
      <c r="M20" s="76">
        <f>Anassa!H20</f>
        <v>827</v>
      </c>
      <c r="N20" s="77">
        <v>0.88</v>
      </c>
      <c r="O20" s="64">
        <f>Anassa!AD20</f>
        <v>0</v>
      </c>
      <c r="P20" s="64">
        <f>Anassa!AE20</f>
        <v>0</v>
      </c>
    </row>
    <row r="21" spans="1:16" ht="15" x14ac:dyDescent="0.25">
      <c r="A21" s="57" t="s">
        <v>34</v>
      </c>
      <c r="B21" s="4">
        <f t="shared" si="1"/>
        <v>20</v>
      </c>
      <c r="C21" s="4">
        <v>6</v>
      </c>
      <c r="D21" s="3">
        <v>2024</v>
      </c>
      <c r="E21" s="58">
        <f>Anassa!D22-Anassa!D21</f>
        <v>15962.400000000373</v>
      </c>
      <c r="F21" s="59">
        <f t="shared" si="0"/>
        <v>0.25629999999999997</v>
      </c>
      <c r="G21" s="60">
        <f>Anassa!N21</f>
        <v>625</v>
      </c>
      <c r="H21" s="61">
        <v>0.626</v>
      </c>
      <c r="I21" s="73">
        <f>Anassa!AC21*5.04</f>
        <v>2291.8895999999991</v>
      </c>
      <c r="J21" s="74">
        <v>8.2900000000000001E-2</v>
      </c>
      <c r="K21" s="62">
        <f>Anassa!Z21</f>
        <v>136</v>
      </c>
      <c r="L21" s="63">
        <v>1.25</v>
      </c>
      <c r="M21" s="76">
        <f>Anassa!H21</f>
        <v>976</v>
      </c>
      <c r="N21" s="77">
        <v>0.88</v>
      </c>
      <c r="O21" s="64">
        <f>Anassa!AD21</f>
        <v>0</v>
      </c>
      <c r="P21" s="64">
        <f>Anassa!AE21</f>
        <v>0</v>
      </c>
    </row>
    <row r="22" spans="1:16" ht="15" x14ac:dyDescent="0.25">
      <c r="A22" s="57" t="s">
        <v>34</v>
      </c>
      <c r="B22" s="4">
        <f t="shared" si="1"/>
        <v>21</v>
      </c>
      <c r="C22" s="4">
        <v>6</v>
      </c>
      <c r="D22" s="3">
        <v>2024</v>
      </c>
      <c r="E22" s="58">
        <f>Anassa!D23-Anassa!D22</f>
        <v>17872.199999999255</v>
      </c>
      <c r="F22" s="59">
        <f t="shared" si="0"/>
        <v>0.25629999999999997</v>
      </c>
      <c r="G22" s="60">
        <f>Anassa!N22</f>
        <v>125</v>
      </c>
      <c r="H22" s="61">
        <v>0.626</v>
      </c>
      <c r="I22" s="73">
        <f>Anassa!AC22*5.04</f>
        <v>2291.8896000000013</v>
      </c>
      <c r="J22" s="74">
        <v>8.2900000000000001E-2</v>
      </c>
      <c r="K22" s="62">
        <f>Anassa!Z22</f>
        <v>170</v>
      </c>
      <c r="L22" s="63">
        <v>1.25</v>
      </c>
      <c r="M22" s="76">
        <f>Anassa!H22</f>
        <v>702</v>
      </c>
      <c r="N22" s="77">
        <v>0.88</v>
      </c>
      <c r="O22" s="64">
        <f>Anassa!AD22</f>
        <v>0</v>
      </c>
      <c r="P22" s="64">
        <f>Anassa!AE22</f>
        <v>0</v>
      </c>
    </row>
    <row r="23" spans="1:16" ht="15" x14ac:dyDescent="0.25">
      <c r="A23" s="57" t="s">
        <v>34</v>
      </c>
      <c r="B23" s="4">
        <f t="shared" si="1"/>
        <v>22</v>
      </c>
      <c r="C23" s="4">
        <v>6</v>
      </c>
      <c r="D23" s="3">
        <v>2024</v>
      </c>
      <c r="E23" s="58">
        <f>Anassa!D24-Anassa!D23</f>
        <v>17161</v>
      </c>
      <c r="F23" s="59">
        <f t="shared" si="0"/>
        <v>0.25629999999999997</v>
      </c>
      <c r="G23" s="60">
        <f>Anassa!N23</f>
        <v>250</v>
      </c>
      <c r="H23" s="61">
        <v>0.626</v>
      </c>
      <c r="I23" s="73">
        <f>Anassa!AC23*5.04</f>
        <v>2307.009599999999</v>
      </c>
      <c r="J23" s="74">
        <v>8.2900000000000001E-2</v>
      </c>
      <c r="K23" s="62">
        <f>Anassa!Z23</f>
        <v>182</v>
      </c>
      <c r="L23" s="63">
        <v>1.25</v>
      </c>
      <c r="M23" s="76">
        <f>Anassa!H23</f>
        <v>845</v>
      </c>
      <c r="N23" s="77">
        <v>0.88</v>
      </c>
      <c r="O23" s="64">
        <f>Anassa!AD23</f>
        <v>0</v>
      </c>
      <c r="P23" s="64">
        <f>Anassa!AE23</f>
        <v>0</v>
      </c>
    </row>
    <row r="24" spans="1:16" ht="15" x14ac:dyDescent="0.25">
      <c r="A24" s="57" t="s">
        <v>34</v>
      </c>
      <c r="B24" s="4">
        <f t="shared" si="1"/>
        <v>23</v>
      </c>
      <c r="C24" s="4">
        <v>6</v>
      </c>
      <c r="D24" s="3">
        <v>2024</v>
      </c>
      <c r="E24" s="58">
        <f>Anassa!D25-Anassa!D24</f>
        <v>16711.699999999255</v>
      </c>
      <c r="F24" s="59">
        <f t="shared" si="0"/>
        <v>0.25629999999999997</v>
      </c>
      <c r="G24" s="60">
        <f>Anassa!N24</f>
        <v>125.00000000000091</v>
      </c>
      <c r="H24" s="61">
        <v>0.626</v>
      </c>
      <c r="I24" s="73">
        <f>Anassa!AC24*5.04</f>
        <v>2276.7696000000001</v>
      </c>
      <c r="J24" s="74">
        <v>8.2900000000000001E-2</v>
      </c>
      <c r="K24" s="62">
        <f>Anassa!Z24</f>
        <v>32</v>
      </c>
      <c r="L24" s="63">
        <v>1.25</v>
      </c>
      <c r="M24" s="76">
        <f>Anassa!H24</f>
        <v>6</v>
      </c>
      <c r="N24" s="77">
        <v>0.88</v>
      </c>
      <c r="O24" s="64">
        <f>Anassa!AD24</f>
        <v>0</v>
      </c>
      <c r="P24" s="64">
        <f>Anassa!AE24</f>
        <v>0</v>
      </c>
    </row>
    <row r="25" spans="1:16" ht="15" x14ac:dyDescent="0.25">
      <c r="A25" s="57" t="s">
        <v>34</v>
      </c>
      <c r="B25" s="4">
        <f t="shared" si="1"/>
        <v>24</v>
      </c>
      <c r="C25" s="4">
        <v>6</v>
      </c>
      <c r="D25" s="3">
        <v>2024</v>
      </c>
      <c r="E25" s="58">
        <f>Anassa!D26-Anassa!D25</f>
        <v>14856.10000000149</v>
      </c>
      <c r="F25" s="59">
        <f t="shared" si="0"/>
        <v>0.25629999999999997</v>
      </c>
      <c r="G25" s="60">
        <f>Anassa!N25</f>
        <v>174.99999999999909</v>
      </c>
      <c r="H25" s="61">
        <v>0.626</v>
      </c>
      <c r="I25" s="73">
        <f>Anassa!AC25*5.04</f>
        <v>2291.5872000000004</v>
      </c>
      <c r="J25" s="74">
        <v>8.2900000000000001E-2</v>
      </c>
      <c r="K25" s="62">
        <f>Anassa!Z25</f>
        <v>157</v>
      </c>
      <c r="L25" s="63">
        <v>1.25</v>
      </c>
      <c r="M25" s="76">
        <f>Anassa!H25</f>
        <v>417</v>
      </c>
      <c r="N25" s="77">
        <v>0.88</v>
      </c>
      <c r="O25" s="64">
        <f>Anassa!AD25</f>
        <v>0</v>
      </c>
      <c r="P25" s="64">
        <f>Anassa!AE25</f>
        <v>0</v>
      </c>
    </row>
    <row r="26" spans="1:16" ht="15" x14ac:dyDescent="0.25">
      <c r="A26" s="57" t="s">
        <v>34</v>
      </c>
      <c r="B26" s="4">
        <f>B25+1</f>
        <v>25</v>
      </c>
      <c r="C26" s="4">
        <v>6</v>
      </c>
      <c r="D26" s="3">
        <v>2024</v>
      </c>
      <c r="E26" s="58">
        <f>Anassa!D27-Anassa!D26</f>
        <v>15954.699999999255</v>
      </c>
      <c r="F26" s="59">
        <f t="shared" si="0"/>
        <v>0.25629999999999997</v>
      </c>
      <c r="G26" s="60">
        <f>Anassa!N26</f>
        <v>450</v>
      </c>
      <c r="H26" s="61">
        <v>0.626</v>
      </c>
      <c r="I26" s="73">
        <f>Anassa!AC26*5.04</f>
        <v>41076</v>
      </c>
      <c r="J26" s="74">
        <v>8.2900000000000001E-2</v>
      </c>
      <c r="K26" s="62">
        <f>Anassa!Z26</f>
        <v>150</v>
      </c>
      <c r="L26" s="63">
        <v>1.25</v>
      </c>
      <c r="M26" s="76">
        <f>Anassa!H26</f>
        <v>846</v>
      </c>
      <c r="N26" s="77">
        <v>0.88</v>
      </c>
      <c r="O26" s="64">
        <f>Anassa!AD26</f>
        <v>0</v>
      </c>
      <c r="P26" s="64">
        <f>Anassa!AE26</f>
        <v>0</v>
      </c>
    </row>
    <row r="27" spans="1:16" ht="15" x14ac:dyDescent="0.25">
      <c r="A27" s="57" t="s">
        <v>34</v>
      </c>
      <c r="B27" s="4">
        <f t="shared" si="1"/>
        <v>26</v>
      </c>
      <c r="C27" s="4">
        <v>6</v>
      </c>
      <c r="D27" s="3">
        <v>2024</v>
      </c>
      <c r="E27" s="58">
        <f>Anassa!D28-Anassa!D27</f>
        <v>16291.699999999255</v>
      </c>
      <c r="F27" s="59">
        <f t="shared" si="0"/>
        <v>0.25629999999999997</v>
      </c>
      <c r="G27" s="60">
        <f>Anassa!N27</f>
        <v>82.429999999999382</v>
      </c>
      <c r="H27" s="61">
        <v>0.626</v>
      </c>
      <c r="I27" s="73">
        <f>Anassa!AC27*5.04</f>
        <v>0</v>
      </c>
      <c r="J27" s="74">
        <v>8.2900000000000001E-2</v>
      </c>
      <c r="K27" s="62">
        <f>Anassa!Z27</f>
        <v>170</v>
      </c>
      <c r="L27" s="63">
        <v>1.25</v>
      </c>
      <c r="M27" s="76">
        <f>Anassa!H27</f>
        <v>702</v>
      </c>
      <c r="N27" s="77">
        <v>0.88</v>
      </c>
      <c r="O27" s="64">
        <f>Anassa!AD27</f>
        <v>0</v>
      </c>
      <c r="P27" s="64">
        <f>Anassa!AE27</f>
        <v>0</v>
      </c>
    </row>
    <row r="28" spans="1:16" ht="15" x14ac:dyDescent="0.25">
      <c r="A28" s="57" t="s">
        <v>34</v>
      </c>
      <c r="B28" s="4">
        <f t="shared" si="1"/>
        <v>27</v>
      </c>
      <c r="C28" s="4">
        <v>6</v>
      </c>
      <c r="D28" s="3">
        <v>2024</v>
      </c>
      <c r="E28" s="58">
        <f>Anassa!D29-Anassa!D28</f>
        <v>16931.300000000745</v>
      </c>
      <c r="F28" s="59">
        <f t="shared" si="0"/>
        <v>0.25629999999999997</v>
      </c>
      <c r="G28" s="60">
        <f>Anassa!N28</f>
        <v>300</v>
      </c>
      <c r="H28" s="61">
        <v>0.626</v>
      </c>
      <c r="I28" s="73">
        <f>Anassa!AC28*5.04</f>
        <v>0</v>
      </c>
      <c r="J28" s="74">
        <v>8.2900000000000001E-2</v>
      </c>
      <c r="K28" s="62">
        <f>Anassa!Z28</f>
        <v>154</v>
      </c>
      <c r="L28" s="63">
        <v>1.25</v>
      </c>
      <c r="M28" s="76">
        <f>Anassa!H28</f>
        <v>1116</v>
      </c>
      <c r="N28" s="77">
        <v>0.88</v>
      </c>
      <c r="O28" s="64">
        <f>Anassa!AD28</f>
        <v>0</v>
      </c>
      <c r="P28" s="64">
        <f>Anassa!AE28</f>
        <v>0</v>
      </c>
    </row>
    <row r="29" spans="1:16" ht="15" x14ac:dyDescent="0.25">
      <c r="A29" s="57" t="s">
        <v>34</v>
      </c>
      <c r="B29" s="4">
        <f t="shared" si="1"/>
        <v>28</v>
      </c>
      <c r="C29" s="4">
        <v>6</v>
      </c>
      <c r="D29" s="3">
        <v>2024</v>
      </c>
      <c r="E29" s="58">
        <f>Anassa!D30-Anassa!D29</f>
        <v>18573.300000000745</v>
      </c>
      <c r="F29" s="59">
        <f t="shared" si="0"/>
        <v>0.25629999999999997</v>
      </c>
      <c r="G29" s="60">
        <f>Anassa!N29</f>
        <v>325.00000000000091</v>
      </c>
      <c r="H29" s="61">
        <v>0.626</v>
      </c>
      <c r="I29" s="73">
        <f>Anassa!AC29*5.04</f>
        <v>0</v>
      </c>
      <c r="J29" s="74">
        <v>8.2900000000000001E-2</v>
      </c>
      <c r="K29" s="62">
        <f>Anassa!Z29</f>
        <v>219</v>
      </c>
      <c r="L29" s="63">
        <v>1.25</v>
      </c>
      <c r="M29" s="76">
        <f>Anassa!H29</f>
        <v>3689</v>
      </c>
      <c r="N29" s="77">
        <v>0.88</v>
      </c>
      <c r="O29" s="64">
        <f>Anassa!AD29</f>
        <v>0</v>
      </c>
      <c r="P29" s="64">
        <f>Anassa!AE29</f>
        <v>0</v>
      </c>
    </row>
    <row r="30" spans="1:16" ht="15" x14ac:dyDescent="0.25">
      <c r="A30" s="57" t="s">
        <v>34</v>
      </c>
      <c r="B30" s="4">
        <f t="shared" si="1"/>
        <v>29</v>
      </c>
      <c r="C30" s="4">
        <v>6</v>
      </c>
      <c r="D30" s="3">
        <v>2024</v>
      </c>
      <c r="E30" s="58">
        <f>Anassa!D31-Anassa!D30</f>
        <v>16608</v>
      </c>
      <c r="F30" s="59">
        <f t="shared" si="0"/>
        <v>0.25629999999999997</v>
      </c>
      <c r="G30" s="60">
        <f>Anassa!N30</f>
        <v>25.000000000000909</v>
      </c>
      <c r="H30" s="61">
        <v>0.626</v>
      </c>
      <c r="I30" s="73">
        <f>Anassa!AC30*5.04</f>
        <v>0</v>
      </c>
      <c r="J30" s="74">
        <v>8.2900000000000001E-2</v>
      </c>
      <c r="K30" s="62">
        <f>Anassa!Z30</f>
        <v>-9817</v>
      </c>
      <c r="L30" s="63">
        <v>1.25</v>
      </c>
      <c r="M30" s="76">
        <f>Anassa!H30</f>
        <v>-1913</v>
      </c>
      <c r="N30" s="77">
        <v>0.88</v>
      </c>
      <c r="O30" s="64">
        <f>Anassa!AD30</f>
        <v>0</v>
      </c>
      <c r="P30" s="64">
        <f>Anassa!AE30</f>
        <v>0</v>
      </c>
    </row>
    <row r="31" spans="1:16" ht="15" x14ac:dyDescent="0.25">
      <c r="A31" s="57" t="s">
        <v>34</v>
      </c>
      <c r="B31" s="4">
        <f t="shared" si="1"/>
        <v>30</v>
      </c>
      <c r="C31" s="4">
        <v>6</v>
      </c>
      <c r="D31" s="3">
        <v>2024</v>
      </c>
      <c r="E31" s="58">
        <f>Anassa!D32-Anassa!D31</f>
        <v>16734.599999999627</v>
      </c>
      <c r="F31" s="59">
        <f t="shared" si="0"/>
        <v>0.25629999999999997</v>
      </c>
      <c r="G31" s="60">
        <f>Anassa!N31</f>
        <v>149.99999999999909</v>
      </c>
      <c r="H31" s="61">
        <v>0.626</v>
      </c>
      <c r="I31" s="73">
        <f>Anassa!AC31*5.04</f>
        <v>0</v>
      </c>
      <c r="J31" s="74">
        <v>8.2900000000000001E-2</v>
      </c>
      <c r="K31" s="62">
        <f>Anassa!Z31</f>
        <v>10184</v>
      </c>
      <c r="L31" s="63">
        <v>1.25</v>
      </c>
      <c r="M31" s="76">
        <f>Anassa!H31</f>
        <v>1060</v>
      </c>
      <c r="N31" s="77">
        <v>0.88</v>
      </c>
      <c r="O31" s="64">
        <f>Anassa!AD31</f>
        <v>0</v>
      </c>
      <c r="P31" s="64">
        <f>Anassa!AE31</f>
        <v>0</v>
      </c>
    </row>
    <row r="32" spans="1:16" ht="15" x14ac:dyDescent="0.25">
      <c r="A32" s="57" t="s">
        <v>34</v>
      </c>
      <c r="B32" s="4">
        <f t="shared" si="1"/>
        <v>31</v>
      </c>
      <c r="C32" s="4">
        <v>6</v>
      </c>
      <c r="D32" s="3">
        <v>2024</v>
      </c>
      <c r="E32" s="58">
        <f>Anassa!D33-Anassa!D32</f>
        <v>-15043235.9</v>
      </c>
      <c r="F32" s="59">
        <f t="shared" si="0"/>
        <v>0.25629999999999997</v>
      </c>
      <c r="G32" s="60">
        <f>Anassa!N32</f>
        <v>0</v>
      </c>
      <c r="H32" s="61">
        <v>0.626</v>
      </c>
      <c r="I32" s="73">
        <f>Anassa!AC32*5.04</f>
        <v>0</v>
      </c>
      <c r="J32" s="74">
        <v>8.2900000000000001E-2</v>
      </c>
      <c r="K32" s="62">
        <f>Anassa!Z32</f>
        <v>0</v>
      </c>
      <c r="L32" s="63">
        <v>1.25</v>
      </c>
      <c r="M32" s="76">
        <f>Anassa!H32</f>
        <v>0</v>
      </c>
      <c r="N32" s="77">
        <v>0.88</v>
      </c>
      <c r="O32" s="64">
        <f>Anassa!AD32</f>
        <v>0</v>
      </c>
      <c r="P32" s="64">
        <f>Anassa!AE32</f>
        <v>0</v>
      </c>
    </row>
    <row r="33" spans="4:16" x14ac:dyDescent="0.2">
      <c r="D33" s="65"/>
      <c r="E33" s="58" t="s">
        <v>35</v>
      </c>
      <c r="F33" s="59"/>
      <c r="I33" s="73"/>
      <c r="J33" s="74"/>
      <c r="K33" s="63"/>
      <c r="L33" s="63"/>
      <c r="O33" s="67"/>
      <c r="P33" s="67"/>
    </row>
    <row r="34" spans="4:16" x14ac:dyDescent="0.2">
      <c r="D34" s="65"/>
      <c r="F34" s="59"/>
      <c r="I34" s="73"/>
      <c r="J34" s="74"/>
      <c r="K34" s="63"/>
      <c r="L34" s="63"/>
      <c r="O34" s="67"/>
      <c r="P34" s="67"/>
    </row>
    <row r="35" spans="4:16" x14ac:dyDescent="0.2">
      <c r="D35" s="65"/>
      <c r="F35" s="59"/>
      <c r="I35" s="73"/>
      <c r="J35" s="74"/>
      <c r="K35" s="63"/>
      <c r="L35" s="63"/>
      <c r="O35" s="67"/>
      <c r="P35" s="67"/>
    </row>
    <row r="36" spans="4:16" x14ac:dyDescent="0.2">
      <c r="D36" s="65"/>
      <c r="F36" s="59"/>
      <c r="I36" s="73"/>
      <c r="J36" s="74"/>
      <c r="K36" s="63"/>
      <c r="L36" s="63"/>
      <c r="O36" s="67"/>
      <c r="P36" s="67"/>
    </row>
    <row r="37" spans="4:16" x14ac:dyDescent="0.2">
      <c r="D37" s="65"/>
      <c r="F37" s="59"/>
      <c r="I37" s="73"/>
      <c r="J37" s="74"/>
      <c r="K37" s="63"/>
      <c r="L37" s="63"/>
      <c r="O37" s="67"/>
      <c r="P37" s="67"/>
    </row>
    <row r="38" spans="4:16" x14ac:dyDescent="0.2">
      <c r="D38" s="65"/>
      <c r="F38" s="59"/>
      <c r="I38" s="73"/>
      <c r="J38" s="74"/>
      <c r="K38" s="63"/>
      <c r="L38" s="63"/>
      <c r="O38" s="67"/>
      <c r="P38" s="67"/>
    </row>
    <row r="39" spans="4:16" x14ac:dyDescent="0.2">
      <c r="D39" s="65"/>
      <c r="F39" s="59"/>
      <c r="I39" s="73"/>
      <c r="J39" s="74"/>
      <c r="K39" s="63"/>
      <c r="L39" s="63"/>
      <c r="O39" s="67"/>
      <c r="P39" s="67"/>
    </row>
    <row r="40" spans="4:16" x14ac:dyDescent="0.2">
      <c r="F40" s="59"/>
      <c r="I40" s="73"/>
      <c r="J40" s="74"/>
    </row>
    <row r="41" spans="4:16" x14ac:dyDescent="0.2">
      <c r="F41" s="59"/>
      <c r="I41" s="73"/>
      <c r="J41" s="74"/>
    </row>
    <row r="42" spans="4:16" x14ac:dyDescent="0.2">
      <c r="F42" s="59"/>
      <c r="I42" s="73"/>
      <c r="J42" s="74"/>
    </row>
    <row r="43" spans="4:16" x14ac:dyDescent="0.2">
      <c r="F43" s="59"/>
      <c r="I43" s="73"/>
      <c r="J43" s="74"/>
    </row>
    <row r="44" spans="4:16" x14ac:dyDescent="0.2">
      <c r="I44" s="73"/>
      <c r="J44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opLeftCell="B1" zoomScale="115" zoomScaleNormal="115" workbookViewId="0">
      <selection activeCell="AA33" sqref="AA33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bestFit="1" customWidth="1"/>
    <col min="4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129" t="s">
        <v>1</v>
      </c>
      <c r="B1" s="112" t="s">
        <v>19</v>
      </c>
      <c r="C1" s="113" t="s">
        <v>20</v>
      </c>
      <c r="D1" s="114" t="s">
        <v>12</v>
      </c>
      <c r="E1" s="115" t="s">
        <v>3</v>
      </c>
      <c r="F1" s="116" t="s">
        <v>2</v>
      </c>
      <c r="G1" s="117" t="s">
        <v>8</v>
      </c>
      <c r="H1" s="115" t="s">
        <v>3</v>
      </c>
      <c r="I1" s="118" t="s">
        <v>4</v>
      </c>
      <c r="J1" s="119" t="s">
        <v>5</v>
      </c>
      <c r="K1" s="119" t="s">
        <v>13</v>
      </c>
      <c r="L1" s="120" t="s">
        <v>9</v>
      </c>
      <c r="M1" s="121" t="s">
        <v>7</v>
      </c>
      <c r="N1" s="115" t="s">
        <v>3</v>
      </c>
      <c r="O1" s="118" t="s">
        <v>4</v>
      </c>
      <c r="P1" s="119" t="s">
        <v>5</v>
      </c>
      <c r="Q1" s="119" t="s">
        <v>13</v>
      </c>
      <c r="R1" s="120" t="s">
        <v>14</v>
      </c>
      <c r="S1" s="121" t="s">
        <v>7</v>
      </c>
      <c r="T1" s="115" t="s">
        <v>3</v>
      </c>
      <c r="U1" s="115" t="s">
        <v>21</v>
      </c>
      <c r="V1" s="122" t="s">
        <v>15</v>
      </c>
      <c r="W1" s="123" t="s">
        <v>16</v>
      </c>
      <c r="X1" s="123" t="s">
        <v>17</v>
      </c>
      <c r="Y1" s="124" t="s">
        <v>18</v>
      </c>
      <c r="Z1" s="115" t="s">
        <v>3</v>
      </c>
      <c r="AA1" s="125" t="s">
        <v>10</v>
      </c>
      <c r="AB1" s="126" t="s">
        <v>11</v>
      </c>
      <c r="AC1" s="115" t="s">
        <v>3</v>
      </c>
      <c r="AD1" s="127" t="s">
        <v>0</v>
      </c>
      <c r="AE1" s="128" t="s">
        <v>6</v>
      </c>
    </row>
    <row r="2" spans="1:31" x14ac:dyDescent="0.2">
      <c r="A2" s="152">
        <v>45809</v>
      </c>
      <c r="B2" s="153">
        <v>17196678</v>
      </c>
      <c r="C2" s="154">
        <f>SUM(4056.4+1729341.9+588907+9893.7+254051+27888)</f>
        <v>2614138</v>
      </c>
      <c r="D2" s="155">
        <f>B2-C2</f>
        <v>14582540</v>
      </c>
      <c r="E2" s="156">
        <f t="shared" ref="E2:E31" si="0">B3-B2</f>
        <v>12073</v>
      </c>
      <c r="F2" s="157">
        <v>12246</v>
      </c>
      <c r="G2" s="158"/>
      <c r="H2" s="156">
        <f>F2+G2-F3</f>
        <v>423</v>
      </c>
      <c r="I2" s="159">
        <v>0.78</v>
      </c>
      <c r="J2" s="160">
        <v>0.78</v>
      </c>
      <c r="K2" s="160">
        <v>0.7</v>
      </c>
      <c r="L2" s="161">
        <f>SUM(I2:K2)/3*7500</f>
        <v>5650</v>
      </c>
      <c r="M2" s="162"/>
      <c r="N2" s="156">
        <f>SUM(L2+M2-L3)</f>
        <v>275</v>
      </c>
      <c r="O2" s="159">
        <v>0.75</v>
      </c>
      <c r="P2" s="160">
        <v>0.75</v>
      </c>
      <c r="Q2" s="160">
        <v>0.8</v>
      </c>
      <c r="R2" s="161">
        <f>SUM(O2:Q2)/3*1500</f>
        <v>1150</v>
      </c>
      <c r="S2" s="162"/>
      <c r="T2" s="156">
        <f>SUM(R2+S2-R3)</f>
        <v>-30</v>
      </c>
      <c r="U2" s="163">
        <f>SUM(N2+T2)</f>
        <v>245</v>
      </c>
      <c r="V2" s="164">
        <v>657961</v>
      </c>
      <c r="W2" s="165">
        <v>69545</v>
      </c>
      <c r="X2" s="165">
        <v>15891</v>
      </c>
      <c r="Y2" s="166">
        <f>SUM(V2-W2-X2)</f>
        <v>572525</v>
      </c>
      <c r="Z2" s="156">
        <f t="shared" ref="Z2:Z31" si="1">SUM(Y3-Y2)</f>
        <v>151</v>
      </c>
      <c r="AA2" s="167">
        <v>4752</v>
      </c>
      <c r="AB2" s="168"/>
      <c r="AC2" s="156">
        <f>SUM(AA2+AB2-AA3)</f>
        <v>450.89999999999964</v>
      </c>
      <c r="AD2" s="169">
        <v>64</v>
      </c>
      <c r="AE2" s="170">
        <v>128</v>
      </c>
    </row>
    <row r="3" spans="1:31" x14ac:dyDescent="0.2">
      <c r="A3" s="11">
        <v>45810</v>
      </c>
      <c r="B3" s="80">
        <v>17208751</v>
      </c>
      <c r="C3" s="81">
        <f>SUM(4057.1+1729696.6+588907+9893.9+254149+27907)</f>
        <v>2614610.6</v>
      </c>
      <c r="D3" s="42">
        <f t="shared" ref="D3:D33" si="2">B3-C3</f>
        <v>14594140.4</v>
      </c>
      <c r="E3" s="82">
        <f t="shared" si="0"/>
        <v>11751</v>
      </c>
      <c r="F3" s="12">
        <v>11823</v>
      </c>
      <c r="G3" s="83"/>
      <c r="H3" s="82">
        <f>F3+G3-F4</f>
        <v>282</v>
      </c>
      <c r="I3" s="9">
        <v>0.7</v>
      </c>
      <c r="J3" s="15">
        <v>0.75</v>
      </c>
      <c r="K3" s="15">
        <v>0.7</v>
      </c>
      <c r="L3" s="17">
        <f>SUM(I3:K3)/3*7500</f>
        <v>5375</v>
      </c>
      <c r="M3" s="34"/>
      <c r="N3" s="84">
        <f>SUM(L3+M3-L4)</f>
        <v>125.00000000000091</v>
      </c>
      <c r="O3" s="9">
        <v>0.78</v>
      </c>
      <c r="P3" s="15">
        <v>0.78</v>
      </c>
      <c r="Q3" s="15">
        <v>0.8</v>
      </c>
      <c r="R3" s="17">
        <f t="shared" ref="R3:R33" si="3">SUM(O3:Q3)/3*1500</f>
        <v>1180</v>
      </c>
      <c r="S3" s="34"/>
      <c r="T3" s="84">
        <f t="shared" ref="T3:T31" si="4">SUM(R3+S3-R4)</f>
        <v>354.99999999999989</v>
      </c>
      <c r="U3" s="85">
        <f t="shared" ref="U3:U31" si="5">SUM(N3+T3)</f>
        <v>480.0000000000008</v>
      </c>
      <c r="V3" s="20">
        <v>658238</v>
      </c>
      <c r="W3" s="35">
        <v>69664</v>
      </c>
      <c r="X3" s="35">
        <v>15898</v>
      </c>
      <c r="Y3" s="86">
        <f t="shared" ref="Y3:Y10" si="6">SUM(V3-W3-X3)</f>
        <v>572676</v>
      </c>
      <c r="Z3" s="84">
        <v>23</v>
      </c>
      <c r="AA3" s="21">
        <v>4301.1000000000004</v>
      </c>
      <c r="AB3" s="22"/>
      <c r="AC3" s="84">
        <f>SUM(AA3+AB3-AA4)</f>
        <v>450.40000000000055</v>
      </c>
      <c r="AD3" s="7">
        <v>75</v>
      </c>
      <c r="AE3" s="10">
        <v>150</v>
      </c>
    </row>
    <row r="4" spans="1:31" x14ac:dyDescent="0.2">
      <c r="A4" s="130">
        <v>45811</v>
      </c>
      <c r="B4" s="38">
        <v>17220502</v>
      </c>
      <c r="C4" s="87">
        <f>SUM(4058+1730152.7+588907+9894.1+254281+27932)</f>
        <v>2615224.8000000003</v>
      </c>
      <c r="D4" s="88">
        <f t="shared" si="2"/>
        <v>14605277.199999999</v>
      </c>
      <c r="E4" s="14">
        <f t="shared" si="0"/>
        <v>12350</v>
      </c>
      <c r="F4" s="89">
        <v>11541</v>
      </c>
      <c r="G4" s="13"/>
      <c r="H4" s="14">
        <f t="shared" ref="H4:H29" si="7">F4+G4-F5</f>
        <v>141</v>
      </c>
      <c r="I4" s="90">
        <v>0.7</v>
      </c>
      <c r="J4" s="91">
        <v>0.7</v>
      </c>
      <c r="K4" s="91">
        <v>0.7</v>
      </c>
      <c r="L4" s="18">
        <f t="shared" ref="L4:L33" si="8">SUM(I4:K4)/3*7500</f>
        <v>5249.9999999999991</v>
      </c>
      <c r="M4" s="16"/>
      <c r="N4" s="19">
        <f>SUM(L4+M4-L5)</f>
        <v>249.99999999999909</v>
      </c>
      <c r="O4" s="90">
        <v>0.55000000000000004</v>
      </c>
      <c r="P4" s="91">
        <v>0.55000000000000004</v>
      </c>
      <c r="Q4" s="91">
        <v>0.55000000000000004</v>
      </c>
      <c r="R4" s="18">
        <f t="shared" si="3"/>
        <v>825.00000000000011</v>
      </c>
      <c r="S4" s="16"/>
      <c r="T4" s="19">
        <f t="shared" si="4"/>
        <v>10.000000000000114</v>
      </c>
      <c r="U4" s="37">
        <f t="shared" si="5"/>
        <v>259.9999999999992</v>
      </c>
      <c r="V4" s="92">
        <v>658522</v>
      </c>
      <c r="W4" s="93">
        <v>69791</v>
      </c>
      <c r="X4" s="93">
        <v>15906</v>
      </c>
      <c r="Y4" s="43">
        <f t="shared" si="6"/>
        <v>572825</v>
      </c>
      <c r="Z4" s="19">
        <f t="shared" si="1"/>
        <v>127</v>
      </c>
      <c r="AA4" s="94">
        <v>3850.7</v>
      </c>
      <c r="AB4" s="95"/>
      <c r="AC4" s="19">
        <f t="shared" ref="AC4:AC5" si="9">AA4-AA5</f>
        <v>450.39999999999964</v>
      </c>
      <c r="AD4" s="96">
        <v>78</v>
      </c>
      <c r="AE4" s="97">
        <v>155</v>
      </c>
    </row>
    <row r="5" spans="1:31" x14ac:dyDescent="0.2">
      <c r="A5" s="130">
        <v>45812</v>
      </c>
      <c r="B5" s="38">
        <v>17232852</v>
      </c>
      <c r="C5" s="87">
        <f>SUM(4058.9+1730578.6+588907+9894.3+254407+27956)</f>
        <v>2615801.7999999998</v>
      </c>
      <c r="D5" s="88">
        <f t="shared" si="2"/>
        <v>14617050.199999999</v>
      </c>
      <c r="E5" s="14">
        <f t="shared" si="0"/>
        <v>12352</v>
      </c>
      <c r="F5" s="89">
        <v>11400</v>
      </c>
      <c r="G5" s="13"/>
      <c r="H5" s="14">
        <f t="shared" si="7"/>
        <v>563</v>
      </c>
      <c r="I5" s="90">
        <v>0.65</v>
      </c>
      <c r="J5" s="91">
        <v>0.7</v>
      </c>
      <c r="K5" s="91">
        <v>0.65</v>
      </c>
      <c r="L5" s="18">
        <f t="shared" si="8"/>
        <v>5000</v>
      </c>
      <c r="M5" s="16"/>
      <c r="N5" s="19">
        <f t="shared" ref="N5:N30" si="10">SUM(L5+M5-L6)</f>
        <v>125</v>
      </c>
      <c r="O5" s="90">
        <v>0.5</v>
      </c>
      <c r="P5" s="91">
        <v>0.55000000000000004</v>
      </c>
      <c r="Q5" s="91">
        <v>0.57999999999999996</v>
      </c>
      <c r="R5" s="18">
        <f t="shared" si="3"/>
        <v>815</v>
      </c>
      <c r="S5" s="16"/>
      <c r="T5" s="19">
        <f t="shared" si="4"/>
        <v>214.99999999999989</v>
      </c>
      <c r="U5" s="37">
        <f t="shared" si="5"/>
        <v>339.99999999999989</v>
      </c>
      <c r="V5" s="92">
        <v>658780</v>
      </c>
      <c r="W5" s="93">
        <v>69925</v>
      </c>
      <c r="X5" s="93">
        <v>15903</v>
      </c>
      <c r="Y5" s="43">
        <f t="shared" si="6"/>
        <v>572952</v>
      </c>
      <c r="Z5" s="19">
        <f t="shared" si="1"/>
        <v>134</v>
      </c>
      <c r="AA5" s="94">
        <v>3400.3</v>
      </c>
      <c r="AB5" s="95"/>
      <c r="AC5" s="19">
        <f t="shared" si="9"/>
        <v>450.40000000000009</v>
      </c>
      <c r="AD5" s="96">
        <v>50</v>
      </c>
      <c r="AE5" s="97">
        <v>99</v>
      </c>
    </row>
    <row r="6" spans="1:31" x14ac:dyDescent="0.2">
      <c r="A6" s="130">
        <v>45813</v>
      </c>
      <c r="B6" s="38">
        <v>17245204</v>
      </c>
      <c r="C6" s="87">
        <f>SUM(4059.7+1730990.8+588907+9894.6+254521+27974)</f>
        <v>2616347.1</v>
      </c>
      <c r="D6" s="88">
        <f t="shared" si="2"/>
        <v>14628856.9</v>
      </c>
      <c r="E6" s="14">
        <f t="shared" si="0"/>
        <v>12971</v>
      </c>
      <c r="F6" s="89">
        <v>10837</v>
      </c>
      <c r="G6" s="13"/>
      <c r="H6" s="14">
        <f t="shared" si="7"/>
        <v>422</v>
      </c>
      <c r="I6" s="90">
        <v>0.65</v>
      </c>
      <c r="J6" s="91">
        <v>0.65</v>
      </c>
      <c r="K6" s="91">
        <v>0.65</v>
      </c>
      <c r="L6" s="18">
        <f t="shared" si="8"/>
        <v>4875</v>
      </c>
      <c r="M6" s="16">
        <v>1578</v>
      </c>
      <c r="N6" s="19">
        <f t="shared" si="10"/>
        <v>203</v>
      </c>
      <c r="O6" s="90">
        <v>0.4</v>
      </c>
      <c r="P6" s="91">
        <v>0.4</v>
      </c>
      <c r="Q6" s="91">
        <v>0.4</v>
      </c>
      <c r="R6" s="18">
        <f t="shared" si="3"/>
        <v>600.00000000000011</v>
      </c>
      <c r="S6" s="16">
        <v>599</v>
      </c>
      <c r="T6" s="19">
        <f t="shared" si="4"/>
        <v>-51</v>
      </c>
      <c r="U6" s="37">
        <f t="shared" si="5"/>
        <v>152</v>
      </c>
      <c r="V6" s="92">
        <v>659057</v>
      </c>
      <c r="W6" s="93">
        <v>70052</v>
      </c>
      <c r="X6" s="93">
        <v>15919</v>
      </c>
      <c r="Y6" s="43">
        <f t="shared" si="6"/>
        <v>573086</v>
      </c>
      <c r="Z6" s="19">
        <f t="shared" si="1"/>
        <v>104</v>
      </c>
      <c r="AA6" s="94">
        <v>2949.9</v>
      </c>
      <c r="AB6" s="95"/>
      <c r="AC6" s="19">
        <f>SUM(AA6+AB6-AA7)</f>
        <v>449.90000000000009</v>
      </c>
      <c r="AD6" s="96">
        <v>50</v>
      </c>
      <c r="AE6" s="97">
        <v>102</v>
      </c>
    </row>
    <row r="7" spans="1:31" x14ac:dyDescent="0.2">
      <c r="A7" s="130">
        <v>45814</v>
      </c>
      <c r="B7" s="38">
        <v>17258175</v>
      </c>
      <c r="C7" s="87">
        <f>SUM(4060.5+1731389.6+588907+9894.8+254637+27998)</f>
        <v>2616886.9</v>
      </c>
      <c r="D7" s="88">
        <f>B7-C7</f>
        <v>14641288.1</v>
      </c>
      <c r="E7" s="14">
        <f t="shared" si="0"/>
        <v>13532</v>
      </c>
      <c r="F7" s="89">
        <v>10415</v>
      </c>
      <c r="G7" s="13"/>
      <c r="H7" s="14">
        <f t="shared" si="7"/>
        <v>140</v>
      </c>
      <c r="I7" s="90">
        <v>0.8</v>
      </c>
      <c r="J7" s="91">
        <v>0.85</v>
      </c>
      <c r="K7" s="91">
        <v>0.85</v>
      </c>
      <c r="L7" s="18">
        <f t="shared" si="8"/>
        <v>6250</v>
      </c>
      <c r="M7" s="16"/>
      <c r="N7" s="19">
        <f t="shared" si="10"/>
        <v>475</v>
      </c>
      <c r="O7" s="90">
        <v>0.85</v>
      </c>
      <c r="P7" s="91">
        <v>0.85</v>
      </c>
      <c r="Q7" s="91">
        <v>0.8</v>
      </c>
      <c r="R7" s="18">
        <f t="shared" si="3"/>
        <v>1250</v>
      </c>
      <c r="S7" s="16"/>
      <c r="T7" s="19">
        <f t="shared" si="4"/>
        <v>85</v>
      </c>
      <c r="U7" s="37">
        <f t="shared" si="5"/>
        <v>560</v>
      </c>
      <c r="V7" s="92">
        <v>659290</v>
      </c>
      <c r="W7" s="93">
        <v>70174</v>
      </c>
      <c r="X7" s="93">
        <v>15926</v>
      </c>
      <c r="Y7" s="43">
        <f t="shared" si="6"/>
        <v>573190</v>
      </c>
      <c r="Z7" s="19">
        <f t="shared" si="1"/>
        <v>124</v>
      </c>
      <c r="AA7" s="94">
        <v>2500</v>
      </c>
      <c r="AB7" s="95">
        <v>7640</v>
      </c>
      <c r="AC7" s="19">
        <f>SUM(AA7+AB7-AA8)</f>
        <v>454.73999999999978</v>
      </c>
      <c r="AD7" s="96">
        <v>47</v>
      </c>
      <c r="AE7" s="97">
        <v>94</v>
      </c>
    </row>
    <row r="8" spans="1:31" x14ac:dyDescent="0.2">
      <c r="A8" s="130">
        <v>45815</v>
      </c>
      <c r="B8" s="38">
        <v>17271707</v>
      </c>
      <c r="C8" s="87">
        <f>SUM(4061.3+1731769.8+588907+9895+254749+28018)</f>
        <v>2617400.1</v>
      </c>
      <c r="D8" s="88">
        <f t="shared" si="2"/>
        <v>14654306.9</v>
      </c>
      <c r="E8" s="14">
        <f t="shared" si="0"/>
        <v>16475</v>
      </c>
      <c r="F8" s="89">
        <v>10275</v>
      </c>
      <c r="G8" s="13"/>
      <c r="H8" s="14">
        <f t="shared" si="7"/>
        <v>557</v>
      </c>
      <c r="I8" s="90">
        <v>0.78</v>
      </c>
      <c r="J8" s="91">
        <v>0.76</v>
      </c>
      <c r="K8" s="91">
        <v>0.77</v>
      </c>
      <c r="L8" s="18">
        <f t="shared" si="8"/>
        <v>5775</v>
      </c>
      <c r="M8" s="16"/>
      <c r="N8" s="19">
        <f t="shared" si="10"/>
        <v>275</v>
      </c>
      <c r="O8" s="90">
        <v>0.77</v>
      </c>
      <c r="P8" s="91">
        <v>0.78</v>
      </c>
      <c r="Q8" s="91">
        <v>0.78</v>
      </c>
      <c r="R8" s="18">
        <f t="shared" si="3"/>
        <v>1165</v>
      </c>
      <c r="S8" s="16"/>
      <c r="T8" s="19">
        <f t="shared" si="4"/>
        <v>60</v>
      </c>
      <c r="U8" s="37">
        <f t="shared" si="5"/>
        <v>335</v>
      </c>
      <c r="V8" s="92">
        <v>659520</v>
      </c>
      <c r="W8" s="93">
        <v>70273</v>
      </c>
      <c r="X8" s="93">
        <v>15933</v>
      </c>
      <c r="Y8" s="43">
        <f t="shared" si="6"/>
        <v>573314</v>
      </c>
      <c r="Z8" s="19">
        <f t="shared" si="1"/>
        <v>173</v>
      </c>
      <c r="AA8" s="94">
        <v>9685.26</v>
      </c>
      <c r="AB8" s="95"/>
      <c r="AC8" s="19">
        <f t="shared" ref="AC8:AC31" si="11">SUM(AA8+AB8-AA9)</f>
        <v>454.73999999999978</v>
      </c>
      <c r="AD8" s="96">
        <v>51</v>
      </c>
      <c r="AE8" s="97">
        <v>101</v>
      </c>
    </row>
    <row r="9" spans="1:31" x14ac:dyDescent="0.2">
      <c r="A9" s="171">
        <v>45816</v>
      </c>
      <c r="B9" s="172">
        <v>17288182</v>
      </c>
      <c r="C9" s="173">
        <f>SUM(4062.3+1732224.2+588907+9895.2+254896+28040)</f>
        <v>2618024.7000000002</v>
      </c>
      <c r="D9" s="174">
        <f t="shared" si="2"/>
        <v>14670157.300000001</v>
      </c>
      <c r="E9" s="175">
        <f t="shared" si="0"/>
        <v>13761</v>
      </c>
      <c r="F9" s="176">
        <v>9718</v>
      </c>
      <c r="G9" s="177"/>
      <c r="H9" s="175">
        <f t="shared" si="7"/>
        <v>2</v>
      </c>
      <c r="I9" s="178">
        <v>0.7</v>
      </c>
      <c r="J9" s="179">
        <v>0.75</v>
      </c>
      <c r="K9" s="179">
        <v>0.75</v>
      </c>
      <c r="L9" s="180">
        <f t="shared" si="8"/>
        <v>5500</v>
      </c>
      <c r="M9" s="181"/>
      <c r="N9" s="182">
        <f t="shared" si="10"/>
        <v>375.00000000000091</v>
      </c>
      <c r="O9" s="178">
        <v>0.76</v>
      </c>
      <c r="P9" s="179">
        <v>0.7</v>
      </c>
      <c r="Q9" s="179">
        <v>0.75</v>
      </c>
      <c r="R9" s="180">
        <f t="shared" si="3"/>
        <v>1105</v>
      </c>
      <c r="S9" s="181"/>
      <c r="T9" s="182">
        <f t="shared" si="4"/>
        <v>105</v>
      </c>
      <c r="U9" s="183">
        <f t="shared" si="5"/>
        <v>480.00000000000091</v>
      </c>
      <c r="V9" s="184">
        <v>659851</v>
      </c>
      <c r="W9" s="185">
        <v>70424</v>
      </c>
      <c r="X9" s="185">
        <v>15940</v>
      </c>
      <c r="Y9" s="186">
        <f t="shared" si="6"/>
        <v>573487</v>
      </c>
      <c r="Z9" s="182">
        <f t="shared" si="1"/>
        <v>156</v>
      </c>
      <c r="AA9" s="187">
        <v>9230.52</v>
      </c>
      <c r="AB9" s="188"/>
      <c r="AC9" s="182">
        <f t="shared" si="11"/>
        <v>454.73999999999978</v>
      </c>
      <c r="AD9" s="189">
        <v>51</v>
      </c>
      <c r="AE9" s="190">
        <v>99</v>
      </c>
    </row>
    <row r="10" spans="1:31" x14ac:dyDescent="0.2">
      <c r="A10" s="11">
        <v>45817</v>
      </c>
      <c r="B10" s="80">
        <v>17301943</v>
      </c>
      <c r="C10" s="81">
        <f>SUM(4063.2+1732642.4+588907+9895.4+254991+28059)</f>
        <v>2618557.9999999995</v>
      </c>
      <c r="D10" s="42">
        <f t="shared" si="2"/>
        <v>14683385</v>
      </c>
      <c r="E10" s="82">
        <f t="shared" si="0"/>
        <v>15165</v>
      </c>
      <c r="F10" s="12">
        <v>9716</v>
      </c>
      <c r="G10" s="83"/>
      <c r="H10" s="82">
        <f t="shared" si="7"/>
        <v>418</v>
      </c>
      <c r="I10" s="9">
        <v>0.65</v>
      </c>
      <c r="J10" s="15">
        <v>0.7</v>
      </c>
      <c r="K10" s="15">
        <v>0.7</v>
      </c>
      <c r="L10" s="17">
        <f t="shared" si="8"/>
        <v>5124.9999999999991</v>
      </c>
      <c r="M10" s="34"/>
      <c r="N10" s="84">
        <f t="shared" si="10"/>
        <v>249.99999999999909</v>
      </c>
      <c r="O10" s="9">
        <v>0.65</v>
      </c>
      <c r="P10" s="15">
        <v>0.65</v>
      </c>
      <c r="Q10" s="15">
        <v>0.7</v>
      </c>
      <c r="R10" s="17">
        <f t="shared" si="3"/>
        <v>1000</v>
      </c>
      <c r="S10" s="34"/>
      <c r="T10" s="84">
        <f t="shared" si="4"/>
        <v>50</v>
      </c>
      <c r="U10" s="85">
        <f t="shared" si="5"/>
        <v>299.99999999999909</v>
      </c>
      <c r="V10" s="20">
        <v>660117</v>
      </c>
      <c r="W10" s="35">
        <v>70528</v>
      </c>
      <c r="X10" s="35">
        <v>15946</v>
      </c>
      <c r="Y10" s="86">
        <f t="shared" si="6"/>
        <v>573643</v>
      </c>
      <c r="Z10" s="84">
        <f t="shared" si="1"/>
        <v>112</v>
      </c>
      <c r="AA10" s="21">
        <v>8775.7800000000007</v>
      </c>
      <c r="AB10" s="22"/>
      <c r="AC10" s="84">
        <f t="shared" si="11"/>
        <v>454.73999999999978</v>
      </c>
      <c r="AD10" s="7">
        <v>65</v>
      </c>
      <c r="AE10" s="10">
        <v>126</v>
      </c>
    </row>
    <row r="11" spans="1:31" x14ac:dyDescent="0.2">
      <c r="A11" s="130">
        <v>45818</v>
      </c>
      <c r="B11" s="38">
        <v>17317108</v>
      </c>
      <c r="C11" s="87">
        <f>SUM(4064.2+1733164.4+588907+9895.8+255129+28082)</f>
        <v>2619242.3999999994</v>
      </c>
      <c r="D11" s="88">
        <f t="shared" si="2"/>
        <v>14697865.600000001</v>
      </c>
      <c r="E11" s="14">
        <f t="shared" si="0"/>
        <v>17157</v>
      </c>
      <c r="F11" s="89">
        <v>9298</v>
      </c>
      <c r="G11" s="13"/>
      <c r="H11" s="14">
        <f t="shared" si="7"/>
        <v>415</v>
      </c>
      <c r="I11" s="90">
        <v>0.65</v>
      </c>
      <c r="J11" s="91">
        <v>0.65</v>
      </c>
      <c r="K11" s="91">
        <v>0.65</v>
      </c>
      <c r="L11" s="18">
        <f t="shared" si="8"/>
        <v>4875</v>
      </c>
      <c r="M11" s="16"/>
      <c r="N11" s="19">
        <f t="shared" si="10"/>
        <v>250</v>
      </c>
      <c r="O11" s="90">
        <v>0.65</v>
      </c>
      <c r="P11" s="91">
        <v>0.6</v>
      </c>
      <c r="Q11" s="91">
        <v>0.65</v>
      </c>
      <c r="R11" s="18">
        <f t="shared" si="3"/>
        <v>950</v>
      </c>
      <c r="S11" s="16"/>
      <c r="T11" s="19">
        <f t="shared" si="4"/>
        <v>50</v>
      </c>
      <c r="U11" s="37">
        <f t="shared" si="5"/>
        <v>300</v>
      </c>
      <c r="V11" s="92">
        <v>660385</v>
      </c>
      <c r="W11" s="93">
        <v>70676</v>
      </c>
      <c r="X11" s="93">
        <v>15954</v>
      </c>
      <c r="Y11" s="43">
        <f t="shared" ref="Y11:Y33" si="12">SUM(V11-W11-X11)</f>
        <v>573755</v>
      </c>
      <c r="Z11" s="19">
        <f t="shared" si="1"/>
        <v>140</v>
      </c>
      <c r="AA11" s="94">
        <v>8321.0400000000009</v>
      </c>
      <c r="AB11" s="95"/>
      <c r="AC11" s="19">
        <f t="shared" si="11"/>
        <v>454.74000000000069</v>
      </c>
      <c r="AD11" s="96">
        <v>78</v>
      </c>
      <c r="AE11" s="97">
        <v>154</v>
      </c>
    </row>
    <row r="12" spans="1:31" x14ac:dyDescent="0.2">
      <c r="A12" s="130">
        <v>45819</v>
      </c>
      <c r="B12" s="38">
        <v>17334265</v>
      </c>
      <c r="C12" s="87">
        <f>SUM(4065+1733668.5+588907+9896+255265+28105)</f>
        <v>2619906.5</v>
      </c>
      <c r="D12" s="88">
        <f t="shared" si="2"/>
        <v>14714358.5</v>
      </c>
      <c r="E12" s="14">
        <f t="shared" si="0"/>
        <v>17618</v>
      </c>
      <c r="F12" s="89">
        <v>8883</v>
      </c>
      <c r="G12" s="13"/>
      <c r="H12" s="14">
        <f t="shared" si="7"/>
        <v>0</v>
      </c>
      <c r="I12" s="90">
        <v>0.65</v>
      </c>
      <c r="J12" s="91">
        <v>0.6</v>
      </c>
      <c r="K12" s="91">
        <v>0.6</v>
      </c>
      <c r="L12" s="18">
        <f t="shared" si="8"/>
        <v>4625</v>
      </c>
      <c r="M12" s="16"/>
      <c r="N12" s="19">
        <f t="shared" si="10"/>
        <v>125</v>
      </c>
      <c r="O12" s="90">
        <v>0.6</v>
      </c>
      <c r="P12" s="91">
        <v>0.6</v>
      </c>
      <c r="Q12" s="91">
        <v>0.6</v>
      </c>
      <c r="R12" s="18">
        <f t="shared" si="3"/>
        <v>900</v>
      </c>
      <c r="S12" s="16"/>
      <c r="T12" s="19">
        <f t="shared" si="4"/>
        <v>50</v>
      </c>
      <c r="U12" s="37">
        <f t="shared" si="5"/>
        <v>175</v>
      </c>
      <c r="V12" s="92">
        <v>660681</v>
      </c>
      <c r="W12" s="93">
        <v>70824</v>
      </c>
      <c r="X12" s="93">
        <v>15962</v>
      </c>
      <c r="Y12" s="43">
        <f t="shared" si="12"/>
        <v>573895</v>
      </c>
      <c r="Z12" s="19">
        <f t="shared" si="1"/>
        <v>145</v>
      </c>
      <c r="AA12" s="94">
        <v>7866.3</v>
      </c>
      <c r="AB12" s="95"/>
      <c r="AC12" s="19">
        <f t="shared" si="11"/>
        <v>454.73999999999978</v>
      </c>
      <c r="AD12" s="96">
        <v>58</v>
      </c>
      <c r="AE12" s="97">
        <v>107</v>
      </c>
    </row>
    <row r="13" spans="1:31" x14ac:dyDescent="0.2">
      <c r="A13" s="130">
        <v>45820</v>
      </c>
      <c r="B13" s="38">
        <v>17351883</v>
      </c>
      <c r="C13" s="87">
        <f>SUM(4066+1734156.4+588907+9896.2+255402+28127)</f>
        <v>2620554.6</v>
      </c>
      <c r="D13" s="88">
        <f t="shared" si="2"/>
        <v>14731328.4</v>
      </c>
      <c r="E13" s="14">
        <f t="shared" si="0"/>
        <v>17495</v>
      </c>
      <c r="F13" s="89">
        <v>8883</v>
      </c>
      <c r="G13" s="13"/>
      <c r="H13" s="14">
        <f t="shared" si="7"/>
        <v>550</v>
      </c>
      <c r="I13" s="90">
        <v>0.6</v>
      </c>
      <c r="J13" s="91">
        <v>0.6</v>
      </c>
      <c r="K13" s="91">
        <v>0.6</v>
      </c>
      <c r="L13" s="18">
        <f t="shared" si="8"/>
        <v>4500</v>
      </c>
      <c r="M13" s="16">
        <v>1563.51</v>
      </c>
      <c r="N13" s="19">
        <f t="shared" si="10"/>
        <v>-61.490000000000691</v>
      </c>
      <c r="O13" s="90">
        <v>0.55000000000000004</v>
      </c>
      <c r="P13" s="91">
        <v>0.6</v>
      </c>
      <c r="Q13" s="91">
        <v>0.55000000000000004</v>
      </c>
      <c r="R13" s="18">
        <f t="shared" si="3"/>
        <v>850</v>
      </c>
      <c r="S13" s="16">
        <v>598.84</v>
      </c>
      <c r="T13" s="19">
        <f t="shared" si="4"/>
        <v>198.84000000000015</v>
      </c>
      <c r="U13" s="37">
        <f t="shared" si="5"/>
        <v>137.34999999999945</v>
      </c>
      <c r="V13" s="92">
        <v>660980</v>
      </c>
      <c r="W13" s="93">
        <v>70970</v>
      </c>
      <c r="X13" s="93">
        <v>15970</v>
      </c>
      <c r="Y13" s="43">
        <f t="shared" si="12"/>
        <v>574040</v>
      </c>
      <c r="Z13" s="19">
        <v>22</v>
      </c>
      <c r="AA13" s="94">
        <v>7411.56</v>
      </c>
      <c r="AB13" s="95"/>
      <c r="AC13" s="19">
        <f t="shared" si="11"/>
        <v>454.74000000000069</v>
      </c>
      <c r="AD13" s="96">
        <v>59</v>
      </c>
      <c r="AE13" s="97">
        <v>104</v>
      </c>
    </row>
    <row r="14" spans="1:31" x14ac:dyDescent="0.2">
      <c r="A14" s="130">
        <v>45821</v>
      </c>
      <c r="B14" s="38">
        <v>17369378</v>
      </c>
      <c r="C14" s="87">
        <f>SUM(4066.8+1734615.3+588907+9896.5+255521+28145)</f>
        <v>2621151.6</v>
      </c>
      <c r="D14" s="88">
        <f t="shared" si="2"/>
        <v>14748226.4</v>
      </c>
      <c r="E14" s="14">
        <f t="shared" si="0"/>
        <v>16291</v>
      </c>
      <c r="F14" s="89">
        <v>8333</v>
      </c>
      <c r="G14" s="13"/>
      <c r="H14" s="14">
        <f t="shared" si="7"/>
        <v>137</v>
      </c>
      <c r="I14" s="90">
        <v>0.8</v>
      </c>
      <c r="J14" s="91">
        <v>0.8</v>
      </c>
      <c r="K14" s="91">
        <v>0.85</v>
      </c>
      <c r="L14" s="18">
        <f t="shared" si="8"/>
        <v>6125.0000000000009</v>
      </c>
      <c r="M14" s="16"/>
      <c r="N14" s="19">
        <f t="shared" si="10"/>
        <v>250.00000000000091</v>
      </c>
      <c r="O14" s="90">
        <v>0.85</v>
      </c>
      <c r="P14" s="91">
        <v>0.8</v>
      </c>
      <c r="Q14" s="91">
        <v>0.85</v>
      </c>
      <c r="R14" s="18">
        <f t="shared" si="3"/>
        <v>1250</v>
      </c>
      <c r="S14" s="16"/>
      <c r="T14" s="19">
        <f t="shared" si="4"/>
        <v>125</v>
      </c>
      <c r="U14" s="37">
        <f t="shared" si="5"/>
        <v>375.00000000000091</v>
      </c>
      <c r="V14" s="92">
        <v>661252</v>
      </c>
      <c r="W14" s="93">
        <v>71096</v>
      </c>
      <c r="X14" s="93">
        <v>15977</v>
      </c>
      <c r="Y14" s="43">
        <f t="shared" si="12"/>
        <v>574179</v>
      </c>
      <c r="Z14" s="19">
        <f t="shared" si="1"/>
        <v>1132</v>
      </c>
      <c r="AA14" s="94">
        <v>6956.82</v>
      </c>
      <c r="AB14" s="95"/>
      <c r="AC14" s="19">
        <f t="shared" si="11"/>
        <v>454.73999999999978</v>
      </c>
      <c r="AD14" s="96">
        <v>60</v>
      </c>
      <c r="AE14" s="97">
        <v>100</v>
      </c>
    </row>
    <row r="15" spans="1:31" x14ac:dyDescent="0.2">
      <c r="A15" s="130">
        <v>45822</v>
      </c>
      <c r="B15" s="38">
        <v>17385669</v>
      </c>
      <c r="C15" s="87">
        <f>SUM(4067.7+1735010.6+588907+9896.7+255634+28163)</f>
        <v>2621679</v>
      </c>
      <c r="D15" s="88">
        <f t="shared" si="2"/>
        <v>14763990</v>
      </c>
      <c r="E15" s="14">
        <f t="shared" si="0"/>
        <v>17723</v>
      </c>
      <c r="F15" s="89">
        <v>8196</v>
      </c>
      <c r="G15" s="13"/>
      <c r="H15" s="14">
        <f t="shared" si="7"/>
        <v>273</v>
      </c>
      <c r="I15" s="90">
        <v>0.8</v>
      </c>
      <c r="J15" s="91">
        <v>0.75</v>
      </c>
      <c r="K15" s="91">
        <v>0.8</v>
      </c>
      <c r="L15" s="18">
        <f t="shared" si="8"/>
        <v>5875</v>
      </c>
      <c r="M15" s="16"/>
      <c r="N15" s="19">
        <f t="shared" si="10"/>
        <v>250</v>
      </c>
      <c r="O15" s="90">
        <v>0.75</v>
      </c>
      <c r="P15" s="91">
        <v>0.75</v>
      </c>
      <c r="Q15" s="91">
        <v>0.75</v>
      </c>
      <c r="R15" s="18">
        <f t="shared" si="3"/>
        <v>1125</v>
      </c>
      <c r="S15" s="16"/>
      <c r="T15" s="19">
        <f t="shared" si="4"/>
        <v>75</v>
      </c>
      <c r="U15" s="37">
        <f t="shared" si="5"/>
        <v>325</v>
      </c>
      <c r="V15" s="92">
        <v>661497</v>
      </c>
      <c r="W15" s="93">
        <v>70201</v>
      </c>
      <c r="X15" s="93">
        <v>15985</v>
      </c>
      <c r="Y15" s="43">
        <f t="shared" si="12"/>
        <v>575311</v>
      </c>
      <c r="Z15" s="19">
        <f t="shared" si="1"/>
        <v>-867</v>
      </c>
      <c r="AA15" s="94">
        <v>6502.08</v>
      </c>
      <c r="AB15" s="95"/>
      <c r="AC15" s="19">
        <f t="shared" si="11"/>
        <v>454.73999999999978</v>
      </c>
      <c r="AD15" s="96">
        <v>70</v>
      </c>
      <c r="AE15" s="97">
        <v>120</v>
      </c>
    </row>
    <row r="16" spans="1:31" x14ac:dyDescent="0.2">
      <c r="A16" s="131">
        <v>45823</v>
      </c>
      <c r="B16" s="98">
        <v>17403392</v>
      </c>
      <c r="C16" s="99">
        <f>SUM(4068.7+1735462.2+588907+9898.1+255770+28176)</f>
        <v>2622282</v>
      </c>
      <c r="D16" s="100">
        <f t="shared" si="2"/>
        <v>14781110</v>
      </c>
      <c r="E16" s="44">
        <f t="shared" si="0"/>
        <v>15509</v>
      </c>
      <c r="F16" s="101">
        <v>7923</v>
      </c>
      <c r="G16" s="45"/>
      <c r="H16" s="44">
        <f t="shared" si="7"/>
        <v>941</v>
      </c>
      <c r="I16" s="102">
        <v>0.75</v>
      </c>
      <c r="J16" s="103">
        <v>0.75</v>
      </c>
      <c r="K16" s="103">
        <v>0.75</v>
      </c>
      <c r="L16" s="104">
        <f t="shared" si="8"/>
        <v>5625</v>
      </c>
      <c r="M16" s="105"/>
      <c r="N16" s="46">
        <f t="shared" si="10"/>
        <v>75.000000000000909</v>
      </c>
      <c r="O16" s="102">
        <v>0.75</v>
      </c>
      <c r="P16" s="103">
        <v>0.7</v>
      </c>
      <c r="Q16" s="103">
        <v>0.65</v>
      </c>
      <c r="R16" s="104">
        <f t="shared" si="3"/>
        <v>1050</v>
      </c>
      <c r="S16" s="105"/>
      <c r="T16" s="46">
        <f t="shared" si="4"/>
        <v>75</v>
      </c>
      <c r="U16" s="47">
        <f t="shared" si="5"/>
        <v>150.00000000000091</v>
      </c>
      <c r="V16" s="106">
        <v>661777</v>
      </c>
      <c r="W16" s="107">
        <v>71341</v>
      </c>
      <c r="X16" s="107">
        <v>15992</v>
      </c>
      <c r="Y16" s="48">
        <f t="shared" si="12"/>
        <v>574444</v>
      </c>
      <c r="Z16" s="46">
        <f t="shared" si="1"/>
        <v>154</v>
      </c>
      <c r="AA16" s="108">
        <v>6047.34</v>
      </c>
      <c r="AB16" s="109"/>
      <c r="AC16" s="46">
        <f t="shared" si="11"/>
        <v>454.73999999999978</v>
      </c>
      <c r="AD16" s="110">
        <v>70</v>
      </c>
      <c r="AE16" s="111">
        <v>123</v>
      </c>
    </row>
    <row r="17" spans="1:31" x14ac:dyDescent="0.2">
      <c r="A17" s="11">
        <v>45824</v>
      </c>
      <c r="B17" s="80">
        <v>17418901</v>
      </c>
      <c r="C17" s="81">
        <f>SUM(4069.4+1735817.5+588907+9899.5+255876+28185)</f>
        <v>2622754.4</v>
      </c>
      <c r="D17" s="42">
        <f t="shared" si="2"/>
        <v>14796146.6</v>
      </c>
      <c r="E17" s="82">
        <f t="shared" si="0"/>
        <v>16147</v>
      </c>
      <c r="F17" s="12">
        <v>6982</v>
      </c>
      <c r="G17" s="83"/>
      <c r="H17" s="82">
        <f t="shared" si="7"/>
        <v>919</v>
      </c>
      <c r="I17" s="9">
        <v>0.75</v>
      </c>
      <c r="J17" s="15">
        <v>0.72</v>
      </c>
      <c r="K17" s="15">
        <v>0.75</v>
      </c>
      <c r="L17" s="17">
        <f t="shared" si="8"/>
        <v>5549.9999999999991</v>
      </c>
      <c r="M17" s="34"/>
      <c r="N17" s="84">
        <f t="shared" si="10"/>
        <v>249.99999999999909</v>
      </c>
      <c r="O17" s="9">
        <v>0.65</v>
      </c>
      <c r="P17" s="15">
        <v>0.65</v>
      </c>
      <c r="Q17" s="15">
        <v>0.65</v>
      </c>
      <c r="R17" s="17">
        <f t="shared" si="3"/>
        <v>975</v>
      </c>
      <c r="S17" s="34"/>
      <c r="T17" s="84">
        <f t="shared" si="4"/>
        <v>175</v>
      </c>
      <c r="U17" s="85">
        <f t="shared" si="5"/>
        <v>424.99999999999909</v>
      </c>
      <c r="V17" s="20">
        <v>662046</v>
      </c>
      <c r="W17" s="35">
        <v>71444</v>
      </c>
      <c r="X17" s="35">
        <v>16004</v>
      </c>
      <c r="Y17" s="86">
        <f t="shared" si="12"/>
        <v>574598</v>
      </c>
      <c r="Z17" s="84">
        <f t="shared" si="1"/>
        <v>120</v>
      </c>
      <c r="AA17" s="21">
        <v>5592.6</v>
      </c>
      <c r="AB17" s="22"/>
      <c r="AC17" s="84">
        <f t="shared" si="11"/>
        <v>454.74000000000069</v>
      </c>
      <c r="AD17" s="7">
        <v>83</v>
      </c>
      <c r="AE17" s="10">
        <v>150</v>
      </c>
    </row>
    <row r="18" spans="1:31" x14ac:dyDescent="0.2">
      <c r="A18" s="130">
        <v>45825</v>
      </c>
      <c r="B18" s="38">
        <v>17435048</v>
      </c>
      <c r="C18" s="87">
        <f>SUM(4070.3+1736254+588907+9901.5+255995+28191)</f>
        <v>2623318.7999999998</v>
      </c>
      <c r="D18" s="88">
        <f t="shared" si="2"/>
        <v>14811729.199999999</v>
      </c>
      <c r="E18" s="14">
        <f t="shared" si="0"/>
        <v>16661</v>
      </c>
      <c r="F18" s="89">
        <v>6063</v>
      </c>
      <c r="G18" s="13"/>
      <c r="H18" s="14">
        <f t="shared" si="7"/>
        <v>891</v>
      </c>
      <c r="I18" s="90">
        <v>0.72</v>
      </c>
      <c r="J18" s="91">
        <v>0.7</v>
      </c>
      <c r="K18" s="91">
        <v>0.7</v>
      </c>
      <c r="L18" s="18">
        <f t="shared" si="8"/>
        <v>5300</v>
      </c>
      <c r="M18" s="16"/>
      <c r="N18" s="19">
        <f t="shared" si="10"/>
        <v>50.000000000000909</v>
      </c>
      <c r="O18" s="90">
        <v>0.5</v>
      </c>
      <c r="P18" s="91">
        <v>0.55000000000000004</v>
      </c>
      <c r="Q18" s="91">
        <v>0.55000000000000004</v>
      </c>
      <c r="R18" s="18">
        <f t="shared" si="3"/>
        <v>800</v>
      </c>
      <c r="S18" s="16"/>
      <c r="T18" s="19">
        <f t="shared" si="4"/>
        <v>125</v>
      </c>
      <c r="U18" s="37">
        <f t="shared" si="5"/>
        <v>175.00000000000091</v>
      </c>
      <c r="V18" s="92">
        <v>662294</v>
      </c>
      <c r="W18" s="93">
        <v>71566</v>
      </c>
      <c r="X18" s="93">
        <v>16010</v>
      </c>
      <c r="Y18" s="43">
        <f t="shared" si="12"/>
        <v>574718</v>
      </c>
      <c r="Z18" s="19">
        <f t="shared" si="1"/>
        <v>122</v>
      </c>
      <c r="AA18" s="94">
        <v>5137.8599999999997</v>
      </c>
      <c r="AB18" s="95"/>
      <c r="AC18" s="19">
        <f t="shared" si="11"/>
        <v>454.73999999999978</v>
      </c>
      <c r="AD18" s="96">
        <v>85</v>
      </c>
      <c r="AE18" s="97">
        <v>152</v>
      </c>
    </row>
    <row r="19" spans="1:31" x14ac:dyDescent="0.2">
      <c r="A19" s="130">
        <v>45826</v>
      </c>
      <c r="B19" s="38">
        <v>17451709</v>
      </c>
      <c r="C19" s="87">
        <f>SUM(4071.4+1736766.6+588907+9904.2+256129+28196)</f>
        <v>2623974.2000000002</v>
      </c>
      <c r="D19" s="88">
        <f t="shared" si="2"/>
        <v>14827734.800000001</v>
      </c>
      <c r="E19" s="14">
        <f t="shared" si="0"/>
        <v>15694</v>
      </c>
      <c r="F19" s="89">
        <v>5172</v>
      </c>
      <c r="G19" s="13">
        <v>11400</v>
      </c>
      <c r="H19" s="14">
        <f t="shared" si="7"/>
        <v>976</v>
      </c>
      <c r="I19" s="90">
        <v>0.7</v>
      </c>
      <c r="J19" s="91">
        <v>0.7</v>
      </c>
      <c r="K19" s="91">
        <v>0.7</v>
      </c>
      <c r="L19" s="18">
        <f t="shared" si="8"/>
        <v>5249.9999999999991</v>
      </c>
      <c r="M19" s="16"/>
      <c r="N19" s="19">
        <f t="shared" si="10"/>
        <v>224.99999999999909</v>
      </c>
      <c r="O19" s="90">
        <v>0.45</v>
      </c>
      <c r="P19" s="91">
        <v>0.45</v>
      </c>
      <c r="Q19" s="91">
        <v>0.45</v>
      </c>
      <c r="R19" s="18">
        <f t="shared" si="3"/>
        <v>675</v>
      </c>
      <c r="S19" s="16"/>
      <c r="T19" s="19">
        <f t="shared" si="4"/>
        <v>50</v>
      </c>
      <c r="U19" s="37">
        <f t="shared" si="5"/>
        <v>274.99999999999909</v>
      </c>
      <c r="V19" s="92">
        <v>662570</v>
      </c>
      <c r="W19" s="93">
        <v>71713</v>
      </c>
      <c r="X19" s="93">
        <v>16017</v>
      </c>
      <c r="Y19" s="43">
        <f t="shared" si="12"/>
        <v>574840</v>
      </c>
      <c r="Z19" s="19">
        <f t="shared" si="1"/>
        <v>126</v>
      </c>
      <c r="AA19" s="94">
        <v>4683.12</v>
      </c>
      <c r="AB19" s="95"/>
      <c r="AC19" s="19">
        <f t="shared" si="11"/>
        <v>454.73999999999978</v>
      </c>
      <c r="AD19" s="96"/>
      <c r="AE19" s="97"/>
    </row>
    <row r="20" spans="1:31" x14ac:dyDescent="0.2">
      <c r="A20" s="130">
        <v>45827</v>
      </c>
      <c r="B20" s="38">
        <v>17467403</v>
      </c>
      <c r="C20" s="87">
        <f>SUM(4072.2+1737170.3+588907+9906.4+256244+28199)</f>
        <v>2624498.9</v>
      </c>
      <c r="D20" s="88">
        <f t="shared" si="2"/>
        <v>14842904.1</v>
      </c>
      <c r="E20" s="14">
        <f t="shared" si="0"/>
        <v>17220</v>
      </c>
      <c r="F20" s="89">
        <v>15596</v>
      </c>
      <c r="G20" s="13"/>
      <c r="H20" s="14">
        <f t="shared" si="7"/>
        <v>827</v>
      </c>
      <c r="I20" s="90">
        <v>0.68</v>
      </c>
      <c r="J20" s="91">
        <v>0.65</v>
      </c>
      <c r="K20" s="91">
        <v>0.68</v>
      </c>
      <c r="L20" s="18">
        <f t="shared" si="8"/>
        <v>5025</v>
      </c>
      <c r="M20" s="16">
        <v>1474</v>
      </c>
      <c r="N20" s="19">
        <f t="shared" si="10"/>
        <v>124</v>
      </c>
      <c r="O20" s="90">
        <v>0.4</v>
      </c>
      <c r="P20" s="91">
        <v>0.4</v>
      </c>
      <c r="Q20" s="91">
        <v>0.45</v>
      </c>
      <c r="R20" s="18">
        <f t="shared" si="3"/>
        <v>625</v>
      </c>
      <c r="S20" s="16">
        <v>673</v>
      </c>
      <c r="T20" s="19">
        <f t="shared" si="4"/>
        <v>23</v>
      </c>
      <c r="U20" s="37">
        <f t="shared" si="5"/>
        <v>147</v>
      </c>
      <c r="V20" s="92">
        <v>662794</v>
      </c>
      <c r="W20" s="93">
        <v>71805</v>
      </c>
      <c r="X20" s="93">
        <v>16023</v>
      </c>
      <c r="Y20" s="43">
        <f t="shared" si="12"/>
        <v>574966</v>
      </c>
      <c r="Z20" s="19">
        <v>94</v>
      </c>
      <c r="AA20" s="94">
        <v>4228.38</v>
      </c>
      <c r="AB20" s="95"/>
      <c r="AC20" s="19">
        <f t="shared" si="11"/>
        <v>454.74000000000024</v>
      </c>
      <c r="AD20" s="96"/>
      <c r="AE20" s="97"/>
    </row>
    <row r="21" spans="1:31" x14ac:dyDescent="0.2">
      <c r="A21" s="130">
        <v>45828</v>
      </c>
      <c r="B21" s="38">
        <v>17484623</v>
      </c>
      <c r="C21" s="87">
        <f>SUM(4073.1+1737594.2+588907+9908.8+256360+28201)</f>
        <v>2625044.0999999996</v>
      </c>
      <c r="D21" s="88">
        <f t="shared" si="2"/>
        <v>14859578.9</v>
      </c>
      <c r="E21" s="14">
        <f t="shared" si="0"/>
        <v>16552</v>
      </c>
      <c r="F21" s="89">
        <v>14769</v>
      </c>
      <c r="G21" s="13"/>
      <c r="H21" s="14">
        <f t="shared" si="7"/>
        <v>976</v>
      </c>
      <c r="I21" s="90">
        <v>0.85</v>
      </c>
      <c r="J21" s="91">
        <v>0.85</v>
      </c>
      <c r="K21" s="91">
        <v>0.85</v>
      </c>
      <c r="L21" s="18">
        <f t="shared" si="8"/>
        <v>6375</v>
      </c>
      <c r="M21" s="16"/>
      <c r="N21" s="19">
        <f t="shared" si="10"/>
        <v>625</v>
      </c>
      <c r="O21" s="90">
        <v>0.85</v>
      </c>
      <c r="P21" s="91">
        <v>0.85</v>
      </c>
      <c r="Q21" s="91">
        <v>0.85</v>
      </c>
      <c r="R21" s="18">
        <f t="shared" si="3"/>
        <v>1275</v>
      </c>
      <c r="S21" s="16"/>
      <c r="T21" s="19">
        <f t="shared" si="4"/>
        <v>45</v>
      </c>
      <c r="U21" s="37">
        <f t="shared" si="5"/>
        <v>670</v>
      </c>
      <c r="V21" s="92">
        <v>663022</v>
      </c>
      <c r="W21" s="93">
        <v>71894</v>
      </c>
      <c r="X21" s="93">
        <v>16029</v>
      </c>
      <c r="Y21" s="43">
        <f t="shared" si="12"/>
        <v>575099</v>
      </c>
      <c r="Z21" s="19">
        <f t="shared" si="1"/>
        <v>136</v>
      </c>
      <c r="AA21" s="94">
        <v>3773.64</v>
      </c>
      <c r="AB21" s="95"/>
      <c r="AC21" s="19">
        <f t="shared" si="11"/>
        <v>454.73999999999978</v>
      </c>
      <c r="AD21" s="96"/>
      <c r="AE21" s="97"/>
    </row>
    <row r="22" spans="1:31" x14ac:dyDescent="0.2">
      <c r="A22" s="130">
        <v>45829</v>
      </c>
      <c r="B22" s="38">
        <v>17501175</v>
      </c>
      <c r="C22" s="87">
        <f>SUM(4073.9+1738063+588907+9911.8+256471+28207)</f>
        <v>2625633.6999999997</v>
      </c>
      <c r="D22" s="88">
        <f t="shared" si="2"/>
        <v>14875541.300000001</v>
      </c>
      <c r="E22" s="14">
        <f t="shared" si="0"/>
        <v>18369</v>
      </c>
      <c r="F22" s="89">
        <v>13793</v>
      </c>
      <c r="G22" s="13"/>
      <c r="H22" s="14">
        <f t="shared" si="7"/>
        <v>702</v>
      </c>
      <c r="I22" s="90">
        <v>0.78</v>
      </c>
      <c r="J22" s="91">
        <v>0.76</v>
      </c>
      <c r="K22" s="91">
        <v>0.76</v>
      </c>
      <c r="L22" s="18">
        <f t="shared" si="8"/>
        <v>5750</v>
      </c>
      <c r="M22" s="16"/>
      <c r="N22" s="19">
        <f t="shared" si="10"/>
        <v>125</v>
      </c>
      <c r="O22" s="90">
        <v>0.82</v>
      </c>
      <c r="P22" s="91">
        <v>0.82</v>
      </c>
      <c r="Q22" s="91">
        <v>0.82</v>
      </c>
      <c r="R22" s="18">
        <f>SUM(O22:Q22)/3*1500</f>
        <v>1230</v>
      </c>
      <c r="S22" s="16"/>
      <c r="T22" s="19">
        <f t="shared" si="4"/>
        <v>105</v>
      </c>
      <c r="U22" s="37">
        <f t="shared" si="5"/>
        <v>230</v>
      </c>
      <c r="V22" s="92">
        <v>663249</v>
      </c>
      <c r="W22" s="93">
        <v>71975</v>
      </c>
      <c r="X22" s="93">
        <v>16039</v>
      </c>
      <c r="Y22" s="43">
        <f t="shared" si="12"/>
        <v>575235</v>
      </c>
      <c r="Z22" s="19">
        <f t="shared" si="1"/>
        <v>170</v>
      </c>
      <c r="AA22" s="94">
        <v>3318.9</v>
      </c>
      <c r="AB22" s="95"/>
      <c r="AC22" s="19">
        <f t="shared" si="11"/>
        <v>454.74000000000024</v>
      </c>
      <c r="AD22" s="96"/>
      <c r="AE22" s="97"/>
    </row>
    <row r="23" spans="1:31" x14ac:dyDescent="0.2">
      <c r="A23" s="131">
        <v>45830</v>
      </c>
      <c r="B23" s="98">
        <v>17519544</v>
      </c>
      <c r="C23" s="99">
        <f>SUM(4079.7+1738420.4+588907+9912.4+256597+28214)</f>
        <v>2626130.4999999995</v>
      </c>
      <c r="D23" s="100">
        <f t="shared" si="2"/>
        <v>14893413.5</v>
      </c>
      <c r="E23" s="44">
        <f t="shared" si="0"/>
        <v>17751</v>
      </c>
      <c r="F23" s="101">
        <v>13091</v>
      </c>
      <c r="G23" s="45"/>
      <c r="H23" s="44">
        <f t="shared" si="7"/>
        <v>845</v>
      </c>
      <c r="I23" s="102">
        <v>0.75</v>
      </c>
      <c r="J23" s="103">
        <v>0.75</v>
      </c>
      <c r="K23" s="103">
        <v>0.75</v>
      </c>
      <c r="L23" s="104">
        <f t="shared" si="8"/>
        <v>5625</v>
      </c>
      <c r="M23" s="105"/>
      <c r="N23" s="46">
        <f t="shared" si="10"/>
        <v>250</v>
      </c>
      <c r="O23" s="102">
        <v>0.8</v>
      </c>
      <c r="P23" s="103">
        <v>0.75</v>
      </c>
      <c r="Q23" s="103">
        <v>0.7</v>
      </c>
      <c r="R23" s="104">
        <f t="shared" si="3"/>
        <v>1125</v>
      </c>
      <c r="S23" s="105"/>
      <c r="T23" s="46">
        <f t="shared" si="4"/>
        <v>175</v>
      </c>
      <c r="U23" s="47">
        <f t="shared" si="5"/>
        <v>425</v>
      </c>
      <c r="V23" s="106">
        <v>663522</v>
      </c>
      <c r="W23" s="107">
        <v>72070</v>
      </c>
      <c r="X23" s="107">
        <v>16047</v>
      </c>
      <c r="Y23" s="48">
        <f t="shared" si="12"/>
        <v>575405</v>
      </c>
      <c r="Z23" s="46">
        <f t="shared" si="1"/>
        <v>182</v>
      </c>
      <c r="AA23" s="108">
        <v>2864.16</v>
      </c>
      <c r="AB23" s="109"/>
      <c r="AC23" s="46">
        <f t="shared" si="11"/>
        <v>457.73999999999978</v>
      </c>
      <c r="AD23" s="110"/>
      <c r="AE23" s="111"/>
    </row>
    <row r="24" spans="1:31" x14ac:dyDescent="0.2">
      <c r="A24" s="11">
        <v>45831</v>
      </c>
      <c r="B24" s="80">
        <v>17537295</v>
      </c>
      <c r="C24" s="81">
        <f>SUM(4075.6+1738878.1+588907+9914.8+256727+28218)</f>
        <v>2626720.5</v>
      </c>
      <c r="D24" s="42">
        <f t="shared" si="2"/>
        <v>14910574.5</v>
      </c>
      <c r="E24" s="82">
        <f t="shared" si="0"/>
        <v>17367</v>
      </c>
      <c r="F24" s="12">
        <v>12246</v>
      </c>
      <c r="G24" s="83"/>
      <c r="H24" s="82">
        <f t="shared" si="7"/>
        <v>6</v>
      </c>
      <c r="I24" s="9">
        <v>0.7</v>
      </c>
      <c r="J24" s="15">
        <v>0.7</v>
      </c>
      <c r="K24" s="15">
        <v>0.75</v>
      </c>
      <c r="L24" s="17">
        <f t="shared" si="8"/>
        <v>5375</v>
      </c>
      <c r="M24" s="34"/>
      <c r="N24" s="84">
        <f t="shared" si="10"/>
        <v>125.00000000000091</v>
      </c>
      <c r="O24" s="9">
        <v>0.65</v>
      </c>
      <c r="P24" s="15">
        <v>0.65</v>
      </c>
      <c r="Q24" s="15">
        <v>0.6</v>
      </c>
      <c r="R24" s="17">
        <f t="shared" si="3"/>
        <v>950</v>
      </c>
      <c r="S24" s="34"/>
      <c r="T24" s="84">
        <f t="shared" si="4"/>
        <v>150</v>
      </c>
      <c r="U24" s="85">
        <f t="shared" si="5"/>
        <v>275.00000000000091</v>
      </c>
      <c r="V24" s="20">
        <v>663821</v>
      </c>
      <c r="W24" s="35">
        <v>72178</v>
      </c>
      <c r="X24" s="35">
        <v>16056</v>
      </c>
      <c r="Y24" s="86">
        <f t="shared" si="12"/>
        <v>575587</v>
      </c>
      <c r="Z24" s="84">
        <v>32</v>
      </c>
      <c r="AA24" s="21">
        <v>2406.42</v>
      </c>
      <c r="AB24" s="22"/>
      <c r="AC24" s="84">
        <f t="shared" si="11"/>
        <v>451.74</v>
      </c>
      <c r="AD24" s="7"/>
      <c r="AE24" s="10"/>
    </row>
    <row r="25" spans="1:31" x14ac:dyDescent="0.2">
      <c r="A25" s="130">
        <v>45832</v>
      </c>
      <c r="B25" s="38">
        <v>17554662</v>
      </c>
      <c r="C25" s="87">
        <f>SUM(4076.6+1739379.1+588907+9915.1+256860+28238)</f>
        <v>2627375.8000000003</v>
      </c>
      <c r="D25" s="88">
        <f t="shared" si="2"/>
        <v>14927286.199999999</v>
      </c>
      <c r="E25" s="14">
        <f t="shared" si="0"/>
        <v>15439</v>
      </c>
      <c r="F25" s="89">
        <v>12240</v>
      </c>
      <c r="G25" s="13"/>
      <c r="H25" s="14">
        <f t="shared" si="7"/>
        <v>417</v>
      </c>
      <c r="I25" s="90">
        <v>0.7</v>
      </c>
      <c r="J25" s="91">
        <v>0.7</v>
      </c>
      <c r="K25" s="91">
        <v>0.7</v>
      </c>
      <c r="L25" s="18">
        <f t="shared" si="8"/>
        <v>5249.9999999999991</v>
      </c>
      <c r="M25" s="16"/>
      <c r="N25" s="19">
        <f t="shared" si="10"/>
        <v>174.99999999999909</v>
      </c>
      <c r="O25" s="90">
        <v>0.5</v>
      </c>
      <c r="P25" s="91">
        <v>0.55000000000000004</v>
      </c>
      <c r="Q25" s="91">
        <v>0.55000000000000004</v>
      </c>
      <c r="R25" s="18">
        <f t="shared" si="3"/>
        <v>800</v>
      </c>
      <c r="S25" s="16"/>
      <c r="T25" s="19">
        <f t="shared" si="4"/>
        <v>150</v>
      </c>
      <c r="U25" s="37">
        <f t="shared" si="5"/>
        <v>324.99999999999909</v>
      </c>
      <c r="V25" s="92">
        <v>664099</v>
      </c>
      <c r="W25" s="93">
        <v>72282</v>
      </c>
      <c r="X25" s="93">
        <v>16069</v>
      </c>
      <c r="Y25" s="43">
        <f t="shared" si="12"/>
        <v>575748</v>
      </c>
      <c r="Z25" s="19">
        <f t="shared" si="1"/>
        <v>157</v>
      </c>
      <c r="AA25" s="94">
        <v>1954.68</v>
      </c>
      <c r="AB25" s="95"/>
      <c r="AC25" s="19">
        <f t="shared" si="11"/>
        <v>454.68000000000006</v>
      </c>
      <c r="AD25" s="96"/>
      <c r="AE25" s="97"/>
    </row>
    <row r="26" spans="1:31" x14ac:dyDescent="0.2">
      <c r="A26" s="130">
        <v>45833</v>
      </c>
      <c r="B26" s="38">
        <v>17570101</v>
      </c>
      <c r="C26" s="87">
        <f>SUM(4077.5+1739828.3+588907+9915.9+256982+28248)</f>
        <v>2627958.6999999997</v>
      </c>
      <c r="D26" s="88">
        <f t="shared" si="2"/>
        <v>14942142.300000001</v>
      </c>
      <c r="E26" s="14">
        <f t="shared" si="0"/>
        <v>16521</v>
      </c>
      <c r="F26" s="89">
        <v>11823</v>
      </c>
      <c r="G26" s="13"/>
      <c r="H26" s="14">
        <f t="shared" si="7"/>
        <v>846</v>
      </c>
      <c r="I26" s="90">
        <v>0.7</v>
      </c>
      <c r="J26" s="91">
        <v>0.68</v>
      </c>
      <c r="K26" s="91">
        <v>0.65</v>
      </c>
      <c r="L26" s="18">
        <f t="shared" si="8"/>
        <v>5075</v>
      </c>
      <c r="M26" s="16"/>
      <c r="N26" s="19">
        <f t="shared" si="10"/>
        <v>450</v>
      </c>
      <c r="O26" s="90">
        <v>0.4</v>
      </c>
      <c r="P26" s="91">
        <v>0.45</v>
      </c>
      <c r="Q26" s="91">
        <v>0.45</v>
      </c>
      <c r="R26" s="18">
        <f t="shared" si="3"/>
        <v>650</v>
      </c>
      <c r="S26" s="16"/>
      <c r="T26" s="19">
        <f t="shared" si="4"/>
        <v>75</v>
      </c>
      <c r="U26" s="37">
        <f t="shared" si="5"/>
        <v>525</v>
      </c>
      <c r="V26" s="92">
        <v>664361</v>
      </c>
      <c r="W26" s="93">
        <v>72378</v>
      </c>
      <c r="X26" s="93">
        <v>16078</v>
      </c>
      <c r="Y26" s="43">
        <f t="shared" si="12"/>
        <v>575905</v>
      </c>
      <c r="Z26" s="19">
        <f t="shared" si="1"/>
        <v>150</v>
      </c>
      <c r="AA26" s="94">
        <v>1500</v>
      </c>
      <c r="AB26" s="95">
        <v>6650</v>
      </c>
      <c r="AC26" s="19">
        <f t="shared" si="11"/>
        <v>8150</v>
      </c>
      <c r="AD26" s="96"/>
      <c r="AE26" s="97"/>
    </row>
    <row r="27" spans="1:31" x14ac:dyDescent="0.2">
      <c r="A27" s="130">
        <v>45834</v>
      </c>
      <c r="B27" s="38">
        <v>17586622</v>
      </c>
      <c r="C27" s="87">
        <f>SUM(4078.4+1740267.9+588907+9917.7+257102+28252)</f>
        <v>2628525</v>
      </c>
      <c r="D27" s="88">
        <f t="shared" si="2"/>
        <v>14958097</v>
      </c>
      <c r="E27" s="14">
        <f t="shared" si="0"/>
        <v>16870</v>
      </c>
      <c r="F27" s="89">
        <v>10977</v>
      </c>
      <c r="G27" s="13"/>
      <c r="H27" s="14">
        <f t="shared" si="7"/>
        <v>702</v>
      </c>
      <c r="I27" s="90">
        <v>0.65</v>
      </c>
      <c r="J27" s="91">
        <v>0.6</v>
      </c>
      <c r="K27" s="91">
        <v>0.6</v>
      </c>
      <c r="L27" s="18">
        <f t="shared" si="8"/>
        <v>4625</v>
      </c>
      <c r="M27" s="16">
        <v>1457.43</v>
      </c>
      <c r="N27" s="19">
        <f t="shared" si="10"/>
        <v>82.429999999999382</v>
      </c>
      <c r="O27" s="90">
        <v>0.4</v>
      </c>
      <c r="P27" s="91">
        <v>0.4</v>
      </c>
      <c r="Q27" s="91">
        <v>0.35</v>
      </c>
      <c r="R27" s="18">
        <f t="shared" si="3"/>
        <v>575</v>
      </c>
      <c r="S27" s="16">
        <v>631.13</v>
      </c>
      <c r="T27" s="19">
        <f t="shared" si="4"/>
        <v>6.1299999999998818</v>
      </c>
      <c r="U27" s="37">
        <f t="shared" si="5"/>
        <v>88.559999999999263</v>
      </c>
      <c r="V27" s="92">
        <v>664601</v>
      </c>
      <c r="W27" s="93">
        <v>72461</v>
      </c>
      <c r="X27" s="93">
        <v>16085</v>
      </c>
      <c r="Y27" s="43">
        <f t="shared" si="12"/>
        <v>576055</v>
      </c>
      <c r="Z27" s="19">
        <f t="shared" si="1"/>
        <v>170</v>
      </c>
      <c r="AA27" s="94"/>
      <c r="AB27" s="95"/>
      <c r="AC27" s="19">
        <f t="shared" si="11"/>
        <v>0</v>
      </c>
      <c r="AD27" s="96"/>
      <c r="AE27" s="97"/>
    </row>
    <row r="28" spans="1:31" x14ac:dyDescent="0.2">
      <c r="A28" s="130">
        <v>45835</v>
      </c>
      <c r="B28" s="38">
        <v>17603492</v>
      </c>
      <c r="C28" s="87">
        <f>SUM(4079.3+1740711.5+588907+9919.5+257232+28254)</f>
        <v>2629103.2999999998</v>
      </c>
      <c r="D28" s="88">
        <f t="shared" si="2"/>
        <v>14974388.699999999</v>
      </c>
      <c r="E28" s="14">
        <f t="shared" si="0"/>
        <v>17495</v>
      </c>
      <c r="F28" s="89">
        <v>10275</v>
      </c>
      <c r="G28" s="13"/>
      <c r="H28" s="14">
        <f t="shared" si="7"/>
        <v>1116</v>
      </c>
      <c r="I28" s="90">
        <v>0.8</v>
      </c>
      <c r="J28" s="91">
        <v>0.8</v>
      </c>
      <c r="K28" s="91">
        <v>0.8</v>
      </c>
      <c r="L28" s="18">
        <f t="shared" si="8"/>
        <v>6000.0000000000009</v>
      </c>
      <c r="M28" s="16"/>
      <c r="N28" s="19">
        <f t="shared" si="10"/>
        <v>300</v>
      </c>
      <c r="O28" s="90">
        <v>0.8</v>
      </c>
      <c r="P28" s="91">
        <v>0.8</v>
      </c>
      <c r="Q28" s="91">
        <v>0.8</v>
      </c>
      <c r="R28" s="18">
        <f t="shared" si="3"/>
        <v>1200.0000000000002</v>
      </c>
      <c r="S28" s="16"/>
      <c r="T28" s="19">
        <f t="shared" si="4"/>
        <v>0</v>
      </c>
      <c r="U28" s="37">
        <f t="shared" si="5"/>
        <v>300</v>
      </c>
      <c r="V28" s="92">
        <v>664867</v>
      </c>
      <c r="W28" s="93">
        <v>72551</v>
      </c>
      <c r="X28" s="93">
        <v>16091</v>
      </c>
      <c r="Y28" s="43">
        <f t="shared" si="12"/>
        <v>576225</v>
      </c>
      <c r="Z28" s="19">
        <f t="shared" si="1"/>
        <v>154</v>
      </c>
      <c r="AA28" s="94"/>
      <c r="AB28" s="95"/>
      <c r="AC28" s="19">
        <f t="shared" si="11"/>
        <v>0</v>
      </c>
      <c r="AD28" s="96"/>
      <c r="AE28" s="97"/>
    </row>
    <row r="29" spans="1:31" x14ac:dyDescent="0.2">
      <c r="A29" s="130">
        <v>45836</v>
      </c>
      <c r="B29" s="38">
        <v>17620987</v>
      </c>
      <c r="C29" s="87">
        <f>SUM(4080.1+1741168.4+588907+9921.5+257333+28257)</f>
        <v>2629667</v>
      </c>
      <c r="D29" s="88">
        <f t="shared" si="2"/>
        <v>14991320</v>
      </c>
      <c r="E29" s="14">
        <f t="shared" si="0"/>
        <v>19123</v>
      </c>
      <c r="F29" s="89">
        <v>9159</v>
      </c>
      <c r="G29" s="13"/>
      <c r="H29" s="14">
        <f t="shared" si="7"/>
        <v>3689</v>
      </c>
      <c r="I29" s="90">
        <v>0.77</v>
      </c>
      <c r="J29" s="91">
        <v>0.75</v>
      </c>
      <c r="K29" s="91">
        <v>0.76</v>
      </c>
      <c r="L29" s="18">
        <f t="shared" si="8"/>
        <v>5700.0000000000009</v>
      </c>
      <c r="M29" s="16"/>
      <c r="N29" s="19">
        <f t="shared" si="10"/>
        <v>325.00000000000091</v>
      </c>
      <c r="O29" s="90">
        <v>0.8</v>
      </c>
      <c r="P29" s="91">
        <v>0.8</v>
      </c>
      <c r="Q29" s="91">
        <v>0.8</v>
      </c>
      <c r="R29" s="18">
        <f t="shared" si="3"/>
        <v>1200.0000000000002</v>
      </c>
      <c r="S29" s="16"/>
      <c r="T29" s="19">
        <f t="shared" si="4"/>
        <v>75.000000000000227</v>
      </c>
      <c r="U29" s="37">
        <f t="shared" si="5"/>
        <v>400.00000000000114</v>
      </c>
      <c r="V29" s="92">
        <v>665105</v>
      </c>
      <c r="W29" s="93">
        <v>72626</v>
      </c>
      <c r="X29" s="93">
        <v>16100</v>
      </c>
      <c r="Y29" s="43">
        <f t="shared" si="12"/>
        <v>576379</v>
      </c>
      <c r="Z29" s="19">
        <f t="shared" si="1"/>
        <v>219</v>
      </c>
      <c r="AA29" s="94"/>
      <c r="AB29" s="95"/>
      <c r="AC29" s="19">
        <f t="shared" si="11"/>
        <v>0</v>
      </c>
      <c r="AD29" s="96"/>
      <c r="AE29" s="97"/>
    </row>
    <row r="30" spans="1:31" x14ac:dyDescent="0.2">
      <c r="A30" s="131">
        <v>45837</v>
      </c>
      <c r="B30" s="98">
        <v>17640110</v>
      </c>
      <c r="C30" s="99">
        <f>SUM(4081+1741564.2+588907+9923.5+257484+28257)</f>
        <v>2630216.7000000002</v>
      </c>
      <c r="D30" s="100">
        <f t="shared" si="2"/>
        <v>15009893.300000001</v>
      </c>
      <c r="E30" s="44">
        <f t="shared" si="0"/>
        <v>17103</v>
      </c>
      <c r="F30" s="101">
        <v>5470</v>
      </c>
      <c r="G30" s="45"/>
      <c r="H30" s="44">
        <f>F30+G30-F31</f>
        <v>-1913</v>
      </c>
      <c r="I30" s="102">
        <v>0.75</v>
      </c>
      <c r="J30" s="103">
        <v>0.7</v>
      </c>
      <c r="K30" s="103">
        <v>0.7</v>
      </c>
      <c r="L30" s="104">
        <f t="shared" si="8"/>
        <v>5375</v>
      </c>
      <c r="M30" s="105"/>
      <c r="N30" s="46">
        <f t="shared" si="10"/>
        <v>25.000000000000909</v>
      </c>
      <c r="O30" s="102">
        <v>0.74</v>
      </c>
      <c r="P30" s="103">
        <v>0.75</v>
      </c>
      <c r="Q30" s="103">
        <v>0.76</v>
      </c>
      <c r="R30" s="104">
        <f t="shared" si="3"/>
        <v>1125</v>
      </c>
      <c r="S30" s="105"/>
      <c r="T30" s="46">
        <f t="shared" si="4"/>
        <v>85</v>
      </c>
      <c r="U30" s="47">
        <f t="shared" si="5"/>
        <v>110.00000000000091</v>
      </c>
      <c r="V30" s="106">
        <v>665416</v>
      </c>
      <c r="W30" s="107">
        <v>72712</v>
      </c>
      <c r="X30" s="107">
        <v>16106</v>
      </c>
      <c r="Y30" s="48">
        <f t="shared" si="12"/>
        <v>576598</v>
      </c>
      <c r="Z30" s="46">
        <f t="shared" si="1"/>
        <v>-9817</v>
      </c>
      <c r="AA30" s="108"/>
      <c r="AB30" s="109"/>
      <c r="AC30" s="46">
        <f t="shared" si="11"/>
        <v>0</v>
      </c>
      <c r="AD30" s="110"/>
      <c r="AE30" s="111"/>
    </row>
    <row r="31" spans="1:31" x14ac:dyDescent="0.2">
      <c r="A31" s="132">
        <v>45838</v>
      </c>
      <c r="B31" s="133">
        <v>17657213</v>
      </c>
      <c r="C31" s="134">
        <f>SUM(4081.8+1741974.5+588907+9925.4+257566+28257)</f>
        <v>2630711.6999999997</v>
      </c>
      <c r="D31" s="135">
        <f t="shared" si="2"/>
        <v>15026501.300000001</v>
      </c>
      <c r="E31" s="136">
        <f t="shared" si="0"/>
        <v>17396</v>
      </c>
      <c r="F31" s="137">
        <v>7383</v>
      </c>
      <c r="G31" s="138"/>
      <c r="H31" s="136">
        <f>F31+G31-F32</f>
        <v>1060</v>
      </c>
      <c r="I31" s="139">
        <v>0.74</v>
      </c>
      <c r="J31" s="140">
        <v>0.7</v>
      </c>
      <c r="K31" s="140">
        <v>0.7</v>
      </c>
      <c r="L31" s="141">
        <f t="shared" si="8"/>
        <v>5349.9999999999991</v>
      </c>
      <c r="M31" s="142"/>
      <c r="N31" s="143">
        <f>SUM(L31+M31-L32)</f>
        <v>149.99999999999909</v>
      </c>
      <c r="O31" s="139">
        <v>0.7</v>
      </c>
      <c r="P31" s="140">
        <v>0.68</v>
      </c>
      <c r="Q31" s="140">
        <v>0.7</v>
      </c>
      <c r="R31" s="141">
        <f t="shared" si="3"/>
        <v>1040</v>
      </c>
      <c r="S31" s="142"/>
      <c r="T31" s="143">
        <f t="shared" si="4"/>
        <v>65</v>
      </c>
      <c r="U31" s="144">
        <f t="shared" si="5"/>
        <v>214.99999999999909</v>
      </c>
      <c r="V31" s="145">
        <v>655684</v>
      </c>
      <c r="W31" s="146">
        <v>72791</v>
      </c>
      <c r="X31" s="146">
        <v>16112</v>
      </c>
      <c r="Y31" s="147">
        <f t="shared" si="12"/>
        <v>566781</v>
      </c>
      <c r="Z31" s="143">
        <f t="shared" si="1"/>
        <v>10184</v>
      </c>
      <c r="AA31" s="148"/>
      <c r="AB31" s="149"/>
      <c r="AC31" s="143">
        <f t="shared" si="11"/>
        <v>0</v>
      </c>
      <c r="AD31" s="150"/>
      <c r="AE31" s="151"/>
    </row>
    <row r="32" spans="1:31" ht="13.5" thickBot="1" x14ac:dyDescent="0.25">
      <c r="A32" s="130">
        <v>45839</v>
      </c>
      <c r="B32" s="38">
        <v>17674609</v>
      </c>
      <c r="C32" s="79">
        <f>SUM(4082.7+1742501.5+588907+9927.9+257697+28257)</f>
        <v>2631373.1</v>
      </c>
      <c r="D32" s="88">
        <f t="shared" si="2"/>
        <v>15043235.9</v>
      </c>
      <c r="E32" s="14"/>
      <c r="F32" s="89">
        <v>6323</v>
      </c>
      <c r="G32" s="13"/>
      <c r="H32" s="14"/>
      <c r="I32" s="90">
        <v>0.7</v>
      </c>
      <c r="J32" s="91">
        <v>0.7</v>
      </c>
      <c r="K32" s="91">
        <v>0.68</v>
      </c>
      <c r="L32" s="18">
        <f t="shared" si="8"/>
        <v>5200</v>
      </c>
      <c r="M32" s="16"/>
      <c r="N32" s="19"/>
      <c r="O32" s="90">
        <v>0.65</v>
      </c>
      <c r="P32" s="91">
        <v>0.65</v>
      </c>
      <c r="Q32" s="91">
        <v>0.65</v>
      </c>
      <c r="R32" s="18">
        <f t="shared" si="3"/>
        <v>975</v>
      </c>
      <c r="S32" s="16"/>
      <c r="T32" s="19"/>
      <c r="U32" s="37"/>
      <c r="V32" s="92">
        <v>665970</v>
      </c>
      <c r="W32" s="93">
        <v>72887</v>
      </c>
      <c r="X32" s="93">
        <v>16118</v>
      </c>
      <c r="Y32" s="43">
        <f t="shared" si="12"/>
        <v>576965</v>
      </c>
      <c r="Z32" s="19"/>
      <c r="AA32" s="94"/>
      <c r="AB32" s="95"/>
      <c r="AC32" s="19"/>
      <c r="AD32" s="96"/>
      <c r="AE32" s="97"/>
    </row>
    <row r="33" spans="1:31" ht="14.25" thickTop="1" thickBot="1" x14ac:dyDescent="0.25">
      <c r="A33" s="130"/>
      <c r="B33" s="38"/>
      <c r="C33" s="79"/>
      <c r="D33" s="88">
        <f t="shared" si="2"/>
        <v>0</v>
      </c>
      <c r="E33" s="25"/>
      <c r="F33" s="89"/>
      <c r="G33" s="26"/>
      <c r="H33" s="25"/>
      <c r="I33" s="90"/>
      <c r="J33" s="91"/>
      <c r="K33" s="91"/>
      <c r="L33" s="39">
        <f t="shared" si="8"/>
        <v>0</v>
      </c>
      <c r="M33" s="16"/>
      <c r="N33" s="25"/>
      <c r="O33" s="90"/>
      <c r="P33" s="91"/>
      <c r="Q33" s="91"/>
      <c r="R33" s="39">
        <f t="shared" si="3"/>
        <v>0</v>
      </c>
      <c r="S33" s="16"/>
      <c r="T33" s="40"/>
      <c r="U33" s="41"/>
      <c r="V33" s="92"/>
      <c r="W33" s="93"/>
      <c r="X33" s="93"/>
      <c r="Y33" s="43">
        <f t="shared" si="12"/>
        <v>0</v>
      </c>
      <c r="Z33" s="25"/>
      <c r="AA33" s="94"/>
      <c r="AB33" s="95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477931</v>
      </c>
      <c r="F34" s="29"/>
      <c r="G34" s="29"/>
      <c r="H34" s="28">
        <f>SUM(H2:H33)</f>
        <v>17323</v>
      </c>
      <c r="I34" s="27"/>
      <c r="J34" s="27"/>
      <c r="K34" s="27"/>
      <c r="L34" s="27"/>
      <c r="M34" s="29">
        <f>SUM(M2:M33)</f>
        <v>6072.9400000000005</v>
      </c>
      <c r="N34" s="28">
        <f>SUM(N2:N33)</f>
        <v>6522.9400000000005</v>
      </c>
      <c r="O34" s="27"/>
      <c r="P34" s="27"/>
      <c r="Q34" s="27"/>
      <c r="R34" s="27"/>
      <c r="S34" s="29">
        <f>SUM(S2:S33)</f>
        <v>2501.9700000000003</v>
      </c>
      <c r="T34" s="28">
        <f>SUM(T2:T33)</f>
        <v>2676.9700000000003</v>
      </c>
      <c r="U34" s="28">
        <f>SUM(U2:U33)</f>
        <v>9199.9100000000035</v>
      </c>
      <c r="V34" s="27"/>
      <c r="W34" s="27"/>
      <c r="X34" s="27"/>
      <c r="Y34" s="27"/>
      <c r="Z34" s="28">
        <f>SUM(Z2:Z33)</f>
        <v>4029</v>
      </c>
      <c r="AA34" s="27"/>
      <c r="AB34" s="27">
        <f>SUM(AB2:AB33)</f>
        <v>14290</v>
      </c>
      <c r="AC34" s="28">
        <f>SUM(AC2:AC33)</f>
        <v>19042</v>
      </c>
      <c r="AD34" s="31">
        <f>SUM(AD2:AD33)</f>
        <v>1094</v>
      </c>
      <c r="AE34" s="32">
        <f>SUM(AE2:AE32)</f>
        <v>2064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2025-11-13T11:04:54Z</dcterms:modified>
  <cp:category/>
  <cp:contentStatus/>
</cp:coreProperties>
</file>