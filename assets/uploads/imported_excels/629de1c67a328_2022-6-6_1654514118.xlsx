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k Amy\Desktop\HEP 2019\"/>
    </mc:Choice>
  </mc:AlternateContent>
  <bookViews>
    <workbookView xWindow="0" yWindow="0" windowWidth="20490" windowHeight="7755" activeTab="4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5" l="1"/>
  <c r="I40" i="5"/>
  <c r="J25" i="1" l="1"/>
  <c r="H32" i="4" l="1"/>
  <c r="F37" i="2"/>
  <c r="G37" i="2" s="1"/>
  <c r="F38" i="2"/>
  <c r="G38" i="2" s="1"/>
  <c r="I14" i="1"/>
  <c r="I13" i="1"/>
  <c r="I6" i="1"/>
  <c r="I5" i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4" i="4" s="1"/>
  <c r="D14" i="5" s="1"/>
  <c r="D15" i="3"/>
  <c r="D15" i="4" s="1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 s="1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 s="1"/>
  <c r="D32" i="5" s="1"/>
  <c r="D33" i="3"/>
  <c r="D33" i="4" s="1"/>
  <c r="D33" i="5" s="1"/>
  <c r="D34" i="3"/>
  <c r="D34" i="4" s="1"/>
  <c r="D34" i="5" s="1"/>
  <c r="D35" i="3"/>
  <c r="D35" i="4" s="1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 s="1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 s="1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J27" i="1" s="1"/>
  <c r="I3" i="1"/>
  <c r="I4" i="1"/>
  <c r="I7" i="1"/>
  <c r="I8" i="1"/>
  <c r="I9" i="1"/>
  <c r="I10" i="1"/>
  <c r="I11" i="1"/>
  <c r="I12" i="1"/>
  <c r="I15" i="1"/>
  <c r="I16" i="1"/>
  <c r="I17" i="1"/>
  <c r="I18" i="1"/>
  <c r="I19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N2" i="1"/>
  <c r="M2" i="1"/>
  <c r="K2" i="1"/>
  <c r="I2" i="1"/>
  <c r="G2" i="1"/>
  <c r="J40" i="5"/>
  <c r="J39" i="5"/>
  <c r="H39" i="5"/>
  <c r="F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K32" i="5" s="1"/>
  <c r="L32" i="5" s="1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K16" i="5" s="1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9" i="4"/>
  <c r="J32" i="1" s="1"/>
  <c r="G38" i="4"/>
  <c r="J31" i="1" s="1"/>
  <c r="G37" i="4"/>
  <c r="J30" i="1" s="1"/>
  <c r="G36" i="4"/>
  <c r="J29" i="1" s="1"/>
  <c r="G35" i="4"/>
  <c r="J28" i="1" s="1"/>
  <c r="G33" i="4"/>
  <c r="J26" i="1" s="1"/>
  <c r="J33" i="1" s="1"/>
  <c r="G31" i="4"/>
  <c r="J24" i="1" s="1"/>
  <c r="G30" i="4"/>
  <c r="J23" i="1" s="1"/>
  <c r="I22" i="1"/>
  <c r="G28" i="4"/>
  <c r="J21" i="1" s="1"/>
  <c r="G26" i="4"/>
  <c r="J19" i="1" s="1"/>
  <c r="G25" i="4"/>
  <c r="J18" i="1" s="1"/>
  <c r="G24" i="4"/>
  <c r="J17" i="1" s="1"/>
  <c r="G23" i="4"/>
  <c r="J16" i="1" s="1"/>
  <c r="G22" i="4"/>
  <c r="J15" i="1" s="1"/>
  <c r="G19" i="4"/>
  <c r="J12" i="1" s="1"/>
  <c r="G18" i="4"/>
  <c r="J11" i="1" s="1"/>
  <c r="G17" i="4"/>
  <c r="J10" i="1" s="1"/>
  <c r="G16" i="4"/>
  <c r="J9" i="1" s="1"/>
  <c r="G15" i="4"/>
  <c r="J8" i="1" s="1"/>
  <c r="G14" i="4"/>
  <c r="H14" i="4" s="1"/>
  <c r="G11" i="4"/>
  <c r="H11" i="4" s="1"/>
  <c r="G10" i="4"/>
  <c r="J3" i="1" s="1"/>
  <c r="G9" i="4"/>
  <c r="J2" i="1" s="1"/>
  <c r="O40" i="3"/>
  <c r="F40" i="3"/>
  <c r="O41" i="3" s="1"/>
  <c r="G39" i="3"/>
  <c r="J8" i="3"/>
  <c r="J38" i="3"/>
  <c r="G38" i="3"/>
  <c r="J37" i="3"/>
  <c r="G37" i="3"/>
  <c r="J36" i="3"/>
  <c r="G36" i="3"/>
  <c r="J35" i="3"/>
  <c r="G35" i="3"/>
  <c r="G34" i="3"/>
  <c r="G33" i="3"/>
  <c r="J32" i="3"/>
  <c r="G32" i="3"/>
  <c r="G31" i="3"/>
  <c r="J30" i="3"/>
  <c r="G30" i="3"/>
  <c r="J29" i="3"/>
  <c r="G29" i="3"/>
  <c r="J28" i="3"/>
  <c r="G28" i="3"/>
  <c r="J27" i="3"/>
  <c r="G27" i="3"/>
  <c r="G26" i="3"/>
  <c r="G25" i="3"/>
  <c r="J24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9" i="2"/>
  <c r="C39" i="2"/>
  <c r="I38" i="2"/>
  <c r="I37" i="2"/>
  <c r="J37" i="2" s="1"/>
  <c r="I36" i="2"/>
  <c r="J36" i="2" s="1"/>
  <c r="F36" i="2"/>
  <c r="G36" i="2" s="1"/>
  <c r="I35" i="2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I27" i="2"/>
  <c r="J27" i="2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I23" i="2"/>
  <c r="J23" i="2" s="1"/>
  <c r="F23" i="2"/>
  <c r="I22" i="2"/>
  <c r="J22" i="2" s="1"/>
  <c r="F22" i="2"/>
  <c r="I21" i="2"/>
  <c r="J21" i="2" s="1"/>
  <c r="F21" i="2"/>
  <c r="G21" i="2" s="1"/>
  <c r="I20" i="2"/>
  <c r="J20" i="2"/>
  <c r="F20" i="2"/>
  <c r="G20" i="2" s="1"/>
  <c r="I19" i="2"/>
  <c r="J19" i="2" s="1"/>
  <c r="F19" i="2"/>
  <c r="I18" i="2"/>
  <c r="J18" i="2" s="1"/>
  <c r="F18" i="2"/>
  <c r="G18" i="2" s="1"/>
  <c r="I17" i="2"/>
  <c r="J17" i="2" s="1"/>
  <c r="F17" i="2"/>
  <c r="G17" i="2" s="1"/>
  <c r="I16" i="2"/>
  <c r="J16" i="2" s="1"/>
  <c r="F16" i="2"/>
  <c r="E10" i="1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F12" i="2"/>
  <c r="G12" i="2" s="1"/>
  <c r="I11" i="2"/>
  <c r="J11" i="2" s="1"/>
  <c r="F11" i="2"/>
  <c r="G11" i="2" s="1"/>
  <c r="I10" i="2"/>
  <c r="J10" i="2"/>
  <c r="F10" i="2"/>
  <c r="G10" i="2" s="1"/>
  <c r="I9" i="2"/>
  <c r="J9" i="2" s="1"/>
  <c r="F9" i="2"/>
  <c r="G9" i="2" s="1"/>
  <c r="I8" i="2"/>
  <c r="J8" i="2" s="1"/>
  <c r="F8" i="2"/>
  <c r="G8" i="2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I41" i="5"/>
  <c r="F40" i="4"/>
  <c r="G12" i="4"/>
  <c r="J5" i="1" s="1"/>
  <c r="G20" i="4"/>
  <c r="J13" i="1" s="1"/>
  <c r="G13" i="4"/>
  <c r="J6" i="1" s="1"/>
  <c r="G21" i="4"/>
  <c r="J14" i="1" s="1"/>
  <c r="K17" i="5"/>
  <c r="L10" i="1" s="1"/>
  <c r="G29" i="4"/>
  <c r="J22" i="1" s="1"/>
  <c r="G27" i="4"/>
  <c r="J20" i="1" s="1"/>
  <c r="J34" i="3"/>
  <c r="P8" i="3"/>
  <c r="J18" i="3"/>
  <c r="M8" i="3"/>
  <c r="J31" i="3"/>
  <c r="J39" i="3"/>
  <c r="J23" i="3"/>
  <c r="J26" i="3"/>
  <c r="J9" i="3"/>
  <c r="J10" i="3"/>
  <c r="J11" i="3"/>
  <c r="J12" i="3"/>
  <c r="J13" i="3"/>
  <c r="J14" i="3"/>
  <c r="J15" i="3"/>
  <c r="J16" i="3"/>
  <c r="J17" i="3"/>
  <c r="J25" i="3"/>
  <c r="M17" i="3"/>
  <c r="P17" i="3"/>
  <c r="M39" i="3"/>
  <c r="P39" i="3"/>
  <c r="M32" i="3"/>
  <c r="Q32" i="3" s="1"/>
  <c r="R32" i="3" s="1"/>
  <c r="M24" i="3"/>
  <c r="M14" i="3"/>
  <c r="P14" i="3"/>
  <c r="M31" i="3"/>
  <c r="P31" i="3"/>
  <c r="M23" i="3"/>
  <c r="P23" i="3"/>
  <c r="M33" i="3"/>
  <c r="M15" i="3"/>
  <c r="M38" i="3"/>
  <c r="P38" i="3"/>
  <c r="M30" i="3"/>
  <c r="M22" i="3"/>
  <c r="Q22" i="3" s="1"/>
  <c r="R22" i="3" s="1"/>
  <c r="P22" i="3"/>
  <c r="M10" i="3"/>
  <c r="M37" i="3"/>
  <c r="P37" i="3"/>
  <c r="M29" i="3"/>
  <c r="P29" i="3"/>
  <c r="M21" i="3"/>
  <c r="M18" i="3"/>
  <c r="M11" i="3"/>
  <c r="P11" i="3"/>
  <c r="M36" i="3"/>
  <c r="M28" i="3"/>
  <c r="P28" i="3"/>
  <c r="M20" i="3"/>
  <c r="Q20" i="3" s="1"/>
  <c r="R20" i="3" s="1"/>
  <c r="P20" i="3"/>
  <c r="M34" i="3"/>
  <c r="P34" i="3"/>
  <c r="M26" i="3"/>
  <c r="M25" i="3"/>
  <c r="M13" i="3"/>
  <c r="P13" i="3"/>
  <c r="M35" i="3"/>
  <c r="M27" i="3"/>
  <c r="P27" i="3"/>
  <c r="M19" i="3"/>
  <c r="P19" i="3"/>
  <c r="M16" i="3"/>
  <c r="P16" i="3"/>
  <c r="M12" i="3"/>
  <c r="P12" i="3"/>
  <c r="M9" i="3"/>
  <c r="P25" i="3"/>
  <c r="P10" i="3"/>
  <c r="P30" i="3"/>
  <c r="P21" i="3"/>
  <c r="P36" i="3"/>
  <c r="P33" i="3"/>
  <c r="P15" i="3"/>
  <c r="P24" i="3"/>
  <c r="P35" i="3"/>
  <c r="P26" i="3"/>
  <c r="P18" i="3"/>
  <c r="P9" i="3"/>
  <c r="P32" i="3"/>
  <c r="E4" i="1" l="1"/>
  <c r="K24" i="5"/>
  <c r="K36" i="5"/>
  <c r="L36" i="5" s="1"/>
  <c r="Q39" i="3"/>
  <c r="R39" i="3" s="1"/>
  <c r="Q23" i="3"/>
  <c r="R23" i="3" s="1"/>
  <c r="E22" i="1"/>
  <c r="G16" i="2"/>
  <c r="J4" i="1"/>
  <c r="K33" i="5"/>
  <c r="L26" i="1" s="1"/>
  <c r="K28" i="5"/>
  <c r="L28" i="5" s="1"/>
  <c r="L9" i="1"/>
  <c r="L17" i="1"/>
  <c r="E13" i="1"/>
  <c r="E31" i="1"/>
  <c r="K23" i="5"/>
  <c r="L23" i="5" s="1"/>
  <c r="K27" i="5"/>
  <c r="L27" i="5" s="1"/>
  <c r="K11" i="5"/>
  <c r="L11" i="5" s="1"/>
  <c r="K15" i="5"/>
  <c r="L15" i="5" s="1"/>
  <c r="K19" i="5"/>
  <c r="L19" i="5" s="1"/>
  <c r="K30" i="5"/>
  <c r="L23" i="1" s="1"/>
  <c r="K38" i="5"/>
  <c r="L38" i="5" s="1"/>
  <c r="K10" i="5"/>
  <c r="L10" i="5" s="1"/>
  <c r="K18" i="5"/>
  <c r="L18" i="5" s="1"/>
  <c r="K21" i="5"/>
  <c r="L21" i="5" s="1"/>
  <c r="K22" i="5"/>
  <c r="L22" i="5" s="1"/>
  <c r="K25" i="5"/>
  <c r="L18" i="1" s="1"/>
  <c r="K20" i="5"/>
  <c r="L20" i="5" s="1"/>
  <c r="Q29" i="3"/>
  <c r="H22" i="1" s="1"/>
  <c r="Q26" i="3"/>
  <c r="R26" i="3" s="1"/>
  <c r="H38" i="4"/>
  <c r="H22" i="4"/>
  <c r="E25" i="1"/>
  <c r="E18" i="1"/>
  <c r="E17" i="1"/>
  <c r="E7" i="1"/>
  <c r="Q15" i="3"/>
  <c r="R15" i="3" s="1"/>
  <c r="Q34" i="3"/>
  <c r="R34" i="3" s="1"/>
  <c r="Q31" i="3"/>
  <c r="R31" i="3" s="1"/>
  <c r="Q13" i="3"/>
  <c r="R13" i="3" s="1"/>
  <c r="Q9" i="3"/>
  <c r="R9" i="3" s="1"/>
  <c r="Q17" i="3"/>
  <c r="R17" i="3" s="1"/>
  <c r="Q28" i="3"/>
  <c r="R28" i="3" s="1"/>
  <c r="Q30" i="3"/>
  <c r="R30" i="3" s="1"/>
  <c r="Q11" i="3"/>
  <c r="R11" i="3" s="1"/>
  <c r="Q38" i="3"/>
  <c r="R38" i="3" s="1"/>
  <c r="Q16" i="3"/>
  <c r="R16" i="3" s="1"/>
  <c r="Q27" i="3"/>
  <c r="R27" i="3" s="1"/>
  <c r="Q35" i="3"/>
  <c r="R35" i="3" s="1"/>
  <c r="Q37" i="3"/>
  <c r="H30" i="1" s="1"/>
  <c r="H34" i="4"/>
  <c r="H18" i="4"/>
  <c r="J7" i="1"/>
  <c r="H26" i="4"/>
  <c r="H10" i="4"/>
  <c r="K29" i="5"/>
  <c r="L29" i="5" s="1"/>
  <c r="K14" i="5"/>
  <c r="L14" i="5" s="1"/>
  <c r="K9" i="5"/>
  <c r="L2" i="1" s="1"/>
  <c r="K13" i="5"/>
  <c r="L6" i="1" s="1"/>
  <c r="K26" i="5"/>
  <c r="L19" i="1" s="1"/>
  <c r="K31" i="5"/>
  <c r="L31" i="5" s="1"/>
  <c r="K35" i="5"/>
  <c r="L35" i="5" s="1"/>
  <c r="K39" i="5"/>
  <c r="L39" i="5" s="1"/>
  <c r="K34" i="5"/>
  <c r="L34" i="5" s="1"/>
  <c r="K37" i="5"/>
  <c r="L30" i="1" s="1"/>
  <c r="E15" i="1"/>
  <c r="K8" i="2"/>
  <c r="L8" i="2" s="1"/>
  <c r="M8" i="2" s="1"/>
  <c r="E16" i="1"/>
  <c r="E19" i="1"/>
  <c r="E11" i="1"/>
  <c r="E6" i="1"/>
  <c r="E3" i="1"/>
  <c r="K16" i="2"/>
  <c r="L16" i="2" s="1"/>
  <c r="M16" i="2" s="1"/>
  <c r="K12" i="5"/>
  <c r="L12" i="5" s="1"/>
  <c r="L17" i="5"/>
  <c r="L25" i="1"/>
  <c r="L33" i="5"/>
  <c r="L24" i="5"/>
  <c r="L16" i="5"/>
  <c r="K33" i="1"/>
  <c r="Q12" i="3"/>
  <c r="R12" i="3" s="1"/>
  <c r="Q36" i="3"/>
  <c r="R36" i="3" s="1"/>
  <c r="Q24" i="3"/>
  <c r="H17" i="1" s="1"/>
  <c r="H19" i="1"/>
  <c r="Q10" i="3"/>
  <c r="R10" i="3" s="1"/>
  <c r="Q14" i="3"/>
  <c r="R14" i="3" s="1"/>
  <c r="Q18" i="3"/>
  <c r="R18" i="3" s="1"/>
  <c r="Q25" i="3"/>
  <c r="H18" i="1" s="1"/>
  <c r="Q19" i="3"/>
  <c r="R19" i="3" s="1"/>
  <c r="Q21" i="3"/>
  <c r="H14" i="1" s="1"/>
  <c r="Q33" i="3"/>
  <c r="R33" i="3" s="1"/>
  <c r="H16" i="1"/>
  <c r="H27" i="1"/>
  <c r="H25" i="1"/>
  <c r="H15" i="1"/>
  <c r="H13" i="1"/>
  <c r="G33" i="1"/>
  <c r="I33" i="1"/>
  <c r="H37" i="4"/>
  <c r="H33" i="4"/>
  <c r="H29" i="4"/>
  <c r="H25" i="4"/>
  <c r="H21" i="4"/>
  <c r="H17" i="4"/>
  <c r="H13" i="4"/>
  <c r="H30" i="4"/>
  <c r="H9" i="4"/>
  <c r="H36" i="4"/>
  <c r="H28" i="4"/>
  <c r="H24" i="4"/>
  <c r="H20" i="4"/>
  <c r="H16" i="4"/>
  <c r="H12" i="4"/>
  <c r="H39" i="4"/>
  <c r="H35" i="4"/>
  <c r="H31" i="4"/>
  <c r="H27" i="4"/>
  <c r="H23" i="4"/>
  <c r="H19" i="4"/>
  <c r="H15" i="4"/>
  <c r="F39" i="2"/>
  <c r="E21" i="1"/>
  <c r="E12" i="1"/>
  <c r="E20" i="1"/>
  <c r="G19" i="2"/>
  <c r="K19" i="2" s="1"/>
  <c r="L19" i="2" s="1"/>
  <c r="E14" i="1"/>
  <c r="G22" i="2"/>
  <c r="G23" i="2"/>
  <c r="K23" i="2" s="1"/>
  <c r="L23" i="2" s="1"/>
  <c r="G24" i="2"/>
  <c r="K24" i="2" s="1"/>
  <c r="L24" i="2" s="1"/>
  <c r="G28" i="2"/>
  <c r="K28" i="2" s="1"/>
  <c r="L28" i="2" s="1"/>
  <c r="F22" i="1" s="1"/>
  <c r="E29" i="1"/>
  <c r="K37" i="2"/>
  <c r="L37" i="2" s="1"/>
  <c r="M37" i="2" s="1"/>
  <c r="E32" i="1"/>
  <c r="E30" i="1"/>
  <c r="E23" i="1"/>
  <c r="I39" i="2"/>
  <c r="K11" i="2"/>
  <c r="L11" i="2" s="1"/>
  <c r="M11" i="2" s="1"/>
  <c r="J12" i="2"/>
  <c r="K12" i="2" s="1"/>
  <c r="L12" i="2" s="1"/>
  <c r="M12" i="2" s="1"/>
  <c r="K15" i="2"/>
  <c r="L15" i="2" s="1"/>
  <c r="M15" i="2" s="1"/>
  <c r="K21" i="2"/>
  <c r="L21" i="2" s="1"/>
  <c r="M21" i="2" s="1"/>
  <c r="K22" i="2"/>
  <c r="L22" i="2" s="1"/>
  <c r="M22" i="2" s="1"/>
  <c r="K25" i="2"/>
  <c r="L25" i="2" s="1"/>
  <c r="M25" i="2" s="1"/>
  <c r="K26" i="2"/>
  <c r="L26" i="2" s="1"/>
  <c r="M26" i="2" s="1"/>
  <c r="K27" i="2"/>
  <c r="L27" i="2" s="1"/>
  <c r="K29" i="2"/>
  <c r="L29" i="2" s="1"/>
  <c r="M29" i="2" s="1"/>
  <c r="K33" i="2"/>
  <c r="L33" i="2" s="1"/>
  <c r="M33" i="2" s="1"/>
  <c r="K9" i="2"/>
  <c r="L9" i="2" s="1"/>
  <c r="M9" i="2" s="1"/>
  <c r="K13" i="2"/>
  <c r="L13" i="2" s="1"/>
  <c r="M13" i="2" s="1"/>
  <c r="K17" i="2"/>
  <c r="L17" i="2" s="1"/>
  <c r="M17" i="2" s="1"/>
  <c r="E5" i="1"/>
  <c r="K10" i="2"/>
  <c r="L10" i="2" s="1"/>
  <c r="M10" i="2" s="1"/>
  <c r="K14" i="2"/>
  <c r="L14" i="2" s="1"/>
  <c r="M14" i="2" s="1"/>
  <c r="K18" i="2"/>
  <c r="L18" i="2" s="1"/>
  <c r="M18" i="2" s="1"/>
  <c r="K20" i="2"/>
  <c r="L20" i="2" s="1"/>
  <c r="K32" i="2"/>
  <c r="L32" i="2" s="1"/>
  <c r="M32" i="2" s="1"/>
  <c r="J35" i="2"/>
  <c r="K35" i="2" s="1"/>
  <c r="L35" i="2" s="1"/>
  <c r="M35" i="2" s="1"/>
  <c r="J38" i="2"/>
  <c r="K38" i="2" s="1"/>
  <c r="L38" i="2" s="1"/>
  <c r="K31" i="2"/>
  <c r="L31" i="2" s="1"/>
  <c r="K30" i="2"/>
  <c r="L30" i="2" s="1"/>
  <c r="M30" i="2" s="1"/>
  <c r="K34" i="2"/>
  <c r="L34" i="2" s="1"/>
  <c r="M34" i="2" s="1"/>
  <c r="K36" i="2"/>
  <c r="L36" i="2" s="1"/>
  <c r="M36" i="2" s="1"/>
  <c r="E2" i="1"/>
  <c r="E8" i="1"/>
  <c r="E9" i="1"/>
  <c r="E28" i="1"/>
  <c r="E24" i="1"/>
  <c r="E27" i="1"/>
  <c r="E26" i="1"/>
  <c r="N33" i="1"/>
  <c r="C40" i="3"/>
  <c r="D40" i="3"/>
  <c r="M33" i="1"/>
  <c r="D40" i="4"/>
  <c r="C10" i="4"/>
  <c r="C10" i="5" s="1"/>
  <c r="C40" i="5" s="1"/>
  <c r="D9" i="5"/>
  <c r="D40" i="5" s="1"/>
  <c r="H32" i="1" l="1"/>
  <c r="H5" i="1"/>
  <c r="L7" i="1"/>
  <c r="L30" i="5"/>
  <c r="L29" i="1"/>
  <c r="L14" i="1"/>
  <c r="L20" i="1"/>
  <c r="L5" i="1"/>
  <c r="L12" i="1"/>
  <c r="L16" i="1"/>
  <c r="L11" i="1"/>
  <c r="L21" i="1"/>
  <c r="H8" i="1"/>
  <c r="R29" i="3"/>
  <c r="R25" i="3"/>
  <c r="L9" i="5"/>
  <c r="L15" i="1"/>
  <c r="L31" i="1"/>
  <c r="L4" i="1"/>
  <c r="F30" i="1"/>
  <c r="F7" i="1"/>
  <c r="F25" i="1"/>
  <c r="L25" i="5"/>
  <c r="L32" i="1"/>
  <c r="L3" i="1"/>
  <c r="L28" i="1"/>
  <c r="L8" i="1"/>
  <c r="L22" i="1"/>
  <c r="L13" i="1"/>
  <c r="L26" i="5"/>
  <c r="F10" i="1"/>
  <c r="F17" i="1"/>
  <c r="M24" i="2"/>
  <c r="F18" i="1"/>
  <c r="F13" i="1"/>
  <c r="M19" i="2"/>
  <c r="F11" i="1"/>
  <c r="F8" i="1"/>
  <c r="I41" i="2"/>
  <c r="F24" i="1"/>
  <c r="H20" i="1"/>
  <c r="H6" i="1"/>
  <c r="H24" i="1"/>
  <c r="H21" i="1"/>
  <c r="R24" i="3"/>
  <c r="H4" i="1"/>
  <c r="H29" i="1"/>
  <c r="H23" i="1"/>
  <c r="H31" i="1"/>
  <c r="H2" i="1"/>
  <c r="H10" i="1"/>
  <c r="H12" i="1"/>
  <c r="H9" i="1"/>
  <c r="H3" i="1"/>
  <c r="H28" i="1"/>
  <c r="R37" i="3"/>
  <c r="L13" i="5"/>
  <c r="L37" i="5"/>
  <c r="L24" i="1"/>
  <c r="L27" i="1"/>
  <c r="F29" i="1"/>
  <c r="F3" i="1"/>
  <c r="F21" i="1"/>
  <c r="F28" i="1"/>
  <c r="F19" i="1"/>
  <c r="F15" i="1"/>
  <c r="F14" i="1"/>
  <c r="F5" i="1"/>
  <c r="F23" i="1"/>
  <c r="F27" i="1"/>
  <c r="R21" i="3"/>
  <c r="H26" i="1"/>
  <c r="H7" i="1"/>
  <c r="H11" i="1"/>
  <c r="H40" i="4"/>
  <c r="M23" i="2"/>
  <c r="F6" i="1"/>
  <c r="F9" i="1"/>
  <c r="F20" i="1"/>
  <c r="F16" i="1"/>
  <c r="M27" i="2"/>
  <c r="M31" i="2"/>
  <c r="M20" i="2"/>
  <c r="F31" i="1"/>
  <c r="F12" i="1"/>
  <c r="L39" i="2"/>
  <c r="M38" i="2"/>
  <c r="F32" i="1"/>
  <c r="F4" i="1"/>
  <c r="M28" i="2"/>
  <c r="E33" i="1"/>
  <c r="F26" i="1"/>
  <c r="F2" i="1"/>
  <c r="C40" i="4"/>
  <c r="R40" i="3" l="1"/>
  <c r="L33" i="1"/>
  <c r="L40" i="5"/>
  <c r="H33" i="1"/>
  <c r="M39" i="2"/>
  <c r="F33" i="1"/>
</calcChain>
</file>

<file path=xl/sharedStrings.xml><?xml version="1.0" encoding="utf-8"?>
<sst xmlns="http://schemas.openxmlformats.org/spreadsheetml/2006/main" count="116" uniqueCount="60">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</sst>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Fill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 applyBorder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Fill="1" applyBorder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6" xfId="2" applyNumberFormat="1" applyFont="1" applyFill="1" applyBorder="1" applyAlignment="1">
      <alignment horizontal="center" vertical="center" shrinkToFit="1"/>
    </xf>
    <xf numFmtId="170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vertical="center" shrinkToFit="1"/>
    </xf>
    <xf numFmtId="2" fontId="11" fillId="0" borderId="1" xfId="0" applyNumberFormat="1" applyFont="1" applyFill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 applyAlignme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3" fontId="11" fillId="0" borderId="7" xfId="1" applyNumberFormat="1" applyFont="1" applyFill="1" applyBorder="1" applyAlignment="1">
      <alignment horizontal="center" shrinkToFit="1"/>
    </xf>
    <xf numFmtId="167" fontId="11" fillId="0" borderId="8" xfId="1" applyNumberFormat="1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9" sqref="D9"/>
    </sheetView>
  </sheetViews>
  <sheetFormatPr defaultRowHeight="15" x14ac:dyDescent="0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x14ac:dyDescent="0.25">
      <c r="A2" s="6" t="s">
        <v>14</v>
      </c>
      <c r="B2" s="7">
        <v>1</v>
      </c>
      <c r="C2" s="8">
        <v>1</v>
      </c>
      <c r="D2" s="7">
        <v>2019</v>
      </c>
      <c r="E2" s="9">
        <f>Electricity!F8+Electricity!I8</f>
        <v>10839.999999999691</v>
      </c>
      <c r="F2" s="10">
        <f>Electricity!L8/TOTAL!E2</f>
        <v>1257.7886070110612</v>
      </c>
      <c r="G2" s="9">
        <f>Gas!F9+Gas!I9+Gas!L9+Gas!O9</f>
        <v>145.36199174690509</v>
      </c>
      <c r="H2" s="10">
        <f>Gas!Q9/TOTAL!G2</f>
        <v>15840.000000000004</v>
      </c>
      <c r="I2" s="9">
        <f>'Fuel Diesel'!F9</f>
        <v>230</v>
      </c>
      <c r="J2" s="11">
        <f>'Fuel Diesel'!G9/'Fuel Diesel'!F9</f>
        <v>10700</v>
      </c>
      <c r="K2" s="9">
        <f>Water!E9+Water!G9+Water!I9</f>
        <v>269</v>
      </c>
      <c r="L2" s="10">
        <f>Water!K9/TOTAL!K2</f>
        <v>6172.869888475836</v>
      </c>
      <c r="M2" s="9">
        <f>Electricity!C8</f>
        <v>52</v>
      </c>
      <c r="N2" s="9">
        <f>Electricity!D8</f>
        <v>267</v>
      </c>
    </row>
    <row r="3" spans="1:14" x14ac:dyDescent="0.25">
      <c r="A3" s="6" t="s">
        <v>14</v>
      </c>
      <c r="B3" s="7">
        <f>B2+1</f>
        <v>2</v>
      </c>
      <c r="C3" s="8">
        <v>1</v>
      </c>
      <c r="D3" s="7">
        <v>2019</v>
      </c>
      <c r="E3" s="9">
        <f>Electricity!F9+Electricity!I9</f>
        <v>9879.9999999991996</v>
      </c>
      <c r="F3" s="10">
        <f>Electricity!L9/TOTAL!E3</f>
        <v>1245.1153846154016</v>
      </c>
      <c r="G3" s="9">
        <f>Gas!F10+Gas!I10+Gas!L10+Gas!O10</f>
        <v>137.99610453920218</v>
      </c>
      <c r="H3" s="10">
        <f>Gas!Q10/TOTAL!G3</f>
        <v>15840.000000000002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271</v>
      </c>
      <c r="L3" s="10">
        <f>Water!K10/TOTAL!K3</f>
        <v>6086.1180811808117</v>
      </c>
      <c r="M3" s="9">
        <f>Electricity!C9</f>
        <v>56</v>
      </c>
      <c r="N3" s="9">
        <f>Electricity!D9</f>
        <v>253</v>
      </c>
    </row>
    <row r="4" spans="1:14" x14ac:dyDescent="0.25">
      <c r="A4" s="6" t="s">
        <v>14</v>
      </c>
      <c r="B4" s="7">
        <f t="shared" ref="B4:B30" si="0">B3+1</f>
        <v>3</v>
      </c>
      <c r="C4" s="8">
        <v>1</v>
      </c>
      <c r="D4" s="7">
        <v>2019</v>
      </c>
      <c r="E4" s="9">
        <f>Electricity!F10+Electricity!I10</f>
        <v>10320.000000000164</v>
      </c>
      <c r="F4" s="10">
        <f>Electricity!L10/TOTAL!E4</f>
        <v>1239.4894864341159</v>
      </c>
      <c r="G4" s="9">
        <f>Gas!F11+Gas!I11+Gas!L11+Gas!O11</f>
        <v>166.93351856946353</v>
      </c>
      <c r="H4" s="10">
        <f>Gas!Q11/TOTAL!G4</f>
        <v>15840.000000000002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248</v>
      </c>
      <c r="L4" s="10">
        <f>Water!K11/TOTAL!K4</f>
        <v>5931.8548387096771</v>
      </c>
      <c r="M4" s="9">
        <f>Electricity!C10</f>
        <v>52</v>
      </c>
      <c r="N4" s="9">
        <f>Electricity!D10</f>
        <v>308</v>
      </c>
    </row>
    <row r="5" spans="1:14" x14ac:dyDescent="0.25">
      <c r="A5" s="6" t="s">
        <v>14</v>
      </c>
      <c r="B5" s="7">
        <f t="shared" si="0"/>
        <v>4</v>
      </c>
      <c r="C5" s="8">
        <v>1</v>
      </c>
      <c r="D5" s="7">
        <v>2019</v>
      </c>
      <c r="E5" s="9">
        <f>Electricity!F11+Electricity!I11</f>
        <v>10360.000000000127</v>
      </c>
      <c r="F5" s="10">
        <f>Electricity!L11/TOTAL!E5</f>
        <v>1241.3006274131333</v>
      </c>
      <c r="G5" s="9">
        <f>Gas!F12+Gas!I12+Gas!L12+Gas!O12</f>
        <v>134.31316093535077</v>
      </c>
      <c r="H5" s="10">
        <f>Gas!Q12/TOTAL!G5</f>
        <v>15840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238</v>
      </c>
      <c r="L5" s="10">
        <f>Water!K12/TOTAL!K5</f>
        <v>6697.453781512605</v>
      </c>
      <c r="M5" s="9">
        <f>Electricity!C11</f>
        <v>45</v>
      </c>
      <c r="N5" s="9">
        <f>Electricity!D11</f>
        <v>246</v>
      </c>
    </row>
    <row r="6" spans="1:14" x14ac:dyDescent="0.25">
      <c r="A6" s="6" t="s">
        <v>14</v>
      </c>
      <c r="B6" s="7">
        <f t="shared" si="0"/>
        <v>5</v>
      </c>
      <c r="C6" s="8">
        <v>1</v>
      </c>
      <c r="D6" s="7">
        <v>2019</v>
      </c>
      <c r="E6" s="9">
        <f>Electricity!F12+Electricity!I12</f>
        <v>10699.999999999818</v>
      </c>
      <c r="F6" s="10">
        <f>Electricity!L12/TOTAL!E6</f>
        <v>1238.0515420560591</v>
      </c>
      <c r="G6" s="9">
        <f>Gas!F13+Gas!I13+Gas!L13+Gas!O13</f>
        <v>135.36543053645113</v>
      </c>
      <c r="H6" s="10">
        <f>Gas!Q13/TOTAL!G6</f>
        <v>15840.000000000005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257</v>
      </c>
      <c r="L6" s="10">
        <f>Water!K13/TOTAL!K6</f>
        <v>6348.8949416342411</v>
      </c>
      <c r="M6" s="9">
        <f>Electricity!C12</f>
        <v>47</v>
      </c>
      <c r="N6" s="9">
        <f>Electricity!D12</f>
        <v>248</v>
      </c>
    </row>
    <row r="7" spans="1:14" x14ac:dyDescent="0.25">
      <c r="A7" s="6" t="s">
        <v>14</v>
      </c>
      <c r="B7" s="7">
        <f t="shared" si="0"/>
        <v>6</v>
      </c>
      <c r="C7" s="8">
        <v>1</v>
      </c>
      <c r="D7" s="7">
        <v>2019</v>
      </c>
      <c r="E7" s="9">
        <f>Electricity!F13+Electricity!I13</f>
        <v>10340.00000000151</v>
      </c>
      <c r="F7" s="10">
        <f>Electricity!L13/TOTAL!E7</f>
        <v>1237.0920212765925</v>
      </c>
      <c r="G7" s="9">
        <f>Gas!F14+Gas!I14+Gas!L14+Gas!O14</f>
        <v>143.25745254470425</v>
      </c>
      <c r="H7" s="10">
        <f>Gas!Q14/TOTAL!G7</f>
        <v>15840.000000000004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271</v>
      </c>
      <c r="L7" s="10">
        <f>Water!K14/TOTAL!K7</f>
        <v>6333.623616236162</v>
      </c>
      <c r="M7" s="9">
        <f>Electricity!C13</f>
        <v>47</v>
      </c>
      <c r="N7" s="9">
        <f>Electricity!D13</f>
        <v>263</v>
      </c>
    </row>
    <row r="8" spans="1:14" x14ac:dyDescent="0.25">
      <c r="A8" s="6" t="s">
        <v>14</v>
      </c>
      <c r="B8" s="7">
        <f t="shared" si="0"/>
        <v>7</v>
      </c>
      <c r="C8" s="8">
        <v>1</v>
      </c>
      <c r="D8" s="7">
        <v>2019</v>
      </c>
      <c r="E8" s="9">
        <f>Electricity!F14+Electricity!I14</f>
        <v>9779.9999999983811</v>
      </c>
      <c r="F8" s="10">
        <f>Electricity!L14/TOTAL!E8</f>
        <v>1241.5412065439705</v>
      </c>
      <c r="G8" s="9">
        <f>Gas!F15+Gas!I15+Gas!L15+Gas!O15</f>
        <v>227.43902063273723</v>
      </c>
      <c r="H8" s="10">
        <f>Gas!Q15/TOTAL!G8</f>
        <v>15840.000000000002</v>
      </c>
      <c r="I8" s="9">
        <f>'Fuel Diesel'!F15</f>
        <v>0</v>
      </c>
      <c r="J8" s="11" t="e">
        <f>'Fuel Diesel'!G15/'Fuel Diesel'!F15</f>
        <v>#DIV/0!</v>
      </c>
      <c r="K8" s="9">
        <f>Water!E15+Water!G15+Water!I15</f>
        <v>265</v>
      </c>
      <c r="L8" s="10">
        <f>Water!K15/TOTAL!K8</f>
        <v>6241.8264150943396</v>
      </c>
      <c r="M8" s="9">
        <f>Electricity!C14</f>
        <v>51</v>
      </c>
      <c r="N8" s="9">
        <f>Electricity!D14</f>
        <v>423</v>
      </c>
    </row>
    <row r="9" spans="1:14" x14ac:dyDescent="0.25">
      <c r="A9" s="6" t="s">
        <v>14</v>
      </c>
      <c r="B9" s="7">
        <f t="shared" si="0"/>
        <v>8</v>
      </c>
      <c r="C9" s="8">
        <v>1</v>
      </c>
      <c r="D9" s="7">
        <v>2019</v>
      </c>
      <c r="E9" s="9">
        <f>Electricity!F15+Electricity!I15</f>
        <v>9920.0000000009823</v>
      </c>
      <c r="F9" s="10">
        <f>Electricity!L15/TOTAL!E9</f>
        <v>1242.3912298387099</v>
      </c>
      <c r="G9" s="9">
        <f>Gas!F16+Gas!I16+Gas!L16+Gas!O16</f>
        <v>158.51536176066023</v>
      </c>
      <c r="H9" s="10">
        <f>Gas!Q16/TOTAL!G9</f>
        <v>15840.000000000004</v>
      </c>
      <c r="I9" s="9">
        <f>'Fuel Diesel'!F16</f>
        <v>60</v>
      </c>
      <c r="J9" s="11">
        <f>'Fuel Diesel'!G16/'Fuel Diesel'!F16</f>
        <v>10700</v>
      </c>
      <c r="K9" s="9">
        <f>Water!E16+Water!G16+Water!I16</f>
        <v>307</v>
      </c>
      <c r="L9" s="10">
        <f>Water!K16/TOTAL!K9</f>
        <v>5685.4332247557004</v>
      </c>
      <c r="M9" s="9">
        <f>Electricity!C15</f>
        <v>46</v>
      </c>
      <c r="N9" s="9">
        <f>Electricity!D15</f>
        <v>292</v>
      </c>
    </row>
    <row r="10" spans="1:14" x14ac:dyDescent="0.25">
      <c r="A10" s="6" t="s">
        <v>14</v>
      </c>
      <c r="B10" s="7">
        <f t="shared" si="0"/>
        <v>9</v>
      </c>
      <c r="C10" s="8">
        <v>1</v>
      </c>
      <c r="D10" s="7">
        <v>2019</v>
      </c>
      <c r="E10" s="9">
        <f>Electricity!F16+Electricity!I16</f>
        <v>9899.9999999991815</v>
      </c>
      <c r="F10" s="10">
        <f>Electricity!L16/TOTAL!E10</f>
        <v>1240.2988888888835</v>
      </c>
      <c r="G10" s="9">
        <f>Gas!F17+Gas!I17+Gas!L17+Gas!O17</f>
        <v>145.88812654745527</v>
      </c>
      <c r="H10" s="10">
        <f>Gas!Q17/TOTAL!G10</f>
        <v>15840.000000000004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277</v>
      </c>
      <c r="L10" s="10">
        <f>Water!K17/TOTAL!K10</f>
        <v>6179.2996389891696</v>
      </c>
      <c r="M10" s="9">
        <f>Electricity!C16</f>
        <v>46</v>
      </c>
      <c r="N10" s="9">
        <f>Electricity!D16</f>
        <v>268</v>
      </c>
    </row>
    <row r="11" spans="1:14" x14ac:dyDescent="0.25">
      <c r="A11" s="6" t="s">
        <v>14</v>
      </c>
      <c r="B11" s="7">
        <f t="shared" si="0"/>
        <v>10</v>
      </c>
      <c r="C11" s="8">
        <v>1</v>
      </c>
      <c r="D11" s="7">
        <v>2019</v>
      </c>
      <c r="E11" s="9">
        <f>Electricity!F17+Electricity!I17</f>
        <v>10120.000000001255</v>
      </c>
      <c r="F11" s="10">
        <f>Electricity!L17/TOTAL!E11</f>
        <v>1241.4744565217359</v>
      </c>
      <c r="G11" s="9">
        <f>Gas!F18+Gas!I18+Gas!L18+Gas!O18</f>
        <v>163.25057496561206</v>
      </c>
      <c r="H11" s="10">
        <f>Gas!Q18/TOTAL!G11</f>
        <v>15840.000000000004</v>
      </c>
      <c r="I11" s="9">
        <f>'Fuel Diesel'!F18</f>
        <v>720</v>
      </c>
      <c r="J11" s="11">
        <f>'Fuel Diesel'!G18/'Fuel Diesel'!F18</f>
        <v>10700</v>
      </c>
      <c r="K11" s="9">
        <f>Water!E18+Water!G18+Water!I18</f>
        <v>332</v>
      </c>
      <c r="L11" s="10">
        <f>Water!K18/TOTAL!K11</f>
        <v>5616.2409638554218</v>
      </c>
      <c r="M11" s="9">
        <f>Electricity!C17</f>
        <v>42</v>
      </c>
      <c r="N11" s="9">
        <f>Electricity!D17</f>
        <v>301</v>
      </c>
    </row>
    <row r="12" spans="1:14" x14ac:dyDescent="0.25">
      <c r="A12" s="6" t="s">
        <v>14</v>
      </c>
      <c r="B12" s="7">
        <f t="shared" si="0"/>
        <v>11</v>
      </c>
      <c r="C12" s="8">
        <v>1</v>
      </c>
      <c r="D12" s="7">
        <v>2019</v>
      </c>
      <c r="E12" s="9">
        <f>Electricity!F18+Electricity!I18</f>
        <v>9960.0000000004911</v>
      </c>
      <c r="F12" s="10">
        <f>Electricity!L18/TOTAL!E12</f>
        <v>1240.8325803212917</v>
      </c>
      <c r="G12" s="9">
        <f>Gas!F19+Gas!I19+Gas!L19+Gas!O19</f>
        <v>137.99610453920218</v>
      </c>
      <c r="H12" s="10">
        <f>Gas!Q19/TOTAL!G12</f>
        <v>15840.000000000002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317</v>
      </c>
      <c r="L12" s="10">
        <f>Water!K19/TOTAL!K12</f>
        <v>5632.2649842271294</v>
      </c>
      <c r="M12" s="9">
        <f>Electricity!C18</f>
        <v>51</v>
      </c>
      <c r="N12" s="9">
        <f>Electricity!D18</f>
        <v>253</v>
      </c>
    </row>
    <row r="13" spans="1:14" x14ac:dyDescent="0.25">
      <c r="A13" s="6" t="s">
        <v>14</v>
      </c>
      <c r="B13" s="7">
        <f t="shared" si="0"/>
        <v>12</v>
      </c>
      <c r="C13" s="8">
        <v>1</v>
      </c>
      <c r="D13" s="7">
        <v>2019</v>
      </c>
      <c r="E13" s="9">
        <f>Electricity!F19+Electricity!I19</f>
        <v>9579.999999998563</v>
      </c>
      <c r="F13" s="10">
        <f>Electricity!L19/TOTAL!E13</f>
        <v>1246.058872651357</v>
      </c>
      <c r="G13" s="9">
        <f>Gas!F20+Gas!I20+Gas!L20+Gas!O20</f>
        <v>146.94039614855569</v>
      </c>
      <c r="H13" s="10">
        <f>Gas!Q20/TOTAL!G13</f>
        <v>15840.000000000004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273</v>
      </c>
      <c r="L13" s="10">
        <f>Water!K20/TOTAL!K13</f>
        <v>6386.7252747252751</v>
      </c>
      <c r="M13" s="9">
        <f>Electricity!C19</f>
        <v>51</v>
      </c>
      <c r="N13" s="9">
        <f>Electricity!D19</f>
        <v>270</v>
      </c>
    </row>
    <row r="14" spans="1:14" x14ac:dyDescent="0.25">
      <c r="A14" s="6" t="s">
        <v>14</v>
      </c>
      <c r="B14" s="7">
        <f t="shared" si="0"/>
        <v>13</v>
      </c>
      <c r="C14" s="8">
        <v>1</v>
      </c>
      <c r="D14" s="7">
        <v>2019</v>
      </c>
      <c r="E14" s="9">
        <f>Electricity!F20+Electricity!I20</f>
        <v>9540.0000000008731</v>
      </c>
      <c r="F14" s="10">
        <f>Electricity!L20/TOTAL!E14</f>
        <v>1244.1196016771523</v>
      </c>
      <c r="G14" s="9">
        <f>Gas!F21+Gas!I21+Gas!L21+Gas!O21</f>
        <v>173.24713617606599</v>
      </c>
      <c r="H14" s="10">
        <f>Gas!Q21/TOTAL!G14</f>
        <v>15840.000000000004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229</v>
      </c>
      <c r="L14" s="10">
        <f>Water!K21/TOTAL!K14</f>
        <v>6426.8820960698686</v>
      </c>
      <c r="M14" s="9">
        <f>Electricity!C20</f>
        <v>54</v>
      </c>
      <c r="N14" s="9">
        <f>Electricity!D20</f>
        <v>320</v>
      </c>
    </row>
    <row r="15" spans="1:14" x14ac:dyDescent="0.25">
      <c r="A15" s="6" t="s">
        <v>14</v>
      </c>
      <c r="B15" s="7">
        <f t="shared" si="0"/>
        <v>14</v>
      </c>
      <c r="C15" s="8">
        <v>1</v>
      </c>
      <c r="D15" s="7">
        <v>2019</v>
      </c>
      <c r="E15" s="9">
        <f>Electricity!F21+Electricity!I21</f>
        <v>9720.0000000002547</v>
      </c>
      <c r="F15" s="10">
        <f>Electricity!L21/TOTAL!E15</f>
        <v>1243.3457304526576</v>
      </c>
      <c r="G15" s="9">
        <f>Gas!F22+Gas!I22+Gas!L22+Gas!O22</f>
        <v>143.25745254470425</v>
      </c>
      <c r="H15" s="10">
        <f>Gas!Q22/TOTAL!G15</f>
        <v>15840.000000000004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233</v>
      </c>
      <c r="L15" s="10">
        <f>Water!K22/TOTAL!K15</f>
        <v>6590.8412017167384</v>
      </c>
      <c r="M15" s="9">
        <f>Electricity!C21</f>
        <v>49</v>
      </c>
      <c r="N15" s="9">
        <f>Electricity!D21</f>
        <v>263</v>
      </c>
    </row>
    <row r="16" spans="1:14" x14ac:dyDescent="0.25">
      <c r="A16" s="6" t="s">
        <v>14</v>
      </c>
      <c r="B16" s="7">
        <f t="shared" si="0"/>
        <v>15</v>
      </c>
      <c r="C16" s="8">
        <v>1</v>
      </c>
      <c r="D16" s="7">
        <v>2019</v>
      </c>
      <c r="E16" s="9">
        <f>Electricity!F22+Electricity!I22</f>
        <v>9299.9999999988177</v>
      </c>
      <c r="F16" s="10">
        <f>Electricity!L22/TOTAL!E16</f>
        <v>1243.1567204301373</v>
      </c>
      <c r="G16" s="9">
        <f>Gas!F23+Gas!I23+Gas!L23+Gas!O23</f>
        <v>158.51536176066023</v>
      </c>
      <c r="H16" s="10">
        <f>Gas!Q23/TOTAL!G16</f>
        <v>15840.000000000004</v>
      </c>
      <c r="I16" s="9">
        <f>'Fuel Diesel'!F23</f>
        <v>60</v>
      </c>
      <c r="J16" s="11">
        <f>'Fuel Diesel'!G23/'Fuel Diesel'!F23</f>
        <v>10700</v>
      </c>
      <c r="K16" s="9">
        <f>Water!E23+Water!G23+Water!I23</f>
        <v>213</v>
      </c>
      <c r="L16" s="10">
        <f>Water!K23/TOTAL!K16</f>
        <v>6789.1267605633802</v>
      </c>
      <c r="M16" s="9">
        <f>Electricity!C22</f>
        <v>45</v>
      </c>
      <c r="N16" s="9">
        <f>Electricity!D22</f>
        <v>292</v>
      </c>
    </row>
    <row r="17" spans="1:14" x14ac:dyDescent="0.25">
      <c r="A17" s="6" t="s">
        <v>14</v>
      </c>
      <c r="B17" s="7">
        <f t="shared" si="0"/>
        <v>16</v>
      </c>
      <c r="C17" s="8">
        <v>1</v>
      </c>
      <c r="D17" s="7">
        <v>2019</v>
      </c>
      <c r="E17" s="9">
        <f>Electricity!F23+Electricity!I23</f>
        <v>9580.0000000008367</v>
      </c>
      <c r="F17" s="10">
        <f>Electricity!L23/TOTAL!E17</f>
        <v>1235.3579853862066</v>
      </c>
      <c r="G17" s="9">
        <f>Gas!F24+Gas!I24+Gas!L24+Gas!O24</f>
        <v>132.77383493810177</v>
      </c>
      <c r="H17" s="10">
        <f>Gas!Q24/TOTAL!G17</f>
        <v>15840.000000000002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204</v>
      </c>
      <c r="L17" s="10">
        <f>Water!K24/TOTAL!K17</f>
        <v>7053.088235294118</v>
      </c>
      <c r="M17" s="9">
        <f>Electricity!C23</f>
        <v>45</v>
      </c>
      <c r="N17" s="9">
        <f>Electricity!D23</f>
        <v>251</v>
      </c>
    </row>
    <row r="18" spans="1:14" x14ac:dyDescent="0.25">
      <c r="A18" s="6" t="s">
        <v>14</v>
      </c>
      <c r="B18" s="7">
        <f t="shared" si="0"/>
        <v>17</v>
      </c>
      <c r="C18" s="8">
        <v>1</v>
      </c>
      <c r="D18" s="7">
        <v>2019</v>
      </c>
      <c r="E18" s="9">
        <f>Electricity!F24+Electricity!I24</f>
        <v>9400.0000000005457</v>
      </c>
      <c r="F18" s="10">
        <f>Electricity!L24/TOTAL!E18</f>
        <v>1248.1079787234091</v>
      </c>
      <c r="G18" s="9">
        <f>Gas!F25+Gas!I25+Gas!L25+Gas!O25</f>
        <v>159.04149656121044</v>
      </c>
      <c r="H18" s="10">
        <f>Gas!Q25/TOTAL!G18</f>
        <v>15840.000000000004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175</v>
      </c>
      <c r="L18" s="10">
        <f>Water!K25/TOTAL!K18</f>
        <v>7449.52</v>
      </c>
      <c r="M18" s="9">
        <f>Electricity!C24</f>
        <v>47</v>
      </c>
      <c r="N18" s="9">
        <f>Electricity!D24</f>
        <v>293</v>
      </c>
    </row>
    <row r="19" spans="1:14" x14ac:dyDescent="0.25">
      <c r="A19" s="6" t="s">
        <v>14</v>
      </c>
      <c r="B19" s="7">
        <f t="shared" si="0"/>
        <v>18</v>
      </c>
      <c r="C19" s="8">
        <v>1</v>
      </c>
      <c r="D19" s="7">
        <v>2019</v>
      </c>
      <c r="E19" s="9">
        <f>Electricity!F25+Electricity!I25</f>
        <v>9439.9999999986903</v>
      </c>
      <c r="F19" s="10">
        <f>Electricity!L25/TOTAL!E19</f>
        <v>1234.3730402542465</v>
      </c>
      <c r="G19" s="9">
        <f>Gas!F26+Gas!I26+Gas!L26+Gas!O26</f>
        <v>142.73131774415404</v>
      </c>
      <c r="H19" s="10">
        <f>Gas!Q26/TOTAL!G19</f>
        <v>15840.000000000004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262</v>
      </c>
      <c r="L19" s="10">
        <f>Water!K26/TOTAL!K19</f>
        <v>6267.4961832061072</v>
      </c>
      <c r="M19" s="9">
        <f>Electricity!C25</f>
        <v>41</v>
      </c>
      <c r="N19" s="9">
        <f>Electricity!D25</f>
        <v>262</v>
      </c>
    </row>
    <row r="20" spans="1:14" x14ac:dyDescent="0.25">
      <c r="A20" s="6" t="s">
        <v>14</v>
      </c>
      <c r="B20" s="7">
        <f t="shared" si="0"/>
        <v>19</v>
      </c>
      <c r="C20" s="8">
        <v>1</v>
      </c>
      <c r="D20" s="7">
        <v>2019</v>
      </c>
      <c r="E20" s="9">
        <f>Electricity!F26+Electricity!I26</f>
        <v>9820.0000000001637</v>
      </c>
      <c r="F20" s="10">
        <f>Electricity!L26/TOTAL!E20</f>
        <v>1238.8038696537546</v>
      </c>
      <c r="G20" s="9">
        <f>Gas!F27+Gas!I27+Gas!L27+Gas!O27</f>
        <v>128.52567812929851</v>
      </c>
      <c r="H20" s="10">
        <f>Gas!Q27/TOTAL!G20</f>
        <v>15840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180</v>
      </c>
      <c r="L20" s="10">
        <f>Water!K27/TOTAL!K20</f>
        <v>7460.166666666667</v>
      </c>
      <c r="M20" s="9">
        <f>Electricity!C26</f>
        <v>43</v>
      </c>
      <c r="N20" s="9">
        <f>Electricity!D26</f>
        <v>235</v>
      </c>
    </row>
    <row r="21" spans="1:14" x14ac:dyDescent="0.25">
      <c r="A21" s="6" t="s">
        <v>14</v>
      </c>
      <c r="B21" s="7">
        <f t="shared" si="0"/>
        <v>20</v>
      </c>
      <c r="C21" s="8">
        <v>1</v>
      </c>
      <c r="D21" s="7">
        <v>2019</v>
      </c>
      <c r="E21" s="9">
        <f>Electricity!F27+Electricity!I27</f>
        <v>8740.0000000002365</v>
      </c>
      <c r="F21" s="10">
        <f>Electricity!L27/TOTAL!E21</f>
        <v>1257.6467391304423</v>
      </c>
      <c r="G21" s="9">
        <f>Gas!F28+Gas!I28+Gas!L28+Gas!O28</f>
        <v>125.36886932599725</v>
      </c>
      <c r="H21" s="10">
        <f>Gas!Q28/TOTAL!G21</f>
        <v>15840.000000000002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169</v>
      </c>
      <c r="L21" s="10">
        <f>Water!K28/TOTAL!K21</f>
        <v>8195.6686390532541</v>
      </c>
      <c r="M21" s="9">
        <f>Electricity!C27</f>
        <v>38</v>
      </c>
      <c r="N21" s="9">
        <f>Electricity!D27</f>
        <v>229</v>
      </c>
    </row>
    <row r="22" spans="1:14" x14ac:dyDescent="0.25">
      <c r="A22" s="6" t="s">
        <v>14</v>
      </c>
      <c r="B22" s="7">
        <f t="shared" si="0"/>
        <v>21</v>
      </c>
      <c r="C22" s="8">
        <v>1</v>
      </c>
      <c r="D22" s="7">
        <v>2019</v>
      </c>
      <c r="E22" s="9">
        <f>Electricity!F28+Electricity!I28</f>
        <v>9359.9999999996726</v>
      </c>
      <c r="F22" s="10">
        <f>Electricity!L28/TOTAL!E22</f>
        <v>1242.4893696581121</v>
      </c>
      <c r="G22" s="9">
        <f>Gas!F29+Gas!I29+Gas!L29+Gas!O29</f>
        <v>122.21206052269601</v>
      </c>
      <c r="H22" s="10">
        <f>Gas!Q29/TOTAL!G22</f>
        <v>15840.000000000002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212</v>
      </c>
      <c r="L22" s="10">
        <f>Water!K29/TOTAL!K22</f>
        <v>7254.2641509433961</v>
      </c>
      <c r="M22" s="9">
        <f>Electricity!C28</f>
        <v>45</v>
      </c>
      <c r="N22" s="9">
        <f>Electricity!D28</f>
        <v>223</v>
      </c>
    </row>
    <row r="23" spans="1:14" x14ac:dyDescent="0.25">
      <c r="A23" s="6" t="s">
        <v>14</v>
      </c>
      <c r="B23" s="7">
        <f t="shared" si="0"/>
        <v>22</v>
      </c>
      <c r="C23" s="8">
        <v>1</v>
      </c>
      <c r="D23" s="7">
        <v>2019</v>
      </c>
      <c r="E23" s="9">
        <f>Electricity!F29+Electricity!I29</f>
        <v>9000.0000000004547</v>
      </c>
      <c r="F23" s="10">
        <f>Electricity!L29/TOTAL!E23</f>
        <v>1254.2206111111157</v>
      </c>
      <c r="G23" s="9">
        <f>Gas!F30+Gas!I30+Gas!L30+Gas!O30</f>
        <v>163.25057496561206</v>
      </c>
      <c r="H23" s="10">
        <f>Gas!Q30/TOTAL!G23</f>
        <v>15840.000000000004</v>
      </c>
      <c r="I23" s="9">
        <f>'Fuel Diesel'!F30</f>
        <v>60</v>
      </c>
      <c r="J23" s="11">
        <f>'Fuel Diesel'!G30/'Fuel Diesel'!F30</f>
        <v>10700</v>
      </c>
      <c r="K23" s="9">
        <f>Water!E30+Water!G30+Water!I30</f>
        <v>213</v>
      </c>
      <c r="L23" s="10">
        <f>Water!K30/TOTAL!K23</f>
        <v>6879.0985915492956</v>
      </c>
      <c r="M23" s="9">
        <f>Electricity!C29</f>
        <v>52</v>
      </c>
      <c r="N23" s="9">
        <f>Electricity!D29</f>
        <v>301</v>
      </c>
    </row>
    <row r="24" spans="1:14" x14ac:dyDescent="0.25">
      <c r="A24" s="6" t="s">
        <v>14</v>
      </c>
      <c r="B24" s="7">
        <f t="shared" si="0"/>
        <v>23</v>
      </c>
      <c r="C24" s="8">
        <v>1</v>
      </c>
      <c r="D24" s="7">
        <v>2019</v>
      </c>
      <c r="E24" s="9">
        <f>Electricity!F30+Electricity!I30</f>
        <v>9140.0000000003274</v>
      </c>
      <c r="F24" s="10">
        <f>Electricity!L30/TOTAL!E24</f>
        <v>1256.1951859956264</v>
      </c>
      <c r="G24" s="9">
        <f>Gas!F31+Gas!I31+Gas!L31+Gas!O31</f>
        <v>162.72444016506188</v>
      </c>
      <c r="H24" s="10">
        <f>Gas!Q31/TOTAL!G24</f>
        <v>15840.000000000004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201</v>
      </c>
      <c r="L24" s="10">
        <f>Water!K31/TOTAL!K24</f>
        <v>6574.2686567164183</v>
      </c>
      <c r="M24" s="9">
        <f>Electricity!C30</f>
        <v>56</v>
      </c>
      <c r="N24" s="9">
        <f>Electricity!D30</f>
        <v>300</v>
      </c>
    </row>
    <row r="25" spans="1:14" x14ac:dyDescent="0.25">
      <c r="A25" s="6" t="s">
        <v>14</v>
      </c>
      <c r="B25" s="7">
        <f t="shared" si="0"/>
        <v>24</v>
      </c>
      <c r="C25" s="8">
        <v>1</v>
      </c>
      <c r="D25" s="7">
        <v>2019</v>
      </c>
      <c r="E25" s="9">
        <f>Electricity!F31+Electricity!I31</f>
        <v>9119.9999999998909</v>
      </c>
      <c r="F25" s="10">
        <f>Electricity!L31/TOTAL!E25</f>
        <v>1250.2072916666523</v>
      </c>
      <c r="G25" s="9">
        <f>Gas!F32+Gas!I32+Gas!L32+Gas!O32</f>
        <v>191.13571939477302</v>
      </c>
      <c r="H25" s="10">
        <f>Gas!Q32/TOTAL!G25</f>
        <v>15840.000000000004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220</v>
      </c>
      <c r="L25" s="10">
        <f>Water!K32/TOTAL!K25</f>
        <v>6700.3818181818178</v>
      </c>
      <c r="M25" s="9">
        <f>Electricity!C31</f>
        <v>58</v>
      </c>
      <c r="N25" s="9">
        <f>Electricity!D31</f>
        <v>354</v>
      </c>
    </row>
    <row r="26" spans="1:14" x14ac:dyDescent="0.25">
      <c r="A26" s="6" t="s">
        <v>14</v>
      </c>
      <c r="B26" s="7">
        <f>B25+1</f>
        <v>25</v>
      </c>
      <c r="C26" s="8">
        <v>1</v>
      </c>
      <c r="D26" s="7">
        <v>2019</v>
      </c>
      <c r="E26" s="9">
        <f>Electricity!F32+Electricity!I32</f>
        <v>9579.9999999994725</v>
      </c>
      <c r="F26" s="10">
        <f>Electricity!L32/TOTAL!E26</f>
        <v>1244.8698851774709</v>
      </c>
      <c r="G26" s="9">
        <f>Gas!F33+Gas!I33+Gas!L33+Gas!O33</f>
        <v>164.30284456671254</v>
      </c>
      <c r="H26" s="10">
        <f>Gas!Q33/TOTAL!G26</f>
        <v>15840.000000000004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206</v>
      </c>
      <c r="L26" s="10">
        <f>Water!K33/TOTAL!K26</f>
        <v>6418.7572815533977</v>
      </c>
      <c r="M26" s="9">
        <f>Electricity!C32</f>
        <v>55</v>
      </c>
      <c r="N26" s="9">
        <f>Electricity!D32</f>
        <v>303</v>
      </c>
    </row>
    <row r="27" spans="1:14" x14ac:dyDescent="0.25">
      <c r="A27" s="6" t="s">
        <v>14</v>
      </c>
      <c r="B27" s="7">
        <f t="shared" si="0"/>
        <v>26</v>
      </c>
      <c r="C27" s="8">
        <v>1</v>
      </c>
      <c r="D27" s="7">
        <v>2019</v>
      </c>
      <c r="E27" s="9">
        <f>Electricity!F33+Electricity!I33</f>
        <v>8520.0000000008913</v>
      </c>
      <c r="F27" s="10">
        <f>Electricity!L33/TOTAL!E27</f>
        <v>1259.3721830985608</v>
      </c>
      <c r="G27" s="9">
        <f>Gas!F34+Gas!I34+Gas!L34+Gas!O34</f>
        <v>153.25401375515816</v>
      </c>
      <c r="H27" s="10">
        <f>Gas!Q34/TOTAL!G27</f>
        <v>15840.000000000005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219</v>
      </c>
      <c r="L27" s="10">
        <f>Water!K34/TOTAL!K27</f>
        <v>6318.9315068493152</v>
      </c>
      <c r="M27" s="9">
        <f>Electricity!C33</f>
        <v>49</v>
      </c>
      <c r="N27" s="9">
        <f>Electricity!D33</f>
        <v>282</v>
      </c>
    </row>
    <row r="28" spans="1:14" x14ac:dyDescent="0.25">
      <c r="A28" s="6" t="s">
        <v>14</v>
      </c>
      <c r="B28" s="7">
        <f t="shared" si="0"/>
        <v>27</v>
      </c>
      <c r="C28" s="8">
        <v>1</v>
      </c>
      <c r="D28" s="7">
        <v>2019</v>
      </c>
      <c r="E28" s="9">
        <f>Electricity!F34+Electricity!I34</f>
        <v>8599.9999999999091</v>
      </c>
      <c r="F28" s="10">
        <f>Electricity!L34/TOTAL!E28</f>
        <v>1256.9284302325727</v>
      </c>
      <c r="G28" s="9">
        <f>Gas!F35+Gas!I35+Gas!L35+Gas!O35</f>
        <v>151.14947455295734</v>
      </c>
      <c r="H28" s="10">
        <f>Gas!Q35/TOTAL!G28</f>
        <v>15840.000000000002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229</v>
      </c>
      <c r="L28" s="10">
        <f>Water!K35/TOTAL!K28</f>
        <v>6510.5676855895199</v>
      </c>
      <c r="M28" s="9">
        <f>Electricity!C34</f>
        <v>45</v>
      </c>
      <c r="N28" s="9">
        <f>Electricity!D34</f>
        <v>278</v>
      </c>
    </row>
    <row r="29" spans="1:14" x14ac:dyDescent="0.25">
      <c r="A29" s="6" t="s">
        <v>14</v>
      </c>
      <c r="B29" s="7">
        <f t="shared" si="0"/>
        <v>28</v>
      </c>
      <c r="C29" s="8">
        <v>1</v>
      </c>
      <c r="D29" s="7">
        <v>2019</v>
      </c>
      <c r="E29" s="9">
        <f>Electricity!F35+Electricity!I35</f>
        <v>8839.999999999236</v>
      </c>
      <c r="F29" s="10">
        <f>Electricity!L35/TOTAL!E29</f>
        <v>1253.7281108597222</v>
      </c>
      <c r="G29" s="9">
        <f>Gas!F36+Gas!I36+Gas!L36+Gas!O36</f>
        <v>150.09720495185692</v>
      </c>
      <c r="H29" s="10">
        <f>Gas!Q36/TOTAL!G29</f>
        <v>15840.000000000002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232</v>
      </c>
      <c r="L29" s="10">
        <f>Water!K36/TOTAL!K29</f>
        <v>6106.3879310344828</v>
      </c>
      <c r="M29" s="9">
        <f>Electricity!C35</f>
        <v>44</v>
      </c>
      <c r="N29" s="9">
        <f>Electricity!D35</f>
        <v>276</v>
      </c>
    </row>
    <row r="30" spans="1:14" x14ac:dyDescent="0.25">
      <c r="A30" s="6" t="s">
        <v>14</v>
      </c>
      <c r="B30" s="7">
        <f t="shared" si="0"/>
        <v>29</v>
      </c>
      <c r="C30" s="8">
        <v>1</v>
      </c>
      <c r="D30" s="7">
        <v>2019</v>
      </c>
      <c r="E30" s="9">
        <f>Electricity!F36+Electricity!I36</f>
        <v>8500.0000000004547</v>
      </c>
      <c r="F30" s="10">
        <f>Electricity!L36/TOTAL!E30</f>
        <v>1250.274882352956</v>
      </c>
      <c r="G30" s="9">
        <f>Gas!F37+Gas!I37+Gas!L37+Gas!O37</f>
        <v>137.469969738652</v>
      </c>
      <c r="H30" s="10">
        <f>Gas!Q37/TOTAL!G30</f>
        <v>15840.000000000002</v>
      </c>
      <c r="I30" s="9">
        <f>'Fuel Diesel'!F37</f>
        <v>60</v>
      </c>
      <c r="J30" s="11">
        <f>'Fuel Diesel'!G37/'Fuel Diesel'!F37</f>
        <v>10700</v>
      </c>
      <c r="K30" s="9">
        <f>Water!E37+Water!G37+Water!I37</f>
        <v>213</v>
      </c>
      <c r="L30" s="10">
        <f>Water!K37/TOTAL!K30</f>
        <v>6249.2957746478869</v>
      </c>
      <c r="M30" s="9">
        <f>Electricity!C36</f>
        <v>42</v>
      </c>
      <c r="N30" s="9">
        <f>Electricity!D36</f>
        <v>252</v>
      </c>
    </row>
    <row r="31" spans="1:14" x14ac:dyDescent="0.25">
      <c r="A31" s="6" t="s">
        <v>14</v>
      </c>
      <c r="B31" s="7">
        <v>30</v>
      </c>
      <c r="C31" s="8">
        <v>1</v>
      </c>
      <c r="D31" s="7">
        <v>2019</v>
      </c>
      <c r="E31" s="9">
        <f>Electricity!F37+Electricity!I37</f>
        <v>8399.9999999987267</v>
      </c>
      <c r="F31" s="10">
        <f>Electricity!L37/TOTAL!E31</f>
        <v>1254.3110119047674</v>
      </c>
      <c r="G31" s="9">
        <f>Gas!F38+Gas!I38+Gas!L38+Gas!O38</f>
        <v>158.51536176066023</v>
      </c>
      <c r="H31" s="10">
        <f>Gas!Q38/TOTAL!G31</f>
        <v>15840.000000000004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231</v>
      </c>
      <c r="L31" s="10">
        <f>Water!K38/TOTAL!K31</f>
        <v>6696.2337662337659</v>
      </c>
      <c r="M31" s="9">
        <f>Electricity!C37</f>
        <v>50</v>
      </c>
      <c r="N31" s="9">
        <f>Electricity!D37</f>
        <v>292</v>
      </c>
    </row>
    <row r="32" spans="1:14" x14ac:dyDescent="0.25">
      <c r="A32" s="6" t="s">
        <v>14</v>
      </c>
      <c r="B32" s="7">
        <v>31</v>
      </c>
      <c r="C32" s="8">
        <v>1</v>
      </c>
      <c r="D32" s="7">
        <v>2019</v>
      </c>
      <c r="E32" s="9">
        <f>Electricity!F38+Electricity!I38</f>
        <v>9720.0000000002547</v>
      </c>
      <c r="F32" s="10">
        <f>Electricity!L38/TOTAL!E32</f>
        <v>1249.2050411522671</v>
      </c>
      <c r="G32" s="9">
        <f>Gas!F39+Gas!I39+Gas!L39+Gas!O39</f>
        <v>170.90081348005501</v>
      </c>
      <c r="H32" s="10">
        <f>Gas!Q39/TOTAL!G32</f>
        <v>15840.000000000002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242</v>
      </c>
      <c r="L32" s="10">
        <f>Water!K39/TOTAL!K32</f>
        <v>6771.6528925619832</v>
      </c>
      <c r="M32" s="9">
        <f>Electricity!C38</f>
        <v>55</v>
      </c>
      <c r="N32" s="9">
        <f>Electricity!D38</f>
        <v>326</v>
      </c>
    </row>
    <row r="33" spans="5:14" x14ac:dyDescent="0.25">
      <c r="E33" s="86">
        <f>SUM(E2:E32)</f>
        <v>296019.99999999907</v>
      </c>
      <c r="F33" s="86">
        <f>SUM(F2:F32)/31</f>
        <v>1246.0693087900047</v>
      </c>
      <c r="G33" s="86">
        <f>SUM(G2:G32)</f>
        <v>4731.7308685006874</v>
      </c>
      <c r="H33" s="96">
        <f>SUM(H2:H32)/31</f>
        <v>15840.000000000002</v>
      </c>
      <c r="I33" s="86">
        <f>SUM(I2:I32)</f>
        <v>1190</v>
      </c>
      <c r="J33" s="96" t="e">
        <f>J26</f>
        <v>#DIV/0!</v>
      </c>
      <c r="K33" s="86">
        <f>SUM(K2:K32)</f>
        <v>7408</v>
      </c>
      <c r="L33" s="96">
        <f>SUM(L2:L32)/31</f>
        <v>6516.9430802525076</v>
      </c>
      <c r="M33" s="86">
        <f t="shared" ref="M33:N33" si="1">SUM(M2:M32)</f>
        <v>1499</v>
      </c>
      <c r="N33" s="86">
        <f t="shared" si="1"/>
        <v>8724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workbookViewId="0">
      <selection activeCell="H8" sqref="H8:H38"/>
    </sheetView>
  </sheetViews>
  <sheetFormatPr defaultRowHeight="15" x14ac:dyDescent="0.25"/>
  <cols>
    <col min="1" max="1" width="2.5703125" style="12" customWidth="1"/>
    <col min="2" max="2" width="5.85546875" customWidth="1"/>
    <col min="3" max="3" width="6.5703125" customWidth="1"/>
    <col min="4" max="4" width="7.5703125" style="21" customWidth="1"/>
    <col min="5" max="5" width="9.42578125" style="33" customWidth="1"/>
    <col min="6" max="6" width="11.28515625" style="33" customWidth="1"/>
    <col min="7" max="7" width="16.5703125" style="33" customWidth="1"/>
    <col min="8" max="8" width="10.28515625" style="33" customWidth="1"/>
    <col min="9" max="9" width="11.140625" style="33" customWidth="1"/>
    <col min="10" max="10" width="16.7109375" style="33" customWidth="1"/>
    <col min="11" max="11" width="16.28515625" style="33" customWidth="1"/>
    <col min="12" max="12" width="18" customWidth="1"/>
    <col min="13" max="13" width="16.7109375" customWidth="1"/>
    <col min="14" max="14" width="2.5703125" style="12" customWidth="1"/>
    <col min="16" max="16" width="16.7109375" customWidth="1"/>
  </cols>
  <sheetData>
    <row r="1" spans="1:14" ht="15.75" x14ac:dyDescent="0.25">
      <c r="B1" s="100" t="s">
        <v>15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3"/>
      <c r="N1" s="14"/>
    </row>
    <row r="2" spans="1:14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3"/>
      <c r="N2" s="14"/>
    </row>
    <row r="3" spans="1:14" x14ac:dyDescent="0.25">
      <c r="B3" s="15"/>
      <c r="C3" s="16"/>
      <c r="D3" s="17"/>
      <c r="E3" s="16"/>
      <c r="F3" s="16"/>
      <c r="G3" s="16"/>
      <c r="H3" s="16"/>
      <c r="I3" s="16"/>
      <c r="J3" s="16"/>
      <c r="K3" s="16"/>
      <c r="L3" s="16"/>
      <c r="M3" s="13"/>
      <c r="N3" s="14"/>
    </row>
    <row r="4" spans="1:14" x14ac:dyDescent="0.25">
      <c r="A4" s="18"/>
      <c r="B4" s="101">
        <v>43647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8"/>
    </row>
    <row r="5" spans="1:14" x14ac:dyDescent="0.25">
      <c r="A5" s="19"/>
      <c r="B5" s="99" t="s">
        <v>17</v>
      </c>
      <c r="C5" s="99" t="s">
        <v>18</v>
      </c>
      <c r="D5" s="99" t="s">
        <v>13</v>
      </c>
      <c r="E5" s="102" t="s">
        <v>19</v>
      </c>
      <c r="F5" s="102"/>
      <c r="G5" s="102"/>
      <c r="H5" s="103" t="s">
        <v>20</v>
      </c>
      <c r="I5" s="103"/>
      <c r="J5" s="103"/>
      <c r="K5" s="99" t="s">
        <v>21</v>
      </c>
      <c r="L5" s="99" t="s">
        <v>22</v>
      </c>
      <c r="M5" s="99" t="s">
        <v>23</v>
      </c>
      <c r="N5" s="20"/>
    </row>
    <row r="6" spans="1:14" s="21" customFormat="1" x14ac:dyDescent="0.25">
      <c r="A6" s="19"/>
      <c r="B6" s="99"/>
      <c r="C6" s="99"/>
      <c r="D6" s="99"/>
      <c r="E6" s="99" t="s">
        <v>24</v>
      </c>
      <c r="F6" s="99" t="s">
        <v>25</v>
      </c>
      <c r="G6" s="99" t="s">
        <v>26</v>
      </c>
      <c r="H6" s="99" t="s">
        <v>24</v>
      </c>
      <c r="I6" s="99" t="s">
        <v>25</v>
      </c>
      <c r="J6" s="99" t="s">
        <v>27</v>
      </c>
      <c r="K6" s="99"/>
      <c r="L6" s="99"/>
      <c r="M6" s="99"/>
      <c r="N6" s="20"/>
    </row>
    <row r="7" spans="1:14" x14ac:dyDescent="0.25">
      <c r="A7" s="22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23"/>
    </row>
    <row r="8" spans="1:14" x14ac:dyDescent="0.25">
      <c r="A8" s="22"/>
      <c r="B8" s="24">
        <v>1</v>
      </c>
      <c r="C8" s="25">
        <v>52</v>
      </c>
      <c r="D8" s="25">
        <v>267</v>
      </c>
      <c r="E8" s="26">
        <v>4.2899999999999636</v>
      </c>
      <c r="F8" s="27">
        <f t="shared" ref="F8:F38" si="0">E8*2000</f>
        <v>8579.9999999999272</v>
      </c>
      <c r="G8" s="28">
        <f t="shared" ref="G8:G38" si="1">F8*1035.5</f>
        <v>8884589.9999999255</v>
      </c>
      <c r="H8" s="26">
        <v>1.1299999999998818</v>
      </c>
      <c r="I8" s="27">
        <f t="shared" ref="I8:I38" si="2">H8*2000</f>
        <v>2259.9999999997635</v>
      </c>
      <c r="J8" s="28">
        <f t="shared" ref="J8:J38" si="3">I8*1553.25</f>
        <v>3510344.9999996326</v>
      </c>
      <c r="K8" s="26">
        <f t="shared" ref="K8:K38" si="4">G8+J8</f>
        <v>12394934.999999559</v>
      </c>
      <c r="L8" s="29">
        <f t="shared" ref="L8:L38" si="5">K8*1.1</f>
        <v>13634428.499999516</v>
      </c>
      <c r="M8" s="30">
        <f>L8/14381</f>
        <v>948.08625964811324</v>
      </c>
      <c r="N8" s="31"/>
    </row>
    <row r="9" spans="1:14" x14ac:dyDescent="0.25">
      <c r="A9" s="22"/>
      <c r="B9" s="24">
        <v>2</v>
      </c>
      <c r="C9" s="25">
        <v>56</v>
      </c>
      <c r="D9" s="25">
        <v>253</v>
      </c>
      <c r="E9" s="26">
        <v>4.0199999999995271</v>
      </c>
      <c r="F9" s="27">
        <f t="shared" si="0"/>
        <v>8039.9999999990541</v>
      </c>
      <c r="G9" s="28">
        <f t="shared" si="1"/>
        <v>8325419.9999990202</v>
      </c>
      <c r="H9" s="26">
        <v>0.92000000000007276</v>
      </c>
      <c r="I9" s="27">
        <f t="shared" si="2"/>
        <v>1840.0000000001455</v>
      </c>
      <c r="J9" s="28">
        <f t="shared" si="3"/>
        <v>2857980.0000002258</v>
      </c>
      <c r="K9" s="26">
        <f t="shared" si="4"/>
        <v>11183399.999999246</v>
      </c>
      <c r="L9" s="29">
        <f t="shared" si="5"/>
        <v>12301739.999999171</v>
      </c>
      <c r="M9" s="30">
        <f t="shared" ref="M9:M38" si="6">L9/14381</f>
        <v>855.41617411857112</v>
      </c>
      <c r="N9" s="31"/>
    </row>
    <row r="10" spans="1:14" x14ac:dyDescent="0.25">
      <c r="A10" s="22"/>
      <c r="B10" s="24">
        <v>3</v>
      </c>
      <c r="C10" s="25">
        <v>52</v>
      </c>
      <c r="D10" s="25">
        <v>308</v>
      </c>
      <c r="E10" s="26">
        <v>4.25</v>
      </c>
      <c r="F10" s="27">
        <f t="shared" si="0"/>
        <v>8500</v>
      </c>
      <c r="G10" s="28">
        <f t="shared" si="1"/>
        <v>8801750</v>
      </c>
      <c r="H10" s="26">
        <v>0.91000000000008185</v>
      </c>
      <c r="I10" s="27">
        <f t="shared" si="2"/>
        <v>1820.0000000001637</v>
      </c>
      <c r="J10" s="28">
        <f t="shared" si="3"/>
        <v>2826915.0000002543</v>
      </c>
      <c r="K10" s="26">
        <f t="shared" si="4"/>
        <v>11628665.000000253</v>
      </c>
      <c r="L10" s="29">
        <f t="shared" si="5"/>
        <v>12791531.500000279</v>
      </c>
      <c r="M10" s="30">
        <f t="shared" si="6"/>
        <v>889.47441068077876</v>
      </c>
      <c r="N10" s="31"/>
    </row>
    <row r="11" spans="1:14" x14ac:dyDescent="0.25">
      <c r="A11" s="22"/>
      <c r="B11" s="24">
        <v>4</v>
      </c>
      <c r="C11" s="25">
        <v>45</v>
      </c>
      <c r="D11" s="25">
        <v>246</v>
      </c>
      <c r="E11" s="26">
        <v>4.25</v>
      </c>
      <c r="F11" s="27">
        <f t="shared" si="0"/>
        <v>8500</v>
      </c>
      <c r="G11" s="28">
        <f t="shared" si="1"/>
        <v>8801750</v>
      </c>
      <c r="H11" s="26">
        <v>0.93000000000006366</v>
      </c>
      <c r="I11" s="27">
        <f t="shared" si="2"/>
        <v>1860.0000000001273</v>
      </c>
      <c r="J11" s="28">
        <f t="shared" si="3"/>
        <v>2889045.0000001979</v>
      </c>
      <c r="K11" s="26">
        <f t="shared" si="4"/>
        <v>11690795.000000197</v>
      </c>
      <c r="L11" s="29">
        <f t="shared" si="5"/>
        <v>12859874.500000218</v>
      </c>
      <c r="M11" s="30">
        <f t="shared" si="6"/>
        <v>894.22672275921127</v>
      </c>
      <c r="N11" s="31"/>
    </row>
    <row r="12" spans="1:14" x14ac:dyDescent="0.25">
      <c r="A12" s="22"/>
      <c r="B12" s="24">
        <v>5</v>
      </c>
      <c r="C12" s="25">
        <v>47</v>
      </c>
      <c r="D12" s="25">
        <v>248</v>
      </c>
      <c r="E12" s="26">
        <v>4.4200000000000728</v>
      </c>
      <c r="F12" s="27">
        <f t="shared" si="0"/>
        <v>8840.0000000001455</v>
      </c>
      <c r="G12" s="28">
        <f t="shared" si="1"/>
        <v>9153820.0000001509</v>
      </c>
      <c r="H12" s="26">
        <v>0.92999999999983629</v>
      </c>
      <c r="I12" s="27">
        <f t="shared" si="2"/>
        <v>1859.9999999996726</v>
      </c>
      <c r="J12" s="28">
        <f t="shared" si="3"/>
        <v>2889044.9999994915</v>
      </c>
      <c r="K12" s="26">
        <f t="shared" si="4"/>
        <v>12042864.999999642</v>
      </c>
      <c r="L12" s="29">
        <f t="shared" si="5"/>
        <v>13247151.499999607</v>
      </c>
      <c r="M12" s="30">
        <f t="shared" si="6"/>
        <v>921.15649120364424</v>
      </c>
      <c r="N12" s="31"/>
    </row>
    <row r="13" spans="1:14" x14ac:dyDescent="0.25">
      <c r="A13" s="22"/>
      <c r="B13" s="24">
        <v>6</v>
      </c>
      <c r="C13" s="25">
        <v>47</v>
      </c>
      <c r="D13" s="25">
        <v>263</v>
      </c>
      <c r="E13" s="26">
        <v>4.2800000000006548</v>
      </c>
      <c r="F13" s="27">
        <f t="shared" si="0"/>
        <v>8560.0000000013097</v>
      </c>
      <c r="G13" s="28">
        <f t="shared" si="1"/>
        <v>8863880.000001356</v>
      </c>
      <c r="H13" s="26">
        <v>0.89000000000010004</v>
      </c>
      <c r="I13" s="27">
        <f t="shared" si="2"/>
        <v>1780.0000000002001</v>
      </c>
      <c r="J13" s="28">
        <f t="shared" si="3"/>
        <v>2764785.0000003106</v>
      </c>
      <c r="K13" s="26">
        <f t="shared" si="4"/>
        <v>11628665.000001667</v>
      </c>
      <c r="L13" s="29">
        <f t="shared" si="5"/>
        <v>12791531.500001835</v>
      </c>
      <c r="M13" s="30">
        <f t="shared" si="6"/>
        <v>889.47441068088688</v>
      </c>
      <c r="N13" s="31"/>
    </row>
    <row r="14" spans="1:14" x14ac:dyDescent="0.25">
      <c r="A14" s="22"/>
      <c r="B14" s="24">
        <v>7</v>
      </c>
      <c r="C14" s="25">
        <v>51</v>
      </c>
      <c r="D14" s="25">
        <v>423</v>
      </c>
      <c r="E14" s="26">
        <v>4.0099999999993088</v>
      </c>
      <c r="F14" s="27">
        <f t="shared" si="0"/>
        <v>8019.9999999986176</v>
      </c>
      <c r="G14" s="28">
        <f t="shared" si="1"/>
        <v>8304709.9999985686</v>
      </c>
      <c r="H14" s="26">
        <v>0.87999999999988177</v>
      </c>
      <c r="I14" s="27">
        <f t="shared" si="2"/>
        <v>1759.9999999997635</v>
      </c>
      <c r="J14" s="28">
        <f t="shared" si="3"/>
        <v>2733719.9999996326</v>
      </c>
      <c r="K14" s="26">
        <f t="shared" si="4"/>
        <v>11038429.999998201</v>
      </c>
      <c r="L14" s="29">
        <f t="shared" si="5"/>
        <v>12142272.999998022</v>
      </c>
      <c r="M14" s="30">
        <f t="shared" si="6"/>
        <v>844.32744593547193</v>
      </c>
      <c r="N14" s="31"/>
    </row>
    <row r="15" spans="1:14" x14ac:dyDescent="0.25">
      <c r="A15" s="22"/>
      <c r="B15" s="24">
        <v>8</v>
      </c>
      <c r="C15" s="25">
        <v>46</v>
      </c>
      <c r="D15" s="25">
        <v>292</v>
      </c>
      <c r="E15" s="26">
        <v>4.0600000000004002</v>
      </c>
      <c r="F15" s="27">
        <f t="shared" si="0"/>
        <v>8120.0000000008004</v>
      </c>
      <c r="G15" s="28">
        <f t="shared" si="1"/>
        <v>8408260.0000008289</v>
      </c>
      <c r="H15" s="26">
        <v>0.90000000000009095</v>
      </c>
      <c r="I15" s="27">
        <f t="shared" si="2"/>
        <v>1800.0000000001819</v>
      </c>
      <c r="J15" s="28">
        <f t="shared" si="3"/>
        <v>2795850.0000002827</v>
      </c>
      <c r="K15" s="26">
        <f t="shared" si="4"/>
        <v>11204110.000001112</v>
      </c>
      <c r="L15" s="29">
        <f t="shared" si="5"/>
        <v>12324521.000001224</v>
      </c>
      <c r="M15" s="30">
        <f t="shared" si="6"/>
        <v>857.00027814485941</v>
      </c>
      <c r="N15" s="31"/>
    </row>
    <row r="16" spans="1:14" x14ac:dyDescent="0.25">
      <c r="A16" s="22"/>
      <c r="B16" s="24">
        <v>9</v>
      </c>
      <c r="C16" s="25">
        <v>46</v>
      </c>
      <c r="D16" s="25">
        <v>268</v>
      </c>
      <c r="E16" s="26">
        <v>4.069999999999709</v>
      </c>
      <c r="F16" s="27">
        <f t="shared" si="0"/>
        <v>8139.9999999994179</v>
      </c>
      <c r="G16" s="28">
        <f t="shared" si="1"/>
        <v>8428969.9999993965</v>
      </c>
      <c r="H16" s="26">
        <v>0.87999999999988177</v>
      </c>
      <c r="I16" s="27">
        <f t="shared" si="2"/>
        <v>1759.9999999997635</v>
      </c>
      <c r="J16" s="28">
        <f t="shared" si="3"/>
        <v>2733719.9999996326</v>
      </c>
      <c r="K16" s="26">
        <f t="shared" si="4"/>
        <v>11162689.99999903</v>
      </c>
      <c r="L16" s="29">
        <f t="shared" si="5"/>
        <v>12278958.999998933</v>
      </c>
      <c r="M16" s="30">
        <f t="shared" si="6"/>
        <v>853.83207009240891</v>
      </c>
      <c r="N16" s="31"/>
    </row>
    <row r="17" spans="1:14" x14ac:dyDescent="0.25">
      <c r="A17" s="22"/>
      <c r="B17" s="24">
        <v>10</v>
      </c>
      <c r="C17" s="25">
        <v>42</v>
      </c>
      <c r="D17" s="25">
        <v>301</v>
      </c>
      <c r="E17" s="26">
        <v>4.1500000000005457</v>
      </c>
      <c r="F17" s="27">
        <f t="shared" si="0"/>
        <v>8300.0000000010914</v>
      </c>
      <c r="G17" s="28">
        <f t="shared" si="1"/>
        <v>8594650.0000011306</v>
      </c>
      <c r="H17" s="26">
        <v>0.91000000000008185</v>
      </c>
      <c r="I17" s="27">
        <f t="shared" si="2"/>
        <v>1820.0000000001637</v>
      </c>
      <c r="J17" s="28">
        <f t="shared" si="3"/>
        <v>2826915.0000002543</v>
      </c>
      <c r="K17" s="26">
        <f t="shared" si="4"/>
        <v>11421565.000001386</v>
      </c>
      <c r="L17" s="29">
        <f t="shared" si="5"/>
        <v>12563721.500001526</v>
      </c>
      <c r="M17" s="30">
        <f t="shared" si="6"/>
        <v>873.63337041940929</v>
      </c>
      <c r="N17" s="31"/>
    </row>
    <row r="18" spans="1:14" x14ac:dyDescent="0.25">
      <c r="A18" s="22"/>
      <c r="B18" s="24">
        <v>11</v>
      </c>
      <c r="C18" s="25">
        <v>51</v>
      </c>
      <c r="D18" s="25">
        <v>253</v>
      </c>
      <c r="E18" s="26">
        <v>4.0900000000001455</v>
      </c>
      <c r="F18" s="27">
        <f t="shared" si="0"/>
        <v>8180.000000000291</v>
      </c>
      <c r="G18" s="28">
        <f t="shared" si="1"/>
        <v>8470390.0000003017</v>
      </c>
      <c r="H18" s="26">
        <v>0.89000000000010004</v>
      </c>
      <c r="I18" s="27">
        <f t="shared" si="2"/>
        <v>1780.0000000002001</v>
      </c>
      <c r="J18" s="28">
        <f t="shared" si="3"/>
        <v>2764785.0000003106</v>
      </c>
      <c r="K18" s="26">
        <f t="shared" si="4"/>
        <v>11235175.000000613</v>
      </c>
      <c r="L18" s="29">
        <f t="shared" si="5"/>
        <v>12358692.500000674</v>
      </c>
      <c r="M18" s="30">
        <f t="shared" si="6"/>
        <v>859.37643418403968</v>
      </c>
      <c r="N18" s="31"/>
    </row>
    <row r="19" spans="1:14" x14ac:dyDescent="0.25">
      <c r="A19" s="22"/>
      <c r="B19" s="24">
        <v>12</v>
      </c>
      <c r="C19" s="25">
        <v>51</v>
      </c>
      <c r="D19" s="25">
        <v>270</v>
      </c>
      <c r="E19" s="26">
        <v>3.8899999999994179</v>
      </c>
      <c r="F19" s="27">
        <f t="shared" si="0"/>
        <v>7779.9999999988358</v>
      </c>
      <c r="G19" s="28">
        <f t="shared" si="1"/>
        <v>8056189.9999987949</v>
      </c>
      <c r="H19" s="26">
        <v>0.89999999999986358</v>
      </c>
      <c r="I19" s="27">
        <f t="shared" si="2"/>
        <v>1799.9999999997272</v>
      </c>
      <c r="J19" s="28">
        <f t="shared" si="3"/>
        <v>2795849.9999995762</v>
      </c>
      <c r="K19" s="26">
        <f t="shared" si="4"/>
        <v>10852039.999998372</v>
      </c>
      <c r="L19" s="29">
        <f t="shared" si="5"/>
        <v>11937243.99999821</v>
      </c>
      <c r="M19" s="30">
        <f t="shared" si="6"/>
        <v>830.07050970017451</v>
      </c>
      <c r="N19" s="31"/>
    </row>
    <row r="20" spans="1:14" x14ac:dyDescent="0.25">
      <c r="A20" s="22"/>
      <c r="B20" s="24">
        <v>13</v>
      </c>
      <c r="C20" s="25">
        <v>54</v>
      </c>
      <c r="D20" s="25">
        <v>320</v>
      </c>
      <c r="E20" s="26">
        <v>3.8900000000003274</v>
      </c>
      <c r="F20" s="27">
        <f t="shared" si="0"/>
        <v>7780.0000000006548</v>
      </c>
      <c r="G20" s="28">
        <f t="shared" si="1"/>
        <v>8056190.000000678</v>
      </c>
      <c r="H20" s="26">
        <v>0.88000000000010914</v>
      </c>
      <c r="I20" s="27">
        <f t="shared" si="2"/>
        <v>1760.0000000002183</v>
      </c>
      <c r="J20" s="28">
        <f t="shared" si="3"/>
        <v>2733720.000000339</v>
      </c>
      <c r="K20" s="26">
        <f t="shared" si="4"/>
        <v>10789910.000001017</v>
      </c>
      <c r="L20" s="29">
        <f t="shared" si="5"/>
        <v>11868901.000001119</v>
      </c>
      <c r="M20" s="30">
        <f t="shared" si="6"/>
        <v>825.31819762194004</v>
      </c>
      <c r="N20" s="31"/>
    </row>
    <row r="21" spans="1:14" x14ac:dyDescent="0.25">
      <c r="A21" s="22"/>
      <c r="B21" s="24">
        <v>14</v>
      </c>
      <c r="C21" s="25">
        <v>49</v>
      </c>
      <c r="D21" s="25">
        <v>263</v>
      </c>
      <c r="E21" s="26">
        <v>3.9700000000002547</v>
      </c>
      <c r="F21" s="27">
        <f t="shared" si="0"/>
        <v>7940.0000000005093</v>
      </c>
      <c r="G21" s="28">
        <f t="shared" si="1"/>
        <v>8221870.0000005271</v>
      </c>
      <c r="H21" s="26">
        <v>0.88999999999987267</v>
      </c>
      <c r="I21" s="27">
        <f t="shared" si="2"/>
        <v>1779.9999999997453</v>
      </c>
      <c r="J21" s="28">
        <f t="shared" si="3"/>
        <v>2764784.9999996047</v>
      </c>
      <c r="K21" s="26">
        <f t="shared" si="4"/>
        <v>10986655.000000132</v>
      </c>
      <c r="L21" s="29">
        <f t="shared" si="5"/>
        <v>12085320.500000147</v>
      </c>
      <c r="M21" s="30">
        <f t="shared" si="6"/>
        <v>840.36718587025564</v>
      </c>
      <c r="N21" s="31"/>
    </row>
    <row r="22" spans="1:14" x14ac:dyDescent="0.25">
      <c r="A22" s="22"/>
      <c r="B22" s="24">
        <v>15</v>
      </c>
      <c r="C22" s="25">
        <v>45</v>
      </c>
      <c r="D22" s="25">
        <v>292</v>
      </c>
      <c r="E22" s="26">
        <v>3.7999999999992724</v>
      </c>
      <c r="F22" s="27">
        <f t="shared" si="0"/>
        <v>7599.9999999985448</v>
      </c>
      <c r="G22" s="28">
        <f t="shared" si="1"/>
        <v>7869799.9999984931</v>
      </c>
      <c r="H22" s="26">
        <v>0.85000000000013642</v>
      </c>
      <c r="I22" s="27">
        <f t="shared" si="2"/>
        <v>1700.0000000002728</v>
      </c>
      <c r="J22" s="28">
        <f t="shared" si="3"/>
        <v>2640525.0000004238</v>
      </c>
      <c r="K22" s="26">
        <f t="shared" si="4"/>
        <v>10510324.999998916</v>
      </c>
      <c r="L22" s="29">
        <f t="shared" si="5"/>
        <v>11561357.499998808</v>
      </c>
      <c r="M22" s="30">
        <f t="shared" si="6"/>
        <v>803.93279326881361</v>
      </c>
      <c r="N22" s="31"/>
    </row>
    <row r="23" spans="1:14" x14ac:dyDescent="0.25">
      <c r="A23" s="22"/>
      <c r="B23" s="24">
        <v>16</v>
      </c>
      <c r="C23" s="25">
        <v>45</v>
      </c>
      <c r="D23" s="25">
        <v>251</v>
      </c>
      <c r="E23" s="26">
        <v>3.9800000000004729</v>
      </c>
      <c r="F23" s="27">
        <f t="shared" si="0"/>
        <v>7960.0000000009459</v>
      </c>
      <c r="G23" s="28">
        <f t="shared" si="1"/>
        <v>8242580.0000009798</v>
      </c>
      <c r="H23" s="26">
        <v>0.80999999999994543</v>
      </c>
      <c r="I23" s="27">
        <f t="shared" si="2"/>
        <v>1619.9999999998909</v>
      </c>
      <c r="J23" s="28">
        <f t="shared" si="3"/>
        <v>2516264.9999998305</v>
      </c>
      <c r="K23" s="26">
        <f t="shared" si="4"/>
        <v>10758845.00000081</v>
      </c>
      <c r="L23" s="29">
        <f t="shared" si="5"/>
        <v>11834729.500000892</v>
      </c>
      <c r="M23" s="30">
        <f t="shared" si="6"/>
        <v>822.94204158270577</v>
      </c>
      <c r="N23" s="31"/>
    </row>
    <row r="24" spans="1:14" x14ac:dyDescent="0.25">
      <c r="A24" s="22"/>
      <c r="B24" s="24">
        <v>17</v>
      </c>
      <c r="C24" s="25">
        <v>47</v>
      </c>
      <c r="D24" s="25">
        <v>293</v>
      </c>
      <c r="E24" s="26">
        <v>3.8000000000001819</v>
      </c>
      <c r="F24" s="27">
        <f t="shared" si="0"/>
        <v>7600.0000000003638</v>
      </c>
      <c r="G24" s="28">
        <f t="shared" si="1"/>
        <v>7869800.0000003763</v>
      </c>
      <c r="H24" s="26">
        <v>0.90000000000009095</v>
      </c>
      <c r="I24" s="27">
        <f t="shared" si="2"/>
        <v>1800.0000000001819</v>
      </c>
      <c r="J24" s="28">
        <f t="shared" si="3"/>
        <v>2795850.0000002827</v>
      </c>
      <c r="K24" s="26">
        <f t="shared" si="4"/>
        <v>10665650.000000659</v>
      </c>
      <c r="L24" s="29">
        <f t="shared" si="5"/>
        <v>11732215.000000726</v>
      </c>
      <c r="M24" s="30">
        <f t="shared" si="6"/>
        <v>815.81357346503898</v>
      </c>
      <c r="N24" s="31"/>
    </row>
    <row r="25" spans="1:14" x14ac:dyDescent="0.25">
      <c r="A25" s="22"/>
      <c r="B25" s="24">
        <v>18</v>
      </c>
      <c r="C25" s="25">
        <v>41</v>
      </c>
      <c r="D25" s="25">
        <v>262</v>
      </c>
      <c r="E25" s="26">
        <v>3.9299999999993815</v>
      </c>
      <c r="F25" s="27">
        <f t="shared" si="0"/>
        <v>7859.9999999987631</v>
      </c>
      <c r="G25" s="28">
        <f t="shared" si="1"/>
        <v>8139029.9999987194</v>
      </c>
      <c r="H25" s="26">
        <v>0.78999999999996362</v>
      </c>
      <c r="I25" s="27">
        <f t="shared" si="2"/>
        <v>1579.9999999999272</v>
      </c>
      <c r="J25" s="28">
        <f t="shared" si="3"/>
        <v>2454134.9999998868</v>
      </c>
      <c r="K25" s="26">
        <f t="shared" si="4"/>
        <v>10593164.999998607</v>
      </c>
      <c r="L25" s="29">
        <f t="shared" si="5"/>
        <v>11652481.499998469</v>
      </c>
      <c r="M25" s="30">
        <f t="shared" si="6"/>
        <v>810.26920937337241</v>
      </c>
      <c r="N25" s="31"/>
    </row>
    <row r="26" spans="1:14" x14ac:dyDescent="0.25">
      <c r="A26" s="22"/>
      <c r="B26" s="24">
        <v>19</v>
      </c>
      <c r="C26" s="25">
        <v>43</v>
      </c>
      <c r="D26" s="25">
        <v>235</v>
      </c>
      <c r="E26" s="26">
        <v>4.0500000000001819</v>
      </c>
      <c r="F26" s="27">
        <f t="shared" si="0"/>
        <v>8100.0000000003638</v>
      </c>
      <c r="G26" s="28">
        <f t="shared" si="1"/>
        <v>8387550.0000003763</v>
      </c>
      <c r="H26" s="26">
        <v>0.85999999999989996</v>
      </c>
      <c r="I26" s="27">
        <f t="shared" si="2"/>
        <v>1719.9999999997999</v>
      </c>
      <c r="J26" s="28">
        <f t="shared" si="3"/>
        <v>2671589.9999996894</v>
      </c>
      <c r="K26" s="26">
        <f t="shared" si="4"/>
        <v>11059140.000000065</v>
      </c>
      <c r="L26" s="29">
        <f t="shared" si="5"/>
        <v>12165054.000000073</v>
      </c>
      <c r="M26" s="30">
        <f t="shared" si="6"/>
        <v>845.9115499617601</v>
      </c>
      <c r="N26" s="31"/>
    </row>
    <row r="27" spans="1:14" x14ac:dyDescent="0.25">
      <c r="A27" s="22"/>
      <c r="B27" s="24">
        <v>20</v>
      </c>
      <c r="C27" s="25">
        <v>38</v>
      </c>
      <c r="D27" s="25">
        <v>229</v>
      </c>
      <c r="E27" s="26">
        <v>3.4600000000000364</v>
      </c>
      <c r="F27" s="27">
        <f t="shared" si="0"/>
        <v>6920.0000000000728</v>
      </c>
      <c r="G27" s="28">
        <f t="shared" si="1"/>
        <v>7165660.0000000754</v>
      </c>
      <c r="H27" s="26">
        <v>0.91000000000008185</v>
      </c>
      <c r="I27" s="27">
        <f t="shared" si="2"/>
        <v>1820.0000000001637</v>
      </c>
      <c r="J27" s="28">
        <f t="shared" si="3"/>
        <v>2826915.0000002543</v>
      </c>
      <c r="K27" s="26">
        <f t="shared" si="4"/>
        <v>9992575.0000003297</v>
      </c>
      <c r="L27" s="29">
        <f t="shared" si="5"/>
        <v>10991832.500000363</v>
      </c>
      <c r="M27" s="30">
        <f t="shared" si="6"/>
        <v>764.33019261528148</v>
      </c>
      <c r="N27" s="31"/>
    </row>
    <row r="28" spans="1:14" x14ac:dyDescent="0.25">
      <c r="A28" s="22"/>
      <c r="B28" s="24">
        <v>21</v>
      </c>
      <c r="C28" s="25">
        <v>45</v>
      </c>
      <c r="D28" s="25">
        <v>223</v>
      </c>
      <c r="E28" s="26">
        <v>3.8299999999999272</v>
      </c>
      <c r="F28" s="27">
        <f t="shared" si="0"/>
        <v>7659.9999999998545</v>
      </c>
      <c r="G28" s="28">
        <f t="shared" si="1"/>
        <v>7931929.9999998491</v>
      </c>
      <c r="H28" s="26">
        <v>0.84999999999990905</v>
      </c>
      <c r="I28" s="27">
        <f t="shared" si="2"/>
        <v>1699.9999999998181</v>
      </c>
      <c r="J28" s="28">
        <f t="shared" si="3"/>
        <v>2640524.9999997173</v>
      </c>
      <c r="K28" s="26">
        <f t="shared" si="4"/>
        <v>10572454.999999566</v>
      </c>
      <c r="L28" s="29">
        <f t="shared" si="5"/>
        <v>11629700.499999523</v>
      </c>
      <c r="M28" s="30">
        <f t="shared" si="6"/>
        <v>808.68510534730012</v>
      </c>
      <c r="N28" s="31"/>
    </row>
    <row r="29" spans="1:14" x14ac:dyDescent="0.25">
      <c r="A29" s="22"/>
      <c r="B29" s="24">
        <v>22</v>
      </c>
      <c r="C29" s="25">
        <v>52</v>
      </c>
      <c r="D29" s="25">
        <v>301</v>
      </c>
      <c r="E29" s="26">
        <v>3.5900000000001455</v>
      </c>
      <c r="F29" s="27">
        <f t="shared" si="0"/>
        <v>7180.000000000291</v>
      </c>
      <c r="G29" s="28">
        <f t="shared" si="1"/>
        <v>7434890.0000003017</v>
      </c>
      <c r="H29" s="26">
        <v>0.91000000000008185</v>
      </c>
      <c r="I29" s="27">
        <f t="shared" si="2"/>
        <v>1820.0000000001637</v>
      </c>
      <c r="J29" s="28">
        <f t="shared" si="3"/>
        <v>2826915.0000002543</v>
      </c>
      <c r="K29" s="26">
        <f t="shared" si="4"/>
        <v>10261805.000000555</v>
      </c>
      <c r="L29" s="29">
        <f t="shared" si="5"/>
        <v>11287985.500000611</v>
      </c>
      <c r="M29" s="30">
        <f t="shared" si="6"/>
        <v>784.92354495519169</v>
      </c>
      <c r="N29" s="31"/>
    </row>
    <row r="30" spans="1:14" x14ac:dyDescent="0.25">
      <c r="A30" s="22"/>
      <c r="B30" s="24">
        <v>23</v>
      </c>
      <c r="C30" s="25">
        <v>56</v>
      </c>
      <c r="D30" s="25">
        <v>300</v>
      </c>
      <c r="E30" s="26">
        <v>3.6300000000001091</v>
      </c>
      <c r="F30" s="27">
        <f t="shared" si="0"/>
        <v>7260.0000000002183</v>
      </c>
      <c r="G30" s="28">
        <f t="shared" si="1"/>
        <v>7517730.0000002263</v>
      </c>
      <c r="H30" s="26">
        <v>0.94000000000005457</v>
      </c>
      <c r="I30" s="27">
        <f t="shared" si="2"/>
        <v>1880.0000000001091</v>
      </c>
      <c r="J30" s="28">
        <f t="shared" si="3"/>
        <v>2920110.0000001695</v>
      </c>
      <c r="K30" s="26">
        <f t="shared" si="4"/>
        <v>10437840.000000395</v>
      </c>
      <c r="L30" s="29">
        <f t="shared" si="5"/>
        <v>11481624.000000436</v>
      </c>
      <c r="M30" s="30">
        <f t="shared" si="6"/>
        <v>798.38842917741715</v>
      </c>
      <c r="N30" s="31"/>
    </row>
    <row r="31" spans="1:14" x14ac:dyDescent="0.25">
      <c r="A31" s="22"/>
      <c r="B31" s="24">
        <v>24</v>
      </c>
      <c r="C31" s="25">
        <v>58</v>
      </c>
      <c r="D31" s="25">
        <v>354</v>
      </c>
      <c r="E31" s="26">
        <v>3.6700000000000728</v>
      </c>
      <c r="F31" s="27">
        <f t="shared" si="0"/>
        <v>7340.0000000001455</v>
      </c>
      <c r="G31" s="28">
        <f t="shared" si="1"/>
        <v>7600570.0000001509</v>
      </c>
      <c r="H31" s="26">
        <v>0.88999999999987267</v>
      </c>
      <c r="I31" s="27">
        <f t="shared" si="2"/>
        <v>1779.9999999997453</v>
      </c>
      <c r="J31" s="28">
        <f t="shared" si="3"/>
        <v>2764784.9999996047</v>
      </c>
      <c r="K31" s="26">
        <f t="shared" si="4"/>
        <v>10365354.999999756</v>
      </c>
      <c r="L31" s="29">
        <f t="shared" si="5"/>
        <v>11401890.499999732</v>
      </c>
      <c r="M31" s="30">
        <f t="shared" si="6"/>
        <v>792.84406508585857</v>
      </c>
      <c r="N31" s="31"/>
    </row>
    <row r="32" spans="1:14" x14ac:dyDescent="0.25">
      <c r="A32" s="22"/>
      <c r="B32" s="24">
        <v>25</v>
      </c>
      <c r="C32" s="25">
        <v>55</v>
      </c>
      <c r="D32" s="25">
        <v>303</v>
      </c>
      <c r="E32" s="26">
        <v>3.8999999999996362</v>
      </c>
      <c r="F32" s="27">
        <f t="shared" si="0"/>
        <v>7799.9999999992724</v>
      </c>
      <c r="G32" s="28">
        <f t="shared" si="1"/>
        <v>8076899.9999992466</v>
      </c>
      <c r="H32" s="26">
        <v>0.89000000000010004</v>
      </c>
      <c r="I32" s="27">
        <f t="shared" si="2"/>
        <v>1780.0000000002001</v>
      </c>
      <c r="J32" s="28">
        <f t="shared" si="3"/>
        <v>2764785.0000003106</v>
      </c>
      <c r="K32" s="26">
        <f t="shared" si="4"/>
        <v>10841684.999999557</v>
      </c>
      <c r="L32" s="29">
        <f t="shared" si="5"/>
        <v>11925853.499999514</v>
      </c>
      <c r="M32" s="30">
        <f t="shared" si="6"/>
        <v>829.27845768719237</v>
      </c>
      <c r="N32" s="31"/>
    </row>
    <row r="33" spans="1:16" x14ac:dyDescent="0.25">
      <c r="A33" s="22"/>
      <c r="B33" s="24">
        <v>26</v>
      </c>
      <c r="C33" s="25">
        <v>49</v>
      </c>
      <c r="D33" s="25">
        <v>282</v>
      </c>
      <c r="E33" s="26">
        <v>3.3600000000005821</v>
      </c>
      <c r="F33" s="27">
        <f t="shared" si="0"/>
        <v>6720.0000000011642</v>
      </c>
      <c r="G33" s="28">
        <f t="shared" si="1"/>
        <v>6958560.0000012051</v>
      </c>
      <c r="H33" s="26">
        <v>0.89999999999986358</v>
      </c>
      <c r="I33" s="27">
        <f t="shared" si="2"/>
        <v>1799.9999999997272</v>
      </c>
      <c r="J33" s="28">
        <f t="shared" si="3"/>
        <v>2795849.9999995762</v>
      </c>
      <c r="K33" s="26">
        <f t="shared" si="4"/>
        <v>9754410.0000007823</v>
      </c>
      <c r="L33" s="29">
        <f t="shared" si="5"/>
        <v>10729851.000000861</v>
      </c>
      <c r="M33" s="30">
        <f t="shared" si="6"/>
        <v>746.11299631464158</v>
      </c>
      <c r="N33" s="31"/>
    </row>
    <row r="34" spans="1:16" x14ac:dyDescent="0.25">
      <c r="A34" s="22"/>
      <c r="B34" s="24">
        <v>27</v>
      </c>
      <c r="C34" s="25">
        <v>45</v>
      </c>
      <c r="D34" s="25">
        <v>278</v>
      </c>
      <c r="E34" s="26">
        <v>3.4099999999998545</v>
      </c>
      <c r="F34" s="27">
        <f t="shared" si="0"/>
        <v>6819.999999999709</v>
      </c>
      <c r="G34" s="28">
        <f t="shared" si="1"/>
        <v>7062109.9999996983</v>
      </c>
      <c r="H34" s="26">
        <v>0.89000000000010004</v>
      </c>
      <c r="I34" s="27">
        <f t="shared" si="2"/>
        <v>1780.0000000002001</v>
      </c>
      <c r="J34" s="28">
        <f t="shared" si="3"/>
        <v>2764785.0000003106</v>
      </c>
      <c r="K34" s="26">
        <f t="shared" si="4"/>
        <v>9826895.0000000093</v>
      </c>
      <c r="L34" s="29">
        <f t="shared" si="5"/>
        <v>10809584.500000011</v>
      </c>
      <c r="M34" s="30">
        <f t="shared" si="6"/>
        <v>751.65736040609215</v>
      </c>
      <c r="N34" s="31"/>
    </row>
    <row r="35" spans="1:16" x14ac:dyDescent="0.25">
      <c r="A35" s="22"/>
      <c r="B35" s="24">
        <v>28</v>
      </c>
      <c r="C35" s="25">
        <v>44</v>
      </c>
      <c r="D35" s="25">
        <v>276</v>
      </c>
      <c r="E35" s="26">
        <v>3.5299999999997453</v>
      </c>
      <c r="F35" s="27">
        <f t="shared" si="0"/>
        <v>7059.9999999994907</v>
      </c>
      <c r="G35" s="28">
        <f t="shared" si="1"/>
        <v>7310629.9999994729</v>
      </c>
      <c r="H35" s="26">
        <v>0.88999999999987267</v>
      </c>
      <c r="I35" s="27">
        <f t="shared" si="2"/>
        <v>1779.9999999997453</v>
      </c>
      <c r="J35" s="28">
        <f t="shared" si="3"/>
        <v>2764784.9999996047</v>
      </c>
      <c r="K35" s="26">
        <f t="shared" si="4"/>
        <v>10075414.999999078</v>
      </c>
      <c r="L35" s="29">
        <f t="shared" si="5"/>
        <v>11082956.499998987</v>
      </c>
      <c r="M35" s="30">
        <f t="shared" si="6"/>
        <v>770.66660871976819</v>
      </c>
      <c r="N35" s="31"/>
    </row>
    <row r="36" spans="1:16" x14ac:dyDescent="0.25">
      <c r="A36" s="22"/>
      <c r="B36" s="24">
        <v>29</v>
      </c>
      <c r="C36" s="25">
        <v>42</v>
      </c>
      <c r="D36" s="25">
        <v>252</v>
      </c>
      <c r="E36" s="26">
        <v>3.4200000000000728</v>
      </c>
      <c r="F36" s="27">
        <f t="shared" si="0"/>
        <v>6840.0000000001455</v>
      </c>
      <c r="G36" s="28">
        <f t="shared" si="1"/>
        <v>7082820.0000001509</v>
      </c>
      <c r="H36" s="26">
        <v>0.83000000000015461</v>
      </c>
      <c r="I36" s="27">
        <f t="shared" si="2"/>
        <v>1660.0000000003092</v>
      </c>
      <c r="J36" s="28">
        <f t="shared" si="3"/>
        <v>2578395.0000004801</v>
      </c>
      <c r="K36" s="26">
        <f t="shared" si="4"/>
        <v>9661215.0000006314</v>
      </c>
      <c r="L36" s="29">
        <f t="shared" si="5"/>
        <v>10627336.500000695</v>
      </c>
      <c r="M36" s="30">
        <f t="shared" si="6"/>
        <v>738.98452819697479</v>
      </c>
      <c r="N36" s="31"/>
    </row>
    <row r="37" spans="1:16" x14ac:dyDescent="0.25">
      <c r="A37" s="22"/>
      <c r="B37" s="24">
        <v>30</v>
      </c>
      <c r="C37" s="25">
        <v>50</v>
      </c>
      <c r="D37" s="25">
        <v>292</v>
      </c>
      <c r="E37" s="26">
        <v>3.3499999999994543</v>
      </c>
      <c r="F37" s="27">
        <f t="shared" si="0"/>
        <v>6699.9999999989086</v>
      </c>
      <c r="G37" s="28">
        <f>F37*1035.5</f>
        <v>6937849.9999988703</v>
      </c>
      <c r="H37" s="26">
        <v>0.84999999999990905</v>
      </c>
      <c r="I37" s="27">
        <f t="shared" si="2"/>
        <v>1699.9999999998181</v>
      </c>
      <c r="J37" s="28">
        <f t="shared" si="3"/>
        <v>2640524.9999997173</v>
      </c>
      <c r="K37" s="26">
        <f t="shared" si="4"/>
        <v>9578374.9999985881</v>
      </c>
      <c r="L37" s="29">
        <f t="shared" si="5"/>
        <v>10536212.499998448</v>
      </c>
      <c r="M37" s="30">
        <f t="shared" si="6"/>
        <v>732.64811209223615</v>
      </c>
      <c r="N37" s="31"/>
    </row>
    <row r="38" spans="1:16" x14ac:dyDescent="0.25">
      <c r="A38" s="22"/>
      <c r="B38" s="24">
        <v>31</v>
      </c>
      <c r="C38" s="25">
        <v>55</v>
      </c>
      <c r="D38" s="25">
        <v>326</v>
      </c>
      <c r="E38" s="26">
        <v>3.9200000000000728</v>
      </c>
      <c r="F38" s="27">
        <f t="shared" si="0"/>
        <v>7840.0000000001455</v>
      </c>
      <c r="G38" s="28">
        <f t="shared" si="1"/>
        <v>8118320.0000001509</v>
      </c>
      <c r="H38" s="26">
        <v>0.94000000000005457</v>
      </c>
      <c r="I38" s="27">
        <f t="shared" si="2"/>
        <v>1880.0000000001091</v>
      </c>
      <c r="J38" s="28">
        <f t="shared" si="3"/>
        <v>2920110.0000001695</v>
      </c>
      <c r="K38" s="26">
        <f t="shared" si="4"/>
        <v>11038430.00000032</v>
      </c>
      <c r="L38" s="29">
        <f t="shared" si="5"/>
        <v>12142273.000000354</v>
      </c>
      <c r="M38" s="30">
        <f t="shared" si="6"/>
        <v>844.32744593563405</v>
      </c>
      <c r="N38" s="31"/>
    </row>
    <row r="39" spans="1:16" x14ac:dyDescent="0.25">
      <c r="C39" s="32">
        <f>SUM(C8:C38)</f>
        <v>1499</v>
      </c>
      <c r="D39" s="32">
        <f>SUM(D8:D38)</f>
        <v>8724</v>
      </c>
      <c r="E39" s="33">
        <v>3.2799999999999727</v>
      </c>
      <c r="F39" s="32">
        <f>SUM(F8:F38)</f>
        <v>240539.99999999904</v>
      </c>
      <c r="I39" s="32">
        <f>SUM(I8:I38)</f>
        <v>55480.000000000029</v>
      </c>
      <c r="L39" s="34">
        <f>SUM(L8:L38)</f>
        <v>368778827.99999899</v>
      </c>
      <c r="M39" s="35">
        <f>SUM(M8:M38)</f>
        <v>25643.475975245037</v>
      </c>
      <c r="N39" s="36"/>
      <c r="P39" s="37"/>
    </row>
    <row r="41" spans="1:16" x14ac:dyDescent="0.25">
      <c r="G41" s="89" t="s">
        <v>28</v>
      </c>
      <c r="H41" s="90"/>
      <c r="I41" s="91">
        <f>F39+I39</f>
        <v>296019.99999999907</v>
      </c>
      <c r="M41" s="38"/>
      <c r="P41" s="39"/>
    </row>
    <row r="42" spans="1:16" x14ac:dyDescent="0.25">
      <c r="M42" s="40"/>
    </row>
  </sheetData>
  <mergeCells count="17">
    <mergeCell ref="F6:F7"/>
    <mergeCell ref="G6:G7"/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workbookViewId="0">
      <selection activeCell="N22" sqref="N22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style="33" customWidth="1"/>
    <col min="4" max="4" width="8.42578125" style="21" customWidth="1"/>
    <col min="5" max="5" width="11" style="33" customWidth="1"/>
    <col min="6" max="6" width="9.5703125" style="33" customWidth="1"/>
    <col min="7" max="7" width="11.140625" style="33" customWidth="1"/>
    <col min="8" max="8" width="9.42578125" style="33" customWidth="1"/>
    <col min="9" max="9" width="7.140625" style="33" customWidth="1"/>
    <col min="10" max="10" width="13.7109375" style="33" customWidth="1"/>
    <col min="11" max="11" width="11.140625" style="33" customWidth="1"/>
    <col min="12" max="12" width="6.7109375" style="33" customWidth="1"/>
    <col min="13" max="13" width="13.7109375" style="64" customWidth="1"/>
    <col min="14" max="14" width="8.7109375" style="33" customWidth="1"/>
    <col min="15" max="15" width="6.42578125" style="33" customWidth="1"/>
    <col min="16" max="16" width="11.140625" style="33" customWidth="1"/>
    <col min="17" max="17" width="15" style="21" customWidth="1"/>
    <col min="18" max="18" width="16.28515625" style="33" customWidth="1"/>
    <col min="19" max="19" width="2.5703125" style="12" customWidth="1"/>
    <col min="21" max="21" width="21.5703125" customWidth="1"/>
  </cols>
  <sheetData>
    <row r="1" spans="1:21" ht="15.75" x14ac:dyDescent="0.25">
      <c r="B1" s="100" t="s">
        <v>29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1:21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1:21" x14ac:dyDescent="0.25">
      <c r="E3" s="41"/>
      <c r="F3" s="42"/>
      <c r="G3" s="42"/>
      <c r="H3" s="42"/>
      <c r="I3" s="42"/>
      <c r="J3" s="42"/>
      <c r="K3" s="42"/>
      <c r="L3" s="42"/>
      <c r="M3" s="43"/>
      <c r="N3" s="41"/>
      <c r="O3" s="42"/>
      <c r="P3" s="42"/>
      <c r="Q3" s="44"/>
    </row>
    <row r="4" spans="1:21" x14ac:dyDescent="0.25">
      <c r="A4" s="18"/>
      <c r="B4" s="104">
        <v>43647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8"/>
    </row>
    <row r="5" spans="1:21" x14ac:dyDescent="0.25">
      <c r="A5" s="19"/>
      <c r="B5" s="99" t="s">
        <v>17</v>
      </c>
      <c r="C5" s="99" t="s">
        <v>18</v>
      </c>
      <c r="D5" s="99" t="s">
        <v>13</v>
      </c>
      <c r="E5" s="105" t="s">
        <v>30</v>
      </c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6" t="s">
        <v>31</v>
      </c>
      <c r="R5" s="106"/>
      <c r="S5" s="20"/>
    </row>
    <row r="6" spans="1:21" s="21" customFormat="1" x14ac:dyDescent="0.25">
      <c r="A6" s="19"/>
      <c r="B6" s="99"/>
      <c r="C6" s="99"/>
      <c r="D6" s="99"/>
      <c r="E6" s="105" t="s">
        <v>32</v>
      </c>
      <c r="F6" s="105"/>
      <c r="G6" s="105"/>
      <c r="H6" s="105" t="s">
        <v>33</v>
      </c>
      <c r="I6" s="105"/>
      <c r="J6" s="105"/>
      <c r="K6" s="105" t="s">
        <v>34</v>
      </c>
      <c r="L6" s="105"/>
      <c r="M6" s="105"/>
      <c r="N6" s="107" t="s">
        <v>35</v>
      </c>
      <c r="O6" s="107"/>
      <c r="P6" s="107"/>
      <c r="Q6" s="106"/>
      <c r="R6" s="106"/>
      <c r="S6" s="20"/>
    </row>
    <row r="7" spans="1:21" ht="22.5" x14ac:dyDescent="0.25">
      <c r="A7" s="22"/>
      <c r="B7" s="99"/>
      <c r="C7" s="99"/>
      <c r="D7" s="99"/>
      <c r="E7" s="99" t="s">
        <v>36</v>
      </c>
      <c r="F7" s="108" t="s">
        <v>37</v>
      </c>
      <c r="G7" s="45" t="s">
        <v>38</v>
      </c>
      <c r="H7" s="99" t="s">
        <v>39</v>
      </c>
      <c r="I7" s="99" t="s">
        <v>37</v>
      </c>
      <c r="J7" s="45" t="s">
        <v>38</v>
      </c>
      <c r="K7" s="99" t="s">
        <v>36</v>
      </c>
      <c r="L7" s="99" t="s">
        <v>37</v>
      </c>
      <c r="M7" s="45" t="s">
        <v>40</v>
      </c>
      <c r="N7" s="99" t="s">
        <v>41</v>
      </c>
      <c r="O7" s="99" t="s">
        <v>37</v>
      </c>
      <c r="P7" s="45" t="s">
        <v>40</v>
      </c>
      <c r="Q7" s="106"/>
      <c r="R7" s="106"/>
      <c r="S7" s="23"/>
    </row>
    <row r="8" spans="1:21" ht="15.75" thickBot="1" x14ac:dyDescent="0.3">
      <c r="A8" s="22"/>
      <c r="B8" s="99"/>
      <c r="C8" s="99"/>
      <c r="D8" s="99"/>
      <c r="E8" s="99"/>
      <c r="F8" s="109"/>
      <c r="G8" s="46">
        <v>15840</v>
      </c>
      <c r="H8" s="99"/>
      <c r="I8" s="99"/>
      <c r="J8" s="46">
        <f>G8</f>
        <v>15840</v>
      </c>
      <c r="K8" s="99"/>
      <c r="L8" s="99"/>
      <c r="M8" s="46">
        <f>J8</f>
        <v>15840</v>
      </c>
      <c r="N8" s="99"/>
      <c r="O8" s="99"/>
      <c r="P8" s="46">
        <f>J8</f>
        <v>15840</v>
      </c>
      <c r="Q8" s="47" t="s">
        <v>42</v>
      </c>
      <c r="R8" s="45" t="s">
        <v>23</v>
      </c>
      <c r="S8" s="23"/>
      <c r="U8">
        <f>792000/50</f>
        <v>15840</v>
      </c>
    </row>
    <row r="9" spans="1:21" x14ac:dyDescent="0.25">
      <c r="A9" s="22"/>
      <c r="B9" s="24">
        <v>1</v>
      </c>
      <c r="C9" s="48">
        <f>Electricity!C8</f>
        <v>52</v>
      </c>
      <c r="D9" s="49">
        <f>Electricity!D8</f>
        <v>267</v>
      </c>
      <c r="E9" s="84"/>
      <c r="F9" s="26">
        <v>89.367994497936749</v>
      </c>
      <c r="G9" s="51">
        <f>F9*$G$8</f>
        <v>1415589.0328473181</v>
      </c>
      <c r="H9" s="50"/>
      <c r="I9" s="97">
        <v>44.683997248968375</v>
      </c>
      <c r="J9" s="51">
        <f>I9*$J$8</f>
        <v>707794.51642365905</v>
      </c>
      <c r="K9" s="50"/>
      <c r="L9" s="26">
        <v>4.17</v>
      </c>
      <c r="M9" s="27">
        <f>L9*$M$8</f>
        <v>66052.800000000003</v>
      </c>
      <c r="N9" s="50"/>
      <c r="O9" s="26">
        <v>7.14</v>
      </c>
      <c r="P9" s="52">
        <f>O9*$P$8</f>
        <v>113097.59999999999</v>
      </c>
      <c r="Q9" s="53">
        <f>P9+G9+J9+M9</f>
        <v>2302533.9492709772</v>
      </c>
      <c r="R9" s="54">
        <f>Q9/14381</f>
        <v>160.10944644120556</v>
      </c>
      <c r="S9" s="23"/>
    </row>
    <row r="10" spans="1:21" x14ac:dyDescent="0.25">
      <c r="A10" s="22"/>
      <c r="B10" s="24">
        <v>2</v>
      </c>
      <c r="C10" s="48">
        <f>Electricity!C9</f>
        <v>56</v>
      </c>
      <c r="D10" s="49">
        <f>Electricity!D9</f>
        <v>253</v>
      </c>
      <c r="E10" s="84"/>
      <c r="F10" s="26">
        <v>84.457403026134799</v>
      </c>
      <c r="G10" s="51">
        <f>F10*$G$8</f>
        <v>1337805.2639339752</v>
      </c>
      <c r="H10" s="50"/>
      <c r="I10" s="52">
        <v>42.228701513067399</v>
      </c>
      <c r="J10" s="51">
        <f>I10*$J$8</f>
        <v>668902.63196698762</v>
      </c>
      <c r="K10" s="50"/>
      <c r="L10" s="26">
        <v>4.17</v>
      </c>
      <c r="M10" s="27">
        <f t="shared" ref="M10:M39" si="0">L10*$M$8</f>
        <v>66052.800000000003</v>
      </c>
      <c r="N10" s="50"/>
      <c r="O10" s="26">
        <v>7.14</v>
      </c>
      <c r="P10" s="52">
        <f>O10*$P$8</f>
        <v>113097.59999999999</v>
      </c>
      <c r="Q10" s="53">
        <f>J10+M10+G10+P10</f>
        <v>2185858.2959009628</v>
      </c>
      <c r="R10" s="54">
        <f t="shared" ref="R10:R39" si="1">Q10/14381</f>
        <v>151.99626562137283</v>
      </c>
      <c r="S10" s="23"/>
    </row>
    <row r="11" spans="1:21" x14ac:dyDescent="0.25">
      <c r="A11" s="22"/>
      <c r="B11" s="24">
        <v>3</v>
      </c>
      <c r="C11" s="48">
        <f>Electricity!C10</f>
        <v>52</v>
      </c>
      <c r="D11" s="49">
        <f>Electricity!D10</f>
        <v>308</v>
      </c>
      <c r="E11" s="84"/>
      <c r="F11" s="26">
        <v>103.74901237964237</v>
      </c>
      <c r="G11" s="51">
        <f t="shared" ref="G11:G39" si="2">F11*$G$8</f>
        <v>1643384.356093535</v>
      </c>
      <c r="H11" s="50"/>
      <c r="I11" s="52">
        <v>51.874506189821183</v>
      </c>
      <c r="J11" s="51">
        <f t="shared" ref="J11:J39" si="3">I11*$J$8</f>
        <v>821692.17804676748</v>
      </c>
      <c r="K11" s="50"/>
      <c r="L11" s="26">
        <v>4.17</v>
      </c>
      <c r="M11" s="27">
        <f t="shared" si="0"/>
        <v>66052.800000000003</v>
      </c>
      <c r="N11" s="50"/>
      <c r="O11" s="26">
        <v>7.14</v>
      </c>
      <c r="P11" s="52">
        <f t="shared" ref="P11:P39" si="4">O11*$P$8</f>
        <v>113097.59999999999</v>
      </c>
      <c r="Q11" s="53">
        <f t="shared" ref="Q11:Q39" si="5">J11+M11+G11+P11</f>
        <v>2644226.9341403027</v>
      </c>
      <c r="R11" s="54">
        <f t="shared" si="1"/>
        <v>183.86947598500123</v>
      </c>
      <c r="S11" s="23"/>
    </row>
    <row r="12" spans="1:21" x14ac:dyDescent="0.25">
      <c r="A12" s="22"/>
      <c r="B12" s="24">
        <v>4</v>
      </c>
      <c r="C12" s="48">
        <f>Electricity!C11</f>
        <v>45</v>
      </c>
      <c r="D12" s="49">
        <f>Electricity!D11</f>
        <v>246</v>
      </c>
      <c r="E12" s="84"/>
      <c r="F12" s="26">
        <v>82.002107290233837</v>
      </c>
      <c r="G12" s="51">
        <f t="shared" si="2"/>
        <v>1298913.3794773039</v>
      </c>
      <c r="H12" s="50"/>
      <c r="I12" s="52">
        <v>41.001053645116919</v>
      </c>
      <c r="J12" s="51">
        <f t="shared" si="3"/>
        <v>649456.68973865197</v>
      </c>
      <c r="K12" s="50"/>
      <c r="L12" s="26">
        <v>4.17</v>
      </c>
      <c r="M12" s="27">
        <f t="shared" si="0"/>
        <v>66052.800000000003</v>
      </c>
      <c r="N12" s="50"/>
      <c r="O12" s="26">
        <v>7.14</v>
      </c>
      <c r="P12" s="52">
        <f t="shared" si="4"/>
        <v>113097.59999999999</v>
      </c>
      <c r="Q12" s="53">
        <f t="shared" si="5"/>
        <v>2127520.4692159561</v>
      </c>
      <c r="R12" s="54">
        <f t="shared" si="1"/>
        <v>147.93967521145652</v>
      </c>
      <c r="S12" s="23"/>
    </row>
    <row r="13" spans="1:21" x14ac:dyDescent="0.25">
      <c r="A13" s="22"/>
      <c r="B13" s="24">
        <v>5</v>
      </c>
      <c r="C13" s="48">
        <f>Electricity!C12</f>
        <v>47</v>
      </c>
      <c r="D13" s="49">
        <f>Electricity!D12</f>
        <v>248</v>
      </c>
      <c r="E13" s="84"/>
      <c r="F13" s="26">
        <v>82.703620357634108</v>
      </c>
      <c r="G13" s="51">
        <f t="shared" si="2"/>
        <v>1310025.3464649243</v>
      </c>
      <c r="H13" s="50"/>
      <c r="I13" s="52">
        <v>41.351810178817054</v>
      </c>
      <c r="J13" s="51">
        <f t="shared" si="3"/>
        <v>655012.67323246214</v>
      </c>
      <c r="K13" s="50"/>
      <c r="L13" s="26">
        <v>4.17</v>
      </c>
      <c r="M13" s="27">
        <f t="shared" si="0"/>
        <v>66052.800000000003</v>
      </c>
      <c r="N13" s="50"/>
      <c r="O13" s="26">
        <v>7.14</v>
      </c>
      <c r="P13" s="52">
        <f t="shared" si="4"/>
        <v>113097.59999999999</v>
      </c>
      <c r="Q13" s="53">
        <f t="shared" si="5"/>
        <v>2144188.4196973867</v>
      </c>
      <c r="R13" s="54">
        <f t="shared" si="1"/>
        <v>149.09870104286119</v>
      </c>
      <c r="S13" s="23"/>
    </row>
    <row r="14" spans="1:21" x14ac:dyDescent="0.25">
      <c r="A14" s="22"/>
      <c r="B14" s="24">
        <v>6</v>
      </c>
      <c r="C14" s="48">
        <f>Electricity!C13</f>
        <v>47</v>
      </c>
      <c r="D14" s="49">
        <f>Electricity!D13</f>
        <v>263</v>
      </c>
      <c r="E14" s="84"/>
      <c r="F14" s="26">
        <v>87.96496836313618</v>
      </c>
      <c r="G14" s="51">
        <f t="shared" si="2"/>
        <v>1393365.0988720772</v>
      </c>
      <c r="H14" s="50"/>
      <c r="I14" s="52">
        <v>43.98248418156809</v>
      </c>
      <c r="J14" s="51">
        <f t="shared" si="3"/>
        <v>696682.54943603859</v>
      </c>
      <c r="K14" s="50"/>
      <c r="L14" s="26">
        <v>4.17</v>
      </c>
      <c r="M14" s="27">
        <f t="shared" si="0"/>
        <v>66052.800000000003</v>
      </c>
      <c r="N14" s="50"/>
      <c r="O14" s="26">
        <v>7.14</v>
      </c>
      <c r="P14" s="52">
        <f t="shared" si="4"/>
        <v>113097.59999999999</v>
      </c>
      <c r="Q14" s="53">
        <f t="shared" si="5"/>
        <v>2269198.0483081159</v>
      </c>
      <c r="R14" s="54">
        <f t="shared" si="1"/>
        <v>157.79139477839621</v>
      </c>
      <c r="S14" s="23"/>
    </row>
    <row r="15" spans="1:21" x14ac:dyDescent="0.25">
      <c r="A15" s="22"/>
      <c r="B15" s="24">
        <v>7</v>
      </c>
      <c r="C15" s="48">
        <f>Electricity!C14</f>
        <v>51</v>
      </c>
      <c r="D15" s="49">
        <f>Electricity!D14</f>
        <v>423</v>
      </c>
      <c r="E15" s="84"/>
      <c r="F15" s="26">
        <v>144.08601375515818</v>
      </c>
      <c r="G15" s="51">
        <f t="shared" si="2"/>
        <v>2282322.4578817054</v>
      </c>
      <c r="H15" s="50"/>
      <c r="I15" s="52">
        <v>72.043006877579089</v>
      </c>
      <c r="J15" s="51">
        <f t="shared" si="3"/>
        <v>1141161.2289408527</v>
      </c>
      <c r="K15" s="50"/>
      <c r="L15" s="26">
        <v>4.17</v>
      </c>
      <c r="M15" s="27">
        <f t="shared" si="0"/>
        <v>66052.800000000003</v>
      </c>
      <c r="N15" s="50"/>
      <c r="O15" s="26">
        <v>7.14</v>
      </c>
      <c r="P15" s="52">
        <f t="shared" si="4"/>
        <v>113097.59999999999</v>
      </c>
      <c r="Q15" s="53">
        <f t="shared" si="5"/>
        <v>3602634.0868225582</v>
      </c>
      <c r="R15" s="54">
        <f t="shared" si="1"/>
        <v>250.51346129076964</v>
      </c>
      <c r="S15" s="23"/>
    </row>
    <row r="16" spans="1:21" x14ac:dyDescent="0.25">
      <c r="A16" s="22"/>
      <c r="B16" s="24">
        <v>8</v>
      </c>
      <c r="C16" s="48">
        <f>Electricity!C15</f>
        <v>46</v>
      </c>
      <c r="D16" s="49">
        <f>Electricity!D15</f>
        <v>292</v>
      </c>
      <c r="E16" s="84"/>
      <c r="F16" s="26">
        <v>98.136907840440173</v>
      </c>
      <c r="G16" s="51">
        <f t="shared" si="2"/>
        <v>1554488.6201925722</v>
      </c>
      <c r="H16" s="50"/>
      <c r="I16" s="52">
        <v>49.068453920220087</v>
      </c>
      <c r="J16" s="51">
        <f t="shared" si="3"/>
        <v>777244.31009628612</v>
      </c>
      <c r="K16" s="50"/>
      <c r="L16" s="26">
        <v>4.17</v>
      </c>
      <c r="M16" s="27">
        <f t="shared" si="0"/>
        <v>66052.800000000003</v>
      </c>
      <c r="N16" s="50"/>
      <c r="O16" s="26">
        <v>7.14</v>
      </c>
      <c r="P16" s="52">
        <f t="shared" si="4"/>
        <v>113097.59999999999</v>
      </c>
      <c r="Q16" s="53">
        <f t="shared" si="5"/>
        <v>2510883.3302888586</v>
      </c>
      <c r="R16" s="54">
        <f t="shared" si="1"/>
        <v>174.5972693337639</v>
      </c>
      <c r="S16" s="23"/>
    </row>
    <row r="17" spans="1:19" x14ac:dyDescent="0.25">
      <c r="A17" s="22"/>
      <c r="B17" s="24">
        <v>9</v>
      </c>
      <c r="C17" s="48">
        <f>Electricity!C16</f>
        <v>46</v>
      </c>
      <c r="D17" s="49">
        <f>Electricity!D16</f>
        <v>268</v>
      </c>
      <c r="E17" s="85"/>
      <c r="F17" s="26">
        <v>89.71875103163687</v>
      </c>
      <c r="G17" s="51">
        <f t="shared" si="2"/>
        <v>1421145.0163411279</v>
      </c>
      <c r="H17" s="50"/>
      <c r="I17" s="52">
        <v>44.859375515818435</v>
      </c>
      <c r="J17" s="51">
        <f t="shared" si="3"/>
        <v>710572.50817056396</v>
      </c>
      <c r="K17" s="50"/>
      <c r="L17" s="26">
        <v>4.17</v>
      </c>
      <c r="M17" s="27">
        <f t="shared" si="0"/>
        <v>66052.800000000003</v>
      </c>
      <c r="N17" s="50"/>
      <c r="O17" s="26">
        <v>7.14</v>
      </c>
      <c r="P17" s="52">
        <f t="shared" si="4"/>
        <v>113097.59999999999</v>
      </c>
      <c r="Q17" s="53">
        <f t="shared" si="5"/>
        <v>2310867.924511692</v>
      </c>
      <c r="R17" s="54">
        <f t="shared" si="1"/>
        <v>160.68895935690787</v>
      </c>
      <c r="S17" s="23"/>
    </row>
    <row r="18" spans="1:19" x14ac:dyDescent="0.25">
      <c r="A18" s="22"/>
      <c r="B18" s="24">
        <v>10</v>
      </c>
      <c r="C18" s="48">
        <f>Electricity!C17</f>
        <v>42</v>
      </c>
      <c r="D18" s="49">
        <f>Electricity!D17</f>
        <v>301</v>
      </c>
      <c r="E18" s="84"/>
      <c r="F18" s="26">
        <v>101.29371664374139</v>
      </c>
      <c r="G18" s="51">
        <f t="shared" si="2"/>
        <v>1604492.4716368637</v>
      </c>
      <c r="H18" s="50"/>
      <c r="I18" s="52">
        <v>50.646858321870695</v>
      </c>
      <c r="J18" s="51">
        <f t="shared" si="3"/>
        <v>802246.23581843183</v>
      </c>
      <c r="K18" s="50"/>
      <c r="L18" s="26">
        <v>4.17</v>
      </c>
      <c r="M18" s="27">
        <f t="shared" si="0"/>
        <v>66052.800000000003</v>
      </c>
      <c r="N18" s="50"/>
      <c r="O18" s="26">
        <v>7.14</v>
      </c>
      <c r="P18" s="52">
        <f t="shared" si="4"/>
        <v>113097.59999999999</v>
      </c>
      <c r="Q18" s="53">
        <f t="shared" si="5"/>
        <v>2585889.1074552955</v>
      </c>
      <c r="R18" s="54">
        <f t="shared" si="1"/>
        <v>179.81288557508486</v>
      </c>
      <c r="S18" s="23"/>
    </row>
    <row r="19" spans="1:19" x14ac:dyDescent="0.25">
      <c r="A19" s="22"/>
      <c r="B19" s="24">
        <v>11</v>
      </c>
      <c r="C19" s="48">
        <f>Electricity!C18</f>
        <v>51</v>
      </c>
      <c r="D19" s="49">
        <f>Electricity!D18</f>
        <v>253</v>
      </c>
      <c r="E19" s="84"/>
      <c r="F19" s="26">
        <v>84.457403026134799</v>
      </c>
      <c r="G19" s="51">
        <f t="shared" si="2"/>
        <v>1337805.2639339752</v>
      </c>
      <c r="H19" s="50"/>
      <c r="I19" s="52">
        <v>42.228701513067399</v>
      </c>
      <c r="J19" s="51">
        <f t="shared" si="3"/>
        <v>668902.63196698762</v>
      </c>
      <c r="K19" s="50"/>
      <c r="L19" s="26">
        <v>4.17</v>
      </c>
      <c r="M19" s="27">
        <f t="shared" si="0"/>
        <v>66052.800000000003</v>
      </c>
      <c r="N19" s="50"/>
      <c r="O19" s="26">
        <v>7.14</v>
      </c>
      <c r="P19" s="52">
        <f t="shared" si="4"/>
        <v>113097.59999999999</v>
      </c>
      <c r="Q19" s="53">
        <f t="shared" si="5"/>
        <v>2185858.2959009628</v>
      </c>
      <c r="R19" s="54">
        <f t="shared" si="1"/>
        <v>151.99626562137283</v>
      </c>
      <c r="S19" s="23"/>
    </row>
    <row r="20" spans="1:19" x14ac:dyDescent="0.25">
      <c r="A20" s="22"/>
      <c r="B20" s="24">
        <v>12</v>
      </c>
      <c r="C20" s="48">
        <f>Electricity!C19</f>
        <v>51</v>
      </c>
      <c r="D20" s="49">
        <f>Electricity!D19</f>
        <v>270</v>
      </c>
      <c r="E20" s="84"/>
      <c r="F20" s="26">
        <v>90.420264099037141</v>
      </c>
      <c r="G20" s="51">
        <f t="shared" si="2"/>
        <v>1432256.9833287483</v>
      </c>
      <c r="H20" s="50"/>
      <c r="I20" s="52">
        <v>45.21013204951857</v>
      </c>
      <c r="J20" s="51">
        <f t="shared" si="3"/>
        <v>716128.49166437413</v>
      </c>
      <c r="K20" s="50"/>
      <c r="L20" s="26">
        <v>4.17</v>
      </c>
      <c r="M20" s="27">
        <f t="shared" si="0"/>
        <v>66052.800000000003</v>
      </c>
      <c r="N20" s="50"/>
      <c r="O20" s="26">
        <v>7.14</v>
      </c>
      <c r="P20" s="52">
        <f t="shared" si="4"/>
        <v>113097.59999999999</v>
      </c>
      <c r="Q20" s="53">
        <f t="shared" si="5"/>
        <v>2327535.8749931226</v>
      </c>
      <c r="R20" s="54">
        <f t="shared" si="1"/>
        <v>161.84798518831255</v>
      </c>
      <c r="S20" s="23"/>
    </row>
    <row r="21" spans="1:19" x14ac:dyDescent="0.25">
      <c r="A21" s="22"/>
      <c r="B21" s="24">
        <v>13</v>
      </c>
      <c r="C21" s="48">
        <f>Electricity!C20</f>
        <v>54</v>
      </c>
      <c r="D21" s="49">
        <f>Electricity!D20</f>
        <v>320</v>
      </c>
      <c r="E21" s="84"/>
      <c r="F21" s="26">
        <v>107.95809078404402</v>
      </c>
      <c r="G21" s="51">
        <f t="shared" si="2"/>
        <v>1710056.1580192572</v>
      </c>
      <c r="H21" s="50"/>
      <c r="I21" s="52">
        <v>53.979045392022009</v>
      </c>
      <c r="J21" s="51">
        <f t="shared" si="3"/>
        <v>855028.07900962862</v>
      </c>
      <c r="K21" s="50"/>
      <c r="L21" s="26">
        <v>4.17</v>
      </c>
      <c r="M21" s="27">
        <f t="shared" si="0"/>
        <v>66052.800000000003</v>
      </c>
      <c r="N21" s="50"/>
      <c r="O21" s="26">
        <v>7.14</v>
      </c>
      <c r="P21" s="52">
        <f t="shared" si="4"/>
        <v>113097.59999999999</v>
      </c>
      <c r="Q21" s="53">
        <f t="shared" si="5"/>
        <v>2744234.637028886</v>
      </c>
      <c r="R21" s="54">
        <f t="shared" si="1"/>
        <v>190.82363097342926</v>
      </c>
      <c r="S21" s="23"/>
    </row>
    <row r="22" spans="1:19" x14ac:dyDescent="0.25">
      <c r="A22" s="22"/>
      <c r="B22" s="24">
        <v>14</v>
      </c>
      <c r="C22" s="48">
        <f>Electricity!C21</f>
        <v>49</v>
      </c>
      <c r="D22" s="49">
        <f>Electricity!D21</f>
        <v>263</v>
      </c>
      <c r="E22" s="84"/>
      <c r="F22" s="26">
        <v>87.96496836313618</v>
      </c>
      <c r="G22" s="51">
        <f t="shared" si="2"/>
        <v>1393365.0988720772</v>
      </c>
      <c r="H22" s="50"/>
      <c r="I22" s="52">
        <v>43.98248418156809</v>
      </c>
      <c r="J22" s="51">
        <f t="shared" si="3"/>
        <v>696682.54943603859</v>
      </c>
      <c r="K22" s="50"/>
      <c r="L22" s="26">
        <v>4.17</v>
      </c>
      <c r="M22" s="27">
        <f t="shared" si="0"/>
        <v>66052.800000000003</v>
      </c>
      <c r="N22" s="50"/>
      <c r="O22" s="26">
        <v>7.14</v>
      </c>
      <c r="P22" s="52">
        <f t="shared" si="4"/>
        <v>113097.59999999999</v>
      </c>
      <c r="Q22" s="53">
        <f t="shared" si="5"/>
        <v>2269198.0483081159</v>
      </c>
      <c r="R22" s="54">
        <f t="shared" si="1"/>
        <v>157.79139477839621</v>
      </c>
      <c r="S22" s="23"/>
    </row>
    <row r="23" spans="1:19" x14ac:dyDescent="0.25">
      <c r="A23" s="22"/>
      <c r="B23" s="24">
        <v>15</v>
      </c>
      <c r="C23" s="48">
        <f>Electricity!C22</f>
        <v>45</v>
      </c>
      <c r="D23" s="49">
        <f>Electricity!D22</f>
        <v>292</v>
      </c>
      <c r="E23" s="84"/>
      <c r="F23" s="26">
        <v>98.136907840440173</v>
      </c>
      <c r="G23" s="51">
        <f t="shared" si="2"/>
        <v>1554488.6201925722</v>
      </c>
      <c r="H23" s="50"/>
      <c r="I23" s="52">
        <v>49.068453920220087</v>
      </c>
      <c r="J23" s="51">
        <f t="shared" si="3"/>
        <v>777244.31009628612</v>
      </c>
      <c r="K23" s="50"/>
      <c r="L23" s="26">
        <v>4.17</v>
      </c>
      <c r="M23" s="27">
        <f t="shared" si="0"/>
        <v>66052.800000000003</v>
      </c>
      <c r="N23" s="50"/>
      <c r="O23" s="26">
        <v>7.14</v>
      </c>
      <c r="P23" s="52">
        <f t="shared" si="4"/>
        <v>113097.59999999999</v>
      </c>
      <c r="Q23" s="53">
        <f t="shared" si="5"/>
        <v>2510883.3302888586</v>
      </c>
      <c r="R23" s="54">
        <f t="shared" si="1"/>
        <v>174.5972693337639</v>
      </c>
      <c r="S23" s="23"/>
    </row>
    <row r="24" spans="1:19" x14ac:dyDescent="0.25">
      <c r="A24" s="22"/>
      <c r="B24" s="24">
        <v>16</v>
      </c>
      <c r="C24" s="48">
        <f>Electricity!C23</f>
        <v>45</v>
      </c>
      <c r="D24" s="49">
        <f>Electricity!D23</f>
        <v>251</v>
      </c>
      <c r="E24" s="84"/>
      <c r="F24" s="26">
        <v>83.755889958734528</v>
      </c>
      <c r="G24" s="51">
        <f t="shared" si="2"/>
        <v>1326693.2969463549</v>
      </c>
      <c r="H24" s="50"/>
      <c r="I24" s="52">
        <v>41.877944979367264</v>
      </c>
      <c r="J24" s="51">
        <f t="shared" si="3"/>
        <v>663346.64847317745</v>
      </c>
      <c r="K24" s="50"/>
      <c r="L24" s="26"/>
      <c r="M24" s="27">
        <f t="shared" si="0"/>
        <v>0</v>
      </c>
      <c r="N24" s="50"/>
      <c r="O24" s="26">
        <v>7.14</v>
      </c>
      <c r="P24" s="52">
        <f t="shared" si="4"/>
        <v>113097.59999999999</v>
      </c>
      <c r="Q24" s="53">
        <f t="shared" si="5"/>
        <v>2103137.5454195323</v>
      </c>
      <c r="R24" s="54">
        <f t="shared" si="1"/>
        <v>146.24417950208834</v>
      </c>
      <c r="S24" s="23"/>
    </row>
    <row r="25" spans="1:19" x14ac:dyDescent="0.25">
      <c r="A25" s="22"/>
      <c r="B25" s="24">
        <v>17</v>
      </c>
      <c r="C25" s="48">
        <f>Electricity!C24</f>
        <v>47</v>
      </c>
      <c r="D25" s="49">
        <f>Electricity!D24</f>
        <v>293</v>
      </c>
      <c r="E25" s="84"/>
      <c r="F25" s="26">
        <v>98.487664374140309</v>
      </c>
      <c r="G25" s="51">
        <f t="shared" si="2"/>
        <v>1560044.6036863825</v>
      </c>
      <c r="H25" s="50"/>
      <c r="I25" s="52">
        <v>49.243832187070154</v>
      </c>
      <c r="J25" s="51">
        <f t="shared" si="3"/>
        <v>780022.30184319126</v>
      </c>
      <c r="K25" s="50"/>
      <c r="L25" s="26">
        <v>4.17</v>
      </c>
      <c r="M25" s="27">
        <f t="shared" si="0"/>
        <v>66052.800000000003</v>
      </c>
      <c r="N25" s="50"/>
      <c r="O25" s="26">
        <v>7.14</v>
      </c>
      <c r="P25" s="52">
        <f t="shared" si="4"/>
        <v>113097.59999999999</v>
      </c>
      <c r="Q25" s="53">
        <f t="shared" si="5"/>
        <v>2519217.3055295739</v>
      </c>
      <c r="R25" s="54">
        <f t="shared" si="1"/>
        <v>175.17678224946624</v>
      </c>
      <c r="S25" s="23"/>
    </row>
    <row r="26" spans="1:19" x14ac:dyDescent="0.25">
      <c r="A26" s="22"/>
      <c r="B26" s="24">
        <v>18</v>
      </c>
      <c r="C26" s="48">
        <f>Electricity!C25</f>
        <v>41</v>
      </c>
      <c r="D26" s="49">
        <f>Electricity!D25</f>
        <v>262</v>
      </c>
      <c r="E26" s="84"/>
      <c r="F26" s="26">
        <v>87.614211829436044</v>
      </c>
      <c r="G26" s="51">
        <f t="shared" si="2"/>
        <v>1387809.1153782669</v>
      </c>
      <c r="H26" s="50"/>
      <c r="I26" s="52">
        <v>43.807105914718022</v>
      </c>
      <c r="J26" s="51">
        <f t="shared" si="3"/>
        <v>693904.55768913345</v>
      </c>
      <c r="K26" s="50"/>
      <c r="L26" s="26">
        <v>4.17</v>
      </c>
      <c r="M26" s="27">
        <f t="shared" si="0"/>
        <v>66052.800000000003</v>
      </c>
      <c r="N26" s="50"/>
      <c r="O26" s="26">
        <v>7.14</v>
      </c>
      <c r="P26" s="52">
        <f t="shared" si="4"/>
        <v>113097.59999999999</v>
      </c>
      <c r="Q26" s="53">
        <f t="shared" si="5"/>
        <v>2260864.0730674006</v>
      </c>
      <c r="R26" s="54">
        <f t="shared" si="1"/>
        <v>157.21188186269387</v>
      </c>
      <c r="S26" s="23"/>
    </row>
    <row r="27" spans="1:19" x14ac:dyDescent="0.25">
      <c r="A27" s="22"/>
      <c r="B27" s="24">
        <v>19</v>
      </c>
      <c r="C27" s="48">
        <f>Electricity!C26</f>
        <v>43</v>
      </c>
      <c r="D27" s="49">
        <f>Electricity!D26</f>
        <v>235</v>
      </c>
      <c r="E27" s="84"/>
      <c r="F27" s="26">
        <v>78.143785419532335</v>
      </c>
      <c r="G27" s="51">
        <f t="shared" si="2"/>
        <v>1237797.5610453922</v>
      </c>
      <c r="H27" s="50"/>
      <c r="I27" s="52">
        <v>39.071892709766168</v>
      </c>
      <c r="J27" s="51">
        <f t="shared" si="3"/>
        <v>618898.78052269609</v>
      </c>
      <c r="K27" s="50"/>
      <c r="L27" s="26">
        <v>4.17</v>
      </c>
      <c r="M27" s="27">
        <f t="shared" si="0"/>
        <v>66052.800000000003</v>
      </c>
      <c r="N27" s="50"/>
      <c r="O27" s="26">
        <v>7.14</v>
      </c>
      <c r="P27" s="52">
        <f t="shared" si="4"/>
        <v>113097.59999999999</v>
      </c>
      <c r="Q27" s="53">
        <f t="shared" si="5"/>
        <v>2035846.7415680885</v>
      </c>
      <c r="R27" s="54">
        <f t="shared" si="1"/>
        <v>141.56503313873085</v>
      </c>
      <c r="S27" s="23"/>
    </row>
    <row r="28" spans="1:19" x14ac:dyDescent="0.25">
      <c r="A28" s="22"/>
      <c r="B28" s="24">
        <v>20</v>
      </c>
      <c r="C28" s="48">
        <f>Electricity!C27</f>
        <v>38</v>
      </c>
      <c r="D28" s="49">
        <f>Electricity!D27</f>
        <v>229</v>
      </c>
      <c r="E28" s="84"/>
      <c r="F28" s="26">
        <v>76.039246217331495</v>
      </c>
      <c r="G28" s="51">
        <f t="shared" si="2"/>
        <v>1204461.6600825309</v>
      </c>
      <c r="H28" s="50"/>
      <c r="I28" s="52">
        <v>38.019623108665748</v>
      </c>
      <c r="J28" s="51">
        <f t="shared" si="3"/>
        <v>602230.83004126546</v>
      </c>
      <c r="K28" s="50"/>
      <c r="L28" s="26">
        <v>4.17</v>
      </c>
      <c r="M28" s="27">
        <f t="shared" si="0"/>
        <v>66052.800000000003</v>
      </c>
      <c r="N28" s="50"/>
      <c r="O28" s="26">
        <v>7.14</v>
      </c>
      <c r="P28" s="52">
        <f t="shared" si="4"/>
        <v>113097.59999999999</v>
      </c>
      <c r="Q28" s="53">
        <f t="shared" si="5"/>
        <v>1985842.8901237966</v>
      </c>
      <c r="R28" s="54">
        <f t="shared" si="1"/>
        <v>138.08795564451682</v>
      </c>
      <c r="S28" s="23"/>
    </row>
    <row r="29" spans="1:19" x14ac:dyDescent="0.25">
      <c r="A29" s="22"/>
      <c r="B29" s="24">
        <v>21</v>
      </c>
      <c r="C29" s="48">
        <f>Electricity!C28</f>
        <v>45</v>
      </c>
      <c r="D29" s="49">
        <f>Electricity!D28</f>
        <v>223</v>
      </c>
      <c r="E29" s="84"/>
      <c r="F29" s="26">
        <v>73.93470701513067</v>
      </c>
      <c r="G29" s="51">
        <f t="shared" si="2"/>
        <v>1171125.7591196699</v>
      </c>
      <c r="H29" s="50"/>
      <c r="I29" s="52">
        <v>36.967353507565335</v>
      </c>
      <c r="J29" s="51">
        <f t="shared" si="3"/>
        <v>585562.87955983495</v>
      </c>
      <c r="K29" s="50"/>
      <c r="L29" s="26">
        <v>4.17</v>
      </c>
      <c r="M29" s="27">
        <f t="shared" si="0"/>
        <v>66052.800000000003</v>
      </c>
      <c r="N29" s="50"/>
      <c r="O29" s="26">
        <v>7.14</v>
      </c>
      <c r="P29" s="52">
        <f t="shared" si="4"/>
        <v>113097.59999999999</v>
      </c>
      <c r="Q29" s="53">
        <f t="shared" si="5"/>
        <v>1935839.038679505</v>
      </c>
      <c r="R29" s="54">
        <f t="shared" si="1"/>
        <v>134.61087815030282</v>
      </c>
      <c r="S29" s="23"/>
    </row>
    <row r="30" spans="1:19" x14ac:dyDescent="0.25">
      <c r="A30" s="22"/>
      <c r="B30" s="24">
        <v>22</v>
      </c>
      <c r="C30" s="48">
        <f>Electricity!C29</f>
        <v>52</v>
      </c>
      <c r="D30" s="49">
        <f>Electricity!D29</f>
        <v>301</v>
      </c>
      <c r="E30" s="84"/>
      <c r="F30" s="26">
        <v>101.29371664374139</v>
      </c>
      <c r="G30" s="51">
        <f t="shared" si="2"/>
        <v>1604492.4716368637</v>
      </c>
      <c r="H30" s="50"/>
      <c r="I30" s="52">
        <v>50.646858321870695</v>
      </c>
      <c r="J30" s="51">
        <f t="shared" si="3"/>
        <v>802246.23581843183</v>
      </c>
      <c r="K30" s="50"/>
      <c r="L30" s="26">
        <v>4.17</v>
      </c>
      <c r="M30" s="27">
        <f t="shared" si="0"/>
        <v>66052.800000000003</v>
      </c>
      <c r="N30" s="50"/>
      <c r="O30" s="26">
        <v>7.14</v>
      </c>
      <c r="P30" s="52">
        <f t="shared" si="4"/>
        <v>113097.59999999999</v>
      </c>
      <c r="Q30" s="53">
        <f t="shared" si="5"/>
        <v>2585889.1074552955</v>
      </c>
      <c r="R30" s="54">
        <f t="shared" si="1"/>
        <v>179.81288557508486</v>
      </c>
      <c r="S30" s="23"/>
    </row>
    <row r="31" spans="1:19" x14ac:dyDescent="0.25">
      <c r="A31" s="22"/>
      <c r="B31" s="24">
        <v>23</v>
      </c>
      <c r="C31" s="48">
        <f>Electricity!C30</f>
        <v>56</v>
      </c>
      <c r="D31" s="49">
        <f>Electricity!D30</f>
        <v>300</v>
      </c>
      <c r="E31" s="84"/>
      <c r="F31" s="26">
        <v>100.94296011004127</v>
      </c>
      <c r="G31" s="51">
        <f t="shared" si="2"/>
        <v>1598936.4881430536</v>
      </c>
      <c r="H31" s="50"/>
      <c r="I31" s="52">
        <v>50.471480055020635</v>
      </c>
      <c r="J31" s="51">
        <f t="shared" si="3"/>
        <v>799468.2440715268</v>
      </c>
      <c r="K31" s="50"/>
      <c r="L31" s="26">
        <v>4.17</v>
      </c>
      <c r="M31" s="27">
        <f t="shared" si="0"/>
        <v>66052.800000000003</v>
      </c>
      <c r="N31" s="50"/>
      <c r="O31" s="26">
        <v>7.14</v>
      </c>
      <c r="P31" s="52">
        <f t="shared" si="4"/>
        <v>113097.59999999999</v>
      </c>
      <c r="Q31" s="53">
        <f t="shared" si="5"/>
        <v>2577555.1322145807</v>
      </c>
      <c r="R31" s="54">
        <f t="shared" si="1"/>
        <v>179.23337265938255</v>
      </c>
      <c r="S31" s="23"/>
    </row>
    <row r="32" spans="1:19" x14ac:dyDescent="0.25">
      <c r="A32" s="22"/>
      <c r="B32" s="24">
        <v>24</v>
      </c>
      <c r="C32" s="48">
        <f>Electricity!C31</f>
        <v>58</v>
      </c>
      <c r="D32" s="49">
        <f>Electricity!D31</f>
        <v>354</v>
      </c>
      <c r="E32" s="84"/>
      <c r="F32" s="83">
        <v>119.88381292984869</v>
      </c>
      <c r="G32" s="51">
        <f t="shared" si="2"/>
        <v>1898959.5968088033</v>
      </c>
      <c r="H32" s="50"/>
      <c r="I32" s="52">
        <v>59.941906464924344</v>
      </c>
      <c r="J32" s="51">
        <f t="shared" si="3"/>
        <v>949479.79840440163</v>
      </c>
      <c r="K32" s="50"/>
      <c r="L32" s="26">
        <v>4.17</v>
      </c>
      <c r="M32" s="27">
        <f t="shared" si="0"/>
        <v>66052.800000000003</v>
      </c>
      <c r="N32" s="50"/>
      <c r="O32" s="26">
        <v>7.14</v>
      </c>
      <c r="P32" s="52">
        <f t="shared" si="4"/>
        <v>113097.59999999999</v>
      </c>
      <c r="Q32" s="53">
        <f t="shared" si="5"/>
        <v>3027589.7952132053</v>
      </c>
      <c r="R32" s="54">
        <f t="shared" si="1"/>
        <v>210.52707010730862</v>
      </c>
      <c r="S32" s="23"/>
    </row>
    <row r="33" spans="1:21" x14ac:dyDescent="0.25">
      <c r="A33" s="22"/>
      <c r="B33" s="24">
        <v>25</v>
      </c>
      <c r="C33" s="48">
        <f>Electricity!C32</f>
        <v>55</v>
      </c>
      <c r="D33" s="49">
        <f>Electricity!D32</f>
        <v>303</v>
      </c>
      <c r="E33" s="84"/>
      <c r="F33" s="83">
        <v>101.9952297111417</v>
      </c>
      <c r="G33" s="51">
        <f t="shared" si="2"/>
        <v>1615604.4386244847</v>
      </c>
      <c r="H33" s="50"/>
      <c r="I33" s="52">
        <v>50.997614855570852</v>
      </c>
      <c r="J33" s="51">
        <f t="shared" si="3"/>
        <v>807802.21931224235</v>
      </c>
      <c r="K33" s="50"/>
      <c r="L33" s="26">
        <v>4.17</v>
      </c>
      <c r="M33" s="27">
        <f t="shared" si="0"/>
        <v>66052.800000000003</v>
      </c>
      <c r="N33" s="50"/>
      <c r="O33" s="26">
        <v>7.14</v>
      </c>
      <c r="P33" s="52">
        <f t="shared" si="4"/>
        <v>113097.59999999999</v>
      </c>
      <c r="Q33" s="53">
        <f t="shared" si="5"/>
        <v>2602557.0579367271</v>
      </c>
      <c r="R33" s="54">
        <f t="shared" si="1"/>
        <v>180.9719114064896</v>
      </c>
      <c r="S33" s="23"/>
    </row>
    <row r="34" spans="1:21" x14ac:dyDescent="0.25">
      <c r="A34" s="22"/>
      <c r="B34" s="24">
        <v>26</v>
      </c>
      <c r="C34" s="48">
        <f>Electricity!C33</f>
        <v>49</v>
      </c>
      <c r="D34" s="49">
        <f>Electricity!D33</f>
        <v>282</v>
      </c>
      <c r="E34" s="84"/>
      <c r="F34" s="83">
        <v>94.629342503438792</v>
      </c>
      <c r="G34" s="51">
        <f t="shared" si="2"/>
        <v>1498928.7852544705</v>
      </c>
      <c r="H34" s="50"/>
      <c r="I34" s="52">
        <v>47.314671251719396</v>
      </c>
      <c r="J34" s="51">
        <f t="shared" si="3"/>
        <v>749464.39262723527</v>
      </c>
      <c r="K34" s="50"/>
      <c r="L34" s="26">
        <v>4.17</v>
      </c>
      <c r="M34" s="27">
        <f t="shared" si="0"/>
        <v>66052.800000000003</v>
      </c>
      <c r="N34" s="50"/>
      <c r="O34" s="26">
        <v>7.14</v>
      </c>
      <c r="P34" s="52">
        <f t="shared" si="4"/>
        <v>113097.59999999999</v>
      </c>
      <c r="Q34" s="53">
        <f t="shared" si="5"/>
        <v>2427543.5778817059</v>
      </c>
      <c r="R34" s="54">
        <f t="shared" si="1"/>
        <v>168.80214017674055</v>
      </c>
      <c r="S34" s="23"/>
    </row>
    <row r="35" spans="1:21" x14ac:dyDescent="0.25">
      <c r="A35" s="22"/>
      <c r="B35" s="24">
        <v>27</v>
      </c>
      <c r="C35" s="48">
        <f>Electricity!C34</f>
        <v>45</v>
      </c>
      <c r="D35" s="49">
        <f>Electricity!D34</f>
        <v>278</v>
      </c>
      <c r="E35" s="84"/>
      <c r="F35" s="83">
        <v>93.226316368638237</v>
      </c>
      <c r="G35" s="51">
        <f t="shared" si="2"/>
        <v>1476704.8512792296</v>
      </c>
      <c r="H35" s="50"/>
      <c r="I35" s="52">
        <v>46.613158184319119</v>
      </c>
      <c r="J35" s="51">
        <f t="shared" si="3"/>
        <v>738352.42563961481</v>
      </c>
      <c r="K35" s="50"/>
      <c r="L35" s="26">
        <v>4.17</v>
      </c>
      <c r="M35" s="27">
        <f t="shared" si="0"/>
        <v>66052.800000000003</v>
      </c>
      <c r="N35" s="50"/>
      <c r="O35" s="26">
        <v>7.14</v>
      </c>
      <c r="P35" s="52">
        <f t="shared" si="4"/>
        <v>113097.59999999999</v>
      </c>
      <c r="Q35" s="53">
        <f t="shared" si="5"/>
        <v>2394207.6769188447</v>
      </c>
      <c r="R35" s="54">
        <f t="shared" si="1"/>
        <v>166.4840885139312</v>
      </c>
      <c r="S35" s="23"/>
    </row>
    <row r="36" spans="1:21" x14ac:dyDescent="0.25">
      <c r="A36" s="22"/>
      <c r="B36" s="24">
        <v>28</v>
      </c>
      <c r="C36" s="48">
        <f>Electricity!C35</f>
        <v>44</v>
      </c>
      <c r="D36" s="49">
        <f>Electricity!D35</f>
        <v>276</v>
      </c>
      <c r="E36" s="84"/>
      <c r="F36" s="83">
        <v>92.524803301237966</v>
      </c>
      <c r="G36" s="51">
        <f t="shared" si="2"/>
        <v>1465592.8842916093</v>
      </c>
      <c r="H36" s="50"/>
      <c r="I36" s="52">
        <v>46.262401650618983</v>
      </c>
      <c r="J36" s="51">
        <f t="shared" si="3"/>
        <v>732796.44214580464</v>
      </c>
      <c r="K36" s="50"/>
      <c r="L36" s="26">
        <v>4.17</v>
      </c>
      <c r="M36" s="27">
        <f t="shared" si="0"/>
        <v>66052.800000000003</v>
      </c>
      <c r="N36" s="50"/>
      <c r="O36" s="26">
        <v>7.14</v>
      </c>
      <c r="P36" s="52">
        <f t="shared" si="4"/>
        <v>113097.59999999999</v>
      </c>
      <c r="Q36" s="53">
        <f t="shared" si="5"/>
        <v>2377539.7264374141</v>
      </c>
      <c r="R36" s="54">
        <f t="shared" si="1"/>
        <v>165.32506268252652</v>
      </c>
      <c r="S36" s="23"/>
    </row>
    <row r="37" spans="1:21" x14ac:dyDescent="0.25">
      <c r="A37" s="22"/>
      <c r="B37" s="24">
        <v>29</v>
      </c>
      <c r="C37" s="48">
        <f>Electricity!C36</f>
        <v>42</v>
      </c>
      <c r="D37" s="49">
        <f>Electricity!D36</f>
        <v>252</v>
      </c>
      <c r="E37" s="82"/>
      <c r="F37" s="83">
        <v>84.106646492434677</v>
      </c>
      <c r="G37" s="51">
        <f t="shared" si="2"/>
        <v>1332249.2804401652</v>
      </c>
      <c r="H37" s="50"/>
      <c r="I37" s="52">
        <v>42.053323246217339</v>
      </c>
      <c r="J37" s="51">
        <f t="shared" si="3"/>
        <v>666124.6402200826</v>
      </c>
      <c r="K37" s="50"/>
      <c r="L37" s="26">
        <v>4.17</v>
      </c>
      <c r="M37" s="27">
        <f t="shared" si="0"/>
        <v>66052.800000000003</v>
      </c>
      <c r="N37" s="50"/>
      <c r="O37" s="26">
        <v>7.14</v>
      </c>
      <c r="P37" s="52">
        <f t="shared" si="4"/>
        <v>113097.59999999999</v>
      </c>
      <c r="Q37" s="53">
        <f t="shared" si="5"/>
        <v>2177524.3206602479</v>
      </c>
      <c r="R37" s="54">
        <f t="shared" si="1"/>
        <v>151.41675270567055</v>
      </c>
      <c r="S37" s="23"/>
    </row>
    <row r="38" spans="1:21" x14ac:dyDescent="0.25">
      <c r="A38" s="22"/>
      <c r="B38" s="24">
        <v>30</v>
      </c>
      <c r="C38" s="48">
        <f>Electricity!C37</f>
        <v>50</v>
      </c>
      <c r="D38" s="49">
        <f>Electricity!D37</f>
        <v>292</v>
      </c>
      <c r="E38" s="82"/>
      <c r="F38" s="83">
        <v>98.136907840440173</v>
      </c>
      <c r="G38" s="51">
        <f t="shared" si="2"/>
        <v>1554488.6201925722</v>
      </c>
      <c r="H38" s="50"/>
      <c r="I38" s="52">
        <v>49.068453920220087</v>
      </c>
      <c r="J38" s="51">
        <f t="shared" si="3"/>
        <v>777244.31009628612</v>
      </c>
      <c r="K38" s="50"/>
      <c r="L38" s="26">
        <v>4.17</v>
      </c>
      <c r="M38" s="27">
        <f t="shared" si="0"/>
        <v>66052.800000000003</v>
      </c>
      <c r="N38" s="50"/>
      <c r="O38" s="26">
        <v>7.14</v>
      </c>
      <c r="P38" s="52">
        <f t="shared" si="4"/>
        <v>113097.59999999999</v>
      </c>
      <c r="Q38" s="53">
        <f t="shared" si="5"/>
        <v>2510883.3302888586</v>
      </c>
      <c r="R38" s="54">
        <f t="shared" si="1"/>
        <v>174.5972693337639</v>
      </c>
      <c r="S38" s="23"/>
    </row>
    <row r="39" spans="1:21" ht="15.75" thickBot="1" x14ac:dyDescent="0.3">
      <c r="A39" s="22"/>
      <c r="B39" s="24">
        <v>31</v>
      </c>
      <c r="C39" s="48">
        <f>Electricity!C38</f>
        <v>55</v>
      </c>
      <c r="D39" s="49">
        <f>Electricity!D38</f>
        <v>326</v>
      </c>
      <c r="E39" s="82"/>
      <c r="F39" s="83">
        <v>104.5594984869326</v>
      </c>
      <c r="G39" s="51">
        <f t="shared" si="2"/>
        <v>1656222.4560330124</v>
      </c>
      <c r="H39" s="50"/>
      <c r="I39" s="98">
        <v>55.031314993122429</v>
      </c>
      <c r="J39" s="51">
        <f t="shared" si="3"/>
        <v>871696.02949105925</v>
      </c>
      <c r="K39" s="50"/>
      <c r="L39" s="26">
        <v>4.17</v>
      </c>
      <c r="M39" s="27">
        <f t="shared" si="0"/>
        <v>66052.800000000003</v>
      </c>
      <c r="N39" s="50"/>
      <c r="O39" s="26">
        <v>7.14</v>
      </c>
      <c r="P39" s="52">
        <f t="shared" si="4"/>
        <v>113097.59999999999</v>
      </c>
      <c r="Q39" s="53">
        <f t="shared" si="5"/>
        <v>2707068.8855240718</v>
      </c>
      <c r="R39" s="54">
        <f t="shared" si="1"/>
        <v>188.23926608191863</v>
      </c>
      <c r="S39" s="23"/>
    </row>
    <row r="40" spans="1:21" s="12" customFormat="1" x14ac:dyDescent="0.25">
      <c r="C40" s="55">
        <f>SUM(C9:C39)</f>
        <v>1499</v>
      </c>
      <c r="D40" s="55">
        <f>SUM(D9:D39)</f>
        <v>8724</v>
      </c>
      <c r="E40" s="32"/>
      <c r="F40" s="32">
        <f>SUM(F9:F39)</f>
        <v>2921.6928685006883</v>
      </c>
      <c r="G40" s="42"/>
      <c r="H40" s="42"/>
      <c r="I40" s="32" t="s">
        <v>43</v>
      </c>
      <c r="J40" s="42"/>
      <c r="K40" s="42"/>
      <c r="L40" s="32" t="s">
        <v>43</v>
      </c>
      <c r="M40" s="42"/>
      <c r="N40" s="41"/>
      <c r="O40" s="32">
        <f>SUM(O9:O39)</f>
        <v>221.3399999999998</v>
      </c>
      <c r="P40" s="42"/>
      <c r="R40" s="95">
        <f>SUM(R9:R39)</f>
        <v>5211.7806103227103</v>
      </c>
      <c r="U40" s="37"/>
    </row>
    <row r="41" spans="1:21" x14ac:dyDescent="0.25">
      <c r="E41" s="56"/>
      <c r="F41" s="57"/>
      <c r="G41" s="43"/>
      <c r="H41" s="43"/>
      <c r="I41" s="43"/>
      <c r="J41" s="43"/>
      <c r="K41" s="43"/>
      <c r="L41" s="43"/>
      <c r="M41" s="43"/>
      <c r="N41" s="61" t="s">
        <v>44</v>
      </c>
      <c r="O41" s="65">
        <f>F40+O40</f>
        <v>3143.032868500688</v>
      </c>
      <c r="P41" s="58"/>
      <c r="Q41" s="32"/>
      <c r="R41" s="43"/>
      <c r="U41" s="39"/>
    </row>
    <row r="42" spans="1:21" x14ac:dyDescent="0.25">
      <c r="B42" s="59"/>
      <c r="E42" s="41"/>
      <c r="F42" s="42"/>
      <c r="G42" s="42"/>
      <c r="H42" s="42"/>
      <c r="I42" s="42"/>
      <c r="J42" s="42"/>
      <c r="K42" s="42"/>
      <c r="L42" s="42"/>
      <c r="M42" s="43"/>
      <c r="N42" s="41"/>
      <c r="O42" s="42"/>
      <c r="P42" s="42"/>
      <c r="Q42" s="44"/>
      <c r="R42" s="60"/>
    </row>
    <row r="43" spans="1:21" x14ac:dyDescent="0.25">
      <c r="E43" s="61"/>
      <c r="F43" s="61"/>
      <c r="G43" s="61"/>
      <c r="H43" s="61"/>
      <c r="I43" s="61"/>
      <c r="J43" s="61"/>
      <c r="K43" s="61"/>
      <c r="L43" s="61"/>
      <c r="M43" s="62"/>
      <c r="N43" s="61"/>
      <c r="O43" s="61"/>
      <c r="Q43" s="61"/>
      <c r="R43" s="63"/>
    </row>
    <row r="44" spans="1:21" x14ac:dyDescent="0.25">
      <c r="R44" s="63"/>
    </row>
  </sheetData>
  <mergeCells count="20">
    <mergeCell ref="E7:E8"/>
    <mergeCell ref="F7:F8"/>
    <mergeCell ref="H7:H8"/>
    <mergeCell ref="I7:I8"/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K16" sqref="K16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customWidth="1"/>
    <col min="4" max="4" width="8.42578125" style="21" customWidth="1"/>
    <col min="5" max="5" width="9.85546875" style="21" customWidth="1"/>
    <col min="6" max="6" width="8" style="78" bestFit="1" customWidth="1"/>
    <col min="7" max="7" width="13.28515625" style="78" bestFit="1" customWidth="1"/>
    <col min="8" max="8" width="16.28515625" style="33" customWidth="1"/>
    <col min="9" max="9" width="2.5703125" style="12" customWidth="1"/>
    <col min="11" max="11" width="21.5703125" customWidth="1"/>
  </cols>
  <sheetData>
    <row r="1" spans="1:9" ht="15.75" x14ac:dyDescent="0.25">
      <c r="B1" s="100" t="s">
        <v>45</v>
      </c>
      <c r="C1" s="100"/>
      <c r="D1" s="100"/>
      <c r="E1" s="100"/>
      <c r="F1" s="100"/>
      <c r="G1" s="100"/>
      <c r="H1" s="100"/>
    </row>
    <row r="2" spans="1:9" ht="15.75" x14ac:dyDescent="0.25">
      <c r="B2" s="100" t="s">
        <v>16</v>
      </c>
      <c r="C2" s="100"/>
      <c r="D2" s="100"/>
      <c r="E2" s="100"/>
      <c r="F2" s="100"/>
      <c r="G2" s="100"/>
      <c r="H2" s="100"/>
    </row>
    <row r="3" spans="1:9" x14ac:dyDescent="0.25">
      <c r="B3" s="15"/>
      <c r="C3" s="16"/>
      <c r="D3" s="17"/>
      <c r="E3" s="17"/>
      <c r="F3" s="66"/>
      <c r="G3" s="66"/>
      <c r="H3" s="16"/>
    </row>
    <row r="4" spans="1:9" x14ac:dyDescent="0.25">
      <c r="A4" s="67"/>
      <c r="B4" s="104">
        <v>43647</v>
      </c>
      <c r="C4" s="104"/>
      <c r="D4" s="104"/>
      <c r="E4" s="104"/>
      <c r="F4" s="104"/>
      <c r="G4" s="104"/>
      <c r="H4" s="104"/>
      <c r="I4" s="18"/>
    </row>
    <row r="5" spans="1:9" x14ac:dyDescent="0.25">
      <c r="A5" s="68"/>
      <c r="B5" s="99" t="s">
        <v>46</v>
      </c>
      <c r="C5" s="99" t="s">
        <v>18</v>
      </c>
      <c r="D5" s="99" t="s">
        <v>13</v>
      </c>
      <c r="E5" s="99" t="s">
        <v>47</v>
      </c>
      <c r="F5" s="99"/>
      <c r="G5" s="99"/>
      <c r="H5" s="99" t="s">
        <v>23</v>
      </c>
      <c r="I5" s="20"/>
    </row>
    <row r="6" spans="1:9" x14ac:dyDescent="0.25">
      <c r="A6" s="68"/>
      <c r="B6" s="99"/>
      <c r="C6" s="99"/>
      <c r="D6" s="99"/>
      <c r="E6" s="99"/>
      <c r="F6" s="99"/>
      <c r="G6" s="99"/>
      <c r="H6" s="99"/>
      <c r="I6" s="20"/>
    </row>
    <row r="7" spans="1:9" s="21" customFormat="1" ht="22.5" x14ac:dyDescent="0.25">
      <c r="A7" s="68"/>
      <c r="B7" s="99"/>
      <c r="C7" s="99"/>
      <c r="D7" s="99"/>
      <c r="E7" s="45" t="s">
        <v>36</v>
      </c>
      <c r="F7" s="110" t="s">
        <v>48</v>
      </c>
      <c r="G7" s="69" t="s">
        <v>40</v>
      </c>
      <c r="H7" s="99"/>
      <c r="I7" s="20"/>
    </row>
    <row r="8" spans="1:9" s="21" customFormat="1" x14ac:dyDescent="0.25">
      <c r="A8" s="68"/>
      <c r="B8" s="99"/>
      <c r="C8" s="99"/>
      <c r="D8" s="99"/>
      <c r="E8" s="70">
        <v>2745</v>
      </c>
      <c r="F8" s="110"/>
      <c r="G8" s="69">
        <v>10700</v>
      </c>
      <c r="H8" s="99"/>
      <c r="I8" s="20"/>
    </row>
    <row r="9" spans="1:9" x14ac:dyDescent="0.25">
      <c r="A9" s="71"/>
      <c r="B9" s="24">
        <v>1</v>
      </c>
      <c r="C9" s="25">
        <f>Gas!C9</f>
        <v>52</v>
      </c>
      <c r="D9" s="25">
        <f>Gas!D9</f>
        <v>267</v>
      </c>
      <c r="E9" s="72"/>
      <c r="F9" s="73">
        <v>230</v>
      </c>
      <c r="G9" s="73">
        <f t="shared" ref="G9:G39" si="0">F9*$G$8</f>
        <v>2461000</v>
      </c>
      <c r="H9" s="87">
        <f>G9/14381</f>
        <v>171.12857242194562</v>
      </c>
      <c r="I9" s="23"/>
    </row>
    <row r="10" spans="1:9" x14ac:dyDescent="0.25">
      <c r="A10" s="71"/>
      <c r="B10" s="24">
        <v>2</v>
      </c>
      <c r="C10" s="25">
        <f>Gas!C10</f>
        <v>56</v>
      </c>
      <c r="D10" s="25">
        <f>Gas!D10</f>
        <v>253</v>
      </c>
      <c r="E10" s="72"/>
      <c r="F10" s="74">
        <v>0</v>
      </c>
      <c r="G10" s="73">
        <f>F10*$G$8</f>
        <v>0</v>
      </c>
      <c r="H10" s="87">
        <f t="shared" ref="H10:H39" si="1">G10/14381</f>
        <v>0</v>
      </c>
      <c r="I10" s="23"/>
    </row>
    <row r="11" spans="1:9" x14ac:dyDescent="0.25">
      <c r="A11" s="71"/>
      <c r="B11" s="24">
        <v>3</v>
      </c>
      <c r="C11" s="25">
        <f>Gas!C11</f>
        <v>52</v>
      </c>
      <c r="D11" s="25">
        <f>Gas!D11</f>
        <v>308</v>
      </c>
      <c r="E11" s="72"/>
      <c r="F11" s="74">
        <v>0</v>
      </c>
      <c r="G11" s="73">
        <f t="shared" si="0"/>
        <v>0</v>
      </c>
      <c r="H11" s="87">
        <f t="shared" si="1"/>
        <v>0</v>
      </c>
      <c r="I11" s="23"/>
    </row>
    <row r="12" spans="1:9" x14ac:dyDescent="0.25">
      <c r="A12" s="71"/>
      <c r="B12" s="24">
        <v>4</v>
      </c>
      <c r="C12" s="25">
        <f>Gas!C12</f>
        <v>45</v>
      </c>
      <c r="D12" s="25">
        <f>Gas!D12</f>
        <v>246</v>
      </c>
      <c r="E12" s="72"/>
      <c r="F12" s="74">
        <v>0</v>
      </c>
      <c r="G12" s="73">
        <f t="shared" si="0"/>
        <v>0</v>
      </c>
      <c r="H12" s="87">
        <f t="shared" si="1"/>
        <v>0</v>
      </c>
      <c r="I12" s="23"/>
    </row>
    <row r="13" spans="1:9" x14ac:dyDescent="0.25">
      <c r="A13" s="71"/>
      <c r="B13" s="24">
        <v>5</v>
      </c>
      <c r="C13" s="25">
        <f>Gas!C13</f>
        <v>47</v>
      </c>
      <c r="D13" s="25">
        <f>Gas!D13</f>
        <v>248</v>
      </c>
      <c r="E13" s="72"/>
      <c r="F13" s="74">
        <v>0</v>
      </c>
      <c r="G13" s="73">
        <f t="shared" si="0"/>
        <v>0</v>
      </c>
      <c r="H13" s="87">
        <f t="shared" si="1"/>
        <v>0</v>
      </c>
      <c r="I13" s="23"/>
    </row>
    <row r="14" spans="1:9" x14ac:dyDescent="0.25">
      <c r="A14" s="71"/>
      <c r="B14" s="24">
        <v>6</v>
      </c>
      <c r="C14" s="25">
        <f>Gas!C14</f>
        <v>47</v>
      </c>
      <c r="D14" s="25">
        <f>Gas!D14</f>
        <v>263</v>
      </c>
      <c r="E14" s="72"/>
      <c r="F14" s="74">
        <v>0</v>
      </c>
      <c r="G14" s="73">
        <f t="shared" si="0"/>
        <v>0</v>
      </c>
      <c r="H14" s="87">
        <f t="shared" si="1"/>
        <v>0</v>
      </c>
      <c r="I14" s="23"/>
    </row>
    <row r="15" spans="1:9" x14ac:dyDescent="0.25">
      <c r="A15" s="71"/>
      <c r="B15" s="24">
        <v>7</v>
      </c>
      <c r="C15" s="25">
        <f>Gas!C15</f>
        <v>51</v>
      </c>
      <c r="D15" s="25">
        <f>Gas!D15</f>
        <v>423</v>
      </c>
      <c r="E15" s="72"/>
      <c r="F15" s="74">
        <v>0</v>
      </c>
      <c r="G15" s="73">
        <f t="shared" si="0"/>
        <v>0</v>
      </c>
      <c r="H15" s="87">
        <f t="shared" si="1"/>
        <v>0</v>
      </c>
      <c r="I15" s="23"/>
    </row>
    <row r="16" spans="1:9" x14ac:dyDescent="0.25">
      <c r="A16" s="71"/>
      <c r="B16" s="24">
        <v>8</v>
      </c>
      <c r="C16" s="25">
        <f>Gas!C16</f>
        <v>46</v>
      </c>
      <c r="D16" s="25">
        <f>Gas!D16</f>
        <v>292</v>
      </c>
      <c r="E16" s="72"/>
      <c r="F16" s="74">
        <v>60</v>
      </c>
      <c r="G16" s="73">
        <f t="shared" si="0"/>
        <v>642000</v>
      </c>
      <c r="H16" s="87">
        <f t="shared" si="1"/>
        <v>44.642236283985817</v>
      </c>
      <c r="I16" s="23"/>
    </row>
    <row r="17" spans="1:9" x14ac:dyDescent="0.25">
      <c r="A17" s="71"/>
      <c r="B17" s="24">
        <v>9</v>
      </c>
      <c r="C17" s="25">
        <f>Gas!C17</f>
        <v>46</v>
      </c>
      <c r="D17" s="25">
        <f>Gas!D17</f>
        <v>268</v>
      </c>
      <c r="E17" s="72"/>
      <c r="F17" s="74">
        <v>0</v>
      </c>
      <c r="G17" s="73">
        <f t="shared" si="0"/>
        <v>0</v>
      </c>
      <c r="H17" s="87">
        <f t="shared" si="1"/>
        <v>0</v>
      </c>
      <c r="I17" s="23"/>
    </row>
    <row r="18" spans="1:9" x14ac:dyDescent="0.25">
      <c r="A18" s="71"/>
      <c r="B18" s="24">
        <v>10</v>
      </c>
      <c r="C18" s="25">
        <f>Gas!C18</f>
        <v>42</v>
      </c>
      <c r="D18" s="25">
        <f>Gas!D18</f>
        <v>301</v>
      </c>
      <c r="E18" s="72"/>
      <c r="F18" s="74">
        <v>720</v>
      </c>
      <c r="G18" s="73">
        <f t="shared" si="0"/>
        <v>7704000</v>
      </c>
      <c r="H18" s="87">
        <f t="shared" si="1"/>
        <v>535.70683540782977</v>
      </c>
      <c r="I18" s="23"/>
    </row>
    <row r="19" spans="1:9" x14ac:dyDescent="0.25">
      <c r="A19" s="71"/>
      <c r="B19" s="24">
        <v>11</v>
      </c>
      <c r="C19" s="25">
        <f>Gas!C19</f>
        <v>51</v>
      </c>
      <c r="D19" s="25">
        <f>Gas!D19</f>
        <v>253</v>
      </c>
      <c r="E19" s="72"/>
      <c r="F19" s="74">
        <v>0</v>
      </c>
      <c r="G19" s="73">
        <f t="shared" si="0"/>
        <v>0</v>
      </c>
      <c r="H19" s="87">
        <f t="shared" si="1"/>
        <v>0</v>
      </c>
      <c r="I19" s="23"/>
    </row>
    <row r="20" spans="1:9" x14ac:dyDescent="0.25">
      <c r="A20" s="71"/>
      <c r="B20" s="24">
        <v>12</v>
      </c>
      <c r="C20" s="25">
        <f>Gas!C20</f>
        <v>51</v>
      </c>
      <c r="D20" s="25">
        <f>Gas!D20</f>
        <v>270</v>
      </c>
      <c r="E20" s="72"/>
      <c r="F20" s="74">
        <v>0</v>
      </c>
      <c r="G20" s="73">
        <f t="shared" si="0"/>
        <v>0</v>
      </c>
      <c r="H20" s="87">
        <f t="shared" si="1"/>
        <v>0</v>
      </c>
      <c r="I20" s="23"/>
    </row>
    <row r="21" spans="1:9" x14ac:dyDescent="0.25">
      <c r="A21" s="71"/>
      <c r="B21" s="24">
        <v>13</v>
      </c>
      <c r="C21" s="25">
        <f>Gas!C21</f>
        <v>54</v>
      </c>
      <c r="D21" s="25">
        <f>Gas!D21</f>
        <v>320</v>
      </c>
      <c r="E21" s="72"/>
      <c r="F21" s="74">
        <v>0</v>
      </c>
      <c r="G21" s="73">
        <f t="shared" si="0"/>
        <v>0</v>
      </c>
      <c r="H21" s="87">
        <f t="shared" si="1"/>
        <v>0</v>
      </c>
      <c r="I21" s="23"/>
    </row>
    <row r="22" spans="1:9" x14ac:dyDescent="0.25">
      <c r="A22" s="71"/>
      <c r="B22" s="24">
        <v>14</v>
      </c>
      <c r="C22" s="25">
        <f>Gas!C22</f>
        <v>49</v>
      </c>
      <c r="D22" s="25">
        <f>Gas!D22</f>
        <v>263</v>
      </c>
      <c r="E22" s="72"/>
      <c r="F22" s="74">
        <v>0</v>
      </c>
      <c r="G22" s="73">
        <f t="shared" si="0"/>
        <v>0</v>
      </c>
      <c r="H22" s="87">
        <f t="shared" si="1"/>
        <v>0</v>
      </c>
      <c r="I22" s="23"/>
    </row>
    <row r="23" spans="1:9" x14ac:dyDescent="0.25">
      <c r="A23" s="71"/>
      <c r="B23" s="24">
        <v>15</v>
      </c>
      <c r="C23" s="25">
        <f>Gas!C23</f>
        <v>45</v>
      </c>
      <c r="D23" s="25">
        <f>Gas!D23</f>
        <v>292</v>
      </c>
      <c r="E23" s="72"/>
      <c r="F23" s="74">
        <v>60</v>
      </c>
      <c r="G23" s="73">
        <f t="shared" si="0"/>
        <v>642000</v>
      </c>
      <c r="H23" s="87">
        <f t="shared" si="1"/>
        <v>44.642236283985817</v>
      </c>
      <c r="I23" s="23"/>
    </row>
    <row r="24" spans="1:9" x14ac:dyDescent="0.25">
      <c r="A24" s="71"/>
      <c r="B24" s="24">
        <v>16</v>
      </c>
      <c r="C24" s="25">
        <f>Gas!C24</f>
        <v>45</v>
      </c>
      <c r="D24" s="25">
        <f>Gas!D24</f>
        <v>251</v>
      </c>
      <c r="E24" s="72"/>
      <c r="F24" s="74">
        <v>0</v>
      </c>
      <c r="G24" s="73">
        <f t="shared" si="0"/>
        <v>0</v>
      </c>
      <c r="H24" s="87">
        <f t="shared" si="1"/>
        <v>0</v>
      </c>
      <c r="I24" s="23"/>
    </row>
    <row r="25" spans="1:9" x14ac:dyDescent="0.25">
      <c r="A25" s="71"/>
      <c r="B25" s="24">
        <v>17</v>
      </c>
      <c r="C25" s="25">
        <f>Gas!C25</f>
        <v>47</v>
      </c>
      <c r="D25" s="25">
        <f>Gas!D25</f>
        <v>293</v>
      </c>
      <c r="E25" s="72"/>
      <c r="F25" s="74">
        <v>0</v>
      </c>
      <c r="G25" s="73">
        <f t="shared" si="0"/>
        <v>0</v>
      </c>
      <c r="H25" s="87">
        <f t="shared" si="1"/>
        <v>0</v>
      </c>
      <c r="I25" s="23"/>
    </row>
    <row r="26" spans="1:9" x14ac:dyDescent="0.25">
      <c r="A26" s="71"/>
      <c r="B26" s="24">
        <v>18</v>
      </c>
      <c r="C26" s="25">
        <f>Gas!C26</f>
        <v>41</v>
      </c>
      <c r="D26" s="25">
        <f>Gas!D26</f>
        <v>262</v>
      </c>
      <c r="E26" s="72"/>
      <c r="F26" s="74">
        <v>0</v>
      </c>
      <c r="G26" s="73">
        <f t="shared" si="0"/>
        <v>0</v>
      </c>
      <c r="H26" s="87">
        <f t="shared" si="1"/>
        <v>0</v>
      </c>
      <c r="I26" s="23"/>
    </row>
    <row r="27" spans="1:9" x14ac:dyDescent="0.25">
      <c r="A27" s="71"/>
      <c r="B27" s="24">
        <v>19</v>
      </c>
      <c r="C27" s="25">
        <f>Gas!C27</f>
        <v>43</v>
      </c>
      <c r="D27" s="25">
        <f>Gas!D27</f>
        <v>235</v>
      </c>
      <c r="E27" s="72"/>
      <c r="F27" s="74">
        <v>0</v>
      </c>
      <c r="G27" s="73">
        <f t="shared" si="0"/>
        <v>0</v>
      </c>
      <c r="H27" s="87">
        <f t="shared" si="1"/>
        <v>0</v>
      </c>
      <c r="I27" s="23"/>
    </row>
    <row r="28" spans="1:9" x14ac:dyDescent="0.25">
      <c r="A28" s="71"/>
      <c r="B28" s="24">
        <v>20</v>
      </c>
      <c r="C28" s="25">
        <f>Gas!C28</f>
        <v>38</v>
      </c>
      <c r="D28" s="25">
        <f>Gas!D28</f>
        <v>229</v>
      </c>
      <c r="E28" s="72"/>
      <c r="F28" s="73">
        <v>0</v>
      </c>
      <c r="G28" s="73">
        <f t="shared" si="0"/>
        <v>0</v>
      </c>
      <c r="H28" s="87">
        <f t="shared" si="1"/>
        <v>0</v>
      </c>
      <c r="I28" s="23"/>
    </row>
    <row r="29" spans="1:9" x14ac:dyDescent="0.25">
      <c r="A29" s="71"/>
      <c r="B29" s="24">
        <v>21</v>
      </c>
      <c r="C29" s="25">
        <f>Gas!C29</f>
        <v>45</v>
      </c>
      <c r="D29" s="25">
        <f>Gas!D29</f>
        <v>223</v>
      </c>
      <c r="E29" s="72"/>
      <c r="F29" s="74">
        <v>0</v>
      </c>
      <c r="G29" s="73">
        <f t="shared" si="0"/>
        <v>0</v>
      </c>
      <c r="H29" s="87">
        <f t="shared" si="1"/>
        <v>0</v>
      </c>
      <c r="I29" s="23"/>
    </row>
    <row r="30" spans="1:9" x14ac:dyDescent="0.25">
      <c r="A30" s="71"/>
      <c r="B30" s="24">
        <v>22</v>
      </c>
      <c r="C30" s="25">
        <f>Gas!C30</f>
        <v>52</v>
      </c>
      <c r="D30" s="25">
        <f>Gas!D30</f>
        <v>301</v>
      </c>
      <c r="E30" s="72"/>
      <c r="F30" s="73">
        <v>60</v>
      </c>
      <c r="G30" s="73">
        <f t="shared" si="0"/>
        <v>642000</v>
      </c>
      <c r="H30" s="87">
        <f t="shared" si="1"/>
        <v>44.642236283985817</v>
      </c>
      <c r="I30" s="23"/>
    </row>
    <row r="31" spans="1:9" x14ac:dyDescent="0.25">
      <c r="A31" s="71"/>
      <c r="B31" s="24">
        <v>23</v>
      </c>
      <c r="C31" s="25">
        <f>Gas!C31</f>
        <v>56</v>
      </c>
      <c r="D31" s="25">
        <f>Gas!D31</f>
        <v>300</v>
      </c>
      <c r="E31" s="72"/>
      <c r="F31" s="73">
        <v>0</v>
      </c>
      <c r="G31" s="73">
        <f t="shared" si="0"/>
        <v>0</v>
      </c>
      <c r="H31" s="87">
        <f t="shared" si="1"/>
        <v>0</v>
      </c>
      <c r="I31" s="23"/>
    </row>
    <row r="32" spans="1:9" x14ac:dyDescent="0.25">
      <c r="A32" s="71"/>
      <c r="B32" s="24">
        <v>24</v>
      </c>
      <c r="C32" s="25">
        <f>Gas!C32</f>
        <v>58</v>
      </c>
      <c r="D32" s="25">
        <f>Gas!D32</f>
        <v>354</v>
      </c>
      <c r="E32" s="72"/>
      <c r="F32" s="73">
        <v>0</v>
      </c>
      <c r="G32" s="73"/>
      <c r="H32" s="87">
        <f t="shared" si="1"/>
        <v>0</v>
      </c>
      <c r="I32" s="23"/>
    </row>
    <row r="33" spans="1:11" x14ac:dyDescent="0.25">
      <c r="A33" s="71"/>
      <c r="B33" s="24">
        <v>25</v>
      </c>
      <c r="C33" s="25">
        <f>Gas!C33</f>
        <v>55</v>
      </c>
      <c r="D33" s="25">
        <f>Gas!D33</f>
        <v>303</v>
      </c>
      <c r="E33" s="72"/>
      <c r="F33" s="73">
        <v>0</v>
      </c>
      <c r="G33" s="73">
        <f t="shared" si="0"/>
        <v>0</v>
      </c>
      <c r="H33" s="87">
        <f t="shared" si="1"/>
        <v>0</v>
      </c>
      <c r="I33" s="23"/>
    </row>
    <row r="34" spans="1:11" x14ac:dyDescent="0.25">
      <c r="A34" s="71"/>
      <c r="B34" s="24">
        <v>26</v>
      </c>
      <c r="C34" s="25">
        <f>Gas!C34</f>
        <v>49</v>
      </c>
      <c r="D34" s="25">
        <f>Gas!D34</f>
        <v>282</v>
      </c>
      <c r="E34" s="72"/>
      <c r="F34" s="73">
        <v>0</v>
      </c>
      <c r="G34" s="73">
        <f t="shared" si="0"/>
        <v>0</v>
      </c>
      <c r="H34" s="87">
        <f t="shared" si="1"/>
        <v>0</v>
      </c>
      <c r="I34" s="23"/>
    </row>
    <row r="35" spans="1:11" x14ac:dyDescent="0.25">
      <c r="A35" s="71"/>
      <c r="B35" s="24">
        <v>27</v>
      </c>
      <c r="C35" s="25">
        <f>Gas!C35</f>
        <v>45</v>
      </c>
      <c r="D35" s="25">
        <f>Gas!D35</f>
        <v>278</v>
      </c>
      <c r="E35" s="72"/>
      <c r="F35" s="73">
        <v>0</v>
      </c>
      <c r="G35" s="73">
        <f t="shared" si="0"/>
        <v>0</v>
      </c>
      <c r="H35" s="87">
        <f t="shared" si="1"/>
        <v>0</v>
      </c>
      <c r="I35" s="23"/>
    </row>
    <row r="36" spans="1:11" x14ac:dyDescent="0.25">
      <c r="A36" s="71"/>
      <c r="B36" s="24">
        <v>28</v>
      </c>
      <c r="C36" s="25">
        <f>Gas!C36</f>
        <v>44</v>
      </c>
      <c r="D36" s="25">
        <f>Gas!D36</f>
        <v>276</v>
      </c>
      <c r="E36" s="72"/>
      <c r="F36" s="73">
        <v>0</v>
      </c>
      <c r="G36" s="73">
        <f t="shared" si="0"/>
        <v>0</v>
      </c>
      <c r="H36" s="87">
        <f t="shared" si="1"/>
        <v>0</v>
      </c>
      <c r="I36" s="23"/>
    </row>
    <row r="37" spans="1:11" x14ac:dyDescent="0.25">
      <c r="A37" s="71"/>
      <c r="B37" s="24">
        <v>29</v>
      </c>
      <c r="C37" s="25">
        <f>Gas!C37</f>
        <v>42</v>
      </c>
      <c r="D37" s="25">
        <f>Gas!D37</f>
        <v>252</v>
      </c>
      <c r="E37" s="72"/>
      <c r="F37" s="73">
        <v>60</v>
      </c>
      <c r="G37" s="73">
        <f t="shared" si="0"/>
        <v>642000</v>
      </c>
      <c r="H37" s="87">
        <f t="shared" si="1"/>
        <v>44.642236283985817</v>
      </c>
      <c r="I37" s="23"/>
    </row>
    <row r="38" spans="1:11" x14ac:dyDescent="0.25">
      <c r="A38" s="71"/>
      <c r="B38" s="24">
        <v>30</v>
      </c>
      <c r="C38" s="25">
        <f>Gas!C38</f>
        <v>50</v>
      </c>
      <c r="D38" s="25">
        <f>Gas!D38</f>
        <v>292</v>
      </c>
      <c r="E38" s="72"/>
      <c r="F38" s="73">
        <v>0</v>
      </c>
      <c r="G38" s="73">
        <f t="shared" si="0"/>
        <v>0</v>
      </c>
      <c r="H38" s="87">
        <f t="shared" si="1"/>
        <v>0</v>
      </c>
      <c r="I38" s="23"/>
    </row>
    <row r="39" spans="1:11" x14ac:dyDescent="0.25">
      <c r="A39" s="71"/>
      <c r="B39" s="24">
        <v>31</v>
      </c>
      <c r="C39" s="25">
        <f>Gas!C39</f>
        <v>55</v>
      </c>
      <c r="D39" s="25">
        <f>Gas!D39</f>
        <v>326</v>
      </c>
      <c r="E39" s="72"/>
      <c r="F39" s="73">
        <v>0</v>
      </c>
      <c r="G39" s="73">
        <f t="shared" si="0"/>
        <v>0</v>
      </c>
      <c r="H39" s="87">
        <f t="shared" si="1"/>
        <v>0</v>
      </c>
      <c r="I39" s="23"/>
    </row>
    <row r="40" spans="1:11" s="12" customFormat="1" x14ac:dyDescent="0.25">
      <c r="C40" s="32">
        <f>SUM(C9:C39)</f>
        <v>1499</v>
      </c>
      <c r="D40" s="32">
        <f>SUM(D9:D39)</f>
        <v>8724</v>
      </c>
      <c r="E40" s="32"/>
      <c r="F40" s="32">
        <f>SUM(F9:F39)</f>
        <v>1190</v>
      </c>
      <c r="G40" s="32"/>
      <c r="H40" s="75">
        <f>SUM(H9:H39)</f>
        <v>885.40435296571854</v>
      </c>
      <c r="K40" s="37"/>
    </row>
    <row r="41" spans="1:11" x14ac:dyDescent="0.25">
      <c r="E41" s="32"/>
      <c r="F41" s="76"/>
      <c r="G41" s="76"/>
      <c r="H41" s="43"/>
    </row>
    <row r="42" spans="1:11" x14ac:dyDescent="0.25">
      <c r="E42" s="61"/>
      <c r="F42" s="77"/>
      <c r="G42" s="77"/>
    </row>
    <row r="43" spans="1:11" x14ac:dyDescent="0.25">
      <c r="E43" s="61"/>
      <c r="F43" s="77"/>
      <c r="G43" s="77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3"/>
  <sheetViews>
    <sheetView tabSelected="1" workbookViewId="0">
      <selection activeCell="I9" sqref="I9:I39"/>
    </sheetView>
  </sheetViews>
  <sheetFormatPr defaultRowHeight="15" x14ac:dyDescent="0.25"/>
  <cols>
    <col min="1" max="1" width="2.5703125" style="12" customWidth="1"/>
    <col min="2" max="2" width="4.7109375" customWidth="1"/>
    <col min="3" max="3" width="6.42578125" customWidth="1"/>
    <col min="4" max="4" width="6.42578125" style="21" customWidth="1"/>
    <col min="5" max="5" width="9.42578125" style="33" customWidth="1"/>
    <col min="6" max="6" width="16.5703125" style="33" customWidth="1"/>
    <col min="7" max="7" width="10.28515625" style="33" customWidth="1"/>
    <col min="8" max="8" width="16.7109375" style="33" customWidth="1"/>
    <col min="9" max="9" width="10.28515625" style="33" customWidth="1"/>
    <col min="10" max="10" width="16.7109375" style="33" customWidth="1"/>
    <col min="11" max="11" width="16.28515625" style="33" customWidth="1"/>
    <col min="12" max="12" width="19.7109375" customWidth="1"/>
    <col min="13" max="13" width="2.5703125" style="12" customWidth="1"/>
    <col min="15" max="15" width="20.5703125" customWidth="1"/>
  </cols>
  <sheetData>
    <row r="2" spans="1:13" ht="15.75" x14ac:dyDescent="0.25">
      <c r="B2" s="100" t="s">
        <v>49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13" ht="15.75" x14ac:dyDescent="0.25">
      <c r="B3" s="100" t="s">
        <v>16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1:13" ht="8.25" customHeight="1" x14ac:dyDescent="0.25">
      <c r="B4" s="15"/>
      <c r="C4" s="16"/>
      <c r="D4" s="17"/>
      <c r="E4" s="16"/>
      <c r="F4" s="16"/>
      <c r="G4" s="16"/>
      <c r="H4" s="16"/>
      <c r="I4" s="16"/>
      <c r="J4" s="16"/>
      <c r="K4" s="16"/>
    </row>
    <row r="5" spans="1:13" x14ac:dyDescent="0.25">
      <c r="A5" s="18"/>
      <c r="B5" s="101">
        <v>43647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8"/>
    </row>
    <row r="6" spans="1:13" x14ac:dyDescent="0.25">
      <c r="A6" s="19"/>
      <c r="B6" s="99" t="s">
        <v>17</v>
      </c>
      <c r="C6" s="99" t="s">
        <v>50</v>
      </c>
      <c r="D6" s="99" t="s">
        <v>13</v>
      </c>
      <c r="E6" s="105" t="s">
        <v>51</v>
      </c>
      <c r="F6" s="105"/>
      <c r="G6" s="107" t="s">
        <v>52</v>
      </c>
      <c r="H6" s="107"/>
      <c r="I6" s="107"/>
      <c r="J6" s="107"/>
      <c r="K6" s="99" t="s">
        <v>53</v>
      </c>
      <c r="L6" s="99" t="s">
        <v>54</v>
      </c>
      <c r="M6" s="20"/>
    </row>
    <row r="7" spans="1:13" s="21" customFormat="1" x14ac:dyDescent="0.25">
      <c r="A7" s="19"/>
      <c r="B7" s="99"/>
      <c r="C7" s="99"/>
      <c r="D7" s="99"/>
      <c r="E7" s="99" t="s">
        <v>55</v>
      </c>
      <c r="F7" s="99" t="s">
        <v>56</v>
      </c>
      <c r="G7" s="99" t="s">
        <v>55</v>
      </c>
      <c r="H7" s="99" t="s">
        <v>57</v>
      </c>
      <c r="I7" s="99" t="s">
        <v>55</v>
      </c>
      <c r="J7" s="99" t="s">
        <v>58</v>
      </c>
      <c r="K7" s="99"/>
      <c r="L7" s="99"/>
      <c r="M7" s="20"/>
    </row>
    <row r="8" spans="1:13" x14ac:dyDescent="0.25">
      <c r="A8" s="22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23"/>
    </row>
    <row r="9" spans="1:13" x14ac:dyDescent="0.25">
      <c r="A9" s="22"/>
      <c r="B9" s="24">
        <v>1</v>
      </c>
      <c r="C9" s="25">
        <f>'Fuel Diesel'!C9</f>
        <v>52</v>
      </c>
      <c r="D9" s="25">
        <f>'Fuel Diesel'!D9</f>
        <v>267</v>
      </c>
      <c r="E9" s="26">
        <v>61</v>
      </c>
      <c r="F9" s="28">
        <f>E9*13582</f>
        <v>828502</v>
      </c>
      <c r="G9" s="26">
        <v>90</v>
      </c>
      <c r="H9" s="28">
        <f>G9*4000</f>
        <v>360000</v>
      </c>
      <c r="I9" s="26">
        <v>118</v>
      </c>
      <c r="J9" s="28">
        <f>I9*4000</f>
        <v>472000</v>
      </c>
      <c r="K9" s="26">
        <f t="shared" ref="K9:K39" si="0">F9+H9+J9</f>
        <v>1660502</v>
      </c>
      <c r="L9" s="79">
        <f>K9/14381</f>
        <v>115.46498852652806</v>
      </c>
      <c r="M9" s="23"/>
    </row>
    <row r="10" spans="1:13" x14ac:dyDescent="0.25">
      <c r="A10" s="22"/>
      <c r="B10" s="24">
        <v>2</v>
      </c>
      <c r="C10" s="25">
        <f>'Fuel Diesel'!C10</f>
        <v>56</v>
      </c>
      <c r="D10" s="25">
        <f>'Fuel Diesel'!D10</f>
        <v>253</v>
      </c>
      <c r="E10" s="26">
        <v>59</v>
      </c>
      <c r="F10" s="28">
        <f>E10*13582</f>
        <v>801338</v>
      </c>
      <c r="G10" s="26">
        <v>84</v>
      </c>
      <c r="H10" s="28">
        <f>G10*4000</f>
        <v>336000</v>
      </c>
      <c r="I10" s="26">
        <v>128</v>
      </c>
      <c r="J10" s="28">
        <f>I10*4000</f>
        <v>512000</v>
      </c>
      <c r="K10" s="26">
        <f t="shared" si="0"/>
        <v>1649338</v>
      </c>
      <c r="L10" s="79">
        <f t="shared" ref="L10:L39" si="1">K10/14381</f>
        <v>114.68868646130311</v>
      </c>
      <c r="M10" s="23"/>
    </row>
    <row r="11" spans="1:13" x14ac:dyDescent="0.25">
      <c r="A11" s="22"/>
      <c r="B11" s="24">
        <v>3</v>
      </c>
      <c r="C11" s="25">
        <f>'Fuel Diesel'!C11</f>
        <v>52</v>
      </c>
      <c r="D11" s="25">
        <f>'Fuel Diesel'!D11</f>
        <v>308</v>
      </c>
      <c r="E11" s="26">
        <v>50</v>
      </c>
      <c r="F11" s="28">
        <f t="shared" ref="F11:F39" si="2">E11*13582</f>
        <v>679100</v>
      </c>
      <c r="G11" s="26">
        <v>94</v>
      </c>
      <c r="H11" s="28">
        <f t="shared" ref="H11:H39" si="3">G11*4000</f>
        <v>376000</v>
      </c>
      <c r="I11" s="26">
        <v>104</v>
      </c>
      <c r="J11" s="28">
        <f t="shared" ref="J11:J39" si="4">I11*4000</f>
        <v>416000</v>
      </c>
      <c r="K11" s="26">
        <f t="shared" si="0"/>
        <v>1471100</v>
      </c>
      <c r="L11" s="79">
        <f t="shared" si="1"/>
        <v>102.29469438842918</v>
      </c>
      <c r="M11" s="23"/>
    </row>
    <row r="12" spans="1:13" x14ac:dyDescent="0.25">
      <c r="A12" s="22"/>
      <c r="B12" s="24">
        <v>4</v>
      </c>
      <c r="C12" s="25">
        <f>'Fuel Diesel'!C12</f>
        <v>45</v>
      </c>
      <c r="D12" s="25">
        <f>'Fuel Diesel'!D12</f>
        <v>246</v>
      </c>
      <c r="E12" s="26">
        <v>67</v>
      </c>
      <c r="F12" s="28">
        <f t="shared" si="2"/>
        <v>909994</v>
      </c>
      <c r="G12" s="26">
        <v>16</v>
      </c>
      <c r="H12" s="28">
        <f t="shared" si="3"/>
        <v>64000</v>
      </c>
      <c r="I12" s="26">
        <v>155</v>
      </c>
      <c r="J12" s="28">
        <f t="shared" si="4"/>
        <v>620000</v>
      </c>
      <c r="K12" s="26">
        <f t="shared" si="0"/>
        <v>1593994</v>
      </c>
      <c r="L12" s="79">
        <f t="shared" si="1"/>
        <v>110.84027536332661</v>
      </c>
      <c r="M12" s="23"/>
    </row>
    <row r="13" spans="1:13" x14ac:dyDescent="0.25">
      <c r="A13" s="22"/>
      <c r="B13" s="24">
        <v>5</v>
      </c>
      <c r="C13" s="25">
        <f>'Fuel Diesel'!C13</f>
        <v>47</v>
      </c>
      <c r="D13" s="25">
        <f>'Fuel Diesel'!D13</f>
        <v>248</v>
      </c>
      <c r="E13" s="26">
        <v>63</v>
      </c>
      <c r="F13" s="28">
        <f t="shared" si="2"/>
        <v>855666</v>
      </c>
      <c r="G13" s="26">
        <v>70</v>
      </c>
      <c r="H13" s="28">
        <f t="shared" si="3"/>
        <v>280000</v>
      </c>
      <c r="I13" s="26">
        <v>124</v>
      </c>
      <c r="J13" s="28">
        <f t="shared" si="4"/>
        <v>496000</v>
      </c>
      <c r="K13" s="26">
        <f t="shared" si="0"/>
        <v>1631666</v>
      </c>
      <c r="L13" s="79">
        <f t="shared" si="1"/>
        <v>113.45984284820248</v>
      </c>
      <c r="M13" s="23"/>
    </row>
    <row r="14" spans="1:13" x14ac:dyDescent="0.25">
      <c r="A14" s="22"/>
      <c r="B14" s="24">
        <v>6</v>
      </c>
      <c r="C14" s="25">
        <f>'Fuel Diesel'!C14</f>
        <v>47</v>
      </c>
      <c r="D14" s="25">
        <f>'Fuel Diesel'!D14</f>
        <v>263</v>
      </c>
      <c r="E14" s="26">
        <v>66</v>
      </c>
      <c r="F14" s="28">
        <f t="shared" si="2"/>
        <v>896412</v>
      </c>
      <c r="G14" s="26">
        <v>67</v>
      </c>
      <c r="H14" s="28">
        <f t="shared" si="3"/>
        <v>268000</v>
      </c>
      <c r="I14" s="26">
        <v>138</v>
      </c>
      <c r="J14" s="28">
        <f t="shared" si="4"/>
        <v>552000</v>
      </c>
      <c r="K14" s="26">
        <f t="shared" si="0"/>
        <v>1716412</v>
      </c>
      <c r="L14" s="79">
        <f t="shared" si="1"/>
        <v>119.3527571100758</v>
      </c>
      <c r="M14" s="23"/>
    </row>
    <row r="15" spans="1:13" x14ac:dyDescent="0.25">
      <c r="A15" s="22"/>
      <c r="B15" s="24">
        <v>7</v>
      </c>
      <c r="C15" s="25">
        <f>'Fuel Diesel'!C15</f>
        <v>51</v>
      </c>
      <c r="D15" s="25">
        <f>'Fuel Diesel'!D15</f>
        <v>423</v>
      </c>
      <c r="E15" s="26">
        <v>62</v>
      </c>
      <c r="F15" s="28">
        <f t="shared" si="2"/>
        <v>842084</v>
      </c>
      <c r="G15" s="26">
        <v>56</v>
      </c>
      <c r="H15" s="28">
        <f t="shared" si="3"/>
        <v>224000</v>
      </c>
      <c r="I15" s="26">
        <v>147</v>
      </c>
      <c r="J15" s="28">
        <f t="shared" si="4"/>
        <v>588000</v>
      </c>
      <c r="K15" s="26">
        <f t="shared" si="0"/>
        <v>1654084</v>
      </c>
      <c r="L15" s="79">
        <f t="shared" si="1"/>
        <v>115.01870523607538</v>
      </c>
      <c r="M15" s="23"/>
    </row>
    <row r="16" spans="1:13" x14ac:dyDescent="0.25">
      <c r="A16" s="22"/>
      <c r="B16" s="24">
        <v>8</v>
      </c>
      <c r="C16" s="25">
        <f>'Fuel Diesel'!C16</f>
        <v>46</v>
      </c>
      <c r="D16" s="25">
        <f>'Fuel Diesel'!D16</f>
        <v>292</v>
      </c>
      <c r="E16" s="26">
        <v>54</v>
      </c>
      <c r="F16" s="28">
        <f t="shared" si="2"/>
        <v>733428</v>
      </c>
      <c r="G16" s="26">
        <v>159</v>
      </c>
      <c r="H16" s="28">
        <f t="shared" si="3"/>
        <v>636000</v>
      </c>
      <c r="I16" s="26">
        <v>94</v>
      </c>
      <c r="J16" s="28">
        <f t="shared" si="4"/>
        <v>376000</v>
      </c>
      <c r="K16" s="26">
        <f t="shared" si="0"/>
        <v>1745428</v>
      </c>
      <c r="L16" s="79">
        <f t="shared" si="1"/>
        <v>121.37041930324735</v>
      </c>
      <c r="M16" s="23"/>
    </row>
    <row r="17" spans="1:13" x14ac:dyDescent="0.25">
      <c r="A17" s="22"/>
      <c r="B17" s="24">
        <v>9</v>
      </c>
      <c r="C17" s="25">
        <f>'Fuel Diesel'!C17</f>
        <v>46</v>
      </c>
      <c r="D17" s="25">
        <f>'Fuel Diesel'!D17</f>
        <v>268</v>
      </c>
      <c r="E17" s="26">
        <v>63</v>
      </c>
      <c r="F17" s="28">
        <f t="shared" si="2"/>
        <v>855666</v>
      </c>
      <c r="G17" s="26">
        <v>142</v>
      </c>
      <c r="H17" s="28">
        <f t="shared" si="3"/>
        <v>568000</v>
      </c>
      <c r="I17" s="26">
        <v>72</v>
      </c>
      <c r="J17" s="28">
        <f t="shared" si="4"/>
        <v>288000</v>
      </c>
      <c r="K17" s="26">
        <f t="shared" si="0"/>
        <v>1711666</v>
      </c>
      <c r="L17" s="79">
        <f t="shared" si="1"/>
        <v>119.02273833530353</v>
      </c>
      <c r="M17" s="23"/>
    </row>
    <row r="18" spans="1:13" x14ac:dyDescent="0.25">
      <c r="A18" s="22"/>
      <c r="B18" s="24">
        <v>10</v>
      </c>
      <c r="C18" s="25">
        <f>'Fuel Diesel'!C18</f>
        <v>42</v>
      </c>
      <c r="D18" s="25">
        <f>'Fuel Diesel'!D18</f>
        <v>301</v>
      </c>
      <c r="E18" s="26">
        <v>56</v>
      </c>
      <c r="F18" s="28">
        <f t="shared" si="2"/>
        <v>760592</v>
      </c>
      <c r="G18" s="26">
        <v>152</v>
      </c>
      <c r="H18" s="28">
        <f t="shared" si="3"/>
        <v>608000</v>
      </c>
      <c r="I18" s="26">
        <v>124</v>
      </c>
      <c r="J18" s="28">
        <f t="shared" si="4"/>
        <v>496000</v>
      </c>
      <c r="K18" s="26">
        <f t="shared" si="0"/>
        <v>1864592</v>
      </c>
      <c r="L18" s="79">
        <f t="shared" si="1"/>
        <v>129.65663027605868</v>
      </c>
      <c r="M18" s="23"/>
    </row>
    <row r="19" spans="1:13" x14ac:dyDescent="0.25">
      <c r="A19" s="22"/>
      <c r="B19" s="24">
        <v>11</v>
      </c>
      <c r="C19" s="25">
        <f>'Fuel Diesel'!C19</f>
        <v>51</v>
      </c>
      <c r="D19" s="25">
        <f>'Fuel Diesel'!D19</f>
        <v>253</v>
      </c>
      <c r="E19" s="26">
        <v>54</v>
      </c>
      <c r="F19" s="28">
        <f t="shared" si="2"/>
        <v>733428</v>
      </c>
      <c r="G19" s="26">
        <v>163</v>
      </c>
      <c r="H19" s="28">
        <f t="shared" si="3"/>
        <v>652000</v>
      </c>
      <c r="I19" s="26">
        <v>100</v>
      </c>
      <c r="J19" s="28">
        <f t="shared" si="4"/>
        <v>400000</v>
      </c>
      <c r="K19" s="26">
        <f t="shared" si="0"/>
        <v>1785428</v>
      </c>
      <c r="L19" s="79">
        <f t="shared" si="1"/>
        <v>124.15186704679786</v>
      </c>
      <c r="M19" s="23"/>
    </row>
    <row r="20" spans="1:13" x14ac:dyDescent="0.25">
      <c r="A20" s="22"/>
      <c r="B20" s="24">
        <v>12</v>
      </c>
      <c r="C20" s="25">
        <f>'Fuel Diesel'!C20</f>
        <v>51</v>
      </c>
      <c r="D20" s="25">
        <f>'Fuel Diesel'!D20</f>
        <v>270</v>
      </c>
      <c r="E20" s="26">
        <v>68</v>
      </c>
      <c r="F20" s="28">
        <f t="shared" si="2"/>
        <v>923576</v>
      </c>
      <c r="G20" s="26">
        <v>138</v>
      </c>
      <c r="H20" s="28">
        <f>G20*4000</f>
        <v>552000</v>
      </c>
      <c r="I20" s="26">
        <v>67</v>
      </c>
      <c r="J20" s="28">
        <f t="shared" si="4"/>
        <v>268000</v>
      </c>
      <c r="K20" s="26">
        <f t="shared" si="0"/>
        <v>1743576</v>
      </c>
      <c r="L20" s="79">
        <f t="shared" si="1"/>
        <v>121.24163827272095</v>
      </c>
      <c r="M20" s="23"/>
    </row>
    <row r="21" spans="1:13" x14ac:dyDescent="0.25">
      <c r="A21" s="22"/>
      <c r="B21" s="24">
        <v>13</v>
      </c>
      <c r="C21" s="25">
        <f>'Fuel Diesel'!C21</f>
        <v>54</v>
      </c>
      <c r="D21" s="25">
        <f>'Fuel Diesel'!D21</f>
        <v>320</v>
      </c>
      <c r="E21" s="26">
        <v>58</v>
      </c>
      <c r="F21" s="28">
        <f t="shared" si="2"/>
        <v>787756</v>
      </c>
      <c r="G21" s="26">
        <v>94</v>
      </c>
      <c r="H21" s="28">
        <f t="shared" si="3"/>
        <v>376000</v>
      </c>
      <c r="I21" s="26">
        <v>77</v>
      </c>
      <c r="J21" s="28">
        <f t="shared" si="4"/>
        <v>308000</v>
      </c>
      <c r="K21" s="26">
        <f t="shared" si="0"/>
        <v>1471756</v>
      </c>
      <c r="L21" s="79">
        <f t="shared" si="1"/>
        <v>102.34031013142341</v>
      </c>
      <c r="M21" s="23"/>
    </row>
    <row r="22" spans="1:13" x14ac:dyDescent="0.25">
      <c r="A22" s="22"/>
      <c r="B22" s="24">
        <v>14</v>
      </c>
      <c r="C22" s="25">
        <f>'Fuel Diesel'!C22</f>
        <v>49</v>
      </c>
      <c r="D22" s="25">
        <f>'Fuel Diesel'!D22</f>
        <v>263</v>
      </c>
      <c r="E22" s="26">
        <v>63</v>
      </c>
      <c r="F22" s="28">
        <f t="shared" si="2"/>
        <v>855666</v>
      </c>
      <c r="G22" s="26">
        <v>37</v>
      </c>
      <c r="H22" s="28">
        <f t="shared" si="3"/>
        <v>148000</v>
      </c>
      <c r="I22" s="26">
        <v>133</v>
      </c>
      <c r="J22" s="28">
        <f t="shared" si="4"/>
        <v>532000</v>
      </c>
      <c r="K22" s="26">
        <f t="shared" si="0"/>
        <v>1535666</v>
      </c>
      <c r="L22" s="79">
        <f t="shared" si="1"/>
        <v>106.78436826368124</v>
      </c>
      <c r="M22" s="23"/>
    </row>
    <row r="23" spans="1:13" x14ac:dyDescent="0.25">
      <c r="A23" s="22"/>
      <c r="B23" s="24">
        <v>15</v>
      </c>
      <c r="C23" s="25">
        <f>'Fuel Diesel'!C23</f>
        <v>45</v>
      </c>
      <c r="D23" s="25">
        <f>'Fuel Diesel'!D23</f>
        <v>292</v>
      </c>
      <c r="E23" s="26">
        <v>62</v>
      </c>
      <c r="F23" s="28">
        <f t="shared" si="2"/>
        <v>842084</v>
      </c>
      <c r="G23" s="26">
        <v>0</v>
      </c>
      <c r="H23" s="28">
        <f t="shared" si="3"/>
        <v>0</v>
      </c>
      <c r="I23" s="26">
        <v>151</v>
      </c>
      <c r="J23" s="28">
        <f t="shared" si="4"/>
        <v>604000</v>
      </c>
      <c r="K23" s="26">
        <f t="shared" si="0"/>
        <v>1446084</v>
      </c>
      <c r="L23" s="79">
        <f t="shared" si="1"/>
        <v>100.55517696961269</v>
      </c>
      <c r="M23" s="23"/>
    </row>
    <row r="24" spans="1:13" x14ac:dyDescent="0.25">
      <c r="A24" s="22"/>
      <c r="B24" s="24">
        <v>16</v>
      </c>
      <c r="C24" s="25">
        <f>'Fuel Diesel'!C24</f>
        <v>45</v>
      </c>
      <c r="D24" s="25">
        <f>'Fuel Diesel'!D24</f>
        <v>251</v>
      </c>
      <c r="E24" s="26">
        <v>65</v>
      </c>
      <c r="F24" s="28">
        <f t="shared" si="2"/>
        <v>882830</v>
      </c>
      <c r="G24" s="26">
        <v>1</v>
      </c>
      <c r="H24" s="28">
        <f t="shared" si="3"/>
        <v>4000</v>
      </c>
      <c r="I24" s="26">
        <v>138</v>
      </c>
      <c r="J24" s="28">
        <f t="shared" si="4"/>
        <v>552000</v>
      </c>
      <c r="K24" s="26">
        <f t="shared" si="0"/>
        <v>1438830</v>
      </c>
      <c r="L24" s="79">
        <f t="shared" si="1"/>
        <v>100.05076142131979</v>
      </c>
      <c r="M24" s="23"/>
    </row>
    <row r="25" spans="1:13" x14ac:dyDescent="0.25">
      <c r="A25" s="22"/>
      <c r="B25" s="24">
        <v>17</v>
      </c>
      <c r="C25" s="25">
        <f>'Fuel Diesel'!C25</f>
        <v>47</v>
      </c>
      <c r="D25" s="25">
        <f>'Fuel Diesel'!D25</f>
        <v>293</v>
      </c>
      <c r="E25" s="26">
        <v>63</v>
      </c>
      <c r="F25" s="28">
        <f t="shared" si="2"/>
        <v>855666</v>
      </c>
      <c r="G25" s="26">
        <v>0</v>
      </c>
      <c r="H25" s="28">
        <f t="shared" si="3"/>
        <v>0</v>
      </c>
      <c r="I25" s="26">
        <v>112</v>
      </c>
      <c r="J25" s="28">
        <f t="shared" si="4"/>
        <v>448000</v>
      </c>
      <c r="K25" s="26">
        <f t="shared" si="0"/>
        <v>1303666</v>
      </c>
      <c r="L25" s="79">
        <f t="shared" si="1"/>
        <v>90.651971351088235</v>
      </c>
      <c r="M25" s="23"/>
    </row>
    <row r="26" spans="1:13" x14ac:dyDescent="0.25">
      <c r="A26" s="22"/>
      <c r="B26" s="24">
        <v>18</v>
      </c>
      <c r="C26" s="25">
        <f>'Fuel Diesel'!C26</f>
        <v>41</v>
      </c>
      <c r="D26" s="25">
        <f>'Fuel Diesel'!D26</f>
        <v>262</v>
      </c>
      <c r="E26" s="26">
        <v>62</v>
      </c>
      <c r="F26" s="28">
        <f t="shared" si="2"/>
        <v>842084</v>
      </c>
      <c r="G26" s="26">
        <v>80</v>
      </c>
      <c r="H26" s="28">
        <f t="shared" si="3"/>
        <v>320000</v>
      </c>
      <c r="I26" s="26">
        <v>120</v>
      </c>
      <c r="J26" s="28">
        <f t="shared" si="4"/>
        <v>480000</v>
      </c>
      <c r="K26" s="26">
        <f t="shared" si="0"/>
        <v>1642084</v>
      </c>
      <c r="L26" s="79">
        <f t="shared" si="1"/>
        <v>114.18427091301022</v>
      </c>
      <c r="M26" s="23"/>
    </row>
    <row r="27" spans="1:13" x14ac:dyDescent="0.25">
      <c r="A27" s="22"/>
      <c r="B27" s="24">
        <v>19</v>
      </c>
      <c r="C27" s="25">
        <f>'Fuel Diesel'!C27</f>
        <v>43</v>
      </c>
      <c r="D27" s="25">
        <f>'Fuel Diesel'!D27</f>
        <v>235</v>
      </c>
      <c r="E27" s="26">
        <v>65</v>
      </c>
      <c r="F27" s="28">
        <f t="shared" si="2"/>
        <v>882830</v>
      </c>
      <c r="G27" s="26">
        <v>0</v>
      </c>
      <c r="H27" s="28">
        <f t="shared" si="3"/>
        <v>0</v>
      </c>
      <c r="I27" s="26">
        <v>115</v>
      </c>
      <c r="J27" s="28">
        <f t="shared" si="4"/>
        <v>460000</v>
      </c>
      <c r="K27" s="26">
        <f t="shared" si="0"/>
        <v>1342830</v>
      </c>
      <c r="L27" s="79">
        <f t="shared" si="1"/>
        <v>93.375286836798551</v>
      </c>
      <c r="M27" s="23"/>
    </row>
    <row r="28" spans="1:13" x14ac:dyDescent="0.25">
      <c r="A28" s="22"/>
      <c r="B28" s="24">
        <v>20</v>
      </c>
      <c r="C28" s="25">
        <f>'Fuel Diesel'!C28</f>
        <v>38</v>
      </c>
      <c r="D28" s="25">
        <f>'Fuel Diesel'!D28</f>
        <v>229</v>
      </c>
      <c r="E28" s="26">
        <v>74</v>
      </c>
      <c r="F28" s="28">
        <f t="shared" si="2"/>
        <v>1005068</v>
      </c>
      <c r="G28" s="26">
        <v>0</v>
      </c>
      <c r="H28" s="28">
        <f t="shared" si="3"/>
        <v>0</v>
      </c>
      <c r="I28" s="26">
        <v>95</v>
      </c>
      <c r="J28" s="28">
        <f t="shared" si="4"/>
        <v>380000</v>
      </c>
      <c r="K28" s="26">
        <f t="shared" si="0"/>
        <v>1385068</v>
      </c>
      <c r="L28" s="79">
        <f t="shared" si="1"/>
        <v>96.312356581600724</v>
      </c>
      <c r="M28" s="23"/>
    </row>
    <row r="29" spans="1:13" x14ac:dyDescent="0.25">
      <c r="A29" s="22"/>
      <c r="B29" s="24">
        <v>21</v>
      </c>
      <c r="C29" s="25">
        <f>'Fuel Diesel'!C29</f>
        <v>45</v>
      </c>
      <c r="D29" s="25">
        <f>'Fuel Diesel'!D29</f>
        <v>223</v>
      </c>
      <c r="E29" s="26">
        <v>72</v>
      </c>
      <c r="F29" s="28">
        <f t="shared" si="2"/>
        <v>977904</v>
      </c>
      <c r="G29" s="26">
        <v>64</v>
      </c>
      <c r="H29" s="28">
        <f t="shared" si="3"/>
        <v>256000</v>
      </c>
      <c r="I29" s="26">
        <v>76</v>
      </c>
      <c r="J29" s="28">
        <f t="shared" si="4"/>
        <v>304000</v>
      </c>
      <c r="K29" s="26">
        <f t="shared" si="0"/>
        <v>1537904</v>
      </c>
      <c r="L29" s="79">
        <f t="shared" si="1"/>
        <v>106.9399902649329</v>
      </c>
      <c r="M29" s="23"/>
    </row>
    <row r="30" spans="1:13" x14ac:dyDescent="0.25">
      <c r="A30" s="22"/>
      <c r="B30" s="24">
        <v>22</v>
      </c>
      <c r="C30" s="25">
        <f>'Fuel Diesel'!C30</f>
        <v>52</v>
      </c>
      <c r="D30" s="25">
        <f>'Fuel Diesel'!D30</f>
        <v>301</v>
      </c>
      <c r="E30" s="26">
        <v>64</v>
      </c>
      <c r="F30" s="28">
        <f t="shared" si="2"/>
        <v>869248</v>
      </c>
      <c r="G30" s="26">
        <v>63</v>
      </c>
      <c r="H30" s="28">
        <f t="shared" si="3"/>
        <v>252000</v>
      </c>
      <c r="I30" s="26">
        <v>86</v>
      </c>
      <c r="J30" s="28">
        <f t="shared" si="4"/>
        <v>344000</v>
      </c>
      <c r="K30" s="26">
        <f t="shared" si="0"/>
        <v>1465248</v>
      </c>
      <c r="L30" s="79">
        <f t="shared" si="1"/>
        <v>101.88776858354774</v>
      </c>
      <c r="M30" s="23"/>
    </row>
    <row r="31" spans="1:13" x14ac:dyDescent="0.25">
      <c r="A31" s="22"/>
      <c r="B31" s="24">
        <v>23</v>
      </c>
      <c r="C31" s="25">
        <f>'Fuel Diesel'!C31</f>
        <v>56</v>
      </c>
      <c r="D31" s="25">
        <f>'Fuel Diesel'!D31</f>
        <v>300</v>
      </c>
      <c r="E31" s="26">
        <v>54</v>
      </c>
      <c r="F31" s="28">
        <f t="shared" si="2"/>
        <v>733428</v>
      </c>
      <c r="G31" s="26">
        <v>56</v>
      </c>
      <c r="H31" s="28">
        <f t="shared" si="3"/>
        <v>224000</v>
      </c>
      <c r="I31" s="26">
        <v>91</v>
      </c>
      <c r="J31" s="28">
        <f t="shared" si="4"/>
        <v>364000</v>
      </c>
      <c r="K31" s="26">
        <f t="shared" si="0"/>
        <v>1321428</v>
      </c>
      <c r="L31" s="79">
        <f t="shared" si="1"/>
        <v>91.887073221611843</v>
      </c>
      <c r="M31" s="23"/>
    </row>
    <row r="32" spans="1:13" x14ac:dyDescent="0.25">
      <c r="A32" s="22"/>
      <c r="B32" s="24">
        <v>24</v>
      </c>
      <c r="C32" s="25">
        <f>'Fuel Diesel'!C32</f>
        <v>58</v>
      </c>
      <c r="D32" s="25">
        <f>'Fuel Diesel'!D32</f>
        <v>354</v>
      </c>
      <c r="E32" s="26">
        <v>62</v>
      </c>
      <c r="F32" s="28">
        <f t="shared" si="2"/>
        <v>842084</v>
      </c>
      <c r="G32" s="26">
        <v>76</v>
      </c>
      <c r="H32" s="28">
        <f t="shared" si="3"/>
        <v>304000</v>
      </c>
      <c r="I32" s="26">
        <v>82</v>
      </c>
      <c r="J32" s="28">
        <f t="shared" si="4"/>
        <v>328000</v>
      </c>
      <c r="K32" s="26">
        <f t="shared" si="0"/>
        <v>1474084</v>
      </c>
      <c r="L32" s="79">
        <f t="shared" si="1"/>
        <v>102.50219039009805</v>
      </c>
      <c r="M32" s="23"/>
    </row>
    <row r="33" spans="1:15" x14ac:dyDescent="0.25">
      <c r="A33" s="22"/>
      <c r="B33" s="24">
        <v>25</v>
      </c>
      <c r="C33" s="25">
        <f>'Fuel Diesel'!C33</f>
        <v>55</v>
      </c>
      <c r="D33" s="25">
        <f>'Fuel Diesel'!D33</f>
        <v>303</v>
      </c>
      <c r="E33" s="26">
        <v>52</v>
      </c>
      <c r="F33" s="28">
        <f t="shared" si="2"/>
        <v>706264</v>
      </c>
      <c r="G33" s="26">
        <v>75</v>
      </c>
      <c r="H33" s="28">
        <f t="shared" si="3"/>
        <v>300000</v>
      </c>
      <c r="I33" s="26">
        <v>79</v>
      </c>
      <c r="J33" s="28">
        <f t="shared" si="4"/>
        <v>316000</v>
      </c>
      <c r="K33" s="26">
        <f t="shared" si="0"/>
        <v>1322264</v>
      </c>
      <c r="L33" s="79">
        <f t="shared" si="1"/>
        <v>91.945205479452056</v>
      </c>
      <c r="M33" s="23"/>
    </row>
    <row r="34" spans="1:15" x14ac:dyDescent="0.25">
      <c r="A34" s="22"/>
      <c r="B34" s="24">
        <v>26</v>
      </c>
      <c r="C34" s="25">
        <f>'Fuel Diesel'!C34</f>
        <v>49</v>
      </c>
      <c r="D34" s="25">
        <f>'Fuel Diesel'!D34</f>
        <v>282</v>
      </c>
      <c r="E34" s="26">
        <v>53</v>
      </c>
      <c r="F34" s="28">
        <f t="shared" si="2"/>
        <v>719846</v>
      </c>
      <c r="G34" s="26">
        <v>81</v>
      </c>
      <c r="H34" s="28">
        <f t="shared" si="3"/>
        <v>324000</v>
      </c>
      <c r="I34" s="26">
        <v>85</v>
      </c>
      <c r="J34" s="28">
        <f t="shared" si="4"/>
        <v>340000</v>
      </c>
      <c r="K34" s="26">
        <f t="shared" si="0"/>
        <v>1383846</v>
      </c>
      <c r="L34" s="79">
        <f t="shared" si="1"/>
        <v>96.22738335303525</v>
      </c>
      <c r="M34" s="23"/>
    </row>
    <row r="35" spans="1:15" x14ac:dyDescent="0.25">
      <c r="A35" s="22"/>
      <c r="B35" s="24">
        <v>27</v>
      </c>
      <c r="C35" s="25">
        <f>'Fuel Diesel'!C35</f>
        <v>45</v>
      </c>
      <c r="D35" s="25">
        <f>'Fuel Diesel'!D35</f>
        <v>278</v>
      </c>
      <c r="E35" s="26">
        <v>60</v>
      </c>
      <c r="F35" s="28">
        <f t="shared" si="2"/>
        <v>814920</v>
      </c>
      <c r="G35" s="26">
        <v>81</v>
      </c>
      <c r="H35" s="28">
        <f t="shared" si="3"/>
        <v>324000</v>
      </c>
      <c r="I35" s="26">
        <v>88</v>
      </c>
      <c r="J35" s="28">
        <f t="shared" si="4"/>
        <v>352000</v>
      </c>
      <c r="K35" s="26">
        <f t="shared" si="0"/>
        <v>1490920</v>
      </c>
      <c r="L35" s="79">
        <f t="shared" si="1"/>
        <v>103.67290174535846</v>
      </c>
      <c r="M35" s="23"/>
    </row>
    <row r="36" spans="1:15" x14ac:dyDescent="0.25">
      <c r="A36" s="22"/>
      <c r="B36" s="24">
        <v>28</v>
      </c>
      <c r="C36" s="25">
        <f>'Fuel Diesel'!C36</f>
        <v>44</v>
      </c>
      <c r="D36" s="25">
        <f>'Fuel Diesel'!D36</f>
        <v>276</v>
      </c>
      <c r="E36" s="26">
        <v>51</v>
      </c>
      <c r="F36" s="28">
        <f t="shared" si="2"/>
        <v>692682</v>
      </c>
      <c r="G36" s="26">
        <v>88</v>
      </c>
      <c r="H36" s="28">
        <f t="shared" si="3"/>
        <v>352000</v>
      </c>
      <c r="I36" s="26">
        <v>93</v>
      </c>
      <c r="J36" s="28">
        <f t="shared" si="4"/>
        <v>372000</v>
      </c>
      <c r="K36" s="26">
        <f t="shared" si="0"/>
        <v>1416682</v>
      </c>
      <c r="L36" s="79">
        <f t="shared" si="1"/>
        <v>98.510673805715882</v>
      </c>
      <c r="M36" s="23"/>
    </row>
    <row r="37" spans="1:15" x14ac:dyDescent="0.25">
      <c r="A37" s="22"/>
      <c r="B37" s="24">
        <v>29</v>
      </c>
      <c r="C37" s="25">
        <f>'Fuel Diesel'!C37</f>
        <v>42</v>
      </c>
      <c r="D37" s="25">
        <f>'Fuel Diesel'!D37</f>
        <v>252</v>
      </c>
      <c r="E37" s="26">
        <v>50</v>
      </c>
      <c r="F37" s="28">
        <f t="shared" si="2"/>
        <v>679100</v>
      </c>
      <c r="G37" s="26">
        <v>79</v>
      </c>
      <c r="H37" s="28">
        <f t="shared" si="3"/>
        <v>316000</v>
      </c>
      <c r="I37" s="26">
        <v>84</v>
      </c>
      <c r="J37" s="28">
        <f t="shared" si="4"/>
        <v>336000</v>
      </c>
      <c r="K37" s="26">
        <f t="shared" si="0"/>
        <v>1331100</v>
      </c>
      <c r="L37" s="79">
        <f t="shared" si="1"/>
        <v>92.559627286002367</v>
      </c>
      <c r="M37" s="23"/>
    </row>
    <row r="38" spans="1:15" x14ac:dyDescent="0.25">
      <c r="A38" s="22"/>
      <c r="B38" s="24">
        <v>30</v>
      </c>
      <c r="C38" s="25">
        <f>'Fuel Diesel'!C38</f>
        <v>50</v>
      </c>
      <c r="D38" s="25">
        <f>'Fuel Diesel'!D38</f>
        <v>292</v>
      </c>
      <c r="E38" s="26">
        <v>65</v>
      </c>
      <c r="F38" s="28">
        <f t="shared" si="2"/>
        <v>882830</v>
      </c>
      <c r="G38" s="26">
        <v>80</v>
      </c>
      <c r="H38" s="28">
        <f t="shared" si="3"/>
        <v>320000</v>
      </c>
      <c r="I38" s="26">
        <v>86</v>
      </c>
      <c r="J38" s="28">
        <f t="shared" si="4"/>
        <v>344000</v>
      </c>
      <c r="K38" s="26">
        <f t="shared" si="0"/>
        <v>1546830</v>
      </c>
      <c r="L38" s="79">
        <f t="shared" si="1"/>
        <v>107.5606703289062</v>
      </c>
      <c r="M38" s="23"/>
    </row>
    <row r="39" spans="1:15" x14ac:dyDescent="0.25">
      <c r="A39" s="22"/>
      <c r="B39" s="24">
        <v>31</v>
      </c>
      <c r="C39" s="25">
        <f>'Fuel Diesel'!C39</f>
        <v>55</v>
      </c>
      <c r="D39" s="25">
        <f>'Fuel Diesel'!D39</f>
        <v>326</v>
      </c>
      <c r="E39" s="26">
        <v>70</v>
      </c>
      <c r="F39" s="28">
        <f t="shared" si="2"/>
        <v>950740</v>
      </c>
      <c r="G39" s="26">
        <v>84</v>
      </c>
      <c r="H39" s="28">
        <f t="shared" si="3"/>
        <v>336000</v>
      </c>
      <c r="I39" s="26">
        <v>88</v>
      </c>
      <c r="J39" s="28">
        <f t="shared" si="4"/>
        <v>352000</v>
      </c>
      <c r="K39" s="26">
        <f t="shared" si="0"/>
        <v>1638740</v>
      </c>
      <c r="L39" s="79">
        <f t="shared" si="1"/>
        <v>113.9517418816494</v>
      </c>
      <c r="M39" s="23"/>
    </row>
    <row r="40" spans="1:15" x14ac:dyDescent="0.25">
      <c r="C40" s="32">
        <f>SUM(C9:C39)</f>
        <v>1499</v>
      </c>
      <c r="D40" s="32">
        <f>SUM(D9:D39)</f>
        <v>8724</v>
      </c>
      <c r="E40" s="32">
        <v>0</v>
      </c>
      <c r="G40" s="32">
        <f>SUM(G9:G39)</f>
        <v>2270</v>
      </c>
      <c r="I40" s="32">
        <f>SUM(I9:I39)</f>
        <v>3250</v>
      </c>
      <c r="J40" s="94">
        <f>G40+I40</f>
        <v>5520</v>
      </c>
      <c r="K40" s="80"/>
      <c r="L40" s="88">
        <f>SUM(L9:L39)</f>
        <v>3318.4629719769141</v>
      </c>
      <c r="O40" s="37"/>
    </row>
    <row r="41" spans="1:15" x14ac:dyDescent="0.25">
      <c r="H41" s="93" t="s">
        <v>59</v>
      </c>
      <c r="I41" s="92">
        <f>G40+I40</f>
        <v>5520</v>
      </c>
      <c r="L41" s="38"/>
    </row>
    <row r="42" spans="1:15" x14ac:dyDescent="0.25">
      <c r="E42" s="21"/>
      <c r="F42" s="21"/>
      <c r="G42" s="21"/>
      <c r="H42" s="21"/>
      <c r="I42" s="81"/>
      <c r="J42" s="81"/>
      <c r="L42" s="40"/>
    </row>
    <row r="43" spans="1:15" x14ac:dyDescent="0.25">
      <c r="E43" s="21"/>
      <c r="F43" s="21"/>
      <c r="G43" s="21"/>
      <c r="H43" s="21"/>
      <c r="I43" s="81"/>
      <c r="J43" s="81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D9319F-D8DA-4DEC-917C-A19EA9EBC2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E7C3EE-387F-490E-B8F3-8C46524F4F71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3.xml><?xml version="1.0" encoding="utf-8"?>
<ds:datastoreItem xmlns:ds="http://schemas.openxmlformats.org/officeDocument/2006/customXml" ds:itemID="{0F90D190-23A8-484E-A6DE-2D42FDF3E6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Pamungkas</dc:creator>
  <cp:lastModifiedBy>Gek Amy</cp:lastModifiedBy>
  <dcterms:created xsi:type="dcterms:W3CDTF">2022-01-19T02:48:06Z</dcterms:created>
  <dcterms:modified xsi:type="dcterms:W3CDTF">2022-06-05T06:33:47Z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