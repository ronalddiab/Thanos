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<sst xmlns="http://schemas.openxmlformats.org/spreadsheetml/2006/main" count="94" uniqueCount="43">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</sst>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11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11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'FS Desroches'!F14</f>
        <v>12660</v>
      </c>
      <c r="F7" s="38">
        <f t="shared" si="1"/>
        <v>11.359820004894488</v>
      </c>
      <c r="G7" s="39">
        <f>'FS Desroches'!G14*0.51</f>
        <v>32.130000000000003</v>
      </c>
      <c r="H7" s="38">
        <f t="shared" si="2"/>
        <v>232.87671232876713</v>
      </c>
      <c r="I7" s="39">
        <f>'FS Desroches'!E14</f>
        <v>88.5</v>
      </c>
      <c r="J7" s="38">
        <f t="shared" si="3"/>
        <v>117.8082191780822</v>
      </c>
      <c r="K7" s="40">
        <f>'FS Desroches'!C14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'FS Desroches'!F15</f>
        <v>13530</v>
      </c>
      <c r="F8" s="38">
        <f t="shared" si="1"/>
        <v>11.359820004894488</v>
      </c>
      <c r="G8" s="39">
        <f>'FS Desroches'!G15*0.51</f>
        <v>26.52</v>
      </c>
      <c r="H8" s="38">
        <f t="shared" si="2"/>
        <v>232.87671232876713</v>
      </c>
      <c r="I8" s="39">
        <f>'FS Desroches'!E15</f>
        <v>101</v>
      </c>
      <c r="J8" s="38">
        <f t="shared" si="3"/>
        <v>117.8082191780822</v>
      </c>
      <c r="K8" s="40">
        <f>'FS Desroches'!C15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'FS Desroches'!F16</f>
        <v>12860</v>
      </c>
      <c r="F9" s="38">
        <f t="shared" si="1"/>
        <v>11.359820004894488</v>
      </c>
      <c r="G9" s="39">
        <f>'FS Desroches'!G16*0.51</f>
        <v>30.09</v>
      </c>
      <c r="H9" s="38">
        <f t="shared" si="2"/>
        <v>232.87671232876713</v>
      </c>
      <c r="I9" s="39">
        <f>'FS Desroches'!E16</f>
        <v>95</v>
      </c>
      <c r="J9" s="38">
        <f t="shared" si="3"/>
        <v>117.8082191780822</v>
      </c>
      <c r="K9" s="40">
        <f>'FS Desroches'!C16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'FS Desroches'!F17</f>
        <v>10880</v>
      </c>
      <c r="F10" s="38">
        <f t="shared" si="1"/>
        <v>11.359820004894488</v>
      </c>
      <c r="G10" s="39">
        <f>'FS Desroches'!G17*0.51</f>
        <v>32.130000000000003</v>
      </c>
      <c r="H10" s="38">
        <f t="shared" si="2"/>
        <v>232.87671232876713</v>
      </c>
      <c r="I10" s="39">
        <f>'FS Desroches'!E17</f>
        <v>87</v>
      </c>
      <c r="J10" s="38">
        <f t="shared" si="3"/>
        <v>117.8082191780822</v>
      </c>
      <c r="K10" s="40">
        <f>'FS Desroches'!C17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'FS Desroches'!F18</f>
        <v>11880</v>
      </c>
      <c r="F11" s="38">
        <f t="shared" si="1"/>
        <v>11.359820004894488</v>
      </c>
      <c r="G11" s="39">
        <f>'FS Desroches'!G18*0.51</f>
        <v>32.130000000000003</v>
      </c>
      <c r="H11" s="38">
        <f t="shared" si="2"/>
        <v>232.87671232876713</v>
      </c>
      <c r="I11" s="39">
        <f>'FS Desroches'!E18</f>
        <v>82.4</v>
      </c>
      <c r="J11" s="38">
        <f t="shared" si="3"/>
        <v>117.8082191780822</v>
      </c>
      <c r="K11" s="40">
        <f>'FS Desroches'!C18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'FS Desroches'!F19</f>
        <v>12500</v>
      </c>
      <c r="F12" s="38">
        <f t="shared" si="1"/>
        <v>11.359820004894488</v>
      </c>
      <c r="G12" s="39">
        <f>'FS Desroches'!G19*0.51</f>
        <v>35.700000000000003</v>
      </c>
      <c r="H12" s="38">
        <f t="shared" si="2"/>
        <v>232.87671232876713</v>
      </c>
      <c r="I12" s="39">
        <f>'FS Desroches'!E19</f>
        <v>85.8</v>
      </c>
      <c r="J12" s="38">
        <f t="shared" si="3"/>
        <v>117.8082191780822</v>
      </c>
      <c r="K12" s="40">
        <f>'FS Desroches'!C19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'FS Desroches'!F20</f>
        <v>12050</v>
      </c>
      <c r="F13" s="38">
        <f t="shared" si="1"/>
        <v>11.359820004894488</v>
      </c>
      <c r="G13" s="39">
        <f>'FS Desroches'!G20*0.51</f>
        <v>34.17</v>
      </c>
      <c r="H13" s="38">
        <f t="shared" si="2"/>
        <v>232.87671232876713</v>
      </c>
      <c r="I13" s="39">
        <f>'FS Desroches'!E20</f>
        <v>95.5</v>
      </c>
      <c r="J13" s="38">
        <f t="shared" si="3"/>
        <v>117.8082191780822</v>
      </c>
      <c r="K13" s="40">
        <f>'FS Desroches'!C20</f>
        <v>28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'FS Desroches'!F21</f>
        <v>12590</v>
      </c>
      <c r="F14" s="38">
        <f t="shared" si="1"/>
        <v>11.359820004894488</v>
      </c>
      <c r="G14" s="39">
        <f>'FS Desroches'!G21*0.51</f>
        <v>28.560000000000002</v>
      </c>
      <c r="H14" s="38">
        <f t="shared" si="2"/>
        <v>232.87671232876713</v>
      </c>
      <c r="I14" s="39">
        <f>'FS Desroches'!E21</f>
        <v>104</v>
      </c>
      <c r="J14" s="38">
        <f t="shared" si="3"/>
        <v>117.8082191780822</v>
      </c>
      <c r="K14" s="40">
        <f>'FS Desroches'!C21</f>
        <v>41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'FS Desroches'!F22</f>
        <v>14160</v>
      </c>
      <c r="F15" s="38">
        <f t="shared" si="1"/>
        <v>11.359820004894488</v>
      </c>
      <c r="G15" s="39">
        <f>'FS Desroches'!G22*0.51</f>
        <v>35.700000000000003</v>
      </c>
      <c r="H15" s="38">
        <f t="shared" si="2"/>
        <v>232.87671232876713</v>
      </c>
      <c r="I15" s="39">
        <f>'FS Desroches'!E22</f>
        <v>109</v>
      </c>
      <c r="J15" s="38">
        <f t="shared" si="3"/>
        <v>117.8082191780822</v>
      </c>
      <c r="K15" s="40">
        <f>'FS Desroches'!C22</f>
        <v>41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'FS Desroches'!F23</f>
        <v>13010</v>
      </c>
      <c r="F16" s="38">
        <f t="shared" si="1"/>
        <v>11.359820004894488</v>
      </c>
      <c r="G16" s="39">
        <f>'FS Desroches'!G23*0.51</f>
        <v>32.130000000000003</v>
      </c>
      <c r="H16" s="38">
        <f t="shared" si="2"/>
        <v>232.87671232876713</v>
      </c>
      <c r="I16" s="39">
        <f>'FS Desroches'!E23</f>
        <v>95.2</v>
      </c>
      <c r="J16" s="38">
        <f t="shared" si="3"/>
        <v>117.8082191780822</v>
      </c>
      <c r="K16" s="40">
        <f>'FS Desroches'!C23</f>
        <v>39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zoomScale="102" zoomScaleNormal="102" workbookViewId="0">
      <selection activeCell="T24" sqref="T24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>
        <v>0.28000000000000003</v>
      </c>
      <c r="C20" s="22">
        <v>28</v>
      </c>
      <c r="D20" s="22">
        <v>60</v>
      </c>
      <c r="E20" s="23">
        <v>95.5</v>
      </c>
      <c r="F20" s="24">
        <v>12050</v>
      </c>
      <c r="G20" s="25">
        <v>67</v>
      </c>
      <c r="H20" s="26">
        <f t="shared" si="3"/>
        <v>3.4107142857142856</v>
      </c>
      <c r="I20" s="27">
        <f t="shared" si="4"/>
        <v>430.35714285714283</v>
      </c>
      <c r="J20" s="28">
        <f t="shared" si="5"/>
        <v>2.3928571428571428</v>
      </c>
      <c r="K20" s="26">
        <f t="shared" si="0"/>
        <v>821.3</v>
      </c>
      <c r="L20" s="24">
        <f t="shared" si="1"/>
        <v>7832.5</v>
      </c>
      <c r="M20" s="28">
        <f t="shared" si="2"/>
        <v>512.54999999999995</v>
      </c>
      <c r="N20" s="26">
        <f t="shared" si="6"/>
        <v>13.688333333333333</v>
      </c>
      <c r="O20" s="27">
        <f t="shared" si="7"/>
        <v>130.54166666666666</v>
      </c>
      <c r="P20" s="28">
        <f t="shared" si="8"/>
        <v>8.5424999999999986</v>
      </c>
      <c r="Q20" s="22">
        <v>27.2</v>
      </c>
      <c r="R20" s="22" t="s">
        <v>42</v>
      </c>
      <c r="S20" s="22"/>
    </row>
    <row r="21" spans="1:19" x14ac:dyDescent="0.25">
      <c r="A21" s="20">
        <v>43782</v>
      </c>
      <c r="B21" s="21">
        <v>0.48</v>
      </c>
      <c r="C21" s="22">
        <v>41</v>
      </c>
      <c r="D21" s="22">
        <v>96</v>
      </c>
      <c r="E21" s="23">
        <v>104</v>
      </c>
      <c r="F21" s="24">
        <v>12590</v>
      </c>
      <c r="G21" s="25">
        <v>56</v>
      </c>
      <c r="H21" s="26">
        <f t="shared" si="3"/>
        <v>2.5365853658536586</v>
      </c>
      <c r="I21" s="27">
        <f t="shared" si="4"/>
        <v>307.07317073170731</v>
      </c>
      <c r="J21" s="28">
        <f t="shared" si="5"/>
        <v>1.3658536585365855</v>
      </c>
      <c r="K21" s="26">
        <f t="shared" si="0"/>
        <v>894.4</v>
      </c>
      <c r="L21" s="24">
        <f t="shared" si="1"/>
        <v>8183.5</v>
      </c>
      <c r="M21" s="28">
        <f t="shared" si="2"/>
        <v>428.40000000000003</v>
      </c>
      <c r="N21" s="26">
        <f t="shared" si="6"/>
        <v>9.3166666666666664</v>
      </c>
      <c r="O21" s="27">
        <f t="shared" si="7"/>
        <v>85.244791666666671</v>
      </c>
      <c r="P21" s="28">
        <f t="shared" si="8"/>
        <v>4.4625000000000004</v>
      </c>
      <c r="Q21" s="22">
        <v>27.6</v>
      </c>
      <c r="R21" s="22" t="s">
        <v>42</v>
      </c>
      <c r="S21" s="22"/>
    </row>
    <row r="22" spans="1:19" x14ac:dyDescent="0.25">
      <c r="A22" s="20">
        <v>43783</v>
      </c>
      <c r="B22" s="21">
        <v>0.48</v>
      </c>
      <c r="C22" s="22">
        <v>41</v>
      </c>
      <c r="D22" s="22">
        <v>96</v>
      </c>
      <c r="E22" s="23">
        <v>109</v>
      </c>
      <c r="F22" s="24">
        <v>14160</v>
      </c>
      <c r="G22" s="25">
        <v>70</v>
      </c>
      <c r="H22" s="26">
        <f t="shared" si="3"/>
        <v>2.6585365853658538</v>
      </c>
      <c r="I22" s="27">
        <f t="shared" si="4"/>
        <v>345.36585365853659</v>
      </c>
      <c r="J22" s="28">
        <f t="shared" si="5"/>
        <v>1.7073170731707317</v>
      </c>
      <c r="K22" s="26">
        <f t="shared" si="0"/>
        <v>937.4</v>
      </c>
      <c r="L22" s="24">
        <f t="shared" si="1"/>
        <v>9204</v>
      </c>
      <c r="M22" s="28">
        <f t="shared" si="2"/>
        <v>535.5</v>
      </c>
      <c r="N22" s="26">
        <f t="shared" si="6"/>
        <v>9.7645833333333325</v>
      </c>
      <c r="O22" s="27">
        <f t="shared" si="7"/>
        <v>95.875</v>
      </c>
      <c r="P22" s="28">
        <f t="shared" si="8"/>
        <v>5.578125</v>
      </c>
      <c r="Q22" s="22">
        <v>26.6</v>
      </c>
      <c r="R22" s="22" t="s">
        <v>42</v>
      </c>
      <c r="S22" s="22"/>
    </row>
    <row r="23" spans="1:19" x14ac:dyDescent="0.25">
      <c r="A23" s="20">
        <v>43784</v>
      </c>
      <c r="B23" s="21">
        <v>0.4</v>
      </c>
      <c r="C23" s="22">
        <v>39</v>
      </c>
      <c r="D23" s="22">
        <v>89</v>
      </c>
      <c r="E23" s="23">
        <v>95.2</v>
      </c>
      <c r="F23" s="24">
        <v>13010</v>
      </c>
      <c r="G23" s="25">
        <v>63</v>
      </c>
      <c r="H23" s="26">
        <f t="shared" si="3"/>
        <v>2.4410256410256412</v>
      </c>
      <c r="I23" s="27">
        <f t="shared" si="4"/>
        <v>333.58974358974359</v>
      </c>
      <c r="J23" s="28">
        <f t="shared" si="5"/>
        <v>1.6153846153846154</v>
      </c>
      <c r="K23" s="26">
        <f t="shared" si="0"/>
        <v>818.72</v>
      </c>
      <c r="L23" s="24">
        <f t="shared" si="1"/>
        <v>8456.5</v>
      </c>
      <c r="M23" s="28">
        <f t="shared" si="2"/>
        <v>481.95</v>
      </c>
      <c r="N23" s="26">
        <f t="shared" si="6"/>
        <v>9.199101123595506</v>
      </c>
      <c r="O23" s="27">
        <f t="shared" si="7"/>
        <v>95.016853932584269</v>
      </c>
      <c r="P23" s="28">
        <f t="shared" si="8"/>
        <v>5.4151685393258422</v>
      </c>
      <c r="Q23" s="22">
        <v>27</v>
      </c>
      <c r="R23" s="22" t="s">
        <v>42</v>
      </c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2019-11-16T04:08:14Z</dcterms:modified>
</cp:coreProperties>
</file>