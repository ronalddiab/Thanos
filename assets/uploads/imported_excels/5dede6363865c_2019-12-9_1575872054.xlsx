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<sst xmlns="http://schemas.openxmlformats.org/spreadsheetml/2006/main" count="106" uniqueCount="37">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</sst>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11" sqref="M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v>0</v>
      </c>
      <c r="F11" s="25">
        <v>0.11799999999999999</v>
      </c>
      <c r="G11" s="27">
        <v>0</v>
      </c>
      <c r="H11" s="25">
        <v>0.99</v>
      </c>
      <c r="I11" s="27">
        <v>0</v>
      </c>
      <c r="J11" s="25">
        <v>8.1000000000000003E-2</v>
      </c>
      <c r="K11" s="27">
        <v>0</v>
      </c>
      <c r="L11" s="27">
        <v>0</v>
      </c>
      <c r="M11" s="26">
        <v>4.393629424766913</v>
      </c>
      <c r="N11" s="6"/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0</v>
      </c>
      <c r="F12" s="25">
        <v>0.11799999999999999</v>
      </c>
      <c r="G12" s="27">
        <f>(('12 - 2019'!E17-'12 - 2019'!E16)+('12 - 2019'!F17-'12 - 2019'!F16)+('12 - 2019'!G17-'12 - 2019'!G16))*1.81</f>
        <v>0</v>
      </c>
      <c r="H12" s="25">
        <v>0.99</v>
      </c>
      <c r="I12" s="27">
        <f>'12 - 2019'!J17-'12 - 2019'!J16</f>
        <v>0</v>
      </c>
      <c r="J12" s="25">
        <v>8.1000000000000003E-2</v>
      </c>
      <c r="K12" s="27">
        <f>'12 - 2019'!H17-'12 - 2019'!H16</f>
        <v>0</v>
      </c>
      <c r="L12" s="27">
        <f>'12 - 2019'!I17-'12 - 2019'!I16</f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0</v>
      </c>
      <c r="F13" s="25">
        <v>0.11799999999999999</v>
      </c>
      <c r="G13" s="27">
        <f>(('12 - 2019'!E18-'12 - 2019'!E17)+('12 - 2019'!F18-'12 - 2019'!F17)+('12 - 2019'!G18-'12 - 2019'!G17))*1.81</f>
        <v>0</v>
      </c>
      <c r="H13" s="25">
        <v>0.99</v>
      </c>
      <c r="I13" s="27">
        <f>'12 - 2019'!J18-'12 - 2019'!J17</f>
        <v>0</v>
      </c>
      <c r="J13" s="25">
        <v>8.1000000000000003E-2</v>
      </c>
      <c r="K13" s="27">
        <f>'12 - 2019'!H18-'12 - 2019'!H17</f>
        <v>0</v>
      </c>
      <c r="L13" s="27">
        <f>'12 - 2019'!I18-'12 - 2019'!I17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0</v>
      </c>
      <c r="F14" s="25">
        <v>0.11799999999999999</v>
      </c>
      <c r="G14" s="27">
        <f>(('12 - 2019'!E19-'12 - 2019'!E18)+('12 - 2019'!F19-'12 - 2019'!F18)+('12 - 2019'!G19-'12 - 2019'!G18))*1.81</f>
        <v>0</v>
      </c>
      <c r="H14" s="25">
        <v>0.99</v>
      </c>
      <c r="I14" s="27">
        <f>'12 - 2019'!J19-'12 - 2019'!J18</f>
        <v>0</v>
      </c>
      <c r="J14" s="25">
        <v>8.1000000000000003E-2</v>
      </c>
      <c r="K14" s="27">
        <f>'12 - 2019'!H19-'12 - 2019'!H18</f>
        <v>0</v>
      </c>
      <c r="L14" s="27">
        <f>'12 - 2019'!I19-'12 - 2019'!I18</f>
        <v>0</v>
      </c>
      <c r="M14" s="26">
        <v>4.393629424766913</v>
      </c>
      <c r="N14" s="6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0</v>
      </c>
      <c r="F15" s="25">
        <v>0.11799999999999999</v>
      </c>
      <c r="G15" s="27">
        <f>(('12 - 2019'!E20-'12 - 2019'!E19)+('12 - 2019'!F20-'12 - 2019'!F19)+('12 - 2019'!G20-'12 - 2019'!G19))*1.81</f>
        <v>0</v>
      </c>
      <c r="H15" s="25">
        <v>0.99</v>
      </c>
      <c r="I15" s="27">
        <f>'12 - 2019'!J20-'12 - 2019'!J19</f>
        <v>0</v>
      </c>
      <c r="J15" s="25">
        <v>8.1000000000000003E-2</v>
      </c>
      <c r="K15" s="27">
        <f>'12 - 2019'!H20-'12 - 2019'!H19</f>
        <v>0</v>
      </c>
      <c r="L15" s="27">
        <f>'12 - 2019'!I20-'12 - 2019'!I19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0</v>
      </c>
      <c r="F16" s="25">
        <v>0.11799999999999999</v>
      </c>
      <c r="G16" s="27">
        <f>(('12 - 2019'!E21-'12 - 2019'!E20)+('12 - 2019'!F21-'12 - 2019'!F20)+('12 - 2019'!G21-'12 - 2019'!G20))*1.81</f>
        <v>0</v>
      </c>
      <c r="H16" s="25">
        <v>0.99</v>
      </c>
      <c r="I16" s="27">
        <f>'12 - 2019'!J21-'12 - 2019'!J20</f>
        <v>0</v>
      </c>
      <c r="J16" s="25">
        <v>8.1000000000000003E-2</v>
      </c>
      <c r="K16" s="27">
        <f>'12 - 2019'!H21-'12 - 2019'!H20</f>
        <v>0</v>
      </c>
      <c r="L16" s="27">
        <f>'12 - 2019'!I21-'12 - 2019'!I20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0</v>
      </c>
      <c r="F17" s="25">
        <v>0.11799999999999999</v>
      </c>
      <c r="G17" s="27">
        <f>(('12 - 2019'!E22-'12 - 2019'!E21)+('12 - 2019'!F22-'12 - 2019'!F21)+('12 - 2019'!G22-'12 - 2019'!G21))*1.81</f>
        <v>0</v>
      </c>
      <c r="H17" s="25">
        <v>0.99</v>
      </c>
      <c r="I17" s="27">
        <f>'12 - 2019'!J22-'12 - 2019'!J21</f>
        <v>0</v>
      </c>
      <c r="J17" s="25">
        <v>8.1000000000000003E-2</v>
      </c>
      <c r="K17" s="27">
        <f>'12 - 2019'!H22-'12 - 2019'!H21</f>
        <v>0</v>
      </c>
      <c r="L17" s="27">
        <f>'12 - 2019'!I22-'12 - 2019'!I21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0</v>
      </c>
      <c r="F18" s="25">
        <v>0.11799999999999999</v>
      </c>
      <c r="G18" s="27">
        <f>(('12 - 2019'!E23-'12 - 2019'!E22)+('12 - 2019'!F23-'12 - 2019'!F22)+('12 - 2019'!G23-'12 - 2019'!G22))*1.81</f>
        <v>0</v>
      </c>
      <c r="H18" s="25">
        <v>0.99</v>
      </c>
      <c r="I18" s="27">
        <f>'12 - 2019'!J23-'12 - 2019'!J22</f>
        <v>0</v>
      </c>
      <c r="J18" s="25">
        <v>8.1000000000000003E-2</v>
      </c>
      <c r="K18" s="27">
        <f>'12 - 2019'!H23-'12 - 2019'!H22</f>
        <v>0</v>
      </c>
      <c r="L18" s="27">
        <f>'12 - 2019'!I23-'12 - 2019'!I22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0</v>
      </c>
      <c r="F19" s="25">
        <v>0.11799999999999999</v>
      </c>
      <c r="G19" s="27">
        <f>(('12 - 2019'!E24-'12 - 2019'!E23)+('12 - 2019'!F24-'12 - 2019'!F23)+('12 - 2019'!G24-'12 - 2019'!G23))*1.81</f>
        <v>0</v>
      </c>
      <c r="H19" s="25">
        <v>0.99</v>
      </c>
      <c r="I19" s="27">
        <f>'12 - 2019'!J24-'12 - 2019'!J23</f>
        <v>0</v>
      </c>
      <c r="J19" s="25">
        <v>8.1000000000000003E-2</v>
      </c>
      <c r="K19" s="27">
        <f>'12 - 2019'!H24-'12 - 2019'!H23</f>
        <v>0</v>
      </c>
      <c r="L19" s="27">
        <f>'12 - 2019'!I24-'12 - 2019'!I23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0</v>
      </c>
      <c r="F20" s="25">
        <v>0.11799999999999999</v>
      </c>
      <c r="G20" s="27">
        <f>(('12 - 2019'!E25-'12 - 2019'!E24)+('12 - 2019'!F25-'12 - 2019'!F24)+('12 - 2019'!G25-'12 - 2019'!G24))*1.81</f>
        <v>0</v>
      </c>
      <c r="H20" s="25">
        <v>0.99</v>
      </c>
      <c r="I20" s="27">
        <f>'12 - 2019'!J25-'12 - 2019'!J24</f>
        <v>0</v>
      </c>
      <c r="J20" s="25">
        <v>8.1000000000000003E-2</v>
      </c>
      <c r="K20" s="27">
        <f>'12 - 2019'!H25-'12 - 2019'!H24</f>
        <v>0</v>
      </c>
      <c r="L20" s="27">
        <f>'12 - 2019'!I25-'12 - 2019'!I24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0</v>
      </c>
      <c r="F21" s="25">
        <v>0.11799999999999999</v>
      </c>
      <c r="G21" s="27">
        <f>(('12 - 2019'!E26-'12 - 2019'!E25)+('12 - 2019'!F26-'12 - 2019'!F25)+('12 - 2019'!G26-'12 - 2019'!G25))*1.81</f>
        <v>0</v>
      </c>
      <c r="H21" s="25">
        <v>0.99</v>
      </c>
      <c r="I21" s="27">
        <f>'12 - 2019'!J26-'12 - 2019'!J25</f>
        <v>0</v>
      </c>
      <c r="J21" s="25">
        <v>8.1000000000000003E-2</v>
      </c>
      <c r="K21" s="27">
        <f>'12 - 2019'!H26-'12 - 2019'!H25</f>
        <v>0</v>
      </c>
      <c r="L21" s="27">
        <f>'12 - 2019'!I26-'12 - 2019'!I25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0</v>
      </c>
      <c r="F22" s="25">
        <v>0.11799999999999999</v>
      </c>
      <c r="G22" s="27">
        <f>(('12 - 2019'!E27-'12 - 2019'!E26)+('12 - 2019'!F27-'12 - 2019'!F26)+('12 - 2019'!G27-'12 - 2019'!G26))*1.81</f>
        <v>0</v>
      </c>
      <c r="H22" s="25">
        <v>0.99</v>
      </c>
      <c r="I22" s="27">
        <f>'12 - 2019'!J27-'12 - 2019'!J26</f>
        <v>0</v>
      </c>
      <c r="J22" s="25">
        <v>8.1000000000000003E-2</v>
      </c>
      <c r="K22" s="27">
        <f>'12 - 2019'!H27-'12 - 2019'!H26</f>
        <v>0</v>
      </c>
      <c r="L22" s="27">
        <f>'12 - 2019'!I27-'12 - 2019'!I26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0</v>
      </c>
      <c r="F23" s="25">
        <v>0.11799999999999999</v>
      </c>
      <c r="G23" s="27">
        <f>(('12 - 2019'!E28-'12 - 2019'!E27)+('12 - 2019'!F28-'12 - 2019'!F27)+('12 - 2019'!G28-'12 - 2019'!G27))*1.81</f>
        <v>0</v>
      </c>
      <c r="H23" s="25">
        <v>0.99</v>
      </c>
      <c r="I23" s="27">
        <f>'12 - 2019'!J28-'12 - 2019'!J27</f>
        <v>0</v>
      </c>
      <c r="J23" s="25">
        <v>8.1000000000000003E-2</v>
      </c>
      <c r="K23" s="27">
        <f>'12 - 2019'!H28-'12 - 2019'!H27</f>
        <v>0</v>
      </c>
      <c r="L23" s="27">
        <f>'12 - 2019'!I28-'12 - 2019'!I27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0</v>
      </c>
      <c r="F24" s="25">
        <v>0.11799999999999999</v>
      </c>
      <c r="G24" s="27">
        <f>(('12 - 2019'!E29-'12 - 2019'!E28)+('12 - 2019'!F29-'12 - 2019'!F28)+('12 - 2019'!G29-'12 - 2019'!G28))*1.81</f>
        <v>0</v>
      </c>
      <c r="H24" s="25">
        <v>0.99</v>
      </c>
      <c r="I24" s="27">
        <f>'12 - 2019'!J29-'12 - 2019'!J28</f>
        <v>0</v>
      </c>
      <c r="J24" s="25">
        <v>8.1000000000000003E-2</v>
      </c>
      <c r="K24" s="27">
        <f>'12 - 2019'!H29-'12 - 2019'!H28</f>
        <v>0</v>
      </c>
      <c r="L24" s="27">
        <f>'12 - 2019'!I29-'12 - 2019'!I28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0</v>
      </c>
      <c r="F25" s="25">
        <v>0.11799999999999999</v>
      </c>
      <c r="G25" s="27">
        <f>(('12 - 2019'!E30-'12 - 2019'!E29)+('12 - 2019'!F30-'12 - 2019'!F29)+('12 - 2019'!G30-'12 - 2019'!G29))*1.81</f>
        <v>0</v>
      </c>
      <c r="H25" s="25">
        <v>0.99</v>
      </c>
      <c r="I25" s="27">
        <f>'12 - 2019'!J30-'12 - 2019'!J29</f>
        <v>0</v>
      </c>
      <c r="J25" s="25">
        <v>8.1000000000000003E-2</v>
      </c>
      <c r="K25" s="27">
        <f>'12 - 2019'!H30-'12 - 2019'!H29</f>
        <v>0</v>
      </c>
      <c r="L25" s="27">
        <f>'12 - 2019'!I30-'12 - 2019'!I29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G25" sqref="G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v>0</v>
      </c>
      <c r="F11" s="27">
        <v>0</v>
      </c>
      <c r="G11" s="25">
        <v>0.11799999999999999</v>
      </c>
      <c r="H11" s="27">
        <v>0</v>
      </c>
      <c r="I11" s="27">
        <v>0</v>
      </c>
      <c r="J11" s="27">
        <v>0</v>
      </c>
      <c r="K11" s="25">
        <v>0.74</v>
      </c>
      <c r="L11" s="27"/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0</v>
      </c>
      <c r="F12" s="27">
        <f>'12 - 2019'!C17-'12 - 2019'!C16</f>
        <v>0</v>
      </c>
      <c r="G12" s="25">
        <v>0.11799999999999999</v>
      </c>
      <c r="H12" s="27">
        <f>'12 - 2019'!E17-'12 - 2019'!E16</f>
        <v>0</v>
      </c>
      <c r="I12" s="27">
        <f>'12 - 2019'!F17-'12 - 2019'!F16</f>
        <v>0</v>
      </c>
      <c r="J12" s="27">
        <f>'12 - 2019'!G17-'12 - 2019'!G16</f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0</v>
      </c>
      <c r="F13" s="27">
        <f>'12 - 2019'!C18-'12 - 2019'!C17</f>
        <v>0</v>
      </c>
      <c r="G13" s="25">
        <v>0.11799999999999999</v>
      </c>
      <c r="H13" s="27">
        <f>'12 - 2019'!E18-'12 - 2019'!E17</f>
        <v>0</v>
      </c>
      <c r="I13" s="27">
        <f>'12 - 2019'!F18-'12 - 2019'!F17</f>
        <v>0</v>
      </c>
      <c r="J13" s="27">
        <f>'12 - 2019'!G18-'12 - 2019'!G17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0</v>
      </c>
      <c r="F14" s="27">
        <f>'12 - 2019'!C19-'12 - 2019'!C18</f>
        <v>0</v>
      </c>
      <c r="G14" s="25">
        <v>0.11799999999999999</v>
      </c>
      <c r="H14" s="27">
        <f>'12 - 2019'!E19-'12 - 2019'!E18</f>
        <v>0</v>
      </c>
      <c r="I14" s="27">
        <f>'12 - 2019'!F19-'12 - 2019'!F18</f>
        <v>0</v>
      </c>
      <c r="J14" s="27">
        <f>'12 - 2019'!G19-'12 - 2019'!G18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0</v>
      </c>
      <c r="F15" s="27">
        <f>'12 - 2019'!C20-'12 - 2019'!C19</f>
        <v>0</v>
      </c>
      <c r="G15" s="25">
        <v>0.11799999999999999</v>
      </c>
      <c r="H15" s="27">
        <f>'12 - 2019'!E20-'12 - 2019'!E19</f>
        <v>0</v>
      </c>
      <c r="I15" s="27">
        <f>'12 - 2019'!F20-'12 - 2019'!F19</f>
        <v>0</v>
      </c>
      <c r="J15" s="27">
        <f>'12 - 2019'!G20-'12 - 2019'!G19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0</v>
      </c>
      <c r="F16" s="27">
        <f>'12 - 2019'!C21-'12 - 2019'!C20</f>
        <v>0</v>
      </c>
      <c r="G16" s="25">
        <v>0.11799999999999999</v>
      </c>
      <c r="H16" s="27">
        <f>'12 - 2019'!E21-'12 - 2019'!E20</f>
        <v>0</v>
      </c>
      <c r="I16" s="27">
        <f>'12 - 2019'!F21-'12 - 2019'!F20</f>
        <v>0</v>
      </c>
      <c r="J16" s="27">
        <f>'12 - 2019'!G21-'12 - 2019'!G20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0</v>
      </c>
      <c r="F17" s="27">
        <f>'12 - 2019'!C22-'12 - 2019'!C21</f>
        <v>0</v>
      </c>
      <c r="G17" s="25">
        <v>0.11799999999999999</v>
      </c>
      <c r="H17" s="27">
        <f>'12 - 2019'!E22-'12 - 2019'!E21</f>
        <v>0</v>
      </c>
      <c r="I17" s="27">
        <f>'12 - 2019'!F22-'12 - 2019'!F21</f>
        <v>0</v>
      </c>
      <c r="J17" s="27">
        <f>'12 - 2019'!G22-'12 - 2019'!G21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0</v>
      </c>
      <c r="F18" s="27">
        <f>'12 - 2019'!C23-'12 - 2019'!C22</f>
        <v>0</v>
      </c>
      <c r="G18" s="25">
        <v>0.11799999999999999</v>
      </c>
      <c r="H18" s="27">
        <f>'12 - 2019'!E23-'12 - 2019'!E22</f>
        <v>0</v>
      </c>
      <c r="I18" s="27">
        <f>'12 - 2019'!F23-'12 - 2019'!F22</f>
        <v>0</v>
      </c>
      <c r="J18" s="27">
        <f>'12 - 2019'!G23-'12 - 2019'!G22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0</v>
      </c>
      <c r="F19" s="27">
        <f>'12 - 2019'!C24-'12 - 2019'!C23</f>
        <v>0</v>
      </c>
      <c r="G19" s="25">
        <v>0.11799999999999999</v>
      </c>
      <c r="H19" s="27">
        <f>'12 - 2019'!E24-'12 - 2019'!E23</f>
        <v>0</v>
      </c>
      <c r="I19" s="27">
        <f>'12 - 2019'!F24-'12 - 2019'!F23</f>
        <v>0</v>
      </c>
      <c r="J19" s="27">
        <f>'12 - 2019'!G24-'12 - 2019'!G23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0</v>
      </c>
      <c r="F20" s="27">
        <f>'12 - 2019'!C25-'12 - 2019'!C24</f>
        <v>0</v>
      </c>
      <c r="G20" s="25">
        <v>0.11799999999999999</v>
      </c>
      <c r="H20" s="27">
        <f>'12 - 2019'!E25-'12 - 2019'!E24</f>
        <v>0</v>
      </c>
      <c r="I20" s="27">
        <f>'12 - 2019'!F25-'12 - 2019'!F24</f>
        <v>0</v>
      </c>
      <c r="J20" s="27">
        <f>'12 - 2019'!G25-'12 - 2019'!G24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0</v>
      </c>
      <c r="F21" s="27">
        <f>'12 - 2019'!C26-'12 - 2019'!C25</f>
        <v>0</v>
      </c>
      <c r="G21" s="25">
        <v>0.11799999999999999</v>
      </c>
      <c r="H21" s="27">
        <f>'12 - 2019'!E26-'12 - 2019'!E25</f>
        <v>0</v>
      </c>
      <c r="I21" s="27">
        <f>'12 - 2019'!F26-'12 - 2019'!F25</f>
        <v>0</v>
      </c>
      <c r="J21" s="27">
        <f>'12 - 2019'!G26-'12 - 2019'!G25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0</v>
      </c>
      <c r="F22" s="27">
        <f>'12 - 2019'!C27-'12 - 2019'!C26</f>
        <v>0</v>
      </c>
      <c r="G22" s="25">
        <v>0.11799999999999999</v>
      </c>
      <c r="H22" s="27">
        <f>'12 - 2019'!E27-'12 - 2019'!E26</f>
        <v>0</v>
      </c>
      <c r="I22" s="27">
        <f>'12 - 2019'!F27-'12 - 2019'!F26</f>
        <v>0</v>
      </c>
      <c r="J22" s="27">
        <f>'12 - 2019'!G27-'12 - 2019'!G26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0</v>
      </c>
      <c r="F23" s="27">
        <f>'12 - 2019'!C28-'12 - 2019'!C27</f>
        <v>0</v>
      </c>
      <c r="G23" s="25">
        <v>0.11799999999999999</v>
      </c>
      <c r="H23" s="27">
        <f>'12 - 2019'!E28-'12 - 2019'!E27</f>
        <v>0</v>
      </c>
      <c r="I23" s="27">
        <f>'12 - 2019'!F28-'12 - 2019'!F27</f>
        <v>0</v>
      </c>
      <c r="J23" s="27">
        <f>'12 - 2019'!G28-'12 - 2019'!G27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0</v>
      </c>
      <c r="F24" s="27">
        <f>'12 - 2019'!C29-'12 - 2019'!C28</f>
        <v>0</v>
      </c>
      <c r="G24" s="25">
        <v>0.11799999999999999</v>
      </c>
      <c r="H24" s="27">
        <f>'12 - 2019'!E29-'12 - 2019'!E28</f>
        <v>0</v>
      </c>
      <c r="I24" s="27">
        <f>'12 - 2019'!F29-'12 - 2019'!F28</f>
        <v>0</v>
      </c>
      <c r="J24" s="27">
        <f>'12 - 2019'!G29-'12 - 2019'!G28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0</v>
      </c>
      <c r="F25" s="27">
        <f>'12 - 2019'!C30-'12 - 2019'!C29</f>
        <v>0</v>
      </c>
      <c r="G25" s="25">
        <v>0.11799999999999999</v>
      </c>
      <c r="H25" s="27">
        <f>'12 - 2019'!E30-'12 - 2019'!E29</f>
        <v>0</v>
      </c>
      <c r="I25" s="27">
        <f>'12 - 2019'!F30-'12 - 2019'!F29</f>
        <v>0</v>
      </c>
      <c r="J25" s="27">
        <f>'12 - 2019'!G30-'12 - 2019'!G29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15" sqref="B15:J15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49">
        <v>43810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43811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43812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43813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43814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43815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43816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43817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43818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43819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43820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43821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43822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4200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2019-12-09T05:23:00Z</dcterms:modified>
</cp:coreProperties>
</file>