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2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OICE_16_974FA576_32C1D314_EE2\"/>
    </mc:Choice>
  </mc:AlternateContent>
  <xr:revisionPtr revIDLastSave="0" documentId="8_{59B21B04-DE54-4DDA-B2B3-1203A0986116}" xr6:coauthVersionLast="46" xr6:coauthVersionMax="46" xr10:uidLastSave="{00000000-0000-0000-0000-000000000000}"/>
  <bookViews>
    <workbookView xWindow="-120" yWindow="-120" windowWidth="15600" windowHeight="11760" tabRatio="598" firstSheet="3" activeTab="3" xr2:uid="{00000000-000D-0000-FFFF-FFFF00000000}"/>
  </bookViews>
  <sheets>
    <sheet name="TOTAL" sheetId="9" r:id="rId1"/>
    <sheet name="Submetering" sheetId="8" r:id="rId2"/>
    <sheet name="Water" sheetId="3" r:id="rId3"/>
    <sheet name="ELECT." sheetId="4" r:id="rId4"/>
    <sheet name="Gas" sheetId="5" r:id="rId5"/>
  </sheets>
  <definedNames>
    <definedName name="_xlnm.Print_Area" localSheetId="4">Gas!$A$1:$AF$35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5" l="1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L15" i="8"/>
  <c r="W36" i="4"/>
  <c r="U36" i="4"/>
  <c r="S36" i="4"/>
  <c r="Q36" i="4"/>
  <c r="O36" i="4"/>
  <c r="M36" i="4"/>
  <c r="K36" i="4"/>
  <c r="H36" i="4"/>
  <c r="I32" i="8" s="1"/>
  <c r="F36" i="4"/>
  <c r="H32" i="8" s="1"/>
  <c r="D36" i="4"/>
  <c r="W35" i="4"/>
  <c r="U35" i="4"/>
  <c r="S35" i="4"/>
  <c r="Q35" i="4"/>
  <c r="O35" i="4"/>
  <c r="M35" i="4"/>
  <c r="K35" i="4"/>
  <c r="W34" i="4"/>
  <c r="U34" i="4"/>
  <c r="S34" i="4"/>
  <c r="Q34" i="4"/>
  <c r="O34" i="4"/>
  <c r="M34" i="4"/>
  <c r="K34" i="4"/>
  <c r="W33" i="4"/>
  <c r="U33" i="4"/>
  <c r="S33" i="4"/>
  <c r="Q33" i="4"/>
  <c r="O33" i="4"/>
  <c r="M33" i="4"/>
  <c r="K33" i="4"/>
  <c r="W32" i="4"/>
  <c r="U32" i="4"/>
  <c r="S32" i="4"/>
  <c r="Q32" i="4"/>
  <c r="O32" i="4"/>
  <c r="M32" i="4"/>
  <c r="K32" i="4"/>
  <c r="W31" i="4"/>
  <c r="U31" i="4"/>
  <c r="S31" i="4"/>
  <c r="Q31" i="4"/>
  <c r="O31" i="4"/>
  <c r="M31" i="4"/>
  <c r="K31" i="4"/>
  <c r="W30" i="4"/>
  <c r="U30" i="4"/>
  <c r="S30" i="4"/>
  <c r="Q30" i="4"/>
  <c r="O30" i="4"/>
  <c r="M30" i="4"/>
  <c r="K30" i="4"/>
  <c r="W29" i="4"/>
  <c r="U29" i="4"/>
  <c r="S29" i="4"/>
  <c r="Q29" i="4"/>
  <c r="O29" i="4"/>
  <c r="M29" i="4"/>
  <c r="K29" i="4"/>
  <c r="W28" i="4"/>
  <c r="U28" i="4"/>
  <c r="S28" i="4"/>
  <c r="Q28" i="4"/>
  <c r="O28" i="4"/>
  <c r="M28" i="4"/>
  <c r="K28" i="4"/>
  <c r="W27" i="4"/>
  <c r="U27" i="4"/>
  <c r="S27" i="4"/>
  <c r="Q27" i="4"/>
  <c r="O27" i="4"/>
  <c r="M27" i="4"/>
  <c r="K27" i="4"/>
  <c r="W26" i="4"/>
  <c r="U26" i="4"/>
  <c r="S26" i="4"/>
  <c r="Q26" i="4"/>
  <c r="O26" i="4"/>
  <c r="M26" i="4"/>
  <c r="K26" i="4"/>
  <c r="W25" i="4"/>
  <c r="U25" i="4"/>
  <c r="S25" i="4"/>
  <c r="Q25" i="4"/>
  <c r="O25" i="4"/>
  <c r="M25" i="4"/>
  <c r="K25" i="4"/>
  <c r="W24" i="4"/>
  <c r="U24" i="4"/>
  <c r="S24" i="4"/>
  <c r="Q24" i="4"/>
  <c r="O24" i="4"/>
  <c r="M24" i="4"/>
  <c r="K24" i="4"/>
  <c r="W23" i="4"/>
  <c r="U23" i="4"/>
  <c r="S23" i="4"/>
  <c r="Q23" i="4"/>
  <c r="O23" i="4"/>
  <c r="M23" i="4"/>
  <c r="K23" i="4"/>
  <c r="W22" i="4"/>
  <c r="U22" i="4"/>
  <c r="S22" i="4"/>
  <c r="Q22" i="4"/>
  <c r="O22" i="4"/>
  <c r="M22" i="4"/>
  <c r="K22" i="4"/>
  <c r="W21" i="4"/>
  <c r="U21" i="4"/>
  <c r="S21" i="4"/>
  <c r="Q21" i="4"/>
  <c r="O21" i="4"/>
  <c r="M21" i="4"/>
  <c r="K21" i="4"/>
  <c r="W20" i="4"/>
  <c r="U20" i="4"/>
  <c r="S20" i="4"/>
  <c r="Q20" i="4"/>
  <c r="O20" i="4"/>
  <c r="M20" i="4"/>
  <c r="K20" i="4"/>
  <c r="W19" i="4"/>
  <c r="U19" i="4"/>
  <c r="S19" i="4"/>
  <c r="Q19" i="4"/>
  <c r="O19" i="4"/>
  <c r="M19" i="4"/>
  <c r="K19" i="4"/>
  <c r="W18" i="4"/>
  <c r="U18" i="4"/>
  <c r="S18" i="4"/>
  <c r="Q18" i="4"/>
  <c r="O18" i="4"/>
  <c r="M18" i="4"/>
  <c r="K18" i="4"/>
  <c r="W17" i="4"/>
  <c r="U17" i="4"/>
  <c r="S17" i="4"/>
  <c r="Q17" i="4"/>
  <c r="O17" i="4"/>
  <c r="M17" i="4"/>
  <c r="K17" i="4"/>
  <c r="W16" i="4"/>
  <c r="U16" i="4"/>
  <c r="S16" i="4"/>
  <c r="Q16" i="4"/>
  <c r="O16" i="4"/>
  <c r="M16" i="4"/>
  <c r="K16" i="4"/>
  <c r="W15" i="4"/>
  <c r="U15" i="4"/>
  <c r="S15" i="4"/>
  <c r="Q15" i="4"/>
  <c r="O15" i="4"/>
  <c r="M15" i="4"/>
  <c r="K15" i="4"/>
  <c r="W14" i="4"/>
  <c r="U14" i="4"/>
  <c r="S14" i="4"/>
  <c r="Q14" i="4"/>
  <c r="O14" i="4"/>
  <c r="M14" i="4"/>
  <c r="K14" i="4"/>
  <c r="W13" i="4"/>
  <c r="U13" i="4"/>
  <c r="S13" i="4"/>
  <c r="Q13" i="4"/>
  <c r="O13" i="4"/>
  <c r="M13" i="4"/>
  <c r="K13" i="4"/>
  <c r="W12" i="4"/>
  <c r="U12" i="4"/>
  <c r="S12" i="4"/>
  <c r="Q12" i="4"/>
  <c r="O12" i="4"/>
  <c r="M12" i="4"/>
  <c r="K12" i="4"/>
  <c r="W11" i="4"/>
  <c r="U11" i="4"/>
  <c r="S11" i="4"/>
  <c r="Q11" i="4"/>
  <c r="O11" i="4"/>
  <c r="M11" i="4"/>
  <c r="K11" i="4"/>
  <c r="W10" i="4"/>
  <c r="U10" i="4"/>
  <c r="S10" i="4"/>
  <c r="Q10" i="4"/>
  <c r="O10" i="4"/>
  <c r="M10" i="4"/>
  <c r="K10" i="4"/>
  <c r="W9" i="4"/>
  <c r="U9" i="4"/>
  <c r="S9" i="4"/>
  <c r="Q9" i="4"/>
  <c r="O9" i="4"/>
  <c r="M9" i="4"/>
  <c r="K9" i="4"/>
  <c r="W8" i="4"/>
  <c r="U8" i="4"/>
  <c r="S8" i="4"/>
  <c r="Q8" i="4"/>
  <c r="O8" i="4"/>
  <c r="M8" i="4"/>
  <c r="K8" i="4"/>
  <c r="W7" i="4"/>
  <c r="U7" i="4"/>
  <c r="S7" i="4"/>
  <c r="Q7" i="4"/>
  <c r="O7" i="4"/>
  <c r="M7" i="4"/>
  <c r="K7" i="4"/>
  <c r="W6" i="4"/>
  <c r="U6" i="4"/>
  <c r="S6" i="4"/>
  <c r="S37" i="4"/>
  <c r="Q6" i="4"/>
  <c r="O6" i="4"/>
  <c r="O37" i="4" s="1"/>
  <c r="M6" i="4"/>
  <c r="M37" i="4"/>
  <c r="K6" i="4"/>
  <c r="X32" i="8"/>
  <c r="AF34" i="5"/>
  <c r="AC34" i="5"/>
  <c r="W32" i="8"/>
  <c r="AA34" i="5"/>
  <c r="V32" i="8"/>
  <c r="Y34" i="5"/>
  <c r="U32" i="8"/>
  <c r="W34" i="5"/>
  <c r="T32" i="8"/>
  <c r="U34" i="5"/>
  <c r="S32" i="8"/>
  <c r="S34" i="5"/>
  <c r="R32" i="8"/>
  <c r="Q34" i="5"/>
  <c r="Q32" i="8"/>
  <c r="O34" i="5"/>
  <c r="P32" i="8"/>
  <c r="M34" i="5"/>
  <c r="O32" i="8"/>
  <c r="K34" i="5"/>
  <c r="N32" i="8"/>
  <c r="I34" i="5"/>
  <c r="M32" i="8"/>
  <c r="L32" i="8"/>
  <c r="E34" i="5"/>
  <c r="K32" i="8" s="1"/>
  <c r="C34" i="5"/>
  <c r="E35" i="3"/>
  <c r="F32" i="8"/>
  <c r="C35" i="3"/>
  <c r="E32" i="8"/>
  <c r="K29" i="9"/>
  <c r="K30" i="9"/>
  <c r="K31" i="9"/>
  <c r="C23" i="5"/>
  <c r="E23" i="5"/>
  <c r="K21" i="8" s="1"/>
  <c r="L21" i="8"/>
  <c r="I23" i="5"/>
  <c r="K23" i="5"/>
  <c r="M23" i="5"/>
  <c r="O21" i="8"/>
  <c r="O23" i="5"/>
  <c r="P21" i="8"/>
  <c r="Q23" i="5"/>
  <c r="S23" i="5"/>
  <c r="U23" i="5"/>
  <c r="S21" i="8"/>
  <c r="W23" i="5"/>
  <c r="T21" i="8"/>
  <c r="Y23" i="5"/>
  <c r="U21" i="8"/>
  <c r="AA23" i="5"/>
  <c r="AC23" i="5"/>
  <c r="AF23" i="5"/>
  <c r="C24" i="5"/>
  <c r="J22" i="8"/>
  <c r="E24" i="5"/>
  <c r="K22" i="8" s="1"/>
  <c r="L22" i="8"/>
  <c r="I24" i="5"/>
  <c r="M22" i="8"/>
  <c r="K24" i="5"/>
  <c r="N22" i="8"/>
  <c r="M24" i="5"/>
  <c r="O22" i="8"/>
  <c r="O24" i="5"/>
  <c r="P22" i="8"/>
  <c r="Q24" i="5"/>
  <c r="Q22" i="8"/>
  <c r="S24" i="5"/>
  <c r="U24" i="5"/>
  <c r="W24" i="5"/>
  <c r="T22" i="8"/>
  <c r="Y24" i="5"/>
  <c r="U22" i="8"/>
  <c r="AA24" i="5"/>
  <c r="AC24" i="5"/>
  <c r="AF24" i="5"/>
  <c r="C25" i="5"/>
  <c r="J23" i="8"/>
  <c r="E25" i="5"/>
  <c r="K23" i="8" s="1"/>
  <c r="L23" i="8"/>
  <c r="I25" i="5"/>
  <c r="M23" i="8"/>
  <c r="K25" i="5"/>
  <c r="N23" i="8"/>
  <c r="M25" i="5"/>
  <c r="O23" i="8"/>
  <c r="O25" i="5"/>
  <c r="Q25" i="5"/>
  <c r="Q23" i="8"/>
  <c r="S25" i="5"/>
  <c r="U25" i="5"/>
  <c r="S23" i="8"/>
  <c r="W25" i="5"/>
  <c r="Y25" i="5"/>
  <c r="U23" i="8"/>
  <c r="AA25" i="5"/>
  <c r="AC25" i="5"/>
  <c r="AF25" i="5"/>
  <c r="C26" i="5"/>
  <c r="J24" i="8"/>
  <c r="E26" i="5"/>
  <c r="K24" i="8" s="1"/>
  <c r="L24" i="8"/>
  <c r="I26" i="5"/>
  <c r="K26" i="5"/>
  <c r="N24" i="8"/>
  <c r="M26" i="5"/>
  <c r="O24" i="8"/>
  <c r="O26" i="5"/>
  <c r="P24" i="8"/>
  <c r="Q26" i="5"/>
  <c r="Q24" i="8"/>
  <c r="S26" i="5"/>
  <c r="R24" i="8"/>
  <c r="U26" i="5"/>
  <c r="W26" i="5"/>
  <c r="T24" i="8"/>
  <c r="Y26" i="5"/>
  <c r="U24" i="8"/>
  <c r="AA26" i="5"/>
  <c r="V24" i="8"/>
  <c r="AC26" i="5"/>
  <c r="AF26" i="5"/>
  <c r="C27" i="5"/>
  <c r="E27" i="5"/>
  <c r="K25" i="8" s="1"/>
  <c r="L25" i="8"/>
  <c r="I27" i="5"/>
  <c r="K27" i="5"/>
  <c r="N25" i="8"/>
  <c r="M27" i="5"/>
  <c r="O27" i="5"/>
  <c r="Q27" i="5"/>
  <c r="Q25" i="8"/>
  <c r="S27" i="5"/>
  <c r="U27" i="5"/>
  <c r="S25" i="8"/>
  <c r="W27" i="5"/>
  <c r="Y27" i="5"/>
  <c r="U25" i="8"/>
  <c r="AA27" i="5"/>
  <c r="AC27" i="5"/>
  <c r="W25" i="8"/>
  <c r="AF27" i="5"/>
  <c r="C28" i="5"/>
  <c r="E28" i="5"/>
  <c r="K26" i="8" s="1"/>
  <c r="L26" i="8"/>
  <c r="I28" i="5"/>
  <c r="M26" i="8"/>
  <c r="K28" i="5"/>
  <c r="M28" i="5"/>
  <c r="O26" i="8"/>
  <c r="O28" i="5"/>
  <c r="P26" i="8"/>
  <c r="Q28" i="5"/>
  <c r="S28" i="5"/>
  <c r="U28" i="5"/>
  <c r="S26" i="8"/>
  <c r="W28" i="5"/>
  <c r="Y28" i="5"/>
  <c r="U26" i="8"/>
  <c r="AA28" i="5"/>
  <c r="AC28" i="5"/>
  <c r="AF28" i="5"/>
  <c r="C29" i="5"/>
  <c r="J27" i="8"/>
  <c r="E29" i="5"/>
  <c r="K27" i="8" s="1"/>
  <c r="L27" i="8"/>
  <c r="I29" i="5"/>
  <c r="M27" i="8"/>
  <c r="K29" i="5"/>
  <c r="M29" i="5"/>
  <c r="O29" i="5"/>
  <c r="Q29" i="5"/>
  <c r="Q27" i="8"/>
  <c r="S29" i="5"/>
  <c r="U29" i="5"/>
  <c r="W29" i="5"/>
  <c r="T27" i="8"/>
  <c r="Y29" i="5"/>
  <c r="U27" i="8"/>
  <c r="AA29" i="5"/>
  <c r="V27" i="8"/>
  <c r="AC29" i="5"/>
  <c r="AF29" i="5"/>
  <c r="C30" i="5"/>
  <c r="J28" i="8"/>
  <c r="E30" i="5"/>
  <c r="K28" i="8" s="1"/>
  <c r="L28" i="8"/>
  <c r="I30" i="5"/>
  <c r="K30" i="5"/>
  <c r="N28" i="8"/>
  <c r="M30" i="5"/>
  <c r="O30" i="5"/>
  <c r="Q30" i="5"/>
  <c r="S30" i="5"/>
  <c r="R28" i="8"/>
  <c r="U30" i="5"/>
  <c r="S28" i="8"/>
  <c r="W30" i="5"/>
  <c r="T28" i="8"/>
  <c r="Y30" i="5"/>
  <c r="AA30" i="5"/>
  <c r="V28" i="8"/>
  <c r="AC30" i="5"/>
  <c r="AF30" i="5"/>
  <c r="C31" i="5"/>
  <c r="J29" i="8"/>
  <c r="E31" i="5"/>
  <c r="K29" i="8" s="1"/>
  <c r="L29" i="8"/>
  <c r="I31" i="5"/>
  <c r="K31" i="5"/>
  <c r="M31" i="5"/>
  <c r="O29" i="8"/>
  <c r="O31" i="5"/>
  <c r="Q31" i="5"/>
  <c r="Q29" i="8"/>
  <c r="S31" i="5"/>
  <c r="R29" i="8"/>
  <c r="U31" i="5"/>
  <c r="S29" i="8"/>
  <c r="W31" i="5"/>
  <c r="T29" i="8"/>
  <c r="Y31" i="5"/>
  <c r="AA31" i="5"/>
  <c r="V29" i="8"/>
  <c r="AC31" i="5"/>
  <c r="AF31" i="5"/>
  <c r="C32" i="5"/>
  <c r="E32" i="5"/>
  <c r="K30" i="8" s="1"/>
  <c r="L30" i="8"/>
  <c r="I32" i="5"/>
  <c r="M30" i="8"/>
  <c r="K32" i="5"/>
  <c r="N30" i="8"/>
  <c r="M32" i="5"/>
  <c r="O30" i="8"/>
  <c r="O32" i="5"/>
  <c r="P30" i="8"/>
  <c r="Q32" i="5"/>
  <c r="Q30" i="8"/>
  <c r="S32" i="5"/>
  <c r="R30" i="8"/>
  <c r="U32" i="5"/>
  <c r="S30" i="8"/>
  <c r="W32" i="5"/>
  <c r="Y32" i="5"/>
  <c r="U30" i="8"/>
  <c r="AA32" i="5"/>
  <c r="V30" i="8"/>
  <c r="AC32" i="5"/>
  <c r="AF32" i="5"/>
  <c r="C33" i="5"/>
  <c r="J31" i="8"/>
  <c r="E33" i="5"/>
  <c r="K31" i="8" s="1"/>
  <c r="L31" i="8"/>
  <c r="I33" i="5"/>
  <c r="M31" i="8"/>
  <c r="K33" i="5"/>
  <c r="N31" i="8"/>
  <c r="M33" i="5"/>
  <c r="O31" i="8"/>
  <c r="O33" i="5"/>
  <c r="P31" i="8"/>
  <c r="Q33" i="5"/>
  <c r="S33" i="5"/>
  <c r="R31" i="8"/>
  <c r="U33" i="5"/>
  <c r="S31" i="8"/>
  <c r="W33" i="5"/>
  <c r="T31" i="8"/>
  <c r="Y33" i="5"/>
  <c r="U31" i="8"/>
  <c r="AA33" i="5"/>
  <c r="V31" i="8"/>
  <c r="AC33" i="5"/>
  <c r="AF33" i="5"/>
  <c r="H35" i="4"/>
  <c r="I31" i="8" s="1"/>
  <c r="H34" i="4"/>
  <c r="I30" i="8" s="1"/>
  <c r="H33" i="4"/>
  <c r="I29" i="8" s="1"/>
  <c r="D35" i="4"/>
  <c r="D34" i="4"/>
  <c r="D33" i="4"/>
  <c r="W29" i="8"/>
  <c r="W30" i="8"/>
  <c r="E7" i="3"/>
  <c r="E6" i="3"/>
  <c r="F3" i="8"/>
  <c r="E8" i="3"/>
  <c r="E5" i="3"/>
  <c r="E9" i="3"/>
  <c r="F6" i="8"/>
  <c r="E10" i="3"/>
  <c r="F7" i="8"/>
  <c r="E11" i="3"/>
  <c r="F8" i="8"/>
  <c r="E12" i="3"/>
  <c r="F9" i="8"/>
  <c r="E13" i="3"/>
  <c r="F10" i="8"/>
  <c r="E14" i="3"/>
  <c r="F11" i="8"/>
  <c r="E15" i="3"/>
  <c r="F12" i="8"/>
  <c r="E16" i="3"/>
  <c r="F13" i="8"/>
  <c r="E17" i="3"/>
  <c r="E18" i="3"/>
  <c r="F15" i="8"/>
  <c r="E19" i="3"/>
  <c r="F16" i="8"/>
  <c r="E20" i="3"/>
  <c r="F17" i="8"/>
  <c r="E21" i="3"/>
  <c r="E22" i="3"/>
  <c r="F19" i="8"/>
  <c r="E23" i="3"/>
  <c r="F20" i="8"/>
  <c r="E24" i="3"/>
  <c r="F21" i="8"/>
  <c r="E25" i="3"/>
  <c r="E26" i="3"/>
  <c r="F23" i="8"/>
  <c r="E27" i="3"/>
  <c r="F24" i="8"/>
  <c r="E28" i="3"/>
  <c r="F25" i="8"/>
  <c r="E29" i="3"/>
  <c r="F26" i="8"/>
  <c r="E30" i="3"/>
  <c r="F27" i="8"/>
  <c r="E31" i="3"/>
  <c r="F28" i="8"/>
  <c r="E32" i="3"/>
  <c r="F29" i="8"/>
  <c r="E33" i="3"/>
  <c r="F30" i="8"/>
  <c r="E34" i="3"/>
  <c r="F31" i="8"/>
  <c r="I12" i="5"/>
  <c r="M10" i="8"/>
  <c r="G4" i="5"/>
  <c r="L2" i="8"/>
  <c r="U29" i="8"/>
  <c r="X29" i="8"/>
  <c r="X30" i="8"/>
  <c r="W31" i="8"/>
  <c r="X31" i="8"/>
  <c r="N29" i="8"/>
  <c r="M29" i="8"/>
  <c r="C33" i="3"/>
  <c r="E30" i="8"/>
  <c r="I30" i="9"/>
  <c r="C34" i="3"/>
  <c r="E31" i="8"/>
  <c r="I31" i="9"/>
  <c r="J30" i="8"/>
  <c r="D6" i="4"/>
  <c r="F35" i="4"/>
  <c r="H31" i="8" s="1"/>
  <c r="F33" i="4"/>
  <c r="H29" i="8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" i="9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" i="8"/>
  <c r="AF22" i="5"/>
  <c r="AF21" i="5"/>
  <c r="AF20" i="5"/>
  <c r="AF19" i="5"/>
  <c r="AF18" i="5"/>
  <c r="AF17" i="5"/>
  <c r="AF16" i="5"/>
  <c r="AF15" i="5"/>
  <c r="AF14" i="5"/>
  <c r="AF13" i="5"/>
  <c r="AF12" i="5"/>
  <c r="AF11" i="5"/>
  <c r="AF10" i="5"/>
  <c r="AF9" i="5"/>
  <c r="AF8" i="5"/>
  <c r="AF7" i="5"/>
  <c r="AF6" i="5"/>
  <c r="AF5" i="5"/>
  <c r="AF4" i="5"/>
  <c r="W28" i="8"/>
  <c r="W27" i="8"/>
  <c r="W26" i="8"/>
  <c r="W24" i="8"/>
  <c r="W23" i="8"/>
  <c r="W22" i="8"/>
  <c r="W21" i="8"/>
  <c r="AC22" i="5"/>
  <c r="W20" i="8"/>
  <c r="AC21" i="5"/>
  <c r="W19" i="8"/>
  <c r="AC20" i="5"/>
  <c r="W18" i="8"/>
  <c r="AC19" i="5"/>
  <c r="W17" i="8"/>
  <c r="AC18" i="5"/>
  <c r="W16" i="8"/>
  <c r="AC17" i="5"/>
  <c r="W15" i="8"/>
  <c r="AC16" i="5"/>
  <c r="W14" i="8"/>
  <c r="AC15" i="5"/>
  <c r="W13" i="8"/>
  <c r="AC14" i="5"/>
  <c r="AC13" i="5"/>
  <c r="W11" i="8"/>
  <c r="AC12" i="5"/>
  <c r="W10" i="8"/>
  <c r="AC11" i="5"/>
  <c r="W9" i="8"/>
  <c r="AC10" i="5"/>
  <c r="W8" i="8"/>
  <c r="AC9" i="5"/>
  <c r="W7" i="8"/>
  <c r="AC8" i="5"/>
  <c r="W6" i="8"/>
  <c r="AC7" i="5"/>
  <c r="W5" i="8"/>
  <c r="AC6" i="5"/>
  <c r="W4" i="8"/>
  <c r="AC5" i="5"/>
  <c r="W3" i="8"/>
  <c r="AC4" i="5"/>
  <c r="W2" i="8"/>
  <c r="V26" i="8"/>
  <c r="V25" i="8"/>
  <c r="V23" i="8"/>
  <c r="V22" i="8"/>
  <c r="V21" i="8"/>
  <c r="AA22" i="5"/>
  <c r="V20" i="8"/>
  <c r="AA21" i="5"/>
  <c r="V19" i="8"/>
  <c r="AA20" i="5"/>
  <c r="V18" i="8"/>
  <c r="AA19" i="5"/>
  <c r="V17" i="8"/>
  <c r="AA18" i="5"/>
  <c r="V16" i="8"/>
  <c r="AA17" i="5"/>
  <c r="V15" i="8"/>
  <c r="AA16" i="5"/>
  <c r="V14" i="8"/>
  <c r="AA15" i="5"/>
  <c r="V13" i="8"/>
  <c r="AA14" i="5"/>
  <c r="V12" i="8"/>
  <c r="AA13" i="5"/>
  <c r="V11" i="8"/>
  <c r="AA12" i="5"/>
  <c r="V10" i="8"/>
  <c r="AA11" i="5"/>
  <c r="V9" i="8"/>
  <c r="AA10" i="5"/>
  <c r="V8" i="8"/>
  <c r="AA9" i="5"/>
  <c r="V7" i="8"/>
  <c r="AA8" i="5"/>
  <c r="V6" i="8"/>
  <c r="AA7" i="5"/>
  <c r="V5" i="8"/>
  <c r="AA6" i="5"/>
  <c r="V4" i="8"/>
  <c r="AA5" i="5"/>
  <c r="V3" i="8"/>
  <c r="AA4" i="5"/>
  <c r="V2" i="8"/>
  <c r="U28" i="8"/>
  <c r="Y22" i="5"/>
  <c r="U20" i="8"/>
  <c r="Y21" i="5"/>
  <c r="U19" i="8"/>
  <c r="Y20" i="5"/>
  <c r="U18" i="8"/>
  <c r="Y19" i="5"/>
  <c r="U17" i="8"/>
  <c r="Y18" i="5"/>
  <c r="U16" i="8"/>
  <c r="Y17" i="5"/>
  <c r="U15" i="8"/>
  <c r="Y16" i="5"/>
  <c r="U14" i="8"/>
  <c r="Y15" i="5"/>
  <c r="U13" i="8"/>
  <c r="Y14" i="5"/>
  <c r="U12" i="8"/>
  <c r="Y13" i="5"/>
  <c r="U11" i="8"/>
  <c r="Y12" i="5"/>
  <c r="U10" i="8"/>
  <c r="Y11" i="5"/>
  <c r="U9" i="8"/>
  <c r="Y10" i="5"/>
  <c r="U8" i="8"/>
  <c r="Y9" i="5"/>
  <c r="U7" i="8"/>
  <c r="Y8" i="5"/>
  <c r="U6" i="8"/>
  <c r="Y7" i="5"/>
  <c r="U5" i="8"/>
  <c r="Y6" i="5"/>
  <c r="U4" i="8"/>
  <c r="Y5" i="5"/>
  <c r="U3" i="8"/>
  <c r="Y4" i="5"/>
  <c r="U2" i="8"/>
  <c r="T26" i="8"/>
  <c r="T25" i="8"/>
  <c r="T23" i="8"/>
  <c r="W22" i="5"/>
  <c r="T20" i="8"/>
  <c r="W21" i="5"/>
  <c r="W20" i="5"/>
  <c r="T18" i="8"/>
  <c r="W19" i="5"/>
  <c r="T17" i="8"/>
  <c r="W18" i="5"/>
  <c r="T16" i="8"/>
  <c r="W17" i="5"/>
  <c r="T15" i="8"/>
  <c r="W16" i="5"/>
  <c r="T14" i="8"/>
  <c r="W15" i="5"/>
  <c r="T13" i="8"/>
  <c r="W14" i="5"/>
  <c r="T12" i="8"/>
  <c r="W13" i="5"/>
  <c r="T11" i="8"/>
  <c r="W12" i="5"/>
  <c r="W11" i="5"/>
  <c r="T9" i="8"/>
  <c r="W10" i="5"/>
  <c r="T8" i="8"/>
  <c r="W9" i="5"/>
  <c r="T7" i="8"/>
  <c r="W8" i="5"/>
  <c r="T6" i="8"/>
  <c r="W7" i="5"/>
  <c r="T5" i="8"/>
  <c r="W6" i="5"/>
  <c r="T4" i="8"/>
  <c r="W5" i="5"/>
  <c r="T3" i="8"/>
  <c r="W4" i="5"/>
  <c r="T2" i="8"/>
  <c r="S27" i="8"/>
  <c r="S24" i="8"/>
  <c r="S22" i="8"/>
  <c r="U22" i="5"/>
  <c r="S20" i="8"/>
  <c r="U21" i="5"/>
  <c r="S19" i="8"/>
  <c r="U20" i="5"/>
  <c r="S18" i="8"/>
  <c r="U19" i="5"/>
  <c r="S17" i="8"/>
  <c r="U18" i="5"/>
  <c r="S16" i="8"/>
  <c r="U17" i="5"/>
  <c r="S15" i="8"/>
  <c r="U16" i="5"/>
  <c r="S14" i="8"/>
  <c r="U15" i="5"/>
  <c r="S13" i="8"/>
  <c r="U14" i="5"/>
  <c r="S12" i="8"/>
  <c r="U13" i="5"/>
  <c r="S11" i="8"/>
  <c r="U12" i="5"/>
  <c r="S10" i="8"/>
  <c r="U11" i="5"/>
  <c r="S9" i="8"/>
  <c r="U10" i="5"/>
  <c r="S8" i="8"/>
  <c r="U9" i="5"/>
  <c r="S7" i="8"/>
  <c r="U8" i="5"/>
  <c r="S6" i="8"/>
  <c r="U7" i="5"/>
  <c r="S5" i="8"/>
  <c r="U6" i="5"/>
  <c r="S4" i="8"/>
  <c r="U5" i="5"/>
  <c r="S3" i="8"/>
  <c r="U4" i="5"/>
  <c r="S2" i="8"/>
  <c r="R26" i="8"/>
  <c r="R22" i="8"/>
  <c r="R21" i="8"/>
  <c r="S22" i="5"/>
  <c r="R20" i="8"/>
  <c r="S21" i="5"/>
  <c r="R19" i="8"/>
  <c r="S20" i="5"/>
  <c r="R18" i="8"/>
  <c r="S19" i="5"/>
  <c r="R17" i="8"/>
  <c r="S18" i="5"/>
  <c r="R16" i="8"/>
  <c r="S17" i="5"/>
  <c r="R15" i="8"/>
  <c r="S16" i="5"/>
  <c r="R14" i="8"/>
  <c r="S15" i="5"/>
  <c r="R13" i="8"/>
  <c r="S14" i="5"/>
  <c r="R12" i="8"/>
  <c r="S13" i="5"/>
  <c r="R11" i="8"/>
  <c r="S12" i="5"/>
  <c r="R10" i="8"/>
  <c r="S11" i="5"/>
  <c r="S10" i="5"/>
  <c r="R8" i="8"/>
  <c r="S9" i="5"/>
  <c r="R7" i="8"/>
  <c r="S8" i="5"/>
  <c r="R6" i="8"/>
  <c r="S7" i="5"/>
  <c r="R5" i="8"/>
  <c r="S6" i="5"/>
  <c r="R4" i="8"/>
  <c r="S5" i="5"/>
  <c r="R3" i="8"/>
  <c r="S4" i="5"/>
  <c r="R2" i="8"/>
  <c r="Q28" i="8"/>
  <c r="Q26" i="8"/>
  <c r="Q21" i="8"/>
  <c r="Q22" i="5"/>
  <c r="Q20" i="8"/>
  <c r="Q21" i="5"/>
  <c r="Q19" i="8"/>
  <c r="Q20" i="5"/>
  <c r="Q18" i="8"/>
  <c r="Q19" i="5"/>
  <c r="Q17" i="8"/>
  <c r="Q18" i="5"/>
  <c r="Q16" i="8"/>
  <c r="Q17" i="5"/>
  <c r="Q15" i="8"/>
  <c r="Q16" i="5"/>
  <c r="Q14" i="8"/>
  <c r="Q15" i="5"/>
  <c r="Q13" i="8"/>
  <c r="Q14" i="5"/>
  <c r="Q12" i="8"/>
  <c r="Q13" i="5"/>
  <c r="Q11" i="8"/>
  <c r="Q12" i="5"/>
  <c r="Q10" i="8"/>
  <c r="Q11" i="5"/>
  <c r="Q9" i="8"/>
  <c r="Q10" i="5"/>
  <c r="Q8" i="8"/>
  <c r="Q9" i="5"/>
  <c r="Q7" i="8"/>
  <c r="Q8" i="5"/>
  <c r="Q6" i="8"/>
  <c r="Q7" i="5"/>
  <c r="Q5" i="8"/>
  <c r="Q6" i="5"/>
  <c r="Q4" i="8"/>
  <c r="Q5" i="5"/>
  <c r="Q3" i="8"/>
  <c r="Q4" i="5"/>
  <c r="Q2" i="8"/>
  <c r="P28" i="8"/>
  <c r="P27" i="8"/>
  <c r="P25" i="8"/>
  <c r="P23" i="8"/>
  <c r="O22" i="5"/>
  <c r="P20" i="8"/>
  <c r="O21" i="5"/>
  <c r="P19" i="8"/>
  <c r="O20" i="5"/>
  <c r="P18" i="8"/>
  <c r="O19" i="5"/>
  <c r="P17" i="8"/>
  <c r="O18" i="5"/>
  <c r="P16" i="8"/>
  <c r="O17" i="5"/>
  <c r="P15" i="8"/>
  <c r="O16" i="5"/>
  <c r="P14" i="8"/>
  <c r="O15" i="5"/>
  <c r="P13" i="8"/>
  <c r="O14" i="5"/>
  <c r="P12" i="8"/>
  <c r="O13" i="5"/>
  <c r="P11" i="8"/>
  <c r="O12" i="5"/>
  <c r="P10" i="8"/>
  <c r="O11" i="5"/>
  <c r="P9" i="8"/>
  <c r="O10" i="5"/>
  <c r="P8" i="8"/>
  <c r="O9" i="5"/>
  <c r="P7" i="8"/>
  <c r="O8" i="5"/>
  <c r="P6" i="8"/>
  <c r="O7" i="5"/>
  <c r="P5" i="8"/>
  <c r="O6" i="5"/>
  <c r="P4" i="8"/>
  <c r="O5" i="5"/>
  <c r="P3" i="8"/>
  <c r="O4" i="5"/>
  <c r="P2" i="8"/>
  <c r="O28" i="8"/>
  <c r="O27" i="8"/>
  <c r="M22" i="5"/>
  <c r="O20" i="8"/>
  <c r="M21" i="5"/>
  <c r="O19" i="8"/>
  <c r="M20" i="5"/>
  <c r="O18" i="8"/>
  <c r="M19" i="5"/>
  <c r="M18" i="5"/>
  <c r="O16" i="8"/>
  <c r="M17" i="5"/>
  <c r="O15" i="8"/>
  <c r="M16" i="5"/>
  <c r="O14" i="8"/>
  <c r="M15" i="5"/>
  <c r="O13" i="8"/>
  <c r="M14" i="5"/>
  <c r="O12" i="8"/>
  <c r="M13" i="5"/>
  <c r="O11" i="8"/>
  <c r="M12" i="5"/>
  <c r="O10" i="8"/>
  <c r="M11" i="5"/>
  <c r="O9" i="8"/>
  <c r="M10" i="5"/>
  <c r="O8" i="8"/>
  <c r="M9" i="5"/>
  <c r="O7" i="8"/>
  <c r="M8" i="5"/>
  <c r="O6" i="8"/>
  <c r="M7" i="5"/>
  <c r="O5" i="8"/>
  <c r="M6" i="5"/>
  <c r="O4" i="8"/>
  <c r="M5" i="5"/>
  <c r="O3" i="8"/>
  <c r="M4" i="5"/>
  <c r="O2" i="8"/>
  <c r="N27" i="8"/>
  <c r="N26" i="8"/>
  <c r="N21" i="8"/>
  <c r="K22" i="5"/>
  <c r="N20" i="8"/>
  <c r="K21" i="5"/>
  <c r="N19" i="8"/>
  <c r="K20" i="5"/>
  <c r="N18" i="8"/>
  <c r="K19" i="5"/>
  <c r="N17" i="8"/>
  <c r="K18" i="5"/>
  <c r="N16" i="8"/>
  <c r="K17" i="5"/>
  <c r="N15" i="8"/>
  <c r="K16" i="5"/>
  <c r="N14" i="8"/>
  <c r="K15" i="5"/>
  <c r="K14" i="5"/>
  <c r="N12" i="8"/>
  <c r="K13" i="5"/>
  <c r="N11" i="8"/>
  <c r="K12" i="5"/>
  <c r="N10" i="8"/>
  <c r="K11" i="5"/>
  <c r="N9" i="8"/>
  <c r="K10" i="5"/>
  <c r="N8" i="8"/>
  <c r="K9" i="5"/>
  <c r="N7" i="8"/>
  <c r="K8" i="5"/>
  <c r="N6" i="8"/>
  <c r="K7" i="5"/>
  <c r="N5" i="8"/>
  <c r="K6" i="5"/>
  <c r="N4" i="8"/>
  <c r="K5" i="5"/>
  <c r="N3" i="8"/>
  <c r="K4" i="5"/>
  <c r="N2" i="8"/>
  <c r="M28" i="8"/>
  <c r="M25" i="8"/>
  <c r="M24" i="8"/>
  <c r="I22" i="5"/>
  <c r="M20" i="8"/>
  <c r="I21" i="5"/>
  <c r="M19" i="8"/>
  <c r="I20" i="5"/>
  <c r="I19" i="5"/>
  <c r="M17" i="8"/>
  <c r="I18" i="5"/>
  <c r="M16" i="8"/>
  <c r="I17" i="5"/>
  <c r="I16" i="5"/>
  <c r="M14" i="8"/>
  <c r="I15" i="5"/>
  <c r="M13" i="8"/>
  <c r="I14" i="5"/>
  <c r="M12" i="8"/>
  <c r="I13" i="5"/>
  <c r="M11" i="8"/>
  <c r="I11" i="5"/>
  <c r="M9" i="8"/>
  <c r="I10" i="5"/>
  <c r="M8" i="8"/>
  <c r="I9" i="5"/>
  <c r="M7" i="8"/>
  <c r="I8" i="5"/>
  <c r="M6" i="8"/>
  <c r="I7" i="5"/>
  <c r="M5" i="8"/>
  <c r="I6" i="5"/>
  <c r="M4" i="8"/>
  <c r="I5" i="5"/>
  <c r="M3" i="8"/>
  <c r="I4" i="5"/>
  <c r="M2" i="8"/>
  <c r="L20" i="8"/>
  <c r="L19" i="8"/>
  <c r="L18" i="8"/>
  <c r="L17" i="8"/>
  <c r="L16" i="8"/>
  <c r="L14" i="8"/>
  <c r="L13" i="8"/>
  <c r="L12" i="8"/>
  <c r="L11" i="8"/>
  <c r="L10" i="8"/>
  <c r="L9" i="8"/>
  <c r="L8" i="8"/>
  <c r="L7" i="8"/>
  <c r="L6" i="8"/>
  <c r="L5" i="8"/>
  <c r="L4" i="8"/>
  <c r="G5" i="5"/>
  <c r="L3" i="8" s="1"/>
  <c r="E22" i="5"/>
  <c r="K20" i="8" s="1"/>
  <c r="E21" i="5"/>
  <c r="K19" i="8" s="1"/>
  <c r="E20" i="5"/>
  <c r="K18" i="8" s="1"/>
  <c r="E19" i="5"/>
  <c r="K17" i="8" s="1"/>
  <c r="E18" i="5"/>
  <c r="K16" i="8" s="1"/>
  <c r="E17" i="5"/>
  <c r="K15" i="8" s="1"/>
  <c r="E16" i="5"/>
  <c r="K14" i="8" s="1"/>
  <c r="E15" i="5"/>
  <c r="K13" i="8" s="1"/>
  <c r="E14" i="5"/>
  <c r="K12" i="8" s="1"/>
  <c r="E13" i="5"/>
  <c r="K11" i="8" s="1"/>
  <c r="E12" i="5"/>
  <c r="K10" i="8" s="1"/>
  <c r="E11" i="5"/>
  <c r="K9" i="8" s="1"/>
  <c r="E10" i="5"/>
  <c r="K8" i="8" s="1"/>
  <c r="E9" i="5"/>
  <c r="K7" i="8" s="1"/>
  <c r="E8" i="5"/>
  <c r="K6" i="8" s="1"/>
  <c r="E7" i="5"/>
  <c r="K5" i="8" s="1"/>
  <c r="E6" i="5"/>
  <c r="K4" i="8" s="1"/>
  <c r="E5" i="5"/>
  <c r="K3" i="8" s="1"/>
  <c r="E4" i="5"/>
  <c r="J26" i="8"/>
  <c r="C22" i="5"/>
  <c r="J20" i="8"/>
  <c r="C21" i="5"/>
  <c r="J19" i="8"/>
  <c r="C20" i="5"/>
  <c r="J18" i="8"/>
  <c r="C19" i="5"/>
  <c r="C18" i="5"/>
  <c r="C17" i="5"/>
  <c r="J15" i="8"/>
  <c r="C16" i="5"/>
  <c r="J14" i="8"/>
  <c r="C15" i="5"/>
  <c r="J13" i="8"/>
  <c r="C14" i="5"/>
  <c r="C13" i="5"/>
  <c r="J11" i="8"/>
  <c r="C12" i="5"/>
  <c r="J10" i="8"/>
  <c r="C11" i="5"/>
  <c r="J9" i="8"/>
  <c r="C10" i="5"/>
  <c r="J8" i="8"/>
  <c r="C9" i="5"/>
  <c r="J7" i="8"/>
  <c r="C8" i="5"/>
  <c r="J6" i="8"/>
  <c r="C7" i="5"/>
  <c r="C6" i="5"/>
  <c r="J4" i="8"/>
  <c r="C5" i="5"/>
  <c r="J3" i="8"/>
  <c r="C4" i="5"/>
  <c r="J2" i="8"/>
  <c r="F6" i="4"/>
  <c r="H2" i="8"/>
  <c r="H6" i="4"/>
  <c r="I6" i="4"/>
  <c r="D7" i="4"/>
  <c r="F7" i="4"/>
  <c r="H3" i="8" s="1"/>
  <c r="H7" i="4"/>
  <c r="I3" i="8" s="1"/>
  <c r="D8" i="4"/>
  <c r="F8" i="4"/>
  <c r="H4" i="8" s="1"/>
  <c r="H8" i="4"/>
  <c r="I4" i="8" s="1"/>
  <c r="D9" i="4"/>
  <c r="F9" i="4"/>
  <c r="H5" i="8" s="1"/>
  <c r="H9" i="4"/>
  <c r="I5" i="8" s="1"/>
  <c r="D10" i="4"/>
  <c r="F10" i="4"/>
  <c r="H6" i="8" s="1"/>
  <c r="H10" i="4"/>
  <c r="I6" i="8" s="1"/>
  <c r="D11" i="4"/>
  <c r="F11" i="4"/>
  <c r="H7" i="8" s="1"/>
  <c r="H11" i="4"/>
  <c r="I7" i="8" s="1"/>
  <c r="D12" i="4"/>
  <c r="F12" i="4"/>
  <c r="H8" i="8" s="1"/>
  <c r="H12" i="4"/>
  <c r="I8" i="8" s="1"/>
  <c r="D13" i="4"/>
  <c r="F13" i="4"/>
  <c r="H9" i="8" s="1"/>
  <c r="H13" i="4"/>
  <c r="I9" i="8" s="1"/>
  <c r="D14" i="4"/>
  <c r="F14" i="4"/>
  <c r="H10" i="8" s="1"/>
  <c r="H14" i="4"/>
  <c r="I10" i="8" s="1"/>
  <c r="D15" i="4"/>
  <c r="F15" i="4"/>
  <c r="H11" i="8" s="1"/>
  <c r="H15" i="4"/>
  <c r="I11" i="8" s="1"/>
  <c r="D16" i="4"/>
  <c r="F16" i="4"/>
  <c r="H12" i="8" s="1"/>
  <c r="H16" i="4"/>
  <c r="I12" i="8" s="1"/>
  <c r="D17" i="4"/>
  <c r="F17" i="4"/>
  <c r="H13" i="8" s="1"/>
  <c r="H17" i="4"/>
  <c r="I13" i="8" s="1"/>
  <c r="D18" i="4"/>
  <c r="F18" i="4"/>
  <c r="H14" i="8" s="1"/>
  <c r="H18" i="4"/>
  <c r="I14" i="8" s="1"/>
  <c r="D19" i="4"/>
  <c r="F19" i="4"/>
  <c r="H15" i="8" s="1"/>
  <c r="H19" i="4"/>
  <c r="I15" i="8" s="1"/>
  <c r="D20" i="4"/>
  <c r="F20" i="4"/>
  <c r="H16" i="8" s="1"/>
  <c r="H20" i="4"/>
  <c r="I16" i="8" s="1"/>
  <c r="D21" i="4"/>
  <c r="F21" i="4"/>
  <c r="H17" i="8" s="1"/>
  <c r="H21" i="4"/>
  <c r="I17" i="8" s="1"/>
  <c r="D22" i="4"/>
  <c r="F22" i="4"/>
  <c r="H18" i="8" s="1"/>
  <c r="H22" i="4"/>
  <c r="I18" i="8" s="1"/>
  <c r="D23" i="4"/>
  <c r="F23" i="4"/>
  <c r="H19" i="8" s="1"/>
  <c r="H23" i="4"/>
  <c r="I19" i="8" s="1"/>
  <c r="D24" i="4"/>
  <c r="F24" i="4"/>
  <c r="H20" i="8" s="1"/>
  <c r="H24" i="4"/>
  <c r="I20" i="8" s="1"/>
  <c r="D25" i="4"/>
  <c r="F25" i="4"/>
  <c r="H21" i="8" s="1"/>
  <c r="H25" i="4"/>
  <c r="I21" i="8" s="1"/>
  <c r="D26" i="4"/>
  <c r="F26" i="4"/>
  <c r="H22" i="8" s="1"/>
  <c r="H26" i="4"/>
  <c r="I22" i="8" s="1"/>
  <c r="D27" i="4"/>
  <c r="F27" i="4"/>
  <c r="H23" i="8" s="1"/>
  <c r="H27" i="4"/>
  <c r="I23" i="8" s="1"/>
  <c r="D28" i="4"/>
  <c r="F28" i="4"/>
  <c r="H24" i="8" s="1"/>
  <c r="H28" i="4"/>
  <c r="I24" i="8" s="1"/>
  <c r="D29" i="4"/>
  <c r="F29" i="4"/>
  <c r="H25" i="8" s="1"/>
  <c r="H29" i="4"/>
  <c r="I25" i="8" s="1"/>
  <c r="D30" i="4"/>
  <c r="F30" i="4"/>
  <c r="H26" i="8" s="1"/>
  <c r="H30" i="4"/>
  <c r="I26" i="8" s="1"/>
  <c r="D31" i="4"/>
  <c r="F31" i="4"/>
  <c r="H27" i="8" s="1"/>
  <c r="H31" i="4"/>
  <c r="I27" i="8" s="1"/>
  <c r="D32" i="4"/>
  <c r="F32" i="4"/>
  <c r="H28" i="8" s="1"/>
  <c r="H32" i="4"/>
  <c r="I28" i="8" s="1"/>
  <c r="F34" i="4"/>
  <c r="H30" i="8" s="1"/>
  <c r="C5" i="3"/>
  <c r="C6" i="3"/>
  <c r="E3" i="8"/>
  <c r="C7" i="3"/>
  <c r="E4" i="8"/>
  <c r="I4" i="9"/>
  <c r="C8" i="3"/>
  <c r="E5" i="8"/>
  <c r="I5" i="9"/>
  <c r="C9" i="3"/>
  <c r="E6" i="8"/>
  <c r="I6" i="9"/>
  <c r="C10" i="3"/>
  <c r="C11" i="3"/>
  <c r="E8" i="8"/>
  <c r="C12" i="3"/>
  <c r="E9" i="8"/>
  <c r="I9" i="9"/>
  <c r="C13" i="3"/>
  <c r="E10" i="8"/>
  <c r="I10" i="9"/>
  <c r="C14" i="3"/>
  <c r="E11" i="8"/>
  <c r="C15" i="3"/>
  <c r="E12" i="8"/>
  <c r="C16" i="3"/>
  <c r="E13" i="8"/>
  <c r="I13" i="9"/>
  <c r="C17" i="3"/>
  <c r="E14" i="8"/>
  <c r="I14" i="9"/>
  <c r="C18" i="3"/>
  <c r="E15" i="8"/>
  <c r="C19" i="3"/>
  <c r="E16" i="8"/>
  <c r="C20" i="3"/>
  <c r="E17" i="8"/>
  <c r="I17" i="9"/>
  <c r="C21" i="3"/>
  <c r="E18" i="8"/>
  <c r="I18" i="9"/>
  <c r="C22" i="3"/>
  <c r="E19" i="8"/>
  <c r="C23" i="3"/>
  <c r="E20" i="8"/>
  <c r="I20" i="9"/>
  <c r="C24" i="3"/>
  <c r="E21" i="8"/>
  <c r="I21" i="9"/>
  <c r="C25" i="3"/>
  <c r="E22" i="8"/>
  <c r="I22" i="9"/>
  <c r="C26" i="3"/>
  <c r="E23" i="8"/>
  <c r="C27" i="3"/>
  <c r="E24" i="8"/>
  <c r="I24" i="9"/>
  <c r="C28" i="3"/>
  <c r="E25" i="8"/>
  <c r="I25" i="9"/>
  <c r="C29" i="3"/>
  <c r="E26" i="8"/>
  <c r="I26" i="9"/>
  <c r="C30" i="3"/>
  <c r="E27" i="8"/>
  <c r="C31" i="3"/>
  <c r="E28" i="8"/>
  <c r="I28" i="9"/>
  <c r="C32" i="3"/>
  <c r="E29" i="8"/>
  <c r="I29" i="9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O25" i="8"/>
  <c r="N13" i="8"/>
  <c r="K2" i="8"/>
  <c r="M15" i="8"/>
  <c r="E2" i="8"/>
  <c r="I2" i="9"/>
  <c r="W12" i="8"/>
  <c r="F22" i="8"/>
  <c r="F18" i="8"/>
  <c r="F5" i="8"/>
  <c r="E7" i="8"/>
  <c r="T10" i="8"/>
  <c r="R25" i="8"/>
  <c r="R27" i="8"/>
  <c r="T19" i="8"/>
  <c r="R9" i="8"/>
  <c r="T30" i="8"/>
  <c r="J5" i="8"/>
  <c r="J17" i="8"/>
  <c r="J21" i="8"/>
  <c r="I11" i="4"/>
  <c r="I29" i="4"/>
  <c r="O17" i="8"/>
  <c r="M18" i="8"/>
  <c r="I21" i="4"/>
  <c r="I26" i="4"/>
  <c r="F14" i="8"/>
  <c r="I31" i="4"/>
  <c r="P29" i="8"/>
  <c r="J25" i="8"/>
  <c r="I12" i="4"/>
  <c r="I16" i="4"/>
  <c r="K37" i="4"/>
  <c r="I27" i="4"/>
  <c r="F2" i="8"/>
  <c r="Q37" i="4"/>
  <c r="I7" i="4"/>
  <c r="I30" i="4"/>
  <c r="I32" i="4"/>
  <c r="Q31" i="8"/>
  <c r="J32" i="8"/>
  <c r="I27" i="9"/>
  <c r="F4" i="8"/>
  <c r="I11" i="9"/>
  <c r="AD14" i="5"/>
  <c r="AD21" i="5"/>
  <c r="AD12" i="5"/>
  <c r="AD7" i="5"/>
  <c r="I15" i="9"/>
  <c r="I12" i="9"/>
  <c r="I8" i="9"/>
  <c r="C36" i="3"/>
  <c r="I20" i="4"/>
  <c r="I2" i="8"/>
  <c r="I19" i="4"/>
  <c r="I8" i="4"/>
  <c r="I23" i="4"/>
  <c r="E36" i="3"/>
  <c r="I7" i="9"/>
  <c r="I23" i="9"/>
  <c r="I16" i="9"/>
  <c r="I19" i="9"/>
  <c r="I3" i="9"/>
  <c r="I32" i="9"/>
  <c r="AD20" i="5"/>
  <c r="AD30" i="5"/>
  <c r="AD33" i="5"/>
  <c r="AD25" i="5"/>
  <c r="R23" i="8"/>
  <c r="G23" i="9"/>
  <c r="AD15" i="5"/>
  <c r="AD6" i="5"/>
  <c r="AD27" i="5"/>
  <c r="G31" i="9"/>
  <c r="G32" i="9"/>
  <c r="AD29" i="5"/>
  <c r="AD23" i="5"/>
  <c r="AD28" i="5"/>
  <c r="AD34" i="5"/>
  <c r="AD18" i="5"/>
  <c r="G24" i="9"/>
  <c r="G30" i="9"/>
  <c r="AD26" i="5"/>
  <c r="AD8" i="5"/>
  <c r="G27" i="9"/>
  <c r="G25" i="9"/>
  <c r="G22" i="9"/>
  <c r="AD4" i="5"/>
  <c r="AD9" i="5"/>
  <c r="G9" i="9"/>
  <c r="M21" i="8"/>
  <c r="G21" i="9"/>
  <c r="G26" i="9"/>
  <c r="AD10" i="5"/>
  <c r="AD32" i="5"/>
  <c r="G4" i="9"/>
  <c r="G15" i="9"/>
  <c r="AD17" i="5"/>
  <c r="G18" i="9"/>
  <c r="AD31" i="5"/>
  <c r="G8" i="9"/>
  <c r="AD16" i="5"/>
  <c r="AD24" i="5"/>
  <c r="AD19" i="5"/>
  <c r="G17" i="9"/>
  <c r="AD13" i="5"/>
  <c r="G2" i="9"/>
  <c r="G13" i="9"/>
  <c r="G28" i="9"/>
  <c r="G3" i="9"/>
  <c r="G7" i="9"/>
  <c r="G14" i="9"/>
  <c r="AD22" i="5"/>
  <c r="G5" i="9"/>
  <c r="J16" i="8"/>
  <c r="G16" i="9"/>
  <c r="AD11" i="5"/>
  <c r="G10" i="9"/>
  <c r="G6" i="9"/>
  <c r="G29" i="9"/>
  <c r="AD5" i="5"/>
  <c r="G11" i="9"/>
  <c r="U37" i="4"/>
  <c r="W37" i="4"/>
  <c r="I10" i="4"/>
  <c r="E2" i="9"/>
  <c r="I25" i="4"/>
  <c r="I36" i="4"/>
  <c r="I24" i="4"/>
  <c r="F37" i="4"/>
  <c r="I15" i="4"/>
  <c r="I34" i="4"/>
  <c r="I18" i="4"/>
  <c r="G2" i="8"/>
  <c r="I13" i="4"/>
  <c r="D37" i="4"/>
  <c r="I17" i="4"/>
  <c r="I14" i="4"/>
  <c r="I9" i="4"/>
  <c r="I35" i="4"/>
  <c r="I22" i="4"/>
  <c r="G19" i="9"/>
  <c r="G20" i="9"/>
  <c r="H37" i="4"/>
  <c r="J12" i="8"/>
  <c r="G12" i="9"/>
  <c r="I37" i="4"/>
  <c r="E28" i="9" l="1"/>
  <c r="G28" i="8"/>
  <c r="E27" i="9"/>
  <c r="G27" i="8"/>
  <c r="E26" i="9"/>
  <c r="G26" i="8"/>
  <c r="E25" i="9"/>
  <c r="G25" i="8"/>
  <c r="E24" i="9"/>
  <c r="G24" i="8"/>
  <c r="E23" i="9"/>
  <c r="G23" i="8"/>
  <c r="E22" i="9"/>
  <c r="G22" i="8"/>
  <c r="E21" i="9"/>
  <c r="G21" i="8"/>
  <c r="E20" i="9"/>
  <c r="G20" i="8"/>
  <c r="E19" i="9"/>
  <c r="G19" i="8"/>
  <c r="E18" i="9"/>
  <c r="G18" i="8"/>
  <c r="E17" i="9"/>
  <c r="G17" i="8"/>
  <c r="E16" i="9"/>
  <c r="G16" i="8"/>
  <c r="E15" i="9"/>
  <c r="G15" i="8"/>
  <c r="E14" i="9"/>
  <c r="G14" i="8"/>
  <c r="E13" i="9"/>
  <c r="G13" i="8"/>
  <c r="E12" i="9"/>
  <c r="G12" i="8"/>
  <c r="E11" i="9"/>
  <c r="G11" i="8"/>
  <c r="E10" i="9"/>
  <c r="G10" i="8"/>
  <c r="E9" i="9"/>
  <c r="G9" i="8"/>
  <c r="E8" i="9"/>
  <c r="G8" i="8"/>
  <c r="E7" i="9"/>
  <c r="G7" i="8"/>
  <c r="E6" i="9"/>
  <c r="G6" i="8"/>
  <c r="E5" i="9"/>
  <c r="G5" i="8"/>
  <c r="E4" i="9"/>
  <c r="G4" i="8"/>
  <c r="E3" i="9"/>
  <c r="G3" i="8"/>
  <c r="E29" i="9"/>
  <c r="G29" i="8"/>
  <c r="E30" i="9"/>
  <c r="G30" i="8"/>
  <c r="E31" i="9"/>
  <c r="G31" i="8"/>
  <c r="E32" i="9"/>
  <c r="G32" i="8"/>
  <c r="I28" i="4"/>
  <c r="I33" i="4"/>
</calcChain>
</file>

<file path=xl/sharedStrings.xml><?xml version="1.0" encoding="utf-8"?>
<sst xmlns="http://schemas.openxmlformats.org/spreadsheetml/2006/main" count="186" uniqueCount="74">
  <si>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</si>
  <si>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</si>
  <si>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</si>
  <si>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</si>
  <si>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</si>
  <si>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</si>
  <si>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</si>
  <si>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</si>
  <si>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</si>
  <si>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</si>
  <si>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</si>
  <si>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Alexandria at San Stefano</t>
  </si>
  <si>
    <t>Main- m3</t>
  </si>
  <si>
    <t>Beach Water - m3</t>
  </si>
  <si>
    <t xml:space="preserve">Hotel Trans-1 - KWh </t>
  </si>
  <si>
    <t xml:space="preserve">Hotel Trans-2 - KWh </t>
  </si>
  <si>
    <t xml:space="preserve">Hotel Trans-3 - KWh </t>
  </si>
  <si>
    <t>st. gas - m3</t>
  </si>
  <si>
    <t>H.Water  boiler - m3</t>
  </si>
  <si>
    <t>Kala Kit. - m3</t>
  </si>
  <si>
    <t>Pastry Kit. - m3</t>
  </si>
  <si>
    <t>Italian Kit. - m3</t>
  </si>
  <si>
    <t>Byblos kit - m3</t>
  </si>
  <si>
    <t>Banquet Kit. - m3</t>
  </si>
  <si>
    <t>Pool Kit. - m3</t>
  </si>
  <si>
    <t>Laundry - m3</t>
  </si>
  <si>
    <t>Dining - m3</t>
  </si>
  <si>
    <t>Fressca - m3</t>
  </si>
  <si>
    <t>jacuzzi Heater - m3</t>
  </si>
  <si>
    <t>s.Pool Heater - m3</t>
  </si>
  <si>
    <t>Lobby Lou. Heater - m3</t>
  </si>
  <si>
    <t>Room Night</t>
  </si>
  <si>
    <t>Hotel JAN 2021</t>
  </si>
  <si>
    <t>Main Reading</t>
  </si>
  <si>
    <t>Cons.</t>
  </si>
  <si>
    <t>Beach Water</t>
  </si>
  <si>
    <t>Last</t>
  </si>
  <si>
    <t>Total</t>
  </si>
  <si>
    <t>Feeders and transformers Electrity cons.  Jan 21</t>
  </si>
  <si>
    <t>Hotel</t>
  </si>
  <si>
    <t>W4</t>
  </si>
  <si>
    <t>W5</t>
  </si>
  <si>
    <t>Room Sold</t>
  </si>
  <si>
    <t>Trans-1</t>
  </si>
  <si>
    <t>Trans-2</t>
  </si>
  <si>
    <t>Trans-3</t>
  </si>
  <si>
    <t>MDB/W4-1</t>
  </si>
  <si>
    <t>MDB/W4-2</t>
  </si>
  <si>
    <t>MDB/W4-3</t>
  </si>
  <si>
    <t>EMDB/W5-1</t>
  </si>
  <si>
    <t>MDB/W5-1</t>
  </si>
  <si>
    <t>MDB/W5-2</t>
  </si>
  <si>
    <t>MDB/W5-3</t>
  </si>
  <si>
    <t>Readings</t>
  </si>
  <si>
    <t>Reading</t>
  </si>
  <si>
    <t>Cons</t>
  </si>
  <si>
    <t>Gas Con. JAN 2021</t>
  </si>
  <si>
    <t>st. gas</t>
  </si>
  <si>
    <t>H.Water  boiler</t>
  </si>
  <si>
    <t>Kala Kit.</t>
  </si>
  <si>
    <t>Pastery Kit.</t>
  </si>
  <si>
    <t>Italian Kit.</t>
  </si>
  <si>
    <t>Byblos kit</t>
  </si>
  <si>
    <t>Banquet Kit.</t>
  </si>
  <si>
    <t>Pool Kit.</t>
  </si>
  <si>
    <t>Laundry</t>
  </si>
  <si>
    <t>Dinning</t>
  </si>
  <si>
    <t>Fresca</t>
  </si>
  <si>
    <t>jacuuzi Heater</t>
  </si>
  <si>
    <t>s.Pool Heater</t>
  </si>
  <si>
    <t>Lobby Lou. Heater</t>
  </si>
  <si>
    <t>Total Cons</t>
  </si>
  <si>
    <t>Boiler 26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</si>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</sst>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.000"/>
  </numFmts>
  <fonts count="4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sz val="14"/>
      <color indexed="10"/>
      <name val="Arial"/>
      <family val="2"/>
    </font>
    <font>
      <sz val="22"/>
      <name val="Arial"/>
      <family val="2"/>
    </font>
    <font>
      <b/>
      <sz val="30"/>
      <name val="Arial"/>
      <family val="2"/>
      <charset val="1"/>
    </font>
    <font>
      <b/>
      <sz val="20"/>
      <name val="Arial"/>
      <family val="2"/>
      <charset val="1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0070C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Arial"/>
      <family val="2"/>
    </font>
    <font>
      <sz val="18"/>
      <color theme="1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b/>
      <sz val="20"/>
      <color rgb="FF000000"/>
      <name val="Arial"/>
      <charset val="1"/>
    </font>
    <font>
      <b/>
      <sz val="20"/>
      <color indexed="8"/>
      <name val="Arial"/>
      <family val="2"/>
    </font>
    <font>
      <sz val="22"/>
      <color rgb="FF000000"/>
      <name val="Arial"/>
      <charset val="1"/>
    </font>
    <font>
      <b/>
      <sz val="2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rgb="FFCCFFFF"/>
      </patternFill>
    </fill>
    <fill>
      <patternFill patternType="solid">
        <fgColor rgb="FFFFFFFF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3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 tint="-0.249977111117893"/>
      </left>
      <right style="medium">
        <color indexed="64"/>
      </right>
      <top/>
      <bottom style="thin">
        <color theme="5" tint="-0.249977111117893"/>
      </bottom>
      <diagonal/>
    </border>
    <border>
      <left style="medium">
        <color indexed="64"/>
      </left>
      <right style="thin">
        <color theme="5" tint="-0.249977111117893"/>
      </right>
      <top/>
      <bottom style="thin">
        <color theme="5" tint="-0.249977111117893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</borders>
  <cellStyleXfs count="6">
    <xf numFmtId="0" fontId="0" fillId="0" borderId="0"/>
    <xf numFmtId="0" fontId="7" fillId="2" borderId="0" applyNumberFormat="0" applyBorder="0" applyAlignment="0" applyProtection="0"/>
    <xf numFmtId="0" fontId="22" fillId="0" borderId="0" applyNumberFormat="0" applyFill="0" applyBorder="0" applyAlignment="0" applyProtection="0"/>
    <xf numFmtId="0" fontId="2" fillId="0" borderId="0"/>
    <xf numFmtId="0" fontId="2" fillId="0" borderId="0"/>
    <xf numFmtId="0" fontId="1" fillId="0" borderId="0"/>
  </cellStyleXfs>
  <cellXfs count="148">
    <xf numFmtId="0" fontId="0" fillId="0" borderId="0" xfId="0"/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8" fillId="0" borderId="0" xfId="0" applyFont="1"/>
    <xf numFmtId="164" fontId="4" fillId="0" borderId="0" xfId="0" applyNumberFormat="1" applyFont="1" applyAlignment="1">
      <alignment horizontal="center" vertical="center"/>
    </xf>
    <xf numFmtId="0" fontId="23" fillId="0" borderId="0" xfId="0" applyFont="1"/>
    <xf numFmtId="1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9" fillId="0" borderId="0" xfId="0" applyFont="1"/>
    <xf numFmtId="0" fontId="24" fillId="0" borderId="1" xfId="0" applyFont="1" applyBorder="1"/>
    <xf numFmtId="0" fontId="25" fillId="0" borderId="0" xfId="0" applyFont="1"/>
    <xf numFmtId="0" fontId="26" fillId="0" borderId="1" xfId="0" applyFont="1" applyBorder="1" applyAlignment="1">
      <alignment horizontal="center"/>
    </xf>
    <xf numFmtId="1" fontId="23" fillId="0" borderId="1" xfId="0" applyNumberFormat="1" applyFont="1" applyBorder="1" applyAlignment="1">
      <alignment horizontal="center" wrapText="1"/>
    </xf>
    <xf numFmtId="0" fontId="25" fillId="0" borderId="0" xfId="0" applyFont="1" applyAlignment="1">
      <alignment horizontal="center"/>
    </xf>
    <xf numFmtId="2" fontId="23" fillId="0" borderId="1" xfId="0" applyNumberFormat="1" applyFont="1" applyBorder="1" applyAlignment="1">
      <alignment horizontal="center" wrapText="1"/>
    </xf>
    <xf numFmtId="4" fontId="0" fillId="0" borderId="0" xfId="0" applyNumberFormat="1" applyAlignment="1">
      <alignment horizontal="center"/>
    </xf>
    <xf numFmtId="1" fontId="9" fillId="0" borderId="0" xfId="0" applyNumberFormat="1" applyFont="1"/>
    <xf numFmtId="0" fontId="1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4" fontId="27" fillId="0" borderId="0" xfId="0" applyNumberFormat="1" applyFont="1" applyAlignment="1">
      <alignment horizontal="center"/>
    </xf>
    <xf numFmtId="0" fontId="4" fillId="0" borderId="0" xfId="0" applyFont="1"/>
    <xf numFmtId="0" fontId="15" fillId="0" borderId="0" xfId="0" applyFont="1"/>
    <xf numFmtId="165" fontId="15" fillId="0" borderId="0" xfId="0" applyNumberFormat="1" applyFont="1"/>
    <xf numFmtId="164" fontId="14" fillId="8" borderId="0" xfId="0" applyNumberFormat="1" applyFont="1" applyFill="1" applyAlignment="1">
      <alignment horizontal="center" vertical="center"/>
    </xf>
    <xf numFmtId="1" fontId="8" fillId="0" borderId="0" xfId="0" applyNumberFormat="1" applyFont="1"/>
    <xf numFmtId="1" fontId="4" fillId="0" borderId="0" xfId="0" applyNumberFormat="1" applyFont="1" applyAlignment="1">
      <alignment horizontal="center" vertical="center"/>
    </xf>
    <xf numFmtId="14" fontId="28" fillId="8" borderId="4" xfId="0" applyNumberFormat="1" applyFont="1" applyFill="1" applyBorder="1" applyAlignment="1">
      <alignment horizontal="center" vertical="center"/>
    </xf>
    <xf numFmtId="14" fontId="28" fillId="8" borderId="5" xfId="0" applyNumberFormat="1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164" fontId="8" fillId="3" borderId="9" xfId="0" applyNumberFormat="1" applyFont="1" applyFill="1" applyBorder="1" applyAlignment="1">
      <alignment horizontal="center" vertical="center"/>
    </xf>
    <xf numFmtId="1" fontId="8" fillId="3" borderId="10" xfId="0" applyNumberFormat="1" applyFont="1" applyFill="1" applyBorder="1" applyAlignment="1">
      <alignment horizontal="center" vertical="center"/>
    </xf>
    <xf numFmtId="1" fontId="8" fillId="3" borderId="11" xfId="0" applyNumberFormat="1" applyFont="1" applyFill="1" applyBorder="1" applyAlignment="1">
      <alignment horizontal="center" vertical="center"/>
    </xf>
    <xf numFmtId="164" fontId="8" fillId="3" borderId="12" xfId="0" applyNumberFormat="1" applyFont="1" applyFill="1" applyBorder="1" applyAlignment="1">
      <alignment horizontal="center" vertical="center"/>
    </xf>
    <xf numFmtId="1" fontId="8" fillId="3" borderId="13" xfId="0" applyNumberFormat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164" fontId="8" fillId="3" borderId="16" xfId="0" applyNumberFormat="1" applyFont="1" applyFill="1" applyBorder="1" applyAlignment="1">
      <alignment horizontal="center" vertical="center"/>
    </xf>
    <xf numFmtId="164" fontId="4" fillId="3" borderId="6" xfId="0" applyNumberFormat="1" applyFont="1" applyFill="1" applyBorder="1" applyAlignment="1">
      <alignment horizontal="center" vertical="center"/>
    </xf>
    <xf numFmtId="1" fontId="4" fillId="3" borderId="7" xfId="0" applyNumberFormat="1" applyFont="1" applyFill="1" applyBorder="1" applyAlignment="1">
      <alignment horizontal="center" vertical="center"/>
    </xf>
    <xf numFmtId="14" fontId="28" fillId="8" borderId="9" xfId="0" applyNumberFormat="1" applyFont="1" applyFill="1" applyBorder="1" applyAlignment="1">
      <alignment horizontal="center" vertical="center"/>
    </xf>
    <xf numFmtId="1" fontId="18" fillId="5" borderId="7" xfId="0" applyNumberFormat="1" applyFont="1" applyFill="1" applyBorder="1" applyAlignment="1">
      <alignment horizontal="center"/>
    </xf>
    <xf numFmtId="0" fontId="26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vertical="center"/>
    </xf>
    <xf numFmtId="164" fontId="10" fillId="3" borderId="7" xfId="0" applyNumberFormat="1" applyFont="1" applyFill="1" applyBorder="1" applyAlignment="1">
      <alignment horizontal="center" vertical="center"/>
    </xf>
    <xf numFmtId="0" fontId="9" fillId="9" borderId="60" xfId="0" applyFont="1" applyFill="1" applyBorder="1" applyAlignment="1">
      <alignment horizontal="center"/>
    </xf>
    <xf numFmtId="164" fontId="10" fillId="3" borderId="13" xfId="0" applyNumberFormat="1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164" fontId="6" fillId="3" borderId="7" xfId="0" applyNumberFormat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/>
    </xf>
    <xf numFmtId="0" fontId="11" fillId="4" borderId="24" xfId="0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1" fillId="7" borderId="26" xfId="0" applyFont="1" applyFill="1" applyBorder="1" applyAlignment="1">
      <alignment horizontal="center" vertical="center"/>
    </xf>
    <xf numFmtId="0" fontId="11" fillId="7" borderId="27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1" fillId="7" borderId="28" xfId="0" applyFont="1" applyFill="1" applyBorder="1" applyAlignment="1">
      <alignment horizontal="center" vertical="center"/>
    </xf>
    <xf numFmtId="0" fontId="6" fillId="6" borderId="29" xfId="0" applyFont="1" applyFill="1" applyBorder="1" applyAlignment="1">
      <alignment horizontal="center" vertical="center"/>
    </xf>
    <xf numFmtId="0" fontId="31" fillId="10" borderId="61" xfId="0" applyFont="1" applyFill="1" applyBorder="1" applyAlignment="1">
      <alignment horizontal="center"/>
    </xf>
    <xf numFmtId="0" fontId="11" fillId="7" borderId="30" xfId="0" applyFont="1" applyFill="1" applyBorder="1" applyAlignment="1">
      <alignment horizontal="center" vertical="center"/>
    </xf>
    <xf numFmtId="0" fontId="12" fillId="4" borderId="31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34" xfId="0" applyFont="1" applyFill="1" applyBorder="1" applyAlignment="1">
      <alignment horizontal="center" vertical="center"/>
    </xf>
    <xf numFmtId="0" fontId="4" fillId="11" borderId="6" xfId="2" applyFont="1" applyFill="1" applyBorder="1" applyAlignment="1">
      <alignment horizontal="center" vertical="center"/>
    </xf>
    <xf numFmtId="0" fontId="4" fillId="0" borderId="3" xfId="0" applyFont="1" applyBorder="1"/>
    <xf numFmtId="0" fontId="19" fillId="11" borderId="35" xfId="2" applyFont="1" applyFill="1" applyBorder="1" applyAlignment="1">
      <alignment horizontal="center" vertical="center"/>
    </xf>
    <xf numFmtId="0" fontId="17" fillId="4" borderId="36" xfId="0" applyFont="1" applyFill="1" applyBorder="1" applyAlignment="1">
      <alignment horizontal="center" vertical="center"/>
    </xf>
    <xf numFmtId="0" fontId="17" fillId="4" borderId="37" xfId="0" applyFont="1" applyFill="1" applyBorder="1" applyAlignment="1">
      <alignment horizontal="center" vertical="center"/>
    </xf>
    <xf numFmtId="14" fontId="28" fillId="8" borderId="6" xfId="0" applyNumberFormat="1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7" fillId="4" borderId="38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1" fontId="18" fillId="5" borderId="14" xfId="0" applyNumberFormat="1" applyFont="1" applyFill="1" applyBorder="1" applyAlignment="1">
      <alignment horizontal="center"/>
    </xf>
    <xf numFmtId="0" fontId="17" fillId="4" borderId="39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0" fontId="4" fillId="3" borderId="41" xfId="0" applyFont="1" applyFill="1" applyBorder="1" applyAlignment="1">
      <alignment horizontal="center" vertical="center"/>
    </xf>
    <xf numFmtId="0" fontId="8" fillId="11" borderId="42" xfId="2" applyFont="1" applyFill="1" applyBorder="1" applyAlignment="1">
      <alignment horizontal="center" vertical="center"/>
    </xf>
    <xf numFmtId="0" fontId="32" fillId="11" borderId="43" xfId="2" applyFont="1" applyFill="1" applyBorder="1" applyAlignment="1">
      <alignment horizontal="center" vertical="center"/>
    </xf>
    <xf numFmtId="0" fontId="32" fillId="11" borderId="44" xfId="2" applyFont="1" applyFill="1" applyBorder="1" applyAlignment="1">
      <alignment horizontal="center" vertical="center"/>
    </xf>
    <xf numFmtId="0" fontId="32" fillId="11" borderId="45" xfId="2" applyFont="1" applyFill="1" applyBorder="1" applyAlignment="1">
      <alignment horizontal="center" vertical="center"/>
    </xf>
    <xf numFmtId="0" fontId="33" fillId="11" borderId="40" xfId="2" applyFont="1" applyFill="1" applyBorder="1" applyAlignment="1">
      <alignment horizontal="center" vertical="center"/>
    </xf>
    <xf numFmtId="0" fontId="4" fillId="3" borderId="46" xfId="0" applyFont="1" applyFill="1" applyBorder="1" applyAlignment="1">
      <alignment horizontal="center" vertical="center"/>
    </xf>
    <xf numFmtId="0" fontId="4" fillId="3" borderId="47" xfId="0" applyFont="1" applyFill="1" applyBorder="1" applyAlignment="1">
      <alignment horizontal="center" vertical="center"/>
    </xf>
    <xf numFmtId="0" fontId="4" fillId="3" borderId="48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center" vertical="center"/>
    </xf>
    <xf numFmtId="0" fontId="8" fillId="11" borderId="50" xfId="2" applyFont="1" applyFill="1" applyBorder="1" applyAlignment="1">
      <alignment horizontal="center" vertical="center"/>
    </xf>
    <xf numFmtId="0" fontId="8" fillId="11" borderId="51" xfId="2" applyFont="1" applyFill="1" applyBorder="1" applyAlignment="1">
      <alignment horizontal="center" vertical="center"/>
    </xf>
    <xf numFmtId="0" fontId="8" fillId="11" borderId="52" xfId="2" applyFont="1" applyFill="1" applyBorder="1" applyAlignment="1">
      <alignment horizontal="center" vertical="center"/>
    </xf>
    <xf numFmtId="0" fontId="8" fillId="11" borderId="53" xfId="2" applyFont="1" applyFill="1" applyBorder="1" applyAlignment="1">
      <alignment horizontal="center" vertical="center"/>
    </xf>
    <xf numFmtId="1" fontId="8" fillId="3" borderId="54" xfId="0" applyNumberFormat="1" applyFont="1" applyFill="1" applyBorder="1" applyAlignment="1">
      <alignment horizontal="center" vertical="center"/>
    </xf>
    <xf numFmtId="0" fontId="10" fillId="8" borderId="32" xfId="5" applyFont="1" applyFill="1" applyBorder="1" applyAlignment="1">
      <alignment horizontal="center" vertical="center"/>
    </xf>
    <xf numFmtId="0" fontId="35" fillId="0" borderId="2" xfId="0" applyFont="1" applyBorder="1" applyAlignment="1">
      <alignment wrapText="1"/>
    </xf>
    <xf numFmtId="0" fontId="35" fillId="0" borderId="32" xfId="0" applyFont="1" applyBorder="1" applyAlignment="1">
      <alignment wrapText="1"/>
    </xf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8" borderId="32" xfId="0" applyFont="1" applyFill="1" applyBorder="1" applyAlignment="1">
      <alignment horizontal="center" vertical="center"/>
    </xf>
    <xf numFmtId="0" fontId="35" fillId="0" borderId="32" xfId="0" applyFont="1" applyBorder="1" applyAlignment="1">
      <alignment horizontal="center" vertical="center"/>
    </xf>
    <xf numFmtId="0" fontId="36" fillId="4" borderId="32" xfId="0" applyFont="1" applyFill="1" applyBorder="1" applyAlignment="1">
      <alignment horizontal="center" vertical="center"/>
    </xf>
    <xf numFmtId="0" fontId="37" fillId="12" borderId="62" xfId="0" applyFont="1" applyFill="1" applyBorder="1" applyAlignment="1">
      <alignment horizontal="center" vertical="center" wrapText="1"/>
    </xf>
    <xf numFmtId="0" fontId="38" fillId="12" borderId="62" xfId="0" applyFont="1" applyFill="1" applyBorder="1" applyAlignment="1">
      <alignment horizontal="center" vertical="center"/>
    </xf>
    <xf numFmtId="0" fontId="38" fillId="0" borderId="62" xfId="0" applyFont="1" applyBorder="1" applyAlignment="1">
      <alignment horizontal="center" vertical="center"/>
    </xf>
    <xf numFmtId="0" fontId="38" fillId="0" borderId="21" xfId="0" applyFont="1" applyBorder="1" applyAlignment="1">
      <alignment horizontal="center" vertical="center"/>
    </xf>
    <xf numFmtId="0" fontId="39" fillId="12" borderId="62" xfId="0" applyFont="1" applyFill="1" applyBorder="1" applyAlignment="1">
      <alignment horizontal="center" vertical="center" wrapText="1"/>
    </xf>
    <xf numFmtId="0" fontId="34" fillId="12" borderId="62" xfId="0" applyFont="1" applyFill="1" applyBorder="1" applyAlignment="1">
      <alignment horizontal="center" vertical="center"/>
    </xf>
    <xf numFmtId="0" fontId="34" fillId="0" borderId="62" xfId="0" applyFont="1" applyBorder="1" applyAlignment="1">
      <alignment horizontal="center" vertical="center"/>
    </xf>
    <xf numFmtId="0" fontId="34" fillId="0" borderId="63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 wrapText="1"/>
    </xf>
    <xf numFmtId="0" fontId="34" fillId="11" borderId="59" xfId="2" applyFont="1" applyFill="1" applyBorder="1" applyAlignment="1">
      <alignment horizontal="center" vertical="center"/>
    </xf>
    <xf numFmtId="164" fontId="14" fillId="0" borderId="6" xfId="0" applyNumberFormat="1" applyFont="1" applyBorder="1" applyAlignment="1">
      <alignment horizontal="center" vertical="center"/>
    </xf>
    <xf numFmtId="164" fontId="14" fillId="0" borderId="3" xfId="0" applyNumberFormat="1" applyFont="1" applyBorder="1" applyAlignment="1">
      <alignment horizontal="center" vertical="center"/>
    </xf>
    <xf numFmtId="164" fontId="14" fillId="0" borderId="8" xfId="0" applyNumberFormat="1" applyFont="1" applyBorder="1" applyAlignment="1">
      <alignment horizontal="center" vertical="center"/>
    </xf>
    <xf numFmtId="0" fontId="14" fillId="0" borderId="55" xfId="0" applyFont="1" applyBorder="1" applyAlignment="1">
      <alignment horizontal="center"/>
    </xf>
    <xf numFmtId="0" fontId="14" fillId="0" borderId="56" xfId="0" applyFont="1" applyBorder="1" applyAlignment="1">
      <alignment horizontal="center"/>
    </xf>
    <xf numFmtId="0" fontId="14" fillId="0" borderId="57" xfId="0" applyFont="1" applyBorder="1" applyAlignment="1">
      <alignment horizontal="center"/>
    </xf>
    <xf numFmtId="164" fontId="5" fillId="0" borderId="55" xfId="0" applyNumberFormat="1" applyFont="1" applyBorder="1" applyAlignment="1">
      <alignment horizontal="center" vertical="center"/>
    </xf>
    <xf numFmtId="164" fontId="5" fillId="0" borderId="56" xfId="0" applyNumberFormat="1" applyFont="1" applyBorder="1" applyAlignment="1">
      <alignment horizontal="center" vertical="center"/>
    </xf>
    <xf numFmtId="164" fontId="5" fillId="0" borderId="57" xfId="0" applyNumberFormat="1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58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</cellXfs>
  <cellStyles count="6">
    <cellStyle name="Bad" xfId="1" builtinId="27" customBuiltin="1"/>
    <cellStyle name="Explanatory Text" xfId="2" builtinId="53"/>
    <cellStyle name="Normal" xfId="0" builtinId="0"/>
    <cellStyle name="Normal 12" xfId="3" xr:uid="{00000000-0005-0000-0000-000003000000}"/>
    <cellStyle name="Normal 14" xfId="4" xr:uid="{00000000-0005-0000-0000-000004000000}"/>
    <cellStyle name="Normal 2" xfId="5" xr:uid="{00000000-0005-0000-0000-000005000000}"/>
  </cellStyles>
  <dxfs count="64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K32"/>
  <sheetViews>
    <sheetView topLeftCell="B1" zoomScale="85" zoomScaleNormal="85" workbookViewId="0">
      <selection activeCell="D2" sqref="D2"/>
    </sheetView>
  </sheetViews>
  <sheetFormatPr defaultColWidth="11.5703125" defaultRowHeight="12.75"/>
  <cols>
    <col min="1" max="1" width="23.140625" style="11" bestFit="1" customWidth="1"/>
    <col min="2" max="3" width="11.5703125" style="14"/>
    <col min="4" max="4" width="13.42578125" style="14" customWidth="1"/>
    <col min="5" max="5" width="12.5703125" style="1" customWidth="1"/>
    <col min="6" max="6" width="12.5703125" style="19" customWidth="1"/>
    <col min="7" max="7" width="11.5703125" style="1"/>
    <col min="8" max="8" width="11.5703125" style="19"/>
    <col min="9" max="9" width="11.5703125" style="1"/>
    <col min="10" max="10" width="11.5703125" style="19"/>
    <col min="11" max="11" width="11.5703125" style="1"/>
  </cols>
  <sheetData>
    <row r="1" spans="1:11" s="5" customFormat="1" ht="60">
      <c r="A1" s="51" t="s">
        <v>0</v>
      </c>
      <c r="B1" s="48" t="s">
        <v>1</v>
      </c>
      <c r="C1" s="48" t="s">
        <v>2</v>
      </c>
      <c r="D1" s="48" t="s">
        <v>3</v>
      </c>
      <c r="E1" s="49" t="s">
        <v>4</v>
      </c>
      <c r="F1" s="50" t="s">
        <v>5</v>
      </c>
      <c r="G1" s="49" t="s">
        <v>6</v>
      </c>
      <c r="H1" s="50" t="s">
        <v>7</v>
      </c>
      <c r="I1" s="49" t="s">
        <v>8</v>
      </c>
      <c r="J1" s="50" t="s">
        <v>9</v>
      </c>
      <c r="K1" s="49" t="s">
        <v>10</v>
      </c>
    </row>
    <row r="2" spans="1:11">
      <c r="A2" s="11" t="s">
        <v>11</v>
      </c>
      <c r="B2" s="14">
        <v>1</v>
      </c>
      <c r="C2" s="14">
        <v>1</v>
      </c>
      <c r="D2" s="14">
        <v>2021</v>
      </c>
      <c r="E2" s="7">
        <f>ELECT.!D6+ELECT.!F6+ELECT.!H6</f>
        <v>18465</v>
      </c>
      <c r="F2" s="19">
        <v>1.56</v>
      </c>
      <c r="G2" s="7">
        <f>Submetering!J2+Submetering!K2+Submetering!L2+Submetering!M2+Submetering!N2+Submetering!O2+Submetering!P2+Submetering!Q2+Submetering!R2+Submetering!S2+Submetering!T2+Submetering!U2+Submetering!V2+Submetering!W2</f>
        <v>1722</v>
      </c>
      <c r="H2" s="20">
        <v>3.6</v>
      </c>
      <c r="I2" s="7">
        <f>Submetering!E2+Water!E5</f>
        <v>264</v>
      </c>
      <c r="J2" s="20">
        <v>9.1</v>
      </c>
      <c r="K2" s="7">
        <f>ELECT.!B6</f>
        <v>77</v>
      </c>
    </row>
    <row r="3" spans="1:11">
      <c r="A3" s="11" t="s">
        <v>11</v>
      </c>
      <c r="B3" s="14">
        <f>B2+1</f>
        <v>2</v>
      </c>
      <c r="C3" s="14">
        <v>1</v>
      </c>
      <c r="D3" s="14">
        <v>2021</v>
      </c>
      <c r="E3" s="7">
        <f>ELECT.!D7+ELECT.!F7+ELECT.!H7</f>
        <v>16597</v>
      </c>
      <c r="F3" s="19">
        <v>1.56</v>
      </c>
      <c r="G3" s="7">
        <f>Submetering!J3+Submetering!K3+Submetering!L3+Submetering!M3+Submetering!N3+Submetering!O3+Submetering!P3+Submetering!Q3+Submetering!R3+Submetering!S3+Submetering!T3+Submetering!U3+Submetering!V3+Submetering!W3</f>
        <v>1682</v>
      </c>
      <c r="H3" s="20">
        <v>3.6</v>
      </c>
      <c r="I3" s="7">
        <f>Submetering!E3+Water!E6</f>
        <v>247</v>
      </c>
      <c r="J3" s="20">
        <v>9.1</v>
      </c>
      <c r="K3" s="7">
        <f>ELECT.!B7</f>
        <v>39</v>
      </c>
    </row>
    <row r="4" spans="1:11">
      <c r="A4" s="11" t="s">
        <v>11</v>
      </c>
      <c r="B4" s="14">
        <f t="shared" ref="B4:B32" si="0">B3+1</f>
        <v>3</v>
      </c>
      <c r="C4" s="14">
        <v>1</v>
      </c>
      <c r="D4" s="14">
        <v>2021</v>
      </c>
      <c r="E4" s="7">
        <f>ELECT.!D8+ELECT.!F8+ELECT.!H8</f>
        <v>16476</v>
      </c>
      <c r="F4" s="19">
        <v>1.56</v>
      </c>
      <c r="G4" s="7">
        <f>Submetering!J4+Submetering!K4+Submetering!L4+Submetering!M4+Submetering!N4+Submetering!O4+Submetering!P4+Submetering!Q4+Submetering!R4+Submetering!S4+Submetering!T4+Submetering!U4+Submetering!V4+Submetering!W4</f>
        <v>1695</v>
      </c>
      <c r="H4" s="20">
        <v>3.6</v>
      </c>
      <c r="I4" s="7">
        <f>Submetering!E4+Water!E7</f>
        <v>207</v>
      </c>
      <c r="J4" s="20">
        <v>9.1</v>
      </c>
      <c r="K4" s="7">
        <f>ELECT.!B8</f>
        <v>30</v>
      </c>
    </row>
    <row r="5" spans="1:11">
      <c r="A5" s="11" t="s">
        <v>11</v>
      </c>
      <c r="B5" s="14">
        <f t="shared" si="0"/>
        <v>4</v>
      </c>
      <c r="C5" s="14">
        <v>1</v>
      </c>
      <c r="D5" s="14">
        <v>2021</v>
      </c>
      <c r="E5" s="7">
        <f>ELECT.!D9+ELECT.!F9+ELECT.!H9</f>
        <v>17243</v>
      </c>
      <c r="F5" s="19">
        <v>1.56</v>
      </c>
      <c r="G5" s="7">
        <f>Submetering!J5+Submetering!K5+Submetering!L5+Submetering!M5+Submetering!N5+Submetering!O5+Submetering!P5+Submetering!Q5+Submetering!R5+Submetering!S5+Submetering!T5+Submetering!U5+Submetering!V5+Submetering!W5</f>
        <v>1446</v>
      </c>
      <c r="H5" s="20">
        <v>3.6</v>
      </c>
      <c r="I5" s="7">
        <f>Submetering!E5+Water!E8</f>
        <v>174</v>
      </c>
      <c r="J5" s="20">
        <v>9.1</v>
      </c>
      <c r="K5" s="7">
        <f>ELECT.!B9</f>
        <v>37</v>
      </c>
    </row>
    <row r="6" spans="1:11">
      <c r="A6" s="11" t="s">
        <v>11</v>
      </c>
      <c r="B6" s="14">
        <f t="shared" si="0"/>
        <v>5</v>
      </c>
      <c r="C6" s="14">
        <v>1</v>
      </c>
      <c r="D6" s="14">
        <v>2021</v>
      </c>
      <c r="E6" s="7">
        <f>ELECT.!D10+ELECT.!F10+ELECT.!H10</f>
        <v>16851</v>
      </c>
      <c r="F6" s="19">
        <v>1.56</v>
      </c>
      <c r="G6" s="7">
        <f>Submetering!J6+Submetering!K6+Submetering!L6+Submetering!M6+Submetering!N6+Submetering!O6+Submetering!P6+Submetering!Q6+Submetering!R6+Submetering!S6+Submetering!T6+Submetering!U6+Submetering!V6+Submetering!W6</f>
        <v>1556</v>
      </c>
      <c r="H6" s="20">
        <v>3.6</v>
      </c>
      <c r="I6" s="7">
        <f>Submetering!E6+Water!E9</f>
        <v>183</v>
      </c>
      <c r="J6" s="20">
        <v>9.1</v>
      </c>
      <c r="K6" s="7">
        <f>ELECT.!B10</f>
        <v>36</v>
      </c>
    </row>
    <row r="7" spans="1:11">
      <c r="A7" s="11" t="s">
        <v>11</v>
      </c>
      <c r="B7" s="14">
        <f t="shared" si="0"/>
        <v>6</v>
      </c>
      <c r="C7" s="14">
        <v>1</v>
      </c>
      <c r="D7" s="14">
        <v>2021</v>
      </c>
      <c r="E7" s="7">
        <f>ELECT.!D11+ELECT.!F11+ELECT.!H11</f>
        <v>17081</v>
      </c>
      <c r="F7" s="19">
        <v>1.56</v>
      </c>
      <c r="G7" s="7">
        <f>Submetering!J7+Submetering!K7+Submetering!L7+Submetering!M7+Submetering!N7+Submetering!O7+Submetering!P7+Submetering!Q7+Submetering!R7+Submetering!S7+Submetering!T7+Submetering!U7+Submetering!V7+Submetering!W7</f>
        <v>1615</v>
      </c>
      <c r="H7" s="20">
        <v>3.6</v>
      </c>
      <c r="I7" s="7">
        <f>Submetering!E7+Water!E10</f>
        <v>181</v>
      </c>
      <c r="J7" s="20">
        <v>9.1</v>
      </c>
      <c r="K7" s="7">
        <f>ELECT.!B11</f>
        <v>39</v>
      </c>
    </row>
    <row r="8" spans="1:11">
      <c r="A8" s="11" t="s">
        <v>11</v>
      </c>
      <c r="B8" s="14">
        <f t="shared" si="0"/>
        <v>7</v>
      </c>
      <c r="C8" s="14">
        <v>1</v>
      </c>
      <c r="D8" s="14">
        <v>2021</v>
      </c>
      <c r="E8" s="7">
        <f>ELECT.!D12+ELECT.!F12+ELECT.!H12</f>
        <v>17176</v>
      </c>
      <c r="F8" s="19">
        <v>1.56</v>
      </c>
      <c r="G8" s="7">
        <f>Submetering!J8+Submetering!K8+Submetering!L8+Submetering!M8+Submetering!N8+Submetering!O8+Submetering!P8+Submetering!Q8+Submetering!R8+Submetering!S8+Submetering!T8+Submetering!U8+Submetering!V8+Submetering!W8</f>
        <v>1617</v>
      </c>
      <c r="H8" s="20">
        <v>3.6</v>
      </c>
      <c r="I8" s="7">
        <f>Submetering!E8+Water!E11</f>
        <v>202</v>
      </c>
      <c r="J8" s="20">
        <v>9.1</v>
      </c>
      <c r="K8" s="7">
        <f>ELECT.!B12</f>
        <v>71</v>
      </c>
    </row>
    <row r="9" spans="1:11">
      <c r="A9" s="11" t="s">
        <v>11</v>
      </c>
      <c r="B9" s="14">
        <f t="shared" si="0"/>
        <v>8</v>
      </c>
      <c r="C9" s="14">
        <v>1</v>
      </c>
      <c r="D9" s="14">
        <v>2021</v>
      </c>
      <c r="E9" s="7">
        <f>ELECT.!D13+ELECT.!F13+ELECT.!H13</f>
        <v>17491</v>
      </c>
      <c r="F9" s="19">
        <v>1.56</v>
      </c>
      <c r="G9" s="7">
        <f>Submetering!J9+Submetering!K9+Submetering!L9+Submetering!M9+Submetering!N9+Submetering!O9+Submetering!P9+Submetering!Q9+Submetering!R9+Submetering!S9+Submetering!T9+Submetering!U9+Submetering!V9+Submetering!W9</f>
        <v>1819</v>
      </c>
      <c r="H9" s="20">
        <v>3.6</v>
      </c>
      <c r="I9" s="7">
        <f>Submetering!E9+Water!E12</f>
        <v>229</v>
      </c>
      <c r="J9" s="20">
        <v>9.1</v>
      </c>
      <c r="K9" s="7">
        <f>ELECT.!B13</f>
        <v>77</v>
      </c>
    </row>
    <row r="10" spans="1:11">
      <c r="A10" s="11" t="s">
        <v>11</v>
      </c>
      <c r="B10" s="14">
        <f t="shared" si="0"/>
        <v>9</v>
      </c>
      <c r="C10" s="14">
        <v>1</v>
      </c>
      <c r="D10" s="14">
        <v>2021</v>
      </c>
      <c r="E10" s="7">
        <f>ELECT.!D14+ELECT.!F14+ELECT.!H14</f>
        <v>20045</v>
      </c>
      <c r="F10" s="19">
        <v>1.56</v>
      </c>
      <c r="G10" s="7">
        <f>Submetering!J10+Submetering!K10+Submetering!L10+Submetering!M10+Submetering!N10+Submetering!O10+Submetering!P10+Submetering!Q10+Submetering!R10+Submetering!S10+Submetering!T10+Submetering!U10+Submetering!V10+Submetering!W10</f>
        <v>1393</v>
      </c>
      <c r="H10" s="20">
        <v>3.6</v>
      </c>
      <c r="I10" s="7">
        <f>Submetering!E10+Water!E13</f>
        <v>242</v>
      </c>
      <c r="J10" s="20">
        <v>9.1</v>
      </c>
      <c r="K10" s="7">
        <f>ELECT.!B14</f>
        <v>39</v>
      </c>
    </row>
    <row r="11" spans="1:11">
      <c r="A11" s="11" t="s">
        <v>11</v>
      </c>
      <c r="B11" s="14">
        <f t="shared" si="0"/>
        <v>10</v>
      </c>
      <c r="C11" s="14">
        <v>1</v>
      </c>
      <c r="D11" s="14">
        <v>2021</v>
      </c>
      <c r="E11" s="7">
        <f>ELECT.!D15+ELECT.!F15+ELECT.!H15</f>
        <v>15994</v>
      </c>
      <c r="F11" s="19">
        <v>1.56</v>
      </c>
      <c r="G11" s="7">
        <f>Submetering!J11+Submetering!K11+Submetering!L11+Submetering!M11+Submetering!N11+Submetering!O11+Submetering!P11+Submetering!Q11+Submetering!R11+Submetering!S11+Submetering!T11+Submetering!U11+Submetering!V11+Submetering!W11</f>
        <v>1678</v>
      </c>
      <c r="H11" s="20">
        <v>3.6</v>
      </c>
      <c r="I11" s="7">
        <f>Submetering!E11+Water!E14</f>
        <v>209</v>
      </c>
      <c r="J11" s="20">
        <v>9.1</v>
      </c>
      <c r="K11" s="7">
        <f>ELECT.!B15</f>
        <v>42</v>
      </c>
    </row>
    <row r="12" spans="1:11">
      <c r="A12" s="11" t="s">
        <v>11</v>
      </c>
      <c r="B12" s="14">
        <f t="shared" si="0"/>
        <v>11</v>
      </c>
      <c r="C12" s="14">
        <v>1</v>
      </c>
      <c r="D12" s="14">
        <v>2021</v>
      </c>
      <c r="E12" s="7">
        <f>ELECT.!D16+ELECT.!F16+ELECT.!H16</f>
        <v>17502</v>
      </c>
      <c r="F12" s="19">
        <v>1.56</v>
      </c>
      <c r="G12" s="7">
        <f>Submetering!J12+Submetering!K12+Submetering!L12+Submetering!M12+Submetering!N12+Submetering!O12+Submetering!P12+Submetering!Q12+Submetering!R12+Submetering!S12+Submetering!T12+Submetering!U12+Submetering!V12+Submetering!W12</f>
        <v>1563</v>
      </c>
      <c r="H12" s="20">
        <v>3.6</v>
      </c>
      <c r="I12" s="7">
        <f>Submetering!E12+Water!E15</f>
        <v>193</v>
      </c>
      <c r="J12" s="20">
        <v>9.1</v>
      </c>
      <c r="K12" s="7">
        <f>ELECT.!B16</f>
        <v>35</v>
      </c>
    </row>
    <row r="13" spans="1:11">
      <c r="A13" s="11" t="s">
        <v>11</v>
      </c>
      <c r="B13" s="14">
        <f t="shared" si="0"/>
        <v>12</v>
      </c>
      <c r="C13" s="14">
        <v>1</v>
      </c>
      <c r="D13" s="14">
        <v>2021</v>
      </c>
      <c r="E13" s="7">
        <f>ELECT.!D17+ELECT.!F17+ELECT.!H17</f>
        <v>17847</v>
      </c>
      <c r="F13" s="19">
        <v>1.56</v>
      </c>
      <c r="G13" s="7">
        <f>Submetering!J13+Submetering!K13+Submetering!L13+Submetering!M13+Submetering!N13+Submetering!O13+Submetering!P13+Submetering!Q13+Submetering!R13+Submetering!S13+Submetering!T13+Submetering!U13+Submetering!V13+Submetering!W13</f>
        <v>1701</v>
      </c>
      <c r="H13" s="20">
        <v>3.6</v>
      </c>
      <c r="I13" s="7">
        <f>Submetering!E13+Water!E16</f>
        <v>180</v>
      </c>
      <c r="J13" s="20">
        <v>9.1</v>
      </c>
      <c r="K13" s="7">
        <f>ELECT.!B17</f>
        <v>40</v>
      </c>
    </row>
    <row r="14" spans="1:11">
      <c r="A14" s="11" t="s">
        <v>11</v>
      </c>
      <c r="B14" s="14">
        <f t="shared" si="0"/>
        <v>13</v>
      </c>
      <c r="C14" s="14">
        <v>1</v>
      </c>
      <c r="D14" s="14">
        <v>2021</v>
      </c>
      <c r="E14" s="7">
        <f>ELECT.!D18+ELECT.!F18+ELECT.!H18</f>
        <v>14355</v>
      </c>
      <c r="F14" s="19">
        <v>1.56</v>
      </c>
      <c r="G14" s="7">
        <f>Submetering!J14+Submetering!K14+Submetering!L14+Submetering!M14+Submetering!N14+Submetering!O14+Submetering!P14+Submetering!Q14+Submetering!R14+Submetering!S14+Submetering!T14+Submetering!U14+Submetering!V14+Submetering!W14</f>
        <v>1533</v>
      </c>
      <c r="H14" s="20">
        <v>3.6</v>
      </c>
      <c r="I14" s="7">
        <f>Submetering!E14+Water!E17</f>
        <v>172</v>
      </c>
      <c r="J14" s="20">
        <v>9.1</v>
      </c>
      <c r="K14" s="7">
        <f>ELECT.!B18</f>
        <v>35</v>
      </c>
    </row>
    <row r="15" spans="1:11">
      <c r="A15" s="11" t="s">
        <v>11</v>
      </c>
      <c r="B15" s="14">
        <f t="shared" si="0"/>
        <v>14</v>
      </c>
      <c r="C15" s="14">
        <v>1</v>
      </c>
      <c r="D15" s="14">
        <v>2021</v>
      </c>
      <c r="E15" s="7">
        <f>ELECT.!D19+ELECT.!F19+ELECT.!H19</f>
        <v>17967</v>
      </c>
      <c r="F15" s="19">
        <v>1.56</v>
      </c>
      <c r="G15" s="7">
        <f>Submetering!J15+Submetering!K15+Submetering!L15+Submetering!M15+Submetering!N15+Submetering!O15+Submetering!P15+Submetering!Q15+Submetering!R15+Submetering!S15+Submetering!T15+Submetering!U15+Submetering!V15+Submetering!W15</f>
        <v>1683</v>
      </c>
      <c r="H15" s="20">
        <v>3.6</v>
      </c>
      <c r="I15" s="7">
        <f>Submetering!E15+Water!E18</f>
        <v>174</v>
      </c>
      <c r="J15" s="20">
        <v>9.1</v>
      </c>
      <c r="K15" s="7">
        <f>ELECT.!B19</f>
        <v>47</v>
      </c>
    </row>
    <row r="16" spans="1:11">
      <c r="A16" s="11" t="s">
        <v>11</v>
      </c>
      <c r="B16" s="14">
        <f t="shared" si="0"/>
        <v>15</v>
      </c>
      <c r="C16" s="14">
        <v>1</v>
      </c>
      <c r="D16" s="14">
        <v>2021</v>
      </c>
      <c r="E16" s="7">
        <f>ELECT.!D20+ELECT.!F20+ELECT.!H20</f>
        <v>17091</v>
      </c>
      <c r="F16" s="19">
        <v>1.56</v>
      </c>
      <c r="G16" s="7">
        <f>Submetering!J16+Submetering!K16+Submetering!L16+Submetering!M16+Submetering!N16+Submetering!O16+Submetering!P16+Submetering!Q16+Submetering!R16+Submetering!S16+Submetering!T16+Submetering!U16+Submetering!V16+Submetering!W16</f>
        <v>1639</v>
      </c>
      <c r="H16" s="20">
        <v>3.6</v>
      </c>
      <c r="I16" s="7">
        <f>Submetering!E16+Water!E19</f>
        <v>201</v>
      </c>
      <c r="J16" s="20">
        <v>9.1</v>
      </c>
      <c r="K16" s="7">
        <f>ELECT.!B20</f>
        <v>58</v>
      </c>
    </row>
    <row r="17" spans="1:11">
      <c r="A17" s="11" t="s">
        <v>11</v>
      </c>
      <c r="B17" s="14">
        <f t="shared" si="0"/>
        <v>16</v>
      </c>
      <c r="C17" s="14">
        <v>1</v>
      </c>
      <c r="D17" s="14">
        <v>2021</v>
      </c>
      <c r="E17" s="7">
        <f>ELECT.!D21+ELECT.!F21+ELECT.!H21</f>
        <v>17181</v>
      </c>
      <c r="F17" s="19">
        <v>1.56</v>
      </c>
      <c r="G17" s="7">
        <f>Submetering!J17+Submetering!K17+Submetering!L17+Submetering!M17+Submetering!N17+Submetering!O17+Submetering!P17+Submetering!Q17+Submetering!R17+Submetering!S17+Submetering!T17+Submetering!U17+Submetering!V17+Submetering!W17</f>
        <v>1789</v>
      </c>
      <c r="H17" s="20">
        <v>3.6</v>
      </c>
      <c r="I17" s="7">
        <f>Submetering!E17+Water!E20</f>
        <v>183</v>
      </c>
      <c r="J17" s="20">
        <v>9.1</v>
      </c>
      <c r="K17" s="7">
        <f>ELECT.!B21</f>
        <v>42</v>
      </c>
    </row>
    <row r="18" spans="1:11">
      <c r="A18" s="11" t="s">
        <v>11</v>
      </c>
      <c r="B18" s="14">
        <f t="shared" si="0"/>
        <v>17</v>
      </c>
      <c r="C18" s="14">
        <v>1</v>
      </c>
      <c r="D18" s="14">
        <v>2021</v>
      </c>
      <c r="E18" s="7">
        <f>ELECT.!D22+ELECT.!F22+ELECT.!H22</f>
        <v>17728</v>
      </c>
      <c r="F18" s="19">
        <v>1.56</v>
      </c>
      <c r="G18" s="7">
        <f>Submetering!J18+Submetering!K18+Submetering!L18+Submetering!M18+Submetering!N18+Submetering!O18+Submetering!P18+Submetering!Q18+Submetering!R18+Submetering!S18+Submetering!T18+Submetering!U18+Submetering!V18+Submetering!W18</f>
        <v>1665</v>
      </c>
      <c r="H18" s="20">
        <v>3.6</v>
      </c>
      <c r="I18" s="7">
        <f>Submetering!E18+Water!E21</f>
        <v>155</v>
      </c>
      <c r="J18" s="20">
        <v>9.1</v>
      </c>
      <c r="K18" s="7">
        <f>ELECT.!B22</f>
        <v>36</v>
      </c>
    </row>
    <row r="19" spans="1:11">
      <c r="A19" s="11" t="s">
        <v>11</v>
      </c>
      <c r="B19" s="14">
        <f t="shared" si="0"/>
        <v>18</v>
      </c>
      <c r="C19" s="14">
        <v>1</v>
      </c>
      <c r="D19" s="14">
        <v>2021</v>
      </c>
      <c r="E19" s="7">
        <f>ELECT.!D23+ELECT.!F23+ELECT.!H23</f>
        <v>15709</v>
      </c>
      <c r="F19" s="19">
        <v>1.56</v>
      </c>
      <c r="G19" s="7">
        <f>Submetering!J19+Submetering!K19+Submetering!L19+Submetering!M19+Submetering!N19+Submetering!O19+Submetering!P19+Submetering!Q19+Submetering!R19+Submetering!S19+Submetering!T19+Submetering!U19+Submetering!V19+Submetering!W19</f>
        <v>1659</v>
      </c>
      <c r="H19" s="20">
        <v>3.6</v>
      </c>
      <c r="I19" s="7">
        <f>Submetering!E19+Water!E22</f>
        <v>181</v>
      </c>
      <c r="J19" s="20">
        <v>9.1</v>
      </c>
      <c r="K19" s="7">
        <f>ELECT.!B23</f>
        <v>46</v>
      </c>
    </row>
    <row r="20" spans="1:11">
      <c r="A20" s="11" t="s">
        <v>11</v>
      </c>
      <c r="B20" s="14">
        <f t="shared" si="0"/>
        <v>19</v>
      </c>
      <c r="C20" s="14">
        <v>1</v>
      </c>
      <c r="D20" s="14">
        <v>2021</v>
      </c>
      <c r="E20" s="7">
        <f>ELECT.!D24+ELECT.!F24+ELECT.!H24</f>
        <v>20195</v>
      </c>
      <c r="F20" s="19">
        <v>1.56</v>
      </c>
      <c r="G20" s="7">
        <f>Submetering!J20+Submetering!K20+Submetering!L20+Submetering!M20+Submetering!N20+Submetering!O20+Submetering!P20+Submetering!Q20+Submetering!R20+Submetering!S20+Submetering!T20+Submetering!U20+Submetering!V20+Submetering!W20</f>
        <v>1748</v>
      </c>
      <c r="H20" s="20">
        <v>3.6</v>
      </c>
      <c r="I20" s="7">
        <f>Submetering!E20+Water!E23</f>
        <v>182</v>
      </c>
      <c r="J20" s="20">
        <v>9.1</v>
      </c>
      <c r="K20" s="7">
        <f>ELECT.!B24</f>
        <v>46</v>
      </c>
    </row>
    <row r="21" spans="1:11">
      <c r="A21" s="11" t="s">
        <v>11</v>
      </c>
      <c r="B21" s="14">
        <f t="shared" si="0"/>
        <v>20</v>
      </c>
      <c r="C21" s="14">
        <v>1</v>
      </c>
      <c r="D21" s="14">
        <v>2021</v>
      </c>
      <c r="E21" s="7">
        <f>ELECT.!D25+ELECT.!F25+ELECT.!H25</f>
        <v>19582</v>
      </c>
      <c r="F21" s="19">
        <v>1.56</v>
      </c>
      <c r="G21" s="7">
        <f>Submetering!J21+Submetering!K21+Submetering!L21+Submetering!M21+Submetering!N21+Submetering!O21+Submetering!P21+Submetering!Q21+Submetering!R21+Submetering!S21+Submetering!T21+Submetering!U21+Submetering!V21+Submetering!W21</f>
        <v>1718</v>
      </c>
      <c r="H21" s="20">
        <v>3.6</v>
      </c>
      <c r="I21" s="7">
        <f>Submetering!E21+Water!E24</f>
        <v>211</v>
      </c>
      <c r="J21" s="20">
        <v>9.1</v>
      </c>
      <c r="K21" s="7">
        <f>ELECT.!B25</f>
        <v>40</v>
      </c>
    </row>
    <row r="22" spans="1:11">
      <c r="A22" s="11" t="s">
        <v>11</v>
      </c>
      <c r="B22" s="14">
        <f t="shared" si="0"/>
        <v>21</v>
      </c>
      <c r="C22" s="14">
        <v>1</v>
      </c>
      <c r="D22" s="14">
        <v>2021</v>
      </c>
      <c r="E22" s="7">
        <f>ELECT.!D26+ELECT.!F26+ELECT.!H26</f>
        <v>18245</v>
      </c>
      <c r="F22" s="19">
        <v>1.56</v>
      </c>
      <c r="G22" s="7">
        <f>Submetering!J22+Submetering!K22+Submetering!L22+Submetering!M22+Submetering!N22+Submetering!O22+Submetering!P22+Submetering!Q22+Submetering!R22+Submetering!S22+Submetering!T22+Submetering!U22+Submetering!V22+Submetering!W22</f>
        <v>1723</v>
      </c>
      <c r="H22" s="20">
        <v>3.6</v>
      </c>
      <c r="I22" s="7">
        <f>Submetering!E22+Water!E25</f>
        <v>253</v>
      </c>
      <c r="J22" s="20">
        <v>9.1</v>
      </c>
      <c r="K22" s="7">
        <f>ELECT.!B26</f>
        <v>49</v>
      </c>
    </row>
    <row r="23" spans="1:11">
      <c r="A23" s="11" t="s">
        <v>11</v>
      </c>
      <c r="B23" s="14">
        <f t="shared" si="0"/>
        <v>22</v>
      </c>
      <c r="C23" s="14">
        <v>1</v>
      </c>
      <c r="D23" s="14">
        <v>2021</v>
      </c>
      <c r="E23" s="7">
        <f>ELECT.!D27+ELECT.!F27+ELECT.!H27</f>
        <v>18566</v>
      </c>
      <c r="F23" s="19">
        <v>1.56</v>
      </c>
      <c r="G23" s="7">
        <f>Submetering!J23+Submetering!K23+Submetering!L23+Submetering!M23+Submetering!N23+Submetering!O23+Submetering!P23+Submetering!Q23+Submetering!R23+Submetering!S23+Submetering!T23+Submetering!U23+Submetering!V23+Submetering!W23</f>
        <v>1702</v>
      </c>
      <c r="H23" s="20">
        <v>3.6</v>
      </c>
      <c r="I23" s="7">
        <f>Submetering!E23+Water!E26</f>
        <v>232</v>
      </c>
      <c r="J23" s="20">
        <v>9.1</v>
      </c>
      <c r="K23" s="7">
        <f>ELECT.!B27</f>
        <v>49</v>
      </c>
    </row>
    <row r="24" spans="1:11">
      <c r="A24" s="11" t="s">
        <v>11</v>
      </c>
      <c r="B24" s="14">
        <f t="shared" si="0"/>
        <v>23</v>
      </c>
      <c r="C24" s="14">
        <v>1</v>
      </c>
      <c r="D24" s="14">
        <v>2021</v>
      </c>
      <c r="E24" s="7">
        <f>ELECT.!D28+ELECT.!F28+ELECT.!H28</f>
        <v>15646</v>
      </c>
      <c r="F24" s="19">
        <v>1.56</v>
      </c>
      <c r="G24" s="7">
        <f>Submetering!J24+Submetering!K24+Submetering!L24+Submetering!M24+Submetering!N24+Submetering!O24+Submetering!P24+Submetering!Q24+Submetering!R24+Submetering!S24+Submetering!T24+Submetering!U24+Submetering!V24+Submetering!W24</f>
        <v>1783</v>
      </c>
      <c r="H24" s="20">
        <v>3.6</v>
      </c>
      <c r="I24" s="7">
        <f>Submetering!E24+Water!E27</f>
        <v>162</v>
      </c>
      <c r="J24" s="20">
        <v>9.1</v>
      </c>
      <c r="K24" s="7">
        <f>ELECT.!B28</f>
        <v>35</v>
      </c>
    </row>
    <row r="25" spans="1:11">
      <c r="A25" s="11" t="s">
        <v>11</v>
      </c>
      <c r="B25" s="14">
        <f t="shared" si="0"/>
        <v>24</v>
      </c>
      <c r="C25" s="14">
        <v>1</v>
      </c>
      <c r="D25" s="14">
        <v>2021</v>
      </c>
      <c r="E25" s="7">
        <f>ELECT.!D29+ELECT.!F29+ELECT.!H29</f>
        <v>18769</v>
      </c>
      <c r="F25" s="19">
        <v>1.56</v>
      </c>
      <c r="G25" s="7">
        <f>Submetering!J25+Submetering!K25+Submetering!L25+Submetering!M25+Submetering!N25+Submetering!O25+Submetering!P25+Submetering!Q25+Submetering!R25+Submetering!S25+Submetering!T25+Submetering!U25+Submetering!V25+Submetering!W25</f>
        <v>1495</v>
      </c>
      <c r="H25" s="20">
        <v>3.6</v>
      </c>
      <c r="I25" s="7">
        <f>Submetering!E25+Water!E28</f>
        <v>153</v>
      </c>
      <c r="J25" s="20">
        <v>9.1</v>
      </c>
      <c r="K25" s="7">
        <f>ELECT.!B29</f>
        <v>24</v>
      </c>
    </row>
    <row r="26" spans="1:11">
      <c r="A26" s="11" t="s">
        <v>11</v>
      </c>
      <c r="B26" s="14">
        <f>B25+1</f>
        <v>25</v>
      </c>
      <c r="C26" s="14">
        <v>1</v>
      </c>
      <c r="D26" s="14">
        <v>2021</v>
      </c>
      <c r="E26" s="7">
        <f>ELECT.!D30+ELECT.!F30+ELECT.!H30</f>
        <v>18106</v>
      </c>
      <c r="F26" s="19">
        <v>1.56</v>
      </c>
      <c r="G26" s="7">
        <f>Submetering!J26+Submetering!K26+Submetering!L26+Submetering!M26+Submetering!N26+Submetering!O26+Submetering!P26+Submetering!Q26+Submetering!R26+Submetering!S26+Submetering!T26+Submetering!U26+Submetering!V26+Submetering!W26</f>
        <v>1552</v>
      </c>
      <c r="H26" s="20">
        <v>3.6</v>
      </c>
      <c r="I26" s="7">
        <f>Submetering!E26+Water!E29</f>
        <v>171</v>
      </c>
      <c r="J26" s="20">
        <v>9.1</v>
      </c>
      <c r="K26" s="7">
        <f>ELECT.!B30</f>
        <v>40</v>
      </c>
    </row>
    <row r="27" spans="1:11">
      <c r="A27" s="11" t="s">
        <v>11</v>
      </c>
      <c r="B27" s="14">
        <f t="shared" si="0"/>
        <v>26</v>
      </c>
      <c r="C27" s="14">
        <v>1</v>
      </c>
      <c r="D27" s="14">
        <v>2021</v>
      </c>
      <c r="E27" s="7">
        <f>ELECT.!D31+ELECT.!F31+ELECT.!H31</f>
        <v>15616</v>
      </c>
      <c r="F27" s="19">
        <v>1.56</v>
      </c>
      <c r="G27" s="7">
        <f>Submetering!J27+Submetering!K27+Submetering!L27+Submetering!M27+Submetering!N27+Submetering!O27+Submetering!P27+Submetering!Q27+Submetering!R27+Submetering!S27+Submetering!T27+Submetering!U27+Submetering!V27+Submetering!W27</f>
        <v>1553</v>
      </c>
      <c r="H27" s="20">
        <v>3.6</v>
      </c>
      <c r="I27" s="7">
        <f>Submetering!E27+Water!E30</f>
        <v>176</v>
      </c>
      <c r="J27" s="20">
        <v>9.1</v>
      </c>
      <c r="K27" s="7">
        <f>ELECT.!B31</f>
        <v>38</v>
      </c>
    </row>
    <row r="28" spans="1:11">
      <c r="A28" s="11" t="s">
        <v>11</v>
      </c>
      <c r="B28" s="14">
        <f t="shared" si="0"/>
        <v>27</v>
      </c>
      <c r="C28" s="14">
        <v>1</v>
      </c>
      <c r="D28" s="14">
        <v>2021</v>
      </c>
      <c r="E28" s="7">
        <f>ELECT.!D32+ELECT.!F32+ELECT.!H32</f>
        <v>17945</v>
      </c>
      <c r="F28" s="19">
        <v>1.56</v>
      </c>
      <c r="G28" s="7">
        <f>Submetering!J28+Submetering!K28+Submetering!L28+Submetering!M28+Submetering!N28+Submetering!O28+Submetering!P28+Submetering!Q28+Submetering!R28+Submetering!S28+Submetering!T28+Submetering!U28+Submetering!V28+Submetering!W28</f>
        <v>1672</v>
      </c>
      <c r="H28" s="20">
        <v>3.6</v>
      </c>
      <c r="I28" s="7">
        <f>Submetering!E28+Water!E31</f>
        <v>213</v>
      </c>
      <c r="J28" s="20">
        <v>9.1</v>
      </c>
      <c r="K28" s="7">
        <f>ELECT.!B32</f>
        <v>53</v>
      </c>
    </row>
    <row r="29" spans="1:11">
      <c r="A29" s="11" t="s">
        <v>11</v>
      </c>
      <c r="B29" s="14">
        <f t="shared" si="0"/>
        <v>28</v>
      </c>
      <c r="C29" s="14">
        <v>1</v>
      </c>
      <c r="D29" s="14">
        <v>2021</v>
      </c>
      <c r="E29" s="7">
        <f>ELECT.!D33+ELECT.!F33+ELECT.!H33</f>
        <v>27687</v>
      </c>
      <c r="F29" s="19">
        <v>1.56</v>
      </c>
      <c r="G29" s="7">
        <f>Submetering!J29+Submetering!K29+Submetering!L29+Submetering!M29+Submetering!N29+Submetering!O29+Submetering!P29+Submetering!Q29+Submetering!R29+Submetering!S29+Submetering!T29+Submetering!U29+Submetering!V29+Submetering!W29</f>
        <v>1764</v>
      </c>
      <c r="H29" s="20">
        <v>3.6</v>
      </c>
      <c r="I29" s="7">
        <f>Submetering!E29+Water!E32</f>
        <v>282</v>
      </c>
      <c r="J29" s="20">
        <v>9.1</v>
      </c>
      <c r="K29" s="7">
        <f>ELECT.!B33</f>
        <v>77</v>
      </c>
    </row>
    <row r="30" spans="1:11">
      <c r="A30" s="11" t="s">
        <v>11</v>
      </c>
      <c r="B30" s="14">
        <f t="shared" si="0"/>
        <v>29</v>
      </c>
      <c r="C30" s="14">
        <v>1</v>
      </c>
      <c r="D30" s="14">
        <v>2021</v>
      </c>
      <c r="E30" s="7">
        <f>ELECT.!D34+ELECT.!F34+ELECT.!H34</f>
        <v>24908</v>
      </c>
      <c r="F30" s="19">
        <v>1.56</v>
      </c>
      <c r="G30" s="7">
        <f>Submetering!J30+Submetering!K30+Submetering!L30+Submetering!M30+Submetering!N30+Submetering!O30+Submetering!P30+Submetering!Q30+Submetering!R30+Submetering!S30+Submetering!T30+Submetering!U30+Submetering!V30+Submetering!W30</f>
        <v>1884</v>
      </c>
      <c r="H30" s="20">
        <v>3.6</v>
      </c>
      <c r="I30" s="7">
        <f>Submetering!E30+Water!E33</f>
        <v>263</v>
      </c>
      <c r="J30" s="20">
        <v>9.1</v>
      </c>
      <c r="K30" s="7">
        <f>ELECT.!B34</f>
        <v>77</v>
      </c>
    </row>
    <row r="31" spans="1:11">
      <c r="A31" s="11" t="s">
        <v>11</v>
      </c>
      <c r="B31" s="14">
        <f t="shared" si="0"/>
        <v>30</v>
      </c>
      <c r="C31" s="14">
        <v>1</v>
      </c>
      <c r="D31" s="14">
        <v>2021</v>
      </c>
      <c r="E31" s="7">
        <f>ELECT.!D35+ELECT.!F35+ELECT.!H35</f>
        <v>25930</v>
      </c>
      <c r="F31" s="19">
        <v>1.56</v>
      </c>
      <c r="G31" s="7">
        <f>Submetering!J31+Submetering!K31+Submetering!L31+Submetering!M31+Submetering!N31+Submetering!O31+Submetering!P31+Submetering!Q31+Submetering!R31+Submetering!S31+Submetering!T31+Submetering!U31+Submetering!V31+Submetering!W31</f>
        <v>1587</v>
      </c>
      <c r="H31" s="20">
        <v>3.6</v>
      </c>
      <c r="I31" s="7">
        <f>Submetering!E31+Water!E34</f>
        <v>227</v>
      </c>
      <c r="J31" s="20">
        <v>9.1</v>
      </c>
      <c r="K31" s="7">
        <f>ELECT.!B35</f>
        <v>40</v>
      </c>
    </row>
    <row r="32" spans="1:11">
      <c r="A32" s="11" t="s">
        <v>11</v>
      </c>
      <c r="B32" s="14">
        <f t="shared" si="0"/>
        <v>31</v>
      </c>
      <c r="C32" s="14">
        <v>1</v>
      </c>
      <c r="D32" s="14">
        <v>2021</v>
      </c>
      <c r="E32" s="7">
        <f>ELECT.!D36+ELECT.!F36+ELECT.!H36</f>
        <v>16462</v>
      </c>
      <c r="F32" s="19">
        <v>1.56</v>
      </c>
      <c r="G32" s="7">
        <f>Submetering!J32+Submetering!K32+Submetering!L32+Submetering!M32+Submetering!N32+Submetering!O32+Submetering!P32+Submetering!Q32+Submetering!R32+Submetering!S32+Submetering!T32+Submetering!U32+Submetering!V32+Submetering!W32</f>
        <v>1654</v>
      </c>
      <c r="H32" s="20">
        <v>3.6</v>
      </c>
      <c r="I32" s="7">
        <f>Submetering!E32+Water!E35</f>
        <v>180</v>
      </c>
      <c r="J32" s="20">
        <v>9.1</v>
      </c>
      <c r="K32" s="7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X32"/>
  <sheetViews>
    <sheetView zoomScale="85" zoomScaleNormal="85" workbookViewId="0">
      <selection activeCell="D2" sqref="D2"/>
    </sheetView>
  </sheetViews>
  <sheetFormatPr defaultColWidth="11.5703125" defaultRowHeight="12.75"/>
  <cols>
    <col min="1" max="1" width="21.85546875" style="11" bestFit="1" customWidth="1"/>
    <col min="2" max="3" width="11.5703125" style="14"/>
    <col min="4" max="4" width="13.42578125" style="14" customWidth="1"/>
    <col min="5" max="6" width="12.5703125" style="7" customWidth="1"/>
    <col min="7" max="7" width="13.7109375" style="7" bestFit="1" customWidth="1"/>
    <col min="8" max="9" width="12.5703125" style="7" customWidth="1"/>
    <col min="10" max="10" width="11.42578125" style="8" customWidth="1"/>
    <col min="11" max="12" width="12.5703125" style="8" customWidth="1"/>
    <col min="13" max="13" width="11.5703125" style="6"/>
  </cols>
  <sheetData>
    <row r="1" spans="1:24" s="5" customFormat="1" ht="30">
      <c r="A1" s="10" t="s">
        <v>0</v>
      </c>
      <c r="B1" s="12" t="s">
        <v>1</v>
      </c>
      <c r="C1" s="12" t="s">
        <v>2</v>
      </c>
      <c r="D1" s="12" t="s">
        <v>3</v>
      </c>
      <c r="E1" s="13" t="s">
        <v>12</v>
      </c>
      <c r="F1" s="13" t="s">
        <v>13</v>
      </c>
      <c r="G1" s="13" t="s">
        <v>14</v>
      </c>
      <c r="H1" s="13" t="s">
        <v>15</v>
      </c>
      <c r="I1" s="13" t="s">
        <v>16</v>
      </c>
      <c r="J1" s="15" t="s">
        <v>17</v>
      </c>
      <c r="K1" s="15" t="s">
        <v>18</v>
      </c>
      <c r="L1" s="15" t="s">
        <v>19</v>
      </c>
      <c r="M1" s="15" t="s">
        <v>20</v>
      </c>
      <c r="N1" s="15" t="s">
        <v>21</v>
      </c>
      <c r="O1" s="15" t="s">
        <v>22</v>
      </c>
      <c r="P1" s="15" t="s">
        <v>23</v>
      </c>
      <c r="Q1" s="15" t="s">
        <v>24</v>
      </c>
      <c r="R1" s="15" t="s">
        <v>25</v>
      </c>
      <c r="S1" s="15" t="s">
        <v>26</v>
      </c>
      <c r="T1" s="15" t="s">
        <v>27</v>
      </c>
      <c r="U1" s="15" t="s">
        <v>28</v>
      </c>
      <c r="V1" s="15" t="s">
        <v>29</v>
      </c>
      <c r="W1" s="15" t="s">
        <v>30</v>
      </c>
      <c r="X1" s="15" t="s">
        <v>31</v>
      </c>
    </row>
    <row r="2" spans="1:24">
      <c r="A2" s="11" t="s">
        <v>11</v>
      </c>
      <c r="B2" s="14">
        <v>1</v>
      </c>
      <c r="C2" s="14">
        <v>1</v>
      </c>
      <c r="D2" s="14">
        <v>2021</v>
      </c>
      <c r="E2" s="7">
        <f>Water!C5</f>
        <v>260</v>
      </c>
      <c r="F2" s="7">
        <f>Water!E5</f>
        <v>4</v>
      </c>
      <c r="G2" s="7">
        <f>ELECT.!D6</f>
        <v>5787</v>
      </c>
      <c r="H2" s="7">
        <f>ELECT.!F6</f>
        <v>7935</v>
      </c>
      <c r="I2" s="7">
        <f>ELECT.!H6</f>
        <v>4743</v>
      </c>
      <c r="J2" s="8">
        <f>Gas!C4</f>
        <v>185</v>
      </c>
      <c r="K2" s="8">
        <f>Gas!E4</f>
        <v>928</v>
      </c>
      <c r="L2" s="8">
        <f>Gas!G4</f>
        <v>145</v>
      </c>
      <c r="M2" s="16">
        <f>Gas!I4</f>
        <v>27</v>
      </c>
      <c r="N2" s="16">
        <f>Gas!K4</f>
        <v>29</v>
      </c>
      <c r="O2" s="8">
        <f>Gas!M4</f>
        <v>69</v>
      </c>
      <c r="P2" s="8">
        <f>Gas!O4</f>
        <v>51</v>
      </c>
      <c r="Q2" s="8">
        <f>Gas!Q4</f>
        <v>39</v>
      </c>
      <c r="R2" s="8">
        <f>Gas!S4</f>
        <v>167</v>
      </c>
      <c r="S2" s="8">
        <f>Gas!U4</f>
        <v>22</v>
      </c>
      <c r="T2" s="8">
        <f>Gas!W4</f>
        <v>60</v>
      </c>
      <c r="U2" s="8">
        <f>Gas!Y4</f>
        <v>0</v>
      </c>
      <c r="V2" s="8">
        <f>Gas!AA4</f>
        <v>0</v>
      </c>
      <c r="W2" s="8">
        <f>Gas!AC4</f>
        <v>0</v>
      </c>
      <c r="X2" s="7">
        <f>ELECT.!B6</f>
        <v>77</v>
      </c>
    </row>
    <row r="3" spans="1:24">
      <c r="A3" s="11" t="s">
        <v>11</v>
      </c>
      <c r="B3" s="14">
        <f>B2+1</f>
        <v>2</v>
      </c>
      <c r="C3" s="14">
        <v>1</v>
      </c>
      <c r="D3" s="14">
        <v>2021</v>
      </c>
      <c r="E3" s="7">
        <f>Water!C6</f>
        <v>230</v>
      </c>
      <c r="F3" s="7">
        <f>Water!E6</f>
        <v>17</v>
      </c>
      <c r="G3" s="7">
        <f>ELECT.!D7</f>
        <v>5129</v>
      </c>
      <c r="H3" s="7">
        <f>ELECT.!F7</f>
        <v>7129</v>
      </c>
      <c r="I3" s="7">
        <f>ELECT.!H7</f>
        <v>4339</v>
      </c>
      <c r="J3" s="8">
        <f>Gas!C5</f>
        <v>226</v>
      </c>
      <c r="K3" s="8">
        <f>Gas!E5</f>
        <v>928</v>
      </c>
      <c r="L3" s="8">
        <f>Gas!G5</f>
        <v>126</v>
      </c>
      <c r="M3" s="16">
        <f>Gas!I5</f>
        <v>25</v>
      </c>
      <c r="N3" s="16">
        <f>Gas!K5</f>
        <v>28</v>
      </c>
      <c r="O3" s="8">
        <f>Gas!M5</f>
        <v>50</v>
      </c>
      <c r="P3" s="8">
        <f>Gas!O5</f>
        <v>5</v>
      </c>
      <c r="Q3" s="8">
        <f>Gas!Q5</f>
        <v>40</v>
      </c>
      <c r="R3" s="8">
        <f>Gas!S5</f>
        <v>177</v>
      </c>
      <c r="S3" s="8">
        <f>Gas!U5</f>
        <v>26</v>
      </c>
      <c r="T3" s="8">
        <f>Gas!W5</f>
        <v>51</v>
      </c>
      <c r="U3" s="8">
        <f>Gas!Y5</f>
        <v>0</v>
      </c>
      <c r="V3" s="8">
        <f>Gas!AA5</f>
        <v>0</v>
      </c>
      <c r="W3" s="8">
        <f>Gas!AC5</f>
        <v>0</v>
      </c>
      <c r="X3" s="7">
        <f>ELECT.!B7</f>
        <v>39</v>
      </c>
    </row>
    <row r="4" spans="1:24">
      <c r="A4" s="11" t="s">
        <v>11</v>
      </c>
      <c r="B4" s="14">
        <f t="shared" ref="B4:B32" si="0">B3+1</f>
        <v>3</v>
      </c>
      <c r="C4" s="14">
        <v>1</v>
      </c>
      <c r="D4" s="14">
        <v>2021</v>
      </c>
      <c r="E4" s="7">
        <f>Water!C7</f>
        <v>190</v>
      </c>
      <c r="F4" s="7">
        <f>Water!E7</f>
        <v>17</v>
      </c>
      <c r="G4" s="7">
        <f>ELECT.!D8</f>
        <v>4975</v>
      </c>
      <c r="H4" s="7">
        <f>ELECT.!F8</f>
        <v>7125</v>
      </c>
      <c r="I4" s="7">
        <f>ELECT.!H8</f>
        <v>4376</v>
      </c>
      <c r="J4" s="8">
        <f>Gas!C6</f>
        <v>351</v>
      </c>
      <c r="K4" s="8">
        <f>Gas!E6</f>
        <v>747</v>
      </c>
      <c r="L4" s="8">
        <f>Gas!G6</f>
        <v>131</v>
      </c>
      <c r="M4" s="16">
        <f>Gas!I6</f>
        <v>29</v>
      </c>
      <c r="N4" s="16">
        <f>Gas!K6</f>
        <v>27</v>
      </c>
      <c r="O4" s="8">
        <f>Gas!M6</f>
        <v>64</v>
      </c>
      <c r="P4" s="8">
        <f>Gas!O6</f>
        <v>47</v>
      </c>
      <c r="Q4" s="8">
        <f>Gas!Q6</f>
        <v>39</v>
      </c>
      <c r="R4" s="8">
        <f>Gas!S6</f>
        <v>170</v>
      </c>
      <c r="S4" s="8">
        <f>Gas!U6</f>
        <v>29</v>
      </c>
      <c r="T4" s="8">
        <f>Gas!W6</f>
        <v>61</v>
      </c>
      <c r="U4" s="8">
        <f>Gas!Y6</f>
        <v>0</v>
      </c>
      <c r="V4" s="8">
        <f>Gas!AA6</f>
        <v>0</v>
      </c>
      <c r="W4" s="8">
        <f>Gas!AC6</f>
        <v>0</v>
      </c>
      <c r="X4" s="7">
        <f>ELECT.!B8</f>
        <v>30</v>
      </c>
    </row>
    <row r="5" spans="1:24">
      <c r="A5" s="11" t="s">
        <v>11</v>
      </c>
      <c r="B5" s="14">
        <f t="shared" si="0"/>
        <v>4</v>
      </c>
      <c r="C5" s="14">
        <v>1</v>
      </c>
      <c r="D5" s="14">
        <v>2021</v>
      </c>
      <c r="E5" s="7">
        <f>Water!C8</f>
        <v>170</v>
      </c>
      <c r="F5" s="7">
        <f>Water!E8</f>
        <v>4</v>
      </c>
      <c r="G5" s="7">
        <f>ELECT.!D9</f>
        <v>4999</v>
      </c>
      <c r="H5" s="7">
        <f>ELECT.!F9</f>
        <v>7681</v>
      </c>
      <c r="I5" s="7">
        <f>ELECT.!H9</f>
        <v>4563</v>
      </c>
      <c r="J5" s="8">
        <f>Gas!C7</f>
        <v>214</v>
      </c>
      <c r="K5" s="8">
        <f>Gas!E7</f>
        <v>799</v>
      </c>
      <c r="L5" s="8">
        <f>Gas!G7</f>
        <v>102</v>
      </c>
      <c r="M5" s="16">
        <f>Gas!I7</f>
        <v>19</v>
      </c>
      <c r="N5" s="16">
        <f>Gas!K7</f>
        <v>3</v>
      </c>
      <c r="O5" s="8">
        <f>Gas!M7</f>
        <v>59</v>
      </c>
      <c r="P5" s="8">
        <f>Gas!O7</f>
        <v>46</v>
      </c>
      <c r="Q5" s="8">
        <f>Gas!Q7</f>
        <v>37</v>
      </c>
      <c r="R5" s="8">
        <f>Gas!S7</f>
        <v>98</v>
      </c>
      <c r="S5" s="8">
        <f>Gas!U7</f>
        <v>18</v>
      </c>
      <c r="T5" s="8">
        <f>Gas!W7</f>
        <v>51</v>
      </c>
      <c r="U5" s="8">
        <f>Gas!Y7</f>
        <v>0</v>
      </c>
      <c r="V5" s="8">
        <f>Gas!AA7</f>
        <v>0</v>
      </c>
      <c r="W5" s="8">
        <f>Gas!AC7</f>
        <v>0</v>
      </c>
      <c r="X5" s="7">
        <f>ELECT.!B9</f>
        <v>37</v>
      </c>
    </row>
    <row r="6" spans="1:24">
      <c r="A6" s="11" t="s">
        <v>11</v>
      </c>
      <c r="B6" s="14">
        <f t="shared" si="0"/>
        <v>5</v>
      </c>
      <c r="C6" s="14">
        <v>1</v>
      </c>
      <c r="D6" s="14">
        <v>2021</v>
      </c>
      <c r="E6" s="7">
        <f>Water!C9</f>
        <v>170</v>
      </c>
      <c r="F6" s="7">
        <f>Water!E9</f>
        <v>13</v>
      </c>
      <c r="G6" s="7">
        <f>ELECT.!D10</f>
        <v>4970</v>
      </c>
      <c r="H6" s="7">
        <f>ELECT.!F10</f>
        <v>7365</v>
      </c>
      <c r="I6" s="7">
        <f>ELECT.!H10</f>
        <v>4516</v>
      </c>
      <c r="J6" s="8">
        <f>Gas!C8</f>
        <v>208</v>
      </c>
      <c r="K6" s="8">
        <f>Gas!E8</f>
        <v>850</v>
      </c>
      <c r="L6" s="8">
        <f>Gas!G8</f>
        <v>90</v>
      </c>
      <c r="M6" s="16">
        <f>Gas!I8</f>
        <v>19</v>
      </c>
      <c r="N6" s="16">
        <f>Gas!K8</f>
        <v>34</v>
      </c>
      <c r="O6" s="8">
        <f>Gas!M8</f>
        <v>58</v>
      </c>
      <c r="P6" s="8">
        <f>Gas!O8</f>
        <v>71</v>
      </c>
      <c r="Q6" s="8">
        <f>Gas!Q8</f>
        <v>37</v>
      </c>
      <c r="R6" s="8">
        <f>Gas!S8</f>
        <v>121</v>
      </c>
      <c r="S6" s="8">
        <f>Gas!U8</f>
        <v>12</v>
      </c>
      <c r="T6" s="8">
        <f>Gas!W8</f>
        <v>56</v>
      </c>
      <c r="U6" s="8">
        <f>Gas!Y8</f>
        <v>0</v>
      </c>
      <c r="V6" s="8">
        <f>Gas!AA8</f>
        <v>0</v>
      </c>
      <c r="W6" s="8">
        <f>Gas!AC8</f>
        <v>0</v>
      </c>
      <c r="X6" s="7">
        <f>ELECT.!B10</f>
        <v>36</v>
      </c>
    </row>
    <row r="7" spans="1:24">
      <c r="A7" s="11" t="s">
        <v>11</v>
      </c>
      <c r="B7" s="14">
        <f t="shared" si="0"/>
        <v>6</v>
      </c>
      <c r="C7" s="14">
        <v>1</v>
      </c>
      <c r="D7" s="14">
        <v>2021</v>
      </c>
      <c r="E7" s="7">
        <f>Water!C10</f>
        <v>170</v>
      </c>
      <c r="F7" s="7">
        <f>Water!E10</f>
        <v>11</v>
      </c>
      <c r="G7" s="7">
        <f>ELECT.!D11</f>
        <v>4903</v>
      </c>
      <c r="H7" s="7">
        <f>ELECT.!F11</f>
        <v>7662</v>
      </c>
      <c r="I7" s="7">
        <f>ELECT.!H11</f>
        <v>4516</v>
      </c>
      <c r="J7" s="8">
        <f>Gas!C9</f>
        <v>217</v>
      </c>
      <c r="K7" s="8">
        <f>Gas!E9</f>
        <v>887</v>
      </c>
      <c r="L7" s="8">
        <f>Gas!G9</f>
        <v>89</v>
      </c>
      <c r="M7" s="16">
        <f>Gas!I9</f>
        <v>26</v>
      </c>
      <c r="N7" s="16">
        <f>Gas!K9</f>
        <v>33</v>
      </c>
      <c r="O7" s="8">
        <f>Gas!M9</f>
        <v>54</v>
      </c>
      <c r="P7" s="8">
        <f>Gas!O9</f>
        <v>62</v>
      </c>
      <c r="Q7" s="8">
        <f>Gas!Q9</f>
        <v>37</v>
      </c>
      <c r="R7" s="8">
        <f>Gas!S9</f>
        <v>131</v>
      </c>
      <c r="S7" s="8">
        <f>Gas!U9</f>
        <v>24</v>
      </c>
      <c r="T7" s="8">
        <f>Gas!W9</f>
        <v>55</v>
      </c>
      <c r="U7" s="8">
        <f>Gas!Y9</f>
        <v>0</v>
      </c>
      <c r="V7" s="8">
        <f>Gas!AA9</f>
        <v>0</v>
      </c>
      <c r="W7" s="8">
        <f>Gas!AC9</f>
        <v>0</v>
      </c>
      <c r="X7" s="7">
        <f>ELECT.!B11</f>
        <v>39</v>
      </c>
    </row>
    <row r="8" spans="1:24">
      <c r="A8" s="11" t="s">
        <v>11</v>
      </c>
      <c r="B8" s="14">
        <f t="shared" si="0"/>
        <v>7</v>
      </c>
      <c r="C8" s="14">
        <v>1</v>
      </c>
      <c r="D8" s="14">
        <v>2021</v>
      </c>
      <c r="E8" s="7">
        <f>Water!C11</f>
        <v>200</v>
      </c>
      <c r="F8" s="7">
        <f>Water!E11</f>
        <v>2</v>
      </c>
      <c r="G8" s="7">
        <f>ELECT.!D12</f>
        <v>5065</v>
      </c>
      <c r="H8" s="7">
        <f>ELECT.!F12</f>
        <v>7512</v>
      </c>
      <c r="I8" s="7">
        <f>ELECT.!H12</f>
        <v>4599</v>
      </c>
      <c r="J8" s="8">
        <f>Gas!C10</f>
        <v>233</v>
      </c>
      <c r="K8" s="8">
        <f>Gas!E10</f>
        <v>810</v>
      </c>
      <c r="L8" s="8">
        <f>Gas!G10</f>
        <v>91</v>
      </c>
      <c r="M8" s="16">
        <f>Gas!I10</f>
        <v>31</v>
      </c>
      <c r="N8" s="16">
        <f>Gas!K10</f>
        <v>46</v>
      </c>
      <c r="O8" s="8">
        <f>Gas!M10</f>
        <v>15</v>
      </c>
      <c r="P8" s="8">
        <f>Gas!O10</f>
        <v>130</v>
      </c>
      <c r="Q8" s="8">
        <f>Gas!Q10</f>
        <v>37</v>
      </c>
      <c r="R8" s="8">
        <f>Gas!S10</f>
        <v>149</v>
      </c>
      <c r="S8" s="8">
        <f>Gas!U10</f>
        <v>23</v>
      </c>
      <c r="T8" s="8">
        <f>Gas!W10</f>
        <v>52</v>
      </c>
      <c r="U8" s="8">
        <f>Gas!Y10</f>
        <v>0</v>
      </c>
      <c r="V8" s="8">
        <f>Gas!AA10</f>
        <v>0</v>
      </c>
      <c r="W8" s="8">
        <f>Gas!AC10</f>
        <v>0</v>
      </c>
      <c r="X8" s="7">
        <f>ELECT.!B12</f>
        <v>71</v>
      </c>
    </row>
    <row r="9" spans="1:24">
      <c r="A9" s="11" t="s">
        <v>11</v>
      </c>
      <c r="B9" s="14">
        <f t="shared" si="0"/>
        <v>8</v>
      </c>
      <c r="C9" s="14">
        <v>1</v>
      </c>
      <c r="D9" s="14">
        <v>2021</v>
      </c>
      <c r="E9" s="7">
        <f>Water!C12</f>
        <v>220</v>
      </c>
      <c r="F9" s="7">
        <f>Water!E12</f>
        <v>9</v>
      </c>
      <c r="G9" s="7">
        <f>ELECT.!D13</f>
        <v>4546</v>
      </c>
      <c r="H9" s="7">
        <f>ELECT.!F13</f>
        <v>7625</v>
      </c>
      <c r="I9" s="7">
        <f>ELECT.!H13</f>
        <v>5320</v>
      </c>
      <c r="J9" s="8">
        <f>Gas!C11</f>
        <v>229</v>
      </c>
      <c r="K9" s="8">
        <f>Gas!E11</f>
        <v>949</v>
      </c>
      <c r="L9" s="8">
        <f>Gas!G11</f>
        <v>148</v>
      </c>
      <c r="M9" s="16">
        <f>Gas!I11</f>
        <v>24</v>
      </c>
      <c r="N9" s="16">
        <f>Gas!K11</f>
        <v>34</v>
      </c>
      <c r="O9" s="8">
        <f>Gas!M11</f>
        <v>30</v>
      </c>
      <c r="P9" s="8">
        <f>Gas!O11</f>
        <v>149</v>
      </c>
      <c r="Q9" s="8">
        <f>Gas!Q11</f>
        <v>39</v>
      </c>
      <c r="R9" s="8">
        <f>Gas!S11</f>
        <v>139</v>
      </c>
      <c r="S9" s="8">
        <f>Gas!U11</f>
        <v>23</v>
      </c>
      <c r="T9" s="8">
        <f>Gas!W11</f>
        <v>55</v>
      </c>
      <c r="U9" s="8">
        <f>Gas!Y11</f>
        <v>0</v>
      </c>
      <c r="V9" s="8">
        <f>Gas!AA11</f>
        <v>0</v>
      </c>
      <c r="W9" s="8">
        <f>Gas!AC11</f>
        <v>0</v>
      </c>
      <c r="X9" s="7">
        <f>ELECT.!B13</f>
        <v>77</v>
      </c>
    </row>
    <row r="10" spans="1:24">
      <c r="A10" s="11" t="s">
        <v>11</v>
      </c>
      <c r="B10" s="14">
        <f t="shared" si="0"/>
        <v>9</v>
      </c>
      <c r="C10" s="14">
        <v>1</v>
      </c>
      <c r="D10" s="14">
        <v>2021</v>
      </c>
      <c r="E10" s="7">
        <f>Water!C13</f>
        <v>220</v>
      </c>
      <c r="F10" s="7">
        <f>Water!E13</f>
        <v>22</v>
      </c>
      <c r="G10" s="7">
        <f>ELECT.!D14</f>
        <v>4737</v>
      </c>
      <c r="H10" s="7">
        <f>ELECT.!F14</f>
        <v>8781</v>
      </c>
      <c r="I10" s="7">
        <f>ELECT.!H14</f>
        <v>6527</v>
      </c>
      <c r="J10" s="8">
        <f>Gas!C12</f>
        <v>245</v>
      </c>
      <c r="K10" s="8">
        <f>Gas!E12</f>
        <v>614</v>
      </c>
      <c r="L10" s="8">
        <f>Gas!G12</f>
        <v>105</v>
      </c>
      <c r="M10" s="16">
        <f>Gas!I12</f>
        <v>20</v>
      </c>
      <c r="N10" s="16">
        <f>Gas!K12</f>
        <v>18</v>
      </c>
      <c r="O10" s="8">
        <f>Gas!M12</f>
        <v>13</v>
      </c>
      <c r="P10" s="8">
        <f>Gas!O12</f>
        <v>87</v>
      </c>
      <c r="Q10" s="8">
        <f>Gas!Q12</f>
        <v>41</v>
      </c>
      <c r="R10" s="8">
        <f>Gas!S12</f>
        <v>171</v>
      </c>
      <c r="S10" s="8">
        <f>Gas!U12</f>
        <v>25</v>
      </c>
      <c r="T10" s="8">
        <f>Gas!W12</f>
        <v>54</v>
      </c>
      <c r="U10" s="8">
        <f>Gas!Y12</f>
        <v>0</v>
      </c>
      <c r="V10" s="8">
        <f>Gas!AA12</f>
        <v>0</v>
      </c>
      <c r="W10" s="8">
        <f>Gas!AC12</f>
        <v>0</v>
      </c>
      <c r="X10" s="7">
        <f>ELECT.!B14</f>
        <v>39</v>
      </c>
    </row>
    <row r="11" spans="1:24">
      <c r="A11" s="11" t="s">
        <v>11</v>
      </c>
      <c r="B11" s="14">
        <f t="shared" si="0"/>
        <v>10</v>
      </c>
      <c r="C11" s="14">
        <v>1</v>
      </c>
      <c r="D11" s="14">
        <v>2021</v>
      </c>
      <c r="E11" s="7">
        <f>Water!C14</f>
        <v>190</v>
      </c>
      <c r="F11" s="7">
        <f>Water!E14</f>
        <v>19</v>
      </c>
      <c r="G11" s="7">
        <f>ELECT.!D15</f>
        <v>3695</v>
      </c>
      <c r="H11" s="7">
        <f>ELECT.!F15</f>
        <v>7085</v>
      </c>
      <c r="I11" s="7">
        <f>ELECT.!H15</f>
        <v>5214</v>
      </c>
      <c r="J11" s="8">
        <f>Gas!C13</f>
        <v>231</v>
      </c>
      <c r="K11" s="8">
        <f>Gas!E13</f>
        <v>830</v>
      </c>
      <c r="L11" s="8">
        <f>Gas!G13</f>
        <v>131</v>
      </c>
      <c r="M11" s="16">
        <f>Gas!I13</f>
        <v>20</v>
      </c>
      <c r="N11" s="16">
        <f>Gas!K13</f>
        <v>0</v>
      </c>
      <c r="O11" s="8">
        <f>Gas!M13</f>
        <v>162</v>
      </c>
      <c r="P11" s="8">
        <f>Gas!O13</f>
        <v>34</v>
      </c>
      <c r="Q11" s="8">
        <f>Gas!Q13</f>
        <v>39</v>
      </c>
      <c r="R11" s="8">
        <f>Gas!S13</f>
        <v>154</v>
      </c>
      <c r="S11" s="8">
        <f>Gas!U13</f>
        <v>23</v>
      </c>
      <c r="T11" s="8">
        <f>Gas!W13</f>
        <v>54</v>
      </c>
      <c r="U11" s="8">
        <f>Gas!Y13</f>
        <v>0</v>
      </c>
      <c r="V11" s="8">
        <f>Gas!AA13</f>
        <v>0</v>
      </c>
      <c r="W11" s="8">
        <f>Gas!AC13</f>
        <v>0</v>
      </c>
      <c r="X11" s="7">
        <f>ELECT.!B15</f>
        <v>42</v>
      </c>
    </row>
    <row r="12" spans="1:24">
      <c r="A12" s="11" t="s">
        <v>11</v>
      </c>
      <c r="B12" s="14">
        <f t="shared" si="0"/>
        <v>11</v>
      </c>
      <c r="C12" s="14">
        <v>1</v>
      </c>
      <c r="D12" s="14">
        <v>2021</v>
      </c>
      <c r="E12" s="7">
        <f>Water!C15</f>
        <v>180</v>
      </c>
      <c r="F12" s="7">
        <f>Water!E15</f>
        <v>13</v>
      </c>
      <c r="G12" s="7">
        <f>ELECT.!D16</f>
        <v>4177</v>
      </c>
      <c r="H12" s="7">
        <f>ELECT.!F16</f>
        <v>7515</v>
      </c>
      <c r="I12" s="7">
        <f>ELECT.!H16</f>
        <v>5810</v>
      </c>
      <c r="J12" s="8">
        <f>Gas!C14</f>
        <v>291</v>
      </c>
      <c r="K12" s="8">
        <f>Gas!E14</f>
        <v>834</v>
      </c>
      <c r="L12" s="8">
        <f>Gas!G14</f>
        <v>105</v>
      </c>
      <c r="M12" s="16">
        <f>Gas!I14</f>
        <v>23</v>
      </c>
      <c r="N12" s="16">
        <f>Gas!K14</f>
        <v>31</v>
      </c>
      <c r="O12" s="8">
        <f>Gas!M14</f>
        <v>60</v>
      </c>
      <c r="P12" s="8">
        <f>Gas!O14</f>
        <v>24</v>
      </c>
      <c r="Q12" s="8">
        <f>Gas!Q14</f>
        <v>38</v>
      </c>
      <c r="R12" s="8">
        <f>Gas!S14</f>
        <v>90</v>
      </c>
      <c r="S12" s="8">
        <f>Gas!U14</f>
        <v>27</v>
      </c>
      <c r="T12" s="8">
        <f>Gas!W14</f>
        <v>40</v>
      </c>
      <c r="U12" s="8">
        <f>Gas!Y14</f>
        <v>0</v>
      </c>
      <c r="V12" s="8">
        <f>Gas!AA14</f>
        <v>0</v>
      </c>
      <c r="W12" s="8">
        <f>Gas!AC14</f>
        <v>0</v>
      </c>
      <c r="X12" s="7">
        <f>ELECT.!B16</f>
        <v>35</v>
      </c>
    </row>
    <row r="13" spans="1:24">
      <c r="A13" s="11" t="s">
        <v>11</v>
      </c>
      <c r="B13" s="14">
        <f t="shared" si="0"/>
        <v>12</v>
      </c>
      <c r="C13" s="14">
        <v>1</v>
      </c>
      <c r="D13" s="14">
        <v>2021</v>
      </c>
      <c r="E13" s="7">
        <f>Water!C16</f>
        <v>160</v>
      </c>
      <c r="F13" s="7">
        <f>Water!E16</f>
        <v>20</v>
      </c>
      <c r="G13" s="7">
        <f>ELECT.!D17</f>
        <v>4125</v>
      </c>
      <c r="H13" s="7">
        <f>ELECT.!F17</f>
        <v>7814</v>
      </c>
      <c r="I13" s="7">
        <f>ELECT.!H17</f>
        <v>5908</v>
      </c>
      <c r="J13" s="8">
        <f>Gas!C15</f>
        <v>264</v>
      </c>
      <c r="K13" s="8">
        <f>Gas!E15</f>
        <v>851</v>
      </c>
      <c r="L13" s="8">
        <f>Gas!G15</f>
        <v>118</v>
      </c>
      <c r="M13" s="16">
        <f>Gas!I15</f>
        <v>19</v>
      </c>
      <c r="N13" s="16">
        <f>Gas!K15</f>
        <v>27</v>
      </c>
      <c r="O13" s="8">
        <f>Gas!M15</f>
        <v>64</v>
      </c>
      <c r="P13" s="8">
        <f>Gas!O15</f>
        <v>40</v>
      </c>
      <c r="Q13" s="8">
        <f>Gas!Q15</f>
        <v>36</v>
      </c>
      <c r="R13" s="8">
        <f>Gas!S15</f>
        <v>177</v>
      </c>
      <c r="S13" s="8">
        <f>Gas!U15</f>
        <v>34</v>
      </c>
      <c r="T13" s="8">
        <f>Gas!W15</f>
        <v>71</v>
      </c>
      <c r="U13" s="8">
        <f>Gas!Y15</f>
        <v>0</v>
      </c>
      <c r="V13" s="8">
        <f>Gas!AA15</f>
        <v>0</v>
      </c>
      <c r="W13" s="8">
        <f>Gas!AC15</f>
        <v>0</v>
      </c>
      <c r="X13" s="7">
        <f>ELECT.!B17</f>
        <v>40</v>
      </c>
    </row>
    <row r="14" spans="1:24">
      <c r="A14" s="11" t="s">
        <v>11</v>
      </c>
      <c r="B14" s="14">
        <f t="shared" si="0"/>
        <v>13</v>
      </c>
      <c r="C14" s="14">
        <v>1</v>
      </c>
      <c r="D14" s="14">
        <v>2021</v>
      </c>
      <c r="E14" s="7">
        <f>Water!C17</f>
        <v>160</v>
      </c>
      <c r="F14" s="7">
        <f>Water!E17</f>
        <v>12</v>
      </c>
      <c r="G14" s="7">
        <f>ELECT.!D18</f>
        <v>3327</v>
      </c>
      <c r="H14" s="7">
        <f>ELECT.!F18</f>
        <v>6323</v>
      </c>
      <c r="I14" s="7">
        <f>ELECT.!H18</f>
        <v>4705</v>
      </c>
      <c r="J14" s="8">
        <f>Gas!C16</f>
        <v>259</v>
      </c>
      <c r="K14" s="8">
        <f>Gas!E16</f>
        <v>822</v>
      </c>
      <c r="L14" s="8">
        <f>Gas!G16</f>
        <v>103</v>
      </c>
      <c r="M14" s="16">
        <f>Gas!I16</f>
        <v>26</v>
      </c>
      <c r="N14" s="16">
        <f>Gas!K16</f>
        <v>24</v>
      </c>
      <c r="O14" s="8">
        <f>Gas!M16</f>
        <v>66</v>
      </c>
      <c r="P14" s="8">
        <f>Gas!O16</f>
        <v>16</v>
      </c>
      <c r="Q14" s="8">
        <f>Gas!Q16</f>
        <v>39</v>
      </c>
      <c r="R14" s="8">
        <f>Gas!S16</f>
        <v>105</v>
      </c>
      <c r="S14" s="8">
        <f>Gas!U16</f>
        <v>16</v>
      </c>
      <c r="T14" s="8">
        <f>Gas!W16</f>
        <v>57</v>
      </c>
      <c r="U14" s="8">
        <f>Gas!Y16</f>
        <v>0</v>
      </c>
      <c r="V14" s="8">
        <f>Gas!AA16</f>
        <v>0</v>
      </c>
      <c r="W14" s="8">
        <f>Gas!AC16</f>
        <v>0</v>
      </c>
      <c r="X14" s="7">
        <f>ELECT.!B18</f>
        <v>35</v>
      </c>
    </row>
    <row r="15" spans="1:24">
      <c r="A15" s="11" t="s">
        <v>11</v>
      </c>
      <c r="B15" s="14">
        <f t="shared" si="0"/>
        <v>14</v>
      </c>
      <c r="C15" s="14">
        <v>1</v>
      </c>
      <c r="D15" s="14">
        <v>2021</v>
      </c>
      <c r="E15" s="7">
        <f>Water!C18</f>
        <v>170</v>
      </c>
      <c r="F15" s="7">
        <f>Water!E18</f>
        <v>4</v>
      </c>
      <c r="G15" s="7">
        <f>ELECT.!D19</f>
        <v>4068</v>
      </c>
      <c r="H15" s="7">
        <f>ELECT.!F19</f>
        <v>8121</v>
      </c>
      <c r="I15" s="7">
        <f>ELECT.!H19</f>
        <v>5778</v>
      </c>
      <c r="J15" s="8">
        <f>Gas!C17</f>
        <v>258</v>
      </c>
      <c r="K15" s="8">
        <f>Gas!E17</f>
        <v>903</v>
      </c>
      <c r="L15" s="8">
        <f>Gas!G17</f>
        <v>143</v>
      </c>
      <c r="M15" s="16">
        <f>Gas!I17</f>
        <v>19</v>
      </c>
      <c r="N15" s="16">
        <f>Gas!K17</f>
        <v>31</v>
      </c>
      <c r="O15" s="8">
        <f>Gas!M17</f>
        <v>74</v>
      </c>
      <c r="P15" s="8">
        <f>Gas!O17</f>
        <v>10</v>
      </c>
      <c r="Q15" s="8">
        <f>Gas!Q17</f>
        <v>36</v>
      </c>
      <c r="R15" s="8">
        <f>Gas!S17</f>
        <v>129</v>
      </c>
      <c r="S15" s="8">
        <f>Gas!U17</f>
        <v>20</v>
      </c>
      <c r="T15" s="8">
        <f>Gas!W17</f>
        <v>60</v>
      </c>
      <c r="U15" s="8">
        <f>Gas!Y17</f>
        <v>0</v>
      </c>
      <c r="V15" s="8">
        <f>Gas!AA17</f>
        <v>0</v>
      </c>
      <c r="W15" s="8">
        <f>Gas!AC17</f>
        <v>0</v>
      </c>
      <c r="X15" s="7">
        <f>ELECT.!B19</f>
        <v>47</v>
      </c>
    </row>
    <row r="16" spans="1:24">
      <c r="A16" s="11" t="s">
        <v>11</v>
      </c>
      <c r="B16" s="14">
        <f t="shared" si="0"/>
        <v>15</v>
      </c>
      <c r="C16" s="14">
        <v>1</v>
      </c>
      <c r="D16" s="14">
        <v>2021</v>
      </c>
      <c r="E16" s="7">
        <f>Water!C19</f>
        <v>200</v>
      </c>
      <c r="F16" s="7">
        <f>Water!E19</f>
        <v>1</v>
      </c>
      <c r="G16" s="7">
        <f>ELECT.!D20</f>
        <v>4108</v>
      </c>
      <c r="H16" s="7">
        <f>ELECT.!F20</f>
        <v>8165</v>
      </c>
      <c r="I16" s="7">
        <f>ELECT.!H20</f>
        <v>4818</v>
      </c>
      <c r="J16" s="8">
        <f>Gas!C18</f>
        <v>240</v>
      </c>
      <c r="K16" s="8">
        <f>Gas!E18</f>
        <v>854</v>
      </c>
      <c r="L16" s="8">
        <f>Gas!G18</f>
        <v>134</v>
      </c>
      <c r="M16" s="16">
        <f>Gas!I18</f>
        <v>24</v>
      </c>
      <c r="N16" s="16">
        <f>Gas!K18</f>
        <v>30</v>
      </c>
      <c r="O16" s="8">
        <f>Gas!M18</f>
        <v>59</v>
      </c>
      <c r="P16" s="8">
        <f>Gas!O18</f>
        <v>51</v>
      </c>
      <c r="Q16" s="8">
        <f>Gas!Q18</f>
        <v>44</v>
      </c>
      <c r="R16" s="8">
        <f>Gas!S18</f>
        <v>122</v>
      </c>
      <c r="S16" s="8">
        <f>Gas!U18</f>
        <v>23</v>
      </c>
      <c r="T16" s="8">
        <f>Gas!W18</f>
        <v>58</v>
      </c>
      <c r="U16" s="8">
        <f>Gas!Y18</f>
        <v>0</v>
      </c>
      <c r="V16" s="8">
        <f>Gas!AA18</f>
        <v>0</v>
      </c>
      <c r="W16" s="8">
        <f>Gas!AC18</f>
        <v>0</v>
      </c>
      <c r="X16" s="7">
        <f>ELECT.!B20</f>
        <v>58</v>
      </c>
    </row>
    <row r="17" spans="1:24">
      <c r="A17" s="11" t="s">
        <v>11</v>
      </c>
      <c r="B17" s="14">
        <f t="shared" si="0"/>
        <v>16</v>
      </c>
      <c r="C17" s="14">
        <v>1</v>
      </c>
      <c r="D17" s="14">
        <v>2021</v>
      </c>
      <c r="E17" s="7">
        <f>Water!C20</f>
        <v>180</v>
      </c>
      <c r="F17" s="7">
        <f>Water!E20</f>
        <v>3</v>
      </c>
      <c r="G17" s="7">
        <f>ELECT.!D21</f>
        <v>3640</v>
      </c>
      <c r="H17" s="7">
        <f>ELECT.!F21</f>
        <v>7345</v>
      </c>
      <c r="I17" s="7">
        <f>ELECT.!H21</f>
        <v>6196</v>
      </c>
      <c r="J17" s="8">
        <f>Gas!C19</f>
        <v>332</v>
      </c>
      <c r="K17" s="8">
        <f>Gas!E19</f>
        <v>982</v>
      </c>
      <c r="L17" s="8">
        <f>Gas!G19</f>
        <v>73</v>
      </c>
      <c r="M17" s="16">
        <f>Gas!I19</f>
        <v>17</v>
      </c>
      <c r="N17" s="16">
        <f>Gas!K19</f>
        <v>32</v>
      </c>
      <c r="O17" s="8">
        <f>Gas!M19</f>
        <v>63</v>
      </c>
      <c r="P17" s="8">
        <f>Gas!O19</f>
        <v>35</v>
      </c>
      <c r="Q17" s="8">
        <f>Gas!Q19</f>
        <v>38</v>
      </c>
      <c r="R17" s="8">
        <f>Gas!S19</f>
        <v>134</v>
      </c>
      <c r="S17" s="8">
        <f>Gas!U19</f>
        <v>27</v>
      </c>
      <c r="T17" s="8">
        <f>Gas!W19</f>
        <v>56</v>
      </c>
      <c r="U17" s="8">
        <f>Gas!Y19</f>
        <v>0</v>
      </c>
      <c r="V17" s="8">
        <f>Gas!AA19</f>
        <v>0</v>
      </c>
      <c r="W17" s="8">
        <f>Gas!AC19</f>
        <v>0</v>
      </c>
      <c r="X17" s="7">
        <f>ELECT.!B21</f>
        <v>42</v>
      </c>
    </row>
    <row r="18" spans="1:24">
      <c r="A18" s="11" t="s">
        <v>11</v>
      </c>
      <c r="B18" s="14">
        <f t="shared" si="0"/>
        <v>17</v>
      </c>
      <c r="C18" s="14">
        <v>1</v>
      </c>
      <c r="D18" s="14">
        <v>2021</v>
      </c>
      <c r="E18" s="7">
        <f>Water!C21</f>
        <v>150</v>
      </c>
      <c r="F18" s="7">
        <f>Water!E21</f>
        <v>5</v>
      </c>
      <c r="G18" s="7">
        <f>ELECT.!D22</f>
        <v>3968</v>
      </c>
      <c r="H18" s="7">
        <f>ELECT.!F22</f>
        <v>8112</v>
      </c>
      <c r="I18" s="7">
        <f>ELECT.!H22</f>
        <v>5648</v>
      </c>
      <c r="J18" s="8">
        <f>Gas!C20</f>
        <v>207</v>
      </c>
      <c r="K18" s="8">
        <f>Gas!E20</f>
        <v>983</v>
      </c>
      <c r="L18" s="8">
        <f>Gas!G20</f>
        <v>90</v>
      </c>
      <c r="M18" s="16">
        <f>Gas!I20</f>
        <v>22</v>
      </c>
      <c r="N18" s="16">
        <f>Gas!K20</f>
        <v>8</v>
      </c>
      <c r="O18" s="8">
        <f>Gas!M20</f>
        <v>63</v>
      </c>
      <c r="P18" s="8">
        <f>Gas!O20</f>
        <v>59</v>
      </c>
      <c r="Q18" s="8">
        <f>Gas!Q20</f>
        <v>39</v>
      </c>
      <c r="R18" s="8">
        <f>Gas!S20</f>
        <v>120</v>
      </c>
      <c r="S18" s="8">
        <f>Gas!U20</f>
        <v>17</v>
      </c>
      <c r="T18" s="8">
        <f>Gas!W20</f>
        <v>57</v>
      </c>
      <c r="U18" s="8">
        <f>Gas!Y20</f>
        <v>0</v>
      </c>
      <c r="V18" s="8">
        <f>Gas!AA20</f>
        <v>0</v>
      </c>
      <c r="W18" s="8">
        <f>Gas!AC20</f>
        <v>0</v>
      </c>
      <c r="X18" s="7">
        <f>ELECT.!B22</f>
        <v>36</v>
      </c>
    </row>
    <row r="19" spans="1:24">
      <c r="A19" s="11" t="s">
        <v>11</v>
      </c>
      <c r="B19" s="14">
        <f t="shared" si="0"/>
        <v>18</v>
      </c>
      <c r="C19" s="14">
        <v>1</v>
      </c>
      <c r="D19" s="14">
        <v>2021</v>
      </c>
      <c r="E19" s="7">
        <f>Water!C22</f>
        <v>180</v>
      </c>
      <c r="F19" s="7">
        <f>Water!E22</f>
        <v>1</v>
      </c>
      <c r="G19" s="7">
        <f>ELECT.!D23</f>
        <v>3390</v>
      </c>
      <c r="H19" s="7">
        <f>ELECT.!F23</f>
        <v>7307</v>
      </c>
      <c r="I19" s="7">
        <f>ELECT.!H23</f>
        <v>5012</v>
      </c>
      <c r="J19" s="8">
        <f>Gas!C21</f>
        <v>252</v>
      </c>
      <c r="K19" s="8">
        <f>Gas!E21</f>
        <v>961</v>
      </c>
      <c r="L19" s="8">
        <f>Gas!G21</f>
        <v>81</v>
      </c>
      <c r="M19" s="16">
        <f>Gas!I21</f>
        <v>14</v>
      </c>
      <c r="N19" s="16">
        <f>Gas!K21</f>
        <v>22</v>
      </c>
      <c r="O19" s="8">
        <f>Gas!M21</f>
        <v>59</v>
      </c>
      <c r="P19" s="8">
        <f>Gas!O21</f>
        <v>37</v>
      </c>
      <c r="Q19" s="8">
        <f>Gas!Q21</f>
        <v>40</v>
      </c>
      <c r="R19" s="8">
        <f>Gas!S21</f>
        <v>116</v>
      </c>
      <c r="S19" s="8">
        <f>Gas!U21</f>
        <v>19</v>
      </c>
      <c r="T19" s="8">
        <f>Gas!W21</f>
        <v>58</v>
      </c>
      <c r="U19" s="8">
        <f>Gas!Y21</f>
        <v>0</v>
      </c>
      <c r="V19" s="8">
        <f>Gas!AA21</f>
        <v>0</v>
      </c>
      <c r="W19" s="8">
        <f>Gas!AC21</f>
        <v>0</v>
      </c>
      <c r="X19" s="7">
        <f>ELECT.!B23</f>
        <v>46</v>
      </c>
    </row>
    <row r="20" spans="1:24">
      <c r="A20" s="11" t="s">
        <v>11</v>
      </c>
      <c r="B20" s="14">
        <f t="shared" si="0"/>
        <v>19</v>
      </c>
      <c r="C20" s="14">
        <v>1</v>
      </c>
      <c r="D20" s="14">
        <v>2021</v>
      </c>
      <c r="E20" s="7">
        <f>Water!C23</f>
        <v>180</v>
      </c>
      <c r="F20" s="7">
        <f>Water!E23</f>
        <v>2</v>
      </c>
      <c r="G20" s="7">
        <f>ELECT.!D24</f>
        <v>4251</v>
      </c>
      <c r="H20" s="7">
        <f>ELECT.!F24</f>
        <v>9161</v>
      </c>
      <c r="I20" s="7">
        <f>ELECT.!H24</f>
        <v>6783</v>
      </c>
      <c r="J20" s="8">
        <f>Gas!C22</f>
        <v>270</v>
      </c>
      <c r="K20" s="8">
        <f>Gas!E22</f>
        <v>988</v>
      </c>
      <c r="L20" s="8">
        <f>Gas!G22</f>
        <v>91</v>
      </c>
      <c r="M20" s="16">
        <f>Gas!I22</f>
        <v>25</v>
      </c>
      <c r="N20" s="16">
        <f>Gas!K22</f>
        <v>51</v>
      </c>
      <c r="O20" s="8">
        <f>Gas!M22</f>
        <v>59</v>
      </c>
      <c r="P20" s="8">
        <f>Gas!O22</f>
        <v>6</v>
      </c>
      <c r="Q20" s="8">
        <f>Gas!Q22</f>
        <v>40</v>
      </c>
      <c r="R20" s="8">
        <f>Gas!S22</f>
        <v>129</v>
      </c>
      <c r="S20" s="8">
        <f>Gas!U22</f>
        <v>34</v>
      </c>
      <c r="T20" s="8">
        <f>Gas!W22</f>
        <v>55</v>
      </c>
      <c r="U20" s="8">
        <f>Gas!Y22</f>
        <v>0</v>
      </c>
      <c r="V20" s="8">
        <f>Gas!AA22</f>
        <v>0</v>
      </c>
      <c r="W20" s="8">
        <f>Gas!AC22</f>
        <v>0</v>
      </c>
      <c r="X20" s="7">
        <f>ELECT.!B24</f>
        <v>46</v>
      </c>
    </row>
    <row r="21" spans="1:24">
      <c r="A21" s="11" t="s">
        <v>11</v>
      </c>
      <c r="B21" s="14">
        <f t="shared" si="0"/>
        <v>20</v>
      </c>
      <c r="C21" s="14">
        <v>1</v>
      </c>
      <c r="D21" s="14">
        <v>2021</v>
      </c>
      <c r="E21" s="7">
        <f>Water!C24</f>
        <v>210</v>
      </c>
      <c r="F21" s="7">
        <f>Water!E24</f>
        <v>1</v>
      </c>
      <c r="G21" s="7">
        <f>ELECT.!D25</f>
        <v>4043</v>
      </c>
      <c r="H21" s="7">
        <f>ELECT.!F25</f>
        <v>9115</v>
      </c>
      <c r="I21" s="7">
        <f>ELECT.!H25</f>
        <v>6424</v>
      </c>
      <c r="J21" s="8">
        <f>Gas!C23</f>
        <v>233</v>
      </c>
      <c r="K21" s="8">
        <f>Gas!E23</f>
        <v>964</v>
      </c>
      <c r="L21" s="8">
        <f>Gas!G23</f>
        <v>111</v>
      </c>
      <c r="M21" s="16">
        <f>Gas!I23</f>
        <v>20</v>
      </c>
      <c r="N21" s="16">
        <f>Gas!K23</f>
        <v>31</v>
      </c>
      <c r="O21" s="8">
        <f>Gas!M23</f>
        <v>59</v>
      </c>
      <c r="P21" s="8">
        <f>Gas!O23</f>
        <v>57</v>
      </c>
      <c r="Q21" s="8">
        <f>Gas!Q23</f>
        <v>41</v>
      </c>
      <c r="R21" s="8">
        <f>Gas!S23</f>
        <v>131</v>
      </c>
      <c r="S21" s="8">
        <f>Gas!U23</f>
        <v>18</v>
      </c>
      <c r="T21" s="8">
        <f>Gas!W23</f>
        <v>53</v>
      </c>
      <c r="U21" s="8">
        <f>Gas!Y23</f>
        <v>0</v>
      </c>
      <c r="V21" s="8">
        <f>Gas!AA23</f>
        <v>0</v>
      </c>
      <c r="W21" s="8">
        <f>Gas!AC23</f>
        <v>0</v>
      </c>
      <c r="X21" s="7">
        <f>ELECT.!B25</f>
        <v>40</v>
      </c>
    </row>
    <row r="22" spans="1:24">
      <c r="A22" s="11" t="s">
        <v>11</v>
      </c>
      <c r="B22" s="14">
        <f t="shared" si="0"/>
        <v>21</v>
      </c>
      <c r="C22" s="14">
        <v>1</v>
      </c>
      <c r="D22" s="14">
        <v>2021</v>
      </c>
      <c r="E22" s="7">
        <f>Water!C25</f>
        <v>250</v>
      </c>
      <c r="F22" s="7">
        <f>Water!E25</f>
        <v>3</v>
      </c>
      <c r="G22" s="7">
        <f>ELECT.!D26</f>
        <v>3830</v>
      </c>
      <c r="H22" s="7">
        <f>ELECT.!F26</f>
        <v>8582</v>
      </c>
      <c r="I22" s="7">
        <f>ELECT.!H26</f>
        <v>5833</v>
      </c>
      <c r="J22" s="8">
        <f>Gas!C24</f>
        <v>197</v>
      </c>
      <c r="K22" s="8">
        <f>Gas!E24</f>
        <v>1000</v>
      </c>
      <c r="L22" s="8">
        <f>Gas!G24</f>
        <v>100</v>
      </c>
      <c r="M22" s="16">
        <f>Gas!I24</f>
        <v>22</v>
      </c>
      <c r="N22" s="16">
        <f>Gas!K24</f>
        <v>29</v>
      </c>
      <c r="O22" s="8">
        <f>Gas!M24</f>
        <v>62</v>
      </c>
      <c r="P22" s="8">
        <f>Gas!O24</f>
        <v>42</v>
      </c>
      <c r="Q22" s="8">
        <f>Gas!Q24</f>
        <v>51</v>
      </c>
      <c r="R22" s="8">
        <f>Gas!S24</f>
        <v>134</v>
      </c>
      <c r="S22" s="8">
        <f>Gas!U24</f>
        <v>27</v>
      </c>
      <c r="T22" s="8">
        <f>Gas!W24</f>
        <v>59</v>
      </c>
      <c r="U22" s="8">
        <f>Gas!Y24</f>
        <v>0</v>
      </c>
      <c r="V22" s="8">
        <f>Gas!AA24</f>
        <v>0</v>
      </c>
      <c r="W22" s="8">
        <f>Gas!AC24</f>
        <v>0</v>
      </c>
      <c r="X22" s="7">
        <f>ELECT.!B26</f>
        <v>49</v>
      </c>
    </row>
    <row r="23" spans="1:24">
      <c r="A23" s="11" t="s">
        <v>11</v>
      </c>
      <c r="B23" s="14">
        <f t="shared" si="0"/>
        <v>22</v>
      </c>
      <c r="C23" s="14">
        <v>1</v>
      </c>
      <c r="D23" s="14">
        <v>2021</v>
      </c>
      <c r="E23" s="7">
        <f>Water!C26</f>
        <v>230</v>
      </c>
      <c r="F23" s="7">
        <f>Water!E26</f>
        <v>2</v>
      </c>
      <c r="G23" s="7">
        <f>ELECT.!D27</f>
        <v>4097</v>
      </c>
      <c r="H23" s="7">
        <f>ELECT.!F27</f>
        <v>8482</v>
      </c>
      <c r="I23" s="7">
        <f>ELECT.!H27</f>
        <v>5987</v>
      </c>
      <c r="J23" s="8">
        <f>Gas!C25</f>
        <v>286</v>
      </c>
      <c r="K23" s="8">
        <f>Gas!E25</f>
        <v>921</v>
      </c>
      <c r="L23" s="8">
        <f>Gas!G25</f>
        <v>100</v>
      </c>
      <c r="M23" s="16">
        <f>Gas!I25</f>
        <v>30</v>
      </c>
      <c r="N23" s="16">
        <f>Gas!K25</f>
        <v>29</v>
      </c>
      <c r="O23" s="8">
        <f>Gas!M25</f>
        <v>51</v>
      </c>
      <c r="P23" s="8">
        <f>Gas!O25</f>
        <v>18</v>
      </c>
      <c r="Q23" s="8">
        <f>Gas!Q25</f>
        <v>39</v>
      </c>
      <c r="R23" s="8">
        <f>Gas!S25</f>
        <v>143</v>
      </c>
      <c r="S23" s="8">
        <f>Gas!U25</f>
        <v>26</v>
      </c>
      <c r="T23" s="8">
        <f>Gas!W25</f>
        <v>59</v>
      </c>
      <c r="U23" s="8">
        <f>Gas!Y25</f>
        <v>0</v>
      </c>
      <c r="V23" s="8">
        <f>Gas!AA25</f>
        <v>0</v>
      </c>
      <c r="W23" s="8">
        <f>Gas!AC25</f>
        <v>0</v>
      </c>
      <c r="X23" s="7">
        <f>ELECT.!B27</f>
        <v>49</v>
      </c>
    </row>
    <row r="24" spans="1:24">
      <c r="A24" s="11" t="s">
        <v>11</v>
      </c>
      <c r="B24" s="14">
        <f t="shared" si="0"/>
        <v>23</v>
      </c>
      <c r="C24" s="14">
        <v>1</v>
      </c>
      <c r="D24" s="14">
        <v>2021</v>
      </c>
      <c r="E24" s="7">
        <f>Water!C27</f>
        <v>160</v>
      </c>
      <c r="F24" s="7">
        <f>Water!E27</f>
        <v>2</v>
      </c>
      <c r="G24" s="7">
        <f>ELECT.!D28</f>
        <v>3552</v>
      </c>
      <c r="H24" s="7">
        <f>ELECT.!F28</f>
        <v>6972</v>
      </c>
      <c r="I24" s="7">
        <f>ELECT.!H28</f>
        <v>5122</v>
      </c>
      <c r="J24" s="8">
        <f>Gas!C26</f>
        <v>288</v>
      </c>
      <c r="K24" s="8">
        <f>Gas!E26</f>
        <v>900</v>
      </c>
      <c r="L24" s="8">
        <f>Gas!G26</f>
        <v>180</v>
      </c>
      <c r="M24" s="16">
        <f>Gas!I26</f>
        <v>26</v>
      </c>
      <c r="N24" s="16">
        <f>Gas!K26</f>
        <v>25</v>
      </c>
      <c r="O24" s="8">
        <f>Gas!M26</f>
        <v>63</v>
      </c>
      <c r="P24" s="8">
        <f>Gas!O26</f>
        <v>18</v>
      </c>
      <c r="Q24" s="8">
        <f>Gas!Q26</f>
        <v>40</v>
      </c>
      <c r="R24" s="8">
        <f>Gas!S26</f>
        <v>166</v>
      </c>
      <c r="S24" s="8">
        <f>Gas!U26</f>
        <v>19</v>
      </c>
      <c r="T24" s="8">
        <f>Gas!W26</f>
        <v>58</v>
      </c>
      <c r="U24" s="8">
        <f>Gas!Y26</f>
        <v>0</v>
      </c>
      <c r="V24" s="8">
        <f>Gas!AA26</f>
        <v>0</v>
      </c>
      <c r="W24" s="8">
        <f>Gas!AC26</f>
        <v>0</v>
      </c>
      <c r="X24" s="7">
        <f>ELECT.!B28</f>
        <v>35</v>
      </c>
    </row>
    <row r="25" spans="1:24">
      <c r="A25" s="11" t="s">
        <v>11</v>
      </c>
      <c r="B25" s="14">
        <f t="shared" si="0"/>
        <v>24</v>
      </c>
      <c r="C25" s="14">
        <v>1</v>
      </c>
      <c r="D25" s="14">
        <v>2021</v>
      </c>
      <c r="E25" s="7">
        <f>Water!C28</f>
        <v>150</v>
      </c>
      <c r="F25" s="7">
        <f>Water!E28</f>
        <v>3</v>
      </c>
      <c r="G25" s="7">
        <f>ELECT.!D29</f>
        <v>4275</v>
      </c>
      <c r="H25" s="7">
        <f>ELECT.!F29</f>
        <v>8230</v>
      </c>
      <c r="I25" s="7">
        <f>ELECT.!H29</f>
        <v>6264</v>
      </c>
      <c r="J25" s="8">
        <f>Gas!C27</f>
        <v>226</v>
      </c>
      <c r="K25" s="8">
        <f>Gas!E27</f>
        <v>837</v>
      </c>
      <c r="L25" s="8">
        <f>Gas!G27</f>
        <v>112</v>
      </c>
      <c r="M25" s="16">
        <f>Gas!I27</f>
        <v>18</v>
      </c>
      <c r="N25" s="16">
        <f>Gas!K27</f>
        <v>0</v>
      </c>
      <c r="O25" s="8">
        <f>Gas!M27</f>
        <v>51</v>
      </c>
      <c r="P25" s="8">
        <f>Gas!O27</f>
        <v>8</v>
      </c>
      <c r="Q25" s="8">
        <f>Gas!Q27</f>
        <v>39</v>
      </c>
      <c r="R25" s="8">
        <f>Gas!S27</f>
        <v>128</v>
      </c>
      <c r="S25" s="8">
        <f>Gas!U27</f>
        <v>16</v>
      </c>
      <c r="T25" s="8">
        <f>Gas!W27</f>
        <v>60</v>
      </c>
      <c r="U25" s="8">
        <f>Gas!Y27</f>
        <v>0</v>
      </c>
      <c r="V25" s="8">
        <f>Gas!AA27</f>
        <v>0</v>
      </c>
      <c r="W25" s="8">
        <f>Gas!AC27</f>
        <v>0</v>
      </c>
      <c r="X25" s="7">
        <f>ELECT.!B29</f>
        <v>24</v>
      </c>
    </row>
    <row r="26" spans="1:24">
      <c r="A26" s="11" t="s">
        <v>11</v>
      </c>
      <c r="B26" s="14">
        <f>B25+1</f>
        <v>25</v>
      </c>
      <c r="C26" s="14">
        <v>1</v>
      </c>
      <c r="D26" s="14">
        <v>2021</v>
      </c>
      <c r="E26" s="7">
        <f>Water!C29</f>
        <v>160</v>
      </c>
      <c r="F26" s="7">
        <f>Water!E29</f>
        <v>11</v>
      </c>
      <c r="G26" s="7">
        <f>ELECT.!D30</f>
        <v>4052</v>
      </c>
      <c r="H26" s="7">
        <f>ELECT.!F30</f>
        <v>7982</v>
      </c>
      <c r="I26" s="7">
        <f>ELECT.!H30</f>
        <v>6072</v>
      </c>
      <c r="J26" s="8">
        <f>Gas!C28</f>
        <v>255</v>
      </c>
      <c r="K26" s="8">
        <f>Gas!E28</f>
        <v>796</v>
      </c>
      <c r="L26" s="8">
        <f>Gas!G28</f>
        <v>111</v>
      </c>
      <c r="M26" s="16">
        <f>Gas!I28</f>
        <v>22</v>
      </c>
      <c r="N26" s="16">
        <f>Gas!K28</f>
        <v>33</v>
      </c>
      <c r="O26" s="8">
        <f>Gas!M28</f>
        <v>59</v>
      </c>
      <c r="P26" s="8">
        <f>Gas!O28</f>
        <v>55</v>
      </c>
      <c r="Q26" s="8">
        <f>Gas!Q28</f>
        <v>38</v>
      </c>
      <c r="R26" s="8">
        <f>Gas!S28</f>
        <v>100</v>
      </c>
      <c r="S26" s="8">
        <f>Gas!U28</f>
        <v>21</v>
      </c>
      <c r="T26" s="8">
        <f>Gas!W28</f>
        <v>62</v>
      </c>
      <c r="U26" s="8">
        <f>Gas!Y28</f>
        <v>0</v>
      </c>
      <c r="V26" s="8">
        <f>Gas!AA28</f>
        <v>0</v>
      </c>
      <c r="W26" s="8">
        <f>Gas!AC28</f>
        <v>0</v>
      </c>
      <c r="X26" s="7">
        <f>ELECT.!B30</f>
        <v>40</v>
      </c>
    </row>
    <row r="27" spans="1:24">
      <c r="A27" s="11" t="s">
        <v>11</v>
      </c>
      <c r="B27" s="14">
        <f t="shared" si="0"/>
        <v>26</v>
      </c>
      <c r="C27" s="14">
        <v>1</v>
      </c>
      <c r="D27" s="14">
        <v>2021</v>
      </c>
      <c r="E27" s="7">
        <f>Water!C30</f>
        <v>160</v>
      </c>
      <c r="F27" s="7">
        <f>Water!E30</f>
        <v>16</v>
      </c>
      <c r="G27" s="7">
        <f>ELECT.!D31</f>
        <v>3670</v>
      </c>
      <c r="H27" s="7">
        <f>ELECT.!F31</f>
        <v>6747</v>
      </c>
      <c r="I27" s="7">
        <f>ELECT.!H31</f>
        <v>5199</v>
      </c>
      <c r="J27" s="8">
        <f>Gas!C29</f>
        <v>230</v>
      </c>
      <c r="K27" s="8">
        <f>Gas!E29</f>
        <v>849</v>
      </c>
      <c r="L27" s="8">
        <f>Gas!G29</f>
        <v>87</v>
      </c>
      <c r="M27" s="16">
        <f>Gas!I29</f>
        <v>18</v>
      </c>
      <c r="N27" s="16">
        <f>Gas!K29</f>
        <v>28</v>
      </c>
      <c r="O27" s="8">
        <f>Gas!M29</f>
        <v>52</v>
      </c>
      <c r="P27" s="8">
        <f>Gas!O29</f>
        <v>59</v>
      </c>
      <c r="Q27" s="8">
        <f>Gas!Q29</f>
        <v>41</v>
      </c>
      <c r="R27" s="8">
        <f>Gas!S29</f>
        <v>109</v>
      </c>
      <c r="S27" s="8">
        <f>Gas!U29</f>
        <v>22</v>
      </c>
      <c r="T27" s="8">
        <f>Gas!W29</f>
        <v>58</v>
      </c>
      <c r="U27" s="8">
        <f>Gas!Y29</f>
        <v>0</v>
      </c>
      <c r="V27" s="8">
        <f>Gas!AA29</f>
        <v>0</v>
      </c>
      <c r="W27" s="8">
        <f>Gas!AC29</f>
        <v>0</v>
      </c>
      <c r="X27" s="7">
        <f>ELECT.!B31</f>
        <v>38</v>
      </c>
    </row>
    <row r="28" spans="1:24">
      <c r="A28" s="11" t="s">
        <v>11</v>
      </c>
      <c r="B28" s="14">
        <f t="shared" si="0"/>
        <v>27</v>
      </c>
      <c r="C28" s="14">
        <v>1</v>
      </c>
      <c r="D28" s="14">
        <v>2021</v>
      </c>
      <c r="E28" s="7">
        <f>Water!C31</f>
        <v>210</v>
      </c>
      <c r="F28" s="7">
        <f>Water!E31</f>
        <v>3</v>
      </c>
      <c r="G28" s="7">
        <f>ELECT.!D32</f>
        <v>4134</v>
      </c>
      <c r="H28" s="7">
        <f>ELECT.!F32</f>
        <v>8150</v>
      </c>
      <c r="I28" s="7">
        <f>ELECT.!H32</f>
        <v>5661</v>
      </c>
      <c r="J28" s="8">
        <f>Gas!C30</f>
        <v>222</v>
      </c>
      <c r="K28" s="8">
        <f>Gas!E30</f>
        <v>923</v>
      </c>
      <c r="L28" s="8">
        <f>Gas!G30</f>
        <v>95</v>
      </c>
      <c r="M28" s="16">
        <f>Gas!I30</f>
        <v>20</v>
      </c>
      <c r="N28" s="16">
        <f>Gas!K30</f>
        <v>38</v>
      </c>
      <c r="O28" s="8">
        <f>Gas!M30</f>
        <v>63</v>
      </c>
      <c r="P28" s="8">
        <f>Gas!O30</f>
        <v>59</v>
      </c>
      <c r="Q28" s="8">
        <f>Gas!Q30</f>
        <v>42</v>
      </c>
      <c r="R28" s="8">
        <f>Gas!S30</f>
        <v>125</v>
      </c>
      <c r="S28" s="8">
        <f>Gas!U30</f>
        <v>30</v>
      </c>
      <c r="T28" s="8">
        <f>Gas!W30</f>
        <v>55</v>
      </c>
      <c r="U28" s="8">
        <f>Gas!Y30</f>
        <v>0</v>
      </c>
      <c r="V28" s="8">
        <f>Gas!AA30</f>
        <v>0</v>
      </c>
      <c r="W28" s="8">
        <f>Gas!AC30</f>
        <v>0</v>
      </c>
      <c r="X28" s="7">
        <f>ELECT.!B32</f>
        <v>53</v>
      </c>
    </row>
    <row r="29" spans="1:24">
      <c r="A29" s="11" t="s">
        <v>11</v>
      </c>
      <c r="B29" s="14">
        <f t="shared" si="0"/>
        <v>28</v>
      </c>
      <c r="C29" s="14">
        <v>1</v>
      </c>
      <c r="D29" s="14">
        <v>2021</v>
      </c>
      <c r="E29" s="7">
        <f>Water!C32</f>
        <v>280</v>
      </c>
      <c r="F29" s="7">
        <f>Water!E32</f>
        <v>2</v>
      </c>
      <c r="G29" s="7">
        <f>ELECT.!D33</f>
        <v>4388</v>
      </c>
      <c r="H29" s="7">
        <f>ELECT.!F33</f>
        <v>17087</v>
      </c>
      <c r="I29" s="7">
        <f>ELECT.!H33</f>
        <v>6212</v>
      </c>
      <c r="J29" s="8">
        <f>Gas!C31</f>
        <v>225</v>
      </c>
      <c r="K29" s="8">
        <f>Gas!E31</f>
        <v>929</v>
      </c>
      <c r="L29" s="8">
        <f>Gas!G31</f>
        <v>84</v>
      </c>
      <c r="M29" s="16">
        <f>Gas!I31</f>
        <v>22</v>
      </c>
      <c r="N29" s="16">
        <f>Gas!K31</f>
        <v>47</v>
      </c>
      <c r="O29" s="8">
        <f>Gas!M31</f>
        <v>59</v>
      </c>
      <c r="P29" s="8">
        <f>Gas!O31</f>
        <v>114</v>
      </c>
      <c r="Q29" s="8">
        <f>Gas!Q31</f>
        <v>49</v>
      </c>
      <c r="R29" s="8">
        <f>Gas!S31</f>
        <v>156</v>
      </c>
      <c r="S29" s="8">
        <f>Gas!U31</f>
        <v>20</v>
      </c>
      <c r="T29" s="8">
        <f>Gas!W31</f>
        <v>59</v>
      </c>
      <c r="U29" s="8">
        <f>Gas!Y31</f>
        <v>0</v>
      </c>
      <c r="V29" s="8">
        <f>Gas!AA31</f>
        <v>0</v>
      </c>
      <c r="W29" s="8">
        <f>Gas!AC31</f>
        <v>0</v>
      </c>
      <c r="X29" s="7">
        <f>ELECT.!B33</f>
        <v>77</v>
      </c>
    </row>
    <row r="30" spans="1:24">
      <c r="A30" s="11" t="s">
        <v>11</v>
      </c>
      <c r="B30" s="14">
        <f t="shared" si="0"/>
        <v>29</v>
      </c>
      <c r="C30" s="14">
        <v>1</v>
      </c>
      <c r="D30" s="14">
        <v>2021</v>
      </c>
      <c r="E30" s="7">
        <f>Water!C33</f>
        <v>260</v>
      </c>
      <c r="F30" s="7">
        <f>Water!E33</f>
        <v>3</v>
      </c>
      <c r="G30" s="7">
        <f>ELECT.!D34</f>
        <v>3839</v>
      </c>
      <c r="H30" s="7">
        <f>ELECT.!F34</f>
        <v>16061</v>
      </c>
      <c r="I30" s="7">
        <f>ELECT.!H34</f>
        <v>5008</v>
      </c>
      <c r="J30" s="8">
        <f>Gas!C32</f>
        <v>338</v>
      </c>
      <c r="K30" s="8">
        <f>Gas!E32</f>
        <v>912</v>
      </c>
      <c r="L30" s="8">
        <f>Gas!G32</f>
        <v>123</v>
      </c>
      <c r="M30" s="16">
        <f>Gas!I32</f>
        <v>31</v>
      </c>
      <c r="N30" s="16">
        <f>Gas!K32</f>
        <v>35</v>
      </c>
      <c r="O30" s="8">
        <f>Gas!M32</f>
        <v>54</v>
      </c>
      <c r="P30" s="8">
        <f>Gas!O32</f>
        <v>85</v>
      </c>
      <c r="Q30" s="8">
        <f>Gas!Q32</f>
        <v>48</v>
      </c>
      <c r="R30" s="8">
        <f>Gas!S32</f>
        <v>168</v>
      </c>
      <c r="S30" s="8">
        <f>Gas!U32</f>
        <v>29</v>
      </c>
      <c r="T30" s="8">
        <f>Gas!W32</f>
        <v>61</v>
      </c>
      <c r="U30" s="8">
        <f>Gas!Y32</f>
        <v>0</v>
      </c>
      <c r="V30" s="8">
        <f>Gas!AA32</f>
        <v>0</v>
      </c>
      <c r="W30" s="8">
        <f>Gas!AC32</f>
        <v>0</v>
      </c>
      <c r="X30" s="7">
        <f>ELECT.!B34</f>
        <v>77</v>
      </c>
    </row>
    <row r="31" spans="1:24">
      <c r="A31" s="11" t="s">
        <v>11</v>
      </c>
      <c r="B31" s="14">
        <f t="shared" si="0"/>
        <v>30</v>
      </c>
      <c r="C31" s="14">
        <v>1</v>
      </c>
      <c r="D31" s="14">
        <v>2021</v>
      </c>
      <c r="E31" s="7">
        <f>Water!C34</f>
        <v>220</v>
      </c>
      <c r="F31" s="7">
        <f>Water!E34</f>
        <v>7</v>
      </c>
      <c r="G31" s="7">
        <f>ELECT.!D35</f>
        <v>4591</v>
      </c>
      <c r="H31" s="7">
        <f>ELECT.!F35</f>
        <v>15241</v>
      </c>
      <c r="I31" s="7">
        <f>ELECT.!H35</f>
        <v>6098</v>
      </c>
      <c r="J31" s="8">
        <f>Gas!C33</f>
        <v>239</v>
      </c>
      <c r="K31" s="8">
        <f>Gas!E33</f>
        <v>791</v>
      </c>
      <c r="L31" s="8">
        <f>Gas!G33</f>
        <v>99</v>
      </c>
      <c r="M31" s="16">
        <f>Gas!I33</f>
        <v>26</v>
      </c>
      <c r="N31" s="16">
        <f>Gas!K33</f>
        <v>24</v>
      </c>
      <c r="O31" s="8">
        <f>Gas!M33</f>
        <v>56</v>
      </c>
      <c r="P31" s="8">
        <f>Gas!O33</f>
        <v>47</v>
      </c>
      <c r="Q31" s="8">
        <f>Gas!Q33</f>
        <v>38</v>
      </c>
      <c r="R31" s="8">
        <f>Gas!S33</f>
        <v>195</v>
      </c>
      <c r="S31" s="8">
        <f>Gas!U33</f>
        <v>17</v>
      </c>
      <c r="T31" s="8">
        <f>Gas!W33</f>
        <v>55</v>
      </c>
      <c r="U31" s="8">
        <f>Gas!Y33</f>
        <v>0</v>
      </c>
      <c r="V31" s="8">
        <f>Gas!AA33</f>
        <v>0</v>
      </c>
      <c r="W31" s="8">
        <f>Gas!AC33</f>
        <v>0</v>
      </c>
      <c r="X31" s="7">
        <f>ELECT.!B35</f>
        <v>40</v>
      </c>
    </row>
    <row r="32" spans="1:24">
      <c r="A32" s="11" t="s">
        <v>11</v>
      </c>
      <c r="B32" s="14">
        <f t="shared" si="0"/>
        <v>31</v>
      </c>
      <c r="C32" s="14">
        <v>1</v>
      </c>
      <c r="D32" s="14">
        <v>2021</v>
      </c>
      <c r="E32" s="7">
        <f>Water!C35</f>
        <v>160</v>
      </c>
      <c r="F32" s="7">
        <f>Water!E35</f>
        <v>20</v>
      </c>
      <c r="G32" s="7">
        <f>ELECT.!D36</f>
        <v>4014</v>
      </c>
      <c r="H32" s="7">
        <f>ELECT.!F36</f>
        <v>7078</v>
      </c>
      <c r="I32" s="7">
        <f>ELECT.!H36</f>
        <v>5370</v>
      </c>
      <c r="J32" s="8">
        <f>Gas!C34</f>
        <v>272</v>
      </c>
      <c r="K32" s="8">
        <f>Gas!E34</f>
        <v>844</v>
      </c>
      <c r="L32" s="8">
        <f>Gas!G34</f>
        <v>88</v>
      </c>
      <c r="M32" s="16">
        <f>Gas!I34</f>
        <v>19</v>
      </c>
      <c r="N32" s="16">
        <f>Gas!K34</f>
        <v>0</v>
      </c>
      <c r="O32" s="8">
        <f>Gas!M34</f>
        <v>66</v>
      </c>
      <c r="P32" s="8">
        <f>Gas!O34</f>
        <v>35</v>
      </c>
      <c r="Q32" s="8">
        <f>Gas!Q34</f>
        <v>42</v>
      </c>
      <c r="R32" s="8">
        <f>Gas!S34</f>
        <v>206</v>
      </c>
      <c r="S32" s="8">
        <f>Gas!U34</f>
        <v>24</v>
      </c>
      <c r="T32" s="8">
        <f>Gas!W34</f>
        <v>58</v>
      </c>
      <c r="U32" s="8">
        <f>Gas!Y34</f>
        <v>0</v>
      </c>
      <c r="V32" s="8">
        <f>Gas!AA34</f>
        <v>0</v>
      </c>
      <c r="W32" s="8">
        <f>Gas!AC34</f>
        <v>0</v>
      </c>
      <c r="X32" s="7" t="e">
        <f>ELECT.!#REF!</f>
        <v>#REF!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K36"/>
  <sheetViews>
    <sheetView topLeftCell="A23" zoomScale="70" zoomScaleNormal="70" workbookViewId="0">
      <selection activeCell="D4" sqref="D4:D35"/>
    </sheetView>
  </sheetViews>
  <sheetFormatPr defaultColWidth="8.7109375" defaultRowHeight="18"/>
  <cols>
    <col min="1" max="1" width="15.42578125" style="24" bestFit="1" customWidth="1"/>
    <col min="2" max="2" width="21.5703125" style="22" bestFit="1" customWidth="1"/>
    <col min="3" max="3" width="12.42578125" style="22" bestFit="1" customWidth="1"/>
    <col min="4" max="4" width="21.5703125" style="22" bestFit="1" customWidth="1"/>
    <col min="5" max="5" width="11.140625" style="22" bestFit="1" customWidth="1"/>
    <col min="6" max="10" width="8.7109375" style="22"/>
    <col min="11" max="11" width="18.28515625" style="22" bestFit="1" customWidth="1"/>
    <col min="12" max="16384" width="8.7109375" style="22"/>
  </cols>
  <sheetData>
    <row r="1" spans="1:5" ht="28.5" customHeight="1" thickBot="1">
      <c r="A1" s="135" t="s">
        <v>32</v>
      </c>
      <c r="B1" s="136"/>
      <c r="C1" s="136"/>
      <c r="D1" s="136"/>
      <c r="E1" s="137"/>
    </row>
    <row r="2" spans="1:5" ht="19.5" thickBot="1">
      <c r="A2" s="27" t="s">
        <v>1</v>
      </c>
      <c r="B2" s="138"/>
      <c r="C2" s="139"/>
      <c r="D2" s="139"/>
      <c r="E2" s="140"/>
    </row>
    <row r="3" spans="1:5" ht="18.75">
      <c r="A3" s="28"/>
      <c r="B3" s="29" t="s">
        <v>33</v>
      </c>
      <c r="C3" s="29" t="s">
        <v>34</v>
      </c>
      <c r="D3" s="91" t="s">
        <v>35</v>
      </c>
      <c r="E3" s="30" t="s">
        <v>34</v>
      </c>
    </row>
    <row r="4" spans="1:5" ht="27">
      <c r="A4" s="46" t="s">
        <v>36</v>
      </c>
      <c r="B4" s="122">
        <v>55711</v>
      </c>
      <c r="C4" s="82">
        <v>0</v>
      </c>
      <c r="D4" s="126">
        <v>52168</v>
      </c>
      <c r="E4" s="87">
        <v>0</v>
      </c>
    </row>
    <row r="5" spans="1:5" ht="26.25">
      <c r="A5" s="46">
        <v>44197</v>
      </c>
      <c r="B5" s="123">
        <v>55737</v>
      </c>
      <c r="C5" s="83">
        <f>(IF((B5-B4)&lt;0,"0",(B5-B4)))*10</f>
        <v>260</v>
      </c>
      <c r="D5" s="127">
        <v>52180</v>
      </c>
      <c r="E5" s="87">
        <f>E8</f>
        <v>4</v>
      </c>
    </row>
    <row r="6" spans="1:5" ht="26.25">
      <c r="A6" s="46">
        <v>44198</v>
      </c>
      <c r="B6" s="124">
        <v>55760</v>
      </c>
      <c r="C6" s="83">
        <f t="shared" ref="C6:C34" si="0">(IF((B6-B5)&lt;0,"0",(B6-B5)))*10</f>
        <v>230</v>
      </c>
      <c r="D6" s="128">
        <v>52185</v>
      </c>
      <c r="E6" s="87">
        <f>E7</f>
        <v>17</v>
      </c>
    </row>
    <row r="7" spans="1:5" ht="26.25">
      <c r="A7" s="46">
        <v>44199</v>
      </c>
      <c r="B7" s="124">
        <v>55779</v>
      </c>
      <c r="C7" s="83">
        <f t="shared" si="0"/>
        <v>190</v>
      </c>
      <c r="D7" s="128">
        <v>52202</v>
      </c>
      <c r="E7" s="87">
        <f t="shared" ref="E7:E34" si="1">(IF((D7-D6)&lt;0,"0",(D7-D6)))</f>
        <v>17</v>
      </c>
    </row>
    <row r="8" spans="1:5" ht="26.25">
      <c r="A8" s="46">
        <v>44200</v>
      </c>
      <c r="B8" s="124">
        <v>55796</v>
      </c>
      <c r="C8" s="83">
        <f t="shared" si="0"/>
        <v>170</v>
      </c>
      <c r="D8" s="128">
        <v>52206</v>
      </c>
      <c r="E8" s="87">
        <f t="shared" si="1"/>
        <v>4</v>
      </c>
    </row>
    <row r="9" spans="1:5" ht="26.25">
      <c r="A9" s="46">
        <v>44201</v>
      </c>
      <c r="B9" s="124">
        <v>55813</v>
      </c>
      <c r="C9" s="83">
        <f t="shared" si="0"/>
        <v>170</v>
      </c>
      <c r="D9" s="128">
        <v>52219</v>
      </c>
      <c r="E9" s="87">
        <f t="shared" si="1"/>
        <v>13</v>
      </c>
    </row>
    <row r="10" spans="1:5" ht="26.25">
      <c r="A10" s="46">
        <v>44202</v>
      </c>
      <c r="B10" s="125">
        <v>55830</v>
      </c>
      <c r="C10" s="83">
        <f t="shared" si="0"/>
        <v>170</v>
      </c>
      <c r="D10" s="129">
        <v>52230</v>
      </c>
      <c r="E10" s="87">
        <f t="shared" si="1"/>
        <v>11</v>
      </c>
    </row>
    <row r="11" spans="1:5" ht="26.25">
      <c r="A11" s="46">
        <v>44203</v>
      </c>
      <c r="B11" s="125">
        <v>55850</v>
      </c>
      <c r="C11" s="83">
        <f t="shared" si="0"/>
        <v>200</v>
      </c>
      <c r="D11" s="130">
        <v>52232</v>
      </c>
      <c r="E11" s="87">
        <f t="shared" si="1"/>
        <v>2</v>
      </c>
    </row>
    <row r="12" spans="1:5" ht="26.25">
      <c r="A12" s="46">
        <v>44204</v>
      </c>
      <c r="B12" s="125">
        <v>55872</v>
      </c>
      <c r="C12" s="83">
        <f t="shared" si="0"/>
        <v>220</v>
      </c>
      <c r="D12" s="130">
        <v>52241</v>
      </c>
      <c r="E12" s="87">
        <f t="shared" si="1"/>
        <v>9</v>
      </c>
    </row>
    <row r="13" spans="1:5" ht="26.25">
      <c r="A13" s="46">
        <v>44205</v>
      </c>
      <c r="B13" s="125">
        <v>55894</v>
      </c>
      <c r="C13" s="83">
        <f t="shared" si="0"/>
        <v>220</v>
      </c>
      <c r="D13" s="130">
        <v>52263</v>
      </c>
      <c r="E13" s="87">
        <f t="shared" si="1"/>
        <v>22</v>
      </c>
    </row>
    <row r="14" spans="1:5" ht="26.25">
      <c r="A14" s="46">
        <v>44206</v>
      </c>
      <c r="B14" s="125">
        <v>55913</v>
      </c>
      <c r="C14" s="83">
        <f t="shared" si="0"/>
        <v>190</v>
      </c>
      <c r="D14" s="130">
        <v>52282</v>
      </c>
      <c r="E14" s="87">
        <f t="shared" si="1"/>
        <v>19</v>
      </c>
    </row>
    <row r="15" spans="1:5" ht="26.25">
      <c r="A15" s="46">
        <v>44207</v>
      </c>
      <c r="B15" s="125">
        <v>55931</v>
      </c>
      <c r="C15" s="83">
        <f t="shared" si="0"/>
        <v>180</v>
      </c>
      <c r="D15" s="130">
        <v>52295</v>
      </c>
      <c r="E15" s="87">
        <f t="shared" si="1"/>
        <v>13</v>
      </c>
    </row>
    <row r="16" spans="1:5" ht="26.25">
      <c r="A16" s="46">
        <v>44208</v>
      </c>
      <c r="B16" s="125">
        <v>55947</v>
      </c>
      <c r="C16" s="83">
        <f t="shared" si="0"/>
        <v>160</v>
      </c>
      <c r="D16" s="130">
        <v>52315</v>
      </c>
      <c r="E16" s="88">
        <f t="shared" si="1"/>
        <v>20</v>
      </c>
    </row>
    <row r="17" spans="1:11" ht="26.25">
      <c r="A17" s="46">
        <v>44209</v>
      </c>
      <c r="B17" s="125">
        <v>55963</v>
      </c>
      <c r="C17" s="83">
        <f t="shared" si="0"/>
        <v>160</v>
      </c>
      <c r="D17" s="130">
        <v>52327</v>
      </c>
      <c r="E17" s="90">
        <f t="shared" si="1"/>
        <v>12</v>
      </c>
    </row>
    <row r="18" spans="1:11" ht="26.25">
      <c r="A18" s="46">
        <v>44210</v>
      </c>
      <c r="B18" s="125">
        <v>55980</v>
      </c>
      <c r="C18" s="83">
        <f t="shared" si="0"/>
        <v>170</v>
      </c>
      <c r="D18" s="130">
        <v>52331</v>
      </c>
      <c r="E18" s="87">
        <f t="shared" si="1"/>
        <v>4</v>
      </c>
    </row>
    <row r="19" spans="1:11" ht="26.25">
      <c r="A19" s="46">
        <v>44211</v>
      </c>
      <c r="B19" s="125">
        <v>56000</v>
      </c>
      <c r="C19" s="83">
        <f t="shared" si="0"/>
        <v>200</v>
      </c>
      <c r="D19" s="130">
        <v>52332</v>
      </c>
      <c r="E19" s="87">
        <f t="shared" si="1"/>
        <v>1</v>
      </c>
    </row>
    <row r="20" spans="1:11" ht="26.25">
      <c r="A20" s="46">
        <v>44212</v>
      </c>
      <c r="B20" s="125">
        <v>56018</v>
      </c>
      <c r="C20" s="83">
        <f t="shared" si="0"/>
        <v>180</v>
      </c>
      <c r="D20" s="130">
        <v>52335</v>
      </c>
      <c r="E20" s="87">
        <f t="shared" si="1"/>
        <v>3</v>
      </c>
    </row>
    <row r="21" spans="1:11" ht="26.25">
      <c r="A21" s="46">
        <v>44213</v>
      </c>
      <c r="B21" s="125">
        <v>56033</v>
      </c>
      <c r="C21" s="83">
        <f t="shared" si="0"/>
        <v>150</v>
      </c>
      <c r="D21" s="130">
        <v>52340</v>
      </c>
      <c r="E21" s="87">
        <f t="shared" si="1"/>
        <v>5</v>
      </c>
    </row>
    <row r="22" spans="1:11" ht="26.25">
      <c r="A22" s="46">
        <v>44214</v>
      </c>
      <c r="B22" s="125">
        <v>56051</v>
      </c>
      <c r="C22" s="83">
        <f t="shared" si="0"/>
        <v>180</v>
      </c>
      <c r="D22" s="130">
        <v>52341</v>
      </c>
      <c r="E22" s="87">
        <f t="shared" si="1"/>
        <v>1</v>
      </c>
    </row>
    <row r="23" spans="1:11" ht="26.25">
      <c r="A23" s="46">
        <v>44215</v>
      </c>
      <c r="B23" s="125">
        <v>56069</v>
      </c>
      <c r="C23" s="83">
        <f t="shared" si="0"/>
        <v>180</v>
      </c>
      <c r="D23" s="130">
        <v>52343</v>
      </c>
      <c r="E23" s="87">
        <f t="shared" si="1"/>
        <v>2</v>
      </c>
    </row>
    <row r="24" spans="1:11" ht="26.25">
      <c r="A24" s="46">
        <v>44216</v>
      </c>
      <c r="B24" s="125">
        <v>56090</v>
      </c>
      <c r="C24" s="83">
        <f t="shared" si="0"/>
        <v>210</v>
      </c>
      <c r="D24" s="130">
        <v>52344</v>
      </c>
      <c r="E24" s="87">
        <f t="shared" si="1"/>
        <v>1</v>
      </c>
    </row>
    <row r="25" spans="1:11" ht="26.25">
      <c r="A25" s="46">
        <v>44217</v>
      </c>
      <c r="B25" s="125">
        <v>56115</v>
      </c>
      <c r="C25" s="83">
        <f t="shared" si="0"/>
        <v>250</v>
      </c>
      <c r="D25" s="130">
        <v>52347</v>
      </c>
      <c r="E25" s="87">
        <f t="shared" si="1"/>
        <v>3</v>
      </c>
    </row>
    <row r="26" spans="1:11" ht="26.25">
      <c r="A26" s="46">
        <v>44218</v>
      </c>
      <c r="B26" s="125">
        <v>56138</v>
      </c>
      <c r="C26" s="83">
        <f t="shared" si="0"/>
        <v>230</v>
      </c>
      <c r="D26" s="130">
        <v>52349</v>
      </c>
      <c r="E26" s="87">
        <f t="shared" si="1"/>
        <v>2</v>
      </c>
    </row>
    <row r="27" spans="1:11" ht="27.75">
      <c r="A27" s="46">
        <v>44219</v>
      </c>
      <c r="B27" s="125">
        <v>56154</v>
      </c>
      <c r="C27" s="83">
        <f t="shared" si="0"/>
        <v>160</v>
      </c>
      <c r="D27" s="131">
        <v>52351</v>
      </c>
      <c r="E27" s="87">
        <f t="shared" si="1"/>
        <v>2</v>
      </c>
      <c r="K27" s="23"/>
    </row>
    <row r="28" spans="1:11" ht="26.25">
      <c r="A28" s="46">
        <v>44220</v>
      </c>
      <c r="B28" s="125">
        <v>56169</v>
      </c>
      <c r="C28" s="83">
        <f t="shared" si="0"/>
        <v>150</v>
      </c>
      <c r="D28" s="130">
        <v>52354</v>
      </c>
      <c r="E28" s="87">
        <f t="shared" si="1"/>
        <v>3</v>
      </c>
    </row>
    <row r="29" spans="1:11" ht="26.25">
      <c r="A29" s="46">
        <v>44221</v>
      </c>
      <c r="B29" s="125">
        <v>56185</v>
      </c>
      <c r="C29" s="83">
        <f t="shared" si="0"/>
        <v>160</v>
      </c>
      <c r="D29" s="130">
        <v>52365</v>
      </c>
      <c r="E29" s="87">
        <f t="shared" si="1"/>
        <v>11</v>
      </c>
    </row>
    <row r="30" spans="1:11" ht="26.25">
      <c r="A30" s="46">
        <v>44222</v>
      </c>
      <c r="B30" s="125">
        <v>56201</v>
      </c>
      <c r="C30" s="83">
        <f t="shared" si="0"/>
        <v>160</v>
      </c>
      <c r="D30" s="130">
        <v>52381</v>
      </c>
      <c r="E30" s="87">
        <f t="shared" si="1"/>
        <v>16</v>
      </c>
    </row>
    <row r="31" spans="1:11" ht="26.25">
      <c r="A31" s="46">
        <v>44223</v>
      </c>
      <c r="B31" s="125">
        <v>56222</v>
      </c>
      <c r="C31" s="83">
        <f t="shared" si="0"/>
        <v>210</v>
      </c>
      <c r="D31" s="130">
        <v>52384</v>
      </c>
      <c r="E31" s="87">
        <f t="shared" si="1"/>
        <v>3</v>
      </c>
    </row>
    <row r="32" spans="1:11" ht="26.25">
      <c r="A32" s="46">
        <v>44224</v>
      </c>
      <c r="B32" s="125">
        <v>56250</v>
      </c>
      <c r="C32" s="83">
        <f t="shared" si="0"/>
        <v>280</v>
      </c>
      <c r="D32" s="130">
        <v>52386</v>
      </c>
      <c r="E32" s="87">
        <f t="shared" si="1"/>
        <v>2</v>
      </c>
    </row>
    <row r="33" spans="1:5" ht="27">
      <c r="A33" s="46">
        <v>44225</v>
      </c>
      <c r="B33" s="125">
        <v>56276</v>
      </c>
      <c r="C33" s="83">
        <f t="shared" si="0"/>
        <v>260</v>
      </c>
      <c r="D33" s="132">
        <v>52389</v>
      </c>
      <c r="E33" s="87">
        <f t="shared" si="1"/>
        <v>3</v>
      </c>
    </row>
    <row r="34" spans="1:5" ht="27">
      <c r="A34" s="46">
        <v>44226</v>
      </c>
      <c r="B34" s="125">
        <v>56298</v>
      </c>
      <c r="C34" s="83">
        <f t="shared" si="0"/>
        <v>220</v>
      </c>
      <c r="D34" s="132">
        <v>52396</v>
      </c>
      <c r="E34" s="88">
        <f t="shared" si="1"/>
        <v>7</v>
      </c>
    </row>
    <row r="35" spans="1:5" ht="27">
      <c r="A35" s="46">
        <v>44227</v>
      </c>
      <c r="B35" s="125">
        <v>56314</v>
      </c>
      <c r="C35" s="83">
        <f>(IF((B35-B34)&lt;0,"0",(B35-B34)))*10</f>
        <v>160</v>
      </c>
      <c r="D35" s="132">
        <v>52416</v>
      </c>
      <c r="E35" s="88">
        <f>(IF((D35-D34)&lt;0,"0",(D35-D34)))</f>
        <v>20</v>
      </c>
    </row>
    <row r="36" spans="1:5" ht="27">
      <c r="A36" s="84" t="s">
        <v>37</v>
      </c>
      <c r="B36" s="85"/>
      <c r="C36" s="47">
        <f>SUM(C5:C34)</f>
        <v>5870</v>
      </c>
      <c r="D36" s="86"/>
      <c r="E36" s="89">
        <f>SUM(E5:E34)</f>
        <v>232</v>
      </c>
    </row>
  </sheetData>
  <mergeCells count="2">
    <mergeCell ref="A1:E1"/>
    <mergeCell ref="B2:E2"/>
  </mergeCells>
  <phoneticPr fontId="0" type="noConversion"/>
  <conditionalFormatting sqref="B36 C4:C35 D36 E4:E35">
    <cfRule type="cellIs" dxfId="63" priority="106" stopIfTrue="1" operator="lessThan">
      <formula>0</formula>
    </cfRule>
  </conditionalFormatting>
  <conditionalFormatting sqref="D36">
    <cfRule type="cellIs" dxfId="62" priority="104" stopIfTrue="1" operator="lessThan">
      <formula>0</formula>
    </cfRule>
  </conditionalFormatting>
  <conditionalFormatting sqref="B12:B34">
    <cfRule type="cellIs" dxfId="61" priority="13" stopIfTrue="1" operator="lessThan">
      <formula>0</formula>
    </cfRule>
  </conditionalFormatting>
  <conditionalFormatting sqref="B7 B11 B9">
    <cfRule type="cellIs" dxfId="60" priority="12" stopIfTrue="1" operator="lessThan">
      <formula>0</formula>
    </cfRule>
  </conditionalFormatting>
  <conditionalFormatting sqref="B5">
    <cfRule type="cellIs" dxfId="59" priority="11" stopIfTrue="1" operator="lessThan">
      <formula>0</formula>
    </cfRule>
  </conditionalFormatting>
  <conditionalFormatting sqref="B6 B8 B10">
    <cfRule type="cellIs" dxfId="58" priority="10" stopIfTrue="1" operator="lessThan">
      <formula>0</formula>
    </cfRule>
  </conditionalFormatting>
  <conditionalFormatting sqref="B6 B8 B10 B12">
    <cfRule type="cellIs" dxfId="57" priority="9" stopIfTrue="1" operator="lessThan">
      <formula>0</formula>
    </cfRule>
  </conditionalFormatting>
  <conditionalFormatting sqref="B35">
    <cfRule type="cellIs" dxfId="56" priority="8" stopIfTrue="1" operator="lessThan">
      <formula>0</formula>
    </cfRule>
  </conditionalFormatting>
  <conditionalFormatting sqref="D33:D34">
    <cfRule type="cellIs" dxfId="55" priority="7" stopIfTrue="1" operator="lessThan">
      <formula>0</formula>
    </cfRule>
  </conditionalFormatting>
  <conditionalFormatting sqref="D13:D31">
    <cfRule type="cellIs" dxfId="54" priority="6" stopIfTrue="1" operator="lessThan">
      <formula>0</formula>
    </cfRule>
  </conditionalFormatting>
  <conditionalFormatting sqref="D7:D12">
    <cfRule type="cellIs" dxfId="53" priority="5" stopIfTrue="1" operator="lessThan">
      <formula>0</formula>
    </cfRule>
  </conditionalFormatting>
  <conditionalFormatting sqref="D5">
    <cfRule type="cellIs" dxfId="52" priority="4" stopIfTrue="1" operator="lessThan">
      <formula>0</formula>
    </cfRule>
  </conditionalFormatting>
  <conditionalFormatting sqref="D6">
    <cfRule type="cellIs" dxfId="51" priority="3" stopIfTrue="1" operator="lessThan">
      <formula>0</formula>
    </cfRule>
  </conditionalFormatting>
  <conditionalFormatting sqref="D32">
    <cfRule type="cellIs" dxfId="50" priority="2" stopIfTrue="1" operator="lessThan">
      <formula>0</formula>
    </cfRule>
  </conditionalFormatting>
  <conditionalFormatting sqref="D35">
    <cfRule type="cellIs" dxfId="49" priority="1" stopIfTrue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W54"/>
  <sheetViews>
    <sheetView tabSelected="1" zoomScale="60" zoomScaleNormal="60" workbookViewId="0">
      <selection activeCell="E11" sqref="E11"/>
    </sheetView>
  </sheetViews>
  <sheetFormatPr defaultColWidth="41.85546875" defaultRowHeight="15.75"/>
  <cols>
    <col min="1" max="1" width="19" style="4" bestFit="1" customWidth="1"/>
    <col min="2" max="2" width="19" style="26" customWidth="1"/>
    <col min="3" max="3" width="25.7109375" style="3" bestFit="1" customWidth="1"/>
    <col min="4" max="4" width="16.5703125" style="3" bestFit="1" customWidth="1"/>
    <col min="5" max="5" width="25.7109375" style="3" bestFit="1" customWidth="1"/>
    <col min="6" max="6" width="9.42578125" style="3" bestFit="1" customWidth="1"/>
    <col min="7" max="7" width="25.7109375" style="3" bestFit="1" customWidth="1"/>
    <col min="8" max="8" width="13.5703125" style="3" bestFit="1" customWidth="1"/>
    <col min="9" max="9" width="14.42578125" style="3" bestFit="1" customWidth="1"/>
    <col min="10" max="10" width="25.5703125" style="3" bestFit="1" customWidth="1"/>
    <col min="11" max="11" width="21.5703125" style="3" bestFit="1" customWidth="1"/>
    <col min="12" max="12" width="25.5703125" style="3" bestFit="1" customWidth="1"/>
    <col min="13" max="13" width="14.85546875" style="3" bestFit="1" customWidth="1"/>
    <col min="14" max="14" width="25.5703125" style="3" bestFit="1" customWidth="1"/>
    <col min="15" max="15" width="14.85546875" style="3" bestFit="1" customWidth="1"/>
    <col min="16" max="16" width="25.5703125" style="3" bestFit="1" customWidth="1"/>
    <col min="17" max="17" width="21.5703125" style="3" customWidth="1"/>
    <col min="18" max="18" width="25.5703125" style="3" bestFit="1" customWidth="1"/>
    <col min="19" max="19" width="14.85546875" style="3" bestFit="1" customWidth="1"/>
    <col min="20" max="20" width="25.5703125" style="3" bestFit="1" customWidth="1"/>
    <col min="21" max="21" width="14.85546875" style="3" bestFit="1" customWidth="1"/>
    <col min="22" max="22" width="25.5703125" style="3" bestFit="1" customWidth="1"/>
    <col min="23" max="23" width="14.85546875" style="3" bestFit="1" customWidth="1"/>
    <col min="24" max="16384" width="41.85546875" style="3"/>
  </cols>
  <sheetData>
    <row r="1" spans="1:23" ht="16.5" thickBot="1">
      <c r="A1" s="141" t="s">
        <v>38</v>
      </c>
      <c r="B1" s="142"/>
      <c r="C1" s="142"/>
      <c r="D1" s="142"/>
      <c r="E1" s="142"/>
      <c r="F1" s="142"/>
      <c r="G1" s="142"/>
      <c r="H1" s="142"/>
      <c r="I1" s="143"/>
    </row>
    <row r="2" spans="1:23" ht="15.75" customHeight="1" thickTop="1" thickBot="1">
      <c r="A2" s="144" t="s">
        <v>39</v>
      </c>
      <c r="B2" s="145"/>
      <c r="C2" s="145"/>
      <c r="D2" s="145"/>
      <c r="E2" s="145"/>
      <c r="F2" s="145"/>
      <c r="G2" s="145"/>
      <c r="H2" s="145"/>
      <c r="I2" s="146"/>
      <c r="J2" s="103" t="s">
        <v>40</v>
      </c>
      <c r="K2" s="104"/>
      <c r="L2" s="104"/>
      <c r="M2" s="104"/>
      <c r="N2" s="104"/>
      <c r="O2" s="105"/>
      <c r="P2" s="103" t="s">
        <v>41</v>
      </c>
      <c r="Q2" s="104"/>
      <c r="R2" s="104"/>
      <c r="S2" s="104"/>
      <c r="T2" s="104"/>
      <c r="U2" s="104"/>
      <c r="V2" s="104"/>
      <c r="W2" s="105"/>
    </row>
    <row r="3" spans="1:23" ht="16.5" thickBot="1">
      <c r="A3" s="44" t="s">
        <v>1</v>
      </c>
      <c r="B3" s="45" t="s">
        <v>42</v>
      </c>
      <c r="C3" s="116" t="s">
        <v>43</v>
      </c>
      <c r="D3" s="38" t="s">
        <v>34</v>
      </c>
      <c r="E3" s="38" t="s">
        <v>44</v>
      </c>
      <c r="F3" s="117" t="s">
        <v>34</v>
      </c>
      <c r="G3" s="38" t="s">
        <v>45</v>
      </c>
      <c r="H3" s="31" t="s">
        <v>34</v>
      </c>
      <c r="I3" s="96" t="s">
        <v>37</v>
      </c>
      <c r="J3" s="106" t="s">
        <v>46</v>
      </c>
      <c r="K3" s="38"/>
      <c r="L3" s="38" t="s">
        <v>47</v>
      </c>
      <c r="M3" s="38"/>
      <c r="N3" s="38" t="s">
        <v>48</v>
      </c>
      <c r="O3" s="96"/>
      <c r="P3" s="106" t="s">
        <v>49</v>
      </c>
      <c r="Q3" s="38"/>
      <c r="R3" s="38" t="s">
        <v>50</v>
      </c>
      <c r="S3" s="38"/>
      <c r="T3" s="38" t="s">
        <v>51</v>
      </c>
      <c r="U3" s="38"/>
      <c r="V3" s="38" t="s">
        <v>52</v>
      </c>
      <c r="W3" s="96"/>
    </row>
    <row r="4" spans="1:23" ht="16.5" thickBot="1">
      <c r="A4" s="43"/>
      <c r="B4" s="36"/>
      <c r="C4" s="40" t="s">
        <v>53</v>
      </c>
      <c r="D4" s="39" t="s">
        <v>34</v>
      </c>
      <c r="E4" s="39" t="s">
        <v>53</v>
      </c>
      <c r="F4" s="40" t="s">
        <v>34</v>
      </c>
      <c r="G4" s="39" t="s">
        <v>53</v>
      </c>
      <c r="H4" s="37" t="s">
        <v>34</v>
      </c>
      <c r="I4" s="97" t="s">
        <v>53</v>
      </c>
      <c r="J4" s="107" t="s">
        <v>54</v>
      </c>
      <c r="K4" s="39" t="s">
        <v>55</v>
      </c>
      <c r="L4" s="39" t="s">
        <v>54</v>
      </c>
      <c r="M4" s="39" t="s">
        <v>55</v>
      </c>
      <c r="N4" s="39" t="s">
        <v>54</v>
      </c>
      <c r="O4" s="97" t="s">
        <v>55</v>
      </c>
      <c r="P4" s="107" t="s">
        <v>54</v>
      </c>
      <c r="Q4" s="39" t="s">
        <v>55</v>
      </c>
      <c r="R4" s="39" t="s">
        <v>54</v>
      </c>
      <c r="S4" s="39" t="s">
        <v>55</v>
      </c>
      <c r="T4" s="39" t="s">
        <v>54</v>
      </c>
      <c r="U4" s="39" t="s">
        <v>55</v>
      </c>
      <c r="V4" s="39" t="s">
        <v>54</v>
      </c>
      <c r="W4" s="97" t="s">
        <v>55</v>
      </c>
    </row>
    <row r="5" spans="1:23" ht="26.25">
      <c r="A5" s="35" t="s">
        <v>36</v>
      </c>
      <c r="B5" s="33">
        <v>77</v>
      </c>
      <c r="C5" s="133">
        <v>47875055</v>
      </c>
      <c r="D5" s="41">
        <v>0</v>
      </c>
      <c r="E5" s="133">
        <v>45867015</v>
      </c>
      <c r="F5" s="77">
        <v>0</v>
      </c>
      <c r="G5" s="133">
        <v>34756479</v>
      </c>
      <c r="H5" s="77">
        <v>0</v>
      </c>
      <c r="I5" s="99"/>
      <c r="J5" s="108"/>
      <c r="K5" s="108"/>
      <c r="L5" s="108"/>
      <c r="M5" s="108"/>
      <c r="N5" s="108"/>
      <c r="O5" s="98"/>
      <c r="P5" s="108"/>
      <c r="Q5" s="108"/>
      <c r="R5" s="108"/>
      <c r="S5" s="108"/>
      <c r="T5" s="108"/>
      <c r="U5" s="108"/>
      <c r="V5" s="108"/>
      <c r="W5" s="98"/>
    </row>
    <row r="6" spans="1:23" ht="26.25">
      <c r="A6" s="32">
        <v>44197</v>
      </c>
      <c r="B6" s="34">
        <v>77</v>
      </c>
      <c r="C6" s="134">
        <v>47880842</v>
      </c>
      <c r="D6" s="42">
        <f>IF((C6-C5)&lt;0,"0",(C6-C5))</f>
        <v>5787</v>
      </c>
      <c r="E6" s="134">
        <v>45874950</v>
      </c>
      <c r="F6" s="42">
        <f>IF((E6-E5)&lt;0,"0",(E6-E5))</f>
        <v>7935</v>
      </c>
      <c r="G6" s="134">
        <v>34761222</v>
      </c>
      <c r="H6" s="42">
        <f>IF((G6-G5)&lt;0,"0",(G6-G5))</f>
        <v>4743</v>
      </c>
      <c r="I6" s="100">
        <f>D6+F6+H6</f>
        <v>18465</v>
      </c>
      <c r="J6" s="108"/>
      <c r="K6" s="108">
        <f t="shared" ref="K6:K34" si="0">IF(J6-J5&lt;0,0,J6-J5)</f>
        <v>0</v>
      </c>
      <c r="L6" s="108"/>
      <c r="M6" s="108">
        <f t="shared" ref="M6:U21" si="1">IF(L6-L5&lt;0,0,L6-L5)</f>
        <v>0</v>
      </c>
      <c r="N6" s="108"/>
      <c r="O6" s="98">
        <f t="shared" si="1"/>
        <v>0</v>
      </c>
      <c r="P6" s="108"/>
      <c r="Q6" s="108">
        <f t="shared" si="1"/>
        <v>0</v>
      </c>
      <c r="R6" s="108"/>
      <c r="S6" s="108">
        <f t="shared" si="1"/>
        <v>0</v>
      </c>
      <c r="T6" s="108"/>
      <c r="U6" s="108">
        <f t="shared" si="1"/>
        <v>0</v>
      </c>
      <c r="V6" s="108"/>
      <c r="W6" s="98">
        <f t="shared" ref="W6:W27" si="2">IF(V6-V5&lt;0,0,V6-V5)</f>
        <v>0</v>
      </c>
    </row>
    <row r="7" spans="1:23" ht="26.25">
      <c r="A7" s="32">
        <v>44198</v>
      </c>
      <c r="B7" s="34">
        <v>39</v>
      </c>
      <c r="C7" s="134">
        <v>47885971</v>
      </c>
      <c r="D7" s="42">
        <f t="shared" ref="D7:D32" si="3">IF((C7-C6)&lt;0,"0",(C7-C6))</f>
        <v>5129</v>
      </c>
      <c r="E7" s="134">
        <v>45882079</v>
      </c>
      <c r="F7" s="42">
        <f t="shared" ref="F7:F32" si="4">IF((E7-E6)&lt;0,"0",(E7-E6))</f>
        <v>7129</v>
      </c>
      <c r="G7" s="134">
        <v>34765561</v>
      </c>
      <c r="H7" s="42">
        <f t="shared" ref="H7:H32" si="5">IF((G7-G6)&lt;0,"0",(G7-G6))</f>
        <v>4339</v>
      </c>
      <c r="I7" s="100">
        <f t="shared" ref="I7:I37" si="6">D7+F7+H7</f>
        <v>16597</v>
      </c>
      <c r="J7" s="108"/>
      <c r="K7" s="108">
        <f t="shared" si="0"/>
        <v>0</v>
      </c>
      <c r="L7" s="108"/>
      <c r="M7" s="108">
        <f t="shared" si="1"/>
        <v>0</v>
      </c>
      <c r="N7" s="108"/>
      <c r="O7" s="98">
        <f t="shared" si="1"/>
        <v>0</v>
      </c>
      <c r="P7" s="108"/>
      <c r="Q7" s="108">
        <f t="shared" si="1"/>
        <v>0</v>
      </c>
      <c r="R7" s="108"/>
      <c r="S7" s="108">
        <f t="shared" si="1"/>
        <v>0</v>
      </c>
      <c r="T7" s="108"/>
      <c r="U7" s="108">
        <f t="shared" si="1"/>
        <v>0</v>
      </c>
      <c r="V7" s="108"/>
      <c r="W7" s="98">
        <f t="shared" si="2"/>
        <v>0</v>
      </c>
    </row>
    <row r="8" spans="1:23" ht="26.25">
      <c r="A8" s="32">
        <v>44199</v>
      </c>
      <c r="B8" s="34">
        <v>30</v>
      </c>
      <c r="C8" s="134">
        <v>47890946</v>
      </c>
      <c r="D8" s="42">
        <f t="shared" si="3"/>
        <v>4975</v>
      </c>
      <c r="E8" s="134">
        <v>45889204</v>
      </c>
      <c r="F8" s="42">
        <f t="shared" si="4"/>
        <v>7125</v>
      </c>
      <c r="G8" s="134">
        <v>34769937</v>
      </c>
      <c r="H8" s="42">
        <f t="shared" si="5"/>
        <v>4376</v>
      </c>
      <c r="I8" s="100">
        <f t="shared" si="6"/>
        <v>16476</v>
      </c>
      <c r="J8" s="108"/>
      <c r="K8" s="108">
        <f t="shared" si="0"/>
        <v>0</v>
      </c>
      <c r="L8" s="108"/>
      <c r="M8" s="108">
        <f t="shared" si="1"/>
        <v>0</v>
      </c>
      <c r="N8" s="108"/>
      <c r="O8" s="98">
        <f t="shared" si="1"/>
        <v>0</v>
      </c>
      <c r="P8" s="108"/>
      <c r="Q8" s="108">
        <f t="shared" si="1"/>
        <v>0</v>
      </c>
      <c r="R8" s="108"/>
      <c r="S8" s="108">
        <f t="shared" si="1"/>
        <v>0</v>
      </c>
      <c r="T8" s="108"/>
      <c r="U8" s="108">
        <f t="shared" si="1"/>
        <v>0</v>
      </c>
      <c r="V8" s="108"/>
      <c r="W8" s="98">
        <f t="shared" si="2"/>
        <v>0</v>
      </c>
    </row>
    <row r="9" spans="1:23" ht="26.25">
      <c r="A9" s="32">
        <v>44200</v>
      </c>
      <c r="B9" s="34">
        <v>37</v>
      </c>
      <c r="C9" s="134">
        <v>47895945</v>
      </c>
      <c r="D9" s="42">
        <f t="shared" si="3"/>
        <v>4999</v>
      </c>
      <c r="E9" s="134">
        <v>45896885</v>
      </c>
      <c r="F9" s="42">
        <f t="shared" si="4"/>
        <v>7681</v>
      </c>
      <c r="G9" s="134">
        <v>34774500</v>
      </c>
      <c r="H9" s="42">
        <f t="shared" si="5"/>
        <v>4563</v>
      </c>
      <c r="I9" s="100">
        <f t="shared" si="6"/>
        <v>17243</v>
      </c>
      <c r="J9" s="108"/>
      <c r="K9" s="108">
        <f t="shared" si="0"/>
        <v>0</v>
      </c>
      <c r="L9" s="108"/>
      <c r="M9" s="108">
        <f t="shared" si="1"/>
        <v>0</v>
      </c>
      <c r="N9" s="108"/>
      <c r="O9" s="98">
        <f t="shared" si="1"/>
        <v>0</v>
      </c>
      <c r="P9" s="108"/>
      <c r="Q9" s="108">
        <f t="shared" si="1"/>
        <v>0</v>
      </c>
      <c r="R9" s="108"/>
      <c r="S9" s="108">
        <f t="shared" si="1"/>
        <v>0</v>
      </c>
      <c r="T9" s="108"/>
      <c r="U9" s="108">
        <f t="shared" si="1"/>
        <v>0</v>
      </c>
      <c r="V9" s="108"/>
      <c r="W9" s="98">
        <f t="shared" si="2"/>
        <v>0</v>
      </c>
    </row>
    <row r="10" spans="1:23" ht="26.25">
      <c r="A10" s="32">
        <v>44201</v>
      </c>
      <c r="B10" s="34">
        <v>36</v>
      </c>
      <c r="C10" s="134">
        <v>47900915</v>
      </c>
      <c r="D10" s="42">
        <f t="shared" si="3"/>
        <v>4970</v>
      </c>
      <c r="E10" s="134">
        <v>45904250</v>
      </c>
      <c r="F10" s="42">
        <f t="shared" si="4"/>
        <v>7365</v>
      </c>
      <c r="G10" s="134">
        <v>34779016</v>
      </c>
      <c r="H10" s="42">
        <f t="shared" si="5"/>
        <v>4516</v>
      </c>
      <c r="I10" s="100">
        <f t="shared" si="6"/>
        <v>16851</v>
      </c>
      <c r="J10" s="108"/>
      <c r="K10" s="108">
        <f t="shared" si="0"/>
        <v>0</v>
      </c>
      <c r="L10" s="108"/>
      <c r="M10" s="108">
        <f t="shared" si="1"/>
        <v>0</v>
      </c>
      <c r="N10" s="108"/>
      <c r="O10" s="98">
        <f t="shared" si="1"/>
        <v>0</v>
      </c>
      <c r="P10" s="108"/>
      <c r="Q10" s="108">
        <f t="shared" si="1"/>
        <v>0</v>
      </c>
      <c r="R10" s="108"/>
      <c r="S10" s="108">
        <f t="shared" si="1"/>
        <v>0</v>
      </c>
      <c r="T10" s="108"/>
      <c r="U10" s="108">
        <f t="shared" si="1"/>
        <v>0</v>
      </c>
      <c r="V10" s="108"/>
      <c r="W10" s="98">
        <f t="shared" si="2"/>
        <v>0</v>
      </c>
    </row>
    <row r="11" spans="1:23" ht="26.25">
      <c r="A11" s="32">
        <v>44202</v>
      </c>
      <c r="B11" s="34">
        <v>39</v>
      </c>
      <c r="C11" s="134">
        <v>47905818</v>
      </c>
      <c r="D11" s="42">
        <f t="shared" si="3"/>
        <v>4903</v>
      </c>
      <c r="E11" s="134">
        <v>45911912</v>
      </c>
      <c r="F11" s="42">
        <f t="shared" si="4"/>
        <v>7662</v>
      </c>
      <c r="G11" s="134">
        <v>34783532</v>
      </c>
      <c r="H11" s="42">
        <f t="shared" si="5"/>
        <v>4516</v>
      </c>
      <c r="I11" s="100">
        <f t="shared" si="6"/>
        <v>17081</v>
      </c>
      <c r="J11" s="108"/>
      <c r="K11" s="108">
        <f t="shared" si="0"/>
        <v>0</v>
      </c>
      <c r="L11" s="108"/>
      <c r="M11" s="108">
        <f t="shared" si="1"/>
        <v>0</v>
      </c>
      <c r="N11" s="108"/>
      <c r="O11" s="98">
        <f t="shared" si="1"/>
        <v>0</v>
      </c>
      <c r="P11" s="108"/>
      <c r="Q11" s="108">
        <f t="shared" si="1"/>
        <v>0</v>
      </c>
      <c r="R11" s="108"/>
      <c r="S11" s="108">
        <f t="shared" si="1"/>
        <v>0</v>
      </c>
      <c r="T11" s="108"/>
      <c r="U11" s="108">
        <f t="shared" si="1"/>
        <v>0</v>
      </c>
      <c r="V11" s="108"/>
      <c r="W11" s="98">
        <f t="shared" si="2"/>
        <v>0</v>
      </c>
    </row>
    <row r="12" spans="1:23" ht="26.25">
      <c r="A12" s="32">
        <v>44203</v>
      </c>
      <c r="B12" s="34">
        <v>71</v>
      </c>
      <c r="C12" s="134">
        <v>47910883</v>
      </c>
      <c r="D12" s="42">
        <f t="shared" si="3"/>
        <v>5065</v>
      </c>
      <c r="E12" s="134">
        <v>45919424</v>
      </c>
      <c r="F12" s="42">
        <f t="shared" si="4"/>
        <v>7512</v>
      </c>
      <c r="G12" s="134">
        <v>34788131</v>
      </c>
      <c r="H12" s="42">
        <f t="shared" si="5"/>
        <v>4599</v>
      </c>
      <c r="I12" s="100">
        <f t="shared" si="6"/>
        <v>17176</v>
      </c>
      <c r="J12" s="108"/>
      <c r="K12" s="108">
        <f t="shared" si="0"/>
        <v>0</v>
      </c>
      <c r="L12" s="108"/>
      <c r="M12" s="108">
        <f t="shared" si="1"/>
        <v>0</v>
      </c>
      <c r="N12" s="108"/>
      <c r="O12" s="98">
        <f t="shared" si="1"/>
        <v>0</v>
      </c>
      <c r="P12" s="108"/>
      <c r="Q12" s="108">
        <f t="shared" si="1"/>
        <v>0</v>
      </c>
      <c r="R12" s="108"/>
      <c r="S12" s="108">
        <f t="shared" si="1"/>
        <v>0</v>
      </c>
      <c r="T12" s="108"/>
      <c r="U12" s="108">
        <f t="shared" si="1"/>
        <v>0</v>
      </c>
      <c r="V12" s="108"/>
      <c r="W12" s="98">
        <f t="shared" si="2"/>
        <v>0</v>
      </c>
    </row>
    <row r="13" spans="1:23" ht="26.25">
      <c r="A13" s="32">
        <v>44204</v>
      </c>
      <c r="B13" s="34">
        <v>77</v>
      </c>
      <c r="C13" s="134">
        <v>47915429</v>
      </c>
      <c r="D13" s="42">
        <f t="shared" si="3"/>
        <v>4546</v>
      </c>
      <c r="E13" s="134">
        <v>45927049</v>
      </c>
      <c r="F13" s="42">
        <f t="shared" si="4"/>
        <v>7625</v>
      </c>
      <c r="G13" s="134">
        <v>34793451</v>
      </c>
      <c r="H13" s="42">
        <f t="shared" si="5"/>
        <v>5320</v>
      </c>
      <c r="I13" s="100">
        <f t="shared" si="6"/>
        <v>17491</v>
      </c>
      <c r="J13" s="108"/>
      <c r="K13" s="108">
        <f t="shared" si="0"/>
        <v>0</v>
      </c>
      <c r="L13" s="108"/>
      <c r="M13" s="108">
        <f t="shared" si="1"/>
        <v>0</v>
      </c>
      <c r="N13" s="108"/>
      <c r="O13" s="98">
        <f t="shared" si="1"/>
        <v>0</v>
      </c>
      <c r="P13" s="108"/>
      <c r="Q13" s="108">
        <f t="shared" si="1"/>
        <v>0</v>
      </c>
      <c r="R13" s="108"/>
      <c r="S13" s="108">
        <f t="shared" si="1"/>
        <v>0</v>
      </c>
      <c r="T13" s="108"/>
      <c r="U13" s="108">
        <f t="shared" si="1"/>
        <v>0</v>
      </c>
      <c r="V13" s="108"/>
      <c r="W13" s="98">
        <f t="shared" si="2"/>
        <v>0</v>
      </c>
    </row>
    <row r="14" spans="1:23" ht="26.25">
      <c r="A14" s="32">
        <v>44205</v>
      </c>
      <c r="B14" s="34">
        <v>39</v>
      </c>
      <c r="C14" s="134">
        <v>47920166</v>
      </c>
      <c r="D14" s="42">
        <f t="shared" si="3"/>
        <v>4737</v>
      </c>
      <c r="E14" s="134">
        <v>45935830</v>
      </c>
      <c r="F14" s="42">
        <f t="shared" si="4"/>
        <v>8781</v>
      </c>
      <c r="G14" s="134">
        <v>34799978</v>
      </c>
      <c r="H14" s="42">
        <f t="shared" si="5"/>
        <v>6527</v>
      </c>
      <c r="I14" s="100">
        <f t="shared" si="6"/>
        <v>20045</v>
      </c>
      <c r="J14" s="108"/>
      <c r="K14" s="108">
        <f t="shared" si="0"/>
        <v>0</v>
      </c>
      <c r="L14" s="108"/>
      <c r="M14" s="108">
        <f t="shared" si="1"/>
        <v>0</v>
      </c>
      <c r="N14" s="108"/>
      <c r="O14" s="98">
        <f t="shared" si="1"/>
        <v>0</v>
      </c>
      <c r="P14" s="108"/>
      <c r="Q14" s="108">
        <f t="shared" si="1"/>
        <v>0</v>
      </c>
      <c r="R14" s="108"/>
      <c r="S14" s="108">
        <f t="shared" si="1"/>
        <v>0</v>
      </c>
      <c r="T14" s="108"/>
      <c r="U14" s="108">
        <f t="shared" si="1"/>
        <v>0</v>
      </c>
      <c r="V14" s="108"/>
      <c r="W14" s="98">
        <f t="shared" si="2"/>
        <v>0</v>
      </c>
    </row>
    <row r="15" spans="1:23" ht="26.25">
      <c r="A15" s="32">
        <v>44206</v>
      </c>
      <c r="B15" s="34">
        <v>42</v>
      </c>
      <c r="C15" s="134">
        <v>47923861</v>
      </c>
      <c r="D15" s="42">
        <f t="shared" ref="D15:D27" si="7">IF((C15-C14)&lt;0,"0",(C15-C14))</f>
        <v>3695</v>
      </c>
      <c r="E15" s="134">
        <v>45942915</v>
      </c>
      <c r="F15" s="42">
        <f t="shared" si="4"/>
        <v>7085</v>
      </c>
      <c r="G15" s="134">
        <v>34805192</v>
      </c>
      <c r="H15" s="42">
        <f t="shared" si="5"/>
        <v>5214</v>
      </c>
      <c r="I15" s="100">
        <f t="shared" si="6"/>
        <v>15994</v>
      </c>
      <c r="J15" s="108"/>
      <c r="K15" s="108">
        <f t="shared" si="0"/>
        <v>0</v>
      </c>
      <c r="L15" s="108"/>
      <c r="M15" s="108">
        <f t="shared" si="1"/>
        <v>0</v>
      </c>
      <c r="N15" s="108"/>
      <c r="O15" s="98">
        <f t="shared" si="1"/>
        <v>0</v>
      </c>
      <c r="P15" s="108"/>
      <c r="Q15" s="108">
        <f t="shared" si="1"/>
        <v>0</v>
      </c>
      <c r="R15" s="108"/>
      <c r="S15" s="108">
        <f t="shared" si="1"/>
        <v>0</v>
      </c>
      <c r="T15" s="108"/>
      <c r="U15" s="108">
        <f t="shared" si="1"/>
        <v>0</v>
      </c>
      <c r="V15" s="108"/>
      <c r="W15" s="98">
        <f t="shared" si="2"/>
        <v>0</v>
      </c>
    </row>
    <row r="16" spans="1:23" ht="26.25">
      <c r="A16" s="32">
        <v>44207</v>
      </c>
      <c r="B16" s="34">
        <v>35</v>
      </c>
      <c r="C16" s="134">
        <v>47928038</v>
      </c>
      <c r="D16" s="42">
        <f t="shared" si="7"/>
        <v>4177</v>
      </c>
      <c r="E16" s="134">
        <v>45950430</v>
      </c>
      <c r="F16" s="42">
        <f t="shared" si="4"/>
        <v>7515</v>
      </c>
      <c r="G16" s="134">
        <v>34811002</v>
      </c>
      <c r="H16" s="42">
        <f t="shared" si="5"/>
        <v>5810</v>
      </c>
      <c r="I16" s="100">
        <f t="shared" si="6"/>
        <v>17502</v>
      </c>
      <c r="J16" s="108"/>
      <c r="K16" s="108">
        <f t="shared" si="0"/>
        <v>0</v>
      </c>
      <c r="L16" s="108"/>
      <c r="M16" s="108">
        <f t="shared" si="1"/>
        <v>0</v>
      </c>
      <c r="N16" s="108"/>
      <c r="O16" s="98">
        <f t="shared" si="1"/>
        <v>0</v>
      </c>
      <c r="P16" s="108"/>
      <c r="Q16" s="108">
        <f t="shared" si="1"/>
        <v>0</v>
      </c>
      <c r="R16" s="108"/>
      <c r="S16" s="108">
        <f t="shared" si="1"/>
        <v>0</v>
      </c>
      <c r="T16" s="108"/>
      <c r="U16" s="108">
        <f t="shared" si="1"/>
        <v>0</v>
      </c>
      <c r="V16" s="108"/>
      <c r="W16" s="98">
        <f t="shared" si="2"/>
        <v>0</v>
      </c>
    </row>
    <row r="17" spans="1:23" ht="26.25">
      <c r="A17" s="32">
        <v>44208</v>
      </c>
      <c r="B17" s="34">
        <v>40</v>
      </c>
      <c r="C17" s="134">
        <v>47932163</v>
      </c>
      <c r="D17" s="42">
        <f t="shared" si="7"/>
        <v>4125</v>
      </c>
      <c r="E17" s="134">
        <v>45958244</v>
      </c>
      <c r="F17" s="42">
        <f t="shared" si="4"/>
        <v>7814</v>
      </c>
      <c r="G17" s="134">
        <v>34816910</v>
      </c>
      <c r="H17" s="42">
        <f t="shared" si="5"/>
        <v>5908</v>
      </c>
      <c r="I17" s="100">
        <f t="shared" si="6"/>
        <v>17847</v>
      </c>
      <c r="J17" s="108"/>
      <c r="K17" s="108">
        <f t="shared" si="0"/>
        <v>0</v>
      </c>
      <c r="L17" s="108"/>
      <c r="M17" s="108">
        <f t="shared" si="1"/>
        <v>0</v>
      </c>
      <c r="N17" s="108"/>
      <c r="O17" s="98">
        <f t="shared" si="1"/>
        <v>0</v>
      </c>
      <c r="P17" s="108"/>
      <c r="Q17" s="108">
        <f t="shared" si="1"/>
        <v>0</v>
      </c>
      <c r="R17" s="108"/>
      <c r="S17" s="108">
        <f t="shared" si="1"/>
        <v>0</v>
      </c>
      <c r="T17" s="108"/>
      <c r="U17" s="108">
        <f t="shared" si="1"/>
        <v>0</v>
      </c>
      <c r="V17" s="108"/>
      <c r="W17" s="98">
        <f t="shared" si="2"/>
        <v>0</v>
      </c>
    </row>
    <row r="18" spans="1:23" ht="26.25">
      <c r="A18" s="32">
        <v>44209</v>
      </c>
      <c r="B18" s="34">
        <v>35</v>
      </c>
      <c r="C18" s="134">
        <v>47935490</v>
      </c>
      <c r="D18" s="42">
        <f t="shared" si="7"/>
        <v>3327</v>
      </c>
      <c r="E18" s="134">
        <v>45964567</v>
      </c>
      <c r="F18" s="42">
        <f t="shared" si="4"/>
        <v>6323</v>
      </c>
      <c r="G18" s="134">
        <v>34821615</v>
      </c>
      <c r="H18" s="42">
        <f t="shared" si="5"/>
        <v>4705</v>
      </c>
      <c r="I18" s="100">
        <f t="shared" si="6"/>
        <v>14355</v>
      </c>
      <c r="J18" s="108"/>
      <c r="K18" s="108">
        <f t="shared" si="0"/>
        <v>0</v>
      </c>
      <c r="L18" s="108"/>
      <c r="M18" s="108">
        <f t="shared" si="1"/>
        <v>0</v>
      </c>
      <c r="N18" s="108"/>
      <c r="O18" s="98">
        <f t="shared" si="1"/>
        <v>0</v>
      </c>
      <c r="P18" s="108"/>
      <c r="Q18" s="108">
        <f t="shared" si="1"/>
        <v>0</v>
      </c>
      <c r="R18" s="108"/>
      <c r="S18" s="108">
        <f t="shared" si="1"/>
        <v>0</v>
      </c>
      <c r="T18" s="108"/>
      <c r="U18" s="108">
        <f t="shared" si="1"/>
        <v>0</v>
      </c>
      <c r="V18" s="108"/>
      <c r="W18" s="98">
        <f t="shared" si="2"/>
        <v>0</v>
      </c>
    </row>
    <row r="19" spans="1:23" ht="26.25">
      <c r="A19" s="32">
        <v>44210</v>
      </c>
      <c r="B19" s="34">
        <v>47</v>
      </c>
      <c r="C19" s="134">
        <v>47939558</v>
      </c>
      <c r="D19" s="42">
        <f t="shared" si="7"/>
        <v>4068</v>
      </c>
      <c r="E19" s="134">
        <v>45972688</v>
      </c>
      <c r="F19" s="42">
        <f t="shared" si="4"/>
        <v>8121</v>
      </c>
      <c r="G19" s="134">
        <v>34827393</v>
      </c>
      <c r="H19" s="42">
        <f t="shared" si="5"/>
        <v>5778</v>
      </c>
      <c r="I19" s="100">
        <f t="shared" si="6"/>
        <v>17967</v>
      </c>
      <c r="J19" s="108"/>
      <c r="K19" s="108">
        <f t="shared" si="0"/>
        <v>0</v>
      </c>
      <c r="L19" s="108"/>
      <c r="M19" s="108">
        <f t="shared" si="1"/>
        <v>0</v>
      </c>
      <c r="N19" s="108"/>
      <c r="O19" s="98">
        <f t="shared" si="1"/>
        <v>0</v>
      </c>
      <c r="P19" s="108"/>
      <c r="Q19" s="108">
        <f t="shared" si="1"/>
        <v>0</v>
      </c>
      <c r="R19" s="108"/>
      <c r="S19" s="108">
        <f t="shared" si="1"/>
        <v>0</v>
      </c>
      <c r="T19" s="108"/>
      <c r="U19" s="108">
        <f t="shared" si="1"/>
        <v>0</v>
      </c>
      <c r="V19" s="108"/>
      <c r="W19" s="98">
        <f t="shared" si="2"/>
        <v>0</v>
      </c>
    </row>
    <row r="20" spans="1:23" ht="26.25">
      <c r="A20" s="32">
        <v>44211</v>
      </c>
      <c r="B20" s="34">
        <v>58</v>
      </c>
      <c r="C20" s="134">
        <v>47943666</v>
      </c>
      <c r="D20" s="42">
        <f t="shared" si="7"/>
        <v>4108</v>
      </c>
      <c r="E20" s="134">
        <v>45980853</v>
      </c>
      <c r="F20" s="42">
        <f t="shared" si="4"/>
        <v>8165</v>
      </c>
      <c r="G20" s="134">
        <v>34832211</v>
      </c>
      <c r="H20" s="42">
        <f t="shared" si="5"/>
        <v>4818</v>
      </c>
      <c r="I20" s="100">
        <f t="shared" si="6"/>
        <v>17091</v>
      </c>
      <c r="J20" s="108"/>
      <c r="K20" s="108">
        <f t="shared" si="0"/>
        <v>0</v>
      </c>
      <c r="L20" s="108"/>
      <c r="M20" s="108">
        <f t="shared" si="1"/>
        <v>0</v>
      </c>
      <c r="N20" s="108"/>
      <c r="O20" s="98">
        <f t="shared" si="1"/>
        <v>0</v>
      </c>
      <c r="P20" s="108"/>
      <c r="Q20" s="108">
        <f t="shared" si="1"/>
        <v>0</v>
      </c>
      <c r="R20" s="108"/>
      <c r="S20" s="108">
        <f t="shared" si="1"/>
        <v>0</v>
      </c>
      <c r="T20" s="108"/>
      <c r="U20" s="108">
        <f t="shared" si="1"/>
        <v>0</v>
      </c>
      <c r="V20" s="108"/>
      <c r="W20" s="98">
        <f t="shared" si="2"/>
        <v>0</v>
      </c>
    </row>
    <row r="21" spans="1:23" ht="26.25">
      <c r="A21" s="32">
        <v>44212</v>
      </c>
      <c r="B21" s="34">
        <v>42</v>
      </c>
      <c r="C21" s="134">
        <v>47947306</v>
      </c>
      <c r="D21" s="42">
        <f t="shared" si="7"/>
        <v>3640</v>
      </c>
      <c r="E21" s="134">
        <v>45988198</v>
      </c>
      <c r="F21" s="42">
        <f t="shared" si="4"/>
        <v>7345</v>
      </c>
      <c r="G21" s="134">
        <v>34838407</v>
      </c>
      <c r="H21" s="42">
        <f t="shared" si="5"/>
        <v>6196</v>
      </c>
      <c r="I21" s="100">
        <f t="shared" si="6"/>
        <v>17181</v>
      </c>
      <c r="J21" s="108"/>
      <c r="K21" s="108">
        <f t="shared" si="0"/>
        <v>0</v>
      </c>
      <c r="L21" s="108"/>
      <c r="M21" s="108">
        <f t="shared" si="1"/>
        <v>0</v>
      </c>
      <c r="N21" s="108"/>
      <c r="O21" s="98">
        <f t="shared" si="1"/>
        <v>0</v>
      </c>
      <c r="P21" s="108"/>
      <c r="Q21" s="108">
        <f t="shared" si="1"/>
        <v>0</v>
      </c>
      <c r="R21" s="108"/>
      <c r="S21" s="108">
        <f t="shared" si="1"/>
        <v>0</v>
      </c>
      <c r="T21" s="108"/>
      <c r="U21" s="108">
        <f t="shared" si="1"/>
        <v>0</v>
      </c>
      <c r="V21" s="108"/>
      <c r="W21" s="98">
        <f t="shared" si="2"/>
        <v>0</v>
      </c>
    </row>
    <row r="22" spans="1:23" ht="26.25">
      <c r="A22" s="32">
        <v>44213</v>
      </c>
      <c r="B22" s="34">
        <v>36</v>
      </c>
      <c r="C22" s="134">
        <v>47951274</v>
      </c>
      <c r="D22" s="42">
        <f t="shared" si="7"/>
        <v>3968</v>
      </c>
      <c r="E22" s="134">
        <v>45996310</v>
      </c>
      <c r="F22" s="42">
        <f t="shared" si="4"/>
        <v>8112</v>
      </c>
      <c r="G22" s="134">
        <v>34844055</v>
      </c>
      <c r="H22" s="42">
        <f t="shared" si="5"/>
        <v>5648</v>
      </c>
      <c r="I22" s="100">
        <f t="shared" si="6"/>
        <v>17728</v>
      </c>
      <c r="J22" s="108"/>
      <c r="K22" s="108">
        <f t="shared" si="0"/>
        <v>0</v>
      </c>
      <c r="L22" s="108"/>
      <c r="M22" s="108">
        <f t="shared" ref="M22:M27" si="8">IF(L22-L21&lt;0,0,L22-L21)</f>
        <v>0</v>
      </c>
      <c r="N22" s="108"/>
      <c r="O22" s="98">
        <f t="shared" ref="O22:O27" si="9">IF(N22-N21&lt;0,0,N22-N21)</f>
        <v>0</v>
      </c>
      <c r="P22" s="108"/>
      <c r="Q22" s="108">
        <f t="shared" ref="Q22:Q27" si="10">IF(P22-P21&lt;0,0,P22-P21)</f>
        <v>0</v>
      </c>
      <c r="R22" s="108"/>
      <c r="S22" s="108">
        <f t="shared" ref="S22:S27" si="11">IF(R22-R21&lt;0,0,R22-R21)</f>
        <v>0</v>
      </c>
      <c r="T22" s="108"/>
      <c r="U22" s="108">
        <f t="shared" ref="U22:U27" si="12">IF(T22-T21&lt;0,0,T22-T21)</f>
        <v>0</v>
      </c>
      <c r="V22" s="108"/>
      <c r="W22" s="98">
        <f t="shared" si="2"/>
        <v>0</v>
      </c>
    </row>
    <row r="23" spans="1:23" ht="26.25">
      <c r="A23" s="32">
        <v>44214</v>
      </c>
      <c r="B23" s="34">
        <v>46</v>
      </c>
      <c r="C23" s="134">
        <v>47954664</v>
      </c>
      <c r="D23" s="42">
        <f t="shared" si="7"/>
        <v>3390</v>
      </c>
      <c r="E23" s="134">
        <v>46003617</v>
      </c>
      <c r="F23" s="42">
        <f t="shared" si="4"/>
        <v>7307</v>
      </c>
      <c r="G23" s="134">
        <v>34849067</v>
      </c>
      <c r="H23" s="42">
        <f t="shared" si="5"/>
        <v>5012</v>
      </c>
      <c r="I23" s="100">
        <f t="shared" si="6"/>
        <v>15709</v>
      </c>
      <c r="J23" s="108"/>
      <c r="K23" s="108">
        <f t="shared" si="0"/>
        <v>0</v>
      </c>
      <c r="L23" s="108"/>
      <c r="M23" s="108">
        <f t="shared" si="8"/>
        <v>0</v>
      </c>
      <c r="N23" s="108"/>
      <c r="O23" s="98">
        <f t="shared" si="9"/>
        <v>0</v>
      </c>
      <c r="P23" s="108"/>
      <c r="Q23" s="108">
        <f t="shared" si="10"/>
        <v>0</v>
      </c>
      <c r="R23" s="108"/>
      <c r="S23" s="108">
        <f t="shared" si="11"/>
        <v>0</v>
      </c>
      <c r="T23" s="108"/>
      <c r="U23" s="108">
        <f t="shared" si="12"/>
        <v>0</v>
      </c>
      <c r="V23" s="108"/>
      <c r="W23" s="98">
        <f t="shared" si="2"/>
        <v>0</v>
      </c>
    </row>
    <row r="24" spans="1:23" ht="26.25">
      <c r="A24" s="32">
        <v>44215</v>
      </c>
      <c r="B24" s="34">
        <v>46</v>
      </c>
      <c r="C24" s="134">
        <v>47958915</v>
      </c>
      <c r="D24" s="42">
        <f t="shared" si="7"/>
        <v>4251</v>
      </c>
      <c r="E24" s="134">
        <v>46012778</v>
      </c>
      <c r="F24" s="42">
        <f t="shared" si="4"/>
        <v>9161</v>
      </c>
      <c r="G24" s="134">
        <v>34855850</v>
      </c>
      <c r="H24" s="42">
        <f t="shared" si="5"/>
        <v>6783</v>
      </c>
      <c r="I24" s="100">
        <f t="shared" si="6"/>
        <v>20195</v>
      </c>
      <c r="J24" s="108"/>
      <c r="K24" s="108">
        <f t="shared" si="0"/>
        <v>0</v>
      </c>
      <c r="L24" s="108"/>
      <c r="M24" s="108">
        <f t="shared" si="8"/>
        <v>0</v>
      </c>
      <c r="N24" s="108"/>
      <c r="O24" s="98">
        <f t="shared" si="9"/>
        <v>0</v>
      </c>
      <c r="P24" s="108"/>
      <c r="Q24" s="108">
        <f t="shared" si="10"/>
        <v>0</v>
      </c>
      <c r="R24" s="108"/>
      <c r="S24" s="108">
        <f t="shared" si="11"/>
        <v>0</v>
      </c>
      <c r="T24" s="108"/>
      <c r="U24" s="108">
        <f t="shared" si="12"/>
        <v>0</v>
      </c>
      <c r="V24" s="108"/>
      <c r="W24" s="98">
        <f t="shared" si="2"/>
        <v>0</v>
      </c>
    </row>
    <row r="25" spans="1:23" ht="26.25">
      <c r="A25" s="32">
        <v>44216</v>
      </c>
      <c r="B25" s="34">
        <v>40</v>
      </c>
      <c r="C25" s="134">
        <v>47962958</v>
      </c>
      <c r="D25" s="42">
        <f t="shared" si="7"/>
        <v>4043</v>
      </c>
      <c r="E25" s="134">
        <v>46021893</v>
      </c>
      <c r="F25" s="42">
        <f t="shared" si="4"/>
        <v>9115</v>
      </c>
      <c r="G25" s="134">
        <v>34862274</v>
      </c>
      <c r="H25" s="42">
        <f t="shared" si="5"/>
        <v>6424</v>
      </c>
      <c r="I25" s="100">
        <f t="shared" si="6"/>
        <v>19582</v>
      </c>
      <c r="J25" s="108"/>
      <c r="K25" s="108">
        <f t="shared" si="0"/>
        <v>0</v>
      </c>
      <c r="L25" s="108"/>
      <c r="M25" s="108">
        <f t="shared" si="8"/>
        <v>0</v>
      </c>
      <c r="N25" s="108"/>
      <c r="O25" s="98">
        <f t="shared" si="9"/>
        <v>0</v>
      </c>
      <c r="P25" s="108"/>
      <c r="Q25" s="108">
        <f t="shared" si="10"/>
        <v>0</v>
      </c>
      <c r="R25" s="108"/>
      <c r="S25" s="108">
        <f t="shared" si="11"/>
        <v>0</v>
      </c>
      <c r="T25" s="108"/>
      <c r="U25" s="108">
        <f t="shared" si="12"/>
        <v>0</v>
      </c>
      <c r="V25" s="108"/>
      <c r="W25" s="98">
        <f t="shared" si="2"/>
        <v>0</v>
      </c>
    </row>
    <row r="26" spans="1:23" ht="26.25">
      <c r="A26" s="32">
        <v>44217</v>
      </c>
      <c r="B26" s="34">
        <v>49</v>
      </c>
      <c r="C26" s="134">
        <v>47966788</v>
      </c>
      <c r="D26" s="42">
        <f t="shared" si="7"/>
        <v>3830</v>
      </c>
      <c r="E26" s="134">
        <v>46030475</v>
      </c>
      <c r="F26" s="42">
        <f t="shared" si="4"/>
        <v>8582</v>
      </c>
      <c r="G26" s="134">
        <v>34868107</v>
      </c>
      <c r="H26" s="42">
        <f t="shared" si="5"/>
        <v>5833</v>
      </c>
      <c r="I26" s="100">
        <f t="shared" si="6"/>
        <v>18245</v>
      </c>
      <c r="J26" s="108"/>
      <c r="K26" s="108">
        <f t="shared" si="0"/>
        <v>0</v>
      </c>
      <c r="L26" s="108"/>
      <c r="M26" s="108">
        <f t="shared" si="8"/>
        <v>0</v>
      </c>
      <c r="N26" s="108"/>
      <c r="O26" s="98">
        <f t="shared" si="9"/>
        <v>0</v>
      </c>
      <c r="P26" s="108"/>
      <c r="Q26" s="108">
        <f t="shared" si="10"/>
        <v>0</v>
      </c>
      <c r="R26" s="108"/>
      <c r="S26" s="108">
        <f t="shared" si="11"/>
        <v>0</v>
      </c>
      <c r="T26" s="108"/>
      <c r="U26" s="108">
        <f t="shared" si="12"/>
        <v>0</v>
      </c>
      <c r="V26" s="108"/>
      <c r="W26" s="98">
        <f t="shared" si="2"/>
        <v>0</v>
      </c>
    </row>
    <row r="27" spans="1:23" ht="26.25">
      <c r="A27" s="32">
        <v>44218</v>
      </c>
      <c r="B27" s="34">
        <v>49</v>
      </c>
      <c r="C27" s="134">
        <v>47970885</v>
      </c>
      <c r="D27" s="42">
        <f t="shared" si="7"/>
        <v>4097</v>
      </c>
      <c r="E27" s="134">
        <v>46038957</v>
      </c>
      <c r="F27" s="42">
        <f t="shared" si="4"/>
        <v>8482</v>
      </c>
      <c r="G27" s="134">
        <v>34874094</v>
      </c>
      <c r="H27" s="42">
        <f t="shared" si="5"/>
        <v>5987</v>
      </c>
      <c r="I27" s="100">
        <f t="shared" si="6"/>
        <v>18566</v>
      </c>
      <c r="J27" s="108"/>
      <c r="K27" s="108">
        <f t="shared" si="0"/>
        <v>0</v>
      </c>
      <c r="L27" s="108"/>
      <c r="M27" s="108">
        <f t="shared" si="8"/>
        <v>0</v>
      </c>
      <c r="N27" s="108"/>
      <c r="O27" s="98">
        <f t="shared" si="9"/>
        <v>0</v>
      </c>
      <c r="P27" s="108"/>
      <c r="Q27" s="108">
        <f t="shared" si="10"/>
        <v>0</v>
      </c>
      <c r="R27" s="108"/>
      <c r="S27" s="108">
        <f t="shared" si="11"/>
        <v>0</v>
      </c>
      <c r="T27" s="108"/>
      <c r="U27" s="108">
        <f t="shared" si="12"/>
        <v>0</v>
      </c>
      <c r="V27" s="108"/>
      <c r="W27" s="98">
        <f t="shared" si="2"/>
        <v>0</v>
      </c>
    </row>
    <row r="28" spans="1:23" ht="26.25">
      <c r="A28" s="32">
        <v>44219</v>
      </c>
      <c r="B28" s="34">
        <v>35</v>
      </c>
      <c r="C28" s="134">
        <v>47974437</v>
      </c>
      <c r="D28" s="42">
        <f t="shared" si="3"/>
        <v>3552</v>
      </c>
      <c r="E28" s="134">
        <v>46045929</v>
      </c>
      <c r="F28" s="42">
        <f t="shared" si="4"/>
        <v>6972</v>
      </c>
      <c r="G28" s="134">
        <v>34879216</v>
      </c>
      <c r="H28" s="42">
        <f t="shared" si="5"/>
        <v>5122</v>
      </c>
      <c r="I28" s="100">
        <f t="shared" si="6"/>
        <v>15646</v>
      </c>
      <c r="J28" s="108"/>
      <c r="K28" s="108">
        <f t="shared" si="0"/>
        <v>0</v>
      </c>
      <c r="L28" s="108"/>
      <c r="M28" s="108">
        <f>IF(L28-L27&lt;0,0,L28-L27)</f>
        <v>0</v>
      </c>
      <c r="N28" s="108"/>
      <c r="O28" s="98">
        <f>IF(N28-N27&lt;0,0,N28-N27)</f>
        <v>0</v>
      </c>
      <c r="P28" s="108"/>
      <c r="Q28" s="108">
        <f>IF(P28-P27&lt;0,0,P28-P27)</f>
        <v>0</v>
      </c>
      <c r="R28" s="108"/>
      <c r="S28" s="108">
        <f>IF(R28-R27&lt;0,0,R28-R27)</f>
        <v>0</v>
      </c>
      <c r="T28" s="108"/>
      <c r="U28" s="108">
        <f>IF(T28-T27&lt;0,0,T28-T27)</f>
        <v>0</v>
      </c>
      <c r="V28" s="108"/>
      <c r="W28" s="98">
        <f t="shared" ref="W28:W36" si="13">IF(V28-V27&lt;0,0,V28-V27)</f>
        <v>0</v>
      </c>
    </row>
    <row r="29" spans="1:23" ht="26.25">
      <c r="A29" s="32">
        <v>44220</v>
      </c>
      <c r="B29" s="34">
        <v>24</v>
      </c>
      <c r="C29" s="134">
        <v>47978712</v>
      </c>
      <c r="D29" s="42">
        <f t="shared" si="3"/>
        <v>4275</v>
      </c>
      <c r="E29" s="134">
        <v>46054159</v>
      </c>
      <c r="F29" s="42">
        <f t="shared" si="4"/>
        <v>8230</v>
      </c>
      <c r="G29" s="134">
        <v>34885480</v>
      </c>
      <c r="H29" s="42">
        <f t="shared" si="5"/>
        <v>6264</v>
      </c>
      <c r="I29" s="100">
        <f t="shared" si="6"/>
        <v>18769</v>
      </c>
      <c r="J29" s="108"/>
      <c r="K29" s="108">
        <f t="shared" si="0"/>
        <v>0</v>
      </c>
      <c r="L29" s="108"/>
      <c r="M29" s="108">
        <f>IF(L29-L28&lt;0,0,L29-L28)</f>
        <v>0</v>
      </c>
      <c r="N29" s="108"/>
      <c r="O29" s="98">
        <f>IF(N29-N28&lt;0,0,N29-N28)</f>
        <v>0</v>
      </c>
      <c r="P29" s="108"/>
      <c r="Q29" s="108">
        <f>IF(P29-P28&lt;0,0,P29-P28)</f>
        <v>0</v>
      </c>
      <c r="R29" s="108"/>
      <c r="S29" s="108">
        <f>IF(R29-R28&lt;0,0,R29-R28)</f>
        <v>0</v>
      </c>
      <c r="T29" s="108"/>
      <c r="U29" s="108">
        <f>IF(T29-T28&lt;0,0,T29-T28)</f>
        <v>0</v>
      </c>
      <c r="V29" s="108"/>
      <c r="W29" s="98">
        <f t="shared" si="13"/>
        <v>0</v>
      </c>
    </row>
    <row r="30" spans="1:23" ht="26.25">
      <c r="A30" s="32">
        <v>44221</v>
      </c>
      <c r="B30" s="34">
        <v>40</v>
      </c>
      <c r="C30" s="134">
        <v>47982764</v>
      </c>
      <c r="D30" s="42">
        <f t="shared" si="3"/>
        <v>4052</v>
      </c>
      <c r="E30" s="134">
        <v>46062141</v>
      </c>
      <c r="F30" s="42">
        <f t="shared" si="4"/>
        <v>7982</v>
      </c>
      <c r="G30" s="134">
        <v>34891552</v>
      </c>
      <c r="H30" s="42">
        <f t="shared" si="5"/>
        <v>6072</v>
      </c>
      <c r="I30" s="100">
        <f t="shared" si="6"/>
        <v>18106</v>
      </c>
      <c r="J30" s="108"/>
      <c r="K30" s="108">
        <f t="shared" si="0"/>
        <v>0</v>
      </c>
      <c r="L30" s="108"/>
      <c r="M30" s="108">
        <f>IF(L30-L29&lt;0,0,L30-L29)</f>
        <v>0</v>
      </c>
      <c r="N30" s="108"/>
      <c r="O30" s="98">
        <f>IF(N30-N29&lt;0,0,N30-N29)</f>
        <v>0</v>
      </c>
      <c r="P30" s="108"/>
      <c r="Q30" s="108">
        <f>IF(P30-P29&lt;0,0,P30-P29)</f>
        <v>0</v>
      </c>
      <c r="R30" s="108"/>
      <c r="S30" s="108">
        <f>IF(R30-R29&lt;0,0,R30-R29)</f>
        <v>0</v>
      </c>
      <c r="T30" s="108"/>
      <c r="U30" s="108">
        <f>IF(T30-T29&lt;0,0,T30-T29)</f>
        <v>0</v>
      </c>
      <c r="V30" s="108"/>
      <c r="W30" s="98">
        <f t="shared" si="13"/>
        <v>0</v>
      </c>
    </row>
    <row r="31" spans="1:23" ht="26.25">
      <c r="A31" s="32">
        <v>44222</v>
      </c>
      <c r="B31" s="34">
        <v>38</v>
      </c>
      <c r="C31" s="134">
        <v>47986434</v>
      </c>
      <c r="D31" s="42">
        <f t="shared" si="3"/>
        <v>3670</v>
      </c>
      <c r="E31" s="134">
        <v>46068888</v>
      </c>
      <c r="F31" s="42">
        <f t="shared" si="4"/>
        <v>6747</v>
      </c>
      <c r="G31" s="134">
        <v>34896751</v>
      </c>
      <c r="H31" s="42">
        <f t="shared" si="5"/>
        <v>5199</v>
      </c>
      <c r="I31" s="100">
        <f t="shared" si="6"/>
        <v>15616</v>
      </c>
      <c r="J31" s="108"/>
      <c r="K31" s="108">
        <f t="shared" si="0"/>
        <v>0</v>
      </c>
      <c r="L31" s="108"/>
      <c r="M31" s="108">
        <f t="shared" ref="M31:U31" si="14">IF(L31-L30&lt;0,0,L31-L30)</f>
        <v>0</v>
      </c>
      <c r="N31" s="108"/>
      <c r="O31" s="98">
        <f t="shared" si="14"/>
        <v>0</v>
      </c>
      <c r="P31" s="108"/>
      <c r="Q31" s="108">
        <f t="shared" si="14"/>
        <v>0</v>
      </c>
      <c r="R31" s="108"/>
      <c r="S31" s="108">
        <f t="shared" si="14"/>
        <v>0</v>
      </c>
      <c r="T31" s="108"/>
      <c r="U31" s="108">
        <f t="shared" si="14"/>
        <v>0</v>
      </c>
      <c r="V31" s="108"/>
      <c r="W31" s="98">
        <f t="shared" si="13"/>
        <v>0</v>
      </c>
    </row>
    <row r="32" spans="1:23" ht="26.25">
      <c r="A32" s="32">
        <v>44223</v>
      </c>
      <c r="B32" s="34">
        <v>53</v>
      </c>
      <c r="C32" s="134">
        <v>47990568</v>
      </c>
      <c r="D32" s="42">
        <f t="shared" si="3"/>
        <v>4134</v>
      </c>
      <c r="E32" s="134">
        <v>46077038</v>
      </c>
      <c r="F32" s="42">
        <f t="shared" si="4"/>
        <v>8150</v>
      </c>
      <c r="G32" s="134">
        <v>34902412</v>
      </c>
      <c r="H32" s="42">
        <f t="shared" si="5"/>
        <v>5661</v>
      </c>
      <c r="I32" s="100">
        <f t="shared" si="6"/>
        <v>17945</v>
      </c>
      <c r="J32" s="108"/>
      <c r="K32" s="108">
        <f>IF(J32-J31&lt;0,0,J32-J31)</f>
        <v>0</v>
      </c>
      <c r="L32" s="108"/>
      <c r="M32" s="108">
        <f>IF(L32-L31&lt;0,0,L32-L31)</f>
        <v>0</v>
      </c>
      <c r="N32" s="108"/>
      <c r="O32" s="98">
        <f>IF(N32-N31&lt;0,0,N32-N31)</f>
        <v>0</v>
      </c>
      <c r="P32" s="108"/>
      <c r="Q32" s="108">
        <f>IF(P32-P31&lt;0,0,P32-P31)</f>
        <v>0</v>
      </c>
      <c r="R32" s="108"/>
      <c r="S32" s="108">
        <f>IF(R32-R31&lt;0,0,R32-R31)</f>
        <v>0</v>
      </c>
      <c r="T32" s="108"/>
      <c r="U32" s="108">
        <f>IF(T32-T31&lt;0,0,T32-T31)</f>
        <v>0</v>
      </c>
      <c r="V32" s="108"/>
      <c r="W32" s="98">
        <f t="shared" si="13"/>
        <v>0</v>
      </c>
    </row>
    <row r="33" spans="1:23" ht="26.25">
      <c r="A33" s="32">
        <v>44224</v>
      </c>
      <c r="B33" s="34">
        <v>77</v>
      </c>
      <c r="C33" s="134">
        <v>47994956</v>
      </c>
      <c r="D33" s="42">
        <f>C33-C32</f>
        <v>4388</v>
      </c>
      <c r="E33" s="134">
        <v>46085975</v>
      </c>
      <c r="F33" s="42">
        <f>IF((E33-E31)&lt;0,"0",(E33-E31))</f>
        <v>17087</v>
      </c>
      <c r="G33" s="134">
        <v>34908624</v>
      </c>
      <c r="H33" s="42">
        <f>G33-G32</f>
        <v>6212</v>
      </c>
      <c r="I33" s="100">
        <f>D33+F33+H33</f>
        <v>27687</v>
      </c>
      <c r="J33" s="108"/>
      <c r="K33" s="108">
        <f t="shared" si="0"/>
        <v>0</v>
      </c>
      <c r="L33" s="108"/>
      <c r="M33" s="108">
        <f>IF(L33-L32&lt;0,0,L33-L32)</f>
        <v>0</v>
      </c>
      <c r="N33" s="108"/>
      <c r="O33" s="98">
        <f>IF(N33-N32&lt;0,0,N33-N32)</f>
        <v>0</v>
      </c>
      <c r="P33" s="108"/>
      <c r="Q33" s="108">
        <f>IF(P33-P32&lt;0,0,P33-P32)</f>
        <v>0</v>
      </c>
      <c r="R33" s="108"/>
      <c r="S33" s="108">
        <f>IF(R33-R32&lt;0,0,R33-R32)</f>
        <v>0</v>
      </c>
      <c r="T33" s="108"/>
      <c r="U33" s="108">
        <f>IF(T33-T32&lt;0,0,T33-T32)</f>
        <v>0</v>
      </c>
      <c r="V33" s="108"/>
      <c r="W33" s="98">
        <f t="shared" si="13"/>
        <v>0</v>
      </c>
    </row>
    <row r="34" spans="1:23" ht="26.25">
      <c r="A34" s="32">
        <v>44225</v>
      </c>
      <c r="B34" s="34">
        <v>77</v>
      </c>
      <c r="C34" s="134">
        <v>47998795</v>
      </c>
      <c r="D34" s="42">
        <f>C34-C33</f>
        <v>3839</v>
      </c>
      <c r="E34" s="134">
        <v>46093099</v>
      </c>
      <c r="F34" s="42">
        <f>IF((E34-E32)&lt;0,"0",(E34-E32))</f>
        <v>16061</v>
      </c>
      <c r="G34" s="134">
        <v>34913632</v>
      </c>
      <c r="H34" s="42">
        <f>G34-G33</f>
        <v>5008</v>
      </c>
      <c r="I34" s="100">
        <f t="shared" si="6"/>
        <v>24908</v>
      </c>
      <c r="J34" s="108"/>
      <c r="K34" s="108">
        <f t="shared" si="0"/>
        <v>0</v>
      </c>
      <c r="L34" s="108"/>
      <c r="M34" s="108">
        <f>IF(L34-L33&lt;0,0,L34-L33)</f>
        <v>0</v>
      </c>
      <c r="N34" s="108"/>
      <c r="O34" s="98">
        <f>IF(N34-N33&lt;0,0,N34-N33)</f>
        <v>0</v>
      </c>
      <c r="P34" s="108"/>
      <c r="Q34" s="108">
        <f>IF(P34-P33&lt;0,0,P34-P33)</f>
        <v>0</v>
      </c>
      <c r="R34" s="108"/>
      <c r="S34" s="108">
        <f>IF(R34-R33&lt;0,0,R34-R33)</f>
        <v>0</v>
      </c>
      <c r="T34" s="108"/>
      <c r="U34" s="108">
        <f>IF(T34-T33&lt;0,0,T34-T33)</f>
        <v>0</v>
      </c>
      <c r="V34" s="108"/>
      <c r="W34" s="98">
        <f t="shared" si="13"/>
        <v>0</v>
      </c>
    </row>
    <row r="35" spans="1:23" ht="26.25">
      <c r="A35" s="32">
        <v>44226</v>
      </c>
      <c r="B35" s="34">
        <v>40</v>
      </c>
      <c r="C35" s="134">
        <v>48003386</v>
      </c>
      <c r="D35" s="74">
        <f>C35-C34</f>
        <v>4591</v>
      </c>
      <c r="E35" s="134">
        <v>46101216</v>
      </c>
      <c r="F35" s="78">
        <f>IF((E35-E33)&lt;0,"0",(E35-E33))</f>
        <v>15241</v>
      </c>
      <c r="G35" s="134">
        <v>34919730</v>
      </c>
      <c r="H35" s="74">
        <f>G35-G34</f>
        <v>6098</v>
      </c>
      <c r="I35" s="101">
        <f t="shared" si="6"/>
        <v>25930</v>
      </c>
      <c r="J35" s="108"/>
      <c r="K35" s="108">
        <f>IF(J35-J34&lt;0,0,J35-J34)</f>
        <v>0</v>
      </c>
      <c r="L35" s="108"/>
      <c r="M35" s="108">
        <f>IF(L35-L34&lt;0,0,L35-L34)</f>
        <v>0</v>
      </c>
      <c r="N35" s="108"/>
      <c r="O35" s="98">
        <f>IF(N35-N34&lt;0,0,N35-N34)</f>
        <v>0</v>
      </c>
      <c r="P35" s="108"/>
      <c r="Q35" s="108">
        <f>IF(P35-P34&lt;0,0,P35-P34)</f>
        <v>0</v>
      </c>
      <c r="R35" s="108"/>
      <c r="S35" s="108">
        <f>IF(R35-R34&lt;0,0,R35-R34)</f>
        <v>0</v>
      </c>
      <c r="T35" s="108"/>
      <c r="U35" s="108">
        <f>IF(T35-T34&lt;0,0,T35-T34)</f>
        <v>0</v>
      </c>
      <c r="V35" s="108"/>
      <c r="W35" s="98">
        <f t="shared" si="13"/>
        <v>0</v>
      </c>
    </row>
    <row r="36" spans="1:23" ht="26.25">
      <c r="A36" s="32">
        <v>44227</v>
      </c>
      <c r="B36" s="112">
        <v>34</v>
      </c>
      <c r="C36" s="134">
        <v>48007400</v>
      </c>
      <c r="D36" s="42">
        <f>IF(C36-C35&lt;0,0,C36-C35)</f>
        <v>4014</v>
      </c>
      <c r="E36" s="134">
        <v>46108294</v>
      </c>
      <c r="F36" s="42">
        <f>IF(E36-E35&lt;0,0,E36-E35)</f>
        <v>7078</v>
      </c>
      <c r="G36" s="134">
        <v>34925100</v>
      </c>
      <c r="H36" s="74">
        <f>IF(G36-G35&lt;0,0,G36-G35)</f>
        <v>5370</v>
      </c>
      <c r="I36" s="101">
        <f t="shared" si="6"/>
        <v>16462</v>
      </c>
      <c r="J36" s="108"/>
      <c r="K36" s="108">
        <f>IF(J36-J35&lt;0,0,J36-J35)</f>
        <v>0</v>
      </c>
      <c r="L36" s="108"/>
      <c r="M36" s="108">
        <f t="shared" ref="M36:U36" si="15">IF(L36-L35&lt;0,0,L36-L35)</f>
        <v>0</v>
      </c>
      <c r="N36" s="108"/>
      <c r="O36" s="108">
        <f t="shared" si="15"/>
        <v>0</v>
      </c>
      <c r="P36" s="108"/>
      <c r="Q36" s="108">
        <f t="shared" si="15"/>
        <v>0</v>
      </c>
      <c r="R36" s="108"/>
      <c r="S36" s="108">
        <f t="shared" si="15"/>
        <v>0</v>
      </c>
      <c r="T36" s="108"/>
      <c r="U36" s="108">
        <f t="shared" si="15"/>
        <v>0</v>
      </c>
      <c r="V36" s="108"/>
      <c r="W36" s="108">
        <f t="shared" si="13"/>
        <v>0</v>
      </c>
    </row>
    <row r="37" spans="1:23" s="21" customFormat="1" ht="27.75" thickBot="1">
      <c r="A37" s="44" t="s">
        <v>37</v>
      </c>
      <c r="B37" s="45"/>
      <c r="C37" s="80"/>
      <c r="D37" s="75">
        <f>SUM(D5:D35)</f>
        <v>128331</v>
      </c>
      <c r="E37" s="81"/>
      <c r="F37" s="75">
        <f>SUM(F5:F34)</f>
        <v>243171</v>
      </c>
      <c r="G37" s="79">
        <v>0</v>
      </c>
      <c r="H37" s="75">
        <f>SUM(H5:H35)</f>
        <v>163251</v>
      </c>
      <c r="I37" s="102">
        <f t="shared" si="6"/>
        <v>534753</v>
      </c>
      <c r="J37" s="109"/>
      <c r="K37" s="110">
        <f>SUM(K5:K34)</f>
        <v>0</v>
      </c>
      <c r="L37" s="110"/>
      <c r="M37" s="110">
        <f>SUM(M5:M34)</f>
        <v>0</v>
      </c>
      <c r="N37" s="110"/>
      <c r="O37" s="111">
        <f>SUM(O5:O34)</f>
        <v>0</v>
      </c>
      <c r="P37" s="109"/>
      <c r="Q37" s="110">
        <f>SUM(Q5:Q34)</f>
        <v>0</v>
      </c>
      <c r="R37" s="110"/>
      <c r="S37" s="110">
        <f>SUM(S5:S34)</f>
        <v>0</v>
      </c>
      <c r="T37" s="110"/>
      <c r="U37" s="110">
        <f>SUM(U5:U34)</f>
        <v>0</v>
      </c>
      <c r="V37" s="110"/>
      <c r="W37" s="111">
        <f>SUM(W5:W34)</f>
        <v>0</v>
      </c>
    </row>
    <row r="38" spans="1:23" ht="37.5">
      <c r="J38" s="92"/>
      <c r="K38" s="92"/>
      <c r="L38" s="92"/>
      <c r="M38" s="92"/>
      <c r="N38" s="92"/>
      <c r="O38" s="92"/>
      <c r="P38" s="92"/>
      <c r="Q38" s="92"/>
      <c r="R38"/>
      <c r="S38" s="93"/>
      <c r="T38"/>
      <c r="U38" s="93"/>
      <c r="V38"/>
      <c r="W38" s="93"/>
    </row>
    <row r="39" spans="1:23" ht="26.25">
      <c r="A39" s="3"/>
      <c r="B39" s="25"/>
      <c r="J39"/>
      <c r="K39" s="94"/>
      <c r="L39"/>
      <c r="M39" s="94"/>
      <c r="N39"/>
      <c r="O39" s="94"/>
      <c r="P39"/>
      <c r="Q39" s="94"/>
      <c r="R39" s="93"/>
      <c r="S39" s="93"/>
      <c r="T39" s="95"/>
      <c r="U39" s="93"/>
      <c r="V39" s="93"/>
      <c r="W39" s="93"/>
    </row>
    <row r="54" spans="1:2" ht="15">
      <c r="A54" s="3"/>
      <c r="B54" s="25"/>
    </row>
  </sheetData>
  <mergeCells count="2">
    <mergeCell ref="A1:I1"/>
    <mergeCell ref="A2:I2"/>
  </mergeCells>
  <phoneticPr fontId="0" type="noConversion"/>
  <conditionalFormatting sqref="D5:D36 D37:G37 F5:F36 H5:W37 A3:B37">
    <cfRule type="cellIs" dxfId="48" priority="205" stopIfTrue="1" operator="lessThan">
      <formula>0</formula>
    </cfRule>
  </conditionalFormatting>
  <conditionalFormatting sqref="C36">
    <cfRule type="cellIs" dxfId="47" priority="6" stopIfTrue="1" operator="lessThan">
      <formula>0</formula>
    </cfRule>
  </conditionalFormatting>
  <conditionalFormatting sqref="C6:C35">
    <cfRule type="cellIs" dxfId="46" priority="5" stopIfTrue="1" operator="lessThan">
      <formula>0</formula>
    </cfRule>
  </conditionalFormatting>
  <conditionalFormatting sqref="E36">
    <cfRule type="cellIs" dxfId="45" priority="4" stopIfTrue="1" operator="lessThan">
      <formula>0</formula>
    </cfRule>
  </conditionalFormatting>
  <conditionalFormatting sqref="E6:E35">
    <cfRule type="cellIs" dxfId="44" priority="3" stopIfTrue="1" operator="lessThan">
      <formula>0</formula>
    </cfRule>
  </conditionalFormatting>
  <conditionalFormatting sqref="G36">
    <cfRule type="cellIs" dxfId="43" priority="2" stopIfTrue="1" operator="lessThan">
      <formula>0</formula>
    </cfRule>
  </conditionalFormatting>
  <conditionalFormatting sqref="G6:G35">
    <cfRule type="cellIs" dxfId="42" priority="1" stopIfTrue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L35"/>
  <sheetViews>
    <sheetView view="pageBreakPreview" topLeftCell="I1" zoomScale="50" zoomScaleNormal="55" zoomScaleSheetLayoutView="50" workbookViewId="0">
      <selection activeCell="V3" sqref="V3:V34"/>
    </sheetView>
  </sheetViews>
  <sheetFormatPr defaultRowHeight="23.25"/>
  <cols>
    <col min="1" max="1" width="37.140625" style="2" customWidth="1"/>
    <col min="2" max="2" width="18.5703125" customWidth="1"/>
    <col min="3" max="3" width="11.140625" style="9" bestFit="1" customWidth="1"/>
    <col min="4" max="4" width="26.140625" bestFit="1" customWidth="1"/>
    <col min="5" max="5" width="11.140625" style="9" bestFit="1" customWidth="1"/>
    <col min="6" max="6" width="15.42578125" bestFit="1" customWidth="1"/>
    <col min="7" max="7" width="11.140625" style="9" bestFit="1" customWidth="1"/>
    <col min="8" max="8" width="20.5703125" bestFit="1" customWidth="1"/>
    <col min="9" max="9" width="11.140625" style="9" bestFit="1" customWidth="1"/>
    <col min="10" max="10" width="18.42578125" bestFit="1" customWidth="1"/>
    <col min="11" max="11" width="11.140625" style="9" bestFit="1" customWidth="1"/>
    <col min="12" max="12" width="18.28515625" bestFit="1" customWidth="1"/>
    <col min="13" max="13" width="11.140625" style="9" bestFit="1" customWidth="1"/>
    <col min="14" max="14" width="22.5703125" bestFit="1" customWidth="1"/>
    <col min="15" max="15" width="11.7109375" style="9" bestFit="1" customWidth="1"/>
    <col min="16" max="16" width="15.85546875" bestFit="1" customWidth="1"/>
    <col min="17" max="17" width="11.140625" style="9" bestFit="1" customWidth="1"/>
    <col min="18" max="18" width="15.28515625" bestFit="1" customWidth="1"/>
    <col min="19" max="19" width="11.140625" style="9" bestFit="1" customWidth="1"/>
    <col min="20" max="20" width="14.7109375" bestFit="1" customWidth="1"/>
    <col min="21" max="21" width="11.140625" style="9" bestFit="1" customWidth="1"/>
    <col min="22" max="22" width="14.85546875" bestFit="1" customWidth="1"/>
    <col min="23" max="23" width="11.140625" style="9" bestFit="1" customWidth="1"/>
    <col min="24" max="24" width="26.42578125" customWidth="1"/>
    <col min="25" max="25" width="11.140625" style="9" bestFit="1" customWidth="1"/>
    <col min="26" max="26" width="27" bestFit="1" customWidth="1"/>
    <col min="27" max="27" width="11.140625" style="9" bestFit="1" customWidth="1"/>
    <col min="28" max="28" width="32.7109375" bestFit="1" customWidth="1"/>
    <col min="29" max="29" width="11.140625" style="9" bestFit="1" customWidth="1"/>
    <col min="30" max="30" width="37.140625" style="9" customWidth="1"/>
    <col min="31" max="31" width="32.7109375" bestFit="1" customWidth="1"/>
    <col min="32" max="32" width="11.140625" style="9" bestFit="1" customWidth="1"/>
    <col min="33" max="34" width="8.5703125" bestFit="1" customWidth="1"/>
    <col min="36" max="36" width="8.5703125" bestFit="1" customWidth="1"/>
  </cols>
  <sheetData>
    <row r="1" spans="1:38" ht="33" customHeight="1" thickBot="1">
      <c r="A1" s="147" t="s">
        <v>56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</row>
    <row r="2" spans="1:38">
      <c r="A2" s="56" t="s">
        <v>1</v>
      </c>
      <c r="B2" s="58" t="s">
        <v>57</v>
      </c>
      <c r="C2" s="57" t="s">
        <v>34</v>
      </c>
      <c r="D2" s="57" t="s">
        <v>58</v>
      </c>
      <c r="E2" s="57" t="s">
        <v>34</v>
      </c>
      <c r="F2" s="57" t="s">
        <v>59</v>
      </c>
      <c r="G2" s="57" t="s">
        <v>34</v>
      </c>
      <c r="H2" s="57" t="s">
        <v>60</v>
      </c>
      <c r="I2" s="57" t="s">
        <v>34</v>
      </c>
      <c r="J2" s="57" t="s">
        <v>61</v>
      </c>
      <c r="K2" s="57" t="s">
        <v>34</v>
      </c>
      <c r="L2" s="57" t="s">
        <v>62</v>
      </c>
      <c r="M2" s="57" t="s">
        <v>34</v>
      </c>
      <c r="N2" s="57" t="s">
        <v>63</v>
      </c>
      <c r="O2" s="57" t="s">
        <v>34</v>
      </c>
      <c r="P2" s="57" t="s">
        <v>64</v>
      </c>
      <c r="Q2" s="57" t="s">
        <v>34</v>
      </c>
      <c r="R2" s="57" t="s">
        <v>65</v>
      </c>
      <c r="S2" s="57" t="s">
        <v>34</v>
      </c>
      <c r="T2" s="57" t="s">
        <v>66</v>
      </c>
      <c r="U2" s="57" t="s">
        <v>34</v>
      </c>
      <c r="V2" s="57" t="s">
        <v>67</v>
      </c>
      <c r="W2" s="57" t="s">
        <v>34</v>
      </c>
      <c r="X2" s="57" t="s">
        <v>68</v>
      </c>
      <c r="Y2" s="57" t="s">
        <v>34</v>
      </c>
      <c r="Z2" s="57" t="s">
        <v>69</v>
      </c>
      <c r="AA2" s="57" t="s">
        <v>34</v>
      </c>
      <c r="AB2" s="57" t="s">
        <v>70</v>
      </c>
      <c r="AC2" s="57" t="s">
        <v>34</v>
      </c>
      <c r="AD2" s="69" t="s">
        <v>71</v>
      </c>
      <c r="AE2" s="71" t="s">
        <v>72</v>
      </c>
      <c r="AF2" s="55" t="s">
        <v>34</v>
      </c>
    </row>
    <row r="3" spans="1:38">
      <c r="A3" s="54" t="s">
        <v>36</v>
      </c>
      <c r="B3" s="114">
        <v>1448206</v>
      </c>
      <c r="C3" s="62"/>
      <c r="D3" s="118">
        <v>33192279</v>
      </c>
      <c r="E3" s="60"/>
      <c r="F3" s="115">
        <v>2116</v>
      </c>
      <c r="G3" s="60"/>
      <c r="H3" s="115">
        <v>85297</v>
      </c>
      <c r="I3" s="59"/>
      <c r="J3" s="119">
        <v>177731</v>
      </c>
      <c r="K3" s="62"/>
      <c r="L3" s="120">
        <v>81411</v>
      </c>
      <c r="M3" s="60"/>
      <c r="N3" s="120">
        <v>604350</v>
      </c>
      <c r="O3" s="62"/>
      <c r="P3" s="120">
        <v>158301</v>
      </c>
      <c r="Q3" s="60"/>
      <c r="R3" s="120">
        <v>871715</v>
      </c>
      <c r="S3" s="62"/>
      <c r="T3" s="120">
        <v>66682</v>
      </c>
      <c r="U3" s="60"/>
      <c r="V3" s="120">
        <v>281312</v>
      </c>
      <c r="W3" s="62"/>
      <c r="X3" s="113">
        <v>21007</v>
      </c>
      <c r="Y3" s="60"/>
      <c r="Z3" s="113">
        <v>652943</v>
      </c>
      <c r="AA3" s="62"/>
      <c r="AB3" s="76">
        <v>1410</v>
      </c>
      <c r="AC3" s="60"/>
      <c r="AD3" s="67"/>
      <c r="AE3" s="72"/>
      <c r="AF3" s="53"/>
    </row>
    <row r="4" spans="1:38">
      <c r="A4" s="52">
        <v>44197</v>
      </c>
      <c r="B4" s="114">
        <v>1448391</v>
      </c>
      <c r="C4" s="63">
        <f>IF((B4-B3)&lt;0,"0",(B4-B3))</f>
        <v>185</v>
      </c>
      <c r="D4" s="118">
        <v>33193207</v>
      </c>
      <c r="E4" s="60">
        <f>IF((D4-D3)&lt;0,"0",(D4-D3))</f>
        <v>928</v>
      </c>
      <c r="F4" s="115">
        <v>2261</v>
      </c>
      <c r="G4" s="60">
        <f>IF((F4-F3)&lt;0,"0",(F4-F3))</f>
        <v>145</v>
      </c>
      <c r="H4" s="115">
        <v>85324</v>
      </c>
      <c r="I4" s="60">
        <f>IF((H4-H3)&lt;0,"0",(H4-H3))</f>
        <v>27</v>
      </c>
      <c r="J4" s="119">
        <v>177760</v>
      </c>
      <c r="K4" s="63">
        <f>IF((J4-J3)&lt;0,"0",(J4-J3))</f>
        <v>29</v>
      </c>
      <c r="L4" s="120">
        <v>81480</v>
      </c>
      <c r="M4" s="60">
        <f>IF((L4-L3)&lt;0,"0",(L4-L3))</f>
        <v>69</v>
      </c>
      <c r="N4" s="120">
        <v>604401</v>
      </c>
      <c r="O4" s="63">
        <f>IF((N4-N3)&lt;0,"0",(N4-N3))</f>
        <v>51</v>
      </c>
      <c r="P4" s="120">
        <v>158340</v>
      </c>
      <c r="Q4" s="60">
        <f>IF((P4-P3)&lt;0,"0",(P4-P3))</f>
        <v>39</v>
      </c>
      <c r="R4" s="120">
        <v>871882</v>
      </c>
      <c r="S4" s="63">
        <f>IF((R4-R3)&lt;0,"0",(R4-R3))</f>
        <v>167</v>
      </c>
      <c r="T4" s="120">
        <v>66704</v>
      </c>
      <c r="U4" s="60">
        <f>IF((T4-T3)&lt;0,"0",(T4-T3))</f>
        <v>22</v>
      </c>
      <c r="V4" s="120">
        <v>281372</v>
      </c>
      <c r="W4" s="63">
        <f>IF((V4-V3)&lt;0,"0",(V4-V3))</f>
        <v>60</v>
      </c>
      <c r="X4" s="113">
        <v>21007</v>
      </c>
      <c r="Y4" s="60">
        <f>IF((X4-X3)&lt;0,"0",(X4-X3))</f>
        <v>0</v>
      </c>
      <c r="Z4" s="113">
        <v>652943</v>
      </c>
      <c r="AA4" s="63">
        <f>IF((Z4-Z3)&lt;0,"0",(Z4-Z3))</f>
        <v>0</v>
      </c>
      <c r="AB4" s="76">
        <v>1410</v>
      </c>
      <c r="AC4" s="60">
        <f>IF((AB4-AB3)&lt;0,"0",(AB4-AB3))</f>
        <v>0</v>
      </c>
      <c r="AD4" s="68">
        <f>C4+E4+G4+I4+K4+M4+O4+Q4+S4+U4+W4+Y4+AA4+AC4</f>
        <v>1722</v>
      </c>
      <c r="AE4" s="18">
        <v>0</v>
      </c>
      <c r="AF4" s="53">
        <f>IF((AE4-AE3)&lt;0,"0",(AE4-AE3))</f>
        <v>0</v>
      </c>
    </row>
    <row r="5" spans="1:38">
      <c r="A5" s="52">
        <v>44198</v>
      </c>
      <c r="B5" s="114">
        <v>1448617</v>
      </c>
      <c r="C5" s="63">
        <f t="shared" ref="C5:C33" si="0">IF((B5-B4)&lt;0,"0",(B5-B4))</f>
        <v>226</v>
      </c>
      <c r="D5" s="118">
        <v>33194135</v>
      </c>
      <c r="E5" s="60">
        <f t="shared" ref="E5:E33" si="1">IF((D5-D4)&lt;0,"0",(D5-D4))</f>
        <v>928</v>
      </c>
      <c r="F5" s="115">
        <v>2387</v>
      </c>
      <c r="G5" s="60">
        <f t="shared" ref="G5:G34" si="2">IF((F5-F4)&lt;0,"0",(F5-F4))</f>
        <v>126</v>
      </c>
      <c r="H5" s="115">
        <v>85349</v>
      </c>
      <c r="I5" s="60">
        <f t="shared" ref="I5:I33" si="3">IF((H5-H4)&lt;0,"0",(H5-H4))</f>
        <v>25</v>
      </c>
      <c r="J5" s="119">
        <v>177788</v>
      </c>
      <c r="K5" s="63">
        <f t="shared" ref="K5:K33" si="4">IF((J5-J4)&lt;0,"0",(J5-J4))</f>
        <v>28</v>
      </c>
      <c r="L5" s="120">
        <v>81530</v>
      </c>
      <c r="M5" s="60">
        <f t="shared" ref="M5:M33" si="5">IF((L5-L4)&lt;0,"0",(L5-L4))</f>
        <v>50</v>
      </c>
      <c r="N5" s="120">
        <v>604406</v>
      </c>
      <c r="O5" s="63">
        <f t="shared" ref="O5:O33" si="6">IF((N5-N4)&lt;0,"0",(N5-N4))</f>
        <v>5</v>
      </c>
      <c r="P5" s="120">
        <v>158380</v>
      </c>
      <c r="Q5" s="60">
        <f t="shared" ref="Q5:Q33" si="7">IF((P5-P4)&lt;0,"0",(P5-P4))</f>
        <v>40</v>
      </c>
      <c r="R5" s="120">
        <v>872059</v>
      </c>
      <c r="S5" s="63">
        <f t="shared" ref="S5:S33" si="8">IF((R5-R4)&lt;0,"0",(R5-R4))</f>
        <v>177</v>
      </c>
      <c r="T5" s="120">
        <v>66730</v>
      </c>
      <c r="U5" s="60">
        <f t="shared" ref="U5:U33" si="9">IF((T5-T4)&lt;0,"0",(T5-T4))</f>
        <v>26</v>
      </c>
      <c r="V5" s="120">
        <v>281423</v>
      </c>
      <c r="W5" s="63">
        <f t="shared" ref="W5:W33" si="10">IF((V5-V4)&lt;0,"0",(V5-V4))</f>
        <v>51</v>
      </c>
      <c r="X5" s="113">
        <v>21007</v>
      </c>
      <c r="Y5" s="60">
        <f t="shared" ref="Y5:Y33" si="11">IF((X5-X4)&lt;0,"0",(X5-X4))</f>
        <v>0</v>
      </c>
      <c r="Z5" s="113">
        <v>652943</v>
      </c>
      <c r="AA5" s="63">
        <f t="shared" ref="AA5:AA33" si="12">IF((Z5-Z4)&lt;0,"0",(Z5-Z4))</f>
        <v>0</v>
      </c>
      <c r="AB5" s="76">
        <v>1410</v>
      </c>
      <c r="AC5" s="60">
        <f t="shared" ref="AC5:AC33" si="13">IF((AB5-AB4)&lt;0,"0",(AB5-AB4))</f>
        <v>0</v>
      </c>
      <c r="AD5" s="70">
        <f t="shared" ref="AD5:AD30" si="14">C5+E5+G5+I5+K5+M5+O5+Q5+S5+U5+W5+Y5+AA5+AC5</f>
        <v>1682</v>
      </c>
      <c r="AE5" s="18">
        <v>0</v>
      </c>
      <c r="AF5" s="53">
        <f t="shared" ref="AF5:AF33" si="15">IF((AE5-AE4)&lt;0,"0",(AE5-AE4))</f>
        <v>0</v>
      </c>
    </row>
    <row r="6" spans="1:38">
      <c r="A6" s="52">
        <v>44199</v>
      </c>
      <c r="B6" s="114">
        <v>1448968</v>
      </c>
      <c r="C6" s="63">
        <f t="shared" si="0"/>
        <v>351</v>
      </c>
      <c r="D6" s="118">
        <v>33194882</v>
      </c>
      <c r="E6" s="60">
        <f t="shared" si="1"/>
        <v>747</v>
      </c>
      <c r="F6" s="115">
        <v>2518</v>
      </c>
      <c r="G6" s="60">
        <f t="shared" si="2"/>
        <v>131</v>
      </c>
      <c r="H6" s="115">
        <v>85378</v>
      </c>
      <c r="I6" s="60">
        <f t="shared" si="3"/>
        <v>29</v>
      </c>
      <c r="J6" s="119">
        <v>177815</v>
      </c>
      <c r="K6" s="63">
        <f t="shared" si="4"/>
        <v>27</v>
      </c>
      <c r="L6" s="120">
        <v>81594</v>
      </c>
      <c r="M6" s="60">
        <f t="shared" si="5"/>
        <v>64</v>
      </c>
      <c r="N6" s="120">
        <v>604453</v>
      </c>
      <c r="O6" s="63">
        <f t="shared" si="6"/>
        <v>47</v>
      </c>
      <c r="P6" s="120">
        <v>158419</v>
      </c>
      <c r="Q6" s="60">
        <f t="shared" si="7"/>
        <v>39</v>
      </c>
      <c r="R6" s="120">
        <v>872229</v>
      </c>
      <c r="S6" s="63">
        <f t="shared" si="8"/>
        <v>170</v>
      </c>
      <c r="T6" s="120">
        <v>66759</v>
      </c>
      <c r="U6" s="60">
        <f t="shared" si="9"/>
        <v>29</v>
      </c>
      <c r="V6" s="120">
        <v>281484</v>
      </c>
      <c r="W6" s="63">
        <f t="shared" si="10"/>
        <v>61</v>
      </c>
      <c r="X6" s="113">
        <v>21007</v>
      </c>
      <c r="Y6" s="60">
        <f t="shared" si="11"/>
        <v>0</v>
      </c>
      <c r="Z6" s="113">
        <v>652943</v>
      </c>
      <c r="AA6" s="63">
        <f t="shared" si="12"/>
        <v>0</v>
      </c>
      <c r="AB6" s="76">
        <v>1410</v>
      </c>
      <c r="AC6" s="60">
        <f t="shared" si="13"/>
        <v>0</v>
      </c>
      <c r="AD6" s="70">
        <f t="shared" si="14"/>
        <v>1695</v>
      </c>
      <c r="AE6" s="18">
        <v>0</v>
      </c>
      <c r="AF6" s="53">
        <f t="shared" si="15"/>
        <v>0</v>
      </c>
    </row>
    <row r="7" spans="1:38">
      <c r="A7" s="52">
        <v>44200</v>
      </c>
      <c r="B7" s="114">
        <v>1449182</v>
      </c>
      <c r="C7" s="63">
        <f t="shared" si="0"/>
        <v>214</v>
      </c>
      <c r="D7" s="118">
        <v>33195681</v>
      </c>
      <c r="E7" s="60">
        <f t="shared" si="1"/>
        <v>799</v>
      </c>
      <c r="F7" s="115">
        <v>2620</v>
      </c>
      <c r="G7" s="60">
        <f t="shared" si="2"/>
        <v>102</v>
      </c>
      <c r="H7" s="115">
        <v>85397</v>
      </c>
      <c r="I7" s="60">
        <f t="shared" si="3"/>
        <v>19</v>
      </c>
      <c r="J7" s="119">
        <v>177818</v>
      </c>
      <c r="K7" s="63">
        <f t="shared" si="4"/>
        <v>3</v>
      </c>
      <c r="L7" s="120">
        <v>81653</v>
      </c>
      <c r="M7" s="60">
        <f t="shared" si="5"/>
        <v>59</v>
      </c>
      <c r="N7" s="120">
        <v>604499</v>
      </c>
      <c r="O7" s="63">
        <f t="shared" si="6"/>
        <v>46</v>
      </c>
      <c r="P7" s="120">
        <v>158456</v>
      </c>
      <c r="Q7" s="60">
        <f t="shared" si="7"/>
        <v>37</v>
      </c>
      <c r="R7" s="120">
        <v>872327</v>
      </c>
      <c r="S7" s="63">
        <f t="shared" si="8"/>
        <v>98</v>
      </c>
      <c r="T7" s="120">
        <v>66777</v>
      </c>
      <c r="U7" s="60">
        <f t="shared" si="9"/>
        <v>18</v>
      </c>
      <c r="V7" s="120">
        <v>281535</v>
      </c>
      <c r="W7" s="63">
        <f t="shared" si="10"/>
        <v>51</v>
      </c>
      <c r="X7" s="113">
        <v>21007</v>
      </c>
      <c r="Y7" s="60">
        <f t="shared" si="11"/>
        <v>0</v>
      </c>
      <c r="Z7" s="113">
        <v>652943</v>
      </c>
      <c r="AA7" s="63">
        <f t="shared" si="12"/>
        <v>0</v>
      </c>
      <c r="AB7" s="76">
        <v>1410</v>
      </c>
      <c r="AC7" s="60">
        <f t="shared" si="13"/>
        <v>0</v>
      </c>
      <c r="AD7" s="70">
        <f t="shared" si="14"/>
        <v>1446</v>
      </c>
      <c r="AE7" s="18">
        <v>0</v>
      </c>
      <c r="AF7" s="53">
        <f t="shared" si="15"/>
        <v>0</v>
      </c>
    </row>
    <row r="8" spans="1:38">
      <c r="A8" s="52">
        <v>44201</v>
      </c>
      <c r="B8" s="114">
        <v>1449390</v>
      </c>
      <c r="C8" s="63">
        <f t="shared" si="0"/>
        <v>208</v>
      </c>
      <c r="D8" s="118">
        <v>33196531</v>
      </c>
      <c r="E8" s="60">
        <f t="shared" si="1"/>
        <v>850</v>
      </c>
      <c r="F8" s="115">
        <v>2710</v>
      </c>
      <c r="G8" s="60">
        <f t="shared" si="2"/>
        <v>90</v>
      </c>
      <c r="H8" s="115">
        <v>85416</v>
      </c>
      <c r="I8" s="60">
        <f t="shared" si="3"/>
        <v>19</v>
      </c>
      <c r="J8" s="119">
        <v>177852</v>
      </c>
      <c r="K8" s="63">
        <f t="shared" si="4"/>
        <v>34</v>
      </c>
      <c r="L8" s="120">
        <v>81711</v>
      </c>
      <c r="M8" s="60">
        <f t="shared" si="5"/>
        <v>58</v>
      </c>
      <c r="N8" s="120">
        <v>604570</v>
      </c>
      <c r="O8" s="63">
        <f t="shared" si="6"/>
        <v>71</v>
      </c>
      <c r="P8" s="120">
        <v>158493</v>
      </c>
      <c r="Q8" s="60">
        <f t="shared" si="7"/>
        <v>37</v>
      </c>
      <c r="R8" s="120">
        <v>872448</v>
      </c>
      <c r="S8" s="63">
        <f t="shared" si="8"/>
        <v>121</v>
      </c>
      <c r="T8" s="120">
        <v>66789</v>
      </c>
      <c r="U8" s="60">
        <f t="shared" si="9"/>
        <v>12</v>
      </c>
      <c r="V8" s="120">
        <v>281591</v>
      </c>
      <c r="W8" s="63">
        <f t="shared" si="10"/>
        <v>56</v>
      </c>
      <c r="X8" s="113">
        <v>21007</v>
      </c>
      <c r="Y8" s="60">
        <f t="shared" si="11"/>
        <v>0</v>
      </c>
      <c r="Z8" s="113">
        <v>652943</v>
      </c>
      <c r="AA8" s="63">
        <f t="shared" si="12"/>
        <v>0</v>
      </c>
      <c r="AB8" s="76">
        <v>1410</v>
      </c>
      <c r="AC8" s="60">
        <f t="shared" si="13"/>
        <v>0</v>
      </c>
      <c r="AD8" s="70">
        <f t="shared" si="14"/>
        <v>1556</v>
      </c>
      <c r="AE8" s="18">
        <v>0</v>
      </c>
      <c r="AF8" s="53">
        <f t="shared" si="15"/>
        <v>0</v>
      </c>
    </row>
    <row r="9" spans="1:38">
      <c r="A9" s="52">
        <v>44202</v>
      </c>
      <c r="B9" s="114">
        <v>1449607</v>
      </c>
      <c r="C9" s="63">
        <f t="shared" si="0"/>
        <v>217</v>
      </c>
      <c r="D9" s="118">
        <v>33197418</v>
      </c>
      <c r="E9" s="60">
        <f t="shared" si="1"/>
        <v>887</v>
      </c>
      <c r="F9" s="115">
        <v>2799</v>
      </c>
      <c r="G9" s="60">
        <f t="shared" si="2"/>
        <v>89</v>
      </c>
      <c r="H9" s="115">
        <v>85442</v>
      </c>
      <c r="I9" s="60">
        <f t="shared" si="3"/>
        <v>26</v>
      </c>
      <c r="J9" s="119">
        <v>177885</v>
      </c>
      <c r="K9" s="63">
        <f t="shared" si="4"/>
        <v>33</v>
      </c>
      <c r="L9" s="120">
        <v>81765</v>
      </c>
      <c r="M9" s="60">
        <f t="shared" si="5"/>
        <v>54</v>
      </c>
      <c r="N9" s="120">
        <v>604632</v>
      </c>
      <c r="O9" s="63">
        <f t="shared" si="6"/>
        <v>62</v>
      </c>
      <c r="P9" s="120">
        <v>158530</v>
      </c>
      <c r="Q9" s="60">
        <f t="shared" si="7"/>
        <v>37</v>
      </c>
      <c r="R9" s="120">
        <v>872579</v>
      </c>
      <c r="S9" s="63">
        <f t="shared" si="8"/>
        <v>131</v>
      </c>
      <c r="T9" s="120">
        <v>66813</v>
      </c>
      <c r="U9" s="60">
        <f t="shared" si="9"/>
        <v>24</v>
      </c>
      <c r="V9" s="120">
        <v>281646</v>
      </c>
      <c r="W9" s="63">
        <f t="shared" si="10"/>
        <v>55</v>
      </c>
      <c r="X9" s="113">
        <v>21007</v>
      </c>
      <c r="Y9" s="60">
        <f t="shared" si="11"/>
        <v>0</v>
      </c>
      <c r="Z9" s="113">
        <v>652943</v>
      </c>
      <c r="AA9" s="63">
        <f t="shared" si="12"/>
        <v>0</v>
      </c>
      <c r="AB9" s="76">
        <v>1410</v>
      </c>
      <c r="AC9" s="60">
        <f t="shared" si="13"/>
        <v>0</v>
      </c>
      <c r="AD9" s="70">
        <f t="shared" si="14"/>
        <v>1615</v>
      </c>
      <c r="AE9" s="18">
        <v>0</v>
      </c>
      <c r="AF9" s="53">
        <f t="shared" si="15"/>
        <v>0</v>
      </c>
    </row>
    <row r="10" spans="1:38">
      <c r="A10" s="52">
        <v>44203</v>
      </c>
      <c r="B10" s="114">
        <v>1449840</v>
      </c>
      <c r="C10" s="63">
        <f t="shared" si="0"/>
        <v>233</v>
      </c>
      <c r="D10" s="118">
        <v>33198228</v>
      </c>
      <c r="E10" s="60">
        <f t="shared" si="1"/>
        <v>810</v>
      </c>
      <c r="F10" s="115">
        <v>2890</v>
      </c>
      <c r="G10" s="60">
        <f t="shared" si="2"/>
        <v>91</v>
      </c>
      <c r="H10" s="115">
        <v>85473</v>
      </c>
      <c r="I10" s="60">
        <f t="shared" si="3"/>
        <v>31</v>
      </c>
      <c r="J10" s="119">
        <v>177931</v>
      </c>
      <c r="K10" s="63">
        <f t="shared" si="4"/>
        <v>46</v>
      </c>
      <c r="L10" s="120">
        <v>81780</v>
      </c>
      <c r="M10" s="60">
        <f t="shared" si="5"/>
        <v>15</v>
      </c>
      <c r="N10" s="120">
        <v>604762</v>
      </c>
      <c r="O10" s="63">
        <f t="shared" si="6"/>
        <v>130</v>
      </c>
      <c r="P10" s="120">
        <v>158567</v>
      </c>
      <c r="Q10" s="60">
        <f t="shared" si="7"/>
        <v>37</v>
      </c>
      <c r="R10" s="120">
        <v>872728</v>
      </c>
      <c r="S10" s="63">
        <f t="shared" si="8"/>
        <v>149</v>
      </c>
      <c r="T10" s="120">
        <v>66836</v>
      </c>
      <c r="U10" s="60">
        <f t="shared" si="9"/>
        <v>23</v>
      </c>
      <c r="V10" s="120">
        <v>281698</v>
      </c>
      <c r="W10" s="63">
        <f t="shared" si="10"/>
        <v>52</v>
      </c>
      <c r="X10" s="113">
        <v>21007</v>
      </c>
      <c r="Y10" s="60">
        <f t="shared" si="11"/>
        <v>0</v>
      </c>
      <c r="Z10" s="113">
        <v>652943</v>
      </c>
      <c r="AA10" s="63">
        <f t="shared" si="12"/>
        <v>0</v>
      </c>
      <c r="AB10" s="76">
        <v>1410</v>
      </c>
      <c r="AC10" s="60">
        <f t="shared" si="13"/>
        <v>0</v>
      </c>
      <c r="AD10" s="70">
        <f t="shared" si="14"/>
        <v>1617</v>
      </c>
      <c r="AE10" s="18">
        <v>0</v>
      </c>
      <c r="AF10" s="53">
        <f t="shared" si="15"/>
        <v>0</v>
      </c>
    </row>
    <row r="11" spans="1:38">
      <c r="A11" s="52">
        <v>44204</v>
      </c>
      <c r="B11" s="114">
        <v>1450069</v>
      </c>
      <c r="C11" s="63">
        <f t="shared" si="0"/>
        <v>229</v>
      </c>
      <c r="D11" s="118">
        <v>33199177</v>
      </c>
      <c r="E11" s="60">
        <f>IF((D11-D10)&lt;0,"0",(D11-D10))</f>
        <v>949</v>
      </c>
      <c r="F11" s="115">
        <v>3038</v>
      </c>
      <c r="G11" s="60">
        <f t="shared" si="2"/>
        <v>148</v>
      </c>
      <c r="H11" s="115">
        <v>85497</v>
      </c>
      <c r="I11" s="60">
        <f t="shared" si="3"/>
        <v>24</v>
      </c>
      <c r="J11" s="119">
        <v>177965</v>
      </c>
      <c r="K11" s="63">
        <f t="shared" si="4"/>
        <v>34</v>
      </c>
      <c r="L11" s="120">
        <v>81810</v>
      </c>
      <c r="M11" s="60">
        <f t="shared" si="5"/>
        <v>30</v>
      </c>
      <c r="N11" s="120">
        <v>604911</v>
      </c>
      <c r="O11" s="63">
        <f t="shared" si="6"/>
        <v>149</v>
      </c>
      <c r="P11" s="120">
        <v>158606</v>
      </c>
      <c r="Q11" s="60">
        <f t="shared" si="7"/>
        <v>39</v>
      </c>
      <c r="R11" s="120">
        <v>872867</v>
      </c>
      <c r="S11" s="63">
        <f t="shared" si="8"/>
        <v>139</v>
      </c>
      <c r="T11" s="120">
        <v>66859</v>
      </c>
      <c r="U11" s="60">
        <f t="shared" si="9"/>
        <v>23</v>
      </c>
      <c r="V11" s="120">
        <v>281753</v>
      </c>
      <c r="W11" s="63">
        <f t="shared" si="10"/>
        <v>55</v>
      </c>
      <c r="X11" s="113">
        <v>21007</v>
      </c>
      <c r="Y11" s="60">
        <f t="shared" si="11"/>
        <v>0</v>
      </c>
      <c r="Z11" s="113">
        <v>652943</v>
      </c>
      <c r="AA11" s="63">
        <f t="shared" si="12"/>
        <v>0</v>
      </c>
      <c r="AB11" s="76">
        <v>1410</v>
      </c>
      <c r="AC11" s="60">
        <f t="shared" si="13"/>
        <v>0</v>
      </c>
      <c r="AD11" s="70">
        <f t="shared" si="14"/>
        <v>1819</v>
      </c>
      <c r="AE11" s="18">
        <v>0</v>
      </c>
      <c r="AF11" s="53">
        <f t="shared" si="15"/>
        <v>0</v>
      </c>
    </row>
    <row r="12" spans="1:38">
      <c r="A12" s="52">
        <v>44205</v>
      </c>
      <c r="B12" s="114">
        <v>1450314</v>
      </c>
      <c r="C12" s="63">
        <f t="shared" si="0"/>
        <v>245</v>
      </c>
      <c r="D12" s="118">
        <v>33199791</v>
      </c>
      <c r="E12" s="60">
        <f>IF((D12-D11)&lt;0,"0",(D12-D11))</f>
        <v>614</v>
      </c>
      <c r="F12" s="115">
        <v>3143</v>
      </c>
      <c r="G12" s="60">
        <f t="shared" si="2"/>
        <v>105</v>
      </c>
      <c r="H12" s="115">
        <v>85517</v>
      </c>
      <c r="I12" s="60">
        <f t="shared" si="3"/>
        <v>20</v>
      </c>
      <c r="J12" s="119">
        <v>177983</v>
      </c>
      <c r="K12" s="63">
        <f t="shared" si="4"/>
        <v>18</v>
      </c>
      <c r="L12" s="120">
        <v>81823</v>
      </c>
      <c r="M12" s="60">
        <f t="shared" si="5"/>
        <v>13</v>
      </c>
      <c r="N12" s="120">
        <v>604998</v>
      </c>
      <c r="O12" s="63">
        <f t="shared" si="6"/>
        <v>87</v>
      </c>
      <c r="P12" s="120">
        <v>158647</v>
      </c>
      <c r="Q12" s="60">
        <f t="shared" si="7"/>
        <v>41</v>
      </c>
      <c r="R12" s="120">
        <v>873038</v>
      </c>
      <c r="S12" s="63">
        <f t="shared" si="8"/>
        <v>171</v>
      </c>
      <c r="T12" s="120">
        <v>66884</v>
      </c>
      <c r="U12" s="60">
        <f t="shared" si="9"/>
        <v>25</v>
      </c>
      <c r="V12" s="120">
        <v>281807</v>
      </c>
      <c r="W12" s="63">
        <f t="shared" si="10"/>
        <v>54</v>
      </c>
      <c r="X12" s="113">
        <v>21007</v>
      </c>
      <c r="Y12" s="60">
        <f t="shared" si="11"/>
        <v>0</v>
      </c>
      <c r="Z12" s="113">
        <v>652943</v>
      </c>
      <c r="AA12" s="63">
        <f t="shared" si="12"/>
        <v>0</v>
      </c>
      <c r="AB12" s="76">
        <v>1410</v>
      </c>
      <c r="AC12" s="60">
        <f t="shared" si="13"/>
        <v>0</v>
      </c>
      <c r="AD12" s="70">
        <f t="shared" si="14"/>
        <v>1393</v>
      </c>
      <c r="AE12" s="18">
        <v>0</v>
      </c>
      <c r="AF12" s="53">
        <f t="shared" si="15"/>
        <v>0</v>
      </c>
    </row>
    <row r="13" spans="1:38">
      <c r="A13" s="52">
        <v>44206</v>
      </c>
      <c r="B13" s="114">
        <v>1450545</v>
      </c>
      <c r="C13" s="63">
        <f t="shared" si="0"/>
        <v>231</v>
      </c>
      <c r="D13" s="118">
        <v>33200621</v>
      </c>
      <c r="E13" s="60">
        <f>IF((D13-D12)&lt;0,"0",(D13-D12))</f>
        <v>830</v>
      </c>
      <c r="F13" s="115">
        <v>3274</v>
      </c>
      <c r="G13" s="60">
        <f t="shared" si="2"/>
        <v>131</v>
      </c>
      <c r="H13" s="115">
        <v>85537</v>
      </c>
      <c r="I13" s="60">
        <f t="shared" si="3"/>
        <v>20</v>
      </c>
      <c r="J13" s="119">
        <v>177983</v>
      </c>
      <c r="K13" s="63">
        <f t="shared" si="4"/>
        <v>0</v>
      </c>
      <c r="L13" s="120">
        <v>81985</v>
      </c>
      <c r="M13" s="60">
        <f t="shared" si="5"/>
        <v>162</v>
      </c>
      <c r="N13" s="120">
        <v>605032</v>
      </c>
      <c r="O13" s="63">
        <f t="shared" si="6"/>
        <v>34</v>
      </c>
      <c r="P13" s="120">
        <v>158686</v>
      </c>
      <c r="Q13" s="60">
        <f t="shared" si="7"/>
        <v>39</v>
      </c>
      <c r="R13" s="120">
        <v>873192</v>
      </c>
      <c r="S13" s="63">
        <f t="shared" si="8"/>
        <v>154</v>
      </c>
      <c r="T13" s="120">
        <v>66907</v>
      </c>
      <c r="U13" s="60">
        <f t="shared" si="9"/>
        <v>23</v>
      </c>
      <c r="V13" s="120">
        <v>281861</v>
      </c>
      <c r="W13" s="63">
        <f t="shared" si="10"/>
        <v>54</v>
      </c>
      <c r="X13" s="113">
        <v>21007</v>
      </c>
      <c r="Y13" s="60">
        <f t="shared" si="11"/>
        <v>0</v>
      </c>
      <c r="Z13" s="113">
        <v>652943</v>
      </c>
      <c r="AA13" s="63">
        <f t="shared" si="12"/>
        <v>0</v>
      </c>
      <c r="AB13" s="76">
        <v>1410</v>
      </c>
      <c r="AC13" s="60">
        <f t="shared" si="13"/>
        <v>0</v>
      </c>
      <c r="AD13" s="70">
        <f t="shared" si="14"/>
        <v>1678</v>
      </c>
      <c r="AE13" s="18">
        <v>0</v>
      </c>
      <c r="AF13" s="53">
        <f t="shared" si="15"/>
        <v>0</v>
      </c>
    </row>
    <row r="14" spans="1:38">
      <c r="A14" s="52">
        <v>44207</v>
      </c>
      <c r="B14" s="114">
        <v>1450836</v>
      </c>
      <c r="C14" s="63">
        <f t="shared" si="0"/>
        <v>291</v>
      </c>
      <c r="D14" s="118">
        <v>33201455</v>
      </c>
      <c r="E14" s="60">
        <f t="shared" si="1"/>
        <v>834</v>
      </c>
      <c r="F14" s="115">
        <v>3379</v>
      </c>
      <c r="G14" s="60">
        <f t="shared" si="2"/>
        <v>105</v>
      </c>
      <c r="H14" s="115">
        <v>85560</v>
      </c>
      <c r="I14" s="60">
        <f t="shared" si="3"/>
        <v>23</v>
      </c>
      <c r="J14" s="119">
        <v>178014</v>
      </c>
      <c r="K14" s="63">
        <f t="shared" si="4"/>
        <v>31</v>
      </c>
      <c r="L14" s="120">
        <v>82045</v>
      </c>
      <c r="M14" s="60">
        <f t="shared" si="5"/>
        <v>60</v>
      </c>
      <c r="N14" s="121">
        <v>605056</v>
      </c>
      <c r="O14" s="63">
        <f t="shared" si="6"/>
        <v>24</v>
      </c>
      <c r="P14" s="121">
        <v>158724</v>
      </c>
      <c r="Q14" s="60">
        <f t="shared" si="7"/>
        <v>38</v>
      </c>
      <c r="R14" s="120">
        <v>873282</v>
      </c>
      <c r="S14" s="63">
        <f t="shared" si="8"/>
        <v>90</v>
      </c>
      <c r="T14" s="120">
        <v>66934</v>
      </c>
      <c r="U14" s="60">
        <f t="shared" si="9"/>
        <v>27</v>
      </c>
      <c r="V14" s="120">
        <v>281901</v>
      </c>
      <c r="W14" s="63">
        <f t="shared" si="10"/>
        <v>40</v>
      </c>
      <c r="X14" s="113">
        <v>21007</v>
      </c>
      <c r="Y14" s="60">
        <f t="shared" si="11"/>
        <v>0</v>
      </c>
      <c r="Z14" s="113">
        <v>652943</v>
      </c>
      <c r="AA14" s="63">
        <f t="shared" si="12"/>
        <v>0</v>
      </c>
      <c r="AB14" s="76">
        <v>1410</v>
      </c>
      <c r="AC14" s="60">
        <f t="shared" si="13"/>
        <v>0</v>
      </c>
      <c r="AD14" s="70">
        <f t="shared" si="14"/>
        <v>1563</v>
      </c>
      <c r="AE14" s="18">
        <v>0</v>
      </c>
      <c r="AF14" s="53">
        <f t="shared" si="15"/>
        <v>0</v>
      </c>
    </row>
    <row r="15" spans="1:38">
      <c r="A15" s="52">
        <v>44208</v>
      </c>
      <c r="B15" s="114">
        <v>1451100</v>
      </c>
      <c r="C15" s="63">
        <f t="shared" si="0"/>
        <v>264</v>
      </c>
      <c r="D15" s="118">
        <v>33202306</v>
      </c>
      <c r="E15" s="60">
        <f t="shared" si="1"/>
        <v>851</v>
      </c>
      <c r="F15" s="115">
        <v>3497</v>
      </c>
      <c r="G15" s="60">
        <f t="shared" si="2"/>
        <v>118</v>
      </c>
      <c r="H15" s="115">
        <v>85579</v>
      </c>
      <c r="I15" s="60">
        <f t="shared" si="3"/>
        <v>19</v>
      </c>
      <c r="J15" s="119">
        <v>178041</v>
      </c>
      <c r="K15" s="63">
        <f t="shared" si="4"/>
        <v>27</v>
      </c>
      <c r="L15" s="120">
        <v>82109</v>
      </c>
      <c r="M15" s="60">
        <f t="shared" si="5"/>
        <v>64</v>
      </c>
      <c r="N15" s="120">
        <v>605096</v>
      </c>
      <c r="O15" s="63">
        <f t="shared" si="6"/>
        <v>40</v>
      </c>
      <c r="P15" s="120">
        <v>158760</v>
      </c>
      <c r="Q15" s="60">
        <f t="shared" si="7"/>
        <v>36</v>
      </c>
      <c r="R15" s="120">
        <v>873459</v>
      </c>
      <c r="S15" s="63">
        <f t="shared" si="8"/>
        <v>177</v>
      </c>
      <c r="T15" s="120">
        <v>66968</v>
      </c>
      <c r="U15" s="60">
        <f t="shared" si="9"/>
        <v>34</v>
      </c>
      <c r="V15" s="120">
        <v>281972</v>
      </c>
      <c r="W15" s="63">
        <f t="shared" si="10"/>
        <v>71</v>
      </c>
      <c r="X15" s="113">
        <v>21007</v>
      </c>
      <c r="Y15" s="60">
        <f t="shared" si="11"/>
        <v>0</v>
      </c>
      <c r="Z15" s="113">
        <v>652943</v>
      </c>
      <c r="AA15" s="63">
        <f t="shared" si="12"/>
        <v>0</v>
      </c>
      <c r="AB15" s="76">
        <v>1410</v>
      </c>
      <c r="AC15" s="60">
        <f t="shared" si="13"/>
        <v>0</v>
      </c>
      <c r="AD15" s="70">
        <f t="shared" si="14"/>
        <v>1701</v>
      </c>
      <c r="AE15" s="18">
        <v>0</v>
      </c>
      <c r="AF15" s="53">
        <f t="shared" si="15"/>
        <v>0</v>
      </c>
    </row>
    <row r="16" spans="1:38">
      <c r="A16" s="52">
        <v>44209</v>
      </c>
      <c r="B16" s="114">
        <v>1451359</v>
      </c>
      <c r="C16" s="63">
        <f t="shared" si="0"/>
        <v>259</v>
      </c>
      <c r="D16" s="118">
        <v>33203128</v>
      </c>
      <c r="E16" s="60">
        <f t="shared" si="1"/>
        <v>822</v>
      </c>
      <c r="F16" s="115">
        <v>3600</v>
      </c>
      <c r="G16" s="60">
        <f t="shared" si="2"/>
        <v>103</v>
      </c>
      <c r="H16" s="115">
        <v>85605</v>
      </c>
      <c r="I16" s="60">
        <f t="shared" si="3"/>
        <v>26</v>
      </c>
      <c r="J16" s="119">
        <v>178065</v>
      </c>
      <c r="K16" s="63">
        <f t="shared" si="4"/>
        <v>24</v>
      </c>
      <c r="L16" s="120">
        <v>82175</v>
      </c>
      <c r="M16" s="60">
        <f t="shared" si="5"/>
        <v>66</v>
      </c>
      <c r="N16" s="120">
        <v>605112</v>
      </c>
      <c r="O16" s="63">
        <f t="shared" si="6"/>
        <v>16</v>
      </c>
      <c r="P16" s="120">
        <v>158799</v>
      </c>
      <c r="Q16" s="60">
        <f t="shared" si="7"/>
        <v>39</v>
      </c>
      <c r="R16" s="120">
        <v>873564</v>
      </c>
      <c r="S16" s="63">
        <f t="shared" si="8"/>
        <v>105</v>
      </c>
      <c r="T16" s="120">
        <v>66984</v>
      </c>
      <c r="U16" s="60">
        <f t="shared" si="9"/>
        <v>16</v>
      </c>
      <c r="V16" s="120">
        <v>282029</v>
      </c>
      <c r="W16" s="63">
        <f t="shared" si="10"/>
        <v>57</v>
      </c>
      <c r="X16" s="113">
        <v>21007</v>
      </c>
      <c r="Y16" s="60">
        <f t="shared" si="11"/>
        <v>0</v>
      </c>
      <c r="Z16" s="113">
        <v>652943</v>
      </c>
      <c r="AA16" s="63">
        <f t="shared" si="12"/>
        <v>0</v>
      </c>
      <c r="AB16" s="76">
        <v>1410</v>
      </c>
      <c r="AC16" s="60">
        <f t="shared" si="13"/>
        <v>0</v>
      </c>
      <c r="AD16" s="70">
        <f t="shared" si="14"/>
        <v>1533</v>
      </c>
      <c r="AE16" s="18">
        <v>0</v>
      </c>
      <c r="AF16" s="53">
        <f t="shared" si="15"/>
        <v>0</v>
      </c>
      <c r="AL16" t="s">
        <v>73</v>
      </c>
    </row>
    <row r="17" spans="1:38">
      <c r="A17" s="52">
        <v>44210</v>
      </c>
      <c r="B17" s="114">
        <v>1451617</v>
      </c>
      <c r="C17" s="63">
        <f t="shared" si="0"/>
        <v>258</v>
      </c>
      <c r="D17" s="118">
        <v>33204031</v>
      </c>
      <c r="E17" s="60">
        <f t="shared" si="1"/>
        <v>903</v>
      </c>
      <c r="F17" s="115">
        <v>3743</v>
      </c>
      <c r="G17" s="60">
        <f t="shared" si="2"/>
        <v>143</v>
      </c>
      <c r="H17" s="115">
        <v>85624</v>
      </c>
      <c r="I17" s="60">
        <f t="shared" si="3"/>
        <v>19</v>
      </c>
      <c r="J17" s="119">
        <v>178096</v>
      </c>
      <c r="K17" s="63">
        <f t="shared" si="4"/>
        <v>31</v>
      </c>
      <c r="L17" s="120">
        <v>82249</v>
      </c>
      <c r="M17" s="60">
        <f t="shared" si="5"/>
        <v>74</v>
      </c>
      <c r="N17" s="120">
        <v>605122</v>
      </c>
      <c r="O17" s="63">
        <f t="shared" si="6"/>
        <v>10</v>
      </c>
      <c r="P17" s="120">
        <v>158835</v>
      </c>
      <c r="Q17" s="60">
        <f t="shared" si="7"/>
        <v>36</v>
      </c>
      <c r="R17" s="120">
        <v>873693</v>
      </c>
      <c r="S17" s="63">
        <f t="shared" si="8"/>
        <v>129</v>
      </c>
      <c r="T17" s="120">
        <v>67004</v>
      </c>
      <c r="U17" s="60">
        <f t="shared" si="9"/>
        <v>20</v>
      </c>
      <c r="V17" s="120">
        <v>282089</v>
      </c>
      <c r="W17" s="63">
        <f t="shared" si="10"/>
        <v>60</v>
      </c>
      <c r="X17" s="113">
        <v>21007</v>
      </c>
      <c r="Y17" s="60">
        <f t="shared" si="11"/>
        <v>0</v>
      </c>
      <c r="Z17" s="113">
        <v>652943</v>
      </c>
      <c r="AA17" s="63">
        <f t="shared" si="12"/>
        <v>0</v>
      </c>
      <c r="AB17" s="76">
        <v>1410</v>
      </c>
      <c r="AC17" s="60">
        <f t="shared" si="13"/>
        <v>0</v>
      </c>
      <c r="AD17" s="70">
        <f t="shared" si="14"/>
        <v>1683</v>
      </c>
      <c r="AE17" s="18">
        <v>0</v>
      </c>
      <c r="AF17" s="53">
        <f t="shared" si="15"/>
        <v>0</v>
      </c>
    </row>
    <row r="18" spans="1:38">
      <c r="A18" s="52">
        <v>44211</v>
      </c>
      <c r="B18" s="114">
        <v>1451857</v>
      </c>
      <c r="C18" s="63">
        <f t="shared" si="0"/>
        <v>240</v>
      </c>
      <c r="D18" s="118">
        <v>33204885</v>
      </c>
      <c r="E18" s="60">
        <f t="shared" si="1"/>
        <v>854</v>
      </c>
      <c r="F18" s="115">
        <v>3877</v>
      </c>
      <c r="G18" s="60">
        <f t="shared" si="2"/>
        <v>134</v>
      </c>
      <c r="H18" s="115">
        <v>85648</v>
      </c>
      <c r="I18" s="60">
        <f t="shared" si="3"/>
        <v>24</v>
      </c>
      <c r="J18" s="119">
        <v>178126</v>
      </c>
      <c r="K18" s="63">
        <f t="shared" si="4"/>
        <v>30</v>
      </c>
      <c r="L18" s="120">
        <v>82308</v>
      </c>
      <c r="M18" s="60">
        <f t="shared" si="5"/>
        <v>59</v>
      </c>
      <c r="N18" s="120">
        <v>605173</v>
      </c>
      <c r="O18" s="63">
        <f t="shared" si="6"/>
        <v>51</v>
      </c>
      <c r="P18" s="120">
        <v>158879</v>
      </c>
      <c r="Q18" s="60">
        <f t="shared" si="7"/>
        <v>44</v>
      </c>
      <c r="R18" s="120">
        <v>873815</v>
      </c>
      <c r="S18" s="63">
        <f t="shared" si="8"/>
        <v>122</v>
      </c>
      <c r="T18" s="120">
        <v>67027</v>
      </c>
      <c r="U18" s="60">
        <f t="shared" si="9"/>
        <v>23</v>
      </c>
      <c r="V18" s="120">
        <v>282147</v>
      </c>
      <c r="W18" s="63">
        <f t="shared" si="10"/>
        <v>58</v>
      </c>
      <c r="X18" s="113">
        <v>21007</v>
      </c>
      <c r="Y18" s="60">
        <f t="shared" si="11"/>
        <v>0</v>
      </c>
      <c r="Z18" s="113">
        <v>652943</v>
      </c>
      <c r="AA18" s="63">
        <f t="shared" si="12"/>
        <v>0</v>
      </c>
      <c r="AB18" s="76">
        <v>1410</v>
      </c>
      <c r="AC18" s="60">
        <f t="shared" si="13"/>
        <v>0</v>
      </c>
      <c r="AD18" s="70">
        <f t="shared" si="14"/>
        <v>1639</v>
      </c>
      <c r="AE18" s="18">
        <v>0</v>
      </c>
      <c r="AF18" s="53">
        <f t="shared" si="15"/>
        <v>0</v>
      </c>
    </row>
    <row r="19" spans="1:38">
      <c r="A19" s="52">
        <v>44212</v>
      </c>
      <c r="B19" s="114">
        <v>1452189</v>
      </c>
      <c r="C19" s="63">
        <f t="shared" si="0"/>
        <v>332</v>
      </c>
      <c r="D19" s="118">
        <v>33205867</v>
      </c>
      <c r="E19" s="60">
        <f t="shared" si="1"/>
        <v>982</v>
      </c>
      <c r="F19" s="115">
        <v>3950</v>
      </c>
      <c r="G19" s="60">
        <f t="shared" si="2"/>
        <v>73</v>
      </c>
      <c r="H19" s="115">
        <v>85665</v>
      </c>
      <c r="I19" s="60">
        <f t="shared" si="3"/>
        <v>17</v>
      </c>
      <c r="J19" s="119">
        <v>178158</v>
      </c>
      <c r="K19" s="63">
        <f t="shared" si="4"/>
        <v>32</v>
      </c>
      <c r="L19" s="120">
        <v>82371</v>
      </c>
      <c r="M19" s="60">
        <f t="shared" si="5"/>
        <v>63</v>
      </c>
      <c r="N19" s="120">
        <v>605208</v>
      </c>
      <c r="O19" s="63">
        <f t="shared" si="6"/>
        <v>35</v>
      </c>
      <c r="P19" s="120">
        <v>158917</v>
      </c>
      <c r="Q19" s="60">
        <f t="shared" si="7"/>
        <v>38</v>
      </c>
      <c r="R19" s="120">
        <v>873949</v>
      </c>
      <c r="S19" s="63">
        <f t="shared" si="8"/>
        <v>134</v>
      </c>
      <c r="T19" s="120">
        <v>67054</v>
      </c>
      <c r="U19" s="60">
        <f t="shared" si="9"/>
        <v>27</v>
      </c>
      <c r="V19" s="120">
        <v>282203</v>
      </c>
      <c r="W19" s="63">
        <f t="shared" si="10"/>
        <v>56</v>
      </c>
      <c r="X19" s="113">
        <v>21007</v>
      </c>
      <c r="Y19" s="60">
        <f t="shared" si="11"/>
        <v>0</v>
      </c>
      <c r="Z19" s="113">
        <v>652943</v>
      </c>
      <c r="AA19" s="63">
        <f t="shared" si="12"/>
        <v>0</v>
      </c>
      <c r="AB19" s="76">
        <v>1410</v>
      </c>
      <c r="AC19" s="60">
        <f t="shared" si="13"/>
        <v>0</v>
      </c>
      <c r="AD19" s="70">
        <f t="shared" si="14"/>
        <v>1789</v>
      </c>
      <c r="AE19" s="18">
        <v>0</v>
      </c>
      <c r="AF19" s="53">
        <f t="shared" si="15"/>
        <v>0</v>
      </c>
    </row>
    <row r="20" spans="1:38">
      <c r="A20" s="52">
        <v>44213</v>
      </c>
      <c r="B20" s="114">
        <v>1452396</v>
      </c>
      <c r="C20" s="63">
        <f t="shared" si="0"/>
        <v>207</v>
      </c>
      <c r="D20" s="118">
        <v>33206850</v>
      </c>
      <c r="E20" s="60">
        <f t="shared" si="1"/>
        <v>983</v>
      </c>
      <c r="F20" s="115">
        <v>4040</v>
      </c>
      <c r="G20" s="60">
        <f t="shared" si="2"/>
        <v>90</v>
      </c>
      <c r="H20" s="115">
        <v>85687</v>
      </c>
      <c r="I20" s="60">
        <f t="shared" si="3"/>
        <v>22</v>
      </c>
      <c r="J20" s="119">
        <v>178166</v>
      </c>
      <c r="K20" s="63">
        <f t="shared" si="4"/>
        <v>8</v>
      </c>
      <c r="L20" s="120">
        <v>82434</v>
      </c>
      <c r="M20" s="60">
        <f t="shared" si="5"/>
        <v>63</v>
      </c>
      <c r="N20" s="120">
        <v>605267</v>
      </c>
      <c r="O20" s="63">
        <f t="shared" si="6"/>
        <v>59</v>
      </c>
      <c r="P20" s="120">
        <v>158956</v>
      </c>
      <c r="Q20" s="60">
        <f t="shared" si="7"/>
        <v>39</v>
      </c>
      <c r="R20" s="120">
        <v>874069</v>
      </c>
      <c r="S20" s="63">
        <f t="shared" si="8"/>
        <v>120</v>
      </c>
      <c r="T20" s="120">
        <v>67071</v>
      </c>
      <c r="U20" s="60">
        <f t="shared" si="9"/>
        <v>17</v>
      </c>
      <c r="V20" s="120">
        <v>282260</v>
      </c>
      <c r="W20" s="63">
        <f t="shared" si="10"/>
        <v>57</v>
      </c>
      <c r="X20" s="113">
        <v>21007</v>
      </c>
      <c r="Y20" s="60">
        <f t="shared" si="11"/>
        <v>0</v>
      </c>
      <c r="Z20" s="113">
        <v>652943</v>
      </c>
      <c r="AA20" s="63">
        <f t="shared" si="12"/>
        <v>0</v>
      </c>
      <c r="AB20" s="76">
        <v>1410</v>
      </c>
      <c r="AC20" s="60">
        <f t="shared" si="13"/>
        <v>0</v>
      </c>
      <c r="AD20" s="70">
        <f t="shared" si="14"/>
        <v>1665</v>
      </c>
      <c r="AE20" s="18">
        <v>0</v>
      </c>
      <c r="AF20" s="53">
        <f t="shared" si="15"/>
        <v>0</v>
      </c>
    </row>
    <row r="21" spans="1:38">
      <c r="A21" s="52">
        <v>44214</v>
      </c>
      <c r="B21" s="114">
        <v>1452648</v>
      </c>
      <c r="C21" s="63">
        <f t="shared" si="0"/>
        <v>252</v>
      </c>
      <c r="D21" s="118">
        <v>33207811</v>
      </c>
      <c r="E21" s="60">
        <f t="shared" si="1"/>
        <v>961</v>
      </c>
      <c r="F21" s="115">
        <v>4121</v>
      </c>
      <c r="G21" s="60">
        <f t="shared" si="2"/>
        <v>81</v>
      </c>
      <c r="H21" s="115">
        <v>85701</v>
      </c>
      <c r="I21" s="60">
        <f t="shared" si="3"/>
        <v>14</v>
      </c>
      <c r="J21" s="119">
        <v>178188</v>
      </c>
      <c r="K21" s="63">
        <f t="shared" si="4"/>
        <v>22</v>
      </c>
      <c r="L21" s="120">
        <v>82493</v>
      </c>
      <c r="M21" s="60">
        <f t="shared" si="5"/>
        <v>59</v>
      </c>
      <c r="N21" s="120">
        <v>605304</v>
      </c>
      <c r="O21" s="63">
        <f t="shared" si="6"/>
        <v>37</v>
      </c>
      <c r="P21" s="120">
        <v>158996</v>
      </c>
      <c r="Q21" s="60">
        <f t="shared" si="7"/>
        <v>40</v>
      </c>
      <c r="R21" s="120">
        <v>874185</v>
      </c>
      <c r="S21" s="63">
        <f t="shared" si="8"/>
        <v>116</v>
      </c>
      <c r="T21" s="120">
        <v>67090</v>
      </c>
      <c r="U21" s="60">
        <f t="shared" si="9"/>
        <v>19</v>
      </c>
      <c r="V21" s="120">
        <v>282318</v>
      </c>
      <c r="W21" s="63">
        <f t="shared" si="10"/>
        <v>58</v>
      </c>
      <c r="X21" s="113">
        <v>21007</v>
      </c>
      <c r="Y21" s="60">
        <f t="shared" si="11"/>
        <v>0</v>
      </c>
      <c r="Z21" s="113">
        <v>652943</v>
      </c>
      <c r="AA21" s="63">
        <f t="shared" si="12"/>
        <v>0</v>
      </c>
      <c r="AB21" s="76">
        <v>1410</v>
      </c>
      <c r="AC21" s="60">
        <f t="shared" si="13"/>
        <v>0</v>
      </c>
      <c r="AD21" s="70">
        <f t="shared" si="14"/>
        <v>1659</v>
      </c>
      <c r="AE21" s="18">
        <v>0</v>
      </c>
      <c r="AF21" s="53">
        <f t="shared" si="15"/>
        <v>0</v>
      </c>
    </row>
    <row r="22" spans="1:38">
      <c r="A22" s="52">
        <v>44215</v>
      </c>
      <c r="B22" s="114">
        <v>1452918</v>
      </c>
      <c r="C22" s="63">
        <f t="shared" si="0"/>
        <v>270</v>
      </c>
      <c r="D22" s="118">
        <v>33208799</v>
      </c>
      <c r="E22" s="60">
        <f t="shared" si="1"/>
        <v>988</v>
      </c>
      <c r="F22" s="115">
        <v>4212</v>
      </c>
      <c r="G22" s="60">
        <f t="shared" si="2"/>
        <v>91</v>
      </c>
      <c r="H22" s="115">
        <v>85726</v>
      </c>
      <c r="I22" s="60">
        <f t="shared" si="3"/>
        <v>25</v>
      </c>
      <c r="J22" s="119">
        <v>178239</v>
      </c>
      <c r="K22" s="63">
        <f t="shared" si="4"/>
        <v>51</v>
      </c>
      <c r="L22" s="120">
        <v>82552</v>
      </c>
      <c r="M22" s="60">
        <f t="shared" si="5"/>
        <v>59</v>
      </c>
      <c r="N22" s="120">
        <v>605310</v>
      </c>
      <c r="O22" s="63">
        <f t="shared" si="6"/>
        <v>6</v>
      </c>
      <c r="P22" s="120">
        <v>159036</v>
      </c>
      <c r="Q22" s="60">
        <f t="shared" si="7"/>
        <v>40</v>
      </c>
      <c r="R22" s="120">
        <v>874314</v>
      </c>
      <c r="S22" s="63">
        <f t="shared" si="8"/>
        <v>129</v>
      </c>
      <c r="T22" s="120">
        <v>67124</v>
      </c>
      <c r="U22" s="60">
        <f t="shared" si="9"/>
        <v>34</v>
      </c>
      <c r="V22" s="120">
        <v>282373</v>
      </c>
      <c r="W22" s="63">
        <f t="shared" si="10"/>
        <v>55</v>
      </c>
      <c r="X22" s="113">
        <v>21007</v>
      </c>
      <c r="Y22" s="60">
        <f t="shared" si="11"/>
        <v>0</v>
      </c>
      <c r="Z22" s="113">
        <v>652943</v>
      </c>
      <c r="AA22" s="63">
        <f t="shared" si="12"/>
        <v>0</v>
      </c>
      <c r="AB22" s="76">
        <v>1410</v>
      </c>
      <c r="AC22" s="60">
        <f t="shared" si="13"/>
        <v>0</v>
      </c>
      <c r="AD22" s="70">
        <f t="shared" si="14"/>
        <v>1748</v>
      </c>
      <c r="AE22" s="18">
        <v>0</v>
      </c>
      <c r="AF22" s="53">
        <f t="shared" si="15"/>
        <v>0</v>
      </c>
    </row>
    <row r="23" spans="1:38">
      <c r="A23" s="52">
        <v>44216</v>
      </c>
      <c r="B23" s="114">
        <v>1453151</v>
      </c>
      <c r="C23" s="63">
        <f t="shared" si="0"/>
        <v>233</v>
      </c>
      <c r="D23" s="118">
        <v>33209763</v>
      </c>
      <c r="E23" s="60">
        <f t="shared" si="1"/>
        <v>964</v>
      </c>
      <c r="F23" s="115">
        <v>4323</v>
      </c>
      <c r="G23" s="60">
        <f t="shared" si="2"/>
        <v>111</v>
      </c>
      <c r="H23" s="115">
        <v>85746</v>
      </c>
      <c r="I23" s="60">
        <f t="shared" si="3"/>
        <v>20</v>
      </c>
      <c r="J23" s="119">
        <v>178270</v>
      </c>
      <c r="K23" s="63">
        <f t="shared" si="4"/>
        <v>31</v>
      </c>
      <c r="L23" s="120">
        <v>82611</v>
      </c>
      <c r="M23" s="60">
        <f t="shared" si="5"/>
        <v>59</v>
      </c>
      <c r="N23" s="120">
        <v>605367</v>
      </c>
      <c r="O23" s="63">
        <f t="shared" si="6"/>
        <v>57</v>
      </c>
      <c r="P23" s="120">
        <v>159077</v>
      </c>
      <c r="Q23" s="60">
        <f t="shared" si="7"/>
        <v>41</v>
      </c>
      <c r="R23" s="120">
        <v>874445</v>
      </c>
      <c r="S23" s="63">
        <f t="shared" si="8"/>
        <v>131</v>
      </c>
      <c r="T23" s="120">
        <v>67142</v>
      </c>
      <c r="U23" s="60">
        <f t="shared" si="9"/>
        <v>18</v>
      </c>
      <c r="V23" s="120">
        <v>282426</v>
      </c>
      <c r="W23" s="63">
        <f t="shared" si="10"/>
        <v>53</v>
      </c>
      <c r="X23" s="113">
        <v>21007</v>
      </c>
      <c r="Y23" s="60">
        <f t="shared" si="11"/>
        <v>0</v>
      </c>
      <c r="Z23" s="113">
        <v>652943</v>
      </c>
      <c r="AA23" s="63">
        <f t="shared" si="12"/>
        <v>0</v>
      </c>
      <c r="AB23" s="76">
        <v>1410</v>
      </c>
      <c r="AC23" s="60">
        <f t="shared" si="13"/>
        <v>0</v>
      </c>
      <c r="AD23" s="70">
        <f t="shared" si="14"/>
        <v>1718</v>
      </c>
      <c r="AE23" s="18">
        <v>0</v>
      </c>
      <c r="AF23" s="53">
        <f t="shared" si="15"/>
        <v>0</v>
      </c>
    </row>
    <row r="24" spans="1:38">
      <c r="A24" s="52">
        <v>44217</v>
      </c>
      <c r="B24" s="114">
        <v>1453348</v>
      </c>
      <c r="C24" s="63">
        <f t="shared" si="0"/>
        <v>197</v>
      </c>
      <c r="D24" s="118">
        <v>33210763</v>
      </c>
      <c r="E24" s="60">
        <f t="shared" si="1"/>
        <v>1000</v>
      </c>
      <c r="F24" s="115">
        <v>4423</v>
      </c>
      <c r="G24" s="60">
        <f t="shared" si="2"/>
        <v>100</v>
      </c>
      <c r="H24" s="115">
        <v>85768</v>
      </c>
      <c r="I24" s="60">
        <f t="shared" si="3"/>
        <v>22</v>
      </c>
      <c r="J24" s="119">
        <v>178299</v>
      </c>
      <c r="K24" s="63">
        <f t="shared" si="4"/>
        <v>29</v>
      </c>
      <c r="L24" s="120">
        <v>82673</v>
      </c>
      <c r="M24" s="60">
        <f t="shared" si="5"/>
        <v>62</v>
      </c>
      <c r="N24" s="120">
        <v>605409</v>
      </c>
      <c r="O24" s="63">
        <f t="shared" si="6"/>
        <v>42</v>
      </c>
      <c r="P24" s="120">
        <v>159128</v>
      </c>
      <c r="Q24" s="60">
        <f t="shared" si="7"/>
        <v>51</v>
      </c>
      <c r="R24" s="120">
        <v>874579</v>
      </c>
      <c r="S24" s="63">
        <f t="shared" si="8"/>
        <v>134</v>
      </c>
      <c r="T24" s="120">
        <v>67169</v>
      </c>
      <c r="U24" s="60">
        <f t="shared" si="9"/>
        <v>27</v>
      </c>
      <c r="V24" s="120">
        <v>282485</v>
      </c>
      <c r="W24" s="63">
        <f t="shared" si="10"/>
        <v>59</v>
      </c>
      <c r="X24" s="113">
        <v>21007</v>
      </c>
      <c r="Y24" s="60">
        <f t="shared" si="11"/>
        <v>0</v>
      </c>
      <c r="Z24" s="113">
        <v>652943</v>
      </c>
      <c r="AA24" s="63">
        <f t="shared" si="12"/>
        <v>0</v>
      </c>
      <c r="AB24" s="76">
        <v>1410</v>
      </c>
      <c r="AC24" s="60">
        <f t="shared" si="13"/>
        <v>0</v>
      </c>
      <c r="AD24" s="70">
        <f t="shared" si="14"/>
        <v>1723</v>
      </c>
      <c r="AE24" s="18">
        <v>0</v>
      </c>
      <c r="AF24" s="53">
        <f t="shared" si="15"/>
        <v>0</v>
      </c>
      <c r="AI24" t="s">
        <v>73</v>
      </c>
    </row>
    <row r="25" spans="1:38">
      <c r="A25" s="52">
        <v>44218</v>
      </c>
      <c r="B25" s="114">
        <v>1453634</v>
      </c>
      <c r="C25" s="63">
        <f t="shared" si="0"/>
        <v>286</v>
      </c>
      <c r="D25" s="118">
        <v>33211684</v>
      </c>
      <c r="E25" s="60">
        <f t="shared" si="1"/>
        <v>921</v>
      </c>
      <c r="F25" s="115">
        <v>4523</v>
      </c>
      <c r="G25" s="60">
        <f t="shared" si="2"/>
        <v>100</v>
      </c>
      <c r="H25" s="115">
        <v>85798</v>
      </c>
      <c r="I25" s="60">
        <f t="shared" si="3"/>
        <v>30</v>
      </c>
      <c r="J25" s="119">
        <v>178328</v>
      </c>
      <c r="K25" s="63">
        <f t="shared" si="4"/>
        <v>29</v>
      </c>
      <c r="L25" s="120">
        <v>82724</v>
      </c>
      <c r="M25" s="60">
        <f t="shared" si="5"/>
        <v>51</v>
      </c>
      <c r="N25" s="120">
        <v>605427</v>
      </c>
      <c r="O25" s="63">
        <f t="shared" si="6"/>
        <v>18</v>
      </c>
      <c r="P25" s="120">
        <v>159167</v>
      </c>
      <c r="Q25" s="60">
        <f t="shared" si="7"/>
        <v>39</v>
      </c>
      <c r="R25" s="120">
        <v>874722</v>
      </c>
      <c r="S25" s="63">
        <f t="shared" si="8"/>
        <v>143</v>
      </c>
      <c r="T25" s="120">
        <v>67195</v>
      </c>
      <c r="U25" s="60">
        <f t="shared" si="9"/>
        <v>26</v>
      </c>
      <c r="V25" s="120">
        <v>282544</v>
      </c>
      <c r="W25" s="63">
        <f t="shared" si="10"/>
        <v>59</v>
      </c>
      <c r="X25" s="113">
        <v>21007</v>
      </c>
      <c r="Y25" s="60">
        <f t="shared" si="11"/>
        <v>0</v>
      </c>
      <c r="Z25" s="113">
        <v>652943</v>
      </c>
      <c r="AA25" s="63">
        <f t="shared" si="12"/>
        <v>0</v>
      </c>
      <c r="AB25" s="76">
        <v>1410</v>
      </c>
      <c r="AC25" s="60">
        <f t="shared" si="13"/>
        <v>0</v>
      </c>
      <c r="AD25" s="70">
        <f t="shared" si="14"/>
        <v>1702</v>
      </c>
      <c r="AE25" s="18">
        <v>0</v>
      </c>
      <c r="AF25" s="53">
        <f t="shared" si="15"/>
        <v>0</v>
      </c>
      <c r="AH25" t="s">
        <v>73</v>
      </c>
    </row>
    <row r="26" spans="1:38">
      <c r="A26" s="52">
        <v>44219</v>
      </c>
      <c r="B26" s="114">
        <v>1453922</v>
      </c>
      <c r="C26" s="63">
        <f t="shared" si="0"/>
        <v>288</v>
      </c>
      <c r="D26" s="118">
        <v>33212584</v>
      </c>
      <c r="E26" s="60">
        <f t="shared" si="1"/>
        <v>900</v>
      </c>
      <c r="F26" s="115">
        <v>4703</v>
      </c>
      <c r="G26" s="60">
        <f t="shared" si="2"/>
        <v>180</v>
      </c>
      <c r="H26" s="115">
        <v>85824</v>
      </c>
      <c r="I26" s="60">
        <f t="shared" si="3"/>
        <v>26</v>
      </c>
      <c r="J26" s="119">
        <v>178353</v>
      </c>
      <c r="K26" s="63">
        <f t="shared" si="4"/>
        <v>25</v>
      </c>
      <c r="L26" s="120">
        <v>82787</v>
      </c>
      <c r="M26" s="60">
        <f t="shared" si="5"/>
        <v>63</v>
      </c>
      <c r="N26" s="120">
        <v>605445</v>
      </c>
      <c r="O26" s="63">
        <f t="shared" si="6"/>
        <v>18</v>
      </c>
      <c r="P26" s="120">
        <v>159207</v>
      </c>
      <c r="Q26" s="60">
        <f t="shared" si="7"/>
        <v>40</v>
      </c>
      <c r="R26" s="120">
        <v>874888</v>
      </c>
      <c r="S26" s="63">
        <f t="shared" si="8"/>
        <v>166</v>
      </c>
      <c r="T26" s="120">
        <v>67214</v>
      </c>
      <c r="U26" s="60">
        <f t="shared" si="9"/>
        <v>19</v>
      </c>
      <c r="V26" s="120">
        <v>282602</v>
      </c>
      <c r="W26" s="63">
        <f t="shared" si="10"/>
        <v>58</v>
      </c>
      <c r="X26" s="113">
        <v>21007</v>
      </c>
      <c r="Y26" s="60">
        <f t="shared" si="11"/>
        <v>0</v>
      </c>
      <c r="Z26" s="113">
        <v>652943</v>
      </c>
      <c r="AA26" s="63">
        <f t="shared" si="12"/>
        <v>0</v>
      </c>
      <c r="AB26" s="76">
        <v>1410</v>
      </c>
      <c r="AC26" s="60">
        <f t="shared" si="13"/>
        <v>0</v>
      </c>
      <c r="AD26" s="70">
        <f t="shared" si="14"/>
        <v>1783</v>
      </c>
      <c r="AE26" s="18">
        <v>0</v>
      </c>
      <c r="AF26" s="53">
        <f t="shared" si="15"/>
        <v>0</v>
      </c>
    </row>
    <row r="27" spans="1:38">
      <c r="A27" s="52">
        <v>44220</v>
      </c>
      <c r="B27" s="114">
        <v>1454148</v>
      </c>
      <c r="C27" s="63">
        <f t="shared" si="0"/>
        <v>226</v>
      </c>
      <c r="D27" s="118">
        <v>33213421</v>
      </c>
      <c r="E27" s="60">
        <f t="shared" si="1"/>
        <v>837</v>
      </c>
      <c r="F27" s="115">
        <v>4815</v>
      </c>
      <c r="G27" s="60">
        <f t="shared" si="2"/>
        <v>112</v>
      </c>
      <c r="H27" s="115">
        <v>85842</v>
      </c>
      <c r="I27" s="60">
        <f t="shared" si="3"/>
        <v>18</v>
      </c>
      <c r="J27" s="119">
        <v>178353</v>
      </c>
      <c r="K27" s="63">
        <f t="shared" si="4"/>
        <v>0</v>
      </c>
      <c r="L27" s="120">
        <v>82838</v>
      </c>
      <c r="M27" s="60">
        <f t="shared" si="5"/>
        <v>51</v>
      </c>
      <c r="N27" s="120">
        <v>605453</v>
      </c>
      <c r="O27" s="63">
        <f t="shared" si="6"/>
        <v>8</v>
      </c>
      <c r="P27" s="120">
        <v>159246</v>
      </c>
      <c r="Q27" s="60">
        <f t="shared" si="7"/>
        <v>39</v>
      </c>
      <c r="R27" s="120">
        <v>875016</v>
      </c>
      <c r="S27" s="63">
        <f t="shared" si="8"/>
        <v>128</v>
      </c>
      <c r="T27" s="120">
        <v>67230</v>
      </c>
      <c r="U27" s="60">
        <f t="shared" si="9"/>
        <v>16</v>
      </c>
      <c r="V27" s="120">
        <v>282662</v>
      </c>
      <c r="W27" s="63">
        <f t="shared" si="10"/>
        <v>60</v>
      </c>
      <c r="X27" s="113">
        <v>21007</v>
      </c>
      <c r="Y27" s="60">
        <f t="shared" si="11"/>
        <v>0</v>
      </c>
      <c r="Z27" s="113">
        <v>652943</v>
      </c>
      <c r="AA27" s="63">
        <f t="shared" si="12"/>
        <v>0</v>
      </c>
      <c r="AB27" s="76">
        <v>1410</v>
      </c>
      <c r="AC27" s="60">
        <f t="shared" si="13"/>
        <v>0</v>
      </c>
      <c r="AD27" s="70">
        <f t="shared" si="14"/>
        <v>1495</v>
      </c>
      <c r="AE27" s="18">
        <v>0</v>
      </c>
      <c r="AF27" s="53">
        <f t="shared" si="15"/>
        <v>0</v>
      </c>
    </row>
    <row r="28" spans="1:38">
      <c r="A28" s="52">
        <v>44221</v>
      </c>
      <c r="B28" s="114">
        <v>1454403</v>
      </c>
      <c r="C28" s="63">
        <f t="shared" si="0"/>
        <v>255</v>
      </c>
      <c r="D28" s="118">
        <v>33214217</v>
      </c>
      <c r="E28" s="60">
        <f t="shared" si="1"/>
        <v>796</v>
      </c>
      <c r="F28" s="115">
        <v>4926</v>
      </c>
      <c r="G28" s="60">
        <f t="shared" si="2"/>
        <v>111</v>
      </c>
      <c r="H28" s="115">
        <v>85864</v>
      </c>
      <c r="I28" s="60">
        <f t="shared" si="3"/>
        <v>22</v>
      </c>
      <c r="J28" s="119">
        <v>178386</v>
      </c>
      <c r="K28" s="63">
        <f t="shared" si="4"/>
        <v>33</v>
      </c>
      <c r="L28" s="120">
        <v>82897</v>
      </c>
      <c r="M28" s="60">
        <f t="shared" si="5"/>
        <v>59</v>
      </c>
      <c r="N28" s="120">
        <v>605508</v>
      </c>
      <c r="O28" s="63">
        <f t="shared" si="6"/>
        <v>55</v>
      </c>
      <c r="P28" s="120">
        <v>159284</v>
      </c>
      <c r="Q28" s="60">
        <f t="shared" si="7"/>
        <v>38</v>
      </c>
      <c r="R28" s="120">
        <v>875116</v>
      </c>
      <c r="S28" s="63">
        <f t="shared" si="8"/>
        <v>100</v>
      </c>
      <c r="T28" s="120">
        <v>67251</v>
      </c>
      <c r="U28" s="60">
        <f t="shared" si="9"/>
        <v>21</v>
      </c>
      <c r="V28" s="120">
        <v>282724</v>
      </c>
      <c r="W28" s="63">
        <f t="shared" si="10"/>
        <v>62</v>
      </c>
      <c r="X28" s="113">
        <v>21007</v>
      </c>
      <c r="Y28" s="60">
        <f t="shared" si="11"/>
        <v>0</v>
      </c>
      <c r="Z28" s="113">
        <v>652943</v>
      </c>
      <c r="AA28" s="63">
        <f t="shared" si="12"/>
        <v>0</v>
      </c>
      <c r="AB28" s="76">
        <v>1410</v>
      </c>
      <c r="AC28" s="60">
        <f t="shared" si="13"/>
        <v>0</v>
      </c>
      <c r="AD28" s="70">
        <f t="shared" si="14"/>
        <v>1552</v>
      </c>
      <c r="AE28" s="18">
        <v>0</v>
      </c>
      <c r="AF28" s="53">
        <f t="shared" si="15"/>
        <v>0</v>
      </c>
    </row>
    <row r="29" spans="1:38">
      <c r="A29" s="52">
        <v>44222</v>
      </c>
      <c r="B29" s="114">
        <v>1454633</v>
      </c>
      <c r="C29" s="63">
        <f t="shared" si="0"/>
        <v>230</v>
      </c>
      <c r="D29" s="118">
        <v>33215066</v>
      </c>
      <c r="E29" s="60">
        <f t="shared" si="1"/>
        <v>849</v>
      </c>
      <c r="F29" s="115">
        <v>5013</v>
      </c>
      <c r="G29" s="60">
        <f t="shared" si="2"/>
        <v>87</v>
      </c>
      <c r="H29" s="115">
        <v>85882</v>
      </c>
      <c r="I29" s="60">
        <f t="shared" si="3"/>
        <v>18</v>
      </c>
      <c r="J29" s="119">
        <v>178414</v>
      </c>
      <c r="K29" s="63">
        <f t="shared" si="4"/>
        <v>28</v>
      </c>
      <c r="L29" s="120">
        <v>82949</v>
      </c>
      <c r="M29" s="60">
        <f t="shared" si="5"/>
        <v>52</v>
      </c>
      <c r="N29" s="120">
        <v>605567</v>
      </c>
      <c r="O29" s="63">
        <f t="shared" si="6"/>
        <v>59</v>
      </c>
      <c r="P29" s="120">
        <v>159325</v>
      </c>
      <c r="Q29" s="60">
        <f t="shared" si="7"/>
        <v>41</v>
      </c>
      <c r="R29" s="120">
        <v>875225</v>
      </c>
      <c r="S29" s="63">
        <f t="shared" si="8"/>
        <v>109</v>
      </c>
      <c r="T29" s="120">
        <v>67273</v>
      </c>
      <c r="U29" s="60">
        <f t="shared" si="9"/>
        <v>22</v>
      </c>
      <c r="V29" s="120">
        <v>282782</v>
      </c>
      <c r="W29" s="63">
        <f t="shared" si="10"/>
        <v>58</v>
      </c>
      <c r="X29" s="113">
        <v>21007</v>
      </c>
      <c r="Y29" s="60">
        <f t="shared" si="11"/>
        <v>0</v>
      </c>
      <c r="Z29" s="113">
        <v>652943</v>
      </c>
      <c r="AA29" s="63">
        <f t="shared" si="12"/>
        <v>0</v>
      </c>
      <c r="AB29" s="76">
        <v>1410</v>
      </c>
      <c r="AC29" s="60">
        <f t="shared" si="13"/>
        <v>0</v>
      </c>
      <c r="AD29" s="70">
        <f t="shared" si="14"/>
        <v>1553</v>
      </c>
      <c r="AE29" s="18">
        <v>0</v>
      </c>
      <c r="AF29" s="53">
        <f t="shared" si="15"/>
        <v>0</v>
      </c>
      <c r="AL29" t="s">
        <v>73</v>
      </c>
    </row>
    <row r="30" spans="1:38">
      <c r="A30" s="52">
        <v>44223</v>
      </c>
      <c r="B30" s="114">
        <v>1454855</v>
      </c>
      <c r="C30" s="63">
        <f t="shared" si="0"/>
        <v>222</v>
      </c>
      <c r="D30" s="118">
        <v>33215989</v>
      </c>
      <c r="E30" s="60">
        <f t="shared" si="1"/>
        <v>923</v>
      </c>
      <c r="F30" s="115">
        <v>5108</v>
      </c>
      <c r="G30" s="60">
        <f t="shared" si="2"/>
        <v>95</v>
      </c>
      <c r="H30" s="115">
        <v>85902</v>
      </c>
      <c r="I30" s="60">
        <f t="shared" si="3"/>
        <v>20</v>
      </c>
      <c r="J30" s="119">
        <v>178452</v>
      </c>
      <c r="K30" s="63">
        <f t="shared" si="4"/>
        <v>38</v>
      </c>
      <c r="L30" s="120">
        <v>83012</v>
      </c>
      <c r="M30" s="60">
        <f t="shared" si="5"/>
        <v>63</v>
      </c>
      <c r="N30" s="120">
        <v>605626</v>
      </c>
      <c r="O30" s="63">
        <f t="shared" si="6"/>
        <v>59</v>
      </c>
      <c r="P30" s="120">
        <v>159367</v>
      </c>
      <c r="Q30" s="60">
        <f t="shared" si="7"/>
        <v>42</v>
      </c>
      <c r="R30" s="120">
        <v>875350</v>
      </c>
      <c r="S30" s="63">
        <f t="shared" si="8"/>
        <v>125</v>
      </c>
      <c r="T30" s="120">
        <v>67303</v>
      </c>
      <c r="U30" s="60">
        <f t="shared" si="9"/>
        <v>30</v>
      </c>
      <c r="V30" s="120">
        <v>282837</v>
      </c>
      <c r="W30" s="63">
        <f t="shared" si="10"/>
        <v>55</v>
      </c>
      <c r="X30" s="113">
        <v>21007</v>
      </c>
      <c r="Y30" s="60">
        <f t="shared" si="11"/>
        <v>0</v>
      </c>
      <c r="Z30" s="113">
        <v>652943</v>
      </c>
      <c r="AA30" s="63">
        <f t="shared" si="12"/>
        <v>0</v>
      </c>
      <c r="AB30" s="76">
        <v>1410</v>
      </c>
      <c r="AC30" s="60">
        <f t="shared" si="13"/>
        <v>0</v>
      </c>
      <c r="AD30" s="70">
        <f t="shared" si="14"/>
        <v>1672</v>
      </c>
      <c r="AE30" s="18">
        <v>0</v>
      </c>
      <c r="AF30" s="53">
        <f t="shared" si="15"/>
        <v>0</v>
      </c>
    </row>
    <row r="31" spans="1:38">
      <c r="A31" s="52">
        <v>44224</v>
      </c>
      <c r="B31" s="114">
        <v>1455080</v>
      </c>
      <c r="C31" s="63">
        <f t="shared" si="0"/>
        <v>225</v>
      </c>
      <c r="D31" s="118">
        <v>33216918</v>
      </c>
      <c r="E31" s="60">
        <f t="shared" si="1"/>
        <v>929</v>
      </c>
      <c r="F31" s="115">
        <v>5192</v>
      </c>
      <c r="G31" s="60">
        <f t="shared" si="2"/>
        <v>84</v>
      </c>
      <c r="H31" s="115">
        <v>85924</v>
      </c>
      <c r="I31" s="60">
        <f t="shared" si="3"/>
        <v>22</v>
      </c>
      <c r="J31" s="119">
        <v>178499</v>
      </c>
      <c r="K31" s="63">
        <f t="shared" si="4"/>
        <v>47</v>
      </c>
      <c r="L31" s="120">
        <v>83071</v>
      </c>
      <c r="M31" s="60">
        <f t="shared" si="5"/>
        <v>59</v>
      </c>
      <c r="N31" s="120">
        <v>605740</v>
      </c>
      <c r="O31" s="63">
        <f t="shared" si="6"/>
        <v>114</v>
      </c>
      <c r="P31" s="120">
        <v>159416</v>
      </c>
      <c r="Q31" s="60">
        <f t="shared" si="7"/>
        <v>49</v>
      </c>
      <c r="R31" s="120">
        <v>875506</v>
      </c>
      <c r="S31" s="63">
        <f t="shared" si="8"/>
        <v>156</v>
      </c>
      <c r="T31" s="120">
        <v>67323</v>
      </c>
      <c r="U31" s="60">
        <f t="shared" si="9"/>
        <v>20</v>
      </c>
      <c r="V31" s="120">
        <v>282896</v>
      </c>
      <c r="W31" s="63">
        <f t="shared" si="10"/>
        <v>59</v>
      </c>
      <c r="X31" s="113">
        <v>21007</v>
      </c>
      <c r="Y31" s="60">
        <f t="shared" si="11"/>
        <v>0</v>
      </c>
      <c r="Z31" s="113">
        <v>652943</v>
      </c>
      <c r="AA31" s="63">
        <f t="shared" si="12"/>
        <v>0</v>
      </c>
      <c r="AB31" s="76">
        <v>1410</v>
      </c>
      <c r="AC31" s="60">
        <f t="shared" si="13"/>
        <v>0</v>
      </c>
      <c r="AD31" s="70">
        <f>AC31+AA31+Y31+W31+U31+S31+Q31+O31+M31+K31+I31+G31+E31+C31</f>
        <v>1764</v>
      </c>
      <c r="AE31" s="18">
        <v>0</v>
      </c>
      <c r="AF31" s="53">
        <f t="shared" si="15"/>
        <v>0</v>
      </c>
    </row>
    <row r="32" spans="1:38">
      <c r="A32" s="52">
        <v>44225</v>
      </c>
      <c r="B32" s="114">
        <v>1455418</v>
      </c>
      <c r="C32" s="64">
        <f t="shared" si="0"/>
        <v>338</v>
      </c>
      <c r="D32" s="118">
        <v>33217830</v>
      </c>
      <c r="E32" s="60">
        <f t="shared" si="1"/>
        <v>912</v>
      </c>
      <c r="F32" s="115">
        <v>5315</v>
      </c>
      <c r="G32" s="60">
        <f t="shared" si="2"/>
        <v>123</v>
      </c>
      <c r="H32" s="115">
        <v>85955</v>
      </c>
      <c r="I32" s="60">
        <f t="shared" si="3"/>
        <v>31</v>
      </c>
      <c r="J32" s="119">
        <v>178534</v>
      </c>
      <c r="K32" s="63">
        <f t="shared" si="4"/>
        <v>35</v>
      </c>
      <c r="L32" s="120">
        <v>83125</v>
      </c>
      <c r="M32" s="60">
        <f t="shared" si="5"/>
        <v>54</v>
      </c>
      <c r="N32" s="120">
        <v>605825</v>
      </c>
      <c r="O32" s="63">
        <f t="shared" si="6"/>
        <v>85</v>
      </c>
      <c r="P32" s="120">
        <v>159464</v>
      </c>
      <c r="Q32" s="60">
        <f t="shared" si="7"/>
        <v>48</v>
      </c>
      <c r="R32" s="120">
        <v>875674</v>
      </c>
      <c r="S32" s="63">
        <f t="shared" si="8"/>
        <v>168</v>
      </c>
      <c r="T32" s="120">
        <v>67352</v>
      </c>
      <c r="U32" s="60">
        <f t="shared" si="9"/>
        <v>29</v>
      </c>
      <c r="V32" s="120">
        <v>282957</v>
      </c>
      <c r="W32" s="63">
        <f t="shared" si="10"/>
        <v>61</v>
      </c>
      <c r="X32" s="113">
        <v>21007</v>
      </c>
      <c r="Y32" s="60">
        <f t="shared" si="11"/>
        <v>0</v>
      </c>
      <c r="Z32" s="113">
        <v>652943</v>
      </c>
      <c r="AA32" s="63">
        <f t="shared" si="12"/>
        <v>0</v>
      </c>
      <c r="AB32" s="76">
        <v>1410</v>
      </c>
      <c r="AC32" s="60">
        <f t="shared" si="13"/>
        <v>0</v>
      </c>
      <c r="AD32" s="70">
        <f>AC32+AA32+Y32+W32+U32+S32+Q32+O32+M32+K32+I32+G32+E32+C32</f>
        <v>1884</v>
      </c>
      <c r="AE32" s="18">
        <v>0</v>
      </c>
      <c r="AF32" s="53">
        <f t="shared" si="15"/>
        <v>0</v>
      </c>
    </row>
    <row r="33" spans="1:32">
      <c r="A33" s="52">
        <v>44226</v>
      </c>
      <c r="B33" s="114">
        <v>1455657</v>
      </c>
      <c r="C33" s="65">
        <f t="shared" si="0"/>
        <v>239</v>
      </c>
      <c r="D33" s="118">
        <v>33218621</v>
      </c>
      <c r="E33" s="61">
        <f t="shared" si="1"/>
        <v>791</v>
      </c>
      <c r="F33" s="115">
        <v>5414</v>
      </c>
      <c r="G33" s="60">
        <f t="shared" si="2"/>
        <v>99</v>
      </c>
      <c r="H33" s="115">
        <v>85981</v>
      </c>
      <c r="I33" s="61">
        <f t="shared" si="3"/>
        <v>26</v>
      </c>
      <c r="J33" s="119">
        <v>178558</v>
      </c>
      <c r="K33" s="64">
        <f t="shared" si="4"/>
        <v>24</v>
      </c>
      <c r="L33" s="120">
        <v>83181</v>
      </c>
      <c r="M33" s="61">
        <f t="shared" si="5"/>
        <v>56</v>
      </c>
      <c r="N33" s="120">
        <v>605872</v>
      </c>
      <c r="O33" s="64">
        <f t="shared" si="6"/>
        <v>47</v>
      </c>
      <c r="P33" s="120">
        <v>159502</v>
      </c>
      <c r="Q33" s="61">
        <f t="shared" si="7"/>
        <v>38</v>
      </c>
      <c r="R33" s="120">
        <v>875869</v>
      </c>
      <c r="S33" s="63">
        <f t="shared" si="8"/>
        <v>195</v>
      </c>
      <c r="T33" s="120">
        <v>67369</v>
      </c>
      <c r="U33" s="60">
        <f t="shared" si="9"/>
        <v>17</v>
      </c>
      <c r="V33" s="120">
        <v>283012</v>
      </c>
      <c r="W33" s="63">
        <f t="shared" si="10"/>
        <v>55</v>
      </c>
      <c r="X33" s="113">
        <v>21007</v>
      </c>
      <c r="Y33" s="60">
        <f t="shared" si="11"/>
        <v>0</v>
      </c>
      <c r="Z33" s="113">
        <v>652943</v>
      </c>
      <c r="AA33" s="63">
        <f t="shared" si="12"/>
        <v>0</v>
      </c>
      <c r="AB33" s="76">
        <v>1410</v>
      </c>
      <c r="AC33" s="60">
        <f t="shared" si="13"/>
        <v>0</v>
      </c>
      <c r="AD33" s="73">
        <f>AC33+AA33+Y33+W33+U33+S33+Q33+O33+M33+K33+I33+G33+E33+C33</f>
        <v>1587</v>
      </c>
      <c r="AE33" s="66">
        <v>0</v>
      </c>
      <c r="AF33" s="53">
        <f t="shared" si="15"/>
        <v>0</v>
      </c>
    </row>
    <row r="34" spans="1:32">
      <c r="A34" s="52">
        <v>44227</v>
      </c>
      <c r="B34" s="114">
        <v>1455929</v>
      </c>
      <c r="C34" s="65">
        <f>IF((B34-B33)&lt;0,"0",(B34-B33))</f>
        <v>272</v>
      </c>
      <c r="D34" s="118">
        <v>33219465</v>
      </c>
      <c r="E34" s="61">
        <f>IF((D34-D33)&lt;0,"0",(D34-D33))</f>
        <v>844</v>
      </c>
      <c r="F34" s="115">
        <v>5502</v>
      </c>
      <c r="G34" s="60">
        <f t="shared" si="2"/>
        <v>88</v>
      </c>
      <c r="H34" s="115">
        <v>86000</v>
      </c>
      <c r="I34" s="61">
        <f>IF((H34-H33)&lt;0,"0",(H34-H33))</f>
        <v>19</v>
      </c>
      <c r="J34" s="119">
        <v>178558</v>
      </c>
      <c r="K34" s="64">
        <f>IF((J34-J33)&lt;0,"0",(J34-J33))</f>
        <v>0</v>
      </c>
      <c r="L34" s="120">
        <v>83247</v>
      </c>
      <c r="M34" s="61">
        <f>IF((L34-L33)&lt;0,"0",(L34-L33))</f>
        <v>66</v>
      </c>
      <c r="N34" s="120">
        <v>605907</v>
      </c>
      <c r="O34" s="64">
        <f>IF((N34-N33)&lt;0,"0",(N34-N33))</f>
        <v>35</v>
      </c>
      <c r="P34" s="120">
        <v>159544</v>
      </c>
      <c r="Q34" s="61">
        <f>IF((P34-P33)&lt;0,"0",(P34-P33))</f>
        <v>42</v>
      </c>
      <c r="R34" s="120">
        <v>876075</v>
      </c>
      <c r="S34" s="63">
        <f>IF((R34-R33)&lt;0,"0",(R34-R33))</f>
        <v>206</v>
      </c>
      <c r="T34" s="120">
        <v>67393</v>
      </c>
      <c r="U34" s="60">
        <f>IF((T34-T33)&lt;0,"0",(T34-T33))</f>
        <v>24</v>
      </c>
      <c r="V34" s="120">
        <v>283070</v>
      </c>
      <c r="W34" s="63">
        <f>IF((V34-V33)&lt;0,"0",(V34-V33))</f>
        <v>58</v>
      </c>
      <c r="X34" s="113">
        <v>21007</v>
      </c>
      <c r="Y34" s="60">
        <f>IF((X34-X33)&lt;0,"0",(X34-X33))</f>
        <v>0</v>
      </c>
      <c r="Z34" s="113">
        <v>652943</v>
      </c>
      <c r="AA34" s="63">
        <f>IF((Z34-Z33)&lt;0,"0",(Z34-Z33))</f>
        <v>0</v>
      </c>
      <c r="AB34" s="76">
        <v>1410</v>
      </c>
      <c r="AC34" s="60">
        <f>IF((AB34-AB33)&lt;0,"0",(AB34-AB33))</f>
        <v>0</v>
      </c>
      <c r="AD34" s="73">
        <f>AC34+AA34+Y34+W34+U34+S34+Q34+O34+M34+K34+I34+G34+E34+C34</f>
        <v>1654</v>
      </c>
      <c r="AE34" s="66">
        <v>0</v>
      </c>
      <c r="AF34" s="53">
        <f>IF((AE34-AE33)&lt;0,"0",(AE34-AE33))</f>
        <v>0</v>
      </c>
    </row>
    <row r="35" spans="1:32">
      <c r="C35" s="17"/>
      <c r="E35" s="17"/>
      <c r="G35" s="17"/>
      <c r="I35" s="17"/>
      <c r="K35" s="17"/>
      <c r="M35" s="17"/>
      <c r="O35" s="17"/>
      <c r="Q35" s="17"/>
      <c r="S35" s="17"/>
      <c r="U35" s="17"/>
      <c r="W35" s="17"/>
      <c r="Y35" s="17"/>
      <c r="AA35" s="17"/>
      <c r="AC35" s="17"/>
      <c r="AF35" s="17"/>
    </row>
  </sheetData>
  <mergeCells count="1">
    <mergeCell ref="A1:AF1"/>
  </mergeCells>
  <phoneticPr fontId="0" type="noConversion"/>
  <conditionalFormatting sqref="AD3 AD4:AE34 C3:C34 I3:I34 K3:K34 M3:M34 O3:O34 Q3:Q34 S3:S34 U3:U34 W3:AC23 Y24:AC33 Y34:AE34 W24:X34 Z26:Z34 A2:A34 G3:G34 E3:E34">
    <cfRule type="cellIs" dxfId="41" priority="324" stopIfTrue="1" operator="lessThan">
      <formula>0</formula>
    </cfRule>
  </conditionalFormatting>
  <conditionalFormatting sqref="X3:X15">
    <cfRule type="cellIs" dxfId="40" priority="99" stopIfTrue="1" operator="lessThan">
      <formula>0</formula>
    </cfRule>
  </conditionalFormatting>
  <conditionalFormatting sqref="X3:X15">
    <cfRule type="cellIs" dxfId="39" priority="98" stopIfTrue="1" operator="lessThan">
      <formula>0</formula>
    </cfRule>
  </conditionalFormatting>
  <conditionalFormatting sqref="Z3:Z15">
    <cfRule type="cellIs" dxfId="38" priority="97" stopIfTrue="1" operator="lessThan">
      <formula>0</formula>
    </cfRule>
  </conditionalFormatting>
  <conditionalFormatting sqref="Z3:Z15">
    <cfRule type="cellIs" dxfId="37" priority="96" stopIfTrue="1" operator="lessThan">
      <formula>0</formula>
    </cfRule>
  </conditionalFormatting>
  <conditionalFormatting sqref="X16:X34">
    <cfRule type="cellIs" dxfId="36" priority="84" stopIfTrue="1" operator="lessThan">
      <formula>0</formula>
    </cfRule>
  </conditionalFormatting>
  <conditionalFormatting sqref="Z16:Z23">
    <cfRule type="cellIs" dxfId="35" priority="83" stopIfTrue="1" operator="lessThan">
      <formula>0</formula>
    </cfRule>
  </conditionalFormatting>
  <conditionalFormatting sqref="Z24:Z34">
    <cfRule type="cellIs" dxfId="34" priority="70" stopIfTrue="1" operator="lessThan">
      <formula>0</formula>
    </cfRule>
  </conditionalFormatting>
  <conditionalFormatting sqref="X3:X14">
    <cfRule type="cellIs" dxfId="33" priority="58" stopIfTrue="1" operator="lessThan">
      <formula>0</formula>
    </cfRule>
  </conditionalFormatting>
  <conditionalFormatting sqref="Z3:Z14">
    <cfRule type="cellIs" dxfId="32" priority="57" stopIfTrue="1" operator="lessThan">
      <formula>0</formula>
    </cfRule>
  </conditionalFormatting>
  <conditionalFormatting sqref="X3:X34">
    <cfRule type="cellIs" dxfId="31" priority="44" stopIfTrue="1" operator="lessThan">
      <formula>0</formula>
    </cfRule>
  </conditionalFormatting>
  <conditionalFormatting sqref="Z3:Z24 Z26 Z28 Z30 Z32 Z34">
    <cfRule type="cellIs" dxfId="30" priority="43" stopIfTrue="1" operator="lessThan">
      <formula>0</formula>
    </cfRule>
  </conditionalFormatting>
  <conditionalFormatting sqref="Z24:Z34">
    <cfRule type="cellIs" dxfId="29" priority="30" stopIfTrue="1" operator="lessThan">
      <formula>0</formula>
    </cfRule>
  </conditionalFormatting>
  <conditionalFormatting sqref="D5:D8 D10:D34">
    <cfRule type="cellIs" dxfId="28" priority="29" stopIfTrue="1" operator="lessThan">
      <formula>0</formula>
    </cfRule>
  </conditionalFormatting>
  <conditionalFormatting sqref="D9">
    <cfRule type="cellIs" dxfId="27" priority="28" stopIfTrue="1" operator="lessThan">
      <formula>0</formula>
    </cfRule>
  </conditionalFormatting>
  <conditionalFormatting sqref="D5:D33">
    <cfRule type="cellIs" dxfId="26" priority="27" stopIfTrue="1" operator="lessThan">
      <formula>0</formula>
    </cfRule>
  </conditionalFormatting>
  <conditionalFormatting sqref="D5:D34">
    <cfRule type="duplicateValues" dxfId="25" priority="26"/>
  </conditionalFormatting>
  <conditionalFormatting sqref="D4">
    <cfRule type="cellIs" dxfId="24" priority="25" stopIfTrue="1" operator="lessThan">
      <formula>0</formula>
    </cfRule>
  </conditionalFormatting>
  <conditionalFormatting sqref="D4">
    <cfRule type="duplicateValues" dxfId="23" priority="24"/>
  </conditionalFormatting>
  <conditionalFormatting sqref="D3">
    <cfRule type="cellIs" dxfId="22" priority="23" stopIfTrue="1" operator="lessThan">
      <formula>0</formula>
    </cfRule>
  </conditionalFormatting>
  <conditionalFormatting sqref="D3">
    <cfRule type="duplicateValues" dxfId="21" priority="22"/>
  </conditionalFormatting>
  <conditionalFormatting sqref="J34">
    <cfRule type="cellIs" dxfId="20" priority="21" stopIfTrue="1" operator="lessThan">
      <formula>0</formula>
    </cfRule>
  </conditionalFormatting>
  <conditionalFormatting sqref="J11:J33">
    <cfRule type="cellIs" dxfId="19" priority="20" stopIfTrue="1" operator="lessThan">
      <formula>0</formula>
    </cfRule>
  </conditionalFormatting>
  <conditionalFormatting sqref="J4:J10">
    <cfRule type="cellIs" dxfId="18" priority="19" stopIfTrue="1" operator="lessThan">
      <formula>0</formula>
    </cfRule>
  </conditionalFormatting>
  <conditionalFormatting sqref="J3">
    <cfRule type="cellIs" dxfId="17" priority="18" stopIfTrue="1" operator="lessThan">
      <formula>0</formula>
    </cfRule>
  </conditionalFormatting>
  <conditionalFormatting sqref="L34">
    <cfRule type="cellIs" dxfId="16" priority="17" stopIfTrue="1" operator="lessThan">
      <formula>0</formula>
    </cfRule>
  </conditionalFormatting>
  <conditionalFormatting sqref="L4:L33">
    <cfRule type="cellIs" dxfId="15" priority="16" stopIfTrue="1" operator="lessThan">
      <formula>0</formula>
    </cfRule>
  </conditionalFormatting>
  <conditionalFormatting sqref="L3">
    <cfRule type="cellIs" dxfId="14" priority="15" stopIfTrue="1" operator="lessThan">
      <formula>0</formula>
    </cfRule>
  </conditionalFormatting>
  <conditionalFormatting sqref="N4:N34">
    <cfRule type="cellIs" dxfId="13" priority="14" stopIfTrue="1" operator="lessThan">
      <formula>0</formula>
    </cfRule>
  </conditionalFormatting>
  <conditionalFormatting sqref="N3">
    <cfRule type="cellIs" dxfId="12" priority="13" stopIfTrue="1" operator="lessThan">
      <formula>0</formula>
    </cfRule>
  </conditionalFormatting>
  <conditionalFormatting sqref="P34 P14">
    <cfRule type="cellIs" dxfId="11" priority="12" stopIfTrue="1" operator="lessThan">
      <formula>0</formula>
    </cfRule>
  </conditionalFormatting>
  <conditionalFormatting sqref="P4:P13 P15:P33">
    <cfRule type="cellIs" dxfId="10" priority="11" stopIfTrue="1" operator="lessThan">
      <formula>0</formula>
    </cfRule>
  </conditionalFormatting>
  <conditionalFormatting sqref="P3">
    <cfRule type="cellIs" dxfId="9" priority="10" stopIfTrue="1" operator="lessThan">
      <formula>0</formula>
    </cfRule>
  </conditionalFormatting>
  <conditionalFormatting sqref="R5:R34">
    <cfRule type="cellIs" dxfId="8" priority="9" stopIfTrue="1" operator="lessThan">
      <formula>0</formula>
    </cfRule>
  </conditionalFormatting>
  <conditionalFormatting sqref="R4">
    <cfRule type="cellIs" dxfId="7" priority="8" stopIfTrue="1" operator="lessThan">
      <formula>0</formula>
    </cfRule>
  </conditionalFormatting>
  <conditionalFormatting sqref="R3">
    <cfRule type="cellIs" dxfId="6" priority="7" stopIfTrue="1" operator="lessThan">
      <formula>0</formula>
    </cfRule>
  </conditionalFormatting>
  <conditionalFormatting sqref="T34">
    <cfRule type="cellIs" dxfId="5" priority="6" stopIfTrue="1" operator="lessThan">
      <formula>0</formula>
    </cfRule>
  </conditionalFormatting>
  <conditionalFormatting sqref="T4:T33">
    <cfRule type="cellIs" dxfId="4" priority="5" stopIfTrue="1" operator="lessThan">
      <formula>0</formula>
    </cfRule>
  </conditionalFormatting>
  <conditionalFormatting sqref="T3">
    <cfRule type="cellIs" dxfId="3" priority="4" stopIfTrue="1" operator="lessThan">
      <formula>0</formula>
    </cfRule>
  </conditionalFormatting>
  <conditionalFormatting sqref="V34">
    <cfRule type="cellIs" dxfId="2" priority="3" stopIfTrue="1" operator="lessThan">
      <formula>0</formula>
    </cfRule>
  </conditionalFormatting>
  <conditionalFormatting sqref="V4:V33">
    <cfRule type="cellIs" dxfId="1" priority="2" stopIfTrue="1" operator="lessThan">
      <formula>0</formula>
    </cfRule>
  </conditionalFormatting>
  <conditionalFormatting sqref="V3">
    <cfRule type="cellIs" dxfId="0" priority="1" stopIfTrue="1" operator="lessThan">
      <formula>0</formula>
    </cfRule>
  </conditionalFormatting>
  <pageMargins left="0.75" right="0.75" top="1" bottom="1" header="0.5" footer="0.5"/>
  <pageSetup paperSize="9" scale="7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6F3ED90E2271449ABAC186C6BA6802" ma:contentTypeVersion="12" ma:contentTypeDescription="Create a new document." ma:contentTypeScope="" ma:versionID="96b5b4a5935de167ba685e580b176d17">
  <xsd:schema xmlns:xsd="http://www.w3.org/2001/XMLSchema" xmlns:xs="http://www.w3.org/2001/XMLSchema" xmlns:p="http://schemas.microsoft.com/office/2006/metadata/properties" xmlns:ns2="8444b4a5-31e9-439c-ad4b-ef06b9d19991" xmlns:ns3="2d8748ec-992c-4be6-818f-09daf1d5c913" targetNamespace="http://schemas.microsoft.com/office/2006/metadata/properties" ma:root="true" ma:fieldsID="2eb9a22d357aa6b1562aed666c19778f" ns2:_="" ns3:_="">
    <xsd:import namespace="8444b4a5-31e9-439c-ad4b-ef06b9d19991"/>
    <xsd:import namespace="2d8748ec-992c-4be6-818f-09daf1d5c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4b4a5-31e9-439c-ad4b-ef06b9d199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8748ec-992c-4be6-818f-09daf1d5c91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E01D12-ED81-4A01-B5B8-2A82682A7D75}"/>
</file>

<file path=customXml/itemProps2.xml><?xml version="1.0" encoding="utf-8"?>
<ds:datastoreItem xmlns:ds="http://schemas.openxmlformats.org/officeDocument/2006/customXml" ds:itemID="{F08854F8-E8BB-4D41-B5A7-F9BF58E42E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/>
  <cp:revision/>
  <dcterms:created xsi:type="dcterms:W3CDTF">2017-07-31T14:40:49Z</dcterms:created>
  <dcterms:modified xsi:type="dcterms:W3CDTF">2021-02-05T09:25:17Z</dcterms:modified>
  <cp:category/>
  <cp:contentStatus/>
</cp:coreProperties>
</file>