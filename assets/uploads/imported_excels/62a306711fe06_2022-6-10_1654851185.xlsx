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90" yWindow="60" windowWidth="14325" windowHeight="11805" tabRatio="579" firstSheet="2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K13" i="3" l="1"/>
  <c r="K14" i="3"/>
  <c r="D49" i="3"/>
  <c r="D48" i="3"/>
  <c r="D47" i="3"/>
  <c r="D46" i="3"/>
  <c r="D45" i="3"/>
  <c r="D42" i="3"/>
  <c r="D43" i="3" s="1"/>
  <c r="D44" i="3" s="1"/>
  <c r="D41" i="3"/>
  <c r="B43" i="3"/>
  <c r="C11" i="3"/>
  <c r="B5" i="3"/>
  <c r="C3" i="3"/>
  <c r="I42" i="3"/>
  <c r="C8" i="3"/>
  <c r="C9" i="3"/>
  <c r="C10" i="3"/>
  <c r="C2" i="3"/>
  <c r="B6" i="3" l="1"/>
  <c r="C5" i="3"/>
  <c r="C4" i="3"/>
  <c r="J7" i="3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C6" i="3" l="1"/>
  <c r="C7" i="3"/>
  <c r="D10" i="73"/>
  <c r="C5" i="5" l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R4" i="1" l="1"/>
  <c r="S4" i="1"/>
  <c r="T4" i="1"/>
  <c r="U4" i="1"/>
  <c r="V4" i="1"/>
  <c r="W4" i="1"/>
  <c r="X4" i="1"/>
  <c r="Y4" i="1"/>
  <c r="Z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C4" i="1"/>
  <c r="B4" i="1"/>
  <c r="W3" i="2"/>
  <c r="U3" i="2"/>
  <c r="S3" i="2"/>
  <c r="P3" i="2"/>
  <c r="L3" i="2"/>
  <c r="J3" i="2"/>
  <c r="H3" i="2"/>
  <c r="F3" i="2"/>
  <c r="D3" i="2"/>
  <c r="C15" i="77" l="1"/>
  <c r="C16" i="77"/>
  <c r="C17" i="77"/>
  <c r="C18" i="77"/>
  <c r="C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R11" i="74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X15" i="76"/>
  <c r="Y15" i="76"/>
  <c r="W12" i="76"/>
  <c r="W15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A11" i="76"/>
  <c r="AB11" i="76"/>
  <c r="AC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W4" i="76"/>
  <c r="C3" i="76"/>
  <c r="D3" i="76"/>
  <c r="E3" i="76"/>
  <c r="F3" i="76"/>
  <c r="F4" i="76" s="1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G3" i="76"/>
  <c r="H3" i="76"/>
  <c r="H5" i="76" s="1"/>
  <c r="H6" i="76" s="1"/>
  <c r="H7" i="76" s="1"/>
  <c r="H8" i="76" s="1"/>
  <c r="H9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I3" i="76"/>
  <c r="J3" i="76"/>
  <c r="J4" i="76" s="1"/>
  <c r="J5" i="76" s="1"/>
  <c r="J6" i="76" s="1"/>
  <c r="J7" i="76" s="1"/>
  <c r="J8" i="76" s="1"/>
  <c r="J9" i="76" s="1"/>
  <c r="J11" i="76" s="1"/>
  <c r="J12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K3" i="76"/>
  <c r="L3" i="76"/>
  <c r="M3" i="76"/>
  <c r="N3" i="76"/>
  <c r="O3" i="76"/>
  <c r="P3" i="76"/>
  <c r="Q3" i="76"/>
  <c r="R3" i="76"/>
  <c r="S3" i="76"/>
  <c r="T3" i="76"/>
  <c r="B3" i="76"/>
  <c r="B5" i="76" s="1"/>
  <c r="B6" i="76" s="1"/>
  <c r="B7" i="76" s="1"/>
  <c r="B8" i="76" s="1"/>
  <c r="B9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D2" i="3"/>
  <c r="E2" i="3"/>
  <c r="F2" i="3"/>
  <c r="G2" i="3"/>
  <c r="H2" i="3"/>
  <c r="I2" i="3"/>
  <c r="J3" i="3"/>
  <c r="J4" i="3" s="1"/>
  <c r="J5" i="3" s="1"/>
  <c r="J6" i="3" s="1"/>
  <c r="K2" i="3"/>
  <c r="L2" i="3"/>
  <c r="M2" i="3"/>
  <c r="N2" i="3"/>
  <c r="O2" i="3"/>
  <c r="P2" i="3"/>
  <c r="Q2" i="3"/>
  <c r="R2" i="3"/>
  <c r="R3" i="3" s="1"/>
  <c r="R4" i="3" s="1"/>
  <c r="R5" i="3" s="1"/>
  <c r="R6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2" i="3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S5" i="5"/>
  <c r="AR5" i="5"/>
  <c r="G6" i="5"/>
  <c r="G8" i="5" s="1"/>
  <c r="G9" i="5" s="1"/>
  <c r="G10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K6" i="5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V6" i="5"/>
  <c r="V8" i="5" s="1"/>
  <c r="V9" i="5" s="1"/>
  <c r="V10" i="5" s="1"/>
  <c r="V11" i="5" s="1"/>
  <c r="V12" i="5" s="1"/>
  <c r="V13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B5" i="5"/>
  <c r="A5" i="5"/>
  <c r="A4" i="1"/>
  <c r="E3" i="2"/>
  <c r="G3" i="2"/>
  <c r="I3" i="2"/>
  <c r="K3" i="2"/>
  <c r="M3" i="2"/>
  <c r="N3" i="2"/>
  <c r="O3" i="2"/>
  <c r="Q3" i="2"/>
  <c r="R3" i="2"/>
  <c r="T3" i="2"/>
  <c r="V3" i="2"/>
  <c r="X3" i="2"/>
  <c r="Y3" i="2"/>
  <c r="Z3" i="2"/>
  <c r="AA3" i="2"/>
  <c r="AB3" i="2"/>
  <c r="AC3" i="2"/>
  <c r="AD3" i="2"/>
  <c r="AE3" i="2"/>
  <c r="AF3" i="2"/>
  <c r="AG3" i="2"/>
  <c r="C3" i="2"/>
  <c r="B13" i="3" l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N11" i="74" l="1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AC19" i="76"/>
  <c r="BI5" i="7" l="1"/>
  <c r="J39" i="74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A19" i="76" l="1"/>
  <c r="V27" i="76"/>
  <c r="V28" i="76"/>
  <c r="V26" i="76"/>
  <c r="AT37" i="7"/>
  <c r="AJ31" i="3"/>
  <c r="AJ32" i="3"/>
  <c r="AJ33" i="3"/>
  <c r="AT8" i="5"/>
  <c r="AT9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V8" i="5"/>
  <c r="AV9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8" i="5"/>
  <c r="AX9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C7" i="1"/>
  <c r="C8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6" i="1"/>
  <c r="F7" i="1" s="1"/>
  <c r="F8" i="1" s="1"/>
  <c r="F11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7" i="1"/>
  <c r="H8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5" i="1"/>
  <c r="M6" i="1" s="1"/>
  <c r="M7" i="1" s="1"/>
  <c r="M8" i="1" s="1"/>
  <c r="M9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AE5" i="1"/>
  <c r="AE6" i="1" s="1"/>
  <c r="AE7" i="1" s="1"/>
  <c r="AE8" i="1" s="1"/>
  <c r="AE9" i="1" s="1"/>
  <c r="AE10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B7" i="1"/>
  <c r="B8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F6" i="2"/>
  <c r="F7" i="2" s="1"/>
  <c r="H6" i="2"/>
  <c r="H7" i="2" s="1"/>
  <c r="J6" i="2"/>
  <c r="J7" i="2" s="1"/>
  <c r="L6" i="2"/>
  <c r="L7" i="2" s="1"/>
  <c r="P6" i="2"/>
  <c r="P7" i="2" s="1"/>
  <c r="D6" i="2"/>
  <c r="D7" i="2" s="1"/>
  <c r="P13" i="2" l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Q7" i="2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M7" i="2"/>
  <c r="J13" i="2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K7" i="2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I7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G7" i="2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X3" i="3" l="1"/>
  <c r="X4" i="3" l="1"/>
  <c r="X5" i="3" s="1"/>
  <c r="X6" i="3" l="1"/>
  <c r="X7" i="3" s="1"/>
  <c r="AS37" i="7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Y3" i="3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Y7" i="3" l="1"/>
  <c r="X8" i="3"/>
  <c r="X9" i="3" s="1"/>
  <c r="Y9" i="3" s="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C34" i="76"/>
  <c r="C32" i="76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s="1"/>
  <c r="Z34" i="7"/>
  <c r="X10" i="3" l="1"/>
  <c r="X11" i="3" s="1"/>
  <c r="AI31" i="3"/>
  <c r="C33" i="76"/>
  <c r="S33" i="3"/>
  <c r="U33" i="3" s="1"/>
  <c r="AB34" i="7"/>
  <c r="B36" i="7"/>
  <c r="B35" i="7"/>
  <c r="D34" i="7"/>
  <c r="Q34" i="2"/>
  <c r="Q33" i="2"/>
  <c r="M34" i="2"/>
  <c r="M33" i="2"/>
  <c r="E31" i="82" s="1"/>
  <c r="K34" i="2"/>
  <c r="K33" i="2"/>
  <c r="F31" i="82" s="1"/>
  <c r="I34" i="2"/>
  <c r="I33" i="2"/>
  <c r="G31" i="82" s="1"/>
  <c r="G34" i="2"/>
  <c r="G33" i="2"/>
  <c r="I31" i="82" s="1"/>
  <c r="E34" i="2"/>
  <c r="E33" i="2"/>
  <c r="N32" i="2"/>
  <c r="I33" i="76"/>
  <c r="M33" i="76" s="1"/>
  <c r="D32" i="76"/>
  <c r="E32" i="76" s="1"/>
  <c r="K33" i="76"/>
  <c r="N33" i="76" s="1"/>
  <c r="G34" i="76"/>
  <c r="G33" i="76"/>
  <c r="BA35" i="5"/>
  <c r="BD35" i="5" s="1"/>
  <c r="Y36" i="5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Y10" i="3"/>
  <c r="X12" i="3"/>
  <c r="Y11" i="3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0" i="81"/>
  <c r="S32" i="76"/>
  <c r="R32" i="2"/>
  <c r="L34" i="76"/>
  <c r="D33" i="76"/>
  <c r="E33" i="76" s="1"/>
  <c r="L33" i="76"/>
  <c r="J31" i="82"/>
  <c r="J35" i="1"/>
  <c r="J34" i="1"/>
  <c r="Z36" i="7"/>
  <c r="R34" i="2" l="1"/>
  <c r="X13" i="3"/>
  <c r="Y12" i="3"/>
  <c r="D35" i="1"/>
  <c r="E35" i="1" s="1"/>
  <c r="D34" i="76"/>
  <c r="E34" i="76" s="1"/>
  <c r="I35" i="79"/>
  <c r="L35" i="5"/>
  <c r="AK35" i="5" s="1"/>
  <c r="AB35" i="7"/>
  <c r="AB36" i="7"/>
  <c r="AF34" i="7"/>
  <c r="F36" i="7"/>
  <c r="H34" i="7"/>
  <c r="F35" i="7"/>
  <c r="S34" i="76"/>
  <c r="T34" i="76" s="1"/>
  <c r="E31" i="81"/>
  <c r="S33" i="76"/>
  <c r="L35" i="76"/>
  <c r="X14" i="3" l="1"/>
  <c r="Y13" i="3"/>
  <c r="L36" i="5"/>
  <c r="AK36" i="5" s="1"/>
  <c r="I36" i="79"/>
  <c r="AH34" i="7"/>
  <c r="AD35" i="7"/>
  <c r="AD36" i="7"/>
  <c r="H36" i="7"/>
  <c r="J34" i="7"/>
  <c r="H35" i="7"/>
  <c r="X15" i="3" l="1"/>
  <c r="Y14" i="3"/>
  <c r="AF36" i="7"/>
  <c r="AJ34" i="7"/>
  <c r="AF35" i="7"/>
  <c r="J36" i="7"/>
  <c r="L34" i="7"/>
  <c r="J35" i="7"/>
  <c r="X16" i="3" l="1"/>
  <c r="Y15" i="3"/>
  <c r="AL34" i="7"/>
  <c r="AH35" i="7"/>
  <c r="AH36" i="7"/>
  <c r="L36" i="7"/>
  <c r="N34" i="7"/>
  <c r="L35" i="7"/>
  <c r="X17" i="3" l="1"/>
  <c r="Y16" i="3"/>
  <c r="AJ36" i="7"/>
  <c r="AJ35" i="7"/>
  <c r="N36" i="7"/>
  <c r="P34" i="7"/>
  <c r="N35" i="7"/>
  <c r="X18" i="3" l="1"/>
  <c r="Y17" i="3"/>
  <c r="AL36" i="7"/>
  <c r="AL35" i="7"/>
  <c r="P36" i="7"/>
  <c r="R34" i="7"/>
  <c r="P35" i="7"/>
  <c r="X19" i="3" l="1"/>
  <c r="Y18" i="3"/>
  <c r="R36" i="7"/>
  <c r="T34" i="7"/>
  <c r="R35" i="7"/>
  <c r="X20" i="3" l="1"/>
  <c r="Y19" i="3"/>
  <c r="T36" i="7"/>
  <c r="V34" i="7"/>
  <c r="T35" i="7"/>
  <c r="Y20" i="3" l="1"/>
  <c r="X21" i="3"/>
  <c r="V36" i="7"/>
  <c r="V35" i="7"/>
  <c r="X22" i="3" l="1"/>
  <c r="Y21" i="3"/>
  <c r="Y29" i="5"/>
  <c r="Y30" i="5"/>
  <c r="X23" i="3" l="1"/>
  <c r="Y22" i="3"/>
  <c r="Y31" i="5"/>
  <c r="X24" i="3" l="1"/>
  <c r="Y23" i="3"/>
  <c r="Y33" i="5"/>
  <c r="Y32" i="5"/>
  <c r="X25" i="3" l="1"/>
  <c r="Y24" i="3"/>
  <c r="I24" i="2"/>
  <c r="Y25" i="3" l="1"/>
  <c r="X26" i="3"/>
  <c r="Y26" i="3" s="1"/>
  <c r="E22" i="2"/>
  <c r="G22" i="2"/>
  <c r="I22" i="2"/>
  <c r="K22" i="2"/>
  <c r="M22" i="2"/>
  <c r="Q22" i="2"/>
  <c r="X27" i="3" l="1"/>
  <c r="X28" i="3" s="1"/>
  <c r="N22" i="2"/>
  <c r="R22" i="2" s="1"/>
  <c r="Y27" i="3" l="1"/>
  <c r="X29" i="3"/>
  <c r="Y28" i="3"/>
  <c r="Y29" i="3" l="1"/>
  <c r="X30" i="3"/>
  <c r="Y30" i="3" s="1"/>
  <c r="B11" i="74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X31" i="3" l="1"/>
  <c r="X32" i="3" s="1"/>
  <c r="R21" i="1"/>
  <c r="S33" i="1"/>
  <c r="Q9" i="2"/>
  <c r="C10" i="74"/>
  <c r="Y31" i="3" l="1"/>
  <c r="X33" i="3"/>
  <c r="Y33" i="3" s="1"/>
  <c r="Y32" i="3"/>
  <c r="R33" i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19" i="73" l="1"/>
  <c r="E12" i="2" l="1"/>
  <c r="E9" i="2"/>
  <c r="E10" i="2"/>
  <c r="E11" i="2"/>
  <c r="AF34" i="3" l="1"/>
  <c r="F37" i="5"/>
  <c r="AT38" i="7" l="1"/>
  <c r="X6" i="1" l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I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I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BC6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34" i="5"/>
  <c r="AK34" i="5" s="1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L24" i="5" l="1"/>
  <c r="AK24" i="5" s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E22" i="76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D22" i="73"/>
  <c r="BA23" i="7" s="1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I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E17" i="77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I4" i="3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E12" i="82" s="1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G36" i="76" l="1"/>
  <c r="AD28" i="76" s="1"/>
  <c r="B14" i="77"/>
  <c r="E14" i="77" s="1"/>
  <c r="E15" i="77"/>
  <c r="AR34" i="7"/>
  <c r="X34" i="7"/>
  <c r="X35" i="7"/>
  <c r="AR35" i="7"/>
  <c r="X36" i="7"/>
  <c r="AR36" i="7"/>
  <c r="AR42" i="7" s="1"/>
  <c r="U15" i="3"/>
  <c r="T16" i="1"/>
  <c r="I36" i="76"/>
  <c r="AD27" i="76" s="1"/>
  <c r="K36" i="76"/>
  <c r="AD26" i="76" s="1"/>
  <c r="D7" i="75"/>
  <c r="E7" i="75" s="1"/>
  <c r="J5" i="65"/>
  <c r="J12" i="82"/>
  <c r="I5" i="3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U18" i="5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U19" i="5"/>
  <c r="AZ19" i="5" s="1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U20" i="5"/>
  <c r="AZ20" i="5" s="1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AU21" i="5"/>
  <c r="AZ21" i="5" s="1"/>
  <c r="Y11" i="7"/>
  <c r="AR11" i="7" s="1"/>
  <c r="AS12" i="7" s="1"/>
  <c r="B14" i="65"/>
  <c r="W14" i="1"/>
  <c r="Y8" i="7"/>
  <c r="AR8" i="7" s="1"/>
  <c r="X7" i="7"/>
  <c r="Y13" i="7"/>
  <c r="AR13" i="7" s="1"/>
  <c r="AS13" i="7" s="1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C16" i="3" l="1"/>
  <c r="AS10" i="7"/>
  <c r="AS9" i="7"/>
  <c r="AR6" i="7"/>
  <c r="AS6" i="7" s="1"/>
  <c r="BC15" i="7"/>
  <c r="E21" i="82"/>
  <c r="AS11" i="7"/>
  <c r="AS14" i="7"/>
  <c r="D22" i="65"/>
  <c r="T25" i="1"/>
  <c r="J21" i="82"/>
  <c r="D24" i="75"/>
  <c r="E24" i="75" s="1"/>
  <c r="S21" i="76"/>
  <c r="X13" i="7"/>
  <c r="X10" i="7"/>
  <c r="BC10" i="7"/>
  <c r="AN18" i="7"/>
  <c r="X9" i="7"/>
  <c r="X15" i="7"/>
  <c r="AU22" i="5"/>
  <c r="BC21" i="5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C17" i="3" l="1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U23" i="5"/>
  <c r="AU24" i="5" s="1"/>
  <c r="AZ24" i="5" s="1"/>
  <c r="AZ22" i="5"/>
  <c r="BC22" i="5" s="1"/>
  <c r="AQ10" i="7"/>
  <c r="BC11" i="7"/>
  <c r="AQ13" i="7"/>
  <c r="BC14" i="7"/>
  <c r="BC13" i="7"/>
  <c r="B16" i="65"/>
  <c r="W16" i="1"/>
  <c r="H28" i="5"/>
  <c r="AO20" i="7"/>
  <c r="Y16" i="7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AR16" i="7"/>
  <c r="AS16" i="7" s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R17" i="7"/>
  <c r="AS17" i="7" s="1"/>
  <c r="I26" i="82"/>
  <c r="T28" i="1"/>
  <c r="J24" i="82"/>
  <c r="D27" i="75"/>
  <c r="E27" i="75" s="1"/>
  <c r="S24" i="76"/>
  <c r="AN21" i="7"/>
  <c r="AU25" i="5"/>
  <c r="BC24" i="5"/>
  <c r="X17" i="7"/>
  <c r="B18" i="65"/>
  <c r="H30" i="5"/>
  <c r="AO22" i="7"/>
  <c r="Y29" i="1"/>
  <c r="AB29" i="1" s="1"/>
  <c r="Y18" i="7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R18" i="7"/>
  <c r="AS18" i="7" s="1"/>
  <c r="I27" i="82"/>
  <c r="D26" i="65"/>
  <c r="T29" i="1"/>
  <c r="J25" i="82"/>
  <c r="S25" i="76"/>
  <c r="X18" i="7"/>
  <c r="AN22" i="7"/>
  <c r="AU26" i="5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R19" i="7"/>
  <c r="AS19" i="7" s="1"/>
  <c r="I28" i="82"/>
  <c r="J26" i="82"/>
  <c r="S26" i="76"/>
  <c r="AN23" i="7"/>
  <c r="AU27" i="5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R20" i="7"/>
  <c r="AS20" i="7" s="1"/>
  <c r="I29" i="82"/>
  <c r="U30" i="3"/>
  <c r="D28" i="65"/>
  <c r="T31" i="1"/>
  <c r="S27" i="76"/>
  <c r="J27" i="82"/>
  <c r="AN24" i="7"/>
  <c r="X20" i="7"/>
  <c r="AU28" i="5"/>
  <c r="AU29" i="5" s="1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E22" i="3" l="1"/>
  <c r="F22" i="3"/>
  <c r="AR21" i="7"/>
  <c r="AS21" i="7" s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3" i="3" s="1"/>
  <c r="F23" i="3" s="1"/>
  <c r="E29" i="82"/>
  <c r="AS22" i="7"/>
  <c r="D30" i="65"/>
  <c r="BD33" i="5"/>
  <c r="AL32" i="1"/>
  <c r="AL36" i="1" s="1"/>
  <c r="S29" i="76"/>
  <c r="J29" i="82"/>
  <c r="AN26" i="7"/>
  <c r="AU30" i="5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U31" i="5"/>
  <c r="AZ31" i="5" s="1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AU32" i="5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U33" i="5"/>
  <c r="AU34" i="5" s="1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U35" i="5"/>
  <c r="AS26" i="7"/>
  <c r="X26" i="7"/>
  <c r="AN30" i="7"/>
  <c r="AZ33" i="5"/>
  <c r="E16" i="77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U36" i="5"/>
  <c r="AZ36" i="5" s="1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C31" i="3" l="1"/>
  <c r="AR33" i="7"/>
  <c r="B34" i="65"/>
  <c r="X33" i="7"/>
  <c r="AR43" i="7" l="1"/>
  <c r="AR44" i="7" s="1"/>
  <c r="BC34" i="7"/>
  <c r="AS34" i="7"/>
  <c r="AS33" i="7"/>
  <c r="L11" i="5"/>
  <c r="L16" i="5"/>
  <c r="AK16" i="5" s="1"/>
  <c r="L13" i="5"/>
  <c r="AK13" i="5" s="1"/>
  <c r="L15" i="5"/>
  <c r="AK15" i="5" s="1"/>
  <c r="L12" i="5"/>
  <c r="AK12" i="5" s="1"/>
  <c r="L19" i="5"/>
  <c r="AK19" i="5" s="1"/>
  <c r="C32" i="3" l="1"/>
  <c r="AS40" i="7"/>
  <c r="H8" i="63"/>
  <c r="AK11" i="5"/>
  <c r="L31" i="5"/>
  <c r="AK31" i="5" s="1"/>
  <c r="L10" i="5"/>
  <c r="AK10" i="5" s="1"/>
  <c r="L8" i="5"/>
  <c r="L21" i="5"/>
  <c r="AK21" i="5" s="1"/>
  <c r="L25" i="5"/>
  <c r="H9" i="63"/>
  <c r="L14" i="5"/>
  <c r="AK14" i="5" s="1"/>
  <c r="L17" i="5"/>
  <c r="AK17" i="5" s="1"/>
  <c r="L23" i="5"/>
  <c r="AK23" i="5" s="1"/>
  <c r="L29" i="5"/>
  <c r="L30" i="5"/>
  <c r="AK30" i="5" s="1"/>
  <c r="L22" i="5"/>
  <c r="L32" i="5"/>
  <c r="AK32" i="5" s="1"/>
  <c r="L28" i="5"/>
  <c r="L27" i="5"/>
  <c r="AK27" i="5" s="1"/>
  <c r="F19" i="65"/>
  <c r="H16" i="63"/>
  <c r="F15" i="65"/>
  <c r="H12" i="63"/>
  <c r="L26" i="5"/>
  <c r="AK26" i="5" s="1"/>
  <c r="L9" i="5"/>
  <c r="AK9" i="5" s="1"/>
  <c r="L20" i="5"/>
  <c r="AK20" i="5" s="1"/>
  <c r="F12" i="65"/>
  <c r="L18" i="5"/>
  <c r="AK18" i="5" s="1"/>
  <c r="F16" i="65"/>
  <c r="H10" i="63"/>
  <c r="H13" i="63"/>
  <c r="F13" i="65"/>
  <c r="F11" i="65"/>
  <c r="L33" i="5"/>
  <c r="AK33" i="5" s="1"/>
  <c r="C33" i="3" l="1"/>
  <c r="C35" i="3" s="1"/>
  <c r="H7" i="63"/>
  <c r="F22" i="65"/>
  <c r="AK22" i="5"/>
  <c r="H22" i="63"/>
  <c r="AK25" i="5"/>
  <c r="F17" i="65"/>
  <c r="H25" i="63"/>
  <c r="AK28" i="5"/>
  <c r="H31" i="63"/>
  <c r="H5" i="63"/>
  <c r="AK8" i="5"/>
  <c r="H18" i="63"/>
  <c r="H26" i="63"/>
  <c r="AK29" i="5"/>
  <c r="F14" i="65"/>
  <c r="H28" i="63"/>
  <c r="H11" i="63"/>
  <c r="F31" i="65"/>
  <c r="H14" i="63"/>
  <c r="F21" i="65"/>
  <c r="F27" i="65"/>
  <c r="F8" i="65"/>
  <c r="F10" i="65"/>
  <c r="H19" i="63"/>
  <c r="H20" i="63"/>
  <c r="F23" i="65"/>
  <c r="F25" i="65"/>
  <c r="H27" i="63"/>
  <c r="F30" i="65"/>
  <c r="F29" i="65"/>
  <c r="F24" i="65"/>
  <c r="H21" i="63"/>
  <c r="H29" i="63"/>
  <c r="F34" i="65"/>
  <c r="H24" i="63"/>
  <c r="F28" i="65"/>
  <c r="F32" i="65"/>
  <c r="H30" i="63"/>
  <c r="F33" i="65"/>
  <c r="F26" i="65"/>
  <c r="H23" i="63"/>
  <c r="H6" i="63"/>
  <c r="F9" i="65"/>
  <c r="F20" i="65"/>
  <c r="H17" i="63"/>
  <c r="H15" i="63"/>
  <c r="F18" i="65"/>
  <c r="L7" i="5"/>
  <c r="L37" i="5" s="1"/>
  <c r="AK37" i="5" s="1"/>
  <c r="AK7" i="5" l="1"/>
  <c r="F7" i="65"/>
  <c r="H4" i="63"/>
  <c r="B10" i="77" l="1"/>
  <c r="AA13" i="74" l="1"/>
  <c r="AB13" i="74"/>
  <c r="O86" i="74" l="1"/>
  <c r="N86" i="74"/>
  <c r="F5" i="65" l="1"/>
  <c r="H2" i="63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Y4" i="3" l="1"/>
  <c r="Y5" i="3" l="1"/>
  <c r="Y6" i="3" l="1"/>
  <c r="Y8" i="3" l="1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N14" i="2"/>
  <c r="R14" i="2" s="1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AA36" i="5"/>
  <c r="AJ37" i="5" l="1"/>
  <c r="Z38" i="5" s="1"/>
  <c r="AG6" i="5" l="1"/>
  <c r="AC5" i="1"/>
  <c r="AF5" i="1" l="1"/>
  <c r="AH5" i="1" s="1"/>
  <c r="AC6" i="1"/>
  <c r="AD5" i="1"/>
  <c r="AG7" i="5"/>
  <c r="AH6" i="5"/>
  <c r="F5" i="75"/>
  <c r="G5" i="75" s="1"/>
  <c r="C5" i="65" l="1"/>
  <c r="E5" i="65" s="1"/>
  <c r="AI5" i="1"/>
  <c r="AC7" i="1"/>
  <c r="AD6" i="1"/>
  <c r="AH7" i="5"/>
  <c r="AG8" i="5"/>
  <c r="AG9" i="5" s="1"/>
  <c r="AG10" i="5" s="1"/>
  <c r="AG11" i="5" s="1"/>
  <c r="AG12" i="5" s="1"/>
  <c r="AG13" i="5" s="1"/>
  <c r="AG14" i="5" s="1"/>
  <c r="AG15" i="5" s="1"/>
  <c r="AG16" i="5" s="1"/>
  <c r="AG17" i="5" s="1"/>
  <c r="AG18" i="5" s="1"/>
  <c r="AG19" i="5" s="1"/>
  <c r="AG20" i="5" s="1"/>
  <c r="AG21" i="5" s="1"/>
  <c r="AG22" i="5" s="1"/>
  <c r="AG23" i="5" s="1"/>
  <c r="AG24" i="5" s="1"/>
  <c r="AG25" i="5" s="1"/>
  <c r="AG26" i="5" s="1"/>
  <c r="AG27" i="5" s="1"/>
  <c r="AG28" i="5" s="1"/>
  <c r="AG29" i="5" s="1"/>
  <c r="AG30" i="5" s="1"/>
  <c r="AG31" i="5" s="1"/>
  <c r="AG32" i="5" s="1"/>
  <c r="AG33" i="5" s="1"/>
  <c r="AG34" i="5" s="1"/>
  <c r="AG35" i="5" s="1"/>
  <c r="AG36" i="5" s="1"/>
  <c r="AG5" i="1"/>
  <c r="AM5" i="1"/>
  <c r="AF6" i="1"/>
  <c r="AH6" i="1" s="1"/>
  <c r="AH8" i="5" l="1"/>
  <c r="AC8" i="1"/>
  <c r="AD7" i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H9" i="5"/>
  <c r="AD8" i="1"/>
  <c r="AC9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H10" i="5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C10" i="1"/>
  <c r="AD9" i="1"/>
  <c r="BJ6" i="7"/>
  <c r="AY6" i="7"/>
  <c r="C9" i="65" l="1"/>
  <c r="E9" i="65" s="1"/>
  <c r="AI9" i="1"/>
  <c r="AW10" i="7" s="1"/>
  <c r="AW9" i="7"/>
  <c r="AD10" i="1"/>
  <c r="AH11" i="5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C12" i="1"/>
  <c r="AG10" i="1"/>
  <c r="AM10" i="1"/>
  <c r="F11" i="75" s="1"/>
  <c r="G11" i="75" s="1"/>
  <c r="AH12" i="5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C13" i="1"/>
  <c r="AD12" i="1"/>
  <c r="AH13" i="5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H14" i="5"/>
  <c r="AC14" i="1"/>
  <c r="AD13" i="1"/>
  <c r="AF14" i="1" l="1"/>
  <c r="AH14" i="1" s="1"/>
  <c r="C13" i="65"/>
  <c r="E13" i="65" s="1"/>
  <c r="AI13" i="1"/>
  <c r="AW14" i="7" s="1"/>
  <c r="AH15" i="5"/>
  <c r="AW13" i="7"/>
  <c r="Q9" i="76"/>
  <c r="AY11" i="7"/>
  <c r="BJ11" i="7"/>
  <c r="BJ12" i="7"/>
  <c r="Q10" i="76"/>
  <c r="AY12" i="7"/>
  <c r="AD14" i="1"/>
  <c r="AC15" i="1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C16" i="1"/>
  <c r="AD15" i="1"/>
  <c r="AX14" i="7"/>
  <c r="AJ13" i="1"/>
  <c r="AK13" i="1" s="1"/>
  <c r="G10" i="81"/>
  <c r="AH16" i="5"/>
  <c r="AF15" i="1"/>
  <c r="AH15" i="1" s="1"/>
  <c r="AX13" i="7"/>
  <c r="Q11" i="76" s="1"/>
  <c r="AJ12" i="1"/>
  <c r="AK12" i="1" s="1"/>
  <c r="G9" i="81"/>
  <c r="AD16" i="1" l="1"/>
  <c r="AC17" i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AH17" i="5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H18" i="5"/>
  <c r="AC18" i="1"/>
  <c r="AD17" i="1"/>
  <c r="AF17" i="1"/>
  <c r="AH17" i="1" s="1"/>
  <c r="BJ15" i="7"/>
  <c r="AY15" i="7"/>
  <c r="AX16" i="7"/>
  <c r="AJ15" i="1"/>
  <c r="AK15" i="1" s="1"/>
  <c r="G12" i="81"/>
  <c r="AC19" i="1" l="1"/>
  <c r="AD18" i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H19" i="5"/>
  <c r="AC20" i="1" l="1"/>
  <c r="AD19" i="1"/>
  <c r="AH20" i="5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AC21" i="1"/>
  <c r="BJ18" i="7"/>
  <c r="Q16" i="76"/>
  <c r="AY18" i="7"/>
  <c r="C19" i="65"/>
  <c r="E19" i="65" s="1"/>
  <c r="AI19" i="1"/>
  <c r="AW20" i="7" s="1"/>
  <c r="AX20" i="7" s="1"/>
  <c r="AH21" i="5"/>
  <c r="AF21" i="1" l="1"/>
  <c r="AH21" i="1" s="1"/>
  <c r="AY19" i="7"/>
  <c r="BJ19" i="7"/>
  <c r="Q17" i="76"/>
  <c r="AG20" i="1"/>
  <c r="AM20" i="1"/>
  <c r="F21" i="75" s="1"/>
  <c r="G21" i="75" s="1"/>
  <c r="AD21" i="1"/>
  <c r="AC22" i="1"/>
  <c r="AH22" i="5"/>
  <c r="C20" i="65"/>
  <c r="E20" i="65" s="1"/>
  <c r="AI20" i="1"/>
  <c r="AW21" i="7" s="1"/>
  <c r="AJ19" i="1"/>
  <c r="AK19" i="1" s="1"/>
  <c r="G16" i="81"/>
  <c r="AD22" i="1" l="1"/>
  <c r="AC23" i="1"/>
  <c r="AX21" i="7"/>
  <c r="G17" i="81"/>
  <c r="AJ20" i="1"/>
  <c r="AK20" i="1" s="1"/>
  <c r="AF22" i="1"/>
  <c r="AH22" i="1" s="1"/>
  <c r="AH23" i="5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AH24" i="5" l="1"/>
  <c r="C22" i="65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C24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H25" i="5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C26" i="1"/>
  <c r="AG24" i="1"/>
  <c r="AM24" i="1"/>
  <c r="F25" i="75" s="1"/>
  <c r="G25" i="75" s="1"/>
  <c r="AH26" i="5"/>
  <c r="AX24" i="7"/>
  <c r="AJ23" i="1"/>
  <c r="AK23" i="1" s="1"/>
  <c r="G20" i="81"/>
  <c r="AF26" i="1" l="1"/>
  <c r="AH26" i="1" s="1"/>
  <c r="AC27" i="1"/>
  <c r="AD26" i="1"/>
  <c r="AG25" i="1"/>
  <c r="AM25" i="1"/>
  <c r="F26" i="75" s="1"/>
  <c r="G26" i="75" s="1"/>
  <c r="AX25" i="7"/>
  <c r="G21" i="81"/>
  <c r="AJ24" i="1"/>
  <c r="AK24" i="1" s="1"/>
  <c r="AH27" i="5"/>
  <c r="AI25" i="1"/>
  <c r="AW26" i="7" s="1"/>
  <c r="C25" i="65"/>
  <c r="E25" i="65" s="1"/>
  <c r="AY24" i="7"/>
  <c r="Q22" i="76"/>
  <c r="BJ24" i="7"/>
  <c r="AD27" i="1" l="1"/>
  <c r="AC28" i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H28" i="5"/>
  <c r="AY25" i="7"/>
  <c r="BJ25" i="7"/>
  <c r="Q23" i="76"/>
  <c r="AC29" i="1" l="1"/>
  <c r="AD28" i="1"/>
  <c r="AH29" i="5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H30" i="5" l="1"/>
  <c r="AX28" i="7"/>
  <c r="G24" i="81"/>
  <c r="AJ27" i="1"/>
  <c r="AK27" i="1" s="1"/>
  <c r="AY27" i="7"/>
  <c r="Q25" i="76"/>
  <c r="BJ27" i="7"/>
  <c r="AI28" i="1"/>
  <c r="AW29" i="7" s="1"/>
  <c r="C28" i="65"/>
  <c r="E28" i="65" s="1"/>
  <c r="AD29" i="1"/>
  <c r="AC30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H31" i="5"/>
  <c r="AG29" i="1"/>
  <c r="AM29" i="1"/>
  <c r="F30" i="75" s="1"/>
  <c r="G30" i="75" s="1"/>
  <c r="AC31" i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AC32" i="1"/>
  <c r="W9" i="5"/>
  <c r="AL9" i="5" s="1"/>
  <c r="AH32" i="5"/>
  <c r="BJ29" i="7"/>
  <c r="AY29" i="7"/>
  <c r="Q27" i="76"/>
  <c r="AM30" i="1"/>
  <c r="F31" i="75" s="1"/>
  <c r="G31" i="75" s="1"/>
  <c r="AG30" i="1"/>
  <c r="AH33" i="5" l="1"/>
  <c r="AD32" i="1"/>
  <c r="AG32" i="1" s="1"/>
  <c r="AC33" i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H34" i="5"/>
  <c r="AD33" i="1"/>
  <c r="AC34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H36" i="5"/>
  <c r="AH35" i="5"/>
  <c r="AG33" i="1"/>
  <c r="AM33" i="1"/>
  <c r="AD34" i="1"/>
  <c r="AC35" i="1"/>
  <c r="AD35" i="1" s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AB23" i="3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E6" i="5" l="1"/>
  <c r="AF6" i="5" l="1"/>
  <c r="AI6" i="5" s="1"/>
  <c r="AE7" i="5"/>
  <c r="AE8" i="5" l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7" i="5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W4" i="2" l="1"/>
  <c r="Y4" i="2"/>
  <c r="AA4" i="2"/>
  <c r="AB4" i="2" l="1"/>
  <c r="AA5" i="2"/>
  <c r="Z4" i="2"/>
  <c r="Y5" i="2"/>
  <c r="X4" i="2"/>
  <c r="W5" i="2"/>
  <c r="AB5" i="2" l="1"/>
  <c r="AA6" i="2"/>
  <c r="X5" i="2"/>
  <c r="W6" i="2"/>
  <c r="Z5" i="2"/>
  <c r="Y6" i="2"/>
  <c r="X6" i="2" l="1"/>
  <c r="W7" i="2"/>
  <c r="Z6" i="2"/>
  <c r="Y7" i="2"/>
  <c r="AB6" i="2"/>
  <c r="AB7" i="2" l="1"/>
  <c r="AA8" i="2"/>
  <c r="X7" i="2"/>
  <c r="W8" i="2"/>
  <c r="Z7" i="2"/>
  <c r="Y8" i="2"/>
  <c r="Z8" i="2" l="1"/>
  <c r="Y9" i="2"/>
  <c r="AB8" i="2"/>
  <c r="AA9" i="2"/>
  <c r="X8" i="2"/>
  <c r="W9" i="2"/>
  <c r="AB9" i="2" l="1"/>
  <c r="AA10" i="2"/>
  <c r="X9" i="2"/>
  <c r="W10" i="2"/>
  <c r="Z9" i="2"/>
  <c r="Y10" i="2"/>
  <c r="Z10" i="2" l="1"/>
  <c r="Y11" i="2"/>
  <c r="AB10" i="2"/>
  <c r="AA11" i="2"/>
  <c r="X10" i="2"/>
  <c r="W11" i="2"/>
  <c r="AB11" i="2" l="1"/>
  <c r="AA12" i="2"/>
  <c r="X11" i="2"/>
  <c r="W12" i="2"/>
  <c r="Z11" i="2"/>
  <c r="Y12" i="2"/>
  <c r="Z12" i="2" l="1"/>
  <c r="Y13" i="2"/>
  <c r="AB12" i="2"/>
  <c r="AA13" i="2"/>
  <c r="X12" i="2"/>
  <c r="W13" i="2"/>
  <c r="AB13" i="2" l="1"/>
  <c r="AA14" i="2"/>
  <c r="X13" i="2"/>
  <c r="W14" i="2"/>
  <c r="Z13" i="2"/>
  <c r="Y14" i="2"/>
  <c r="Z14" i="2" l="1"/>
  <c r="Y15" i="2"/>
  <c r="AB14" i="2"/>
  <c r="AA15" i="2"/>
  <c r="X14" i="2"/>
  <c r="W15" i="2"/>
  <c r="AB15" i="2" l="1"/>
  <c r="AA16" i="2"/>
  <c r="X15" i="2"/>
  <c r="W16" i="2"/>
  <c r="Z15" i="2"/>
  <c r="Y16" i="2"/>
  <c r="Z16" i="2" l="1"/>
  <c r="Y17" i="2"/>
  <c r="AB16" i="2"/>
  <c r="AA17" i="2"/>
  <c r="X16" i="2"/>
  <c r="W17" i="2"/>
  <c r="Y18" i="2" l="1"/>
  <c r="Z17" i="2"/>
  <c r="AB17" i="2"/>
  <c r="AA18" i="2"/>
  <c r="X17" i="2"/>
  <c r="W18" i="2"/>
  <c r="Z18" i="2" l="1"/>
  <c r="Y19" i="2"/>
  <c r="X18" i="2"/>
  <c r="W19" i="2"/>
  <c r="AB18" i="2"/>
  <c r="AA19" i="2"/>
  <c r="Z19" i="2" l="1"/>
  <c r="Y20" i="2"/>
  <c r="AB19" i="2"/>
  <c r="AA20" i="2"/>
  <c r="X19" i="2"/>
  <c r="W20" i="2"/>
  <c r="X20" i="2" l="1"/>
  <c r="W21" i="2"/>
  <c r="AB20" i="2"/>
  <c r="AA21" i="2"/>
  <c r="Z20" i="2"/>
  <c r="Y21" i="2"/>
  <c r="Z21" i="2" l="1"/>
  <c r="Y22" i="2"/>
  <c r="X21" i="2"/>
  <c r="W22" i="2"/>
  <c r="AB21" i="2"/>
  <c r="AA22" i="2"/>
  <c r="AB22" i="2" l="1"/>
  <c r="AA23" i="2"/>
  <c r="Z22" i="2"/>
  <c r="Y23" i="2"/>
  <c r="X22" i="2"/>
  <c r="W23" i="2"/>
  <c r="X23" i="2" l="1"/>
  <c r="W24" i="2"/>
  <c r="AB23" i="2"/>
  <c r="AA24" i="2"/>
  <c r="Z23" i="2"/>
  <c r="Y24" i="2"/>
  <c r="AB24" i="2" l="1"/>
  <c r="AA25" i="2"/>
  <c r="Z24" i="2"/>
  <c r="Y25" i="2"/>
  <c r="X24" i="2"/>
  <c r="W25" i="2"/>
  <c r="X25" i="2" l="1"/>
  <c r="W26" i="2"/>
  <c r="AB25" i="2"/>
  <c r="AA26" i="2"/>
  <c r="Z25" i="2"/>
  <c r="Y26" i="2"/>
  <c r="Y27" i="2" l="1"/>
  <c r="Z26" i="2"/>
  <c r="X26" i="2"/>
  <c r="W27" i="2"/>
  <c r="AB26" i="2"/>
  <c r="AA27" i="2"/>
  <c r="Z27" i="2" l="1"/>
  <c r="Y28" i="2"/>
  <c r="AB27" i="2"/>
  <c r="AA28" i="2"/>
  <c r="X27" i="2"/>
  <c r="W28" i="2"/>
  <c r="X28" i="2" l="1"/>
  <c r="W29" i="2"/>
  <c r="Z28" i="2"/>
  <c r="Y29" i="2"/>
  <c r="AB28" i="2"/>
  <c r="AA29" i="2"/>
  <c r="AB29" i="2" l="1"/>
  <c r="AA30" i="2"/>
  <c r="X29" i="2"/>
  <c r="W30" i="2"/>
  <c r="Z29" i="2"/>
  <c r="Y30" i="2"/>
  <c r="AB30" i="2" l="1"/>
  <c r="AA31" i="2"/>
  <c r="Z30" i="2"/>
  <c r="Y31" i="2"/>
  <c r="X30" i="2"/>
  <c r="W31" i="2"/>
  <c r="Z31" i="2" l="1"/>
  <c r="Y32" i="2"/>
  <c r="X31" i="2"/>
  <c r="W32" i="2"/>
  <c r="AB31" i="2"/>
  <c r="AA32" i="2"/>
  <c r="AA33" i="2" l="1"/>
  <c r="AB32" i="2"/>
  <c r="Z32" i="2"/>
  <c r="Y33" i="2"/>
  <c r="X32" i="2"/>
  <c r="W33" i="2"/>
  <c r="AB33" i="2" l="1"/>
  <c r="AA34" i="2"/>
  <c r="AB34" i="2" s="1"/>
  <c r="W34" i="2"/>
  <c r="X34" i="2" s="1"/>
  <c r="X33" i="2"/>
  <c r="Y34" i="2"/>
  <c r="Z34" i="2" s="1"/>
  <c r="Z33" i="2"/>
  <c r="T3" i="3" l="1"/>
  <c r="T4" i="3" s="1"/>
  <c r="T5" i="3" s="1"/>
  <c r="T6" i="3" l="1"/>
  <c r="T7" i="3" s="1"/>
  <c r="T8" i="3" s="1"/>
  <c r="T9" i="3" s="1"/>
  <c r="T10" i="3" s="1"/>
  <c r="T11" i="3" s="1"/>
  <c r="AB6" i="5"/>
  <c r="AB8" i="5" s="1"/>
  <c r="AB9" i="5" s="1"/>
  <c r="AB10" i="5" s="1"/>
  <c r="AB11" i="5" s="1"/>
  <c r="AB12" i="5" s="1"/>
  <c r="AB13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T12" i="3" l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AC27" i="76"/>
  <c r="AC28" i="76"/>
  <c r="AC26" i="76"/>
  <c r="AC29" i="76" l="1"/>
  <c r="O29" i="76" s="1"/>
  <c r="P29" i="76" s="1"/>
  <c r="R29" i="76" s="1"/>
  <c r="T29" i="76" s="1"/>
  <c r="F27" i="81" s="1"/>
  <c r="O30" i="76" l="1"/>
  <c r="P30" i="76" s="1"/>
  <c r="R30" i="76" s="1"/>
  <c r="T30" i="76" s="1"/>
  <c r="F28" i="81" s="1"/>
  <c r="O27" i="76"/>
  <c r="P27" i="76" s="1"/>
  <c r="R27" i="76" s="1"/>
  <c r="T27" i="76" s="1"/>
  <c r="F25" i="81" s="1"/>
  <c r="O5" i="76"/>
  <c r="P5" i="76" s="1"/>
  <c r="R5" i="76" s="1"/>
  <c r="T5" i="76" s="1"/>
  <c r="F3" i="81" s="1"/>
  <c r="O33" i="76"/>
  <c r="P33" i="76" s="1"/>
  <c r="R33" i="76" s="1"/>
  <c r="T33" i="76" s="1"/>
  <c r="F31" i="81" s="1"/>
  <c r="O20" i="76"/>
  <c r="P20" i="76" s="1"/>
  <c r="R20" i="76" s="1"/>
  <c r="T20" i="76" s="1"/>
  <c r="F18" i="81" s="1"/>
  <c r="AC33" i="76"/>
  <c r="O10" i="76"/>
  <c r="P10" i="76" s="1"/>
  <c r="R10" i="76" s="1"/>
  <c r="T10" i="76" s="1"/>
  <c r="F8" i="81" s="1"/>
  <c r="O28" i="76"/>
  <c r="P28" i="76" s="1"/>
  <c r="R28" i="76" s="1"/>
  <c r="T28" i="76" s="1"/>
  <c r="F26" i="81" s="1"/>
  <c r="AB30" i="76"/>
  <c r="AB36" i="76" s="1"/>
  <c r="AB38" i="76" s="1"/>
  <c r="O19" i="76"/>
  <c r="P19" i="76" s="1"/>
  <c r="R19" i="76" s="1"/>
  <c r="T19" i="76" s="1"/>
  <c r="F17" i="81" s="1"/>
  <c r="O12" i="76"/>
  <c r="P12" i="76" s="1"/>
  <c r="R12" i="76" s="1"/>
  <c r="T12" i="76" s="1"/>
  <c r="F10" i="81" s="1"/>
  <c r="O25" i="76"/>
  <c r="P25" i="76" s="1"/>
  <c r="R25" i="76" s="1"/>
  <c r="T25" i="76" s="1"/>
  <c r="F23" i="81" s="1"/>
  <c r="O13" i="76"/>
  <c r="P13" i="76" s="1"/>
  <c r="R13" i="76" s="1"/>
  <c r="T13" i="76" s="1"/>
  <c r="F11" i="81" s="1"/>
  <c r="O24" i="76"/>
  <c r="P24" i="76" s="1"/>
  <c r="R24" i="76" s="1"/>
  <c r="T24" i="76" s="1"/>
  <c r="F22" i="81" s="1"/>
  <c r="O23" i="76"/>
  <c r="P23" i="76" s="1"/>
  <c r="R23" i="76" s="1"/>
  <c r="T23" i="76" s="1"/>
  <c r="F21" i="81" s="1"/>
  <c r="O34" i="76"/>
  <c r="P34" i="76" s="1"/>
  <c r="R34" i="76" s="1"/>
  <c r="O11" i="76"/>
  <c r="P11" i="76" s="1"/>
  <c r="R11" i="76" s="1"/>
  <c r="T11" i="76" s="1"/>
  <c r="F9" i="81" s="1"/>
  <c r="O15" i="76"/>
  <c r="P15" i="76" s="1"/>
  <c r="R15" i="76" s="1"/>
  <c r="T15" i="76" s="1"/>
  <c r="F13" i="81" s="1"/>
  <c r="O18" i="76"/>
  <c r="P18" i="76" s="1"/>
  <c r="R18" i="76" s="1"/>
  <c r="T18" i="76" s="1"/>
  <c r="F16" i="81" s="1"/>
  <c r="O4" i="76"/>
  <c r="P4" i="76" s="1"/>
  <c r="R4" i="76" s="1"/>
  <c r="T4" i="76" s="1"/>
  <c r="F2" i="81" s="1"/>
  <c r="O9" i="76"/>
  <c r="P9" i="76" s="1"/>
  <c r="R9" i="76" s="1"/>
  <c r="T9" i="76" s="1"/>
  <c r="F7" i="81" s="1"/>
  <c r="O16" i="76"/>
  <c r="P16" i="76" s="1"/>
  <c r="R16" i="76" s="1"/>
  <c r="T16" i="76" s="1"/>
  <c r="F14" i="81" s="1"/>
  <c r="O17" i="76"/>
  <c r="P17" i="76" s="1"/>
  <c r="R17" i="76" s="1"/>
  <c r="T17" i="76" s="1"/>
  <c r="F15" i="81" s="1"/>
  <c r="O26" i="76"/>
  <c r="P26" i="76" s="1"/>
  <c r="R26" i="76" s="1"/>
  <c r="T26" i="76" s="1"/>
  <c r="F24" i="81" s="1"/>
  <c r="O21" i="76"/>
  <c r="P21" i="76" s="1"/>
  <c r="R21" i="76" s="1"/>
  <c r="T21" i="76" s="1"/>
  <c r="F19" i="81" s="1"/>
  <c r="O14" i="76"/>
  <c r="P14" i="76" s="1"/>
  <c r="R14" i="76" s="1"/>
  <c r="T14" i="76" s="1"/>
  <c r="F12" i="81" s="1"/>
  <c r="O31" i="76"/>
  <c r="P31" i="76" s="1"/>
  <c r="R31" i="76" s="1"/>
  <c r="T31" i="76" s="1"/>
  <c r="F29" i="81" s="1"/>
  <c r="O8" i="76"/>
  <c r="P8" i="76" s="1"/>
  <c r="R8" i="76" s="1"/>
  <c r="T8" i="76" s="1"/>
  <c r="F6" i="81" s="1"/>
  <c r="O32" i="76"/>
  <c r="P32" i="76" s="1"/>
  <c r="R32" i="76" s="1"/>
  <c r="T32" i="76" s="1"/>
  <c r="F30" i="81" s="1"/>
  <c r="O22" i="76"/>
  <c r="P22" i="76" s="1"/>
  <c r="R22" i="76" s="1"/>
  <c r="T22" i="76" s="1"/>
  <c r="F20" i="81" s="1"/>
  <c r="O7" i="76"/>
  <c r="P7" i="76" s="1"/>
  <c r="R7" i="76" s="1"/>
  <c r="T7" i="76" s="1"/>
  <c r="F5" i="81" s="1"/>
  <c r="O6" i="76"/>
  <c r="P6" i="76" s="1"/>
  <c r="R6" i="76" s="1"/>
  <c r="T6" i="76" s="1"/>
  <c r="F4" i="81" s="1"/>
  <c r="D10" i="77" l="1"/>
  <c r="E10" i="77" s="1"/>
  <c r="E12" i="77" s="1"/>
  <c r="O35" i="76"/>
  <c r="AB33" i="76"/>
  <c r="AB34" i="76" s="1"/>
  <c r="F10" i="77" l="1"/>
  <c r="F12" i="77" s="1"/>
  <c r="G10" i="77"/>
  <c r="G12" i="77" s="1"/>
  <c r="I14" i="77" s="1"/>
  <c r="H14" i="77" l="1"/>
  <c r="AC6" i="5"/>
  <c r="AC7" i="5" s="1"/>
  <c r="AD7" i="5" l="1"/>
  <c r="AC8" i="5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AD8" i="5" l="1"/>
  <c r="S4" i="2"/>
  <c r="AC4" i="2"/>
  <c r="U4" i="2"/>
  <c r="U5" i="2" l="1"/>
  <c r="V4" i="2"/>
  <c r="T4" i="2"/>
  <c r="S5" i="2"/>
  <c r="AD9" i="5"/>
  <c r="AC5" i="2"/>
  <c r="AD4" i="2"/>
  <c r="AD10" i="5" l="1"/>
  <c r="AF4" i="2"/>
  <c r="V5" i="2"/>
  <c r="U6" i="2"/>
  <c r="A2" i="63"/>
  <c r="AE4" i="2"/>
  <c r="AG4" i="2" s="1"/>
  <c r="AC6" i="2"/>
  <c r="AD5" i="2"/>
  <c r="S6" i="2"/>
  <c r="T5" i="2"/>
  <c r="U7" i="2" l="1"/>
  <c r="V6" i="2"/>
  <c r="S7" i="2"/>
  <c r="T6" i="2"/>
  <c r="AD11" i="5"/>
  <c r="A3" i="63"/>
  <c r="AE5" i="2"/>
  <c r="AG5" i="2" s="1"/>
  <c r="B2" i="63"/>
  <c r="H5" i="65"/>
  <c r="AD6" i="2"/>
  <c r="AF5" i="2"/>
  <c r="V7" i="2" l="1"/>
  <c r="U8" i="2"/>
  <c r="AD7" i="2"/>
  <c r="AC8" i="2"/>
  <c r="AD12" i="5"/>
  <c r="AF6" i="2"/>
  <c r="B3" i="63"/>
  <c r="H6" i="65"/>
  <c r="T7" i="2"/>
  <c r="S8" i="2"/>
  <c r="A4" i="63"/>
  <c r="AE6" i="2"/>
  <c r="AG6" i="2" s="1"/>
  <c r="AF7" i="2" l="1"/>
  <c r="B5" i="63" s="1"/>
  <c r="T8" i="2"/>
  <c r="S9" i="2"/>
  <c r="AD13" i="5"/>
  <c r="V8" i="2"/>
  <c r="U9" i="2"/>
  <c r="H7" i="65"/>
  <c r="B4" i="63"/>
  <c r="A5" i="63"/>
  <c r="AE7" i="2"/>
  <c r="AG7" i="2" s="1"/>
  <c r="AD8" i="2"/>
  <c r="AC9" i="2"/>
  <c r="H8" i="65" l="1"/>
  <c r="AD14" i="5"/>
  <c r="A6" i="63"/>
  <c r="AE8" i="2"/>
  <c r="AG8" i="2" s="1"/>
  <c r="T9" i="2"/>
  <c r="S10" i="2"/>
  <c r="AF8" i="2"/>
  <c r="AD9" i="2"/>
  <c r="AC10" i="2"/>
  <c r="V9" i="2"/>
  <c r="U10" i="2"/>
  <c r="V10" i="2" l="1"/>
  <c r="U11" i="2"/>
  <c r="B6" i="63"/>
  <c r="H9" i="65"/>
  <c r="AD10" i="2"/>
  <c r="AC11" i="2"/>
  <c r="A7" i="63"/>
  <c r="AE9" i="2"/>
  <c r="AG9" i="2" s="1"/>
  <c r="AD15" i="5"/>
  <c r="T10" i="2"/>
  <c r="S11" i="2"/>
  <c r="AF9" i="2"/>
  <c r="H10" i="65" l="1"/>
  <c r="B7" i="63"/>
  <c r="AF10" i="2"/>
  <c r="AD16" i="5"/>
  <c r="AC12" i="2"/>
  <c r="AD11" i="2"/>
  <c r="V11" i="2"/>
  <c r="U12" i="2"/>
  <c r="A8" i="63"/>
  <c r="AE10" i="2"/>
  <c r="AG10" i="2" s="1"/>
  <c r="T11" i="2"/>
  <c r="S12" i="2"/>
  <c r="T12" i="2" l="1"/>
  <c r="S13" i="2"/>
  <c r="U13" i="2"/>
  <c r="V12" i="2"/>
  <c r="AC13" i="2"/>
  <c r="AD12" i="2"/>
  <c r="B8" i="63"/>
  <c r="H11" i="65"/>
  <c r="A9" i="63"/>
  <c r="AE11" i="2"/>
  <c r="AG11" i="2" s="1"/>
  <c r="AD17" i="5"/>
  <c r="AF11" i="2"/>
  <c r="B9" i="63" l="1"/>
  <c r="H12" i="65"/>
  <c r="AC14" i="2"/>
  <c r="AD13" i="2"/>
  <c r="A10" i="63"/>
  <c r="AE12" i="2"/>
  <c r="AG12" i="2" s="1"/>
  <c r="T13" i="2"/>
  <c r="S14" i="2"/>
  <c r="U14" i="2"/>
  <c r="V13" i="2"/>
  <c r="AD18" i="5"/>
  <c r="AF12" i="2"/>
  <c r="AF13" i="2" l="1"/>
  <c r="H14" i="65" s="1"/>
  <c r="H13" i="65"/>
  <c r="B10" i="63"/>
  <c r="V14" i="2"/>
  <c r="U15" i="2"/>
  <c r="AD19" i="5"/>
  <c r="A11" i="63"/>
  <c r="AE13" i="2"/>
  <c r="AG13" i="2" s="1"/>
  <c r="AC15" i="2"/>
  <c r="AD14" i="2"/>
  <c r="T14" i="2"/>
  <c r="S15" i="2"/>
  <c r="B11" i="63" l="1"/>
  <c r="AF14" i="2"/>
  <c r="H15" i="65" s="1"/>
  <c r="A12" i="63"/>
  <c r="AE14" i="2"/>
  <c r="AG14" i="2" s="1"/>
  <c r="T15" i="2"/>
  <c r="S16" i="2"/>
  <c r="AC16" i="2"/>
  <c r="AD15" i="2"/>
  <c r="AD20" i="5"/>
  <c r="V15" i="2"/>
  <c r="U16" i="2"/>
  <c r="B12" i="63" l="1"/>
  <c r="AD16" i="2"/>
  <c r="AC17" i="2"/>
  <c r="AD21" i="5"/>
  <c r="A13" i="63"/>
  <c r="AE15" i="2"/>
  <c r="AG15" i="2" s="1"/>
  <c r="AF15" i="2"/>
  <c r="U17" i="2"/>
  <c r="V16" i="2"/>
  <c r="T16" i="2"/>
  <c r="S17" i="2"/>
  <c r="AF16" i="2" l="1"/>
  <c r="B14" i="63" s="1"/>
  <c r="A14" i="63"/>
  <c r="AE16" i="2"/>
  <c r="AG16" i="2" s="1"/>
  <c r="AC18" i="2"/>
  <c r="AD17" i="2"/>
  <c r="S18" i="2"/>
  <c r="T17" i="2"/>
  <c r="B13" i="63"/>
  <c r="H16" i="65"/>
  <c r="U18" i="2"/>
  <c r="V17" i="2"/>
  <c r="AD22" i="5"/>
  <c r="H17" i="65" l="1"/>
  <c r="AC19" i="2"/>
  <c r="AD18" i="2"/>
  <c r="AD23" i="5"/>
  <c r="V18" i="2"/>
  <c r="U19" i="2"/>
  <c r="T18" i="2"/>
  <c r="S19" i="2"/>
  <c r="A15" i="63"/>
  <c r="AE17" i="2"/>
  <c r="AG17" i="2" s="1"/>
  <c r="AF17" i="2"/>
  <c r="AF18" i="2" l="1"/>
  <c r="H19" i="65" s="1"/>
  <c r="AD19" i="2"/>
  <c r="AC20" i="2"/>
  <c r="V19" i="2"/>
  <c r="U20" i="2"/>
  <c r="B15" i="63"/>
  <c r="H18" i="65"/>
  <c r="A16" i="63"/>
  <c r="AE18" i="2"/>
  <c r="AG18" i="2" s="1"/>
  <c r="S20" i="2"/>
  <c r="T19" i="2"/>
  <c r="AD24" i="5"/>
  <c r="B16" i="63" l="1"/>
  <c r="AF19" i="2"/>
  <c r="B17" i="63" s="1"/>
  <c r="AD25" i="5"/>
  <c r="U21" i="2"/>
  <c r="V20" i="2"/>
  <c r="S21" i="2"/>
  <c r="T20" i="2"/>
  <c r="A17" i="63"/>
  <c r="AE19" i="2"/>
  <c r="AG19" i="2" s="1"/>
  <c r="AC21" i="2"/>
  <c r="AD20" i="2"/>
  <c r="H20" i="65" l="1"/>
  <c r="AF20" i="2"/>
  <c r="B18" i="63" s="1"/>
  <c r="V21" i="2"/>
  <c r="U22" i="2"/>
  <c r="AD21" i="2"/>
  <c r="AC22" i="2"/>
  <c r="T21" i="2"/>
  <c r="S22" i="2"/>
  <c r="AD26" i="5"/>
  <c r="A18" i="63"/>
  <c r="AE20" i="2"/>
  <c r="AG20" i="2" s="1"/>
  <c r="H21" i="65" l="1"/>
  <c r="AF21" i="2"/>
  <c r="AD27" i="5"/>
  <c r="AC23" i="2"/>
  <c r="AD22" i="2"/>
  <c r="U23" i="2"/>
  <c r="V22" i="2"/>
  <c r="A19" i="63"/>
  <c r="AE21" i="2"/>
  <c r="AG21" i="2" s="1"/>
  <c r="T22" i="2"/>
  <c r="S23" i="2"/>
  <c r="AS6" i="5"/>
  <c r="B19" i="63" l="1"/>
  <c r="H22" i="65"/>
  <c r="A20" i="63"/>
  <c r="AE22" i="2"/>
  <c r="AG22" i="2" s="1"/>
  <c r="V23" i="2"/>
  <c r="U24" i="2"/>
  <c r="AD28" i="5"/>
  <c r="S24" i="2"/>
  <c r="T23" i="2"/>
  <c r="AF22" i="2"/>
  <c r="AY6" i="5"/>
  <c r="AS7" i="5"/>
  <c r="AC24" i="2"/>
  <c r="AD23" i="2"/>
  <c r="AF23" i="2" l="1"/>
  <c r="H24" i="65" s="1"/>
  <c r="AY7" i="5"/>
  <c r="BB7" i="5" s="1"/>
  <c r="BE7" i="5" s="1"/>
  <c r="AS8" i="5"/>
  <c r="S25" i="2"/>
  <c r="T24" i="2"/>
  <c r="AD24" i="2"/>
  <c r="AC25" i="2"/>
  <c r="A21" i="63"/>
  <c r="AE23" i="2"/>
  <c r="AG23" i="2" s="1"/>
  <c r="V24" i="2"/>
  <c r="U25" i="2"/>
  <c r="B20" i="63"/>
  <c r="H23" i="65"/>
  <c r="AD29" i="5"/>
  <c r="BB6" i="5"/>
  <c r="BE6" i="5" s="1"/>
  <c r="AF24" i="2" l="1"/>
  <c r="H25" i="65" s="1"/>
  <c r="B21" i="63"/>
  <c r="I2" i="63"/>
  <c r="BF6" i="5"/>
  <c r="BG6" i="5" s="1"/>
  <c r="G6" i="65" s="1"/>
  <c r="I3" i="63"/>
  <c r="BF7" i="5"/>
  <c r="BG7" i="5" s="1"/>
  <c r="G7" i="65" s="1"/>
  <c r="AS9" i="5"/>
  <c r="AY8" i="5"/>
  <c r="BB8" i="5" s="1"/>
  <c r="BE8" i="5" s="1"/>
  <c r="AD30" i="5"/>
  <c r="S26" i="2"/>
  <c r="T25" i="2"/>
  <c r="V25" i="2"/>
  <c r="U26" i="2"/>
  <c r="AC26" i="2"/>
  <c r="AD25" i="2"/>
  <c r="A22" i="63"/>
  <c r="AE24" i="2"/>
  <c r="AG24" i="2" s="1"/>
  <c r="M6" i="5"/>
  <c r="O6" i="5"/>
  <c r="B22" i="63" l="1"/>
  <c r="AF25" i="2"/>
  <c r="H26" i="65" s="1"/>
  <c r="O7" i="5"/>
  <c r="P6" i="5"/>
  <c r="AY9" i="5"/>
  <c r="BB9" i="5" s="1"/>
  <c r="BE9" i="5" s="1"/>
  <c r="AS10" i="5"/>
  <c r="V26" i="2"/>
  <c r="U27" i="2"/>
  <c r="I4" i="63"/>
  <c r="BF8" i="5"/>
  <c r="BG8" i="5" s="1"/>
  <c r="G8" i="65" s="1"/>
  <c r="AD26" i="2"/>
  <c r="AC27" i="2"/>
  <c r="S27" i="2"/>
  <c r="T26" i="2"/>
  <c r="M7" i="5"/>
  <c r="N6" i="5"/>
  <c r="A23" i="63"/>
  <c r="AE25" i="2"/>
  <c r="AG25" i="2" s="1"/>
  <c r="AD31" i="5"/>
  <c r="G5" i="65"/>
  <c r="B23" i="63" l="1"/>
  <c r="Q6" i="5"/>
  <c r="M2" i="81" s="1"/>
  <c r="T27" i="2"/>
  <c r="S28" i="2"/>
  <c r="I5" i="63"/>
  <c r="BF9" i="5"/>
  <c r="BG9" i="5" s="1"/>
  <c r="G9" i="65" s="1"/>
  <c r="P7" i="5"/>
  <c r="O8" i="5"/>
  <c r="AY10" i="5"/>
  <c r="BB10" i="5" s="1"/>
  <c r="BE10" i="5" s="1"/>
  <c r="AS11" i="5"/>
  <c r="N7" i="5"/>
  <c r="M8" i="5"/>
  <c r="AF26" i="2"/>
  <c r="A24" i="63"/>
  <c r="AE26" i="2"/>
  <c r="AG26" i="2" s="1"/>
  <c r="AD32" i="5"/>
  <c r="AD27" i="2"/>
  <c r="AC28" i="2"/>
  <c r="V27" i="2"/>
  <c r="U28" i="2"/>
  <c r="V28" i="2" l="1"/>
  <c r="U29" i="2"/>
  <c r="AD33" i="5"/>
  <c r="B24" i="63"/>
  <c r="H27" i="65"/>
  <c r="A25" i="63"/>
  <c r="AE27" i="2"/>
  <c r="AG27" i="2" s="1"/>
  <c r="Q7" i="5"/>
  <c r="O9" i="5"/>
  <c r="P8" i="5"/>
  <c r="T28" i="2"/>
  <c r="S29" i="2"/>
  <c r="I6" i="63"/>
  <c r="BF10" i="5"/>
  <c r="BG10" i="5" s="1"/>
  <c r="G10" i="65" s="1"/>
  <c r="AC29" i="2"/>
  <c r="AD28" i="2"/>
  <c r="N8" i="5"/>
  <c r="M9" i="5"/>
  <c r="AY11" i="5"/>
  <c r="BB11" i="5" s="1"/>
  <c r="BE11" i="5" s="1"/>
  <c r="AS12" i="5"/>
  <c r="AF27" i="2"/>
  <c r="AS13" i="5" l="1"/>
  <c r="AY12" i="5"/>
  <c r="BB12" i="5" s="1"/>
  <c r="BE12" i="5" s="1"/>
  <c r="S30" i="2"/>
  <c r="T29" i="2"/>
  <c r="M3" i="81"/>
  <c r="AF28" i="2"/>
  <c r="H28" i="65"/>
  <c r="B25" i="63"/>
  <c r="P9" i="5"/>
  <c r="O10" i="5"/>
  <c r="U30" i="2"/>
  <c r="V29" i="2"/>
  <c r="N9" i="5"/>
  <c r="M10" i="5"/>
  <c r="AD34" i="5"/>
  <c r="Q8" i="5"/>
  <c r="M4" i="81" s="1"/>
  <c r="I7" i="63"/>
  <c r="BF11" i="5"/>
  <c r="BG11" i="5" s="1"/>
  <c r="G11" i="65" s="1"/>
  <c r="AC30" i="2"/>
  <c r="AD29" i="2"/>
  <c r="A26" i="63"/>
  <c r="AE28" i="2"/>
  <c r="AG28" i="2" s="1"/>
  <c r="AC31" i="2" l="1"/>
  <c r="AD30" i="2"/>
  <c r="AY13" i="5"/>
  <c r="BB13" i="5" s="1"/>
  <c r="BE13" i="5" s="1"/>
  <c r="AS14" i="5"/>
  <c r="AF29" i="2"/>
  <c r="I8" i="63"/>
  <c r="BF12" i="5"/>
  <c r="BG12" i="5" s="1"/>
  <c r="G12" i="65" s="1"/>
  <c r="Q9" i="5"/>
  <c r="M5" i="81" s="1"/>
  <c r="M11" i="5"/>
  <c r="N10" i="5"/>
  <c r="O11" i="5"/>
  <c r="P10" i="5"/>
  <c r="H29" i="65"/>
  <c r="B26" i="63"/>
  <c r="S31" i="2"/>
  <c r="T30" i="2"/>
  <c r="AD35" i="5"/>
  <c r="AD36" i="5"/>
  <c r="V30" i="2"/>
  <c r="U31" i="2"/>
  <c r="A27" i="63"/>
  <c r="AE29" i="2"/>
  <c r="AG29" i="2" s="1"/>
  <c r="Q10" i="5" l="1"/>
  <c r="M6" i="81" s="1"/>
  <c r="V31" i="2"/>
  <c r="U32" i="2"/>
  <c r="A28" i="63"/>
  <c r="AE30" i="2"/>
  <c r="AG30" i="2" s="1"/>
  <c r="H30" i="65"/>
  <c r="B27" i="63"/>
  <c r="AC32" i="2"/>
  <c r="AD31" i="2"/>
  <c r="M12" i="5"/>
  <c r="N11" i="5"/>
  <c r="I9" i="63"/>
  <c r="BF13" i="5"/>
  <c r="BG13" i="5" s="1"/>
  <c r="G13" i="65" s="1"/>
  <c r="S32" i="2"/>
  <c r="T31" i="2"/>
  <c r="P11" i="5"/>
  <c r="O12" i="5"/>
  <c r="AS15" i="5"/>
  <c r="AY14" i="5"/>
  <c r="BB14" i="5" s="1"/>
  <c r="BE14" i="5" s="1"/>
  <c r="AF30" i="2"/>
  <c r="AF31" i="2" l="1"/>
  <c r="H32" i="65" s="1"/>
  <c r="AS16" i="5"/>
  <c r="AY15" i="5"/>
  <c r="BB15" i="5" s="1"/>
  <c r="BE15" i="5" s="1"/>
  <c r="S33" i="2"/>
  <c r="T32" i="2"/>
  <c r="AE32" i="2" s="1"/>
  <c r="AG32" i="2" s="1"/>
  <c r="N12" i="5"/>
  <c r="M13" i="5"/>
  <c r="U33" i="2"/>
  <c r="V32" i="2"/>
  <c r="P12" i="5"/>
  <c r="O13" i="5"/>
  <c r="I10" i="63"/>
  <c r="BF14" i="5"/>
  <c r="BG14" i="5" s="1"/>
  <c r="G14" i="65" s="1"/>
  <c r="A29" i="63"/>
  <c r="AE31" i="2"/>
  <c r="AG31" i="2" s="1"/>
  <c r="AD32" i="2"/>
  <c r="AC33" i="2"/>
  <c r="B28" i="63"/>
  <c r="H31" i="65"/>
  <c r="Q11" i="5"/>
  <c r="Q12" i="5" l="1"/>
  <c r="M8" i="81" s="1"/>
  <c r="B29" i="63"/>
  <c r="AF32" i="2"/>
  <c r="M7" i="81"/>
  <c r="U34" i="2"/>
  <c r="V34" i="2" s="1"/>
  <c r="V33" i="2"/>
  <c r="S34" i="2"/>
  <c r="T34" i="2" s="1"/>
  <c r="AE34" i="2" s="1"/>
  <c r="AG34" i="2" s="1"/>
  <c r="T33" i="2"/>
  <c r="AE33" i="2" s="1"/>
  <c r="AG33" i="2" s="1"/>
  <c r="AC34" i="2"/>
  <c r="AD34" i="2" s="1"/>
  <c r="AD33" i="2"/>
  <c r="AS17" i="5"/>
  <c r="AY16" i="5"/>
  <c r="BB16" i="5" s="1"/>
  <c r="BE16" i="5" s="1"/>
  <c r="O14" i="5"/>
  <c r="P13" i="5"/>
  <c r="M14" i="5"/>
  <c r="N13" i="5"/>
  <c r="I11" i="63"/>
  <c r="BF15" i="5"/>
  <c r="BG15" i="5" s="1"/>
  <c r="G15" i="65" s="1"/>
  <c r="N14" i="5" l="1"/>
  <c r="M15" i="5"/>
  <c r="AY17" i="5"/>
  <c r="BB17" i="5" s="1"/>
  <c r="BE17" i="5" s="1"/>
  <c r="AS18" i="5"/>
  <c r="BF16" i="5"/>
  <c r="BG16" i="5" s="1"/>
  <c r="G16" i="65" s="1"/>
  <c r="I12" i="63"/>
  <c r="AF34" i="2"/>
  <c r="P14" i="5"/>
  <c r="O15" i="5"/>
  <c r="Q13" i="5"/>
  <c r="M9" i="81" s="1"/>
  <c r="AF33" i="2"/>
  <c r="Q14" i="5" l="1"/>
  <c r="M10" i="81" s="1"/>
  <c r="O16" i="5"/>
  <c r="P15" i="5"/>
  <c r="M16" i="5"/>
  <c r="N15" i="5"/>
  <c r="BF17" i="5"/>
  <c r="BG17" i="5" s="1"/>
  <c r="G17" i="65" s="1"/>
  <c r="I13" i="63"/>
  <c r="AS19" i="5"/>
  <c r="AY18" i="5"/>
  <c r="BB18" i="5" s="1"/>
  <c r="BE18" i="5" s="1"/>
  <c r="Q15" i="5" l="1"/>
  <c r="M11" i="81" s="1"/>
  <c r="P16" i="5"/>
  <c r="O17" i="5"/>
  <c r="AY19" i="5"/>
  <c r="BB19" i="5" s="1"/>
  <c r="BE19" i="5" s="1"/>
  <c r="AS20" i="5"/>
  <c r="N16" i="5"/>
  <c r="M17" i="5"/>
  <c r="I14" i="63"/>
  <c r="BF18" i="5"/>
  <c r="BG18" i="5" s="1"/>
  <c r="G18" i="65" s="1"/>
  <c r="Q16" i="5" l="1"/>
  <c r="M12" i="81" s="1"/>
  <c r="N17" i="5"/>
  <c r="M18" i="5"/>
  <c r="P17" i="5"/>
  <c r="O18" i="5"/>
  <c r="BF19" i="5"/>
  <c r="BG19" i="5" s="1"/>
  <c r="G19" i="65" s="1"/>
  <c r="I15" i="63"/>
  <c r="AY20" i="5"/>
  <c r="BB20" i="5" s="1"/>
  <c r="BE20" i="5" s="1"/>
  <c r="AS21" i="5"/>
  <c r="AY21" i="5" l="1"/>
  <c r="BB21" i="5" s="1"/>
  <c r="BE21" i="5" s="1"/>
  <c r="AS22" i="5"/>
  <c r="O19" i="5"/>
  <c r="P18" i="5"/>
  <c r="N18" i="5"/>
  <c r="M19" i="5"/>
  <c r="BF20" i="5"/>
  <c r="BG20" i="5" s="1"/>
  <c r="G20" i="65" s="1"/>
  <c r="I16" i="63"/>
  <c r="Q17" i="5"/>
  <c r="M13" i="81" s="1"/>
  <c r="L3" i="3"/>
  <c r="I17" i="63" l="1"/>
  <c r="BF21" i="5"/>
  <c r="BG21" i="5" s="1"/>
  <c r="G21" i="65" s="1"/>
  <c r="L4" i="3"/>
  <c r="M3" i="3"/>
  <c r="N19" i="5"/>
  <c r="M20" i="5"/>
  <c r="AY22" i="5"/>
  <c r="BB22" i="5" s="1"/>
  <c r="BE22" i="5" s="1"/>
  <c r="AS23" i="5"/>
  <c r="O20" i="5"/>
  <c r="P19" i="5"/>
  <c r="Q18" i="5"/>
  <c r="M14" i="81" s="1"/>
  <c r="I18" i="63" l="1"/>
  <c r="BF22" i="5"/>
  <c r="BG22" i="5" s="1"/>
  <c r="G22" i="65" s="1"/>
  <c r="L5" i="3"/>
  <c r="M4" i="3"/>
  <c r="O21" i="5"/>
  <c r="P20" i="5"/>
  <c r="M21" i="5"/>
  <c r="N20" i="5"/>
  <c r="AS24" i="5"/>
  <c r="AY23" i="5"/>
  <c r="BB23" i="5" s="1"/>
  <c r="BE23" i="5" s="1"/>
  <c r="Q19" i="5"/>
  <c r="M15" i="81" s="1"/>
  <c r="M5" i="3" l="1"/>
  <c r="L6" i="3"/>
  <c r="L7" i="3" s="1"/>
  <c r="Q20" i="5"/>
  <c r="M16" i="81" s="1"/>
  <c r="M22" i="5"/>
  <c r="N21" i="5"/>
  <c r="AS25" i="5"/>
  <c r="AY24" i="5"/>
  <c r="BB24" i="5" s="1"/>
  <c r="BE24" i="5" s="1"/>
  <c r="P21" i="5"/>
  <c r="O22" i="5"/>
  <c r="BF23" i="5"/>
  <c r="BG23" i="5" s="1"/>
  <c r="G23" i="65" s="1"/>
  <c r="I19" i="63"/>
  <c r="L8" i="3" l="1"/>
  <c r="M7" i="3"/>
  <c r="M23" i="5"/>
  <c r="N22" i="5"/>
  <c r="BF24" i="5"/>
  <c r="BG24" i="5" s="1"/>
  <c r="G24" i="65" s="1"/>
  <c r="I20" i="63"/>
  <c r="M6" i="3"/>
  <c r="Q21" i="5"/>
  <c r="M17" i="81" s="1"/>
  <c r="AS26" i="5"/>
  <c r="AY25" i="5"/>
  <c r="BB25" i="5" s="1"/>
  <c r="BE25" i="5" s="1"/>
  <c r="O23" i="5"/>
  <c r="P22" i="5"/>
  <c r="L9" i="3" l="1"/>
  <c r="M8" i="3"/>
  <c r="M24" i="5"/>
  <c r="N23" i="5"/>
  <c r="Q22" i="5"/>
  <c r="M18" i="81" s="1"/>
  <c r="I21" i="63"/>
  <c r="BF25" i="5"/>
  <c r="BG25" i="5" s="1"/>
  <c r="G25" i="65" s="1"/>
  <c r="O24" i="5"/>
  <c r="P23" i="5"/>
  <c r="AY26" i="5"/>
  <c r="BB26" i="5" s="1"/>
  <c r="BE26" i="5" s="1"/>
  <c r="AS27" i="5"/>
  <c r="L10" i="3" l="1"/>
  <c r="M9" i="3"/>
  <c r="Q23" i="5"/>
  <c r="M19" i="81" s="1"/>
  <c r="BF26" i="5"/>
  <c r="BG26" i="5" s="1"/>
  <c r="G26" i="65" s="1"/>
  <c r="I22" i="63"/>
  <c r="N24" i="5"/>
  <c r="M25" i="5"/>
  <c r="AS28" i="5"/>
  <c r="AY27" i="5"/>
  <c r="BB27" i="5" s="1"/>
  <c r="BE27" i="5" s="1"/>
  <c r="O25" i="5"/>
  <c r="P24" i="5"/>
  <c r="L11" i="3" l="1"/>
  <c r="M10" i="3"/>
  <c r="Q24" i="5"/>
  <c r="M20" i="81" s="1"/>
  <c r="AY28" i="5"/>
  <c r="BB28" i="5" s="1"/>
  <c r="BE28" i="5" s="1"/>
  <c r="AS29" i="5"/>
  <c r="P25" i="5"/>
  <c r="O26" i="5"/>
  <c r="I23" i="63"/>
  <c r="BF27" i="5"/>
  <c r="BG27" i="5" s="1"/>
  <c r="G27" i="65" s="1"/>
  <c r="N25" i="5"/>
  <c r="M26" i="5"/>
  <c r="L12" i="3" l="1"/>
  <c r="M11" i="3"/>
  <c r="P26" i="5"/>
  <c r="O27" i="5"/>
  <c r="I24" i="63"/>
  <c r="BF28" i="5"/>
  <c r="BG28" i="5" s="1"/>
  <c r="G28" i="65" s="1"/>
  <c r="Q25" i="5"/>
  <c r="M21" i="81" s="1"/>
  <c r="N26" i="5"/>
  <c r="M27" i="5"/>
  <c r="AS30" i="5"/>
  <c r="AY29" i="5"/>
  <c r="BB29" i="5" s="1"/>
  <c r="BE29" i="5" s="1"/>
  <c r="L13" i="3" l="1"/>
  <c r="M12" i="3"/>
  <c r="Q26" i="5"/>
  <c r="M22" i="81" s="1"/>
  <c r="I25" i="63"/>
  <c r="BF29" i="5"/>
  <c r="BG29" i="5" s="1"/>
  <c r="G29" i="65" s="1"/>
  <c r="N27" i="5"/>
  <c r="M28" i="5"/>
  <c r="AS31" i="5"/>
  <c r="AY30" i="5"/>
  <c r="BB30" i="5" s="1"/>
  <c r="BE30" i="5" s="1"/>
  <c r="O28" i="5"/>
  <c r="P27" i="5"/>
  <c r="L14" i="3" l="1"/>
  <c r="M13" i="3"/>
  <c r="Q27" i="5"/>
  <c r="M23" i="81" s="1"/>
  <c r="P28" i="5"/>
  <c r="O29" i="5"/>
  <c r="AS32" i="5"/>
  <c r="AY31" i="5"/>
  <c r="BB31" i="5" s="1"/>
  <c r="BE31" i="5" s="1"/>
  <c r="BF30" i="5"/>
  <c r="BG30" i="5" s="1"/>
  <c r="G30" i="65" s="1"/>
  <c r="I26" i="63"/>
  <c r="M29" i="5"/>
  <c r="N28" i="5"/>
  <c r="L15" i="3" l="1"/>
  <c r="M14" i="3"/>
  <c r="Q28" i="5"/>
  <c r="M24" i="81" s="1"/>
  <c r="O30" i="5"/>
  <c r="P29" i="5"/>
  <c r="AS33" i="5"/>
  <c r="AY32" i="5"/>
  <c r="BB32" i="5" s="1"/>
  <c r="BE32" i="5" s="1"/>
  <c r="N29" i="5"/>
  <c r="M30" i="5"/>
  <c r="BF31" i="5"/>
  <c r="BG31" i="5" s="1"/>
  <c r="G31" i="65" s="1"/>
  <c r="I27" i="63"/>
  <c r="L16" i="3" l="1"/>
  <c r="M15" i="3"/>
  <c r="Q29" i="5"/>
  <c r="M25" i="81" s="1"/>
  <c r="O31" i="5"/>
  <c r="P30" i="5"/>
  <c r="AS34" i="5"/>
  <c r="AY33" i="5"/>
  <c r="BB33" i="5" s="1"/>
  <c r="BE33" i="5" s="1"/>
  <c r="BF32" i="5"/>
  <c r="BG32" i="5" s="1"/>
  <c r="G32" i="65" s="1"/>
  <c r="I28" i="63"/>
  <c r="M31" i="5"/>
  <c r="N30" i="5"/>
  <c r="L17" i="3" l="1"/>
  <c r="M16" i="3"/>
  <c r="AS35" i="5"/>
  <c r="AY34" i="5"/>
  <c r="BB34" i="5" s="1"/>
  <c r="BE34" i="5" s="1"/>
  <c r="BF34" i="5" s="1"/>
  <c r="BG34" i="5" s="1"/>
  <c r="P31" i="5"/>
  <c r="O32" i="5"/>
  <c r="N31" i="5"/>
  <c r="M32" i="5"/>
  <c r="I29" i="63"/>
  <c r="BF33" i="5"/>
  <c r="BG33" i="5" s="1"/>
  <c r="G33" i="65" s="1"/>
  <c r="Q30" i="5"/>
  <c r="M26" i="81" s="1"/>
  <c r="L18" i="3" l="1"/>
  <c r="M17" i="3"/>
  <c r="N32" i="5"/>
  <c r="M33" i="5"/>
  <c r="Q31" i="5"/>
  <c r="M27" i="81" s="1"/>
  <c r="AY35" i="5"/>
  <c r="BB35" i="5" s="1"/>
  <c r="BE35" i="5" s="1"/>
  <c r="BF35" i="5" s="1"/>
  <c r="BG35" i="5" s="1"/>
  <c r="AS36" i="5"/>
  <c r="AY36" i="5" s="1"/>
  <c r="O33" i="5"/>
  <c r="P32" i="5"/>
  <c r="L19" i="3" l="1"/>
  <c r="M18" i="3"/>
  <c r="Q32" i="5"/>
  <c r="M28" i="81" s="1"/>
  <c r="BB36" i="5"/>
  <c r="BE36" i="5" s="1"/>
  <c r="BF36" i="5" s="1"/>
  <c r="BG36" i="5" s="1"/>
  <c r="P33" i="5"/>
  <c r="O34" i="5"/>
  <c r="N33" i="5"/>
  <c r="M34" i="5"/>
  <c r="L20" i="3" l="1"/>
  <c r="M19" i="3"/>
  <c r="P34" i="5"/>
  <c r="O35" i="5"/>
  <c r="N34" i="5"/>
  <c r="M35" i="5"/>
  <c r="Q33" i="5"/>
  <c r="M29" i="81" s="1"/>
  <c r="L21" i="3" l="1"/>
  <c r="M20" i="3"/>
  <c r="N35" i="5"/>
  <c r="M36" i="5"/>
  <c r="N36" i="5" s="1"/>
  <c r="Q34" i="5"/>
  <c r="M30" i="81" s="1"/>
  <c r="O36" i="5"/>
  <c r="P36" i="5" s="1"/>
  <c r="P35" i="5"/>
  <c r="L22" i="3" l="1"/>
  <c r="M21" i="3"/>
  <c r="Q36" i="5"/>
  <c r="Q35" i="5"/>
  <c r="M31" i="81" s="1"/>
  <c r="L23" i="3" l="1"/>
  <c r="M22" i="3"/>
  <c r="Q37" i="5"/>
  <c r="O38" i="5" s="1"/>
  <c r="L24" i="3" l="1"/>
  <c r="M23" i="3"/>
  <c r="AA22" i="3"/>
  <c r="AC22" i="3" s="1"/>
  <c r="AH22" i="3" s="1"/>
  <c r="L25" i="3" l="1"/>
  <c r="M24" i="3"/>
  <c r="AA23" i="3"/>
  <c r="AC23" i="3" s="1"/>
  <c r="AH23" i="3" s="1"/>
  <c r="L26" i="3" l="1"/>
  <c r="M25" i="3"/>
  <c r="D3" i="3"/>
  <c r="D4" i="3" s="1"/>
  <c r="D5" i="3" l="1"/>
  <c r="D6" i="3" s="1"/>
  <c r="L27" i="3"/>
  <c r="M26" i="3"/>
  <c r="E3" i="3"/>
  <c r="AA3" i="3" l="1"/>
  <c r="AC3" i="3" s="1"/>
  <c r="AH3" i="3" s="1"/>
  <c r="F3" i="3"/>
  <c r="AB3" i="3" s="1"/>
  <c r="I6" i="3"/>
  <c r="D7" i="3"/>
  <c r="I7" i="3"/>
  <c r="L28" i="3"/>
  <c r="M27" i="3"/>
  <c r="E4" i="3"/>
  <c r="AA4" i="3" l="1"/>
  <c r="AC4" i="3" s="1"/>
  <c r="AH4" i="3" s="1"/>
  <c r="F4" i="3"/>
  <c r="AB4" i="3" s="1"/>
  <c r="D8" i="3"/>
  <c r="D9" i="3" s="1"/>
  <c r="I8" i="3"/>
  <c r="L29" i="3"/>
  <c r="M28" i="3"/>
  <c r="E5" i="3"/>
  <c r="D10" i="3" l="1"/>
  <c r="I9" i="3"/>
  <c r="AA5" i="3"/>
  <c r="AC5" i="3" s="1"/>
  <c r="AH5" i="3" s="1"/>
  <c r="F5" i="3"/>
  <c r="AB5" i="3" s="1"/>
  <c r="L30" i="3"/>
  <c r="M29" i="3"/>
  <c r="E6" i="3"/>
  <c r="F6" i="3" s="1"/>
  <c r="D11" i="3" l="1"/>
  <c r="I10" i="3"/>
  <c r="L31" i="3"/>
  <c r="M30" i="3"/>
  <c r="AA6" i="3"/>
  <c r="AC6" i="3" s="1"/>
  <c r="AH6" i="3" s="1"/>
  <c r="AB6" i="3"/>
  <c r="E7" i="3"/>
  <c r="F7" i="3" s="1"/>
  <c r="AB7" i="3" s="1"/>
  <c r="D12" i="3" l="1"/>
  <c r="I11" i="3"/>
  <c r="L32" i="3"/>
  <c r="M31" i="3"/>
  <c r="AA7" i="3"/>
  <c r="AC7" i="3" s="1"/>
  <c r="AH7" i="3" s="1"/>
  <c r="E8" i="3"/>
  <c r="D13" i="3" l="1"/>
  <c r="I12" i="3"/>
  <c r="AA8" i="3"/>
  <c r="AC8" i="3" s="1"/>
  <c r="AH8" i="3" s="1"/>
  <c r="F8" i="3"/>
  <c r="AB8" i="3" s="1"/>
  <c r="L33" i="3"/>
  <c r="M33" i="3" s="1"/>
  <c r="M32" i="3"/>
  <c r="E9" i="3"/>
  <c r="AA9" i="3" l="1"/>
  <c r="AC9" i="3" s="1"/>
  <c r="AH9" i="3" s="1"/>
  <c r="F9" i="3"/>
  <c r="AB9" i="3" s="1"/>
  <c r="D14" i="3"/>
  <c r="I13" i="3"/>
  <c r="E10" i="3"/>
  <c r="D15" i="3" l="1"/>
  <c r="I14" i="3"/>
  <c r="AA10" i="3"/>
  <c r="AC10" i="3" s="1"/>
  <c r="AH10" i="3" s="1"/>
  <c r="F10" i="3"/>
  <c r="AB10" i="3" s="1"/>
  <c r="E11" i="3"/>
  <c r="D16" i="3" l="1"/>
  <c r="I15" i="3"/>
  <c r="AA11" i="3"/>
  <c r="AC11" i="3" s="1"/>
  <c r="AH11" i="3" s="1"/>
  <c r="F11" i="3"/>
  <c r="AB11" i="3" s="1"/>
  <c r="E12" i="3"/>
  <c r="D17" i="3" l="1"/>
  <c r="I16" i="3"/>
  <c r="AA12" i="3"/>
  <c r="AC12" i="3" s="1"/>
  <c r="AH12" i="3" s="1"/>
  <c r="F12" i="3"/>
  <c r="AB12" i="3" s="1"/>
  <c r="E13" i="3"/>
  <c r="D18" i="3" l="1"/>
  <c r="I17" i="3"/>
  <c r="AA13" i="3"/>
  <c r="AC13" i="3" s="1"/>
  <c r="AH13" i="3" s="1"/>
  <c r="F13" i="3"/>
  <c r="AB13" i="3" s="1"/>
  <c r="E14" i="3"/>
  <c r="D19" i="3" l="1"/>
  <c r="I18" i="3"/>
  <c r="AA14" i="3"/>
  <c r="AC14" i="3" s="1"/>
  <c r="AH14" i="3" s="1"/>
  <c r="F14" i="3"/>
  <c r="AB14" i="3" s="1"/>
  <c r="E15" i="3"/>
  <c r="AA15" i="3" l="1"/>
  <c r="AC15" i="3" s="1"/>
  <c r="AH15" i="3" s="1"/>
  <c r="F15" i="3"/>
  <c r="AB15" i="3" s="1"/>
  <c r="D20" i="3"/>
  <c r="I19" i="3"/>
  <c r="E16" i="3"/>
  <c r="AA16" i="3" l="1"/>
  <c r="AC16" i="3" s="1"/>
  <c r="AH16" i="3" s="1"/>
  <c r="F16" i="3"/>
  <c r="AB16" i="3" s="1"/>
  <c r="D21" i="3"/>
  <c r="I20" i="3"/>
  <c r="E17" i="3"/>
  <c r="AA17" i="3" l="1"/>
  <c r="AC17" i="3" s="1"/>
  <c r="AH17" i="3" s="1"/>
  <c r="F17" i="3"/>
  <c r="AB17" i="3" s="1"/>
  <c r="D22" i="3"/>
  <c r="I21" i="3"/>
  <c r="E18" i="3"/>
  <c r="AA18" i="3" l="1"/>
  <c r="AC18" i="3" s="1"/>
  <c r="AH18" i="3" s="1"/>
  <c r="F18" i="3"/>
  <c r="AB18" i="3" s="1"/>
  <c r="D23" i="3"/>
  <c r="I22" i="3"/>
  <c r="E19" i="3"/>
  <c r="AA19" i="3" l="1"/>
  <c r="AC19" i="3" s="1"/>
  <c r="AH19" i="3" s="1"/>
  <c r="F19" i="3"/>
  <c r="AB19" i="3" s="1"/>
  <c r="D24" i="3"/>
  <c r="I23" i="3"/>
  <c r="E20" i="3"/>
  <c r="AA20" i="3" l="1"/>
  <c r="AC20" i="3" s="1"/>
  <c r="AH20" i="3" s="1"/>
  <c r="F20" i="3"/>
  <c r="AB20" i="3" s="1"/>
  <c r="D25" i="3"/>
  <c r="I24" i="3"/>
  <c r="E21" i="3"/>
  <c r="AA21" i="3" l="1"/>
  <c r="AC21" i="3" s="1"/>
  <c r="AH21" i="3" s="1"/>
  <c r="F21" i="3"/>
  <c r="AB21" i="3" s="1"/>
  <c r="D26" i="3"/>
  <c r="I25" i="3"/>
  <c r="E24" i="3"/>
  <c r="AA24" i="3" l="1"/>
  <c r="AC24" i="3" s="1"/>
  <c r="AH24" i="3" s="1"/>
  <c r="F24" i="3"/>
  <c r="AB24" i="3" s="1"/>
  <c r="D27" i="3"/>
  <c r="I26" i="3"/>
  <c r="E25" i="3"/>
  <c r="AA25" i="3" l="1"/>
  <c r="AC25" i="3" s="1"/>
  <c r="AH25" i="3" s="1"/>
  <c r="F25" i="3"/>
  <c r="AB25" i="3" s="1"/>
  <c r="D28" i="3"/>
  <c r="I27" i="3"/>
  <c r="E26" i="3"/>
  <c r="AA26" i="3" l="1"/>
  <c r="AC26" i="3" s="1"/>
  <c r="AH26" i="3" s="1"/>
  <c r="F26" i="3"/>
  <c r="AB26" i="3" s="1"/>
  <c r="D29" i="3"/>
  <c r="I28" i="3"/>
  <c r="E27" i="3"/>
  <c r="AA27" i="3" l="1"/>
  <c r="AC27" i="3" s="1"/>
  <c r="AH27" i="3" s="1"/>
  <c r="F27" i="3"/>
  <c r="AB27" i="3" s="1"/>
  <c r="D30" i="3"/>
  <c r="I29" i="3"/>
  <c r="E28" i="3"/>
  <c r="AA28" i="3" l="1"/>
  <c r="AC28" i="3" s="1"/>
  <c r="AH28" i="3" s="1"/>
  <c r="F28" i="3"/>
  <c r="AB28" i="3" s="1"/>
  <c r="D31" i="3"/>
  <c r="I30" i="3"/>
  <c r="E29" i="3"/>
  <c r="AA29" i="3" l="1"/>
  <c r="AC29" i="3" s="1"/>
  <c r="AH29" i="3" s="1"/>
  <c r="F29" i="3"/>
  <c r="AB29" i="3" s="1"/>
  <c r="D32" i="3"/>
  <c r="I31" i="3"/>
  <c r="E30" i="3"/>
  <c r="AA30" i="3" l="1"/>
  <c r="AC30" i="3" s="1"/>
  <c r="AH30" i="3" s="1"/>
  <c r="F30" i="3"/>
  <c r="AB30" i="3" s="1"/>
  <c r="D33" i="3"/>
  <c r="I32" i="3"/>
  <c r="E31" i="3"/>
  <c r="AA31" i="3" l="1"/>
  <c r="AC31" i="3" s="1"/>
  <c r="AH31" i="3" s="1"/>
  <c r="F31" i="3"/>
  <c r="AB31" i="3" s="1"/>
  <c r="I33" i="3"/>
  <c r="E33" i="3"/>
  <c r="E32" i="3"/>
  <c r="AP5" i="1"/>
  <c r="AN5" i="1"/>
  <c r="AR5" i="1"/>
  <c r="AA33" i="3" l="1"/>
  <c r="AC33" i="3" s="1"/>
  <c r="AH33" i="3" s="1"/>
  <c r="F33" i="3"/>
  <c r="AB33" i="3" s="1"/>
  <c r="AA32" i="3"/>
  <c r="AC32" i="3" s="1"/>
  <c r="AH32" i="3" s="1"/>
  <c r="F32" i="3"/>
  <c r="AB32" i="3" s="1"/>
  <c r="AP6" i="1"/>
  <c r="AQ5" i="1"/>
  <c r="AR6" i="1"/>
  <c r="AS5" i="1"/>
  <c r="AN6" i="1"/>
  <c r="AO5" i="1"/>
  <c r="AT5" i="1" l="1"/>
  <c r="AU5" i="1" s="1"/>
  <c r="I2" i="81" s="1"/>
  <c r="AN7" i="1"/>
  <c r="AO6" i="1"/>
  <c r="AQ6" i="1"/>
  <c r="AP7" i="1"/>
  <c r="AR7" i="1"/>
  <c r="AS6" i="1"/>
  <c r="P3" i="3"/>
  <c r="AT6" i="1" l="1"/>
  <c r="AU6" i="1" s="1"/>
  <c r="I3" i="81" s="1"/>
  <c r="Q3" i="3"/>
  <c r="P4" i="3"/>
  <c r="AR8" i="1"/>
  <c r="AS7" i="1"/>
  <c r="AO7" i="1"/>
  <c r="AN8" i="1"/>
  <c r="AQ7" i="1"/>
  <c r="AP8" i="1"/>
  <c r="AT7" i="1" l="1"/>
  <c r="AU7" i="1" s="1"/>
  <c r="I4" i="81" s="1"/>
  <c r="AN9" i="1"/>
  <c r="AO8" i="1"/>
  <c r="Q4" i="3"/>
  <c r="P5" i="3"/>
  <c r="AS8" i="1"/>
  <c r="AR9" i="1"/>
  <c r="AP9" i="1"/>
  <c r="AQ8" i="1"/>
  <c r="AP10" i="1" l="1"/>
  <c r="AQ9" i="1"/>
  <c r="P6" i="3"/>
  <c r="Q5" i="3"/>
  <c r="AN10" i="1"/>
  <c r="AO9" i="1"/>
  <c r="AR10" i="1"/>
  <c r="AS9" i="1"/>
  <c r="AT8" i="1"/>
  <c r="AU8" i="1" s="1"/>
  <c r="I5" i="81" s="1"/>
  <c r="AT9" i="1" l="1"/>
  <c r="AU9" i="1" s="1"/>
  <c r="I6" i="81" s="1"/>
  <c r="AO10" i="1"/>
  <c r="AQ10" i="1"/>
  <c r="AP11" i="1"/>
  <c r="AS10" i="1"/>
  <c r="P7" i="3"/>
  <c r="Q7" i="3" s="1"/>
  <c r="Q6" i="3"/>
  <c r="AT10" i="1" l="1"/>
  <c r="AU10" i="1" s="1"/>
  <c r="I7" i="81" s="1"/>
  <c r="AO11" i="1"/>
  <c r="AN12" i="1"/>
  <c r="AR12" i="1"/>
  <c r="AS11" i="1"/>
  <c r="P8" i="3"/>
  <c r="AP12" i="1"/>
  <c r="AQ11" i="1"/>
  <c r="AT11" i="1" l="1"/>
  <c r="AU11" i="1" s="1"/>
  <c r="I8" i="81" s="1"/>
  <c r="Q8" i="3"/>
  <c r="P9" i="3"/>
  <c r="AO12" i="1"/>
  <c r="AN13" i="1"/>
  <c r="AP13" i="1"/>
  <c r="AQ12" i="1"/>
  <c r="AS12" i="1"/>
  <c r="AQ13" i="1" l="1"/>
  <c r="AP14" i="1"/>
  <c r="P10" i="3"/>
  <c r="Q9" i="3"/>
  <c r="AS13" i="1"/>
  <c r="AR14" i="1"/>
  <c r="AN14" i="1"/>
  <c r="AO13" i="1"/>
  <c r="AT12" i="1"/>
  <c r="AU12" i="1" s="1"/>
  <c r="I9" i="81" s="1"/>
  <c r="AN15" i="1" l="1"/>
  <c r="AO14" i="1"/>
  <c r="P11" i="3"/>
  <c r="Q10" i="3"/>
  <c r="AR15" i="1"/>
  <c r="AS14" i="1"/>
  <c r="AQ14" i="1"/>
  <c r="AP15" i="1"/>
  <c r="AT13" i="1"/>
  <c r="AU13" i="1" s="1"/>
  <c r="I10" i="81" s="1"/>
  <c r="AR16" i="1" l="1"/>
  <c r="AS15" i="1"/>
  <c r="AO15" i="1"/>
  <c r="AN16" i="1"/>
  <c r="Q11" i="3"/>
  <c r="P12" i="3"/>
  <c r="AP16" i="1"/>
  <c r="AQ15" i="1"/>
  <c r="AT14" i="1"/>
  <c r="AU14" i="1" s="1"/>
  <c r="I11" i="81" s="1"/>
  <c r="AS16" i="1" l="1"/>
  <c r="AR17" i="1"/>
  <c r="P13" i="3"/>
  <c r="Q12" i="3"/>
  <c r="AQ16" i="1"/>
  <c r="AP17" i="1"/>
  <c r="AN17" i="1"/>
  <c r="AO16" i="1"/>
  <c r="AT15" i="1"/>
  <c r="AU15" i="1" s="1"/>
  <c r="I12" i="81" s="1"/>
  <c r="AP18" i="1" l="1"/>
  <c r="AQ17" i="1"/>
  <c r="AO17" i="1"/>
  <c r="AN18" i="1"/>
  <c r="AS17" i="1"/>
  <c r="AR18" i="1"/>
  <c r="Q13" i="3"/>
  <c r="P14" i="3"/>
  <c r="AT16" i="1"/>
  <c r="AU16" i="1" s="1"/>
  <c r="I13" i="81" s="1"/>
  <c r="AP19" i="1" l="1"/>
  <c r="AQ18" i="1"/>
  <c r="AR19" i="1"/>
  <c r="AS18" i="1"/>
  <c r="Q14" i="3"/>
  <c r="Q18" i="3"/>
  <c r="P15" i="3"/>
  <c r="AO18" i="1"/>
  <c r="AN19" i="1"/>
  <c r="AT17" i="1"/>
  <c r="AU17" i="1" s="1"/>
  <c r="I14" i="81" s="1"/>
  <c r="AP20" i="1" l="1"/>
  <c r="AQ19" i="1"/>
  <c r="AO19" i="1"/>
  <c r="AN20" i="1"/>
  <c r="P16" i="3"/>
  <c r="Q15" i="3"/>
  <c r="AR20" i="1"/>
  <c r="AS19" i="1"/>
  <c r="AT18" i="1"/>
  <c r="P17" i="3" l="1"/>
  <c r="Q16" i="3"/>
  <c r="AP21" i="1"/>
  <c r="AQ20" i="1"/>
  <c r="AU18" i="1"/>
  <c r="I15" i="81" s="1"/>
  <c r="AS20" i="1"/>
  <c r="AR21" i="1"/>
  <c r="AO20" i="1"/>
  <c r="AN21" i="1"/>
  <c r="AT19" i="1"/>
  <c r="AU19" i="1" s="1"/>
  <c r="I16" i="81" s="1"/>
  <c r="AT20" i="1" l="1"/>
  <c r="AU20" i="1" s="1"/>
  <c r="I17" i="81" s="1"/>
  <c r="Q17" i="3"/>
  <c r="P18" i="3"/>
  <c r="P19" i="3" s="1"/>
  <c r="AO21" i="1"/>
  <c r="AN22" i="1"/>
  <c r="AQ21" i="1"/>
  <c r="AP22" i="1"/>
  <c r="AS21" i="1"/>
  <c r="AR22" i="1"/>
  <c r="AO22" i="1" l="1"/>
  <c r="AN23" i="1"/>
  <c r="AT21" i="1"/>
  <c r="AU21" i="1" s="1"/>
  <c r="I18" i="81" s="1"/>
  <c r="AS22" i="1"/>
  <c r="AR23" i="1"/>
  <c r="Q19" i="3"/>
  <c r="P20" i="3"/>
  <c r="AP23" i="1"/>
  <c r="AQ22" i="1"/>
  <c r="AT22" i="1" l="1"/>
  <c r="AR24" i="1"/>
  <c r="AS23" i="1"/>
  <c r="AN24" i="1"/>
  <c r="AO23" i="1"/>
  <c r="P21" i="3"/>
  <c r="Q20" i="3"/>
  <c r="AP24" i="1"/>
  <c r="AQ23" i="1"/>
  <c r="AT23" i="1" l="1"/>
  <c r="AU23" i="1" s="1"/>
  <c r="I20" i="81" s="1"/>
  <c r="AU22" i="1"/>
  <c r="I19" i="81" s="1"/>
  <c r="Q21" i="3"/>
  <c r="P22" i="3"/>
  <c r="AS24" i="1"/>
  <c r="AR25" i="1"/>
  <c r="AQ24" i="1"/>
  <c r="AP25" i="1"/>
  <c r="AN25" i="1"/>
  <c r="AO24" i="1"/>
  <c r="AT24" i="1" l="1"/>
  <c r="AU24" i="1" s="1"/>
  <c r="I21" i="81" s="1"/>
  <c r="AO25" i="1"/>
  <c r="AS25" i="1"/>
  <c r="AQ25" i="1"/>
  <c r="P23" i="3"/>
  <c r="Q22" i="3"/>
  <c r="AT25" i="1" l="1"/>
  <c r="AU25" i="1" s="1"/>
  <c r="I22" i="81" s="1"/>
  <c r="AP27" i="1"/>
  <c r="AQ26" i="1"/>
  <c r="AO26" i="1"/>
  <c r="AN27" i="1"/>
  <c r="P24" i="3"/>
  <c r="Q23" i="3"/>
  <c r="AR27" i="1"/>
  <c r="AS26" i="1"/>
  <c r="P25" i="3" l="1"/>
  <c r="Q24" i="3"/>
  <c r="AP28" i="1"/>
  <c r="AQ27" i="1"/>
  <c r="AR28" i="1"/>
  <c r="AS27" i="1"/>
  <c r="AO27" i="1"/>
  <c r="AN28" i="1"/>
  <c r="AT26" i="1"/>
  <c r="AU26" i="1" s="1"/>
  <c r="I23" i="81" s="1"/>
  <c r="AR29" i="1" l="1"/>
  <c r="AS28" i="1"/>
  <c r="P26" i="3"/>
  <c r="Q25" i="3"/>
  <c r="AQ28" i="1"/>
  <c r="AP29" i="1"/>
  <c r="AN29" i="1"/>
  <c r="AO28" i="1"/>
  <c r="AT27" i="1"/>
  <c r="AU27" i="1" s="1"/>
  <c r="I24" i="81" s="1"/>
  <c r="AS29" i="1" l="1"/>
  <c r="AR30" i="1"/>
  <c r="AQ29" i="1"/>
  <c r="AP30" i="1"/>
  <c r="AO29" i="1"/>
  <c r="AN30" i="1"/>
  <c r="P27" i="3"/>
  <c r="Q26" i="3"/>
  <c r="AT28" i="1"/>
  <c r="AU28" i="1" s="1"/>
  <c r="I25" i="81" s="1"/>
  <c r="AT29" i="1" l="1"/>
  <c r="AU29" i="1" s="1"/>
  <c r="I26" i="81" s="1"/>
  <c r="AN31" i="1"/>
  <c r="AO30" i="1"/>
  <c r="AS30" i="1"/>
  <c r="AR31" i="1"/>
  <c r="P28" i="3"/>
  <c r="Q27" i="3"/>
  <c r="AQ30" i="1"/>
  <c r="AP31" i="1"/>
  <c r="AT30" i="1" l="1"/>
  <c r="AU30" i="1" s="1"/>
  <c r="I27" i="81" s="1"/>
  <c r="Q28" i="3"/>
  <c r="P29" i="3"/>
  <c r="AN32" i="1"/>
  <c r="AO31" i="1"/>
  <c r="AP32" i="1"/>
  <c r="AQ31" i="1"/>
  <c r="AR32" i="1"/>
  <c r="AS31" i="1"/>
  <c r="AQ32" i="1" l="1"/>
  <c r="AP33" i="1"/>
  <c r="Q29" i="3"/>
  <c r="P30" i="3"/>
  <c r="AS32" i="1"/>
  <c r="AR33" i="1"/>
  <c r="AO32" i="1"/>
  <c r="AN33" i="1"/>
  <c r="AT31" i="1"/>
  <c r="AT32" i="1" l="1"/>
  <c r="AU32" i="1" s="1"/>
  <c r="I29" i="81" s="1"/>
  <c r="AU31" i="1"/>
  <c r="I28" i="81" s="1"/>
  <c r="AS33" i="1"/>
  <c r="AR34" i="1"/>
  <c r="AP34" i="1"/>
  <c r="AQ33" i="1"/>
  <c r="AO33" i="1"/>
  <c r="AN34" i="1"/>
  <c r="Q30" i="3"/>
  <c r="P31" i="3"/>
  <c r="AN35" i="1" l="1"/>
  <c r="AO35" i="1" s="1"/>
  <c r="AO34" i="1"/>
  <c r="AP35" i="1"/>
  <c r="AQ35" i="1" s="1"/>
  <c r="AQ34" i="1"/>
  <c r="P32" i="3"/>
  <c r="Q31" i="3"/>
  <c r="AS34" i="1"/>
  <c r="AR35" i="1"/>
  <c r="AS35" i="1" s="1"/>
  <c r="AT33" i="1"/>
  <c r="AX5" i="1"/>
  <c r="AT34" i="1" l="1"/>
  <c r="AT35" i="1"/>
  <c r="AU33" i="1"/>
  <c r="I30" i="81" s="1"/>
  <c r="P33" i="3"/>
  <c r="Q33" i="3" s="1"/>
  <c r="Q32" i="3"/>
  <c r="AX6" i="1"/>
  <c r="J2" i="81"/>
  <c r="AU35" i="1" l="1"/>
  <c r="AU34" i="1"/>
  <c r="I31" i="81" s="1"/>
  <c r="AX7" i="1"/>
  <c r="J3" i="81"/>
  <c r="AU36" i="1" l="1"/>
  <c r="AU38" i="1" s="1"/>
  <c r="AX8" i="1"/>
  <c r="J4" i="81"/>
  <c r="AX9" i="1" l="1"/>
  <c r="J5" i="81"/>
  <c r="AX10" i="1" l="1"/>
  <c r="J6" i="81"/>
  <c r="AX11" i="1" l="1"/>
  <c r="J7" i="81"/>
  <c r="J8" i="81" l="1"/>
  <c r="AX12" i="1"/>
  <c r="AX13" i="1" l="1"/>
  <c r="J9" i="81"/>
  <c r="J10" i="81" l="1"/>
  <c r="AX14" i="1"/>
  <c r="J11" i="81" l="1"/>
  <c r="AX15" i="1"/>
  <c r="AX16" i="1" l="1"/>
  <c r="J12" i="81"/>
  <c r="J13" i="81" l="1"/>
  <c r="AX17" i="1"/>
  <c r="AX18" i="1" l="1"/>
  <c r="J14" i="81"/>
  <c r="AX19" i="1" l="1"/>
  <c r="J15" i="81"/>
  <c r="AX20" i="1" l="1"/>
  <c r="J16" i="81"/>
  <c r="J17" i="81" l="1"/>
  <c r="AX21" i="1"/>
  <c r="AX22" i="1" l="1"/>
  <c r="J18" i="81"/>
  <c r="AX23" i="1" l="1"/>
  <c r="J19" i="81"/>
  <c r="J20" i="81" l="1"/>
  <c r="AX24" i="1"/>
  <c r="J21" i="81" l="1"/>
  <c r="AX25" i="1"/>
  <c r="AX26" i="1" l="1"/>
  <c r="J22" i="81"/>
  <c r="AX27" i="1" l="1"/>
  <c r="J23" i="81"/>
  <c r="J24" i="81" l="1"/>
  <c r="AX28" i="1"/>
  <c r="J25" i="81" l="1"/>
  <c r="AX29" i="1"/>
  <c r="J26" i="81" l="1"/>
  <c r="AX30" i="1"/>
  <c r="AX31" i="1" l="1"/>
  <c r="J27" i="81"/>
  <c r="J28" i="81" l="1"/>
  <c r="AX32" i="1"/>
  <c r="AX33" i="1" l="1"/>
  <c r="J29" i="81"/>
  <c r="AV6" i="7"/>
  <c r="J30" i="81" l="1"/>
  <c r="AX34" i="1"/>
  <c r="AV7" i="7"/>
  <c r="H2" i="81"/>
  <c r="J31" i="8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<sst xmlns="http://schemas.openxmlformats.org/spreadsheetml/2006/main" count="666" uniqueCount="418">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</sst>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08960"/>
        <c:axId val="180787728"/>
      </c:lineChart>
      <c:catAx>
        <c:axId val="18080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87728"/>
        <c:crosses val="autoZero"/>
        <c:auto val="1"/>
        <c:lblAlgn val="ctr"/>
        <c:lblOffset val="100"/>
        <c:noMultiLvlLbl val="0"/>
      </c:catAx>
      <c:valAx>
        <c:axId val="1807877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80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863872"/>
        <c:axId val="439864256"/>
      </c:lineChart>
      <c:catAx>
        <c:axId val="43986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9864256"/>
        <c:crosses val="autoZero"/>
        <c:auto val="1"/>
        <c:lblAlgn val="ctr"/>
        <c:lblOffset val="100"/>
        <c:noMultiLvlLbl val="0"/>
      </c:catAx>
      <c:valAx>
        <c:axId val="43986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986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937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519"/>
          <c:w val="0.77663126001869121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814200"/>
        <c:axId val="439814584"/>
      </c:lineChart>
      <c:catAx>
        <c:axId val="43981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9814584"/>
        <c:crosses val="autoZero"/>
        <c:auto val="1"/>
        <c:lblAlgn val="ctr"/>
        <c:lblOffset val="100"/>
        <c:noMultiLvlLbl val="0"/>
      </c:catAx>
      <c:valAx>
        <c:axId val="439814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981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98944"/>
        <c:axId val="178698160"/>
      </c:lineChart>
      <c:catAx>
        <c:axId val="17869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98160"/>
        <c:crosses val="autoZero"/>
        <c:auto val="1"/>
        <c:lblAlgn val="ctr"/>
        <c:lblOffset val="100"/>
        <c:noMultiLvlLbl val="0"/>
      </c:catAx>
      <c:valAx>
        <c:axId val="1786981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9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827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98552"/>
        <c:axId val="178697376"/>
      </c:lineChart>
      <c:catAx>
        <c:axId val="178698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97376"/>
        <c:crosses val="autoZero"/>
        <c:auto val="1"/>
        <c:lblAlgn val="ctr"/>
        <c:lblOffset val="100"/>
        <c:noMultiLvlLbl val="0"/>
      </c:catAx>
      <c:valAx>
        <c:axId val="17869737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98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5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4432"/>
        <c:axId val="438907176"/>
      </c:lineChart>
      <c:catAx>
        <c:axId val="43890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7176"/>
        <c:crosses val="autoZero"/>
        <c:auto val="1"/>
        <c:lblAlgn val="ctr"/>
        <c:lblOffset val="100"/>
        <c:noMultiLvlLbl val="0"/>
      </c:catAx>
      <c:valAx>
        <c:axId val="438907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6000"/>
        <c:axId val="438905608"/>
      </c:lineChart>
      <c:catAx>
        <c:axId val="43890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5608"/>
        <c:crosses val="autoZero"/>
        <c:auto val="1"/>
        <c:lblAlgn val="ctr"/>
        <c:lblOffset val="100"/>
        <c:noMultiLvlLbl val="0"/>
      </c:catAx>
      <c:valAx>
        <c:axId val="438905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2472"/>
        <c:axId val="438908352"/>
      </c:lineChart>
      <c:catAx>
        <c:axId val="438902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8352"/>
        <c:crosses val="autoZero"/>
        <c:auto val="1"/>
        <c:lblAlgn val="ctr"/>
        <c:lblOffset val="100"/>
        <c:noMultiLvlLbl val="0"/>
      </c:catAx>
      <c:valAx>
        <c:axId val="43890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2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3256"/>
        <c:axId val="438902864"/>
      </c:lineChart>
      <c:catAx>
        <c:axId val="438903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2864"/>
        <c:crosses val="autoZero"/>
        <c:auto val="1"/>
        <c:lblAlgn val="ctr"/>
        <c:lblOffset val="100"/>
        <c:noMultiLvlLbl val="0"/>
      </c:catAx>
      <c:valAx>
        <c:axId val="438902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3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48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6784"/>
        <c:axId val="438907960"/>
      </c:lineChart>
      <c:catAx>
        <c:axId val="43890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7960"/>
        <c:crosses val="autoZero"/>
        <c:auto val="1"/>
        <c:lblAlgn val="ctr"/>
        <c:lblOffset val="100"/>
        <c:noMultiLvlLbl val="0"/>
      </c:catAx>
      <c:valAx>
        <c:axId val="438907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1688"/>
        <c:axId val="438902080"/>
      </c:lineChart>
      <c:catAx>
        <c:axId val="438901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2080"/>
        <c:crosses val="autoZero"/>
        <c:auto val="1"/>
        <c:lblAlgn val="ctr"/>
        <c:lblOffset val="100"/>
        <c:noMultiLvlLbl val="0"/>
      </c:catAx>
      <c:valAx>
        <c:axId val="43890208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1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186</c:v>
                </c:pt>
                <c:pt idx="8">
                  <c:v>116</c:v>
                </c:pt>
                <c:pt idx="9">
                  <c:v>125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904824"/>
        <c:axId val="438905216"/>
      </c:lineChart>
      <c:catAx>
        <c:axId val="438904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5216"/>
        <c:crosses val="autoZero"/>
        <c:auto val="1"/>
        <c:lblAlgn val="ctr"/>
        <c:lblOffset val="100"/>
        <c:noMultiLvlLbl val="0"/>
      </c:catAx>
      <c:valAx>
        <c:axId val="4389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8904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11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123</c:v>
                </c:pt>
                <c:pt idx="8">
                  <c:v>146</c:v>
                </c:pt>
                <c:pt idx="9">
                  <c:v>44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40536"/>
        <c:axId val="440538576"/>
      </c:lineChart>
      <c:catAx>
        <c:axId val="440540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8576"/>
        <c:crosses val="autoZero"/>
        <c:auto val="1"/>
        <c:lblAlgn val="ctr"/>
        <c:lblOffset val="100"/>
        <c:noMultiLvlLbl val="0"/>
      </c:catAx>
      <c:valAx>
        <c:axId val="44053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40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07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-90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9360"/>
        <c:axId val="440535832"/>
      </c:lineChart>
      <c:catAx>
        <c:axId val="4405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5832"/>
        <c:crosses val="autoZero"/>
        <c:auto val="1"/>
        <c:lblAlgn val="ctr"/>
        <c:lblOffset val="100"/>
        <c:noMultiLvlLbl val="0"/>
      </c:catAx>
      <c:valAx>
        <c:axId val="4405358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40144"/>
        <c:axId val="440536224"/>
      </c:lineChart>
      <c:catAx>
        <c:axId val="44054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6224"/>
        <c:crosses val="autoZero"/>
        <c:auto val="1"/>
        <c:lblAlgn val="ctr"/>
        <c:lblOffset val="100"/>
        <c:noMultiLvlLbl val="0"/>
      </c:catAx>
      <c:valAx>
        <c:axId val="4405362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4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6616"/>
        <c:axId val="440533088"/>
      </c:lineChart>
      <c:catAx>
        <c:axId val="440536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3088"/>
        <c:crosses val="autoZero"/>
        <c:auto val="1"/>
        <c:lblAlgn val="ctr"/>
        <c:lblOffset val="100"/>
        <c:noMultiLvlLbl val="0"/>
      </c:catAx>
      <c:valAx>
        <c:axId val="44053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6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07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7400"/>
        <c:axId val="440533872"/>
      </c:lineChart>
      <c:catAx>
        <c:axId val="44053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3872"/>
        <c:crosses val="autoZero"/>
        <c:auto val="1"/>
        <c:lblAlgn val="ctr"/>
        <c:lblOffset val="100"/>
        <c:noMultiLvlLbl val="0"/>
      </c:catAx>
      <c:valAx>
        <c:axId val="4405338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7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575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-1060.0322580645443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-1346.5483870967728</c:v>
                </c:pt>
                <c:pt idx="8">
                  <c:v>-280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5048"/>
        <c:axId val="440535440"/>
      </c:lineChart>
      <c:catAx>
        <c:axId val="440535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5440"/>
        <c:crosses val="autoZero"/>
        <c:auto val="1"/>
        <c:lblAlgn val="ctr"/>
        <c:lblOffset val="100"/>
        <c:noMultiLvlLbl val="0"/>
      </c:catAx>
      <c:valAx>
        <c:axId val="4405354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5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38184"/>
        <c:axId val="441276376"/>
      </c:lineChart>
      <c:catAx>
        <c:axId val="440538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6376"/>
        <c:crosses val="autoZero"/>
        <c:auto val="1"/>
        <c:lblAlgn val="ctr"/>
        <c:lblOffset val="100"/>
        <c:noMultiLvlLbl val="0"/>
      </c:catAx>
      <c:valAx>
        <c:axId val="441276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0538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43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80688"/>
        <c:axId val="441278728"/>
      </c:lineChart>
      <c:catAx>
        <c:axId val="44128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8728"/>
        <c:crosses val="autoZero"/>
        <c:auto val="1"/>
        <c:lblAlgn val="ctr"/>
        <c:lblOffset val="100"/>
        <c:noMultiLvlLbl val="0"/>
      </c:catAx>
      <c:valAx>
        <c:axId val="4412787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8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76768"/>
        <c:axId val="441281080"/>
      </c:lineChart>
      <c:catAx>
        <c:axId val="44127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81080"/>
        <c:crosses val="autoZero"/>
        <c:auto val="1"/>
        <c:lblAlgn val="ctr"/>
        <c:lblOffset val="100"/>
        <c:noMultiLvlLbl val="0"/>
      </c:catAx>
      <c:valAx>
        <c:axId val="44128108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80296"/>
        <c:axId val="441279512"/>
      </c:lineChart>
      <c:catAx>
        <c:axId val="441280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9512"/>
        <c:crosses val="autoZero"/>
        <c:auto val="1"/>
        <c:lblAlgn val="ctr"/>
        <c:lblOffset val="100"/>
        <c:noMultiLvlLbl val="0"/>
      </c:catAx>
      <c:valAx>
        <c:axId val="441279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80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689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75200"/>
        <c:axId val="441281472"/>
      </c:lineChart>
      <c:catAx>
        <c:axId val="44127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81472"/>
        <c:crosses val="autoZero"/>
        <c:auto val="1"/>
        <c:lblAlgn val="ctr"/>
        <c:lblOffset val="100"/>
        <c:noMultiLvlLbl val="0"/>
      </c:catAx>
      <c:valAx>
        <c:axId val="441281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77160"/>
        <c:axId val="441277552"/>
      </c:lineChart>
      <c:catAx>
        <c:axId val="441277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7552"/>
        <c:crosses val="autoZero"/>
        <c:auto val="1"/>
        <c:lblAlgn val="ctr"/>
        <c:lblOffset val="100"/>
        <c:noMultiLvlLbl val="0"/>
      </c:catAx>
      <c:valAx>
        <c:axId val="44127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7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827"/>
          <c:w val="0.12343118198094678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77944"/>
        <c:axId val="441278336"/>
      </c:lineChart>
      <c:catAx>
        <c:axId val="441277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8336"/>
        <c:crosses val="autoZero"/>
        <c:auto val="1"/>
        <c:lblAlgn val="ctr"/>
        <c:lblOffset val="100"/>
        <c:noMultiLvlLbl val="0"/>
      </c:catAx>
      <c:valAx>
        <c:axId val="44127833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277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537"/>
          <c:w val="0.1569039853282483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75056"/>
        <c:axId val="441974272"/>
      </c:lineChart>
      <c:catAx>
        <c:axId val="44197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4272"/>
        <c:crosses val="autoZero"/>
        <c:auto val="1"/>
        <c:lblAlgn val="ctr"/>
        <c:lblOffset val="100"/>
        <c:noMultiLvlLbl val="0"/>
      </c:catAx>
      <c:valAx>
        <c:axId val="44197427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97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71136"/>
        <c:axId val="441973096"/>
      </c:lineChart>
      <c:catAx>
        <c:axId val="44197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3096"/>
        <c:crosses val="autoZero"/>
        <c:auto val="1"/>
        <c:lblAlgn val="ctr"/>
        <c:lblOffset val="100"/>
        <c:noMultiLvlLbl val="0"/>
      </c:catAx>
      <c:valAx>
        <c:axId val="441973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867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976624"/>
        <c:axId val="441977800"/>
      </c:lineChart>
      <c:catAx>
        <c:axId val="441976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7800"/>
        <c:crosses val="autoZero"/>
        <c:auto val="1"/>
        <c:lblAlgn val="ctr"/>
        <c:lblOffset val="100"/>
        <c:noMultiLvlLbl val="0"/>
      </c:catAx>
      <c:valAx>
        <c:axId val="44197780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197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537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W35"/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O36"/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W33"/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T36"/>
          <cell r="AU36"/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W29"/>
          <cell r="AA29">
            <v>2634</v>
          </cell>
          <cell r="AB29">
            <v>285632</v>
          </cell>
          <cell r="AC29">
            <v>7234333</v>
          </cell>
        </row>
        <row r="30">
          <cell r="AA30"/>
          <cell r="AB30">
            <v>7519965</v>
          </cell>
          <cell r="AC30"/>
        </row>
        <row r="31">
          <cell r="AA31"/>
          <cell r="AB31"/>
          <cell r="AC31"/>
        </row>
        <row r="32">
          <cell r="W32">
            <v>227</v>
          </cell>
          <cell r="X32">
            <v>20.636363636363637</v>
          </cell>
          <cell r="Y32">
            <v>20.636363636363637</v>
          </cell>
          <cell r="AA32"/>
          <cell r="AB32"/>
          <cell r="AC32"/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A34"/>
          <cell r="AB34">
            <v>8347161.1500000004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4988.3681592039802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/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0.37117644951052675</v>
      </c>
      <c r="G2" s="203">
        <f>-tanks!AW6</f>
        <v>227</v>
      </c>
      <c r="H2" s="315">
        <f>tanks!AV6</f>
        <v>1.04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0.3639169612235208</v>
      </c>
      <c r="G3" s="203">
        <f>-tanks!AW7</f>
        <v>31</v>
      </c>
      <c r="H3" s="315">
        <f>tanks!AV7</f>
        <v>1.04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1.04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1.04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0.34116443868450574</v>
      </c>
      <c r="G6" s="203">
        <f>-tanks!AW10</f>
        <v>157</v>
      </c>
      <c r="H6" s="315">
        <f>tanks!AV10</f>
        <v>1.04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0.57773787913251284</v>
      </c>
      <c r="G7" s="203">
        <f>-tanks!AW11</f>
        <v>112</v>
      </c>
      <c r="H7" s="315">
        <f>tanks!AV11</f>
        <v>1.04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0.26420502741287533</v>
      </c>
      <c r="G8" s="203">
        <f>-tanks!AW12</f>
        <v>123</v>
      </c>
      <c r="H8" s="315">
        <f>tanks!AV12</f>
        <v>1.04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2797</v>
      </c>
      <c r="F9" s="315">
        <f>SUM('EDl log'!T11)</f>
        <v>0.55450827161613714</v>
      </c>
      <c r="G9" s="203">
        <f>-tanks!AW13</f>
        <v>146</v>
      </c>
      <c r="H9" s="315">
        <f>tanks!AV13</f>
        <v>1.147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2912</v>
      </c>
      <c r="F10" s="315">
        <f>SUM('EDl log'!T12)</f>
        <v>0.15079834876290099</v>
      </c>
      <c r="G10" s="203">
        <f>-tanks!AW14</f>
        <v>44</v>
      </c>
      <c r="H10" s="315">
        <f>tanks!AV14</f>
        <v>1.147</v>
      </c>
      <c r="I10" s="10">
        <f>('B5'!AU13)*0.51</f>
        <v>15.3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1.147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1.147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1.147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1.147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1.147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1.147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1.147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1.147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1.147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1.147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1.147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1.147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-45.9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616</v>
      </c>
      <c r="F9" s="203">
        <f>ELEC!K11</f>
        <v>428</v>
      </c>
      <c r="G9" s="203">
        <f>ELEC!I11</f>
        <v>418</v>
      </c>
      <c r="H9" s="203">
        <f>ELEC!E11</f>
        <v>1030</v>
      </c>
      <c r="I9" s="203">
        <f>ELEC!G11</f>
        <v>305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800</v>
      </c>
      <c r="F10" s="203">
        <f>ELEC!K12</f>
        <v>432</v>
      </c>
      <c r="G10" s="203">
        <f>ELEC!I12</f>
        <v>412</v>
      </c>
      <c r="H10" s="203">
        <f>ELEC!E12</f>
        <v>950</v>
      </c>
      <c r="I10" s="203">
        <f>ELEC!G12</f>
        <v>318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W12" sqref="W1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v>312170</v>
      </c>
      <c r="E11" s="579">
        <f t="shared" si="7"/>
        <v>1030</v>
      </c>
      <c r="F11" s="569">
        <v>4138883</v>
      </c>
      <c r="G11" s="449">
        <f t="shared" si="34"/>
        <v>305</v>
      </c>
      <c r="H11" s="426">
        <v>18050522</v>
      </c>
      <c r="I11" s="449">
        <f t="shared" si="35"/>
        <v>418</v>
      </c>
      <c r="J11" s="426">
        <v>29804478</v>
      </c>
      <c r="K11" s="449">
        <f t="shared" si="36"/>
        <v>428</v>
      </c>
      <c r="L11" s="426">
        <v>24600866</v>
      </c>
      <c r="M11" s="449">
        <f t="shared" si="37"/>
        <v>616</v>
      </c>
      <c r="N11" s="297">
        <f t="shared" si="38"/>
        <v>2797</v>
      </c>
      <c r="O11" s="445">
        <f t="shared" ref="O11:O31" si="40">IF(B11&gt;0,N11/B11,0)</f>
        <v>0</v>
      </c>
      <c r="P11" s="563">
        <v>19285.774000000001</v>
      </c>
      <c r="Q11" s="446">
        <f t="shared" si="1"/>
        <v>2609.0000000003783</v>
      </c>
      <c r="R11" s="428">
        <f t="shared" si="32"/>
        <v>187.99999999962165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v>313120</v>
      </c>
      <c r="E12" s="579">
        <f>D12-D11</f>
        <v>950</v>
      </c>
      <c r="F12" s="569">
        <v>4139201</v>
      </c>
      <c r="G12" s="449">
        <f t="shared" si="34"/>
        <v>318</v>
      </c>
      <c r="H12" s="426">
        <v>18050934</v>
      </c>
      <c r="I12" s="449">
        <f t="shared" si="35"/>
        <v>412</v>
      </c>
      <c r="J12" s="426">
        <v>29804910</v>
      </c>
      <c r="K12" s="449">
        <f t="shared" si="36"/>
        <v>432</v>
      </c>
      <c r="L12" s="426">
        <v>24601666</v>
      </c>
      <c r="M12" s="449">
        <f t="shared" si="37"/>
        <v>800</v>
      </c>
      <c r="N12" s="297">
        <f>M12+K12+I12+G12+E12</f>
        <v>2912</v>
      </c>
      <c r="O12" s="445">
        <f t="shared" si="40"/>
        <v>0</v>
      </c>
      <c r="P12" s="563">
        <v>19288.61</v>
      </c>
      <c r="Q12" s="446">
        <f t="shared" si="1"/>
        <v>2835.9999999993306</v>
      </c>
      <c r="R12" s="592">
        <f>N12-Q12</f>
        <v>76.000000000669388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313120</v>
      </c>
      <c r="E13" s="579">
        <f t="shared" si="7"/>
        <v>0</v>
      </c>
      <c r="F13" s="569">
        <f t="shared" si="17"/>
        <v>4139201</v>
      </c>
      <c r="G13" s="449">
        <f t="shared" si="34"/>
        <v>0</v>
      </c>
      <c r="H13" s="426">
        <f t="shared" si="19"/>
        <v>18050934</v>
      </c>
      <c r="I13" s="449">
        <f t="shared" si="35"/>
        <v>0</v>
      </c>
      <c r="J13" s="426">
        <f t="shared" si="21"/>
        <v>29804910</v>
      </c>
      <c r="K13" s="449">
        <f t="shared" si="36"/>
        <v>0</v>
      </c>
      <c r="L13" s="426">
        <f t="shared" si="23"/>
        <v>24601666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19288.61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313120</v>
      </c>
      <c r="E14" s="579">
        <f t="shared" si="7"/>
        <v>0</v>
      </c>
      <c r="F14" s="569">
        <f t="shared" si="17"/>
        <v>4139201</v>
      </c>
      <c r="G14" s="449">
        <f t="shared" si="34"/>
        <v>0</v>
      </c>
      <c r="H14" s="426">
        <f t="shared" si="19"/>
        <v>18050934</v>
      </c>
      <c r="I14" s="449">
        <f t="shared" si="35"/>
        <v>0</v>
      </c>
      <c r="J14" s="426">
        <f t="shared" si="21"/>
        <v>29804910</v>
      </c>
      <c r="K14" s="449">
        <f t="shared" si="36"/>
        <v>0</v>
      </c>
      <c r="L14" s="426">
        <f t="shared" si="23"/>
        <v>24601666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19288.61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f t="shared" si="15"/>
        <v>313120</v>
      </c>
      <c r="E15" s="579">
        <f t="shared" si="7"/>
        <v>0</v>
      </c>
      <c r="F15" s="569">
        <f t="shared" si="17"/>
        <v>4139201</v>
      </c>
      <c r="G15" s="449">
        <f t="shared" si="34"/>
        <v>0</v>
      </c>
      <c r="H15" s="426">
        <f t="shared" si="19"/>
        <v>18050934</v>
      </c>
      <c r="I15" s="449">
        <f t="shared" si="35"/>
        <v>0</v>
      </c>
      <c r="J15" s="426">
        <f t="shared" si="21"/>
        <v>29804910</v>
      </c>
      <c r="K15" s="449">
        <f t="shared" si="36"/>
        <v>0</v>
      </c>
      <c r="L15" s="426">
        <f t="shared" si="23"/>
        <v>24601666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3">
        <f t="shared" si="27"/>
        <v>19288.61</v>
      </c>
      <c r="Q15" s="446">
        <f t="shared" si="1"/>
        <v>0</v>
      </c>
      <c r="R15" s="592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f t="shared" si="15"/>
        <v>313120</v>
      </c>
      <c r="E16" s="579">
        <f t="shared" si="7"/>
        <v>0</v>
      </c>
      <c r="F16" s="569">
        <f t="shared" si="17"/>
        <v>4139201</v>
      </c>
      <c r="G16" s="449">
        <f t="shared" si="34"/>
        <v>0</v>
      </c>
      <c r="H16" s="426">
        <f t="shared" si="19"/>
        <v>18050934</v>
      </c>
      <c r="I16" s="449">
        <f t="shared" si="35"/>
        <v>0</v>
      </c>
      <c r="J16" s="426">
        <f t="shared" si="21"/>
        <v>29804910</v>
      </c>
      <c r="K16" s="449">
        <f t="shared" si="36"/>
        <v>0</v>
      </c>
      <c r="L16" s="426">
        <f t="shared" si="23"/>
        <v>24601666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27"/>
        <v>19288.61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f t="shared" si="15"/>
        <v>313120</v>
      </c>
      <c r="E17" s="579">
        <f t="shared" si="7"/>
        <v>0</v>
      </c>
      <c r="F17" s="569">
        <f t="shared" si="17"/>
        <v>4139201</v>
      </c>
      <c r="G17" s="449">
        <f t="shared" si="34"/>
        <v>0</v>
      </c>
      <c r="H17" s="426">
        <f t="shared" si="19"/>
        <v>18050934</v>
      </c>
      <c r="I17" s="449">
        <f t="shared" si="35"/>
        <v>0</v>
      </c>
      <c r="J17" s="426">
        <f t="shared" si="21"/>
        <v>29804910</v>
      </c>
      <c r="K17" s="449">
        <f t="shared" si="36"/>
        <v>0</v>
      </c>
      <c r="L17" s="426">
        <f t="shared" si="23"/>
        <v>24601666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27"/>
        <v>19288.61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f t="shared" si="15"/>
        <v>313120</v>
      </c>
      <c r="E18" s="579">
        <f t="shared" si="7"/>
        <v>0</v>
      </c>
      <c r="F18" s="569">
        <f t="shared" si="17"/>
        <v>4139201</v>
      </c>
      <c r="G18" s="449">
        <f t="shared" si="34"/>
        <v>0</v>
      </c>
      <c r="H18" s="426">
        <f t="shared" si="19"/>
        <v>18050934</v>
      </c>
      <c r="I18" s="449">
        <f t="shared" si="35"/>
        <v>0</v>
      </c>
      <c r="J18" s="426">
        <f t="shared" si="21"/>
        <v>29804910</v>
      </c>
      <c r="K18" s="449">
        <f t="shared" si="36"/>
        <v>0</v>
      </c>
      <c r="L18" s="426">
        <f t="shared" si="23"/>
        <v>24601666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27"/>
        <v>19288.61</v>
      </c>
      <c r="Q18" s="446">
        <f t="shared" si="1"/>
        <v>0</v>
      </c>
      <c r="R18" s="428">
        <f t="shared" si="3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f t="shared" si="15"/>
        <v>313120</v>
      </c>
      <c r="E19" s="579">
        <f t="shared" si="7"/>
        <v>0</v>
      </c>
      <c r="F19" s="569">
        <f t="shared" si="17"/>
        <v>4139201</v>
      </c>
      <c r="G19" s="449">
        <f t="shared" si="34"/>
        <v>0</v>
      </c>
      <c r="H19" s="426">
        <f t="shared" si="19"/>
        <v>18050934</v>
      </c>
      <c r="I19" s="449">
        <f t="shared" si="35"/>
        <v>0</v>
      </c>
      <c r="J19" s="426">
        <f t="shared" si="21"/>
        <v>29804910</v>
      </c>
      <c r="K19" s="449">
        <f t="shared" si="36"/>
        <v>0</v>
      </c>
      <c r="L19" s="426">
        <f t="shared" si="23"/>
        <v>24601666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27"/>
        <v>19288.61</v>
      </c>
      <c r="Q19" s="446">
        <f>(P19-P18)*1000</f>
        <v>0</v>
      </c>
      <c r="R19" s="592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313120</v>
      </c>
      <c r="E20" s="579">
        <f t="shared" si="7"/>
        <v>0</v>
      </c>
      <c r="F20" s="569">
        <f t="shared" si="17"/>
        <v>4139201</v>
      </c>
      <c r="G20" s="449">
        <f t="shared" si="34"/>
        <v>0</v>
      </c>
      <c r="H20" s="426">
        <f t="shared" si="19"/>
        <v>18050934</v>
      </c>
      <c r="I20" s="449">
        <f t="shared" si="35"/>
        <v>0</v>
      </c>
      <c r="J20" s="426">
        <f t="shared" si="21"/>
        <v>29804910</v>
      </c>
      <c r="K20" s="449">
        <f t="shared" si="36"/>
        <v>0</v>
      </c>
      <c r="L20" s="426">
        <f t="shared" si="23"/>
        <v>24601666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19288.61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313120</v>
      </c>
      <c r="E21" s="579">
        <f t="shared" si="7"/>
        <v>0</v>
      </c>
      <c r="F21" s="569">
        <f t="shared" si="17"/>
        <v>4139201</v>
      </c>
      <c r="G21" s="449">
        <f t="shared" si="34"/>
        <v>0</v>
      </c>
      <c r="H21" s="426">
        <f t="shared" si="19"/>
        <v>18050934</v>
      </c>
      <c r="I21" s="449">
        <f t="shared" si="35"/>
        <v>0</v>
      </c>
      <c r="J21" s="426">
        <f t="shared" si="21"/>
        <v>29804910</v>
      </c>
      <c r="K21" s="449">
        <f t="shared" si="36"/>
        <v>0</v>
      </c>
      <c r="L21" s="426">
        <f t="shared" si="23"/>
        <v>24601666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19288.61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313120</v>
      </c>
      <c r="E22" s="579">
        <f t="shared" ref="E22" si="44">D22-D21</f>
        <v>0</v>
      </c>
      <c r="F22" s="569">
        <f t="shared" si="17"/>
        <v>4139201</v>
      </c>
      <c r="G22" s="449">
        <f t="shared" ref="G22" si="45">F22-F21</f>
        <v>0</v>
      </c>
      <c r="H22" s="426">
        <f t="shared" si="19"/>
        <v>18050934</v>
      </c>
      <c r="I22" s="449">
        <f t="shared" ref="I22" si="46">H22-H21</f>
        <v>0</v>
      </c>
      <c r="J22" s="426">
        <f t="shared" si="21"/>
        <v>29804910</v>
      </c>
      <c r="K22" s="449">
        <f t="shared" ref="K22" si="47">J22-J21</f>
        <v>0</v>
      </c>
      <c r="L22" s="426">
        <f t="shared" si="23"/>
        <v>24601666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19288.61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313120</v>
      </c>
      <c r="E23" s="579">
        <f t="shared" si="7"/>
        <v>0</v>
      </c>
      <c r="F23" s="569">
        <f t="shared" si="17"/>
        <v>4139201</v>
      </c>
      <c r="G23" s="449">
        <f t="shared" si="34"/>
        <v>0</v>
      </c>
      <c r="H23" s="426">
        <f t="shared" si="19"/>
        <v>18050934</v>
      </c>
      <c r="I23" s="449">
        <f t="shared" si="35"/>
        <v>0</v>
      </c>
      <c r="J23" s="426">
        <f t="shared" si="21"/>
        <v>29804910</v>
      </c>
      <c r="K23" s="449">
        <f t="shared" si="36"/>
        <v>0</v>
      </c>
      <c r="L23" s="426">
        <f t="shared" si="23"/>
        <v>24601666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19288.61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313120</v>
      </c>
      <c r="E24" s="579">
        <f t="shared" si="7"/>
        <v>0</v>
      </c>
      <c r="F24" s="569">
        <f t="shared" si="17"/>
        <v>4139201</v>
      </c>
      <c r="G24" s="449">
        <f t="shared" si="34"/>
        <v>0</v>
      </c>
      <c r="H24" s="426">
        <f t="shared" si="19"/>
        <v>18050934</v>
      </c>
      <c r="I24" s="595">
        <f t="shared" si="35"/>
        <v>0</v>
      </c>
      <c r="J24" s="426">
        <f t="shared" si="21"/>
        <v>29804910</v>
      </c>
      <c r="K24" s="449">
        <f t="shared" si="36"/>
        <v>0</v>
      </c>
      <c r="L24" s="426">
        <f t="shared" si="23"/>
        <v>24601666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19288.61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313120</v>
      </c>
      <c r="E25" s="579">
        <f t="shared" si="7"/>
        <v>0</v>
      </c>
      <c r="F25" s="569">
        <f t="shared" si="17"/>
        <v>4139201</v>
      </c>
      <c r="G25" s="449">
        <f t="shared" si="34"/>
        <v>0</v>
      </c>
      <c r="H25" s="426">
        <f t="shared" si="19"/>
        <v>18050934</v>
      </c>
      <c r="I25" s="449">
        <f t="shared" si="35"/>
        <v>0</v>
      </c>
      <c r="J25" s="426">
        <f t="shared" si="21"/>
        <v>29804910</v>
      </c>
      <c r="K25" s="449">
        <f t="shared" si="36"/>
        <v>0</v>
      </c>
      <c r="L25" s="426">
        <f t="shared" si="23"/>
        <v>24601666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19288.61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313120</v>
      </c>
      <c r="E26" s="579">
        <f t="shared" si="7"/>
        <v>0</v>
      </c>
      <c r="F26" s="569">
        <f t="shared" si="17"/>
        <v>4139201</v>
      </c>
      <c r="G26" s="449">
        <f t="shared" si="34"/>
        <v>0</v>
      </c>
      <c r="H26" s="426">
        <f t="shared" si="19"/>
        <v>18050934</v>
      </c>
      <c r="I26" s="449">
        <f t="shared" si="35"/>
        <v>0</v>
      </c>
      <c r="J26" s="426">
        <f t="shared" si="21"/>
        <v>29804910</v>
      </c>
      <c r="K26" s="449">
        <f t="shared" si="36"/>
        <v>0</v>
      </c>
      <c r="L26" s="426">
        <f t="shared" si="23"/>
        <v>24601666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19288.61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313120</v>
      </c>
      <c r="E27" s="579">
        <f t="shared" si="7"/>
        <v>0</v>
      </c>
      <c r="F27" s="569">
        <f t="shared" si="17"/>
        <v>4139201</v>
      </c>
      <c r="G27" s="449">
        <f t="shared" si="34"/>
        <v>0</v>
      </c>
      <c r="H27" s="426">
        <f t="shared" si="19"/>
        <v>18050934</v>
      </c>
      <c r="I27" s="449">
        <f t="shared" si="35"/>
        <v>0</v>
      </c>
      <c r="J27" s="426">
        <f t="shared" si="21"/>
        <v>29804910</v>
      </c>
      <c r="K27" s="449">
        <f t="shared" si="36"/>
        <v>0</v>
      </c>
      <c r="L27" s="426">
        <f t="shared" si="23"/>
        <v>24601666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19288.61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313120</v>
      </c>
      <c r="E28" s="579">
        <f t="shared" si="7"/>
        <v>0</v>
      </c>
      <c r="F28" s="569">
        <f t="shared" si="17"/>
        <v>4139201</v>
      </c>
      <c r="G28" s="449">
        <f>F28-F27</f>
        <v>0</v>
      </c>
      <c r="H28" s="426">
        <f t="shared" si="19"/>
        <v>18050934</v>
      </c>
      <c r="I28" s="449">
        <f t="shared" si="35"/>
        <v>0</v>
      </c>
      <c r="J28" s="426">
        <f t="shared" si="21"/>
        <v>29804910</v>
      </c>
      <c r="K28" s="449">
        <f t="shared" si="36"/>
        <v>0</v>
      </c>
      <c r="L28" s="426">
        <f t="shared" si="23"/>
        <v>24601666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19288.61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313120</v>
      </c>
      <c r="E29" s="579">
        <f t="shared" si="7"/>
        <v>0</v>
      </c>
      <c r="F29" s="569">
        <f t="shared" si="17"/>
        <v>4139201</v>
      </c>
      <c r="G29" s="449">
        <f>F29-F28</f>
        <v>0</v>
      </c>
      <c r="H29" s="426">
        <f t="shared" si="19"/>
        <v>18050934</v>
      </c>
      <c r="I29" s="449">
        <f>H29-H28</f>
        <v>0</v>
      </c>
      <c r="J29" s="426">
        <f t="shared" si="21"/>
        <v>29804910</v>
      </c>
      <c r="K29" s="449">
        <f>J29-J28</f>
        <v>0</v>
      </c>
      <c r="L29" s="426">
        <f t="shared" si="23"/>
        <v>24601666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19288.61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313120</v>
      </c>
      <c r="E30" s="579">
        <f t="shared" si="7"/>
        <v>0</v>
      </c>
      <c r="F30" s="569">
        <f t="shared" si="17"/>
        <v>4139201</v>
      </c>
      <c r="G30" s="449">
        <f t="shared" si="34"/>
        <v>0</v>
      </c>
      <c r="H30" s="426">
        <f t="shared" si="19"/>
        <v>18050934</v>
      </c>
      <c r="I30" s="449">
        <f t="shared" si="35"/>
        <v>0</v>
      </c>
      <c r="J30" s="426">
        <f t="shared" si="21"/>
        <v>29804910</v>
      </c>
      <c r="K30" s="449">
        <f t="shared" si="36"/>
        <v>0</v>
      </c>
      <c r="L30" s="426">
        <f t="shared" si="23"/>
        <v>24601666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19288.61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313120</v>
      </c>
      <c r="E31" s="579">
        <f t="shared" si="7"/>
        <v>0</v>
      </c>
      <c r="F31" s="569">
        <f t="shared" si="17"/>
        <v>4139201</v>
      </c>
      <c r="G31" s="449">
        <f t="shared" si="34"/>
        <v>0</v>
      </c>
      <c r="H31" s="426">
        <f t="shared" si="19"/>
        <v>18050934</v>
      </c>
      <c r="I31" s="449">
        <f t="shared" si="35"/>
        <v>0</v>
      </c>
      <c r="J31" s="426">
        <f t="shared" si="21"/>
        <v>29804910</v>
      </c>
      <c r="K31" s="449">
        <f t="shared" si="36"/>
        <v>0</v>
      </c>
      <c r="L31" s="426">
        <f t="shared" si="23"/>
        <v>24601666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19288.61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313120</v>
      </c>
      <c r="E32" s="579">
        <f t="shared" si="7"/>
        <v>0</v>
      </c>
      <c r="F32" s="569">
        <f t="shared" si="17"/>
        <v>4139201</v>
      </c>
      <c r="G32" s="449">
        <f t="shared" si="34"/>
        <v>0</v>
      </c>
      <c r="H32" s="426">
        <f t="shared" si="19"/>
        <v>18050934</v>
      </c>
      <c r="I32" s="449">
        <f t="shared" si="35"/>
        <v>0</v>
      </c>
      <c r="J32" s="426">
        <f t="shared" si="21"/>
        <v>29804910</v>
      </c>
      <c r="K32" s="449">
        <f t="shared" si="36"/>
        <v>0</v>
      </c>
      <c r="L32" s="426">
        <f t="shared" si="23"/>
        <v>24601666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19288.61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313120</v>
      </c>
      <c r="E33" s="579">
        <f t="shared" si="7"/>
        <v>0</v>
      </c>
      <c r="F33" s="569">
        <f t="shared" si="17"/>
        <v>4139201</v>
      </c>
      <c r="G33" s="449">
        <f t="shared" si="34"/>
        <v>0</v>
      </c>
      <c r="H33" s="426">
        <f t="shared" si="19"/>
        <v>18050934</v>
      </c>
      <c r="I33" s="449">
        <f t="shared" si="35"/>
        <v>0</v>
      </c>
      <c r="J33" s="426">
        <f t="shared" si="21"/>
        <v>29804910</v>
      </c>
      <c r="K33" s="449">
        <f t="shared" si="36"/>
        <v>0</v>
      </c>
      <c r="L33" s="426">
        <f t="shared" si="23"/>
        <v>24601666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19288.61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313120</v>
      </c>
      <c r="E34" s="579">
        <f t="shared" si="7"/>
        <v>0</v>
      </c>
      <c r="F34" s="569">
        <f t="shared" si="17"/>
        <v>4139201</v>
      </c>
      <c r="G34" s="449">
        <f t="shared" si="34"/>
        <v>0</v>
      </c>
      <c r="H34" s="426">
        <f t="shared" si="19"/>
        <v>18050934</v>
      </c>
      <c r="I34" s="449">
        <f t="shared" si="35"/>
        <v>0</v>
      </c>
      <c r="J34" s="426">
        <f t="shared" si="21"/>
        <v>29804910</v>
      </c>
      <c r="K34" s="449">
        <f t="shared" si="36"/>
        <v>0</v>
      </c>
      <c r="L34" s="426">
        <f t="shared" si="23"/>
        <v>24601666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19288.61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AA1" zoomScale="90" zoomScaleNormal="90" workbookViewId="0">
      <pane ySplit="1" topLeftCell="A2" activePane="bottomLeft" state="frozen"/>
      <selection activeCell="K1" sqref="K1"/>
      <selection pane="bottomLeft" activeCell="AS13" sqref="AS1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49.8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v>235</v>
      </c>
      <c r="C12" s="537">
        <v>245</v>
      </c>
      <c r="D12" s="45">
        <f t="shared" si="35"/>
        <v>-15</v>
      </c>
      <c r="E12" s="45">
        <f t="shared" si="12"/>
        <v>-125.70000000000002</v>
      </c>
      <c r="F12" s="537">
        <v>2251</v>
      </c>
      <c r="G12" s="52">
        <f t="shared" si="0"/>
        <v>2</v>
      </c>
      <c r="H12" s="537">
        <v>44167</v>
      </c>
      <c r="I12" s="380">
        <f t="shared" si="1"/>
        <v>146</v>
      </c>
      <c r="J12" s="66">
        <f t="shared" si="14"/>
        <v>73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2</v>
      </c>
      <c r="V12" s="62">
        <f t="shared" si="19"/>
        <v>146</v>
      </c>
      <c r="W12" s="384">
        <f t="shared" si="20"/>
        <v>73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146</v>
      </c>
      <c r="AJ12" s="303">
        <f>-tanks!AW13</f>
        <v>146</v>
      </c>
      <c r="AK12" s="303">
        <f t="shared" si="28"/>
        <v>0</v>
      </c>
      <c r="AL12" s="303">
        <f t="shared" si="8"/>
        <v>2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f t="shared" si="11"/>
        <v>74</v>
      </c>
      <c r="AS12" s="305">
        <f t="shared" si="41"/>
        <v>2220</v>
      </c>
      <c r="AT12" s="305">
        <f t="shared" si="42"/>
        <v>5160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235</v>
      </c>
      <c r="C13" s="537">
        <v>241</v>
      </c>
      <c r="D13" s="45">
        <f t="shared" si="35"/>
        <v>4</v>
      </c>
      <c r="E13" s="45">
        <f t="shared" si="12"/>
        <v>33.520000000000003</v>
      </c>
      <c r="F13" s="537">
        <v>2252</v>
      </c>
      <c r="G13" s="52">
        <f t="shared" si="0"/>
        <v>1</v>
      </c>
      <c r="H13" s="537">
        <v>44211</v>
      </c>
      <c r="I13" s="380">
        <f t="shared" si="1"/>
        <v>44</v>
      </c>
      <c r="J13" s="66">
        <f t="shared" si="14"/>
        <v>44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1</v>
      </c>
      <c r="V13" s="62">
        <f t="shared" si="19"/>
        <v>44</v>
      </c>
      <c r="W13" s="384">
        <f t="shared" si="20"/>
        <v>44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44</v>
      </c>
      <c r="AJ13" s="303">
        <f>-tanks!AW14</f>
        <v>44</v>
      </c>
      <c r="AK13" s="303">
        <f t="shared" si="28"/>
        <v>0</v>
      </c>
      <c r="AL13" s="303">
        <f t="shared" si="8"/>
        <v>1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v>73</v>
      </c>
      <c r="AS13" s="305">
        <f t="shared" si="41"/>
        <v>2190</v>
      </c>
      <c r="AT13" s="305">
        <f t="shared" si="42"/>
        <v>5130</v>
      </c>
      <c r="AU13" s="305">
        <f t="shared" si="43"/>
        <v>30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235</v>
      </c>
      <c r="C14" s="537">
        <f t="shared" si="34"/>
        <v>241</v>
      </c>
      <c r="D14" s="45">
        <f t="shared" si="35"/>
        <v>0</v>
      </c>
      <c r="E14" s="45">
        <f t="shared" si="12"/>
        <v>0</v>
      </c>
      <c r="F14" s="537">
        <f t="shared" si="13"/>
        <v>2252</v>
      </c>
      <c r="G14" s="52">
        <f t="shared" si="0"/>
        <v>0</v>
      </c>
      <c r="H14" s="537">
        <f t="shared" si="36"/>
        <v>44211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73</v>
      </c>
      <c r="AS14" s="305">
        <f t="shared" si="41"/>
        <v>2190</v>
      </c>
      <c r="AT14" s="305">
        <f t="shared" si="42"/>
        <v>5130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235</v>
      </c>
      <c r="C15" s="537">
        <f t="shared" si="34"/>
        <v>241</v>
      </c>
      <c r="D15" s="45">
        <f t="shared" si="35"/>
        <v>0</v>
      </c>
      <c r="E15" s="45">
        <f t="shared" si="12"/>
        <v>0</v>
      </c>
      <c r="F15" s="537">
        <f t="shared" si="13"/>
        <v>2252</v>
      </c>
      <c r="G15" s="52">
        <f t="shared" si="0"/>
        <v>0</v>
      </c>
      <c r="H15" s="537">
        <f t="shared" si="36"/>
        <v>44211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73</v>
      </c>
      <c r="AS15" s="305">
        <f t="shared" si="41"/>
        <v>2190</v>
      </c>
      <c r="AT15" s="305">
        <f t="shared" si="42"/>
        <v>5130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f t="shared" si="33"/>
        <v>235</v>
      </c>
      <c r="C16" s="537">
        <f t="shared" si="34"/>
        <v>241</v>
      </c>
      <c r="D16" s="45">
        <f t="shared" si="35"/>
        <v>0</v>
      </c>
      <c r="E16" s="45">
        <f t="shared" si="12"/>
        <v>0</v>
      </c>
      <c r="F16" s="537">
        <f t="shared" si="13"/>
        <v>2252</v>
      </c>
      <c r="G16" s="52">
        <f t="shared" si="0"/>
        <v>0</v>
      </c>
      <c r="H16" s="537">
        <f t="shared" si="36"/>
        <v>44211</v>
      </c>
      <c r="I16" s="380">
        <f t="shared" si="1"/>
        <v>0</v>
      </c>
      <c r="J16" s="66">
        <f t="shared" si="14"/>
        <v>0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73</v>
      </c>
      <c r="AS16" s="305">
        <f t="shared" si="41"/>
        <v>2190</v>
      </c>
      <c r="AT16" s="305">
        <f t="shared" si="42"/>
        <v>5130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f t="shared" si="33"/>
        <v>235</v>
      </c>
      <c r="C17" s="537">
        <f t="shared" si="34"/>
        <v>241</v>
      </c>
      <c r="D17" s="45">
        <f t="shared" si="35"/>
        <v>0</v>
      </c>
      <c r="E17" s="45">
        <f t="shared" si="12"/>
        <v>0</v>
      </c>
      <c r="F17" s="537">
        <f t="shared" si="13"/>
        <v>2252</v>
      </c>
      <c r="G17" s="52">
        <f t="shared" si="0"/>
        <v>0</v>
      </c>
      <c r="H17" s="537">
        <f t="shared" si="36"/>
        <v>44211</v>
      </c>
      <c r="I17" s="380">
        <f t="shared" si="1"/>
        <v>0</v>
      </c>
      <c r="J17" s="66">
        <f t="shared" si="14"/>
        <v>0</v>
      </c>
      <c r="K17" s="537">
        <f t="shared" si="15"/>
        <v>2431</v>
      </c>
      <c r="L17" s="52">
        <f t="shared" si="16"/>
        <v>0</v>
      </c>
      <c r="M17" s="537">
        <f t="shared" si="17"/>
        <v>180354</v>
      </c>
      <c r="N17" s="380">
        <f t="shared" si="2"/>
        <v>0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7">
        <f t="shared" si="21"/>
        <v>2483</v>
      </c>
      <c r="Y17" s="52">
        <f t="shared" si="22"/>
        <v>0</v>
      </c>
      <c r="Z17" s="537">
        <f t="shared" si="23"/>
        <v>140101</v>
      </c>
      <c r="AA17" s="65">
        <f t="shared" si="6"/>
        <v>0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73</v>
      </c>
      <c r="AS17" s="305">
        <f t="shared" si="41"/>
        <v>2190</v>
      </c>
      <c r="AT17" s="305">
        <f t="shared" si="42"/>
        <v>5130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f t="shared" si="33"/>
        <v>235</v>
      </c>
      <c r="C18" s="537">
        <f t="shared" si="34"/>
        <v>241</v>
      </c>
      <c r="D18" s="45">
        <f t="shared" si="35"/>
        <v>0</v>
      </c>
      <c r="E18" s="45">
        <f t="shared" si="12"/>
        <v>0</v>
      </c>
      <c r="F18" s="537">
        <f t="shared" si="13"/>
        <v>2252</v>
      </c>
      <c r="G18" s="52">
        <f t="shared" si="0"/>
        <v>0</v>
      </c>
      <c r="H18" s="537">
        <f t="shared" si="36"/>
        <v>44211</v>
      </c>
      <c r="I18" s="380">
        <f t="shared" si="1"/>
        <v>0</v>
      </c>
      <c r="J18" s="66">
        <f t="shared" si="14"/>
        <v>0</v>
      </c>
      <c r="K18" s="537">
        <f t="shared" si="15"/>
        <v>2431</v>
      </c>
      <c r="L18" s="52">
        <f t="shared" si="16"/>
        <v>0</v>
      </c>
      <c r="M18" s="537">
        <f t="shared" si="17"/>
        <v>180354</v>
      </c>
      <c r="N18" s="380">
        <f t="shared" si="2"/>
        <v>0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140101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f t="shared" si="25"/>
        <v>366476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f t="shared" si="10"/>
        <v>32</v>
      </c>
      <c r="AQ18" s="305">
        <f t="shared" si="31"/>
        <v>960</v>
      </c>
      <c r="AR18" s="537">
        <f t="shared" si="11"/>
        <v>73</v>
      </c>
      <c r="AS18" s="305">
        <f t="shared" si="41"/>
        <v>2190</v>
      </c>
      <c r="AT18" s="305">
        <f t="shared" si="42"/>
        <v>5130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f t="shared" si="33"/>
        <v>235</v>
      </c>
      <c r="C19" s="537">
        <f t="shared" si="34"/>
        <v>241</v>
      </c>
      <c r="D19" s="45">
        <f t="shared" si="35"/>
        <v>0</v>
      </c>
      <c r="E19" s="45">
        <f t="shared" si="12"/>
        <v>0</v>
      </c>
      <c r="F19" s="537">
        <f t="shared" si="13"/>
        <v>2252</v>
      </c>
      <c r="G19" s="52">
        <f t="shared" si="0"/>
        <v>0</v>
      </c>
      <c r="H19" s="537">
        <f t="shared" si="36"/>
        <v>44211</v>
      </c>
      <c r="I19" s="380">
        <f t="shared" si="1"/>
        <v>0</v>
      </c>
      <c r="J19" s="66">
        <f t="shared" si="14"/>
        <v>0</v>
      </c>
      <c r="K19" s="537">
        <f t="shared" si="15"/>
        <v>2431</v>
      </c>
      <c r="L19" s="52">
        <f t="shared" si="16"/>
        <v>0</v>
      </c>
      <c r="M19" s="537">
        <f t="shared" si="17"/>
        <v>180354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7">
        <f t="shared" si="21"/>
        <v>2483</v>
      </c>
      <c r="Y19" s="52">
        <f t="shared" si="22"/>
        <v>0</v>
      </c>
      <c r="Z19" s="537">
        <f t="shared" si="23"/>
        <v>140101</v>
      </c>
      <c r="AA19" s="65">
        <f t="shared" si="6"/>
        <v>0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366476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7">
        <f t="shared" si="9"/>
        <v>66</v>
      </c>
      <c r="AO19" s="305">
        <f t="shared" si="30"/>
        <v>1980</v>
      </c>
      <c r="AP19" s="537">
        <f t="shared" si="10"/>
        <v>32</v>
      </c>
      <c r="AQ19" s="305">
        <f t="shared" si="31"/>
        <v>960</v>
      </c>
      <c r="AR19" s="537">
        <f t="shared" si="11"/>
        <v>73</v>
      </c>
      <c r="AS19" s="305">
        <f t="shared" si="41"/>
        <v>2190</v>
      </c>
      <c r="AT19" s="305">
        <f t="shared" si="42"/>
        <v>5130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f t="shared" si="33"/>
        <v>235</v>
      </c>
      <c r="C20" s="537">
        <f t="shared" si="34"/>
        <v>241</v>
      </c>
      <c r="D20" s="45">
        <f>C19-C20</f>
        <v>0</v>
      </c>
      <c r="E20" s="45">
        <f t="shared" si="12"/>
        <v>0</v>
      </c>
      <c r="F20" s="537">
        <f t="shared" si="13"/>
        <v>2252</v>
      </c>
      <c r="G20" s="52">
        <f t="shared" si="0"/>
        <v>0</v>
      </c>
      <c r="H20" s="537">
        <f t="shared" si="36"/>
        <v>44211</v>
      </c>
      <c r="I20" s="380">
        <f t="shared" si="1"/>
        <v>0</v>
      </c>
      <c r="J20" s="66">
        <f t="shared" si="14"/>
        <v>0</v>
      </c>
      <c r="K20" s="537">
        <f t="shared" si="15"/>
        <v>2431</v>
      </c>
      <c r="L20" s="52">
        <f t="shared" si="16"/>
        <v>0</v>
      </c>
      <c r="M20" s="537">
        <f t="shared" si="17"/>
        <v>180354</v>
      </c>
      <c r="N20" s="380">
        <f t="shared" si="2"/>
        <v>0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7">
        <f t="shared" si="21"/>
        <v>2483</v>
      </c>
      <c r="Y20" s="52">
        <f t="shared" si="22"/>
        <v>0</v>
      </c>
      <c r="Z20" s="537">
        <f t="shared" si="23"/>
        <v>140101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366476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32</v>
      </c>
      <c r="AQ20" s="305">
        <f t="shared" si="31"/>
        <v>960</v>
      </c>
      <c r="AR20" s="537">
        <f t="shared" si="11"/>
        <v>73</v>
      </c>
      <c r="AS20" s="305">
        <f t="shared" si="41"/>
        <v>2190</v>
      </c>
      <c r="AT20" s="305">
        <f t="shared" si="42"/>
        <v>5130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f t="shared" si="33"/>
        <v>235</v>
      </c>
      <c r="C21" s="537">
        <f t="shared" si="34"/>
        <v>241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2252</v>
      </c>
      <c r="G21" s="52">
        <f t="shared" si="0"/>
        <v>0</v>
      </c>
      <c r="H21" s="537">
        <f t="shared" si="36"/>
        <v>44211</v>
      </c>
      <c r="I21" s="380">
        <f t="shared" si="1"/>
        <v>0</v>
      </c>
      <c r="J21" s="66">
        <f t="shared" si="14"/>
        <v>0</v>
      </c>
      <c r="K21" s="537">
        <f t="shared" si="15"/>
        <v>2431</v>
      </c>
      <c r="L21" s="52">
        <f t="shared" si="16"/>
        <v>0</v>
      </c>
      <c r="M21" s="537">
        <f t="shared" si="17"/>
        <v>180354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2483</v>
      </c>
      <c r="Y21" s="52">
        <f t="shared" si="22"/>
        <v>0</v>
      </c>
      <c r="Z21" s="537">
        <f t="shared" si="23"/>
        <v>140101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366476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32</v>
      </c>
      <c r="AQ21" s="305">
        <f t="shared" si="31"/>
        <v>960</v>
      </c>
      <c r="AR21" s="537">
        <f t="shared" si="11"/>
        <v>73</v>
      </c>
      <c r="AS21" s="305">
        <f t="shared" si="41"/>
        <v>2190</v>
      </c>
      <c r="AT21" s="305">
        <f t="shared" si="42"/>
        <v>5130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235</v>
      </c>
      <c r="C22" s="537">
        <f t="shared" si="34"/>
        <v>241</v>
      </c>
      <c r="D22" s="45">
        <f t="shared" si="49"/>
        <v>0</v>
      </c>
      <c r="E22" s="45">
        <f t="shared" si="12"/>
        <v>0</v>
      </c>
      <c r="F22" s="537">
        <f t="shared" si="13"/>
        <v>2252</v>
      </c>
      <c r="G22" s="52">
        <f t="shared" si="0"/>
        <v>0</v>
      </c>
      <c r="H22" s="537">
        <f t="shared" si="36"/>
        <v>44211</v>
      </c>
      <c r="I22" s="380">
        <f t="shared" si="1"/>
        <v>0</v>
      </c>
      <c r="J22" s="66">
        <f t="shared" si="14"/>
        <v>0</v>
      </c>
      <c r="K22" s="537">
        <f t="shared" si="15"/>
        <v>2431</v>
      </c>
      <c r="L22" s="52">
        <f t="shared" si="16"/>
        <v>0</v>
      </c>
      <c r="M22" s="537">
        <f t="shared" si="17"/>
        <v>180354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2483</v>
      </c>
      <c r="Y22" s="52">
        <f t="shared" si="22"/>
        <v>0</v>
      </c>
      <c r="Z22" s="537">
        <f t="shared" si="23"/>
        <v>140101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366476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32</v>
      </c>
      <c r="AQ22" s="305">
        <f t="shared" si="31"/>
        <v>960</v>
      </c>
      <c r="AR22" s="537">
        <f t="shared" si="11"/>
        <v>73</v>
      </c>
      <c r="AS22" s="305">
        <f t="shared" si="41"/>
        <v>2190</v>
      </c>
      <c r="AT22" s="305">
        <f t="shared" si="42"/>
        <v>5130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235</v>
      </c>
      <c r="C23" s="537">
        <f t="shared" si="34"/>
        <v>241</v>
      </c>
      <c r="D23" s="45">
        <f t="shared" si="49"/>
        <v>0</v>
      </c>
      <c r="E23" s="45">
        <f t="shared" si="12"/>
        <v>0</v>
      </c>
      <c r="F23" s="537">
        <f t="shared" si="13"/>
        <v>2252</v>
      </c>
      <c r="G23" s="52">
        <f t="shared" si="0"/>
        <v>0</v>
      </c>
      <c r="H23" s="537">
        <f t="shared" si="36"/>
        <v>44211</v>
      </c>
      <c r="I23" s="380">
        <f t="shared" si="1"/>
        <v>0</v>
      </c>
      <c r="J23" s="66">
        <f t="shared" si="14"/>
        <v>0</v>
      </c>
      <c r="K23" s="537">
        <f t="shared" si="15"/>
        <v>2431</v>
      </c>
      <c r="L23" s="52">
        <f t="shared" si="16"/>
        <v>0</v>
      </c>
      <c r="M23" s="537">
        <f t="shared" si="17"/>
        <v>180354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2483</v>
      </c>
      <c r="Y23" s="52">
        <f t="shared" si="22"/>
        <v>0</v>
      </c>
      <c r="Z23" s="537">
        <f t="shared" si="23"/>
        <v>140101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366476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32</v>
      </c>
      <c r="AQ23" s="305">
        <f t="shared" si="31"/>
        <v>960</v>
      </c>
      <c r="AR23" s="537">
        <f t="shared" si="11"/>
        <v>73</v>
      </c>
      <c r="AS23" s="305">
        <f t="shared" si="41"/>
        <v>2190</v>
      </c>
      <c r="AT23" s="305">
        <f t="shared" si="42"/>
        <v>5130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235</v>
      </c>
      <c r="C24" s="537">
        <f t="shared" si="34"/>
        <v>241</v>
      </c>
      <c r="D24" s="45">
        <f t="shared" si="49"/>
        <v>0</v>
      </c>
      <c r="E24" s="45">
        <f t="shared" si="12"/>
        <v>0</v>
      </c>
      <c r="F24" s="537">
        <f t="shared" si="13"/>
        <v>2252</v>
      </c>
      <c r="G24" s="52">
        <f t="shared" si="0"/>
        <v>0</v>
      </c>
      <c r="H24" s="537">
        <f t="shared" si="36"/>
        <v>44211</v>
      </c>
      <c r="I24" s="380">
        <f t="shared" si="1"/>
        <v>0</v>
      </c>
      <c r="J24" s="66">
        <f t="shared" si="14"/>
        <v>0</v>
      </c>
      <c r="K24" s="537">
        <f t="shared" si="15"/>
        <v>2431</v>
      </c>
      <c r="L24" s="52">
        <f t="shared" si="16"/>
        <v>0</v>
      </c>
      <c r="M24" s="537">
        <f t="shared" si="17"/>
        <v>180354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2483</v>
      </c>
      <c r="Y24" s="52">
        <f t="shared" si="22"/>
        <v>0</v>
      </c>
      <c r="Z24" s="537">
        <f t="shared" si="23"/>
        <v>140101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366476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32</v>
      </c>
      <c r="AQ24" s="305">
        <f t="shared" si="31"/>
        <v>960</v>
      </c>
      <c r="AR24" s="537">
        <f t="shared" si="11"/>
        <v>73</v>
      </c>
      <c r="AS24" s="305">
        <f t="shared" si="41"/>
        <v>2190</v>
      </c>
      <c r="AT24" s="305">
        <f t="shared" ref="AT24:AT32" si="51">SUM(AO24+AQ24+AS24)</f>
        <v>5130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235</v>
      </c>
      <c r="C25" s="537">
        <f t="shared" si="34"/>
        <v>241</v>
      </c>
      <c r="D25" s="45">
        <f t="shared" si="49"/>
        <v>0</v>
      </c>
      <c r="E25" s="45">
        <f t="shared" si="12"/>
        <v>0</v>
      </c>
      <c r="F25" s="537">
        <f t="shared" si="13"/>
        <v>2252</v>
      </c>
      <c r="G25" s="52">
        <f t="shared" si="0"/>
        <v>0</v>
      </c>
      <c r="H25" s="537">
        <f t="shared" si="36"/>
        <v>44211</v>
      </c>
      <c r="I25" s="380">
        <f t="shared" si="1"/>
        <v>0</v>
      </c>
      <c r="J25" s="66">
        <f t="shared" si="14"/>
        <v>0</v>
      </c>
      <c r="K25" s="537">
        <f t="shared" si="15"/>
        <v>2431</v>
      </c>
      <c r="L25" s="52">
        <f t="shared" si="16"/>
        <v>0</v>
      </c>
      <c r="M25" s="537">
        <f t="shared" si="17"/>
        <v>180354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2483</v>
      </c>
      <c r="Y25" s="52">
        <f t="shared" si="22"/>
        <v>0</v>
      </c>
      <c r="Z25" s="537">
        <f t="shared" si="23"/>
        <v>140101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-2</v>
      </c>
      <c r="AE25" s="537">
        <f t="shared" si="25"/>
        <v>366476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-2</v>
      </c>
      <c r="AN25" s="537">
        <f t="shared" si="9"/>
        <v>66</v>
      </c>
      <c r="AO25" s="305">
        <f t="shared" si="30"/>
        <v>1980</v>
      </c>
      <c r="AP25" s="537">
        <f t="shared" si="10"/>
        <v>32</v>
      </c>
      <c r="AQ25" s="305">
        <f t="shared" ref="AQ25:AQ32" si="52">(AP25/100)*3000</f>
        <v>960</v>
      </c>
      <c r="AR25" s="537">
        <f t="shared" si="11"/>
        <v>73</v>
      </c>
      <c r="AS25" s="305">
        <f t="shared" si="41"/>
        <v>2190</v>
      </c>
      <c r="AT25" s="305">
        <f t="shared" si="51"/>
        <v>5130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235</v>
      </c>
      <c r="C26" s="537">
        <f t="shared" si="34"/>
        <v>241</v>
      </c>
      <c r="D26" s="45">
        <f t="shared" si="49"/>
        <v>0</v>
      </c>
      <c r="E26" s="45">
        <f t="shared" si="12"/>
        <v>0</v>
      </c>
      <c r="F26" s="537">
        <f t="shared" si="13"/>
        <v>2252</v>
      </c>
      <c r="G26" s="52">
        <f t="shared" si="0"/>
        <v>0</v>
      </c>
      <c r="H26" s="537">
        <f t="shared" si="36"/>
        <v>44211</v>
      </c>
      <c r="I26" s="380">
        <f t="shared" si="1"/>
        <v>0</v>
      </c>
      <c r="J26" s="66">
        <f t="shared" si="14"/>
        <v>0</v>
      </c>
      <c r="K26" s="537">
        <f t="shared" si="15"/>
        <v>2431</v>
      </c>
      <c r="L26" s="52">
        <f t="shared" si="16"/>
        <v>0</v>
      </c>
      <c r="M26" s="537">
        <f t="shared" si="17"/>
        <v>180354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2483</v>
      </c>
      <c r="Y26" s="52">
        <f t="shared" si="22"/>
        <v>0</v>
      </c>
      <c r="Z26" s="537">
        <f t="shared" si="23"/>
        <v>140101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366476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-90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235</v>
      </c>
      <c r="C27" s="537">
        <f t="shared" si="34"/>
        <v>241</v>
      </c>
      <c r="D27" s="45">
        <f t="shared" si="49"/>
        <v>0</v>
      </c>
      <c r="E27" s="45">
        <f t="shared" si="12"/>
        <v>0</v>
      </c>
      <c r="F27" s="537">
        <f t="shared" si="13"/>
        <v>2252</v>
      </c>
      <c r="G27" s="52">
        <f t="shared" si="0"/>
        <v>0</v>
      </c>
      <c r="H27" s="537">
        <f t="shared" si="36"/>
        <v>44211</v>
      </c>
      <c r="I27" s="380">
        <f t="shared" si="1"/>
        <v>0</v>
      </c>
      <c r="J27" s="66">
        <f t="shared" si="14"/>
        <v>0</v>
      </c>
      <c r="K27" s="537">
        <f t="shared" si="15"/>
        <v>2431</v>
      </c>
      <c r="L27" s="52">
        <f t="shared" si="16"/>
        <v>0</v>
      </c>
      <c r="M27" s="537">
        <f t="shared" si="17"/>
        <v>180354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2483</v>
      </c>
      <c r="Y27" s="52">
        <f t="shared" si="22"/>
        <v>0</v>
      </c>
      <c r="Z27" s="537">
        <f t="shared" si="23"/>
        <v>140101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366476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235</v>
      </c>
      <c r="C28" s="537">
        <f t="shared" si="34"/>
        <v>241</v>
      </c>
      <c r="D28" s="45">
        <f t="shared" si="49"/>
        <v>0</v>
      </c>
      <c r="E28" s="45">
        <f t="shared" si="12"/>
        <v>0</v>
      </c>
      <c r="F28" s="537">
        <f t="shared" si="13"/>
        <v>2252</v>
      </c>
      <c r="G28" s="52">
        <f t="shared" si="0"/>
        <v>0</v>
      </c>
      <c r="H28" s="537">
        <f t="shared" si="36"/>
        <v>44211</v>
      </c>
      <c r="I28" s="380">
        <f t="shared" si="1"/>
        <v>0</v>
      </c>
      <c r="J28" s="66">
        <f t="shared" si="14"/>
        <v>0</v>
      </c>
      <c r="K28" s="537">
        <f t="shared" si="15"/>
        <v>2431</v>
      </c>
      <c r="L28" s="52">
        <f t="shared" si="16"/>
        <v>0</v>
      </c>
      <c r="M28" s="537">
        <f t="shared" si="17"/>
        <v>180354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2483</v>
      </c>
      <c r="Y28" s="52">
        <f t="shared" si="22"/>
        <v>0</v>
      </c>
      <c r="Z28" s="537">
        <f t="shared" si="23"/>
        <v>140101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366476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235</v>
      </c>
      <c r="C29" s="537">
        <f t="shared" si="34"/>
        <v>241</v>
      </c>
      <c r="D29" s="45">
        <f t="shared" si="49"/>
        <v>0</v>
      </c>
      <c r="E29" s="45">
        <f t="shared" si="12"/>
        <v>0</v>
      </c>
      <c r="F29" s="537">
        <f t="shared" si="13"/>
        <v>2252</v>
      </c>
      <c r="G29" s="52">
        <f t="shared" si="0"/>
        <v>0</v>
      </c>
      <c r="H29" s="537">
        <f t="shared" si="36"/>
        <v>44211</v>
      </c>
      <c r="I29" s="380">
        <f t="shared" si="1"/>
        <v>0</v>
      </c>
      <c r="J29" s="66">
        <f t="shared" si="14"/>
        <v>0</v>
      </c>
      <c r="K29" s="537">
        <f t="shared" si="15"/>
        <v>2431</v>
      </c>
      <c r="L29" s="52">
        <f t="shared" si="16"/>
        <v>0</v>
      </c>
      <c r="M29" s="537">
        <f t="shared" si="17"/>
        <v>180354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2483</v>
      </c>
      <c r="Y29" s="52">
        <f t="shared" si="22"/>
        <v>0</v>
      </c>
      <c r="Z29" s="537">
        <f t="shared" si="23"/>
        <v>140101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366476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235</v>
      </c>
      <c r="C30" s="537">
        <f t="shared" si="34"/>
        <v>241</v>
      </c>
      <c r="D30" s="45">
        <f>C29-C30</f>
        <v>0</v>
      </c>
      <c r="E30" s="45">
        <f>D30*8.38</f>
        <v>0</v>
      </c>
      <c r="F30" s="537">
        <f t="shared" si="13"/>
        <v>2252</v>
      </c>
      <c r="G30" s="52">
        <f>F30-F29</f>
        <v>0</v>
      </c>
      <c r="H30" s="537">
        <f t="shared" si="36"/>
        <v>44211</v>
      </c>
      <c r="I30" s="380">
        <f>SUM(H30-H29)</f>
        <v>0</v>
      </c>
      <c r="J30" s="66">
        <f>IF(G30&gt;0,I30/G30,0)</f>
        <v>0</v>
      </c>
      <c r="K30" s="537">
        <f t="shared" si="15"/>
        <v>2431</v>
      </c>
      <c r="L30" s="52">
        <f>K30-K29</f>
        <v>0</v>
      </c>
      <c r="M30" s="537">
        <f t="shared" si="17"/>
        <v>180354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2483</v>
      </c>
      <c r="Y30" s="52">
        <f>X30-X29</f>
        <v>0</v>
      </c>
      <c r="Z30" s="537">
        <f t="shared" si="23"/>
        <v>140101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366476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235</v>
      </c>
      <c r="C31" s="537">
        <f t="shared" si="34"/>
        <v>241</v>
      </c>
      <c r="D31" s="45">
        <f t="shared" si="49"/>
        <v>0</v>
      </c>
      <c r="E31" s="45">
        <f t="shared" si="12"/>
        <v>0</v>
      </c>
      <c r="F31" s="537">
        <f t="shared" si="13"/>
        <v>2252</v>
      </c>
      <c r="G31" s="52">
        <f t="shared" si="0"/>
        <v>0</v>
      </c>
      <c r="H31" s="537">
        <f t="shared" si="36"/>
        <v>44211</v>
      </c>
      <c r="I31" s="380">
        <f t="shared" si="1"/>
        <v>0</v>
      </c>
      <c r="J31" s="66">
        <f t="shared" si="14"/>
        <v>0</v>
      </c>
      <c r="K31" s="537">
        <f t="shared" si="15"/>
        <v>2431</v>
      </c>
      <c r="L31" s="52">
        <f t="shared" si="16"/>
        <v>0</v>
      </c>
      <c r="M31" s="537">
        <f t="shared" si="17"/>
        <v>180354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2483</v>
      </c>
      <c r="Y31" s="52">
        <f t="shared" si="22"/>
        <v>0</v>
      </c>
      <c r="Z31" s="537">
        <f t="shared" si="23"/>
        <v>140101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366476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235</v>
      </c>
      <c r="C32" s="537">
        <f t="shared" si="34"/>
        <v>241</v>
      </c>
      <c r="D32" s="45">
        <f t="shared" si="49"/>
        <v>0</v>
      </c>
      <c r="E32" s="45">
        <f t="shared" si="12"/>
        <v>0</v>
      </c>
      <c r="F32" s="537">
        <f t="shared" si="13"/>
        <v>2252</v>
      </c>
      <c r="G32" s="52">
        <f t="shared" si="0"/>
        <v>0</v>
      </c>
      <c r="H32" s="537">
        <f t="shared" si="36"/>
        <v>44211</v>
      </c>
      <c r="I32" s="380">
        <f t="shared" si="1"/>
        <v>0</v>
      </c>
      <c r="J32" s="66">
        <f t="shared" si="14"/>
        <v>0</v>
      </c>
      <c r="K32" s="537">
        <f t="shared" si="15"/>
        <v>2431</v>
      </c>
      <c r="L32" s="52">
        <f t="shared" si="16"/>
        <v>0</v>
      </c>
      <c r="M32" s="537">
        <f t="shared" si="17"/>
        <v>180354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2483</v>
      </c>
      <c r="Y32" s="52">
        <f t="shared" si="22"/>
        <v>0</v>
      </c>
      <c r="Z32" s="537">
        <f t="shared" si="23"/>
        <v>140101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366476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235</v>
      </c>
      <c r="C33" s="537">
        <f t="shared" si="34"/>
        <v>241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2252</v>
      </c>
      <c r="G33" s="52">
        <f t="shared" ref="G33:G35" si="56">F33-F32</f>
        <v>0</v>
      </c>
      <c r="H33" s="537">
        <f t="shared" si="36"/>
        <v>44211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2431</v>
      </c>
      <c r="L33" s="52">
        <f t="shared" ref="L33:L35" si="59">K33-K32</f>
        <v>0</v>
      </c>
      <c r="M33" s="537">
        <f t="shared" si="17"/>
        <v>180354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2483</v>
      </c>
      <c r="Y33" s="52">
        <f t="shared" ref="Y33:Y35" si="66">X33-X32</f>
        <v>0</v>
      </c>
      <c r="Z33" s="537">
        <f t="shared" si="23"/>
        <v>140101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366476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235</v>
      </c>
      <c r="C34" s="537">
        <f t="shared" si="34"/>
        <v>241</v>
      </c>
      <c r="D34" s="45">
        <f t="shared" si="54"/>
        <v>0</v>
      </c>
      <c r="E34" s="45">
        <f t="shared" si="55"/>
        <v>0</v>
      </c>
      <c r="F34" s="537">
        <f t="shared" si="13"/>
        <v>2252</v>
      </c>
      <c r="G34" s="52">
        <f t="shared" si="56"/>
        <v>0</v>
      </c>
      <c r="H34" s="537">
        <f t="shared" si="36"/>
        <v>44211</v>
      </c>
      <c r="I34" s="380">
        <f t="shared" si="57"/>
        <v>0</v>
      </c>
      <c r="J34" s="66">
        <f t="shared" si="58"/>
        <v>0</v>
      </c>
      <c r="K34" s="537">
        <f t="shared" si="15"/>
        <v>2431</v>
      </c>
      <c r="L34" s="52">
        <f t="shared" si="59"/>
        <v>0</v>
      </c>
      <c r="M34" s="537">
        <f t="shared" si="17"/>
        <v>180354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2483</v>
      </c>
      <c r="Y34" s="52">
        <f t="shared" si="66"/>
        <v>0</v>
      </c>
      <c r="Z34" s="537">
        <f t="shared" si="23"/>
        <v>140101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366476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235</v>
      </c>
      <c r="C35" s="537">
        <f t="shared" si="34"/>
        <v>241</v>
      </c>
      <c r="D35" s="45">
        <f t="shared" si="54"/>
        <v>0</v>
      </c>
      <c r="E35" s="45">
        <f t="shared" si="55"/>
        <v>0</v>
      </c>
      <c r="F35" s="537">
        <f t="shared" si="13"/>
        <v>2252</v>
      </c>
      <c r="G35" s="52">
        <f t="shared" si="56"/>
        <v>0</v>
      </c>
      <c r="H35" s="537">
        <f t="shared" si="36"/>
        <v>44211</v>
      </c>
      <c r="I35" s="380">
        <f t="shared" si="57"/>
        <v>0</v>
      </c>
      <c r="J35" s="66">
        <f t="shared" si="58"/>
        <v>0</v>
      </c>
      <c r="K35" s="537">
        <f t="shared" si="15"/>
        <v>2431</v>
      </c>
      <c r="L35" s="52">
        <f t="shared" si="59"/>
        <v>0</v>
      </c>
      <c r="M35" s="537">
        <f t="shared" si="17"/>
        <v>180354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2483</v>
      </c>
      <c r="Y35" s="52">
        <f t="shared" si="66"/>
        <v>0</v>
      </c>
      <c r="Z35" s="537">
        <f t="shared" si="23"/>
        <v>140101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366476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49.8</v>
      </c>
      <c r="U36" s="70">
        <f>SUM(U5:U35)</f>
        <v>9</v>
      </c>
      <c r="V36" s="62">
        <f>SUM(V5:V35)</f>
        <v>658</v>
      </c>
      <c r="AE36" s="71" t="s">
        <v>379</v>
      </c>
      <c r="AG36" s="329"/>
      <c r="AH36" s="62">
        <f>SUM(AH5:AH35)</f>
        <v>182</v>
      </c>
      <c r="AL36" s="62">
        <f>SUM(AL5:AL35)</f>
        <v>9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73.111111111111114</v>
      </c>
      <c r="AH37" s="62">
        <f>AF37+AA37</f>
        <v>0</v>
      </c>
      <c r="AI37" s="306">
        <f>SUM(AI5:AI35)</f>
        <v>840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L1" zoomScale="90" zoomScaleNormal="90" workbookViewId="0">
      <pane ySplit="3" topLeftCell="A4" activePane="bottomLeft" state="frozen"/>
      <selection pane="bottomLeft" activeCell="BJ14" sqref="BJ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8179093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629161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25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v>139</v>
      </c>
      <c r="AU13" s="408">
        <f t="shared" si="44"/>
        <v>1.1000000000000001</v>
      </c>
      <c r="AV13" s="201">
        <v>116</v>
      </c>
      <c r="AW13" s="5">
        <v>2.9</v>
      </c>
      <c r="AX13" s="201">
        <v>146</v>
      </c>
      <c r="AY13" s="409">
        <f t="shared" si="38"/>
        <v>125.10000000000001</v>
      </c>
      <c r="AZ13" s="409">
        <f t="shared" si="39"/>
        <v>127.60000000000001</v>
      </c>
      <c r="BA13" s="409">
        <f t="shared" si="40"/>
        <v>423.4</v>
      </c>
      <c r="BB13" s="21">
        <f t="shared" si="41"/>
        <v>34.200000000000003</v>
      </c>
      <c r="BC13" s="21">
        <f t="shared" si="28"/>
        <v>-1.1000000000000085</v>
      </c>
      <c r="BD13" s="21">
        <f t="shared" si="28"/>
        <v>-5.8000000000000114</v>
      </c>
      <c r="BE13" s="24">
        <f t="shared" si="29"/>
        <v>27.299999999999983</v>
      </c>
      <c r="BF13" s="96">
        <f t="shared" si="30"/>
        <v>-27.299999999999983</v>
      </c>
      <c r="BG13" s="82">
        <f t="shared" si="4"/>
        <v>27.299999999999983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629161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v>496</v>
      </c>
      <c r="W14" s="309">
        <f t="shared" si="14"/>
        <v>1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-1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v>139</v>
      </c>
      <c r="AU14" s="408">
        <f t="shared" si="44"/>
        <v>1.1000000000000001</v>
      </c>
      <c r="AV14" s="201">
        <v>114</v>
      </c>
      <c r="AW14" s="5">
        <v>2.9</v>
      </c>
      <c r="AX14" s="201">
        <v>144</v>
      </c>
      <c r="AY14" s="409">
        <f t="shared" si="38"/>
        <v>125.10000000000001</v>
      </c>
      <c r="AZ14" s="409">
        <f t="shared" si="39"/>
        <v>125.4</v>
      </c>
      <c r="BA14" s="409">
        <f t="shared" si="40"/>
        <v>417.59999999999997</v>
      </c>
      <c r="BB14" s="21">
        <f t="shared" si="41"/>
        <v>0</v>
      </c>
      <c r="BC14" s="21">
        <f t="shared" si="28"/>
        <v>-2.2000000000000028</v>
      </c>
      <c r="BD14" s="21">
        <f t="shared" si="28"/>
        <v>-5.8000000000000114</v>
      </c>
      <c r="BE14" s="24">
        <f t="shared" si="29"/>
        <v>-8.0000000000000142</v>
      </c>
      <c r="BF14" s="96">
        <f t="shared" si="30"/>
        <v>8.0000000000000142</v>
      </c>
      <c r="BG14" s="82">
        <f t="shared" si="4"/>
        <v>-8.0000000000000142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629161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496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139</v>
      </c>
      <c r="AU15" s="408">
        <f t="shared" si="44"/>
        <v>1.1000000000000001</v>
      </c>
      <c r="AV15" s="201">
        <f t="shared" si="36"/>
        <v>114</v>
      </c>
      <c r="AW15" s="5">
        <v>2.9</v>
      </c>
      <c r="AX15" s="201">
        <f t="shared" si="37"/>
        <v>144</v>
      </c>
      <c r="AY15" s="409">
        <f t="shared" si="38"/>
        <v>125.10000000000001</v>
      </c>
      <c r="AZ15" s="409">
        <f t="shared" si="39"/>
        <v>125.4</v>
      </c>
      <c r="BA15" s="409">
        <f t="shared" si="40"/>
        <v>417.59999999999997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629161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496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139</v>
      </c>
      <c r="AU16" s="408">
        <f t="shared" si="44"/>
        <v>1.1000000000000001</v>
      </c>
      <c r="AV16" s="201">
        <f t="shared" si="36"/>
        <v>114</v>
      </c>
      <c r="AW16" s="5">
        <v>2.9</v>
      </c>
      <c r="AX16" s="201">
        <f t="shared" si="37"/>
        <v>144</v>
      </c>
      <c r="AY16" s="409">
        <f t="shared" si="38"/>
        <v>125.10000000000001</v>
      </c>
      <c r="AZ16" s="409">
        <f t="shared" si="39"/>
        <v>125.4</v>
      </c>
      <c r="BA16" s="409">
        <f t="shared" si="40"/>
        <v>417.59999999999997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629161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496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139</v>
      </c>
      <c r="AU17" s="408">
        <f t="shared" si="44"/>
        <v>1.1000000000000001</v>
      </c>
      <c r="AV17" s="201">
        <f t="shared" si="36"/>
        <v>114</v>
      </c>
      <c r="AW17" s="5">
        <v>2.9</v>
      </c>
      <c r="AX17" s="201">
        <f t="shared" si="37"/>
        <v>144</v>
      </c>
      <c r="AY17" s="409">
        <f t="shared" si="38"/>
        <v>125.10000000000001</v>
      </c>
      <c r="AZ17" s="409">
        <f t="shared" si="39"/>
        <v>125.4</v>
      </c>
      <c r="BA17" s="409">
        <f t="shared" si="40"/>
        <v>417.59999999999997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629161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496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139</v>
      </c>
      <c r="AU18" s="408">
        <f t="shared" si="44"/>
        <v>1.1000000000000001</v>
      </c>
      <c r="AV18" s="201">
        <f t="shared" si="36"/>
        <v>114</v>
      </c>
      <c r="AW18" s="5">
        <v>2.9</v>
      </c>
      <c r="AX18" s="201">
        <f t="shared" si="37"/>
        <v>144</v>
      </c>
      <c r="AY18" s="409">
        <f t="shared" si="38"/>
        <v>125.10000000000001</v>
      </c>
      <c r="AZ18" s="409">
        <f t="shared" si="39"/>
        <v>125.4</v>
      </c>
      <c r="BA18" s="409">
        <f t="shared" si="40"/>
        <v>417.59999999999997</v>
      </c>
      <c r="BB18" s="21">
        <f t="shared" si="41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30"/>
        <v>0</v>
      </c>
      <c r="BG18" s="82">
        <f t="shared" si="4"/>
        <v>0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31"/>
        <v>629161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496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f t="shared" si="27"/>
        <v>139</v>
      </c>
      <c r="AU19" s="408">
        <f t="shared" si="44"/>
        <v>1.1000000000000001</v>
      </c>
      <c r="AV19" s="201">
        <f t="shared" si="36"/>
        <v>114</v>
      </c>
      <c r="AW19" s="5">
        <v>2.9</v>
      </c>
      <c r="AX19" s="201">
        <f t="shared" si="37"/>
        <v>144</v>
      </c>
      <c r="AY19" s="409">
        <f>AS19*AT19</f>
        <v>125.10000000000001</v>
      </c>
      <c r="AZ19" s="409">
        <f>AU19*AV19</f>
        <v>125.4</v>
      </c>
      <c r="BA19" s="409">
        <f>AW19*AX19</f>
        <v>417.59999999999997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0"/>
        <v>0</v>
      </c>
      <c r="BG19" s="82">
        <f t="shared" si="4"/>
        <v>0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629161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496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139</v>
      </c>
      <c r="AU20" s="408">
        <f t="shared" si="44"/>
        <v>1.1000000000000001</v>
      </c>
      <c r="AV20" s="201">
        <f t="shared" si="36"/>
        <v>114</v>
      </c>
      <c r="AW20" s="5">
        <v>2.9</v>
      </c>
      <c r="AX20" s="201">
        <f t="shared" si="37"/>
        <v>144</v>
      </c>
      <c r="AY20" s="409">
        <f>AS20*AT20</f>
        <v>125.10000000000001</v>
      </c>
      <c r="AZ20" s="409">
        <f>AU20*AV20</f>
        <v>125.4</v>
      </c>
      <c r="BA20" s="409">
        <f>AW20*AX20</f>
        <v>417.59999999999997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0"/>
        <v>0</v>
      </c>
      <c r="BG20" s="82">
        <f t="shared" si="4"/>
        <v>0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629161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496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139</v>
      </c>
      <c r="AU21" s="408">
        <f t="shared" si="44"/>
        <v>1.1000000000000001</v>
      </c>
      <c r="AV21" s="201">
        <f t="shared" si="36"/>
        <v>114</v>
      </c>
      <c r="AW21" s="5">
        <v>2.9</v>
      </c>
      <c r="AX21" s="201">
        <f t="shared" si="37"/>
        <v>144</v>
      </c>
      <c r="AY21" s="409">
        <f>AS21*AT21</f>
        <v>125.10000000000001</v>
      </c>
      <c r="AZ21" s="409">
        <f>AU21*AV21</f>
        <v>125.4</v>
      </c>
      <c r="BA21" s="409">
        <f>AW21*AX21</f>
        <v>417.59999999999997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30"/>
        <v>0</v>
      </c>
      <c r="BG21" s="82">
        <f t="shared" si="4"/>
        <v>0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629161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496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139</v>
      </c>
      <c r="AU22" s="408">
        <f t="shared" si="44"/>
        <v>1.1000000000000001</v>
      </c>
      <c r="AV22" s="201">
        <f t="shared" si="36"/>
        <v>114</v>
      </c>
      <c r="AW22" s="5">
        <v>2.9</v>
      </c>
      <c r="AX22" s="201">
        <f t="shared" si="37"/>
        <v>144</v>
      </c>
      <c r="AY22" s="409">
        <f t="shared" si="38"/>
        <v>125.10000000000001</v>
      </c>
      <c r="AZ22" s="409">
        <f t="shared" si="39"/>
        <v>125.4</v>
      </c>
      <c r="BA22" s="409">
        <f t="shared" si="40"/>
        <v>417.59999999999997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629161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496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139</v>
      </c>
      <c r="AU23" s="408">
        <f t="shared" si="44"/>
        <v>1.1000000000000001</v>
      </c>
      <c r="AV23" s="201">
        <f t="shared" si="36"/>
        <v>114</v>
      </c>
      <c r="AW23" s="5">
        <v>2.9</v>
      </c>
      <c r="AX23" s="201">
        <f t="shared" si="37"/>
        <v>144</v>
      </c>
      <c r="AY23" s="409">
        <f t="shared" si="38"/>
        <v>125.10000000000001</v>
      </c>
      <c r="AZ23" s="409">
        <f t="shared" si="39"/>
        <v>125.4</v>
      </c>
      <c r="BA23" s="409">
        <f t="shared" si="40"/>
        <v>417.59999999999997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629161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496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139</v>
      </c>
      <c r="AU24" s="408">
        <f t="shared" si="44"/>
        <v>1.1000000000000001</v>
      </c>
      <c r="AV24" s="201">
        <f t="shared" si="36"/>
        <v>114</v>
      </c>
      <c r="AW24" s="5">
        <v>2.9</v>
      </c>
      <c r="AX24" s="201">
        <f t="shared" si="37"/>
        <v>144</v>
      </c>
      <c r="AY24" s="409">
        <f t="shared" si="38"/>
        <v>125.10000000000001</v>
      </c>
      <c r="AZ24" s="409">
        <f t="shared" si="39"/>
        <v>125.4</v>
      </c>
      <c r="BA24" s="409">
        <f t="shared" si="40"/>
        <v>417.59999999999997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629161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496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139</v>
      </c>
      <c r="AU25" s="408">
        <f t="shared" si="44"/>
        <v>1.1000000000000001</v>
      </c>
      <c r="AV25" s="201">
        <f t="shared" si="36"/>
        <v>114</v>
      </c>
      <c r="AW25" s="5">
        <v>2.9</v>
      </c>
      <c r="AX25" s="201">
        <f t="shared" si="37"/>
        <v>144</v>
      </c>
      <c r="AY25" s="409">
        <f t="shared" si="38"/>
        <v>125.10000000000001</v>
      </c>
      <c r="AZ25" s="409">
        <f t="shared" si="39"/>
        <v>125.4</v>
      </c>
      <c r="BA25" s="409">
        <f t="shared" si="40"/>
        <v>417.59999999999997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629161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496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139</v>
      </c>
      <c r="AU26" s="408">
        <f t="shared" si="44"/>
        <v>1.1000000000000001</v>
      </c>
      <c r="AV26" s="201">
        <f t="shared" si="36"/>
        <v>114</v>
      </c>
      <c r="AW26" s="5">
        <v>2.9</v>
      </c>
      <c r="AX26" s="201">
        <f t="shared" si="37"/>
        <v>144</v>
      </c>
      <c r="AY26" s="409">
        <f t="shared" si="38"/>
        <v>125.10000000000001</v>
      </c>
      <c r="AZ26" s="409">
        <f t="shared" si="39"/>
        <v>125.4</v>
      </c>
      <c r="BA26" s="409">
        <f t="shared" si="40"/>
        <v>417.59999999999997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629161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496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139</v>
      </c>
      <c r="AU27" s="408">
        <f t="shared" si="44"/>
        <v>1.1000000000000001</v>
      </c>
      <c r="AV27" s="201">
        <f t="shared" si="36"/>
        <v>114</v>
      </c>
      <c r="AW27" s="5">
        <v>2.9</v>
      </c>
      <c r="AX27" s="201">
        <f t="shared" si="37"/>
        <v>144</v>
      </c>
      <c r="AY27" s="409">
        <f t="shared" si="38"/>
        <v>125.10000000000001</v>
      </c>
      <c r="AZ27" s="409">
        <f t="shared" si="39"/>
        <v>125.4</v>
      </c>
      <c r="BA27" s="409">
        <f t="shared" si="40"/>
        <v>417.59999999999997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629161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496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139</v>
      </c>
      <c r="AU28" s="408">
        <f t="shared" si="44"/>
        <v>1.1000000000000001</v>
      </c>
      <c r="AV28" s="201">
        <f t="shared" si="36"/>
        <v>114</v>
      </c>
      <c r="AW28" s="5">
        <v>2.9</v>
      </c>
      <c r="AX28" s="201">
        <f t="shared" si="37"/>
        <v>144</v>
      </c>
      <c r="AY28" s="409">
        <f t="shared" si="38"/>
        <v>125.10000000000001</v>
      </c>
      <c r="AZ28" s="409">
        <f t="shared" si="39"/>
        <v>125.4</v>
      </c>
      <c r="BA28" s="409">
        <f t="shared" si="40"/>
        <v>417.59999999999997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629161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496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139</v>
      </c>
      <c r="AU29" s="408">
        <f t="shared" si="44"/>
        <v>1.1000000000000001</v>
      </c>
      <c r="AV29" s="201">
        <f t="shared" si="36"/>
        <v>114</v>
      </c>
      <c r="AW29" s="5">
        <v>2.9</v>
      </c>
      <c r="AX29" s="201">
        <f t="shared" si="37"/>
        <v>144</v>
      </c>
      <c r="AY29" s="409">
        <f t="shared" si="38"/>
        <v>125.10000000000001</v>
      </c>
      <c r="AZ29" s="409">
        <f t="shared" si="39"/>
        <v>125.4</v>
      </c>
      <c r="BA29" s="409">
        <f t="shared" si="40"/>
        <v>417.59999999999997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629161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496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139</v>
      </c>
      <c r="AU30" s="408">
        <f t="shared" si="44"/>
        <v>1.1000000000000001</v>
      </c>
      <c r="AV30" s="201">
        <f t="shared" si="36"/>
        <v>114</v>
      </c>
      <c r="AW30" s="5">
        <v>2.9</v>
      </c>
      <c r="AX30" s="201">
        <f t="shared" si="37"/>
        <v>144</v>
      </c>
      <c r="AY30" s="409">
        <f t="shared" si="38"/>
        <v>125.10000000000001</v>
      </c>
      <c r="AZ30" s="409">
        <f t="shared" si="39"/>
        <v>125.4</v>
      </c>
      <c r="BA30" s="409">
        <f t="shared" si="40"/>
        <v>417.59999999999997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629161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496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139</v>
      </c>
      <c r="AU31" s="408">
        <f t="shared" si="44"/>
        <v>1.1000000000000001</v>
      </c>
      <c r="AV31" s="201">
        <f t="shared" si="36"/>
        <v>114</v>
      </c>
      <c r="AW31" s="5">
        <v>2.9</v>
      </c>
      <c r="AX31" s="201">
        <f t="shared" si="37"/>
        <v>144</v>
      </c>
      <c r="AY31" s="409">
        <f t="shared" si="38"/>
        <v>125.10000000000001</v>
      </c>
      <c r="AZ31" s="409">
        <f>AU31*AV31</f>
        <v>125.4</v>
      </c>
      <c r="BA31" s="409">
        <f t="shared" si="40"/>
        <v>417.59999999999997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629161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496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139</v>
      </c>
      <c r="AU32" s="408">
        <f t="shared" si="44"/>
        <v>1.1000000000000001</v>
      </c>
      <c r="AV32" s="201">
        <f t="shared" si="36"/>
        <v>114</v>
      </c>
      <c r="AW32" s="5">
        <v>2.9</v>
      </c>
      <c r="AX32" s="201">
        <f t="shared" si="37"/>
        <v>144</v>
      </c>
      <c r="AY32" s="409">
        <f t="shared" si="38"/>
        <v>125.10000000000001</v>
      </c>
      <c r="AZ32" s="409">
        <f t="shared" si="39"/>
        <v>125.4</v>
      </c>
      <c r="BA32" s="409">
        <f t="shared" si="40"/>
        <v>417.59999999999997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629161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496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139</v>
      </c>
      <c r="AU33" s="408">
        <f t="shared" si="44"/>
        <v>1.1000000000000001</v>
      </c>
      <c r="AV33" s="201">
        <f t="shared" si="36"/>
        <v>114</v>
      </c>
      <c r="AW33" s="5">
        <v>2.9</v>
      </c>
      <c r="AX33" s="201">
        <f t="shared" si="37"/>
        <v>144</v>
      </c>
      <c r="AY33" s="409">
        <f t="shared" si="38"/>
        <v>125.10000000000001</v>
      </c>
      <c r="AZ33" s="409">
        <f t="shared" si="39"/>
        <v>125.4</v>
      </c>
      <c r="BA33" s="409">
        <f t="shared" si="40"/>
        <v>417.59999999999997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629161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496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139</v>
      </c>
      <c r="AU34" s="408">
        <f t="shared" si="44"/>
        <v>1.1000000000000001</v>
      </c>
      <c r="AV34" s="201">
        <f t="shared" si="36"/>
        <v>114</v>
      </c>
      <c r="AW34" s="5">
        <v>2.9</v>
      </c>
      <c r="AX34" s="201">
        <f t="shared" si="37"/>
        <v>144</v>
      </c>
      <c r="AY34" s="409">
        <f t="shared" ref="AY34:AY36" si="72">AS34*AT34</f>
        <v>125.10000000000001</v>
      </c>
      <c r="AZ34" s="409">
        <f t="shared" ref="AZ34:AZ36" si="73">AU34*AV34</f>
        <v>125.4</v>
      </c>
      <c r="BA34" s="409">
        <f t="shared" ref="BA34:BA36" si="74">AW34*AX34</f>
        <v>417.59999999999997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629161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496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139</v>
      </c>
      <c r="AU35" s="408">
        <f t="shared" si="44"/>
        <v>1.1000000000000001</v>
      </c>
      <c r="AV35" s="201">
        <f t="shared" si="36"/>
        <v>114</v>
      </c>
      <c r="AW35" s="5">
        <v>2.9</v>
      </c>
      <c r="AX35" s="201">
        <f t="shared" si="37"/>
        <v>144</v>
      </c>
      <c r="AY35" s="409">
        <f t="shared" si="72"/>
        <v>125.10000000000001</v>
      </c>
      <c r="AZ35" s="409">
        <f t="shared" si="73"/>
        <v>125.4</v>
      </c>
      <c r="BA35" s="409">
        <f t="shared" si="74"/>
        <v>417.59999999999997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629161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496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139</v>
      </c>
      <c r="AU36" s="408">
        <f t="shared" si="44"/>
        <v>1.1000000000000001</v>
      </c>
      <c r="AV36" s="201">
        <f t="shared" si="36"/>
        <v>114</v>
      </c>
      <c r="AW36" s="5">
        <v>2.9</v>
      </c>
      <c r="AX36" s="201">
        <f t="shared" si="37"/>
        <v>144</v>
      </c>
      <c r="AY36" s="409">
        <f t="shared" si="72"/>
        <v>125.10000000000001</v>
      </c>
      <c r="AZ36" s="409">
        <f t="shared" si="73"/>
        <v>125.4</v>
      </c>
      <c r="BA36" s="409">
        <f t="shared" si="74"/>
        <v>417.59999999999997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214</v>
      </c>
      <c r="I37" s="395">
        <f>SUM(I6:I36)</f>
        <v>214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-2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214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214</v>
      </c>
      <c r="H39" s="1">
        <f>SUM(H38+C38)</f>
        <v>7500</v>
      </c>
      <c r="K39" s="1">
        <f>SUM(H39/G39)</f>
        <v>35.046728971962615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2" activePane="bottomLeft" state="frozen"/>
      <selection pane="bottomLeft" activeCell="K12" sqref="K12:K14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v>203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v>103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213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103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223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103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223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103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223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103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231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f t="shared" si="14"/>
        <v>103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240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103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250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103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v>259</v>
      </c>
      <c r="C10" s="276">
        <f t="shared" si="11"/>
        <v>9</v>
      </c>
      <c r="D10" s="503">
        <f t="shared" si="26"/>
        <v>693336</v>
      </c>
      <c r="E10" s="276">
        <f>SUM(D10-D9)</f>
        <v>765</v>
      </c>
      <c r="F10" s="276">
        <f t="shared" si="0"/>
        <v>85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103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9</v>
      </c>
      <c r="AA10" s="276">
        <f t="shared" si="20"/>
        <v>765</v>
      </c>
      <c r="AB10" s="276">
        <f t="shared" si="21"/>
        <v>585</v>
      </c>
      <c r="AC10" s="276">
        <f t="shared" si="22"/>
        <v>85</v>
      </c>
      <c r="AD10" s="73">
        <f>ELEC!Q11</f>
        <v>2609.0000000003783</v>
      </c>
      <c r="AE10" s="73">
        <f t="shared" si="27"/>
        <v>289.88888888893092</v>
      </c>
      <c r="AF10" s="387">
        <f t="shared" si="28"/>
        <v>0.18118055555558182</v>
      </c>
      <c r="AG10" s="387">
        <f t="shared" si="28"/>
        <v>1.1323784722223864E-4</v>
      </c>
      <c r="AH10" s="388">
        <f t="shared" si="23"/>
        <v>84.999886762152784</v>
      </c>
      <c r="AI10" s="73">
        <f t="shared" si="29"/>
        <v>671.51476793258689</v>
      </c>
      <c r="AJ10" s="278">
        <f t="shared" si="9"/>
        <v>0.25738396624472576</v>
      </c>
      <c r="AK10" s="278">
        <f t="shared" si="10"/>
        <v>74.612751992509658</v>
      </c>
      <c r="AL10">
        <f t="shared" si="24"/>
        <v>1</v>
      </c>
    </row>
    <row r="11" spans="1:38" ht="15.75" thickBot="1">
      <c r="A11" s="4">
        <f>ELEC!C12</f>
        <v>44721</v>
      </c>
      <c r="B11" s="502">
        <v>266</v>
      </c>
      <c r="C11" s="276">
        <f t="shared" si="11"/>
        <v>7</v>
      </c>
      <c r="D11" s="503">
        <f t="shared" si="26"/>
        <v>693931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103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2835.9999999993306</v>
      </c>
      <c r="AE11" s="73">
        <f t="shared" si="27"/>
        <v>405.1428571427615</v>
      </c>
      <c r="AF11" s="387">
        <f t="shared" si="28"/>
        <v>0.25321428571422594</v>
      </c>
      <c r="AG11" s="387">
        <f t="shared" si="28"/>
        <v>1.5825892857139121E-4</v>
      </c>
      <c r="AH11" s="388">
        <f t="shared" si="23"/>
        <v>84.999841741071435</v>
      </c>
      <c r="AI11" s="73">
        <f t="shared" si="29"/>
        <v>729.94092826986991</v>
      </c>
      <c r="AJ11" s="278">
        <f t="shared" si="9"/>
        <v>0.25738396624472576</v>
      </c>
      <c r="AK11" s="278">
        <f t="shared" si="10"/>
        <v>104.27727546712427</v>
      </c>
      <c r="AL11">
        <f t="shared" si="24"/>
        <v>1</v>
      </c>
    </row>
    <row r="12" spans="1:38" ht="15.75" thickBot="1">
      <c r="A12" s="4">
        <f>ELEC!C13</f>
        <v>44722</v>
      </c>
      <c r="B12" s="502">
        <v>266</v>
      </c>
      <c r="C12" s="276">
        <f t="shared" si="11"/>
        <v>0</v>
      </c>
      <c r="D12" s="503">
        <f t="shared" si="26"/>
        <v>693931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103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266</v>
      </c>
      <c r="C13" s="276">
        <f t="shared" si="11"/>
        <v>0</v>
      </c>
      <c r="D13" s="503">
        <f t="shared" si="26"/>
        <v>693931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103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f t="shared" si="25"/>
        <v>266</v>
      </c>
      <c r="C14" s="276">
        <f t="shared" si="11"/>
        <v>0</v>
      </c>
      <c r="D14" s="503">
        <f t="shared" si="26"/>
        <v>693931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103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44725</v>
      </c>
      <c r="B15" s="502">
        <f t="shared" si="25"/>
        <v>266</v>
      </c>
      <c r="C15" s="276">
        <f t="shared" si="11"/>
        <v>0</v>
      </c>
      <c r="D15" s="503">
        <f t="shared" si="26"/>
        <v>693931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103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44726</v>
      </c>
      <c r="B16" s="502">
        <f t="shared" si="25"/>
        <v>266</v>
      </c>
      <c r="C16" s="276">
        <f t="shared" si="11"/>
        <v>0</v>
      </c>
      <c r="D16" s="503">
        <f t="shared" si="26"/>
        <v>693931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2">
        <f t="shared" si="14"/>
        <v>103</v>
      </c>
      <c r="K16" s="276">
        <f t="shared" si="2"/>
        <v>0</v>
      </c>
      <c r="L16" s="503">
        <f t="shared" si="30"/>
        <v>382691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44727</v>
      </c>
      <c r="B17" s="502">
        <f t="shared" si="25"/>
        <v>266</v>
      </c>
      <c r="C17" s="276">
        <f t="shared" si="11"/>
        <v>0</v>
      </c>
      <c r="D17" s="503">
        <f t="shared" si="26"/>
        <v>693931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103</v>
      </c>
      <c r="K17" s="276">
        <f t="shared" si="2"/>
        <v>0</v>
      </c>
      <c r="L17" s="503">
        <f t="shared" si="30"/>
        <v>382691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44728</v>
      </c>
      <c r="B18" s="502">
        <f t="shared" si="25"/>
        <v>266</v>
      </c>
      <c r="C18" s="276">
        <f t="shared" si="11"/>
        <v>0</v>
      </c>
      <c r="D18" s="503">
        <f t="shared" si="26"/>
        <v>693931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103</v>
      </c>
      <c r="K18" s="276">
        <f t="shared" si="2"/>
        <v>0</v>
      </c>
      <c r="L18" s="503">
        <f t="shared" si="30"/>
        <v>382691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44729</v>
      </c>
      <c r="B19" s="502">
        <f t="shared" si="25"/>
        <v>266</v>
      </c>
      <c r="C19" s="276">
        <f t="shared" si="11"/>
        <v>0</v>
      </c>
      <c r="D19" s="503">
        <f t="shared" si="26"/>
        <v>693931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103</v>
      </c>
      <c r="K19" s="276">
        <f t="shared" si="2"/>
        <v>0</v>
      </c>
      <c r="L19" s="503">
        <f t="shared" si="30"/>
        <v>382691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266</v>
      </c>
      <c r="C20" s="276">
        <f>B20-B19</f>
        <v>0</v>
      </c>
      <c r="D20" s="503">
        <f t="shared" si="26"/>
        <v>693931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103</v>
      </c>
      <c r="K20" s="276">
        <f t="shared" si="2"/>
        <v>0</v>
      </c>
      <c r="L20" s="503">
        <f t="shared" si="30"/>
        <v>382691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266</v>
      </c>
      <c r="C21" s="276">
        <f>B21-B20</f>
        <v>0</v>
      </c>
      <c r="D21" s="503">
        <f t="shared" si="26"/>
        <v>693931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103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266</v>
      </c>
      <c r="C22" s="276">
        <f t="shared" si="11"/>
        <v>0</v>
      </c>
      <c r="D22" s="503">
        <f t="shared" si="26"/>
        <v>693931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103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266</v>
      </c>
      <c r="C23" s="276">
        <f t="shared" si="11"/>
        <v>0</v>
      </c>
      <c r="D23" s="503">
        <f t="shared" si="26"/>
        <v>693931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103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266</v>
      </c>
      <c r="C24" s="276">
        <f t="shared" si="11"/>
        <v>0</v>
      </c>
      <c r="D24" s="503">
        <f t="shared" si="26"/>
        <v>693931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103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266</v>
      </c>
      <c r="C25" s="276">
        <f t="shared" si="11"/>
        <v>0</v>
      </c>
      <c r="D25" s="503">
        <f t="shared" si="26"/>
        <v>693931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103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266</v>
      </c>
      <c r="C26" s="276">
        <f>B26-B25</f>
        <v>0</v>
      </c>
      <c r="D26" s="503">
        <f t="shared" si="26"/>
        <v>693931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103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266</v>
      </c>
      <c r="C27" s="276">
        <f>B27-B26</f>
        <v>0</v>
      </c>
      <c r="D27" s="503">
        <f t="shared" si="26"/>
        <v>693931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103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266</v>
      </c>
      <c r="C28" s="276">
        <f t="shared" si="11"/>
        <v>0</v>
      </c>
      <c r="D28" s="503">
        <f t="shared" si="26"/>
        <v>693931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103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266</v>
      </c>
      <c r="C29" s="276">
        <f t="shared" si="11"/>
        <v>0</v>
      </c>
      <c r="D29" s="503">
        <f t="shared" si="26"/>
        <v>693931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103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266</v>
      </c>
      <c r="C30" s="276">
        <f t="shared" si="11"/>
        <v>0</v>
      </c>
      <c r="D30" s="503">
        <f t="shared" si="26"/>
        <v>693931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103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266</v>
      </c>
      <c r="C31" s="276">
        <f t="shared" ref="C31:C33" si="34">B31-B30</f>
        <v>0</v>
      </c>
      <c r="D31" s="503">
        <f t="shared" si="26"/>
        <v>693931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103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266</v>
      </c>
      <c r="C32" s="276">
        <f t="shared" si="34"/>
        <v>0</v>
      </c>
      <c r="D32" s="503">
        <f t="shared" si="26"/>
        <v>693931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103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266</v>
      </c>
      <c r="C33" s="276">
        <f t="shared" si="34"/>
        <v>0</v>
      </c>
      <c r="D33" s="503">
        <f t="shared" si="26"/>
        <v>693931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103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64</v>
      </c>
      <c r="V34" s="40"/>
      <c r="X34">
        <v>341</v>
      </c>
      <c r="Z34" s="404">
        <f>SUM(Z3:Z33)</f>
        <v>64</v>
      </c>
      <c r="AF34" s="387">
        <f>SUM(AE34/1600)</f>
        <v>0</v>
      </c>
      <c r="AL34">
        <f>SUM(AL3:AL33)</f>
        <v>7</v>
      </c>
    </row>
    <row r="35" spans="1:38">
      <c r="C35" s="40">
        <f>SUM(C3:C33)</f>
        <v>63</v>
      </c>
      <c r="K35" s="40">
        <f>SUM(K3:K33)</f>
        <v>0</v>
      </c>
      <c r="S35" s="40">
        <f>SUM(S3:S33)</f>
        <v>1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2">
        <f>193+10</f>
        <v>203</v>
      </c>
      <c r="T41">
        <v>0</v>
      </c>
    </row>
    <row r="42" spans="1:38" ht="15.75" thickBot="1">
      <c r="D42" s="502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2">
        <f t="shared" ref="D43:D44" si="52">D42</f>
        <v>213</v>
      </c>
      <c r="T43">
        <v>8</v>
      </c>
    </row>
    <row r="44" spans="1:38" ht="15.75" thickBot="1">
      <c r="D44" s="502">
        <f t="shared" si="52"/>
        <v>213</v>
      </c>
      <c r="T44">
        <v>9</v>
      </c>
    </row>
    <row r="45" spans="1:38" ht="15.75" thickBot="1">
      <c r="D45" s="502">
        <f>213+8</f>
        <v>221</v>
      </c>
      <c r="T45">
        <v>10</v>
      </c>
    </row>
    <row r="46" spans="1:38" ht="15.75" thickBot="1">
      <c r="D46" s="502">
        <f>221+9</f>
        <v>230</v>
      </c>
      <c r="T46">
        <v>9</v>
      </c>
    </row>
    <row r="47" spans="1:38" ht="15.75" thickBot="1">
      <c r="D47" s="502">
        <f>230+10</f>
        <v>240</v>
      </c>
      <c r="T47">
        <v>9</v>
      </c>
    </row>
    <row r="48" spans="1:38" ht="15.75" thickBot="1">
      <c r="D48" s="502">
        <f>240+9</f>
        <v>249</v>
      </c>
    </row>
    <row r="49" spans="4:4" ht="15.75" thickBot="1">
      <c r="D49" s="502">
        <f>249+9</f>
        <v>258</v>
      </c>
    </row>
    <row r="50" spans="4:4">
      <c r="D50" s="502">
        <v>266</v>
      </c>
    </row>
  </sheetData>
  <conditionalFormatting sqref="Z3:Z33 C3:C33 S3:S33 K3:K33">
    <cfRule type="cellIs" dxfId="1" priority="11" stopIfTrue="1" operator="equal">
      <formula>0</formula>
    </cfRule>
  </conditionalFormatting>
  <conditionalFormatting sqref="AA3:AB33">
    <cfRule type="cellIs" dxfId="8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85" zoomScaleNormal="85" workbookViewId="0">
      <pane xSplit="1" topLeftCell="AI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-1060.0322580645443</v>
      </c>
      <c r="AT6" s="340"/>
      <c r="AU6" s="548"/>
      <c r="AV6" s="485">
        <f>IF(AT6&gt;0,AU6,AV5)</f>
        <v>1.04</v>
      </c>
      <c r="AW6" s="279">
        <f>-SUM('B5'!AI5)</f>
        <v>-227</v>
      </c>
      <c r="AX6" s="279">
        <f t="shared" ref="AX6:AX33" si="17">-SUM(AW6-AS6)</f>
        <v>-833.03225806454429</v>
      </c>
      <c r="AY6" s="37">
        <f>SUM(AX6+AW6)</f>
        <v>-1060.0322580645443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-69.419354838712025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1.04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1.04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1.04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1.04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1.04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1.04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671.51476793258689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235</v>
      </c>
      <c r="C13" s="203">
        <f t="shared" si="18"/>
        <v>5056.2903225806449</v>
      </c>
      <c r="D13">
        <f t="shared" si="19"/>
        <v>235</v>
      </c>
      <c r="E13" s="203">
        <f t="shared" si="18"/>
        <v>5056.2903225806449</v>
      </c>
      <c r="F13">
        <f t="shared" si="20"/>
        <v>235</v>
      </c>
      <c r="G13" s="203">
        <f t="shared" si="1"/>
        <v>5056.2903225806449</v>
      </c>
      <c r="H13" s="203">
        <f t="shared" si="21"/>
        <v>235</v>
      </c>
      <c r="I13" s="203">
        <f t="shared" si="2"/>
        <v>5056.2903225806449</v>
      </c>
      <c r="J13" s="203">
        <f t="shared" si="22"/>
        <v>235</v>
      </c>
      <c r="K13" s="203">
        <f t="shared" si="3"/>
        <v>5056.2903225806449</v>
      </c>
      <c r="L13" s="203">
        <f t="shared" si="23"/>
        <v>235</v>
      </c>
      <c r="M13" s="203">
        <f t="shared" si="4"/>
        <v>5056.2903225806449</v>
      </c>
      <c r="N13" s="203">
        <f t="shared" si="24"/>
        <v>235</v>
      </c>
      <c r="O13" s="203">
        <f t="shared" si="5"/>
        <v>5056.2903225806449</v>
      </c>
      <c r="P13" s="203">
        <f t="shared" si="25"/>
        <v>235</v>
      </c>
      <c r="Q13" s="203">
        <f t="shared" si="6"/>
        <v>5056.2903225806449</v>
      </c>
      <c r="R13" s="203">
        <f t="shared" si="26"/>
        <v>235</v>
      </c>
      <c r="S13" s="203">
        <f t="shared" si="7"/>
        <v>5056.2903225806449</v>
      </c>
      <c r="T13" s="203">
        <f t="shared" si="27"/>
        <v>235</v>
      </c>
      <c r="U13" s="203">
        <f t="shared" si="8"/>
        <v>5056.2903225806449</v>
      </c>
      <c r="V13" s="203">
        <f t="shared" si="28"/>
        <v>235</v>
      </c>
      <c r="W13" s="203">
        <f t="shared" si="9"/>
        <v>5056.2903225806449</v>
      </c>
      <c r="X13" s="35">
        <f t="shared" si="10"/>
        <v>0.75806451612903214</v>
      </c>
      <c r="Y13" s="36">
        <f t="shared" si="29"/>
        <v>55619.193548387091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5"/>
      <c r="AQ13" s="223">
        <f t="shared" si="40"/>
        <v>0.7827169360910734</v>
      </c>
      <c r="AR13" s="38">
        <f>Y13+AO13</f>
        <v>72769.193548387091</v>
      </c>
      <c r="AS13" s="197">
        <f>SUM(AR13-AR12-AT13)</f>
        <v>-1346.5483870967728</v>
      </c>
      <c r="AT13" s="340">
        <v>5000</v>
      </c>
      <c r="AU13" s="548">
        <v>1.147</v>
      </c>
      <c r="AV13" s="485">
        <f t="shared" si="43"/>
        <v>1.147</v>
      </c>
      <c r="AW13" s="279">
        <f>-SUM('B5'!AI12)</f>
        <v>-146</v>
      </c>
      <c r="AX13" s="279">
        <f t="shared" si="17"/>
        <v>-1200.5483870967728</v>
      </c>
      <c r="AY13" s="37">
        <f t="shared" si="37"/>
        <v>-1346.5483870967728</v>
      </c>
      <c r="AZ13" s="100">
        <f>ELEC!A11</f>
        <v>0</v>
      </c>
      <c r="BA13" s="118">
        <f>'General information '!D12</f>
        <v>25</v>
      </c>
      <c r="BB13" s="378">
        <f>SUM('General information '!E12)</f>
        <v>0.77</v>
      </c>
      <c r="BC13" s="3">
        <f t="shared" si="44"/>
        <v>1</v>
      </c>
      <c r="BD13" s="102">
        <v>19222</v>
      </c>
      <c r="BE13" s="14">
        <f>(305/1185)*ELEC!Q12</f>
        <v>729.94092826986991</v>
      </c>
      <c r="BF13" s="14"/>
      <c r="BG13" s="14" t="e">
        <f>#REF!-BE13</f>
        <v>#REF!</v>
      </c>
      <c r="BH13" s="11"/>
      <c r="BI13">
        <v>5</v>
      </c>
      <c r="BJ13">
        <f t="shared" si="38"/>
        <v>-240.10967741935457</v>
      </c>
      <c r="BK13" s="538">
        <f>GEN!AF10</f>
        <v>0.18118055555558182</v>
      </c>
    </row>
    <row r="14" spans="1:63">
      <c r="A14" s="425">
        <f>ELEC!C12</f>
        <v>44721</v>
      </c>
      <c r="B14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203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39"/>
        <v>16870</v>
      </c>
      <c r="AQ14" s="223">
        <f t="shared" si="40"/>
        <v>0.77970521187896191</v>
      </c>
      <c r="AR14" s="38">
        <f t="shared" si="41"/>
        <v>72489.193548387091</v>
      </c>
      <c r="AS14" s="197">
        <f t="shared" si="42"/>
        <v>-280</v>
      </c>
      <c r="AT14" s="340"/>
      <c r="AU14" s="548"/>
      <c r="AV14" s="485">
        <f t="shared" si="43"/>
        <v>1.147</v>
      </c>
      <c r="AW14" s="279">
        <f>-SUM('B5'!AI13)</f>
        <v>-44</v>
      </c>
      <c r="AX14" s="279">
        <f t="shared" si="17"/>
        <v>-236</v>
      </c>
      <c r="AY14" s="37">
        <f t="shared" si="37"/>
        <v>-280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-78.666666666666671</v>
      </c>
      <c r="BK14" s="538">
        <f>GEN!AF11</f>
        <v>0.25321428571422594</v>
      </c>
    </row>
    <row r="15" spans="1:63" ht="13.5" customHeight="1">
      <c r="A15" s="425">
        <f>ELEC!C13</f>
        <v>44722</v>
      </c>
      <c r="B15">
        <f>'B5'!B14</f>
        <v>235</v>
      </c>
      <c r="C15" s="203">
        <f>B15*$B$4</f>
        <v>5056.2903225806449</v>
      </c>
      <c r="D15">
        <f t="shared" si="19"/>
        <v>235</v>
      </c>
      <c r="E15" s="203">
        <f t="shared" si="18"/>
        <v>5056.2903225806449</v>
      </c>
      <c r="F15">
        <f t="shared" si="20"/>
        <v>235</v>
      </c>
      <c r="G15" s="203">
        <f t="shared" si="1"/>
        <v>5056.2903225806449</v>
      </c>
      <c r="H15" s="203">
        <f t="shared" si="21"/>
        <v>235</v>
      </c>
      <c r="I15" s="203">
        <f t="shared" si="2"/>
        <v>5056.2903225806449</v>
      </c>
      <c r="J15" s="203">
        <f t="shared" si="22"/>
        <v>235</v>
      </c>
      <c r="K15" s="203">
        <f t="shared" si="3"/>
        <v>5056.2903225806449</v>
      </c>
      <c r="L15" s="203">
        <f t="shared" si="23"/>
        <v>235</v>
      </c>
      <c r="M15" s="203">
        <f t="shared" si="4"/>
        <v>5056.2903225806449</v>
      </c>
      <c r="N15" s="203">
        <f t="shared" si="24"/>
        <v>235</v>
      </c>
      <c r="O15" s="203">
        <f t="shared" si="5"/>
        <v>5056.2903225806449</v>
      </c>
      <c r="P15" s="203">
        <f t="shared" si="25"/>
        <v>235</v>
      </c>
      <c r="Q15" s="203">
        <f t="shared" si="6"/>
        <v>5056.2903225806449</v>
      </c>
      <c r="R15" s="203">
        <f t="shared" si="26"/>
        <v>235</v>
      </c>
      <c r="S15" s="203">
        <f t="shared" si="7"/>
        <v>5056.2903225806449</v>
      </c>
      <c r="T15" s="203">
        <f t="shared" si="27"/>
        <v>235</v>
      </c>
      <c r="U15" s="203">
        <f t="shared" si="8"/>
        <v>5056.2903225806449</v>
      </c>
      <c r="V15" s="203">
        <f t="shared" si="28"/>
        <v>235</v>
      </c>
      <c r="W15" s="203">
        <f t="shared" si="9"/>
        <v>5056.2903225806449</v>
      </c>
      <c r="X15" s="35">
        <f t="shared" si="10"/>
        <v>0.75806451612903214</v>
      </c>
      <c r="Y15" s="36">
        <f t="shared" si="29"/>
        <v>55619.193548387091</v>
      </c>
      <c r="Z15" s="203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39"/>
        <v>16870</v>
      </c>
      <c r="AQ15" s="223">
        <f t="shared" si="40"/>
        <v>0.77970521187896191</v>
      </c>
      <c r="AR15" s="38">
        <f>Y15+AO15</f>
        <v>72489.193548387091</v>
      </c>
      <c r="AS15" s="197">
        <f t="shared" si="42"/>
        <v>0</v>
      </c>
      <c r="AT15" s="340"/>
      <c r="AU15" s="548"/>
      <c r="AV15" s="485">
        <f>IF(AT15&gt;0,AU15,AV14)</f>
        <v>1.147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 t="shared" si="41"/>
        <v>72489.193548387091</v>
      </c>
      <c r="AS16" s="197">
        <f t="shared" si="42"/>
        <v>0</v>
      </c>
      <c r="AT16" s="340"/>
      <c r="AU16" s="548"/>
      <c r="AV16" s="485">
        <f t="shared" ref="AV16:AV21" si="45">IF(AT16&gt;0,AU16,AV15)</f>
        <v>1.147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235</v>
      </c>
      <c r="C17" s="203">
        <f t="shared" si="18"/>
        <v>5056.2903225806449</v>
      </c>
      <c r="D17">
        <f t="shared" si="19"/>
        <v>235</v>
      </c>
      <c r="E17" s="203">
        <f t="shared" si="18"/>
        <v>5056.2903225806449</v>
      </c>
      <c r="F17">
        <f t="shared" si="20"/>
        <v>235</v>
      </c>
      <c r="G17" s="203">
        <f t="shared" si="1"/>
        <v>5056.2903225806449</v>
      </c>
      <c r="H17" s="203">
        <f t="shared" si="21"/>
        <v>235</v>
      </c>
      <c r="I17" s="203">
        <f t="shared" si="2"/>
        <v>5056.2903225806449</v>
      </c>
      <c r="J17" s="203">
        <f t="shared" si="22"/>
        <v>235</v>
      </c>
      <c r="K17" s="203">
        <f t="shared" si="3"/>
        <v>5056.2903225806449</v>
      </c>
      <c r="L17" s="203">
        <f t="shared" si="23"/>
        <v>235</v>
      </c>
      <c r="M17" s="203">
        <f t="shared" si="4"/>
        <v>5056.2903225806449</v>
      </c>
      <c r="N17" s="203">
        <f t="shared" si="24"/>
        <v>235</v>
      </c>
      <c r="O17" s="203">
        <f t="shared" si="5"/>
        <v>5056.2903225806449</v>
      </c>
      <c r="P17" s="203">
        <f t="shared" si="25"/>
        <v>235</v>
      </c>
      <c r="Q17" s="203">
        <f t="shared" si="6"/>
        <v>5056.2903225806449</v>
      </c>
      <c r="R17" s="203">
        <f t="shared" si="26"/>
        <v>235</v>
      </c>
      <c r="S17" s="203">
        <f t="shared" si="7"/>
        <v>5056.2903225806449</v>
      </c>
      <c r="T17" s="203">
        <f t="shared" si="27"/>
        <v>235</v>
      </c>
      <c r="U17" s="203">
        <f t="shared" si="8"/>
        <v>5056.2903225806449</v>
      </c>
      <c r="V17" s="203">
        <f t="shared" si="28"/>
        <v>235</v>
      </c>
      <c r="W17" s="203">
        <f t="shared" si="9"/>
        <v>5056.2903225806449</v>
      </c>
      <c r="X17" s="35">
        <f t="shared" si="10"/>
        <v>0.75806451612903214</v>
      </c>
      <c r="Y17" s="36">
        <f t="shared" si="29"/>
        <v>55619.193548387091</v>
      </c>
      <c r="Z17" s="203">
        <f>'B5'!C16</f>
        <v>241</v>
      </c>
      <c r="AA17" s="203">
        <f t="shared" si="30"/>
        <v>2410</v>
      </c>
      <c r="AB17" s="203">
        <f t="shared" si="31"/>
        <v>241</v>
      </c>
      <c r="AC17" s="203">
        <f t="shared" si="30"/>
        <v>2410</v>
      </c>
      <c r="AD17" s="203">
        <f t="shared" si="32"/>
        <v>241</v>
      </c>
      <c r="AE17" s="203">
        <f t="shared" si="11"/>
        <v>2410</v>
      </c>
      <c r="AF17" s="203">
        <f t="shared" si="33"/>
        <v>241</v>
      </c>
      <c r="AG17" s="203">
        <f t="shared" si="12"/>
        <v>2410</v>
      </c>
      <c r="AH17" s="203">
        <f t="shared" si="34"/>
        <v>241</v>
      </c>
      <c r="AI17" s="203">
        <f t="shared" si="13"/>
        <v>2410</v>
      </c>
      <c r="AJ17" s="203">
        <f t="shared" si="35"/>
        <v>241</v>
      </c>
      <c r="AK17" s="203">
        <f t="shared" si="14"/>
        <v>2410</v>
      </c>
      <c r="AL17" s="203">
        <f t="shared" si="36"/>
        <v>241</v>
      </c>
      <c r="AM17" s="203">
        <f t="shared" si="15"/>
        <v>2410</v>
      </c>
      <c r="AN17" s="35">
        <f t="shared" si="16"/>
        <v>0.86071428571428577</v>
      </c>
      <c r="AO17" s="36">
        <f>SUM(AA17+AC17+AE17+AG17+AI17+AK17+AM17)</f>
        <v>16870</v>
      </c>
      <c r="AQ17" s="223">
        <f t="shared" si="40"/>
        <v>0.77970521187896191</v>
      </c>
      <c r="AR17" s="38">
        <f t="shared" si="41"/>
        <v>72489.193548387091</v>
      </c>
      <c r="AS17" s="197">
        <f t="shared" si="42"/>
        <v>0</v>
      </c>
      <c r="AU17" s="3"/>
      <c r="AV17" s="485">
        <f t="shared" si="45"/>
        <v>1.147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44725</v>
      </c>
      <c r="B18">
        <f>'B5'!B17</f>
        <v>235</v>
      </c>
      <c r="C18" s="203">
        <f t="shared" si="18"/>
        <v>5056.2903225806449</v>
      </c>
      <c r="D18">
        <f t="shared" si="19"/>
        <v>235</v>
      </c>
      <c r="E18" s="203">
        <f t="shared" si="18"/>
        <v>5056.2903225806449</v>
      </c>
      <c r="F18">
        <f t="shared" si="20"/>
        <v>235</v>
      </c>
      <c r="G18" s="203">
        <f t="shared" si="1"/>
        <v>5056.2903225806449</v>
      </c>
      <c r="H18" s="203">
        <f t="shared" si="21"/>
        <v>235</v>
      </c>
      <c r="I18" s="203">
        <f t="shared" si="2"/>
        <v>5056.2903225806449</v>
      </c>
      <c r="J18" s="203">
        <f t="shared" si="22"/>
        <v>235</v>
      </c>
      <c r="K18" s="203">
        <f t="shared" si="3"/>
        <v>5056.2903225806449</v>
      </c>
      <c r="L18" s="203">
        <f t="shared" si="23"/>
        <v>235</v>
      </c>
      <c r="M18" s="203">
        <f t="shared" si="4"/>
        <v>5056.2903225806449</v>
      </c>
      <c r="N18" s="203">
        <f t="shared" si="24"/>
        <v>235</v>
      </c>
      <c r="O18" s="203">
        <f t="shared" si="5"/>
        <v>5056.2903225806449</v>
      </c>
      <c r="P18" s="203">
        <f t="shared" si="25"/>
        <v>235</v>
      </c>
      <c r="Q18" s="203">
        <f t="shared" si="6"/>
        <v>5056.2903225806449</v>
      </c>
      <c r="R18" s="203">
        <f t="shared" si="26"/>
        <v>235</v>
      </c>
      <c r="S18" s="203">
        <f t="shared" si="7"/>
        <v>5056.2903225806449</v>
      </c>
      <c r="T18" s="203">
        <f t="shared" si="27"/>
        <v>235</v>
      </c>
      <c r="U18" s="203">
        <f t="shared" si="8"/>
        <v>5056.2903225806449</v>
      </c>
      <c r="V18" s="203">
        <f t="shared" si="28"/>
        <v>235</v>
      </c>
      <c r="W18" s="203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3">
        <f>'B5'!C17</f>
        <v>241</v>
      </c>
      <c r="AA18" s="203">
        <f t="shared" si="30"/>
        <v>2410</v>
      </c>
      <c r="AB18" s="203">
        <f t="shared" si="31"/>
        <v>241</v>
      </c>
      <c r="AC18" s="203">
        <f t="shared" si="30"/>
        <v>2410</v>
      </c>
      <c r="AD18" s="203">
        <f t="shared" si="32"/>
        <v>241</v>
      </c>
      <c r="AE18" s="203">
        <f t="shared" si="11"/>
        <v>2410</v>
      </c>
      <c r="AF18" s="203">
        <f t="shared" si="33"/>
        <v>241</v>
      </c>
      <c r="AG18" s="203">
        <f t="shared" si="12"/>
        <v>2410</v>
      </c>
      <c r="AH18" s="203">
        <f t="shared" si="34"/>
        <v>241</v>
      </c>
      <c r="AI18" s="203">
        <f t="shared" si="13"/>
        <v>2410</v>
      </c>
      <c r="AJ18" s="203">
        <f t="shared" si="35"/>
        <v>241</v>
      </c>
      <c r="AK18" s="203">
        <f t="shared" si="14"/>
        <v>2410</v>
      </c>
      <c r="AL18" s="203">
        <f t="shared" si="36"/>
        <v>241</v>
      </c>
      <c r="AM18" s="203">
        <f t="shared" si="15"/>
        <v>2410</v>
      </c>
      <c r="AN18" s="35">
        <f t="shared" si="16"/>
        <v>0.86071428571428577</v>
      </c>
      <c r="AO18" s="36">
        <f t="shared" si="39"/>
        <v>16870</v>
      </c>
      <c r="AQ18" s="223">
        <f t="shared" si="40"/>
        <v>0.77970521187896191</v>
      </c>
      <c r="AR18" s="38">
        <f t="shared" si="41"/>
        <v>72489.193548387091</v>
      </c>
      <c r="AS18" s="197">
        <f>SUM(AR18-AR17-AT18)</f>
        <v>0</v>
      </c>
      <c r="AT18" s="340"/>
      <c r="AU18" s="548"/>
      <c r="AV18" s="485">
        <f t="shared" si="45"/>
        <v>1.147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44726</v>
      </c>
      <c r="B19">
        <f>'B5'!B18</f>
        <v>235</v>
      </c>
      <c r="C19" s="203">
        <f t="shared" si="18"/>
        <v>5056.2903225806449</v>
      </c>
      <c r="D19">
        <f t="shared" si="19"/>
        <v>235</v>
      </c>
      <c r="E19" s="203">
        <f t="shared" si="18"/>
        <v>5056.2903225806449</v>
      </c>
      <c r="F19">
        <f t="shared" si="20"/>
        <v>235</v>
      </c>
      <c r="G19" s="203">
        <f t="shared" si="1"/>
        <v>5056.2903225806449</v>
      </c>
      <c r="H19" s="203">
        <f t="shared" si="21"/>
        <v>235</v>
      </c>
      <c r="I19" s="203">
        <f t="shared" si="2"/>
        <v>5056.2903225806449</v>
      </c>
      <c r="J19" s="203">
        <f t="shared" si="22"/>
        <v>235</v>
      </c>
      <c r="K19" s="203">
        <f t="shared" si="3"/>
        <v>5056.2903225806449</v>
      </c>
      <c r="L19" s="203">
        <f t="shared" si="23"/>
        <v>235</v>
      </c>
      <c r="M19" s="203">
        <f t="shared" si="4"/>
        <v>5056.2903225806449</v>
      </c>
      <c r="N19" s="203">
        <f t="shared" si="24"/>
        <v>235</v>
      </c>
      <c r="O19" s="203">
        <f t="shared" si="5"/>
        <v>5056.2903225806449</v>
      </c>
      <c r="P19" s="203">
        <f t="shared" si="25"/>
        <v>235</v>
      </c>
      <c r="Q19" s="203">
        <f t="shared" si="6"/>
        <v>5056.2903225806449</v>
      </c>
      <c r="R19" s="203">
        <f t="shared" si="26"/>
        <v>235</v>
      </c>
      <c r="S19" s="203">
        <f t="shared" si="7"/>
        <v>5056.2903225806449</v>
      </c>
      <c r="T19" s="203">
        <f t="shared" si="27"/>
        <v>235</v>
      </c>
      <c r="U19" s="203">
        <f t="shared" si="8"/>
        <v>5056.2903225806449</v>
      </c>
      <c r="V19" s="203">
        <f t="shared" si="28"/>
        <v>235</v>
      </c>
      <c r="W19" s="203">
        <f t="shared" si="9"/>
        <v>5056.2903225806449</v>
      </c>
      <c r="X19" s="35">
        <f t="shared" si="10"/>
        <v>0.75806451612903214</v>
      </c>
      <c r="Y19" s="36">
        <f t="shared" si="29"/>
        <v>55619.193548387091</v>
      </c>
      <c r="Z19" s="203">
        <f>'B5'!C18</f>
        <v>241</v>
      </c>
      <c r="AA19" s="203">
        <f t="shared" si="30"/>
        <v>2410</v>
      </c>
      <c r="AB19" s="203">
        <f t="shared" si="31"/>
        <v>241</v>
      </c>
      <c r="AC19" s="203">
        <f t="shared" si="30"/>
        <v>2410</v>
      </c>
      <c r="AD19" s="203">
        <f t="shared" si="32"/>
        <v>241</v>
      </c>
      <c r="AE19" s="203">
        <f t="shared" si="11"/>
        <v>2410</v>
      </c>
      <c r="AF19" s="203">
        <f t="shared" si="33"/>
        <v>241</v>
      </c>
      <c r="AG19" s="203">
        <f t="shared" si="12"/>
        <v>2410</v>
      </c>
      <c r="AH19" s="203">
        <f t="shared" si="34"/>
        <v>241</v>
      </c>
      <c r="AI19" s="203">
        <f t="shared" si="13"/>
        <v>2410</v>
      </c>
      <c r="AJ19" s="203">
        <f t="shared" si="35"/>
        <v>241</v>
      </c>
      <c r="AK19" s="203">
        <f t="shared" si="14"/>
        <v>2410</v>
      </c>
      <c r="AL19" s="203">
        <f t="shared" si="36"/>
        <v>241</v>
      </c>
      <c r="AM19" s="203">
        <f t="shared" si="15"/>
        <v>2410</v>
      </c>
      <c r="AN19" s="35">
        <f t="shared" si="16"/>
        <v>0.86071428571428577</v>
      </c>
      <c r="AO19" s="36">
        <f t="shared" si="39"/>
        <v>16870</v>
      </c>
      <c r="AQ19" s="223">
        <f t="shared" si="40"/>
        <v>0.77970521187896191</v>
      </c>
      <c r="AR19" s="38">
        <f t="shared" si="41"/>
        <v>72489.193548387091</v>
      </c>
      <c r="AS19" s="197">
        <f t="shared" ref="AS19:AS32" si="47">SUM(AR19-AR18-AT19)</f>
        <v>0</v>
      </c>
      <c r="AT19" s="340"/>
      <c r="AU19" s="548"/>
      <c r="AV19" s="485">
        <f t="shared" si="45"/>
        <v>1.147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44727</v>
      </c>
      <c r="B20">
        <f>'B5'!B19</f>
        <v>235</v>
      </c>
      <c r="C20" s="203">
        <f t="shared" si="18"/>
        <v>5056.2903225806449</v>
      </c>
      <c r="D20">
        <f t="shared" si="19"/>
        <v>235</v>
      </c>
      <c r="E20" s="203">
        <f t="shared" si="18"/>
        <v>5056.2903225806449</v>
      </c>
      <c r="F20">
        <f t="shared" si="20"/>
        <v>235</v>
      </c>
      <c r="G20" s="203">
        <f t="shared" si="1"/>
        <v>5056.2903225806449</v>
      </c>
      <c r="H20" s="203">
        <f t="shared" si="21"/>
        <v>235</v>
      </c>
      <c r="I20" s="203">
        <f t="shared" si="2"/>
        <v>5056.2903225806449</v>
      </c>
      <c r="J20" s="203">
        <f t="shared" si="22"/>
        <v>235</v>
      </c>
      <c r="K20" s="203">
        <f t="shared" si="3"/>
        <v>5056.2903225806449</v>
      </c>
      <c r="L20" s="203">
        <f t="shared" si="23"/>
        <v>235</v>
      </c>
      <c r="M20" s="203">
        <f t="shared" si="4"/>
        <v>5056.2903225806449</v>
      </c>
      <c r="N20" s="203">
        <f t="shared" si="24"/>
        <v>235</v>
      </c>
      <c r="O20" s="203">
        <f t="shared" si="5"/>
        <v>5056.2903225806449</v>
      </c>
      <c r="P20" s="203">
        <f t="shared" si="25"/>
        <v>235</v>
      </c>
      <c r="Q20" s="203">
        <f t="shared" si="6"/>
        <v>5056.2903225806449</v>
      </c>
      <c r="R20" s="203">
        <f t="shared" si="26"/>
        <v>235</v>
      </c>
      <c r="S20" s="203">
        <f t="shared" si="7"/>
        <v>5056.2903225806449</v>
      </c>
      <c r="T20" s="203">
        <f t="shared" si="27"/>
        <v>235</v>
      </c>
      <c r="U20" s="203">
        <f t="shared" si="8"/>
        <v>5056.2903225806449</v>
      </c>
      <c r="V20" s="203">
        <f t="shared" si="28"/>
        <v>235</v>
      </c>
      <c r="W20" s="203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3">
        <f>'B5'!C19</f>
        <v>241</v>
      </c>
      <c r="AA20" s="203">
        <f t="shared" si="30"/>
        <v>2410</v>
      </c>
      <c r="AB20" s="203">
        <f t="shared" si="31"/>
        <v>241</v>
      </c>
      <c r="AC20" s="203">
        <f t="shared" si="30"/>
        <v>2410</v>
      </c>
      <c r="AD20" s="203">
        <f t="shared" si="32"/>
        <v>241</v>
      </c>
      <c r="AE20" s="203">
        <f t="shared" si="11"/>
        <v>2410</v>
      </c>
      <c r="AF20" s="203">
        <f t="shared" si="33"/>
        <v>241</v>
      </c>
      <c r="AG20" s="203">
        <f t="shared" si="12"/>
        <v>2410</v>
      </c>
      <c r="AH20" s="203">
        <f t="shared" si="34"/>
        <v>241</v>
      </c>
      <c r="AI20" s="203">
        <f t="shared" si="13"/>
        <v>2410</v>
      </c>
      <c r="AJ20" s="203">
        <f t="shared" si="35"/>
        <v>241</v>
      </c>
      <c r="AK20" s="203">
        <f t="shared" si="14"/>
        <v>2410</v>
      </c>
      <c r="AL20" s="203">
        <f t="shared" si="36"/>
        <v>241</v>
      </c>
      <c r="AM20" s="203">
        <f t="shared" si="15"/>
        <v>2410</v>
      </c>
      <c r="AN20" s="35">
        <f t="shared" si="16"/>
        <v>0.86071428571428577</v>
      </c>
      <c r="AO20" s="36">
        <f t="shared" si="39"/>
        <v>16870</v>
      </c>
      <c r="AQ20" s="223">
        <f t="shared" si="40"/>
        <v>0.77970521187896191</v>
      </c>
      <c r="AR20" s="38">
        <f t="shared" si="41"/>
        <v>72489.193548387091</v>
      </c>
      <c r="AS20" s="197">
        <f>SUM(AR20-AR19-AT20)</f>
        <v>0</v>
      </c>
      <c r="AT20" s="340"/>
      <c r="AU20" s="548"/>
      <c r="AV20" s="485">
        <f t="shared" si="45"/>
        <v>1.147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44728</v>
      </c>
      <c r="B21">
        <f>'B5'!B20</f>
        <v>235</v>
      </c>
      <c r="C21" s="203">
        <f t="shared" si="18"/>
        <v>5056.2903225806449</v>
      </c>
      <c r="D21">
        <f t="shared" si="19"/>
        <v>235</v>
      </c>
      <c r="E21" s="203">
        <f t="shared" si="18"/>
        <v>5056.2903225806449</v>
      </c>
      <c r="F21">
        <f t="shared" si="20"/>
        <v>235</v>
      </c>
      <c r="G21" s="203">
        <f t="shared" si="1"/>
        <v>5056.2903225806449</v>
      </c>
      <c r="H21" s="203">
        <f t="shared" si="21"/>
        <v>235</v>
      </c>
      <c r="I21" s="203">
        <f t="shared" si="2"/>
        <v>5056.2903225806449</v>
      </c>
      <c r="J21" s="203">
        <f t="shared" si="22"/>
        <v>235</v>
      </c>
      <c r="K21" s="203">
        <f t="shared" si="3"/>
        <v>5056.2903225806449</v>
      </c>
      <c r="L21" s="203">
        <f t="shared" si="23"/>
        <v>235</v>
      </c>
      <c r="M21" s="203">
        <f t="shared" si="4"/>
        <v>5056.2903225806449</v>
      </c>
      <c r="N21" s="203">
        <f t="shared" si="24"/>
        <v>235</v>
      </c>
      <c r="O21" s="203">
        <f t="shared" si="5"/>
        <v>5056.2903225806449</v>
      </c>
      <c r="P21" s="203">
        <f t="shared" si="25"/>
        <v>235</v>
      </c>
      <c r="Q21" s="203">
        <f t="shared" si="6"/>
        <v>5056.2903225806449</v>
      </c>
      <c r="R21" s="203">
        <f t="shared" si="26"/>
        <v>235</v>
      </c>
      <c r="S21" s="203">
        <f t="shared" si="7"/>
        <v>5056.2903225806449</v>
      </c>
      <c r="T21" s="203">
        <f t="shared" si="27"/>
        <v>235</v>
      </c>
      <c r="U21" s="203">
        <f t="shared" si="8"/>
        <v>5056.2903225806449</v>
      </c>
      <c r="V21" s="203">
        <f t="shared" si="28"/>
        <v>235</v>
      </c>
      <c r="W21" s="203">
        <f t="shared" si="9"/>
        <v>5056.2903225806449</v>
      </c>
      <c r="X21" s="35">
        <f t="shared" si="10"/>
        <v>0.75806451612903214</v>
      </c>
      <c r="Y21" s="36">
        <f t="shared" si="29"/>
        <v>55619.193548387091</v>
      </c>
      <c r="Z21" s="203">
        <f>'B5'!C20</f>
        <v>241</v>
      </c>
      <c r="AA21" s="203">
        <f t="shared" si="30"/>
        <v>2410</v>
      </c>
      <c r="AB21" s="203">
        <f t="shared" si="31"/>
        <v>241</v>
      </c>
      <c r="AC21" s="203">
        <f t="shared" si="30"/>
        <v>2410</v>
      </c>
      <c r="AD21" s="203">
        <f t="shared" si="32"/>
        <v>241</v>
      </c>
      <c r="AE21" s="203">
        <f t="shared" si="11"/>
        <v>2410</v>
      </c>
      <c r="AF21" s="203">
        <f t="shared" si="33"/>
        <v>241</v>
      </c>
      <c r="AG21" s="203">
        <f t="shared" si="12"/>
        <v>2410</v>
      </c>
      <c r="AH21" s="203">
        <f t="shared" si="34"/>
        <v>241</v>
      </c>
      <c r="AI21" s="203">
        <f t="shared" si="13"/>
        <v>2410</v>
      </c>
      <c r="AJ21" s="203">
        <f t="shared" si="35"/>
        <v>241</v>
      </c>
      <c r="AK21" s="203">
        <f t="shared" si="14"/>
        <v>2410</v>
      </c>
      <c r="AL21" s="203">
        <f t="shared" si="36"/>
        <v>241</v>
      </c>
      <c r="AM21" s="203">
        <f t="shared" si="15"/>
        <v>2410</v>
      </c>
      <c r="AN21" s="35">
        <f t="shared" si="16"/>
        <v>0.86071428571428577</v>
      </c>
      <c r="AO21" s="36">
        <f t="shared" si="39"/>
        <v>16870</v>
      </c>
      <c r="AQ21" s="223">
        <f t="shared" si="40"/>
        <v>0.77970521187896191</v>
      </c>
      <c r="AR21" s="38">
        <f t="shared" si="41"/>
        <v>72489.193548387091</v>
      </c>
      <c r="AS21" s="197">
        <f>SUM(AR21-AR20-AT21)</f>
        <v>0</v>
      </c>
      <c r="AT21" s="340"/>
      <c r="AU21" s="548"/>
      <c r="AV21" s="485">
        <f t="shared" si="45"/>
        <v>1.147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44729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241</v>
      </c>
      <c r="AA22" s="203">
        <f t="shared" si="30"/>
        <v>2410</v>
      </c>
      <c r="AB22" s="203">
        <f t="shared" si="31"/>
        <v>241</v>
      </c>
      <c r="AC22" s="203">
        <f t="shared" si="30"/>
        <v>2410</v>
      </c>
      <c r="AD22" s="203">
        <f t="shared" si="32"/>
        <v>241</v>
      </c>
      <c r="AE22" s="203">
        <f t="shared" si="11"/>
        <v>2410</v>
      </c>
      <c r="AF22" s="203">
        <f t="shared" si="33"/>
        <v>241</v>
      </c>
      <c r="AG22" s="203">
        <f t="shared" si="12"/>
        <v>2410</v>
      </c>
      <c r="AH22" s="203">
        <f t="shared" si="34"/>
        <v>241</v>
      </c>
      <c r="AI22" s="203">
        <f t="shared" si="13"/>
        <v>2410</v>
      </c>
      <c r="AJ22" s="203">
        <f t="shared" si="35"/>
        <v>241</v>
      </c>
      <c r="AK22" s="203">
        <f t="shared" si="14"/>
        <v>2410</v>
      </c>
      <c r="AL22" s="203">
        <f t="shared" si="36"/>
        <v>241</v>
      </c>
      <c r="AM22" s="203">
        <f t="shared" si="15"/>
        <v>2410</v>
      </c>
      <c r="AN22" s="35">
        <f t="shared" si="16"/>
        <v>0.86071428571428577</v>
      </c>
      <c r="AO22" s="36">
        <f t="shared" si="39"/>
        <v>16870</v>
      </c>
      <c r="AQ22" s="223">
        <f t="shared" si="40"/>
        <v>0.77970521187896191</v>
      </c>
      <c r="AR22" s="38">
        <f t="shared" si="41"/>
        <v>72489.193548387091</v>
      </c>
      <c r="AS22" s="197">
        <f t="shared" si="47"/>
        <v>0</v>
      </c>
      <c r="AT22" s="340"/>
      <c r="AU22" s="548"/>
      <c r="AV22" s="485">
        <f t="shared" si="43"/>
        <v>1.147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39"/>
        <v>16870</v>
      </c>
      <c r="AQ23" s="223">
        <f t="shared" si="40"/>
        <v>0.77970521187896191</v>
      </c>
      <c r="AR23" s="38">
        <f t="shared" si="41"/>
        <v>72489.193548387091</v>
      </c>
      <c r="AS23" s="197">
        <f t="shared" si="47"/>
        <v>0</v>
      </c>
      <c r="AT23" s="340"/>
      <c r="AU23" s="548"/>
      <c r="AV23" s="485">
        <f t="shared" si="43"/>
        <v>1.147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241</v>
      </c>
      <c r="AA24" s="203">
        <f t="shared" si="30"/>
        <v>2410</v>
      </c>
      <c r="AB24" s="203">
        <f t="shared" si="31"/>
        <v>241</v>
      </c>
      <c r="AC24" s="203">
        <f t="shared" si="30"/>
        <v>2410</v>
      </c>
      <c r="AD24" s="203">
        <f t="shared" si="32"/>
        <v>241</v>
      </c>
      <c r="AE24" s="203">
        <f t="shared" si="11"/>
        <v>2410</v>
      </c>
      <c r="AF24" s="203">
        <f t="shared" si="33"/>
        <v>241</v>
      </c>
      <c r="AG24" s="203">
        <f t="shared" si="12"/>
        <v>2410</v>
      </c>
      <c r="AH24" s="203">
        <f t="shared" si="34"/>
        <v>241</v>
      </c>
      <c r="AI24" s="203">
        <f t="shared" si="13"/>
        <v>2410</v>
      </c>
      <c r="AJ24" s="203">
        <f t="shared" si="35"/>
        <v>241</v>
      </c>
      <c r="AK24" s="203">
        <f t="shared" si="14"/>
        <v>2410</v>
      </c>
      <c r="AL24" s="203">
        <f t="shared" si="36"/>
        <v>241</v>
      </c>
      <c r="AM24" s="203">
        <f t="shared" si="15"/>
        <v>2410</v>
      </c>
      <c r="AN24" s="35">
        <f t="shared" si="16"/>
        <v>0.86071428571428577</v>
      </c>
      <c r="AO24" s="36">
        <f t="shared" si="39"/>
        <v>16870</v>
      </c>
      <c r="AQ24" s="223">
        <f t="shared" si="40"/>
        <v>0.77970521187896191</v>
      </c>
      <c r="AR24" s="38">
        <f t="shared" si="41"/>
        <v>72489.193548387091</v>
      </c>
      <c r="AS24" s="197">
        <f t="shared" si="47"/>
        <v>0</v>
      </c>
      <c r="AT24" s="340"/>
      <c r="AU24" s="548"/>
      <c r="AV24" s="485">
        <f t="shared" si="43"/>
        <v>1.147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235</v>
      </c>
      <c r="C25" s="203">
        <f t="shared" si="18"/>
        <v>5056.2903225806449</v>
      </c>
      <c r="D25">
        <f t="shared" si="19"/>
        <v>235</v>
      </c>
      <c r="E25" s="203">
        <f t="shared" si="18"/>
        <v>5056.2903225806449</v>
      </c>
      <c r="F25">
        <f t="shared" si="20"/>
        <v>235</v>
      </c>
      <c r="G25" s="203">
        <f t="shared" si="1"/>
        <v>5056.2903225806449</v>
      </c>
      <c r="H25" s="203">
        <f t="shared" si="21"/>
        <v>235</v>
      </c>
      <c r="I25" s="203">
        <f t="shared" si="2"/>
        <v>5056.2903225806449</v>
      </c>
      <c r="J25" s="203">
        <f t="shared" si="22"/>
        <v>235</v>
      </c>
      <c r="K25" s="203">
        <f t="shared" si="3"/>
        <v>5056.2903225806449</v>
      </c>
      <c r="L25" s="203">
        <f t="shared" si="23"/>
        <v>235</v>
      </c>
      <c r="M25" s="203">
        <f t="shared" si="4"/>
        <v>5056.2903225806449</v>
      </c>
      <c r="N25" s="203">
        <f t="shared" si="24"/>
        <v>235</v>
      </c>
      <c r="O25" s="203">
        <f t="shared" si="5"/>
        <v>5056.2903225806449</v>
      </c>
      <c r="P25" s="203">
        <f t="shared" si="25"/>
        <v>235</v>
      </c>
      <c r="Q25" s="203">
        <f t="shared" si="6"/>
        <v>5056.2903225806449</v>
      </c>
      <c r="R25" s="203">
        <f t="shared" si="26"/>
        <v>235</v>
      </c>
      <c r="S25" s="203">
        <f t="shared" si="7"/>
        <v>5056.2903225806449</v>
      </c>
      <c r="T25" s="203">
        <f t="shared" si="27"/>
        <v>235</v>
      </c>
      <c r="U25" s="203">
        <f t="shared" si="8"/>
        <v>5056.2903225806449</v>
      </c>
      <c r="V25" s="203">
        <f t="shared" si="28"/>
        <v>235</v>
      </c>
      <c r="W25" s="203">
        <f t="shared" si="9"/>
        <v>5056.2903225806449</v>
      </c>
      <c r="X25" s="35">
        <f t="shared" si="10"/>
        <v>0.75806451612903214</v>
      </c>
      <c r="Y25" s="36">
        <f t="shared" si="29"/>
        <v>55619.193548387091</v>
      </c>
      <c r="Z25" s="203">
        <f>'B5'!C24</f>
        <v>241</v>
      </c>
      <c r="AA25" s="203">
        <f t="shared" si="30"/>
        <v>2410</v>
      </c>
      <c r="AB25" s="203">
        <f t="shared" si="31"/>
        <v>241</v>
      </c>
      <c r="AC25" s="203">
        <f t="shared" si="30"/>
        <v>2410</v>
      </c>
      <c r="AD25" s="203">
        <f t="shared" si="32"/>
        <v>241</v>
      </c>
      <c r="AE25" s="203">
        <f t="shared" si="11"/>
        <v>2410</v>
      </c>
      <c r="AF25" s="203">
        <f t="shared" si="33"/>
        <v>241</v>
      </c>
      <c r="AG25" s="203">
        <f t="shared" si="12"/>
        <v>2410</v>
      </c>
      <c r="AH25" s="203">
        <f t="shared" si="34"/>
        <v>241</v>
      </c>
      <c r="AI25" s="203">
        <f t="shared" si="13"/>
        <v>2410</v>
      </c>
      <c r="AJ25" s="203">
        <f t="shared" si="35"/>
        <v>241</v>
      </c>
      <c r="AK25" s="203">
        <f t="shared" si="14"/>
        <v>2410</v>
      </c>
      <c r="AL25" s="203">
        <f t="shared" si="36"/>
        <v>241</v>
      </c>
      <c r="AM25" s="203">
        <f t="shared" si="15"/>
        <v>2410</v>
      </c>
      <c r="AN25" s="35">
        <f t="shared" si="16"/>
        <v>0.86071428571428577</v>
      </c>
      <c r="AO25" s="36">
        <f t="shared" si="39"/>
        <v>16870</v>
      </c>
      <c r="AQ25" s="223">
        <f t="shared" si="40"/>
        <v>0.77970521187896191</v>
      </c>
      <c r="AR25" s="38">
        <f>Y25+AO25</f>
        <v>72489.193548387091</v>
      </c>
      <c r="AS25" s="197">
        <f t="shared" si="47"/>
        <v>0</v>
      </c>
      <c r="AT25" s="340"/>
      <c r="AU25" s="549"/>
      <c r="AV25" s="485">
        <f t="shared" si="43"/>
        <v>1.147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235</v>
      </c>
      <c r="C26" s="203">
        <f t="shared" si="18"/>
        <v>5056.2903225806449</v>
      </c>
      <c r="D26">
        <f t="shared" si="19"/>
        <v>235</v>
      </c>
      <c r="E26" s="203">
        <f t="shared" si="18"/>
        <v>5056.2903225806449</v>
      </c>
      <c r="F26">
        <f t="shared" si="20"/>
        <v>235</v>
      </c>
      <c r="G26" s="203">
        <f t="shared" si="1"/>
        <v>5056.2903225806449</v>
      </c>
      <c r="H26" s="203">
        <f t="shared" si="21"/>
        <v>235</v>
      </c>
      <c r="I26" s="203">
        <f t="shared" si="2"/>
        <v>5056.2903225806449</v>
      </c>
      <c r="J26" s="203">
        <f t="shared" si="22"/>
        <v>235</v>
      </c>
      <c r="K26" s="203">
        <f t="shared" si="3"/>
        <v>5056.2903225806449</v>
      </c>
      <c r="L26" s="203">
        <f t="shared" si="23"/>
        <v>235</v>
      </c>
      <c r="M26" s="203">
        <f t="shared" si="4"/>
        <v>5056.2903225806449</v>
      </c>
      <c r="N26" s="203">
        <f t="shared" si="24"/>
        <v>235</v>
      </c>
      <c r="O26" s="203">
        <f t="shared" si="5"/>
        <v>5056.2903225806449</v>
      </c>
      <c r="P26" s="203">
        <f t="shared" si="25"/>
        <v>235</v>
      </c>
      <c r="Q26" s="203">
        <f t="shared" si="6"/>
        <v>5056.2903225806449</v>
      </c>
      <c r="R26" s="203">
        <f t="shared" si="26"/>
        <v>235</v>
      </c>
      <c r="S26" s="203">
        <f t="shared" si="7"/>
        <v>5056.2903225806449</v>
      </c>
      <c r="T26" s="203">
        <f t="shared" si="27"/>
        <v>235</v>
      </c>
      <c r="U26" s="203">
        <f t="shared" si="8"/>
        <v>5056.2903225806449</v>
      </c>
      <c r="V26" s="203">
        <f t="shared" si="28"/>
        <v>235</v>
      </c>
      <c r="W26" s="203">
        <f t="shared" si="9"/>
        <v>5056.2903225806449</v>
      </c>
      <c r="X26" s="35">
        <f t="shared" si="10"/>
        <v>0.75806451612903214</v>
      </c>
      <c r="Y26" s="36">
        <f t="shared" si="29"/>
        <v>55619.193548387091</v>
      </c>
      <c r="Z26" s="203">
        <f>'B5'!C25</f>
        <v>241</v>
      </c>
      <c r="AA26" s="203">
        <f t="shared" si="30"/>
        <v>2410</v>
      </c>
      <c r="AB26" s="203">
        <f t="shared" si="31"/>
        <v>241</v>
      </c>
      <c r="AC26" s="203">
        <f t="shared" si="30"/>
        <v>2410</v>
      </c>
      <c r="AD26" s="203">
        <f t="shared" si="32"/>
        <v>241</v>
      </c>
      <c r="AE26" s="203">
        <f t="shared" si="11"/>
        <v>2410</v>
      </c>
      <c r="AF26" s="203">
        <f t="shared" si="33"/>
        <v>241</v>
      </c>
      <c r="AG26" s="203">
        <f t="shared" si="12"/>
        <v>2410</v>
      </c>
      <c r="AH26" s="203">
        <f t="shared" si="34"/>
        <v>241</v>
      </c>
      <c r="AI26" s="203">
        <f t="shared" si="13"/>
        <v>2410</v>
      </c>
      <c r="AJ26" s="203">
        <f t="shared" si="35"/>
        <v>241</v>
      </c>
      <c r="AK26" s="203">
        <f t="shared" si="14"/>
        <v>2410</v>
      </c>
      <c r="AL26" s="203">
        <f t="shared" si="36"/>
        <v>241</v>
      </c>
      <c r="AM26" s="203">
        <f t="shared" si="15"/>
        <v>2410</v>
      </c>
      <c r="AN26" s="35">
        <f t="shared" si="16"/>
        <v>0.86071428571428577</v>
      </c>
      <c r="AO26" s="36">
        <f t="shared" si="39"/>
        <v>16870</v>
      </c>
      <c r="AQ26" s="223">
        <f t="shared" si="40"/>
        <v>0.77970521187896191</v>
      </c>
      <c r="AR26" s="38">
        <f>Y26+AO26</f>
        <v>72489.193548387091</v>
      </c>
      <c r="AS26" s="197">
        <f t="shared" si="47"/>
        <v>0</v>
      </c>
      <c r="AT26" s="340"/>
      <c r="AU26" s="548"/>
      <c r="AV26" s="485">
        <f t="shared" si="43"/>
        <v>1.147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235</v>
      </c>
      <c r="C27" s="203">
        <f t="shared" si="18"/>
        <v>5056.2903225806449</v>
      </c>
      <c r="D27">
        <f t="shared" si="19"/>
        <v>235</v>
      </c>
      <c r="E27" s="203">
        <f t="shared" si="18"/>
        <v>5056.2903225806449</v>
      </c>
      <c r="F27">
        <f t="shared" si="20"/>
        <v>235</v>
      </c>
      <c r="G27" s="203">
        <f t="shared" si="1"/>
        <v>5056.2903225806449</v>
      </c>
      <c r="H27" s="203">
        <f t="shared" si="21"/>
        <v>235</v>
      </c>
      <c r="I27" s="203">
        <f t="shared" si="2"/>
        <v>5056.2903225806449</v>
      </c>
      <c r="J27" s="203">
        <f t="shared" si="22"/>
        <v>235</v>
      </c>
      <c r="K27" s="203">
        <f t="shared" si="3"/>
        <v>5056.2903225806449</v>
      </c>
      <c r="L27" s="203">
        <f t="shared" si="23"/>
        <v>235</v>
      </c>
      <c r="M27" s="203">
        <f t="shared" si="4"/>
        <v>5056.2903225806449</v>
      </c>
      <c r="N27" s="203">
        <f t="shared" si="24"/>
        <v>235</v>
      </c>
      <c r="O27" s="203">
        <f t="shared" si="5"/>
        <v>5056.2903225806449</v>
      </c>
      <c r="P27" s="203">
        <f t="shared" si="25"/>
        <v>235</v>
      </c>
      <c r="Q27" s="203">
        <f t="shared" si="6"/>
        <v>5056.2903225806449</v>
      </c>
      <c r="R27" s="203">
        <f t="shared" si="26"/>
        <v>235</v>
      </c>
      <c r="S27" s="203">
        <f t="shared" si="7"/>
        <v>5056.2903225806449</v>
      </c>
      <c r="T27" s="203">
        <f t="shared" si="27"/>
        <v>235</v>
      </c>
      <c r="U27" s="203">
        <f t="shared" si="8"/>
        <v>5056.2903225806449</v>
      </c>
      <c r="V27" s="203">
        <f t="shared" si="28"/>
        <v>235</v>
      </c>
      <c r="W27" s="203">
        <f t="shared" si="9"/>
        <v>5056.2903225806449</v>
      </c>
      <c r="X27" s="35">
        <f t="shared" si="10"/>
        <v>0.75806451612903214</v>
      </c>
      <c r="Y27" s="36">
        <f t="shared" si="29"/>
        <v>55619.193548387091</v>
      </c>
      <c r="Z27" s="203">
        <f>'B5'!C26</f>
        <v>241</v>
      </c>
      <c r="AA27" s="203">
        <f t="shared" si="30"/>
        <v>2410</v>
      </c>
      <c r="AB27" s="203">
        <f t="shared" si="31"/>
        <v>241</v>
      </c>
      <c r="AC27" s="203">
        <f t="shared" si="30"/>
        <v>2410</v>
      </c>
      <c r="AD27" s="203">
        <f t="shared" si="32"/>
        <v>241</v>
      </c>
      <c r="AE27" s="203">
        <f t="shared" si="11"/>
        <v>2410</v>
      </c>
      <c r="AF27" s="203">
        <f t="shared" si="33"/>
        <v>241</v>
      </c>
      <c r="AG27" s="203">
        <f t="shared" si="12"/>
        <v>2410</v>
      </c>
      <c r="AH27" s="203">
        <f t="shared" si="34"/>
        <v>241</v>
      </c>
      <c r="AI27" s="203">
        <f t="shared" si="13"/>
        <v>2410</v>
      </c>
      <c r="AJ27" s="203">
        <f t="shared" si="35"/>
        <v>241</v>
      </c>
      <c r="AK27" s="203">
        <f t="shared" si="14"/>
        <v>2410</v>
      </c>
      <c r="AL27" s="203">
        <f t="shared" si="36"/>
        <v>241</v>
      </c>
      <c r="AM27" s="203">
        <f t="shared" si="15"/>
        <v>2410</v>
      </c>
      <c r="AN27" s="35">
        <f t="shared" si="16"/>
        <v>0.86071428571428577</v>
      </c>
      <c r="AO27" s="36">
        <f t="shared" si="39"/>
        <v>16870</v>
      </c>
      <c r="AQ27" s="223">
        <f t="shared" si="40"/>
        <v>0.77970521187896191</v>
      </c>
      <c r="AR27" s="38">
        <f t="shared" si="41"/>
        <v>72489.193548387091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235</v>
      </c>
      <c r="C28" s="203">
        <f t="shared" si="18"/>
        <v>5056.2903225806449</v>
      </c>
      <c r="D28">
        <f t="shared" si="19"/>
        <v>235</v>
      </c>
      <c r="E28" s="203">
        <f t="shared" si="18"/>
        <v>5056.2903225806449</v>
      </c>
      <c r="F28">
        <f t="shared" si="20"/>
        <v>235</v>
      </c>
      <c r="G28" s="203">
        <f t="shared" si="1"/>
        <v>5056.2903225806449</v>
      </c>
      <c r="H28" s="203">
        <f t="shared" si="21"/>
        <v>235</v>
      </c>
      <c r="I28" s="203">
        <f t="shared" si="2"/>
        <v>5056.2903225806449</v>
      </c>
      <c r="J28" s="203">
        <f t="shared" si="22"/>
        <v>235</v>
      </c>
      <c r="K28" s="203">
        <f t="shared" si="3"/>
        <v>5056.2903225806449</v>
      </c>
      <c r="L28" s="203">
        <f t="shared" si="23"/>
        <v>235</v>
      </c>
      <c r="M28" s="203">
        <f t="shared" si="4"/>
        <v>5056.2903225806449</v>
      </c>
      <c r="N28" s="203">
        <f t="shared" si="24"/>
        <v>235</v>
      </c>
      <c r="O28" s="203">
        <f t="shared" si="5"/>
        <v>5056.2903225806449</v>
      </c>
      <c r="P28" s="203">
        <f t="shared" si="25"/>
        <v>235</v>
      </c>
      <c r="Q28" s="203">
        <f t="shared" si="6"/>
        <v>5056.2903225806449</v>
      </c>
      <c r="R28" s="203">
        <f t="shared" si="26"/>
        <v>235</v>
      </c>
      <c r="S28" s="203">
        <f t="shared" si="7"/>
        <v>5056.2903225806449</v>
      </c>
      <c r="T28" s="203">
        <f t="shared" si="27"/>
        <v>235</v>
      </c>
      <c r="U28" s="203">
        <f t="shared" si="8"/>
        <v>5056.2903225806449</v>
      </c>
      <c r="V28" s="203">
        <f t="shared" si="28"/>
        <v>235</v>
      </c>
      <c r="W28" s="203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3">
        <f>'B5'!C27</f>
        <v>241</v>
      </c>
      <c r="AA28" s="203">
        <f t="shared" si="30"/>
        <v>2410</v>
      </c>
      <c r="AB28" s="203">
        <f t="shared" si="31"/>
        <v>241</v>
      </c>
      <c r="AC28" s="203">
        <f t="shared" si="30"/>
        <v>2410</v>
      </c>
      <c r="AD28" s="203">
        <f t="shared" si="32"/>
        <v>241</v>
      </c>
      <c r="AE28" s="203">
        <f t="shared" si="11"/>
        <v>2410</v>
      </c>
      <c r="AF28" s="203">
        <f t="shared" si="33"/>
        <v>241</v>
      </c>
      <c r="AG28" s="203">
        <f t="shared" si="12"/>
        <v>2410</v>
      </c>
      <c r="AH28" s="203">
        <f t="shared" si="34"/>
        <v>241</v>
      </c>
      <c r="AI28" s="203">
        <f t="shared" si="13"/>
        <v>2410</v>
      </c>
      <c r="AJ28" s="203">
        <f t="shared" si="35"/>
        <v>241</v>
      </c>
      <c r="AK28" s="203">
        <f t="shared" si="14"/>
        <v>2410</v>
      </c>
      <c r="AL28" s="203">
        <f t="shared" si="36"/>
        <v>241</v>
      </c>
      <c r="AM28" s="203">
        <f t="shared" si="15"/>
        <v>2410</v>
      </c>
      <c r="AN28" s="35">
        <f t="shared" si="16"/>
        <v>0.86071428571428577</v>
      </c>
      <c r="AO28" s="36">
        <f t="shared" si="39"/>
        <v>16870</v>
      </c>
      <c r="AQ28" s="223">
        <f t="shared" si="40"/>
        <v>0.77970521187896191</v>
      </c>
      <c r="AR28" s="38">
        <f t="shared" si="41"/>
        <v>72489.193548387091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235</v>
      </c>
      <c r="C29" s="203">
        <f t="shared" si="18"/>
        <v>5056.2903225806449</v>
      </c>
      <c r="D29">
        <f t="shared" si="19"/>
        <v>235</v>
      </c>
      <c r="E29" s="203">
        <f t="shared" si="18"/>
        <v>5056.2903225806449</v>
      </c>
      <c r="F29">
        <f t="shared" si="20"/>
        <v>235</v>
      </c>
      <c r="G29" s="203">
        <f t="shared" si="1"/>
        <v>5056.2903225806449</v>
      </c>
      <c r="H29" s="203">
        <f t="shared" si="21"/>
        <v>235</v>
      </c>
      <c r="I29" s="203">
        <f t="shared" si="2"/>
        <v>5056.2903225806449</v>
      </c>
      <c r="J29" s="203">
        <f t="shared" si="22"/>
        <v>235</v>
      </c>
      <c r="K29" s="203">
        <f t="shared" si="3"/>
        <v>5056.2903225806449</v>
      </c>
      <c r="L29" s="203">
        <f t="shared" si="23"/>
        <v>235</v>
      </c>
      <c r="M29" s="203">
        <f t="shared" si="4"/>
        <v>5056.2903225806449</v>
      </c>
      <c r="N29" s="203">
        <f t="shared" si="24"/>
        <v>235</v>
      </c>
      <c r="O29" s="203">
        <f t="shared" si="5"/>
        <v>5056.2903225806449</v>
      </c>
      <c r="P29" s="203">
        <f t="shared" si="25"/>
        <v>235</v>
      </c>
      <c r="Q29" s="203">
        <f t="shared" si="6"/>
        <v>5056.2903225806449</v>
      </c>
      <c r="R29" s="203">
        <f t="shared" si="26"/>
        <v>235</v>
      </c>
      <c r="S29" s="203">
        <f t="shared" si="7"/>
        <v>5056.2903225806449</v>
      </c>
      <c r="T29" s="203">
        <f t="shared" si="27"/>
        <v>235</v>
      </c>
      <c r="U29" s="203">
        <f t="shared" si="8"/>
        <v>5056.2903225806449</v>
      </c>
      <c r="V29" s="203">
        <f t="shared" si="28"/>
        <v>235</v>
      </c>
      <c r="W29" s="203">
        <f t="shared" si="9"/>
        <v>5056.2903225806449</v>
      </c>
      <c r="X29" s="35">
        <f t="shared" si="10"/>
        <v>0.75806451612903214</v>
      </c>
      <c r="Y29" s="36">
        <f t="shared" si="29"/>
        <v>55619.193548387091</v>
      </c>
      <c r="Z29" s="203">
        <f>'B5'!C28</f>
        <v>241</v>
      </c>
      <c r="AA29" s="203">
        <f t="shared" si="30"/>
        <v>2410</v>
      </c>
      <c r="AB29" s="203">
        <f t="shared" si="31"/>
        <v>241</v>
      </c>
      <c r="AC29" s="203">
        <f t="shared" si="30"/>
        <v>2410</v>
      </c>
      <c r="AD29" s="203">
        <f t="shared" si="32"/>
        <v>241</v>
      </c>
      <c r="AE29" s="203">
        <f t="shared" si="11"/>
        <v>2410</v>
      </c>
      <c r="AF29" s="203">
        <f t="shared" si="33"/>
        <v>241</v>
      </c>
      <c r="AG29" s="203">
        <f t="shared" si="12"/>
        <v>2410</v>
      </c>
      <c r="AH29" s="203">
        <f t="shared" si="34"/>
        <v>241</v>
      </c>
      <c r="AI29" s="203">
        <f t="shared" si="13"/>
        <v>2410</v>
      </c>
      <c r="AJ29" s="203">
        <f t="shared" si="35"/>
        <v>241</v>
      </c>
      <c r="AK29" s="203">
        <f t="shared" si="14"/>
        <v>2410</v>
      </c>
      <c r="AL29" s="203">
        <f t="shared" si="36"/>
        <v>241</v>
      </c>
      <c r="AM29" s="203">
        <f t="shared" si="15"/>
        <v>2410</v>
      </c>
      <c r="AN29" s="35">
        <f t="shared" si="16"/>
        <v>0.86071428571428577</v>
      </c>
      <c r="AO29" s="36">
        <f t="shared" si="39"/>
        <v>16870</v>
      </c>
      <c r="AQ29" s="223">
        <f t="shared" si="40"/>
        <v>0.77970521187896191</v>
      </c>
      <c r="AR29" s="38">
        <f t="shared" si="41"/>
        <v>72489.193548387091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235</v>
      </c>
      <c r="C30" s="203">
        <f t="shared" si="18"/>
        <v>5056.2903225806449</v>
      </c>
      <c r="D30">
        <f>SUM(B30)</f>
        <v>235</v>
      </c>
      <c r="E30" s="203">
        <f t="shared" si="18"/>
        <v>5056.2903225806449</v>
      </c>
      <c r="F30">
        <f>SUM(D30)</f>
        <v>235</v>
      </c>
      <c r="G30" s="203">
        <f t="shared" si="1"/>
        <v>5056.2903225806449</v>
      </c>
      <c r="H30" s="203">
        <f>SUM(F30)</f>
        <v>235</v>
      </c>
      <c r="I30" s="203">
        <f t="shared" si="2"/>
        <v>5056.2903225806449</v>
      </c>
      <c r="J30" s="203">
        <f>SUM(H30)</f>
        <v>235</v>
      </c>
      <c r="K30" s="203">
        <f t="shared" si="3"/>
        <v>5056.2903225806449</v>
      </c>
      <c r="L30" s="203">
        <f>SUM(J30)</f>
        <v>235</v>
      </c>
      <c r="M30" s="203">
        <f t="shared" si="4"/>
        <v>5056.2903225806449</v>
      </c>
      <c r="N30" s="203">
        <f>SUM(L30)</f>
        <v>235</v>
      </c>
      <c r="O30" s="203">
        <f t="shared" si="5"/>
        <v>5056.2903225806449</v>
      </c>
      <c r="P30" s="203">
        <f>SUM(N30)</f>
        <v>235</v>
      </c>
      <c r="Q30" s="203">
        <f t="shared" si="6"/>
        <v>5056.2903225806449</v>
      </c>
      <c r="R30" s="203">
        <f>SUM(P30)</f>
        <v>235</v>
      </c>
      <c r="S30" s="203">
        <f t="shared" si="7"/>
        <v>5056.2903225806449</v>
      </c>
      <c r="T30" s="203">
        <f>SUM(R30)</f>
        <v>235</v>
      </c>
      <c r="U30" s="203">
        <f t="shared" si="8"/>
        <v>5056.2903225806449</v>
      </c>
      <c r="V30" s="203">
        <f>SUM(T30)</f>
        <v>235</v>
      </c>
      <c r="W30" s="203">
        <f t="shared" si="9"/>
        <v>5056.2903225806449</v>
      </c>
      <c r="X30" s="35">
        <f>SUM(Y30/73370)</f>
        <v>0.75806451612903214</v>
      </c>
      <c r="Y30" s="36">
        <f>SUM(C30+E30+G30+I30+K30+M30+O30+Q30+S30+U30+W30)</f>
        <v>55619.193548387091</v>
      </c>
      <c r="Z30" s="203">
        <f>'B5'!C29</f>
        <v>241</v>
      </c>
      <c r="AA30" s="203">
        <f t="shared" si="30"/>
        <v>2410</v>
      </c>
      <c r="AB30" s="203">
        <f>SUM(Z30)</f>
        <v>241</v>
      </c>
      <c r="AC30" s="203">
        <f t="shared" si="30"/>
        <v>2410</v>
      </c>
      <c r="AD30" s="203">
        <f>SUM(AB30)</f>
        <v>241</v>
      </c>
      <c r="AE30" s="203">
        <f t="shared" si="11"/>
        <v>2410</v>
      </c>
      <c r="AF30" s="203">
        <f>SUM(AD30)</f>
        <v>241</v>
      </c>
      <c r="AG30" s="203">
        <f t="shared" si="12"/>
        <v>2410</v>
      </c>
      <c r="AH30" s="203">
        <f>SUM(AF30)</f>
        <v>241</v>
      </c>
      <c r="AI30" s="203">
        <f t="shared" si="13"/>
        <v>2410</v>
      </c>
      <c r="AJ30" s="203">
        <f>SUM(AH30)</f>
        <v>241</v>
      </c>
      <c r="AK30" s="203">
        <f t="shared" si="14"/>
        <v>2410</v>
      </c>
      <c r="AL30" s="203">
        <f>SUM(AJ30)</f>
        <v>241</v>
      </c>
      <c r="AM30" s="203">
        <f t="shared" si="15"/>
        <v>2410</v>
      </c>
      <c r="AN30" s="35">
        <f>SUM(AO30/19600)</f>
        <v>0.86071428571428577</v>
      </c>
      <c r="AO30" s="36">
        <f>SUM(AA30+AC30+AE30+AG30+AI30+AK30+AM30)</f>
        <v>16870</v>
      </c>
      <c r="AQ30" s="223">
        <f t="shared" si="40"/>
        <v>0.77970521187896191</v>
      </c>
      <c r="AR30" s="38">
        <f t="shared" si="41"/>
        <v>72489.193548387091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235</v>
      </c>
      <c r="C31" s="203">
        <f t="shared" si="18"/>
        <v>5056.2903225806449</v>
      </c>
      <c r="D31">
        <f>SUM(B31)</f>
        <v>235</v>
      </c>
      <c r="E31" s="203">
        <f t="shared" si="18"/>
        <v>5056.2903225806449</v>
      </c>
      <c r="F31">
        <f>SUM(D31)</f>
        <v>235</v>
      </c>
      <c r="G31" s="203">
        <f t="shared" si="1"/>
        <v>5056.2903225806449</v>
      </c>
      <c r="H31" s="203">
        <f>SUM(F31)</f>
        <v>235</v>
      </c>
      <c r="I31" s="203">
        <f t="shared" si="2"/>
        <v>5056.2903225806449</v>
      </c>
      <c r="J31" s="203">
        <f>SUM(H31)</f>
        <v>235</v>
      </c>
      <c r="K31" s="203">
        <f t="shared" si="3"/>
        <v>5056.2903225806449</v>
      </c>
      <c r="L31" s="203">
        <f>SUM(J31)</f>
        <v>235</v>
      </c>
      <c r="M31" s="203">
        <f t="shared" si="4"/>
        <v>5056.2903225806449</v>
      </c>
      <c r="N31" s="203">
        <f>SUM(L31)</f>
        <v>235</v>
      </c>
      <c r="O31" s="203">
        <f t="shared" si="5"/>
        <v>5056.2903225806449</v>
      </c>
      <c r="P31" s="203">
        <f>SUM(N31)</f>
        <v>235</v>
      </c>
      <c r="Q31" s="203">
        <f t="shared" si="6"/>
        <v>5056.2903225806449</v>
      </c>
      <c r="R31" s="203">
        <f>SUM(P31)</f>
        <v>235</v>
      </c>
      <c r="S31" s="203">
        <f t="shared" si="7"/>
        <v>5056.2903225806449</v>
      </c>
      <c r="T31" s="203">
        <f>SUM(R31)</f>
        <v>235</v>
      </c>
      <c r="U31" s="203">
        <f t="shared" si="8"/>
        <v>5056.2903225806449</v>
      </c>
      <c r="V31" s="203">
        <f>SUM(T31)</f>
        <v>235</v>
      </c>
      <c r="W31" s="203">
        <f t="shared" si="9"/>
        <v>5056.2903225806449</v>
      </c>
      <c r="X31" s="35">
        <f>SUM(Y31/73370)</f>
        <v>0.75806451612903214</v>
      </c>
      <c r="Y31" s="36">
        <f>SUM(C31+E31+G31+I31+K31+M31+O31+Q31+S31+U31+W31)</f>
        <v>55619.193548387091</v>
      </c>
      <c r="Z31" s="203">
        <f>'B5'!C30</f>
        <v>241</v>
      </c>
      <c r="AA31" s="203">
        <f t="shared" si="30"/>
        <v>2410</v>
      </c>
      <c r="AB31" s="203">
        <f>SUM(Z31)</f>
        <v>241</v>
      </c>
      <c r="AC31" s="203">
        <f t="shared" si="30"/>
        <v>2410</v>
      </c>
      <c r="AD31" s="203">
        <f>SUM(AB31)</f>
        <v>241</v>
      </c>
      <c r="AE31" s="203">
        <f t="shared" si="11"/>
        <v>2410</v>
      </c>
      <c r="AF31" s="203">
        <f>SUM(AD31)</f>
        <v>241</v>
      </c>
      <c r="AG31" s="203">
        <f t="shared" si="12"/>
        <v>2410</v>
      </c>
      <c r="AH31" s="203">
        <f>SUM(AF31)</f>
        <v>241</v>
      </c>
      <c r="AI31" s="203">
        <f t="shared" si="13"/>
        <v>2410</v>
      </c>
      <c r="AJ31" s="203">
        <f>SUM(AH31)</f>
        <v>241</v>
      </c>
      <c r="AK31" s="203">
        <f t="shared" si="14"/>
        <v>2410</v>
      </c>
      <c r="AL31" s="203">
        <f>SUM(AJ31)</f>
        <v>241</v>
      </c>
      <c r="AM31" s="203">
        <f t="shared" si="15"/>
        <v>2410</v>
      </c>
      <c r="AN31" s="35">
        <f>SUM(AO31/19600)</f>
        <v>0.86071428571428577</v>
      </c>
      <c r="AO31" s="36">
        <f>SUM(AA31+AC31+AE31+AG31+AI31+AK31+AM31)</f>
        <v>16870</v>
      </c>
      <c r="AQ31" s="223">
        <f t="shared" si="40"/>
        <v>0.77970521187896191</v>
      </c>
      <c r="AR31" s="38">
        <f t="shared" si="41"/>
        <v>72489.193548387091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235</v>
      </c>
      <c r="C32" s="203">
        <f t="shared" si="18"/>
        <v>5056.2903225806449</v>
      </c>
      <c r="D32">
        <f>SUM(B32)</f>
        <v>235</v>
      </c>
      <c r="E32" s="203">
        <f t="shared" si="18"/>
        <v>5056.2903225806449</v>
      </c>
      <c r="F32">
        <f>SUM(D32)</f>
        <v>235</v>
      </c>
      <c r="G32" s="203">
        <f t="shared" si="1"/>
        <v>5056.2903225806449</v>
      </c>
      <c r="H32" s="203">
        <f>SUM(F32)</f>
        <v>235</v>
      </c>
      <c r="I32" s="203">
        <f t="shared" si="2"/>
        <v>5056.2903225806449</v>
      </c>
      <c r="J32" s="203">
        <f>SUM(H32)</f>
        <v>235</v>
      </c>
      <c r="K32" s="203">
        <f t="shared" si="3"/>
        <v>5056.2903225806449</v>
      </c>
      <c r="L32" s="203">
        <f>SUM(J32)</f>
        <v>235</v>
      </c>
      <c r="M32" s="203">
        <f t="shared" si="4"/>
        <v>5056.2903225806449</v>
      </c>
      <c r="N32" s="203">
        <f>SUM(L32)</f>
        <v>235</v>
      </c>
      <c r="O32" s="203">
        <f t="shared" si="5"/>
        <v>5056.2903225806449</v>
      </c>
      <c r="P32" s="203">
        <f>SUM(N32)</f>
        <v>235</v>
      </c>
      <c r="Q32" s="203">
        <f t="shared" si="6"/>
        <v>5056.2903225806449</v>
      </c>
      <c r="R32" s="203">
        <f>SUM(P32)</f>
        <v>235</v>
      </c>
      <c r="S32" s="203">
        <f t="shared" si="7"/>
        <v>5056.2903225806449</v>
      </c>
      <c r="T32" s="203">
        <f>SUM(R32)</f>
        <v>235</v>
      </c>
      <c r="U32" s="203">
        <f t="shared" si="8"/>
        <v>5056.2903225806449</v>
      </c>
      <c r="V32" s="203">
        <f>SUM(T32)</f>
        <v>235</v>
      </c>
      <c r="W32" s="203">
        <f t="shared" si="9"/>
        <v>5056.2903225806449</v>
      </c>
      <c r="X32" s="35">
        <f>SUM(Y32/73370)</f>
        <v>0.75806451612903214</v>
      </c>
      <c r="Y32" s="36">
        <f>SUM(C32+E32+G32+I32+K32+M32+O32+Q32+S32+U32+W32)</f>
        <v>55619.193548387091</v>
      </c>
      <c r="Z32" s="203">
        <f>'B5'!C31</f>
        <v>241</v>
      </c>
      <c r="AA32" s="203">
        <f t="shared" si="30"/>
        <v>2410</v>
      </c>
      <c r="AB32" s="203">
        <f>SUM(Z32)</f>
        <v>241</v>
      </c>
      <c r="AC32" s="203">
        <f t="shared" si="30"/>
        <v>2410</v>
      </c>
      <c r="AD32" s="203">
        <f>SUM(AB32)</f>
        <v>241</v>
      </c>
      <c r="AE32" s="203">
        <f t="shared" si="11"/>
        <v>2410</v>
      </c>
      <c r="AF32" s="203">
        <f>SUM(AD32)</f>
        <v>241</v>
      </c>
      <c r="AG32" s="203">
        <f t="shared" si="12"/>
        <v>2410</v>
      </c>
      <c r="AH32" s="203">
        <f>SUM(AF32)</f>
        <v>241</v>
      </c>
      <c r="AI32" s="203">
        <f t="shared" si="13"/>
        <v>2410</v>
      </c>
      <c r="AJ32" s="203">
        <f>SUM(AH32)</f>
        <v>241</v>
      </c>
      <c r="AK32" s="203">
        <f t="shared" si="14"/>
        <v>2410</v>
      </c>
      <c r="AL32" s="203">
        <f>SUM(AJ32)</f>
        <v>241</v>
      </c>
      <c r="AM32" s="203">
        <f t="shared" si="15"/>
        <v>2410</v>
      </c>
      <c r="AN32" s="35">
        <f>SUM(AO32/19600)</f>
        <v>0.86071428571428577</v>
      </c>
      <c r="AO32" s="36">
        <f>SUM(AA32+AC32+AE32+AG32+AI32+AK32+AM32)</f>
        <v>16870</v>
      </c>
      <c r="AQ32" s="223">
        <f t="shared" si="40"/>
        <v>0.77970521187896191</v>
      </c>
      <c r="AR32" s="38">
        <f t="shared" si="41"/>
        <v>72489.193548387091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235</v>
      </c>
      <c r="C33" s="203">
        <f t="shared" si="18"/>
        <v>5056.2903225806449</v>
      </c>
      <c r="D33">
        <f>SUM(B33)</f>
        <v>235</v>
      </c>
      <c r="E33" s="203">
        <f t="shared" si="18"/>
        <v>5056.2903225806449</v>
      </c>
      <c r="F33">
        <f>SUM(D33)</f>
        <v>235</v>
      </c>
      <c r="G33" s="203">
        <f t="shared" si="1"/>
        <v>5056.2903225806449</v>
      </c>
      <c r="H33" s="203">
        <f>SUM(F33)</f>
        <v>235</v>
      </c>
      <c r="I33" s="203">
        <f t="shared" si="2"/>
        <v>5056.2903225806449</v>
      </c>
      <c r="J33" s="203">
        <f>SUM(H33)</f>
        <v>235</v>
      </c>
      <c r="K33" s="203">
        <f t="shared" si="3"/>
        <v>5056.2903225806449</v>
      </c>
      <c r="L33" s="203">
        <f>SUM(J33)</f>
        <v>235</v>
      </c>
      <c r="M33" s="203">
        <f t="shared" si="4"/>
        <v>5056.2903225806449</v>
      </c>
      <c r="N33" s="203">
        <f>SUM(L33)</f>
        <v>235</v>
      </c>
      <c r="O33" s="203">
        <f t="shared" si="5"/>
        <v>5056.2903225806449</v>
      </c>
      <c r="P33" s="203">
        <f>SUM(N33)</f>
        <v>235</v>
      </c>
      <c r="Q33" s="203">
        <f t="shared" si="6"/>
        <v>5056.2903225806449</v>
      </c>
      <c r="R33" s="203">
        <f>SUM(P33)</f>
        <v>235</v>
      </c>
      <c r="S33" s="203">
        <f t="shared" si="7"/>
        <v>5056.2903225806449</v>
      </c>
      <c r="T33" s="203">
        <f>SUM(R33)</f>
        <v>235</v>
      </c>
      <c r="U33" s="203">
        <f t="shared" si="8"/>
        <v>5056.2903225806449</v>
      </c>
      <c r="V33" s="203">
        <f>SUM(T33)</f>
        <v>235</v>
      </c>
      <c r="W33" s="203">
        <f t="shared" si="9"/>
        <v>5056.2903225806449</v>
      </c>
      <c r="X33" s="35">
        <f>SUM(Y33/73370)</f>
        <v>0.75806451612903214</v>
      </c>
      <c r="Y33" s="36">
        <f>SUM(C33+E33+G33+I33+K33+M33+O33+Q33+S33+U33+W33)</f>
        <v>55619.193548387091</v>
      </c>
      <c r="Z33" s="203">
        <f>'B5'!C32</f>
        <v>241</v>
      </c>
      <c r="AA33" s="203">
        <f t="shared" si="30"/>
        <v>2410</v>
      </c>
      <c r="AB33" s="203">
        <f>SUM(Z33)</f>
        <v>241</v>
      </c>
      <c r="AC33" s="203">
        <f t="shared" si="30"/>
        <v>2410</v>
      </c>
      <c r="AD33" s="203">
        <f>SUM(AB33)</f>
        <v>241</v>
      </c>
      <c r="AE33" s="203">
        <f t="shared" si="11"/>
        <v>2410</v>
      </c>
      <c r="AF33" s="203">
        <f>SUM(AD33)</f>
        <v>241</v>
      </c>
      <c r="AG33" s="203">
        <f t="shared" si="12"/>
        <v>2410</v>
      </c>
      <c r="AH33" s="203">
        <f>SUM(AF33)</f>
        <v>241</v>
      </c>
      <c r="AI33" s="203">
        <f t="shared" si="13"/>
        <v>2410</v>
      </c>
      <c r="AJ33" s="203">
        <f>SUM(AH33)</f>
        <v>241</v>
      </c>
      <c r="AK33" s="203">
        <f t="shared" si="14"/>
        <v>2410</v>
      </c>
      <c r="AL33" s="203">
        <f>SUM(AJ33)</f>
        <v>241</v>
      </c>
      <c r="AM33" s="203">
        <f t="shared" si="15"/>
        <v>2410</v>
      </c>
      <c r="AN33" s="35">
        <f>SUM(AO33/19600)</f>
        <v>0.86071428571428577</v>
      </c>
      <c r="AO33" s="36">
        <f>SUM(AA33+AC33+AE33+AG33+AI33+AK33+AM33)</f>
        <v>16870</v>
      </c>
      <c r="AQ33" s="223">
        <f t="shared" si="40"/>
        <v>0.77970521187896191</v>
      </c>
      <c r="AR33" s="38">
        <f t="shared" si="41"/>
        <v>72489.193548387091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235</v>
      </c>
      <c r="C34" s="203">
        <f t="shared" ref="C34:C36" si="48">B34*$B$4</f>
        <v>5056.2903225806449</v>
      </c>
      <c r="D34">
        <f t="shared" ref="D34:D36" si="49">SUM(B34)</f>
        <v>235</v>
      </c>
      <c r="E34" s="203">
        <f t="shared" ref="E34:E36" si="50">D34*$B$4</f>
        <v>5056.2903225806449</v>
      </c>
      <c r="F34">
        <f t="shared" ref="F34:F36" si="51">SUM(D34)</f>
        <v>235</v>
      </c>
      <c r="G34" s="203">
        <f t="shared" ref="G34:G36" si="52">F34*$B$4</f>
        <v>5056.2903225806449</v>
      </c>
      <c r="H34" s="203">
        <f t="shared" ref="H34:H36" si="53">SUM(F34)</f>
        <v>235</v>
      </c>
      <c r="I34" s="203">
        <f t="shared" ref="I34:I36" si="54">H34*$B$4</f>
        <v>5056.2903225806449</v>
      </c>
      <c r="J34" s="203">
        <f t="shared" ref="J34:J36" si="55">SUM(H34)</f>
        <v>235</v>
      </c>
      <c r="K34" s="203">
        <f t="shared" ref="K34:K36" si="56">J34*$B$4</f>
        <v>5056.2903225806449</v>
      </c>
      <c r="L34" s="203">
        <f t="shared" ref="L34:L36" si="57">SUM(J34)</f>
        <v>235</v>
      </c>
      <c r="M34" s="203">
        <f t="shared" ref="M34:M36" si="58">L34*$B$4</f>
        <v>5056.2903225806449</v>
      </c>
      <c r="N34" s="203">
        <f t="shared" ref="N34:N36" si="59">SUM(L34)</f>
        <v>235</v>
      </c>
      <c r="O34" s="203">
        <f t="shared" ref="O34:O36" si="60">N34*$B$4</f>
        <v>5056.2903225806449</v>
      </c>
      <c r="P34" s="203">
        <f t="shared" ref="P34:P36" si="61">SUM(N34)</f>
        <v>235</v>
      </c>
      <c r="Q34" s="203">
        <f t="shared" ref="Q34:Q36" si="62">P34*$B$4</f>
        <v>5056.2903225806449</v>
      </c>
      <c r="R34" s="203">
        <f t="shared" ref="R34:R36" si="63">SUM(P34)</f>
        <v>235</v>
      </c>
      <c r="S34" s="203">
        <f t="shared" ref="S34:S36" si="64">R34*$B$4</f>
        <v>5056.2903225806449</v>
      </c>
      <c r="T34" s="203">
        <f t="shared" ref="T34:T36" si="65">SUM(R34)</f>
        <v>235</v>
      </c>
      <c r="U34" s="203">
        <f t="shared" ref="U34:U36" si="66">T34*$B$4</f>
        <v>5056.2903225806449</v>
      </c>
      <c r="V34" s="203">
        <f t="shared" ref="V34:V36" si="67">SUM(T34)</f>
        <v>235</v>
      </c>
      <c r="W34" s="203">
        <f t="shared" ref="W34:W36" si="68">V34*$B$4</f>
        <v>5056.2903225806449</v>
      </c>
      <c r="X34" s="35">
        <f t="shared" ref="X34:X36" si="69">SUM(Y34/73370)</f>
        <v>0.75806451612903214</v>
      </c>
      <c r="Y34" s="36">
        <f t="shared" ref="Y34:Y36" si="70">SUM(C34+E34+G34+I34+K34+M34+O34+Q34+S34+U34+W34)</f>
        <v>55619.193548387091</v>
      </c>
      <c r="Z34" s="203">
        <f>'B5'!C33</f>
        <v>241</v>
      </c>
      <c r="AA34" s="203">
        <f t="shared" ref="AA34:AA36" si="71">SUM(Z34*$Z$4)</f>
        <v>2410</v>
      </c>
      <c r="AB34" s="203">
        <f t="shared" ref="AB34:AB36" si="72">SUM(Z34)</f>
        <v>241</v>
      </c>
      <c r="AC34" s="203">
        <f t="shared" ref="AC34:AC36" si="73">SUM(AB34*$Z$4)</f>
        <v>2410</v>
      </c>
      <c r="AD34" s="203">
        <f t="shared" ref="AD34:AD36" si="74">SUM(AB34)</f>
        <v>241</v>
      </c>
      <c r="AE34" s="203">
        <f t="shared" ref="AE34:AE36" si="75">SUM(AD34*$Z$4)</f>
        <v>2410</v>
      </c>
      <c r="AF34" s="203">
        <f t="shared" ref="AF34:AF36" si="76">SUM(AD34)</f>
        <v>241</v>
      </c>
      <c r="AG34" s="203">
        <f t="shared" ref="AG34:AG36" si="77">SUM(AF34*$Z$4)</f>
        <v>2410</v>
      </c>
      <c r="AH34" s="203">
        <f t="shared" ref="AH34:AH36" si="78">SUM(AF34)</f>
        <v>241</v>
      </c>
      <c r="AI34" s="203">
        <f t="shared" ref="AI34:AI36" si="79">SUM(AH34*$Z$4)</f>
        <v>2410</v>
      </c>
      <c r="AJ34" s="203">
        <f t="shared" ref="AJ34:AJ36" si="80">SUM(AH34)</f>
        <v>241</v>
      </c>
      <c r="AK34" s="203">
        <f t="shared" ref="AK34:AK36" si="81">SUM(AJ34*$Z$4)</f>
        <v>2410</v>
      </c>
      <c r="AL34" s="203">
        <f t="shared" ref="AL34:AL36" si="82">SUM(AJ34)</f>
        <v>241</v>
      </c>
      <c r="AM34" s="203">
        <f t="shared" ref="AM34:AM36" si="83">SUM(AL34*$Z$4)</f>
        <v>2410</v>
      </c>
      <c r="AN34" s="35">
        <f t="shared" ref="AN34:AN36" si="84">SUM(AO34/19600)</f>
        <v>0.86071428571428577</v>
      </c>
      <c r="AO34" s="36">
        <f t="shared" ref="AO34:AO36" si="85">SUM(AA34+AC34+AE34+AG34+AI34+AK34+AM34)</f>
        <v>16870</v>
      </c>
      <c r="AQ34" s="223">
        <f t="shared" ref="AQ34:AQ36" si="86">SUM(AR34/92970)</f>
        <v>0.77970521187896191</v>
      </c>
      <c r="AR34" s="38">
        <f t="shared" ref="AR34:AR36" si="87">Y34+AO34</f>
        <v>72489.193548387091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235</v>
      </c>
      <c r="C35" s="203">
        <f t="shared" si="48"/>
        <v>5056.2903225806449</v>
      </c>
      <c r="D35">
        <f t="shared" si="49"/>
        <v>235</v>
      </c>
      <c r="E35" s="203">
        <f t="shared" si="50"/>
        <v>5056.2903225806449</v>
      </c>
      <c r="F35">
        <f t="shared" si="51"/>
        <v>235</v>
      </c>
      <c r="G35" s="203">
        <f t="shared" si="52"/>
        <v>5056.2903225806449</v>
      </c>
      <c r="H35" s="203">
        <f t="shared" si="53"/>
        <v>235</v>
      </c>
      <c r="I35" s="203">
        <f t="shared" si="54"/>
        <v>5056.2903225806449</v>
      </c>
      <c r="J35" s="203">
        <f t="shared" si="55"/>
        <v>235</v>
      </c>
      <c r="K35" s="203">
        <f t="shared" si="56"/>
        <v>5056.2903225806449</v>
      </c>
      <c r="L35" s="203">
        <f t="shared" si="57"/>
        <v>235</v>
      </c>
      <c r="M35" s="203">
        <f t="shared" si="58"/>
        <v>5056.2903225806449</v>
      </c>
      <c r="N35" s="203">
        <f t="shared" si="59"/>
        <v>235</v>
      </c>
      <c r="O35" s="203">
        <f t="shared" si="60"/>
        <v>5056.2903225806449</v>
      </c>
      <c r="P35" s="203">
        <f t="shared" si="61"/>
        <v>235</v>
      </c>
      <c r="Q35" s="203">
        <f t="shared" si="62"/>
        <v>5056.2903225806449</v>
      </c>
      <c r="R35" s="203">
        <f t="shared" si="63"/>
        <v>235</v>
      </c>
      <c r="S35" s="203">
        <f t="shared" si="64"/>
        <v>5056.2903225806449</v>
      </c>
      <c r="T35" s="203">
        <f t="shared" si="65"/>
        <v>235</v>
      </c>
      <c r="U35" s="203">
        <f t="shared" si="66"/>
        <v>5056.2903225806449</v>
      </c>
      <c r="V35" s="203">
        <f t="shared" si="67"/>
        <v>235</v>
      </c>
      <c r="W35" s="203">
        <f t="shared" si="68"/>
        <v>5056.2903225806449</v>
      </c>
      <c r="X35" s="35">
        <f t="shared" si="69"/>
        <v>0.75806451612903214</v>
      </c>
      <c r="Y35" s="36">
        <f t="shared" si="70"/>
        <v>55619.193548387091</v>
      </c>
      <c r="Z35" s="203">
        <f>'B5'!C34</f>
        <v>241</v>
      </c>
      <c r="AA35" s="203">
        <f t="shared" si="71"/>
        <v>2410</v>
      </c>
      <c r="AB35" s="203">
        <f t="shared" si="72"/>
        <v>241</v>
      </c>
      <c r="AC35" s="203">
        <f t="shared" si="73"/>
        <v>2410</v>
      </c>
      <c r="AD35" s="203">
        <f t="shared" si="74"/>
        <v>241</v>
      </c>
      <c r="AE35" s="203">
        <f t="shared" si="75"/>
        <v>2410</v>
      </c>
      <c r="AF35" s="203">
        <f t="shared" si="76"/>
        <v>241</v>
      </c>
      <c r="AG35" s="203">
        <f t="shared" si="77"/>
        <v>2410</v>
      </c>
      <c r="AH35" s="203">
        <f t="shared" si="78"/>
        <v>241</v>
      </c>
      <c r="AI35" s="203">
        <f t="shared" si="79"/>
        <v>2410</v>
      </c>
      <c r="AJ35" s="203">
        <f t="shared" si="80"/>
        <v>241</v>
      </c>
      <c r="AK35" s="203">
        <f t="shared" si="81"/>
        <v>2410</v>
      </c>
      <c r="AL35" s="203">
        <f t="shared" si="82"/>
        <v>241</v>
      </c>
      <c r="AM35" s="203">
        <f t="shared" si="83"/>
        <v>2410</v>
      </c>
      <c r="AN35" s="35">
        <f t="shared" si="84"/>
        <v>0.86071428571428577</v>
      </c>
      <c r="AO35" s="36">
        <f t="shared" si="85"/>
        <v>16870</v>
      </c>
      <c r="AQ35" s="223">
        <f t="shared" si="86"/>
        <v>0.77970521187896191</v>
      </c>
      <c r="AR35" s="38">
        <f t="shared" si="87"/>
        <v>72489.193548387091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235</v>
      </c>
      <c r="C36" s="203">
        <f t="shared" si="48"/>
        <v>5056.2903225806449</v>
      </c>
      <c r="D36">
        <f t="shared" si="49"/>
        <v>235</v>
      </c>
      <c r="E36" s="203">
        <f t="shared" si="50"/>
        <v>5056.2903225806449</v>
      </c>
      <c r="F36">
        <f t="shared" si="51"/>
        <v>235</v>
      </c>
      <c r="G36" s="203">
        <f t="shared" si="52"/>
        <v>5056.2903225806449</v>
      </c>
      <c r="H36" s="203">
        <f t="shared" si="53"/>
        <v>235</v>
      </c>
      <c r="I36" s="203">
        <f t="shared" si="54"/>
        <v>5056.2903225806449</v>
      </c>
      <c r="J36" s="203">
        <f t="shared" si="55"/>
        <v>235</v>
      </c>
      <c r="K36" s="203">
        <f t="shared" si="56"/>
        <v>5056.2903225806449</v>
      </c>
      <c r="L36" s="203">
        <f t="shared" si="57"/>
        <v>235</v>
      </c>
      <c r="M36" s="203">
        <f t="shared" si="58"/>
        <v>5056.2903225806449</v>
      </c>
      <c r="N36" s="203">
        <f t="shared" si="59"/>
        <v>235</v>
      </c>
      <c r="O36" s="203">
        <f t="shared" si="60"/>
        <v>5056.2903225806449</v>
      </c>
      <c r="P36" s="203">
        <f t="shared" si="61"/>
        <v>235</v>
      </c>
      <c r="Q36" s="203">
        <f t="shared" si="62"/>
        <v>5056.2903225806449</v>
      </c>
      <c r="R36" s="203">
        <f t="shared" si="63"/>
        <v>235</v>
      </c>
      <c r="S36" s="203">
        <f t="shared" si="64"/>
        <v>5056.2903225806449</v>
      </c>
      <c r="T36" s="203">
        <f t="shared" si="65"/>
        <v>235</v>
      </c>
      <c r="U36" s="203">
        <f t="shared" si="66"/>
        <v>5056.2903225806449</v>
      </c>
      <c r="V36" s="203">
        <f t="shared" si="67"/>
        <v>235</v>
      </c>
      <c r="W36" s="203">
        <f t="shared" si="68"/>
        <v>5056.2903225806449</v>
      </c>
      <c r="X36" s="35">
        <f t="shared" si="69"/>
        <v>0.75806451612903214</v>
      </c>
      <c r="Y36" s="36">
        <f t="shared" si="70"/>
        <v>55619.193548387091</v>
      </c>
      <c r="Z36" s="203">
        <f>'B5'!C35</f>
        <v>241</v>
      </c>
      <c r="AA36" s="203">
        <f t="shared" si="71"/>
        <v>2410</v>
      </c>
      <c r="AB36" s="203">
        <f t="shared" si="72"/>
        <v>241</v>
      </c>
      <c r="AC36" s="203">
        <f t="shared" si="73"/>
        <v>2410</v>
      </c>
      <c r="AD36" s="203">
        <f t="shared" si="74"/>
        <v>241</v>
      </c>
      <c r="AE36" s="203">
        <f t="shared" si="75"/>
        <v>2410</v>
      </c>
      <c r="AF36" s="203">
        <f t="shared" si="76"/>
        <v>241</v>
      </c>
      <c r="AG36" s="203">
        <f t="shared" si="77"/>
        <v>2410</v>
      </c>
      <c r="AH36" s="203">
        <f t="shared" si="78"/>
        <v>241</v>
      </c>
      <c r="AI36" s="203">
        <f t="shared" si="79"/>
        <v>2410</v>
      </c>
      <c r="AJ36" s="203">
        <f t="shared" si="80"/>
        <v>241</v>
      </c>
      <c r="AK36" s="203">
        <f t="shared" si="81"/>
        <v>2410</v>
      </c>
      <c r="AL36" s="203">
        <f t="shared" si="82"/>
        <v>241</v>
      </c>
      <c r="AM36" s="203">
        <f t="shared" si="83"/>
        <v>2410</v>
      </c>
      <c r="AN36" s="35">
        <f t="shared" si="84"/>
        <v>0.86071428571428577</v>
      </c>
      <c r="AO36" s="36">
        <f t="shared" si="85"/>
        <v>16870</v>
      </c>
      <c r="AQ36" s="223">
        <f t="shared" si="86"/>
        <v>0.77970521187896191</v>
      </c>
      <c r="AR36" s="38">
        <f t="shared" si="87"/>
        <v>72489.193548387091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5000</v>
      </c>
      <c r="AU37" s="544">
        <f>SUM(AU6:AU36)/AS37</f>
        <v>1.147</v>
      </c>
      <c r="AX37" s="203">
        <f>SUM(AX6:AX36)</f>
        <v>-5763.3870967742114</v>
      </c>
      <c r="AY37" s="203">
        <f>SUM(AY6:AY36)</f>
        <v>-6603.3870967742114</v>
      </c>
    </row>
    <row r="38" spans="1:63">
      <c r="AS38" s="206"/>
      <c r="AT38" s="82">
        <f>+AT37*AU37</f>
        <v>5735</v>
      </c>
    </row>
    <row r="40" spans="1:63">
      <c r="AS40" s="165">
        <f>SUM(AS6:AS36)/'EDl log'!A35</f>
        <v>-1320.6774193548422</v>
      </c>
      <c r="AT40" s="203"/>
    </row>
    <row r="41" spans="1:63">
      <c r="AX41">
        <v>43309</v>
      </c>
    </row>
    <row r="42" spans="1:63">
      <c r="AR42" s="203">
        <f>AR36-22000</f>
        <v>50489.193548387091</v>
      </c>
      <c r="AU42" s="203"/>
      <c r="AX42">
        <f>AX37/AX41</f>
        <v>-0.13307596796911061</v>
      </c>
    </row>
    <row r="43" spans="1:63">
      <c r="AR43">
        <f>AR42/5500</f>
        <v>9.1798533724340174</v>
      </c>
    </row>
    <row r="44" spans="1:63">
      <c r="AR44">
        <f>AR43*2</f>
        <v>18.359706744868035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7" priority="8" stopIfTrue="1" operator="greaterThan">
      <formula>0</formula>
    </cfRule>
  </conditionalFormatting>
  <conditionalFormatting sqref="AT6:AU16 AT18:AU36">
    <cfRule type="cellIs" dxfId="6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70" zoomScaleNormal="70" workbookViewId="0">
      <selection activeCell="F13" sqref="F1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955.48800000003234</v>
      </c>
      <c r="R4" s="285">
        <f>SUM(P4:Q4)</f>
        <v>1125.7781713654276</v>
      </c>
      <c r="S4" s="287">
        <f>SUM(ELEC!N4)</f>
        <v>3033</v>
      </c>
      <c r="T4" s="321">
        <f>IF(S4&gt;0,R4/S4,0)</f>
        <v>0.37117644951052675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939.42999999998221</v>
      </c>
      <c r="R5" s="285">
        <f t="shared" ref="R5:R30" si="13">SUM(P5:Q5)</f>
        <v>1099.3931398562563</v>
      </c>
      <c r="S5" s="287">
        <f>SUM(ELEC!N5)</f>
        <v>3021</v>
      </c>
      <c r="T5" s="321">
        <f>IF(S5&gt;0,R5/S5,0)</f>
        <v>0.3639169612235208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875.19799999999896</v>
      </c>
      <c r="R8" s="285">
        <f t="shared" si="13"/>
        <v>1035.1611398562732</v>
      </c>
      <c r="S8" s="287">
        <f>SUM(ELEC!N8)</f>
        <v>3034.1999999992549</v>
      </c>
      <c r="T8" s="321">
        <f>IF(S8&gt;0,R8/S8,0)</f>
        <v>0.34116443868450574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1630.3309999999872</v>
      </c>
      <c r="R9" s="285">
        <f>SUM(P9:Q9)</f>
        <v>1790.2941398562614</v>
      </c>
      <c r="S9" s="287">
        <f>SUM(ELEC!N9)</f>
        <v>3098.8000000007451</v>
      </c>
      <c r="T9" s="321">
        <f t="shared" si="16"/>
        <v>0.57773787913251284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562.4370000000215</v>
      </c>
      <c r="R10" s="285">
        <f t="shared" si="13"/>
        <v>756.94740353788779</v>
      </c>
      <c r="S10" s="287">
        <f>SUM(ELEC!N10)</f>
        <v>2865</v>
      </c>
      <c r="T10" s="321">
        <f t="shared" si="16"/>
        <v>0.26420502741287533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v>1121406</v>
      </c>
      <c r="C11" s="254">
        <f>SUM(B11-B10)</f>
        <v>186</v>
      </c>
      <c r="D11" s="295">
        <f>SUM(G11+I11+K11)</f>
        <v>188</v>
      </c>
      <c r="E11" s="295">
        <f t="shared" si="15"/>
        <v>1121408</v>
      </c>
      <c r="F11" s="609">
        <f t="shared" si="8"/>
        <v>161410</v>
      </c>
      <c r="G11" s="160">
        <f t="shared" si="1"/>
        <v>0</v>
      </c>
      <c r="H11" s="609">
        <v>558268</v>
      </c>
      <c r="I11" s="161">
        <f t="shared" si="2"/>
        <v>188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13.967495854063019</v>
      </c>
      <c r="N11" s="284">
        <f t="shared" si="5"/>
        <v>0</v>
      </c>
      <c r="O11" s="284">
        <f t="shared" si="6"/>
        <v>159.96313985627418</v>
      </c>
      <c r="P11" s="285">
        <f t="shared" si="12"/>
        <v>173.93063571033721</v>
      </c>
      <c r="Q11" s="285">
        <f>SUM(-tanks!AX13*tanks!$AU$37)</f>
        <v>1377.0289999999984</v>
      </c>
      <c r="R11" s="285">
        <f t="shared" si="13"/>
        <v>1550.9596357103355</v>
      </c>
      <c r="S11" s="287">
        <f>SUM(ELEC!N11)</f>
        <v>2797</v>
      </c>
      <c r="T11" s="321">
        <f t="shared" si="16"/>
        <v>0.55450827161613714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v>1121522</v>
      </c>
      <c r="C12" s="254">
        <f t="shared" si="0"/>
        <v>116</v>
      </c>
      <c r="D12" s="295">
        <f t="shared" si="14"/>
        <v>114</v>
      </c>
      <c r="E12" s="295">
        <f t="shared" si="15"/>
        <v>1121520</v>
      </c>
      <c r="F12" s="609">
        <f t="shared" si="8"/>
        <v>161410</v>
      </c>
      <c r="G12" s="160">
        <f t="shared" si="1"/>
        <v>0</v>
      </c>
      <c r="H12" s="609">
        <v>558382</v>
      </c>
      <c r="I12" s="161">
        <f t="shared" si="2"/>
        <v>114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8.4696517412935322</v>
      </c>
      <c r="N12" s="284">
        <f t="shared" si="5"/>
        <v>0</v>
      </c>
      <c r="O12" s="284">
        <f t="shared" si="6"/>
        <v>159.96313985627418</v>
      </c>
      <c r="P12" s="285">
        <f t="shared" si="12"/>
        <v>168.4327915975677</v>
      </c>
      <c r="Q12" s="285">
        <f>SUM(-tanks!AX14*tanks!$AU$37)</f>
        <v>270.69200000000001</v>
      </c>
      <c r="R12" s="285">
        <f t="shared" si="13"/>
        <v>439.12479159756771</v>
      </c>
      <c r="S12" s="287">
        <f>SUM(ELEC!N12)</f>
        <v>2912</v>
      </c>
      <c r="T12" s="321">
        <f t="shared" si="16"/>
        <v>0.15079834876290099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v>1121647</v>
      </c>
      <c r="C13" s="254">
        <f t="shared" si="0"/>
        <v>125</v>
      </c>
      <c r="D13" s="295">
        <f t="shared" si="14"/>
        <v>125</v>
      </c>
      <c r="E13" s="295">
        <f t="shared" si="15"/>
        <v>1121647</v>
      </c>
      <c r="F13" s="609">
        <f t="shared" si="8"/>
        <v>161410</v>
      </c>
      <c r="G13" s="160">
        <f t="shared" si="1"/>
        <v>0</v>
      </c>
      <c r="H13" s="609">
        <v>558507</v>
      </c>
      <c r="I13" s="161">
        <f t="shared" si="2"/>
        <v>125</v>
      </c>
      <c r="J13" s="609">
        <v>401730</v>
      </c>
      <c r="K13" s="162">
        <f t="shared" si="11"/>
        <v>0</v>
      </c>
      <c r="L13" s="284">
        <f t="shared" si="3"/>
        <v>0</v>
      </c>
      <c r="M13" s="284">
        <f t="shared" si="4"/>
        <v>9.2868988391376455</v>
      </c>
      <c r="N13" s="284">
        <f t="shared" si="5"/>
        <v>0</v>
      </c>
      <c r="O13" s="284">
        <f t="shared" si="6"/>
        <v>159.96313985627418</v>
      </c>
      <c r="P13" s="285">
        <f t="shared" si="12"/>
        <v>169.25003869541183</v>
      </c>
      <c r="Q13" s="285">
        <f>SUM(-tanks!AX15*tanks!$AU$37)</f>
        <v>0</v>
      </c>
      <c r="R13" s="285">
        <f t="shared" si="13"/>
        <v>169.25003869541183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1121647</v>
      </c>
      <c r="C14" s="254">
        <f t="shared" si="0"/>
        <v>0</v>
      </c>
      <c r="D14" s="295">
        <f t="shared" si="14"/>
        <v>0</v>
      </c>
      <c r="E14" s="295">
        <f t="shared" si="15"/>
        <v>1121647</v>
      </c>
      <c r="F14" s="609">
        <f t="shared" si="8"/>
        <v>161410</v>
      </c>
      <c r="G14" s="160">
        <f t="shared" si="1"/>
        <v>0</v>
      </c>
      <c r="H14" s="609">
        <f t="shared" si="9"/>
        <v>558507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f t="shared" si="7"/>
        <v>1121647</v>
      </c>
      <c r="C15" s="254">
        <f t="shared" si="0"/>
        <v>0</v>
      </c>
      <c r="D15" s="295">
        <f t="shared" si="14"/>
        <v>0</v>
      </c>
      <c r="E15" s="295">
        <f t="shared" si="15"/>
        <v>1121647</v>
      </c>
      <c r="F15" s="609">
        <f t="shared" si="8"/>
        <v>161410</v>
      </c>
      <c r="G15" s="160">
        <f t="shared" si="1"/>
        <v>0</v>
      </c>
      <c r="H15" s="609">
        <f t="shared" si="9"/>
        <v>558507</v>
      </c>
      <c r="I15" s="161">
        <f t="shared" si="2"/>
        <v>0</v>
      </c>
      <c r="J15" s="609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1121647</v>
      </c>
      <c r="C16" s="254">
        <f t="shared" si="0"/>
        <v>0</v>
      </c>
      <c r="D16" s="295">
        <f t="shared" si="14"/>
        <v>0</v>
      </c>
      <c r="E16" s="295">
        <f t="shared" si="15"/>
        <v>1121647</v>
      </c>
      <c r="F16" s="609">
        <f t="shared" si="8"/>
        <v>161410</v>
      </c>
      <c r="G16" s="160">
        <f t="shared" si="1"/>
        <v>0</v>
      </c>
      <c r="H16" s="609">
        <f t="shared" si="9"/>
        <v>558507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f t="shared" si="7"/>
        <v>1121647</v>
      </c>
      <c r="C17" s="254">
        <f t="shared" si="0"/>
        <v>0</v>
      </c>
      <c r="D17" s="295">
        <f t="shared" si="14"/>
        <v>0</v>
      </c>
      <c r="E17" s="295">
        <f t="shared" si="15"/>
        <v>1121647</v>
      </c>
      <c r="F17" s="609">
        <f t="shared" si="8"/>
        <v>161410</v>
      </c>
      <c r="G17" s="160">
        <f>F17-F16</f>
        <v>0</v>
      </c>
      <c r="H17" s="609">
        <f t="shared" si="9"/>
        <v>558507</v>
      </c>
      <c r="I17" s="161">
        <f t="shared" si="2"/>
        <v>0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1121647</v>
      </c>
      <c r="C18" s="254">
        <f>SUM(B18-B17)</f>
        <v>0</v>
      </c>
      <c r="D18" s="295">
        <f>SUM(G18+I18+K18)</f>
        <v>0</v>
      </c>
      <c r="E18" s="295">
        <f t="shared" si="15"/>
        <v>1121647</v>
      </c>
      <c r="F18" s="609">
        <f t="shared" si="8"/>
        <v>161410</v>
      </c>
      <c r="G18" s="160">
        <f t="shared" si="1"/>
        <v>0</v>
      </c>
      <c r="H18" s="609">
        <f t="shared" si="9"/>
        <v>558507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1121647</v>
      </c>
      <c r="C19" s="254">
        <f t="shared" si="0"/>
        <v>0</v>
      </c>
      <c r="D19" s="295">
        <f t="shared" si="14"/>
        <v>0</v>
      </c>
      <c r="E19" s="295">
        <f t="shared" si="15"/>
        <v>1121647</v>
      </c>
      <c r="F19" s="609">
        <f t="shared" si="8"/>
        <v>161410</v>
      </c>
      <c r="G19" s="160">
        <f t="shared" si="1"/>
        <v>0</v>
      </c>
      <c r="H19" s="609">
        <f t="shared" si="9"/>
        <v>558507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1121647</v>
      </c>
      <c r="C20" s="254">
        <f t="shared" si="0"/>
        <v>0</v>
      </c>
      <c r="D20" s="295">
        <f t="shared" si="14"/>
        <v>0</v>
      </c>
      <c r="E20" s="295">
        <v>160188</v>
      </c>
      <c r="F20" s="609">
        <f t="shared" si="8"/>
        <v>161410</v>
      </c>
      <c r="G20" s="160">
        <f t="shared" si="1"/>
        <v>0</v>
      </c>
      <c r="H20" s="609">
        <f t="shared" si="9"/>
        <v>558507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1121647</v>
      </c>
      <c r="C21" s="254">
        <f t="shared" si="0"/>
        <v>0</v>
      </c>
      <c r="D21" s="295">
        <f t="shared" si="14"/>
        <v>0</v>
      </c>
      <c r="E21" s="295">
        <f t="shared" si="15"/>
        <v>1121647</v>
      </c>
      <c r="F21" s="609">
        <f t="shared" si="8"/>
        <v>161410</v>
      </c>
      <c r="G21" s="160">
        <f t="shared" si="1"/>
        <v>0</v>
      </c>
      <c r="H21" s="609">
        <f t="shared" si="9"/>
        <v>558507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44731</v>
      </c>
      <c r="B22" s="609">
        <f t="shared" si="7"/>
        <v>1121647</v>
      </c>
      <c r="C22" s="254">
        <f t="shared" si="0"/>
        <v>0</v>
      </c>
      <c r="D22" s="295">
        <f t="shared" si="14"/>
        <v>0</v>
      </c>
      <c r="E22" s="295">
        <f t="shared" si="15"/>
        <v>1121647</v>
      </c>
      <c r="F22" s="609">
        <f t="shared" si="8"/>
        <v>161410</v>
      </c>
      <c r="G22" s="160">
        <f t="shared" si="1"/>
        <v>0</v>
      </c>
      <c r="H22" s="609">
        <f t="shared" si="9"/>
        <v>558507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44732</v>
      </c>
      <c r="B23" s="609">
        <f t="shared" si="7"/>
        <v>1121647</v>
      </c>
      <c r="C23" s="254">
        <f t="shared" si="0"/>
        <v>0</v>
      </c>
      <c r="D23" s="295">
        <f t="shared" si="14"/>
        <v>0</v>
      </c>
      <c r="E23" s="295">
        <f t="shared" si="15"/>
        <v>1121647</v>
      </c>
      <c r="F23" s="609">
        <f t="shared" si="8"/>
        <v>161410</v>
      </c>
      <c r="G23" s="160">
        <f t="shared" si="1"/>
        <v>0</v>
      </c>
      <c r="H23" s="609">
        <f t="shared" si="9"/>
        <v>558507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44733</v>
      </c>
      <c r="B24" s="609">
        <f t="shared" si="7"/>
        <v>1121647</v>
      </c>
      <c r="C24" s="254">
        <f t="shared" si="0"/>
        <v>0</v>
      </c>
      <c r="D24" s="295">
        <f t="shared" si="14"/>
        <v>0</v>
      </c>
      <c r="E24" s="295">
        <f t="shared" si="15"/>
        <v>1121647</v>
      </c>
      <c r="F24" s="609">
        <f t="shared" si="8"/>
        <v>161410</v>
      </c>
      <c r="G24" s="160">
        <f t="shared" si="1"/>
        <v>0</v>
      </c>
      <c r="H24" s="609">
        <f t="shared" si="9"/>
        <v>558507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44734</v>
      </c>
      <c r="B25" s="609">
        <f t="shared" si="7"/>
        <v>1121647</v>
      </c>
      <c r="C25" s="254">
        <f t="shared" si="0"/>
        <v>0</v>
      </c>
      <c r="D25" s="295">
        <f t="shared" si="14"/>
        <v>0</v>
      </c>
      <c r="E25" s="295">
        <f t="shared" si="15"/>
        <v>1121647</v>
      </c>
      <c r="F25" s="609">
        <f t="shared" si="8"/>
        <v>161410</v>
      </c>
      <c r="G25" s="160">
        <f t="shared" si="1"/>
        <v>0</v>
      </c>
      <c r="H25" s="609">
        <f t="shared" si="9"/>
        <v>558507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1121647</v>
      </c>
      <c r="C26" s="254">
        <f t="shared" si="0"/>
        <v>0</v>
      </c>
      <c r="D26" s="295">
        <f t="shared" si="14"/>
        <v>0</v>
      </c>
      <c r="E26" s="295">
        <f t="shared" si="15"/>
        <v>1121647</v>
      </c>
      <c r="F26" s="609">
        <f t="shared" si="8"/>
        <v>161410</v>
      </c>
      <c r="G26" s="160">
        <f t="shared" si="1"/>
        <v>0</v>
      </c>
      <c r="H26" s="609">
        <f t="shared" si="9"/>
        <v>558507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1121647</v>
      </c>
      <c r="C27" s="254">
        <f t="shared" si="0"/>
        <v>0</v>
      </c>
      <c r="D27" s="295">
        <f t="shared" si="14"/>
        <v>0</v>
      </c>
      <c r="E27" s="295">
        <f t="shared" si="15"/>
        <v>1121647</v>
      </c>
      <c r="F27" s="609">
        <f t="shared" si="8"/>
        <v>161410</v>
      </c>
      <c r="G27" s="160">
        <f t="shared" si="1"/>
        <v>0</v>
      </c>
      <c r="H27" s="609">
        <f t="shared" si="9"/>
        <v>558507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558507</v>
      </c>
      <c r="X27" s="172" t="s">
        <v>212</v>
      </c>
      <c r="Y27" s="172">
        <v>112</v>
      </c>
      <c r="Z27" s="172">
        <v>1</v>
      </c>
      <c r="AA27" s="323">
        <f>(W27-V27)*Z27</f>
        <v>1031</v>
      </c>
      <c r="AB27" s="323">
        <f>SUM(AA27*Y27)</f>
        <v>115472</v>
      </c>
      <c r="AC27" s="244">
        <f>AC10</f>
        <v>6200000</v>
      </c>
      <c r="AD27" s="476">
        <f>SUM(I36)</f>
        <v>0.9980638915779283</v>
      </c>
    </row>
    <row r="28" spans="1:32" ht="20.100000000000001" customHeight="1">
      <c r="A28" s="163">
        <f>ELEC!C28</f>
        <v>44737</v>
      </c>
      <c r="B28" s="609">
        <f t="shared" si="7"/>
        <v>1121647</v>
      </c>
      <c r="C28" s="254">
        <f t="shared" si="0"/>
        <v>0</v>
      </c>
      <c r="D28" s="295">
        <f t="shared" si="14"/>
        <v>0</v>
      </c>
      <c r="E28" s="295">
        <f>B27+D28</f>
        <v>1121647</v>
      </c>
      <c r="F28" s="609">
        <f t="shared" si="8"/>
        <v>161410</v>
      </c>
      <c r="G28" s="160">
        <f t="shared" si="1"/>
        <v>0</v>
      </c>
      <c r="H28" s="609">
        <f t="shared" si="9"/>
        <v>558507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1121647</v>
      </c>
      <c r="C29" s="254">
        <f t="shared" si="0"/>
        <v>0</v>
      </c>
      <c r="D29" s="295">
        <f t="shared" si="14"/>
        <v>0</v>
      </c>
      <c r="E29" s="295">
        <f>B28+D29</f>
        <v>1121647</v>
      </c>
      <c r="F29" s="609">
        <f t="shared" si="8"/>
        <v>161410</v>
      </c>
      <c r="G29" s="160">
        <f t="shared" si="1"/>
        <v>0</v>
      </c>
      <c r="H29" s="609">
        <f t="shared" si="9"/>
        <v>558507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1031</v>
      </c>
      <c r="AB29" s="323">
        <f>SUM(AB26:AB28)</f>
        <v>115472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1121647</v>
      </c>
      <c r="C30" s="254">
        <f t="shared" si="0"/>
        <v>0</v>
      </c>
      <c r="D30" s="295">
        <f t="shared" si="14"/>
        <v>0</v>
      </c>
      <c r="E30" s="295">
        <f t="shared" si="15"/>
        <v>1121647</v>
      </c>
      <c r="F30" s="609">
        <f t="shared" si="8"/>
        <v>161410</v>
      </c>
      <c r="G30" s="160">
        <f t="shared" si="1"/>
        <v>0</v>
      </c>
      <c r="H30" s="609">
        <f t="shared" si="9"/>
        <v>558507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7349805</v>
      </c>
      <c r="AC30" s="244"/>
    </row>
    <row r="31" spans="1:32" ht="20.100000000000001" customHeight="1">
      <c r="A31" s="163">
        <f>ELEC!C31</f>
        <v>44740</v>
      </c>
      <c r="B31" s="609">
        <f t="shared" si="7"/>
        <v>1121647</v>
      </c>
      <c r="C31" s="254">
        <f>SUM(B31-B30)</f>
        <v>0</v>
      </c>
      <c r="D31" s="295">
        <f t="shared" si="14"/>
        <v>0</v>
      </c>
      <c r="E31" s="295">
        <f>B30+D31</f>
        <v>1121647</v>
      </c>
      <c r="F31" s="609">
        <f t="shared" si="8"/>
        <v>161410</v>
      </c>
      <c r="G31" s="160">
        <f>F31-F30</f>
        <v>0</v>
      </c>
      <c r="H31" s="609">
        <f t="shared" si="9"/>
        <v>558507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1121647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1121647</v>
      </c>
      <c r="F32" s="609">
        <f t="shared" si="8"/>
        <v>161410</v>
      </c>
      <c r="G32" s="160">
        <f t="shared" ref="G32:G34" si="23">F32-F31</f>
        <v>0</v>
      </c>
      <c r="H32" s="609">
        <f t="shared" si="9"/>
        <v>558507</v>
      </c>
      <c r="I32" s="161">
        <f t="shared" ref="I32:I34" si="24">H32-H31</f>
        <v>0</v>
      </c>
      <c r="J32" s="609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64</v>
      </c>
      <c r="X32" s="222">
        <f>SUM(W32/A35)</f>
        <v>12.8</v>
      </c>
      <c r="Y32" s="250">
        <f>SUM(X32/1)</f>
        <v>12.8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1121647</v>
      </c>
      <c r="C33" s="254">
        <f t="shared" si="20"/>
        <v>0</v>
      </c>
      <c r="D33" s="295">
        <f t="shared" si="21"/>
        <v>0</v>
      </c>
      <c r="E33" s="295">
        <f t="shared" si="22"/>
        <v>1121647</v>
      </c>
      <c r="F33" s="609">
        <f t="shared" si="8"/>
        <v>161410</v>
      </c>
      <c r="G33" s="160">
        <f t="shared" si="23"/>
        <v>0</v>
      </c>
      <c r="H33" s="609">
        <f t="shared" si="9"/>
        <v>558507</v>
      </c>
      <c r="I33" s="161">
        <f t="shared" si="24"/>
        <v>0</v>
      </c>
      <c r="J33" s="609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808478.55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1121647</v>
      </c>
      <c r="C34" s="254">
        <f t="shared" si="20"/>
        <v>0</v>
      </c>
      <c r="D34" s="295">
        <f t="shared" si="21"/>
        <v>0</v>
      </c>
      <c r="E34" s="295">
        <f t="shared" si="22"/>
        <v>1121647</v>
      </c>
      <c r="F34" s="609">
        <f t="shared" si="8"/>
        <v>161410</v>
      </c>
      <c r="G34" s="160">
        <f t="shared" si="23"/>
        <v>0</v>
      </c>
      <c r="H34" s="609">
        <f t="shared" si="9"/>
        <v>558507</v>
      </c>
      <c r="I34" s="161">
        <f t="shared" si="24"/>
        <v>0</v>
      </c>
      <c r="J34" s="609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8158283.5499999998</v>
      </c>
      <c r="AC34" s="244">
        <f>SUM(AC30)</f>
        <v>0</v>
      </c>
    </row>
    <row r="35" spans="1:32" ht="15.75" thickBot="1">
      <c r="A35" s="501">
        <f>A37-COUNTIF(C4:C33,0)</f>
        <v>5</v>
      </c>
      <c r="C35" s="173">
        <f>SUM(C4:C34)/A35</f>
        <v>206.6</v>
      </c>
      <c r="D35" s="173"/>
      <c r="E35" s="173"/>
      <c r="F35" s="564"/>
      <c r="G35" s="564">
        <f>SUM(G4:G34)/A35</f>
        <v>0</v>
      </c>
      <c r="H35" s="173"/>
      <c r="I35" s="173">
        <f>SUM(I4:I34)/A35</f>
        <v>206.2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0.9980638915779283</v>
      </c>
      <c r="G36" s="225">
        <f>IF(C35&gt;0,G35/C35,0)</f>
        <v>0</v>
      </c>
      <c r="H36" s="212"/>
      <c r="I36" s="225">
        <f>SUM(I35/C35)</f>
        <v>0.9980638915779283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4875.4925373134329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4875.4925373134329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4"/>
      <c r="AC45" s="654"/>
      <c r="AD45" s="542"/>
      <c r="AE45" s="17"/>
      <c r="AF45" s="17"/>
    </row>
    <row r="46" spans="1:32">
      <c r="V46" s="654"/>
      <c r="W46" s="654"/>
      <c r="X46" s="654"/>
      <c r="Y46" s="654"/>
      <c r="Z46" s="508"/>
      <c r="AA46" s="508"/>
      <c r="AB46" s="654"/>
      <c r="AC46" s="654"/>
      <c r="AD46" s="542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2"/>
      <c r="AE47" s="17"/>
      <c r="AF47" s="17"/>
    </row>
    <row r="48" spans="1:32">
      <c r="V48" s="655"/>
      <c r="W48" s="655"/>
      <c r="X48" s="656"/>
      <c r="Y48" s="656"/>
      <c r="Z48" s="656"/>
      <c r="AA48" s="509"/>
      <c r="AB48" s="654"/>
      <c r="AC48" s="654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>
        <v>27</v>
      </c>
      <c r="C12" s="37">
        <v>23</v>
      </c>
      <c r="D12" s="26">
        <f>(C12+B12)/2</f>
        <v>25</v>
      </c>
      <c r="E12" s="339">
        <v>0.77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28.7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2797</v>
      </c>
      <c r="D9" s="3">
        <f t="shared" si="0"/>
        <v>187.99999999962165</v>
      </c>
      <c r="E9" s="3">
        <f>ELEC!Q11</f>
        <v>2609.0000000003783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23.299999999999983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2912</v>
      </c>
      <c r="D10" s="3">
        <f t="shared" si="0"/>
        <v>76.000000000669388</v>
      </c>
      <c r="E10" s="3">
        <f>ELEC!Q12</f>
        <v>2835.9999999993306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-14.900000000000034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7</v>
      </c>
      <c r="G11" s="3">
        <f>WATER!C14+WATER!H14</f>
        <v>0</v>
      </c>
      <c r="H11" s="3">
        <f>WATER!L14</f>
        <v>0</v>
      </c>
      <c r="I11" s="15">
        <f>WATER!BC14+WATER!BD14+WATER!BE15-Sheet1!G11</f>
        <v>-8.0000000000000142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146</v>
      </c>
      <c r="C12" s="76">
        <f>'B5'!AH12</f>
        <v>0</v>
      </c>
      <c r="D12" s="76">
        <f>GEN!AI10</f>
        <v>671.51476793258689</v>
      </c>
      <c r="E12" s="239">
        <f t="shared" si="0"/>
        <v>817.51476793258689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2609.0000000003783</v>
      </c>
      <c r="J12" s="79">
        <f>ELEC!R11</f>
        <v>187.99999999962165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44</v>
      </c>
      <c r="C13" s="76">
        <f>'B5'!AH13</f>
        <v>0</v>
      </c>
      <c r="D13" s="76">
        <f>GEN!AI11</f>
        <v>729.94092826986991</v>
      </c>
      <c r="E13" s="239">
        <f t="shared" si="0"/>
        <v>773.94092826986991</v>
      </c>
      <c r="F13" s="75">
        <f>WATER!L13</f>
        <v>0</v>
      </c>
      <c r="G13" s="78">
        <f>WATER!BG13</f>
        <v>27.299999999999983</v>
      </c>
      <c r="H13" s="79">
        <f>ELEC!AF12</f>
        <v>0</v>
      </c>
      <c r="I13" s="79">
        <f>ELEC!Q12</f>
        <v>2835.9999999993306</v>
      </c>
      <c r="J13" s="79">
        <f>ELEC!R12</f>
        <v>76.000000000669388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-8.0000000000000142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-2</v>
      </c>
      <c r="G26">
        <f t="shared" si="1"/>
        <v>-214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zoomScale="70" zoomScaleNormal="70" workbookViewId="0">
      <pane ySplit="1" topLeftCell="A2" activePane="bottomLeft" state="frozen"/>
      <selection pane="bottomLeft" activeCell="B5" sqref="B5:G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23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27</v>
      </c>
      <c r="W17" s="261">
        <f>'General information '!C12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0</v>
      </c>
      <c r="W23" s="261">
        <f>'General information '!C18</f>
        <v>0</v>
      </c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0</v>
      </c>
      <c r="W24" s="261">
        <f>'General information '!C19</f>
        <v>0</v>
      </c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0</v>
      </c>
      <c r="W25" s="261">
        <f>'General information '!C20</f>
        <v>0</v>
      </c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-402.60000000000014</v>
      </c>
      <c r="W43" s="119">
        <f>SUMIF(X10:X37,"&gt;0")</f>
        <v>33.699999999999996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-4401.1000000000004</v>
      </c>
      <c r="O86" s="142">
        <f>C43+G43+K43+O43+S43+W43+C81+G81+K81+O81+S81+W81</f>
        <v>131.99999999999997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31" sqref="G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214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5000</v>
      </c>
      <c r="C8" s="466">
        <f>SUM(tanks!AU37)</f>
        <v>1.147</v>
      </c>
      <c r="D8" s="191">
        <f>SUM(B8*C8)*D4</f>
        <v>8645512.5</v>
      </c>
      <c r="E8" s="192">
        <f>SUM(D8/D4/F4)</f>
        <v>191.16666666666666</v>
      </c>
      <c r="F8" s="192">
        <f>SUM(E8*F4)</f>
        <v>5735</v>
      </c>
      <c r="G8" s="570">
        <f>E8*$G$4</f>
        <v>1529.3333333333333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1031</v>
      </c>
      <c r="C10" s="181"/>
      <c r="D10" s="183">
        <f>'EDl log'!AB30</f>
        <v>7349805</v>
      </c>
      <c r="E10" s="182">
        <f>SUM(D10/D4/F4)</f>
        <v>162.51641791044776</v>
      </c>
      <c r="F10" s="182">
        <f>SUM(E10*F4)</f>
        <v>4875.4925373134329</v>
      </c>
      <c r="G10" s="478">
        <f>E10*$G$4</f>
        <v>1300.1313432835821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627.01641791044779</v>
      </c>
      <c r="F12" s="180">
        <f>SUM(F6:F10)</f>
        <v>18810.492537313432</v>
      </c>
      <c r="G12" s="179">
        <f>SUM(G6:G10)</f>
        <v>11029.464676616915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-69099.435323383077</v>
      </c>
      <c r="I14" s="406">
        <f>SUM(G12-I12)</f>
        <v>-40214.455043813192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28.7</v>
      </c>
      <c r="C16" s="416">
        <f>'[12]Utility Cost '!D16</f>
        <v>20.951612903225808</v>
      </c>
      <c r="D16" s="415"/>
      <c r="E16" s="575">
        <f>B16-C16</f>
        <v>7.7483870967741915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64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-108.73885330486587</v>
      </c>
      <c r="F18" s="495">
        <f>B18-D18</f>
        <v>-138.66666666666666</v>
      </c>
    </row>
    <row r="19" spans="1:10">
      <c r="A19" s="489" t="s">
        <v>412</v>
      </c>
      <c r="B19" s="493">
        <f>GEN!AL34</f>
        <v>7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9.1428571428571423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5" priority="2" stopIfTrue="1" operator="lessThan">
      <formula>0</formula>
    </cfRule>
  </conditionalFormatting>
  <conditionalFormatting sqref="F14:F19">
    <cfRule type="cellIs" dxfId="4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2022-06-10T08:18:14Z</dcterms:modified>
</cp:coreProperties>
</file>