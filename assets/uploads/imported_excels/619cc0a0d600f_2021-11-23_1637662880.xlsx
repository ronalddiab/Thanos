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3 Utilities\HEP\2021\11. November 2021\"/>
    </mc:Choice>
  </mc:AlternateContent>
  <bookViews>
    <workbookView xWindow="0" yWindow="0" windowWidth="19200" windowHeight="12180" tabRatio="762" activeTab="2"/>
  </bookViews>
  <sheets>
    <sheet name="TOTAL" sheetId="11" r:id="rId1"/>
    <sheet name="FS Jimbaran November 2021" sheetId="14" r:id="rId2"/>
    <sheet name="RNs &amp; Covers November 2021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46" i="14" l="1"/>
  <c r="C37" i="10" l="1"/>
  <c r="B37" i="10"/>
  <c r="A36" i="10"/>
  <c r="I42" i="14"/>
  <c r="N42" i="14"/>
  <c r="P42" i="14"/>
  <c r="V42" i="14"/>
  <c r="AA42" i="14"/>
  <c r="AG42" i="14"/>
  <c r="AI42" i="14"/>
  <c r="AL42" i="14"/>
  <c r="AB42" i="14" l="1"/>
  <c r="O42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AI40" i="14" l="1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L46" i="14"/>
  <c r="AL12" i="14"/>
  <c r="AA46" i="14"/>
  <c r="AB46" i="14" s="1"/>
  <c r="AI46" i="14"/>
  <c r="AI12" i="14"/>
  <c r="N46" i="14"/>
  <c r="O12" i="14"/>
  <c r="P46" i="14"/>
  <c r="S46" i="14" s="1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<sst xmlns="http://schemas.openxmlformats.org/spreadsheetml/2006/main" count="100" uniqueCount="55">
  <si>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</si>
  <si>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</si>
  <si>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</si>
  <si>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</si>
  <si>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</si>
  <si>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</si>
  <si>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</si>
  <si>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</si>
  <si>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</si>
  <si>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</si>
  <si>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</si>
  <si>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</si>
  <si>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</si>
  <si>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</si>
  <si>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</si>
  <si>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</si>
  <si>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</si>
  <si>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</si>
  <si>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</si>
  <si>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</si>
  <si>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</si>
  <si>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</si>
  <si>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</si>
  <si>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</si>
  <si>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</si>
  <si>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</si>
  <si>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</si>
  <si>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</si>
  <si>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</si>
  <si>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</si>
  <si>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</si>
  <si>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</si>
  <si>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</si>
  <si>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</si>
  <si>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</si>
  <si>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</si>
  <si>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</si>
  <si>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</si>
  <si>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</si>
  <si>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</si>
  <si>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</si>
  <si>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</si>
  <si>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</si>
  <si>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</si>
  <si>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</si>
  <si>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</si>
  <si>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</si>
  <si>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</si>
  <si>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</si>
  <si>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</si>
  <si>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</si>
  <si>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</si>
  <si>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</si>
  <si>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 xml:space="preserve">Total Fuel Oil  (Liter) </t>
  </si>
  <si>
    <t>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</si>
</sst>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8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168" fontId="0" fillId="0" borderId="29" xfId="2" applyNumberFormat="1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10" xfId="2" applyNumberFormat="1" applyFont="1" applyBorder="1"/>
    <xf numFmtId="43" fontId="0" fillId="0" borderId="45" xfId="2" applyFont="1" applyBorder="1"/>
    <xf numFmtId="43" fontId="0" fillId="0" borderId="57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7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59" xfId="0" applyFill="1" applyBorder="1"/>
    <xf numFmtId="0" fontId="0" fillId="3" borderId="15" xfId="0" applyFill="1" applyBorder="1"/>
    <xf numFmtId="0" fontId="0" fillId="3" borderId="60" xfId="0" applyFill="1" applyBorder="1"/>
    <xf numFmtId="0" fontId="0" fillId="3" borderId="61" xfId="0" applyFill="1" applyBorder="1"/>
    <xf numFmtId="168" fontId="0" fillId="3" borderId="48" xfId="2" applyNumberFormat="1" applyFont="1" applyFill="1" applyBorder="1"/>
    <xf numFmtId="0" fontId="11" fillId="11" borderId="57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8" fontId="0" fillId="0" borderId="21" xfId="0" applyNumberFormat="1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3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4" xfId="2" applyNumberFormat="1" applyFont="1" applyFill="1" applyBorder="1" applyProtection="1">
      <protection locked="0"/>
    </xf>
    <xf numFmtId="168" fontId="14" fillId="3" borderId="45" xfId="2" applyNumberFormat="1" applyFont="1" applyFill="1" applyBorder="1" applyProtection="1">
      <protection locked="0"/>
    </xf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" fillId="5" borderId="6" xfId="0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59" xfId="0" applyFill="1" applyBorder="1" applyAlignment="1">
      <alignment wrapText="1"/>
    </xf>
    <xf numFmtId="0" fontId="7" fillId="3" borderId="59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43" fontId="0" fillId="3" borderId="6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7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168" fontId="14" fillId="3" borderId="55" xfId="2" applyNumberFormat="1" applyFont="1" applyFill="1" applyBorder="1" applyProtection="1">
      <protection locked="0"/>
    </xf>
    <xf numFmtId="168" fontId="14" fillId="3" borderId="57" xfId="2" applyNumberFormat="1" applyFont="1" applyFill="1" applyBorder="1" applyProtection="1">
      <protection locked="0"/>
    </xf>
    <xf numFmtId="168" fontId="0" fillId="0" borderId="56" xfId="2" applyNumberFormat="1" applyFont="1" applyBorder="1"/>
    <xf numFmtId="169" fontId="0" fillId="0" borderId="29" xfId="2" applyNumberFormat="1" applyFont="1" applyBorder="1"/>
    <xf numFmtId="43" fontId="0" fillId="0" borderId="32" xfId="0" applyNumberFormat="1" applyBorder="1"/>
    <xf numFmtId="168" fontId="2" fillId="0" borderId="29" xfId="2" applyNumberFormat="1" applyFont="1" applyBorder="1"/>
    <xf numFmtId="43" fontId="2" fillId="0" borderId="29" xfId="2" applyFont="1" applyBorder="1"/>
    <xf numFmtId="0" fontId="0" fillId="3" borderId="65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43" fontId="0" fillId="3" borderId="68" xfId="2" applyFont="1" applyFill="1" applyBorder="1"/>
    <xf numFmtId="168" fontId="1" fillId="0" borderId="56" xfId="2" applyNumberFormat="1" applyFont="1" applyBorder="1"/>
    <xf numFmtId="168" fontId="0" fillId="0" borderId="30" xfId="0" applyNumberFormat="1" applyBorder="1"/>
    <xf numFmtId="168" fontId="0" fillId="0" borderId="32" xfId="0" applyNumberFormat="1" applyBorder="1"/>
    <xf numFmtId="170" fontId="0" fillId="0" borderId="30" xfId="2" applyNumberFormat="1" applyFont="1" applyBorder="1"/>
    <xf numFmtId="171" fontId="0" fillId="0" borderId="69" xfId="2" applyNumberFormat="1" applyFont="1" applyBorder="1"/>
    <xf numFmtId="170" fontId="0" fillId="0" borderId="32" xfId="2" applyNumberFormat="1" applyFont="1" applyBorder="1"/>
    <xf numFmtId="9" fontId="17" fillId="0" borderId="0" xfId="5" applyFont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8" xfId="0" applyNumberFormat="1" applyFont="1" applyFill="1" applyBorder="1" applyAlignment="1">
      <alignment horizontal="center"/>
    </xf>
    <xf numFmtId="0" fontId="6" fillId="3" borderId="5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F19" sqref="F19"/>
    </sheetView>
  </sheetViews>
  <sheetFormatPr defaultColWidth="11.5703125" defaultRowHeight="15" x14ac:dyDescent="0.25"/>
  <cols>
    <col min="1" max="1" width="18.42578125" style="155" customWidth="1"/>
    <col min="2" max="2" width="11.5703125" style="156"/>
    <col min="3" max="3" width="11.5703125" style="157"/>
    <col min="4" max="4" width="13.42578125" style="156" customWidth="1"/>
    <col min="5" max="5" width="12.5703125" style="154" customWidth="1"/>
    <col min="6" max="6" width="12.5703125" style="158" customWidth="1"/>
    <col min="7" max="7" width="11.5703125" style="154"/>
    <col min="8" max="8" width="11.5703125" style="158"/>
    <col min="9" max="9" width="11.5703125" style="159"/>
    <col min="10" max="10" width="11.5703125" style="160"/>
    <col min="11" max="11" width="11.5703125" style="154"/>
    <col min="12" max="12" width="11.5703125" style="160"/>
    <col min="13" max="26" width="11.5703125" style="154"/>
  </cols>
  <sheetData>
    <row r="1" spans="1:15" s="148" customFormat="1" ht="60" x14ac:dyDescent="0.25">
      <c r="A1" s="144" t="s">
        <v>37</v>
      </c>
      <c r="B1" s="144" t="s">
        <v>38</v>
      </c>
      <c r="C1" s="145" t="s">
        <v>39</v>
      </c>
      <c r="D1" s="144" t="s">
        <v>40</v>
      </c>
      <c r="E1" s="143" t="s">
        <v>41</v>
      </c>
      <c r="F1" s="146" t="s">
        <v>42</v>
      </c>
      <c r="G1" s="143" t="s">
        <v>47</v>
      </c>
      <c r="H1" s="146" t="s">
        <v>48</v>
      </c>
      <c r="I1" s="162" t="s">
        <v>53</v>
      </c>
      <c r="J1" s="146" t="s">
        <v>50</v>
      </c>
      <c r="K1" s="143" t="s">
        <v>43</v>
      </c>
      <c r="L1" s="147" t="s">
        <v>44</v>
      </c>
      <c r="M1" s="143" t="s">
        <v>45</v>
      </c>
      <c r="N1" s="143" t="s">
        <v>3</v>
      </c>
    </row>
    <row r="2" spans="1:15" ht="14.45" x14ac:dyDescent="0.3">
      <c r="A2" s="149" t="s">
        <v>49</v>
      </c>
      <c r="B2" s="150">
        <v>1</v>
      </c>
      <c r="C2" s="151">
        <v>11</v>
      </c>
      <c r="D2" s="150">
        <v>2021</v>
      </c>
      <c r="E2" s="152">
        <f>'FS Jimbaran November 2021'!P12</f>
        <v>13859.999999999785</v>
      </c>
      <c r="F2" s="161">
        <f>'FS Jimbaran November 2021'!O12/'FS Jimbaran November 2021'!P12</f>
        <v>1184.0848636363646</v>
      </c>
      <c r="G2" s="152">
        <f>'FS Jimbaran November 2021'!AG12</f>
        <v>62</v>
      </c>
      <c r="H2" s="161">
        <f>'FS Jimbaran November 2021'!AH12/'FS Jimbaran November 2021'!AG12</f>
        <v>13653.225806451614</v>
      </c>
      <c r="I2" s="152">
        <f>'FS Jimbaran November 2021'!AJ12</f>
        <v>381.63000000000466</v>
      </c>
      <c r="J2" s="153">
        <f>'FS Jimbaran November 2021'!AK12/'FS Jimbaran November 2021'!AJ12</f>
        <v>11100.000000000002</v>
      </c>
      <c r="K2" s="152">
        <f>'FS Jimbaran November 2021'!V12</f>
        <v>539</v>
      </c>
      <c r="L2" s="161">
        <f>'FS Jimbaran November 2021'!AA12/'FS Jimbaran November 2021'!V12</f>
        <v>7835.7306388146253</v>
      </c>
      <c r="M2" s="152">
        <f>+'RNs &amp; Covers November 2021'!B6</f>
        <v>6</v>
      </c>
      <c r="N2" s="163">
        <f>+'RNs &amp; Covers November 2021'!C6</f>
        <v>79</v>
      </c>
    </row>
    <row r="3" spans="1:15" ht="14.45" x14ac:dyDescent="0.3">
      <c r="A3" s="149" t="s">
        <v>49</v>
      </c>
      <c r="B3" s="150">
        <f>B2+1</f>
        <v>2</v>
      </c>
      <c r="C3" s="151">
        <v>11</v>
      </c>
      <c r="D3" s="150">
        <v>2021</v>
      </c>
      <c r="E3" s="163">
        <f>'FS Jimbaran November 2021'!P13</f>
        <v>13860.000000000113</v>
      </c>
      <c r="F3" s="161">
        <f>'FS Jimbaran November 2021'!O13/'FS Jimbaran November 2021'!P13</f>
        <v>1181.7308181818162</v>
      </c>
      <c r="G3" s="163">
        <f>'FS Jimbaran November 2021'!AG13</f>
        <v>50</v>
      </c>
      <c r="H3" s="161">
        <f>'FS Jimbaran November 2021'!AH13/'FS Jimbaran November 2021'!AG13</f>
        <v>14180</v>
      </c>
      <c r="I3" s="163">
        <f>'FS Jimbaran November 2021'!AJ13</f>
        <v>289.71999999999389</v>
      </c>
      <c r="J3" s="153">
        <f>'FS Jimbaran November 2021'!AK13/'FS Jimbaran November 2021'!AJ13</f>
        <v>11100</v>
      </c>
      <c r="K3" s="163">
        <f>'FS Jimbaran November 2021'!V13</f>
        <v>424</v>
      </c>
      <c r="L3" s="161">
        <f>'FS Jimbaran November 2021'!AA13/'FS Jimbaran November 2021'!V13</f>
        <v>8715.5546528257892</v>
      </c>
      <c r="M3" s="163">
        <f>+'RNs &amp; Covers November 2021'!B7</f>
        <v>3</v>
      </c>
      <c r="N3" s="163">
        <f>+'RNs &amp; Covers November 2021'!C7</f>
        <v>37</v>
      </c>
    </row>
    <row r="4" spans="1:15" ht="14.45" x14ac:dyDescent="0.3">
      <c r="A4" s="149" t="s">
        <v>49</v>
      </c>
      <c r="B4" s="150">
        <f t="shared" ref="B4:B31" si="0">B3+1</f>
        <v>3</v>
      </c>
      <c r="C4" s="151">
        <v>11</v>
      </c>
      <c r="D4" s="150">
        <v>2021</v>
      </c>
      <c r="E4" s="163">
        <f>'FS Jimbaran November 2021'!P14</f>
        <v>13639.999999999916</v>
      </c>
      <c r="F4" s="161">
        <f>'FS Jimbaran November 2021'!O14/'FS Jimbaran November 2021'!P14</f>
        <v>1184.0468951612909</v>
      </c>
      <c r="G4" s="163">
        <f>'FS Jimbaran November 2021'!AG14</f>
        <v>62</v>
      </c>
      <c r="H4" s="161">
        <f>'FS Jimbaran November 2021'!AH14/'FS Jimbaran November 2021'!AG14</f>
        <v>13653.225806451614</v>
      </c>
      <c r="I4" s="163">
        <f>'FS Jimbaran November 2021'!AJ14</f>
        <v>317.85000000000582</v>
      </c>
      <c r="J4" s="153">
        <f>'FS Jimbaran November 2021'!AK14/'FS Jimbaran November 2021'!AJ14</f>
        <v>11100</v>
      </c>
      <c r="K4" s="163">
        <f>'FS Jimbaran November 2021'!V14</f>
        <v>437</v>
      </c>
      <c r="L4" s="161">
        <f>'FS Jimbaran November 2021'!AA14/'FS Jimbaran November 2021'!V14</f>
        <v>8596.3163294607493</v>
      </c>
      <c r="M4" s="163">
        <f>+'RNs &amp; Covers November 2021'!B8</f>
        <v>0</v>
      </c>
      <c r="N4" s="163">
        <f>+'RNs &amp; Covers November 2021'!C8</f>
        <v>45</v>
      </c>
    </row>
    <row r="5" spans="1:15" ht="14.45" x14ac:dyDescent="0.3">
      <c r="A5" s="149" t="s">
        <v>49</v>
      </c>
      <c r="B5" s="150">
        <f t="shared" si="0"/>
        <v>4</v>
      </c>
      <c r="C5" s="151">
        <v>11</v>
      </c>
      <c r="D5" s="150">
        <v>2021</v>
      </c>
      <c r="E5" s="163">
        <f>'FS Jimbaran November 2021'!P15</f>
        <v>13880.000000000095</v>
      </c>
      <c r="F5" s="161">
        <f>'FS Jimbaran November 2021'!O15/'FS Jimbaran November 2021'!P15</f>
        <v>1179.2444848703149</v>
      </c>
      <c r="G5" s="163">
        <f>'FS Jimbaran November 2021'!AG15</f>
        <v>50</v>
      </c>
      <c r="H5" s="161">
        <f>'FS Jimbaran November 2021'!AH15/'FS Jimbaran November 2021'!AG15</f>
        <v>14180</v>
      </c>
      <c r="I5" s="163">
        <f>'FS Jimbaran November 2021'!AJ15</f>
        <v>26.399999999994179</v>
      </c>
      <c r="J5" s="153">
        <f>'FS Jimbaran November 2021'!AK15/'FS Jimbaran November 2021'!AJ15</f>
        <v>11100</v>
      </c>
      <c r="K5" s="163">
        <f>'FS Jimbaran November 2021'!V15</f>
        <v>607</v>
      </c>
      <c r="L5" s="161">
        <f>'FS Jimbaran November 2021'!AA15/'FS Jimbaran November 2021'!V15</f>
        <v>7922.738232350609</v>
      </c>
      <c r="M5" s="163">
        <f>+'RNs &amp; Covers November 2021'!B9</f>
        <v>8</v>
      </c>
      <c r="N5" s="163">
        <f>+'RNs &amp; Covers November 2021'!C9</f>
        <v>41</v>
      </c>
    </row>
    <row r="6" spans="1:15" ht="14.45" x14ac:dyDescent="0.3">
      <c r="A6" s="149" t="s">
        <v>49</v>
      </c>
      <c r="B6" s="150">
        <f t="shared" si="0"/>
        <v>5</v>
      </c>
      <c r="C6" s="151">
        <v>11</v>
      </c>
      <c r="D6" s="150">
        <v>2021</v>
      </c>
      <c r="E6" s="163">
        <f>'FS Jimbaran November 2021'!P16</f>
        <v>14399.999999999849</v>
      </c>
      <c r="F6" s="161">
        <f>'FS Jimbaran November 2021'!O16/'FS Jimbaran November 2021'!P16</f>
        <v>1183.4865437500014</v>
      </c>
      <c r="G6" s="163">
        <f>'FS Jimbaran November 2021'!AG16</f>
        <v>62</v>
      </c>
      <c r="H6" s="161">
        <f>'FS Jimbaran November 2021'!AH16/'FS Jimbaran November 2021'!AG16</f>
        <v>13653.225806451614</v>
      </c>
      <c r="I6" s="163">
        <f>'FS Jimbaran November 2021'!AJ16</f>
        <v>116.97000000000116</v>
      </c>
      <c r="J6" s="153">
        <f>'FS Jimbaran November 2021'!AK16/'FS Jimbaran November 2021'!AJ16</f>
        <v>11100.000000000002</v>
      </c>
      <c r="K6" s="163">
        <f>'FS Jimbaran November 2021'!V16</f>
        <v>612</v>
      </c>
      <c r="L6" s="161">
        <f>'FS Jimbaran November 2021'!AA16/'FS Jimbaran November 2021'!V16</f>
        <v>9306.6393743912358</v>
      </c>
      <c r="M6" s="163">
        <f>+'RNs &amp; Covers November 2021'!B10</f>
        <v>9</v>
      </c>
      <c r="N6" s="163">
        <f>+'RNs &amp; Covers November 2021'!C10</f>
        <v>79</v>
      </c>
    </row>
    <row r="7" spans="1:15" ht="14.45" x14ac:dyDescent="0.3">
      <c r="A7" s="149" t="s">
        <v>49</v>
      </c>
      <c r="B7" s="150">
        <f t="shared" si="0"/>
        <v>6</v>
      </c>
      <c r="C7" s="151">
        <v>11</v>
      </c>
      <c r="D7" s="150">
        <v>2021</v>
      </c>
      <c r="E7" s="163">
        <f>'FS Jimbaran November 2021'!P17</f>
        <v>15260.000000000118</v>
      </c>
      <c r="F7" s="161">
        <f>'FS Jimbaran November 2021'!O17/'FS Jimbaran November 2021'!P17</f>
        <v>1180.2190458715622</v>
      </c>
      <c r="G7" s="163">
        <f>'FS Jimbaran November 2021'!AG17</f>
        <v>62</v>
      </c>
      <c r="H7" s="161">
        <f>'FS Jimbaran November 2021'!AH17/'FS Jimbaran November 2021'!AG17</f>
        <v>13653.225806451614</v>
      </c>
      <c r="I7" s="163">
        <f>'FS Jimbaran November 2021'!AJ17</f>
        <v>247.23000000002503</v>
      </c>
      <c r="J7" s="153">
        <f>'FS Jimbaran November 2021'!AK17/'FS Jimbaran November 2021'!AJ17</f>
        <v>11100</v>
      </c>
      <c r="K7" s="163">
        <f>'FS Jimbaran November 2021'!V17</f>
        <v>711</v>
      </c>
      <c r="L7" s="161">
        <f>'FS Jimbaran November 2021'!AA17/'FS Jimbaran November 2021'!V17</f>
        <v>8628.8785314475263</v>
      </c>
      <c r="M7" s="163">
        <f>+'RNs &amp; Covers November 2021'!B11</f>
        <v>7</v>
      </c>
      <c r="N7" s="163">
        <f>+'RNs &amp; Covers November 2021'!C11</f>
        <v>89</v>
      </c>
    </row>
    <row r="8" spans="1:15" ht="14.45" x14ac:dyDescent="0.3">
      <c r="A8" s="149" t="s">
        <v>49</v>
      </c>
      <c r="B8" s="150">
        <f t="shared" si="0"/>
        <v>7</v>
      </c>
      <c r="C8" s="151">
        <v>11</v>
      </c>
      <c r="D8" s="150">
        <v>2021</v>
      </c>
      <c r="E8" s="163">
        <f>'FS Jimbaran November 2021'!P18</f>
        <v>15020.000000000209</v>
      </c>
      <c r="F8" s="161">
        <f>'FS Jimbaran November 2021'!O18/'FS Jimbaran November 2021'!P18</f>
        <v>1180.2513115845529</v>
      </c>
      <c r="G8" s="163">
        <f>'FS Jimbaran November 2021'!AG18</f>
        <v>112</v>
      </c>
      <c r="H8" s="161">
        <f>'FS Jimbaran November 2021'!AH18/'FS Jimbaran November 2021'!AG18</f>
        <v>13888.392857142857</v>
      </c>
      <c r="I8" s="163">
        <f>'FS Jimbaran November 2021'!AJ18</f>
        <v>97.900000000001455</v>
      </c>
      <c r="J8" s="153">
        <f>'FS Jimbaran November 2021'!AK18/'FS Jimbaran November 2021'!AJ18</f>
        <v>11100</v>
      </c>
      <c r="K8" s="163">
        <f>'FS Jimbaran November 2021'!V18</f>
        <v>806</v>
      </c>
      <c r="L8" s="161">
        <f>'FS Jimbaran November 2021'!AA18/'FS Jimbaran November 2021'!V18</f>
        <v>8166.6592162540255</v>
      </c>
      <c r="M8" s="163">
        <f>+'RNs &amp; Covers November 2021'!B12</f>
        <v>3</v>
      </c>
      <c r="N8" s="163">
        <f>+'RNs &amp; Covers November 2021'!C12</f>
        <v>115</v>
      </c>
    </row>
    <row r="9" spans="1:15" ht="14.45" x14ac:dyDescent="0.3">
      <c r="A9" s="149" t="s">
        <v>49</v>
      </c>
      <c r="B9" s="150">
        <f t="shared" si="0"/>
        <v>8</v>
      </c>
      <c r="C9" s="151">
        <v>11</v>
      </c>
      <c r="D9" s="150">
        <v>2021</v>
      </c>
      <c r="E9" s="163">
        <f>'FS Jimbaran November 2021'!P19</f>
        <v>14499.999999999645</v>
      </c>
      <c r="F9" s="161">
        <f>'FS Jimbaran November 2021'!O19/'FS Jimbaran November 2021'!P19</f>
        <v>1181.3249482758617</v>
      </c>
      <c r="G9" s="163">
        <f>'FS Jimbaran November 2021'!AG19</f>
        <v>62</v>
      </c>
      <c r="H9" s="161">
        <f>'FS Jimbaran November 2021'!AH19/'FS Jimbaran November 2021'!AG19</f>
        <v>13653.225806451614</v>
      </c>
      <c r="I9" s="163">
        <f>'FS Jimbaran November 2021'!AJ19</f>
        <v>313.04999999999563</v>
      </c>
      <c r="J9" s="153">
        <f>'FS Jimbaran November 2021'!AK19/'FS Jimbaran November 2021'!AJ19</f>
        <v>11100</v>
      </c>
      <c r="K9" s="163">
        <f>'FS Jimbaran November 2021'!V19</f>
        <v>685</v>
      </c>
      <c r="L9" s="161">
        <f>'FS Jimbaran November 2021'!AA19/'FS Jimbaran November 2021'!V19</f>
        <v>8797.1092138185359</v>
      </c>
      <c r="M9" s="163">
        <f>+'RNs &amp; Covers November 2021'!B13</f>
        <v>10</v>
      </c>
      <c r="N9" s="163">
        <f>+'RNs &amp; Covers November 2021'!C13</f>
        <v>68</v>
      </c>
      <c r="O9" s="154" t="s">
        <v>46</v>
      </c>
    </row>
    <row r="10" spans="1:15" ht="14.45" x14ac:dyDescent="0.3">
      <c r="A10" s="149" t="s">
        <v>49</v>
      </c>
      <c r="B10" s="150">
        <f t="shared" si="0"/>
        <v>9</v>
      </c>
      <c r="C10" s="151">
        <v>11</v>
      </c>
      <c r="D10" s="150">
        <v>2021</v>
      </c>
      <c r="E10" s="163">
        <f>'FS Jimbaran November 2021'!P20</f>
        <v>14160.00000000004</v>
      </c>
      <c r="F10" s="161">
        <f>'FS Jimbaran November 2021'!O20/'FS Jimbaran November 2021'!P20</f>
        <v>1185.8803220338987</v>
      </c>
      <c r="G10" s="163">
        <f>'FS Jimbaran November 2021'!AG20</f>
        <v>112</v>
      </c>
      <c r="H10" s="161">
        <f>'FS Jimbaran November 2021'!AH20/'FS Jimbaran November 2021'!AG20</f>
        <v>13888.392857142857</v>
      </c>
      <c r="I10" s="163">
        <f>'FS Jimbaran November 2021'!AJ20</f>
        <v>87.680000000000291</v>
      </c>
      <c r="J10" s="153">
        <f>'FS Jimbaran November 2021'!AK20/'FS Jimbaran November 2021'!AJ20</f>
        <v>11100</v>
      </c>
      <c r="K10" s="163">
        <f>'FS Jimbaran November 2021'!V20</f>
        <v>597</v>
      </c>
      <c r="L10" s="161">
        <f>'FS Jimbaran November 2021'!AA20/'FS Jimbaran November 2021'!V20</f>
        <v>9088.5997980958473</v>
      </c>
      <c r="M10" s="163">
        <f>+'RNs &amp; Covers November 2021'!B14</f>
        <v>11</v>
      </c>
      <c r="N10" s="163">
        <f>+'RNs &amp; Covers November 2021'!C14</f>
        <v>98</v>
      </c>
    </row>
    <row r="11" spans="1:15" ht="14.45" x14ac:dyDescent="0.3">
      <c r="A11" s="149" t="s">
        <v>49</v>
      </c>
      <c r="B11" s="150">
        <f t="shared" si="0"/>
        <v>10</v>
      </c>
      <c r="C11" s="151">
        <v>11</v>
      </c>
      <c r="D11" s="150">
        <v>2021</v>
      </c>
      <c r="E11" s="163">
        <f>'FS Jimbaran November 2021'!P21</f>
        <v>14360.000000000227</v>
      </c>
      <c r="F11" s="161">
        <f>'FS Jimbaran November 2021'!O21/'FS Jimbaran November 2021'!P21</f>
        <v>1180.724283426181</v>
      </c>
      <c r="G11" s="163">
        <f>'FS Jimbaran November 2021'!AG21</f>
        <v>62</v>
      </c>
      <c r="H11" s="161">
        <f>'FS Jimbaran November 2021'!AH21/'FS Jimbaran November 2021'!AG21</f>
        <v>13653.225806451614</v>
      </c>
      <c r="I11" s="163">
        <f>'FS Jimbaran November 2021'!AJ21</f>
        <v>192.25</v>
      </c>
      <c r="J11" s="153">
        <f>'FS Jimbaran November 2021'!AK21/'FS Jimbaran November 2021'!AJ21</f>
        <v>11100</v>
      </c>
      <c r="K11" s="163">
        <f>'FS Jimbaran November 2021'!V21</f>
        <v>572</v>
      </c>
      <c r="L11" s="161">
        <f>'FS Jimbaran November 2021'!AA21/'FS Jimbaran November 2021'!V21</f>
        <v>8514.091435346294</v>
      </c>
      <c r="M11" s="163">
        <f>+'RNs &amp; Covers November 2021'!B15</f>
        <v>3</v>
      </c>
      <c r="N11" s="163">
        <f>+'RNs &amp; Covers November 2021'!C15</f>
        <v>81</v>
      </c>
    </row>
    <row r="12" spans="1:15" ht="14.45" x14ac:dyDescent="0.3">
      <c r="A12" s="149" t="s">
        <v>49</v>
      </c>
      <c r="B12" s="150">
        <f t="shared" si="0"/>
        <v>11</v>
      </c>
      <c r="C12" s="151">
        <v>11</v>
      </c>
      <c r="D12" s="150">
        <v>2021</v>
      </c>
      <c r="E12" s="163">
        <f>'FS Jimbaran November 2021'!P22</f>
        <v>14499.999999999602</v>
      </c>
      <c r="F12" s="161">
        <f>'FS Jimbaran November 2021'!O22/'FS Jimbaran November 2021'!P22</f>
        <v>1192.5756620689688</v>
      </c>
      <c r="G12" s="163">
        <f>'FS Jimbaran November 2021'!AG22</f>
        <v>62</v>
      </c>
      <c r="H12" s="161">
        <f>'FS Jimbaran November 2021'!AH22/'FS Jimbaran November 2021'!AG22</f>
        <v>13653.225806451614</v>
      </c>
      <c r="I12" s="163">
        <f>'FS Jimbaran November 2021'!AJ22</f>
        <v>559.51000000000204</v>
      </c>
      <c r="J12" s="153">
        <f>'FS Jimbaran November 2021'!AK22/'FS Jimbaran November 2021'!AJ22</f>
        <v>11100</v>
      </c>
      <c r="K12" s="163">
        <f>'FS Jimbaran November 2021'!V22</f>
        <v>542</v>
      </c>
      <c r="L12" s="161">
        <f>'FS Jimbaran November 2021'!AA22/'FS Jimbaran November 2021'!V22</f>
        <v>9949.6421077567411</v>
      </c>
      <c r="M12" s="163">
        <f>+'RNs &amp; Covers November 2021'!B16</f>
        <v>7</v>
      </c>
      <c r="N12" s="163">
        <f>+'RNs &amp; Covers November 2021'!C16</f>
        <v>68</v>
      </c>
    </row>
    <row r="13" spans="1:15" ht="14.45" x14ac:dyDescent="0.3">
      <c r="A13" s="149" t="s">
        <v>49</v>
      </c>
      <c r="B13" s="150">
        <f t="shared" si="0"/>
        <v>12</v>
      </c>
      <c r="C13" s="151">
        <v>11</v>
      </c>
      <c r="D13" s="150">
        <v>2021</v>
      </c>
      <c r="E13" s="163">
        <f>'FS Jimbaran November 2021'!P23</f>
        <v>14200.000000000173</v>
      </c>
      <c r="F13" s="161">
        <f>'FS Jimbaran November 2021'!O23/'FS Jimbaran November 2021'!P23</f>
        <v>1182.539814084505</v>
      </c>
      <c r="G13" s="163">
        <f>'FS Jimbaran November 2021'!AG23</f>
        <v>112</v>
      </c>
      <c r="H13" s="161">
        <f>'FS Jimbaran November 2021'!AH23/'FS Jimbaran November 2021'!AG23</f>
        <v>13888.392857142857</v>
      </c>
      <c r="I13" s="163">
        <f>'FS Jimbaran November 2021'!AJ23</f>
        <v>379.19999999999709</v>
      </c>
      <c r="J13" s="153">
        <f>'FS Jimbaran November 2021'!AK23/'FS Jimbaran November 2021'!AJ23</f>
        <v>11100</v>
      </c>
      <c r="K13" s="163">
        <f>'FS Jimbaran November 2021'!V23</f>
        <v>597</v>
      </c>
      <c r="L13" s="161">
        <f>'FS Jimbaran November 2021'!AA23/'FS Jimbaran November 2021'!V23</f>
        <v>9466.6804233920484</v>
      </c>
      <c r="M13" s="163">
        <f>+'RNs &amp; Covers November 2021'!B17</f>
        <v>7</v>
      </c>
      <c r="N13" s="163">
        <f>+'RNs &amp; Covers November 2021'!C17</f>
        <v>100</v>
      </c>
    </row>
    <row r="14" spans="1:15" ht="14.45" x14ac:dyDescent="0.3">
      <c r="A14" s="149" t="s">
        <v>49</v>
      </c>
      <c r="B14" s="150">
        <f t="shared" si="0"/>
        <v>13</v>
      </c>
      <c r="C14" s="151">
        <v>11</v>
      </c>
      <c r="D14" s="150">
        <v>2021</v>
      </c>
      <c r="E14" s="163">
        <f>'FS Jimbaran November 2021'!P24</f>
        <v>14399.99999999992</v>
      </c>
      <c r="F14" s="161">
        <f>'FS Jimbaran November 2021'!O24/'FS Jimbaran November 2021'!P24</f>
        <v>1180.4655187500018</v>
      </c>
      <c r="G14" s="163">
        <f>'FS Jimbaran November 2021'!AG24</f>
        <v>112</v>
      </c>
      <c r="H14" s="161">
        <f>'FS Jimbaran November 2021'!AH24/'FS Jimbaran November 2021'!AG24</f>
        <v>13888.392857142857</v>
      </c>
      <c r="I14" s="163">
        <f>'FS Jimbaran November 2021'!AJ24</f>
        <v>115.85999999999331</v>
      </c>
      <c r="J14" s="153">
        <f>'FS Jimbaran November 2021'!AK24/'FS Jimbaran November 2021'!AJ24</f>
        <v>11100</v>
      </c>
      <c r="K14" s="163">
        <f>'FS Jimbaran November 2021'!V24</f>
        <v>736</v>
      </c>
      <c r="L14" s="161">
        <f>'FS Jimbaran November 2021'!AA24/'FS Jimbaran November 2021'!V24</f>
        <v>8549.7926026309706</v>
      </c>
      <c r="M14" s="163">
        <f>+'RNs &amp; Covers November 2021'!B18</f>
        <v>7</v>
      </c>
      <c r="N14" s="163">
        <f>+'RNs &amp; Covers November 2021'!C18</f>
        <v>92</v>
      </c>
    </row>
    <row r="15" spans="1:15" ht="14.45" x14ac:dyDescent="0.3">
      <c r="A15" s="149" t="s">
        <v>49</v>
      </c>
      <c r="B15" s="150">
        <f t="shared" si="0"/>
        <v>14</v>
      </c>
      <c r="C15" s="151">
        <v>11</v>
      </c>
      <c r="D15" s="150">
        <v>2021</v>
      </c>
      <c r="E15" s="163">
        <f>'FS Jimbaran November 2021'!P25</f>
        <v>14100.000000000222</v>
      </c>
      <c r="F15" s="161">
        <f>'FS Jimbaran November 2021'!O25/'FS Jimbaran November 2021'!P25</f>
        <v>1185.5273425531918</v>
      </c>
      <c r="G15" s="163">
        <f>'FS Jimbaran November 2021'!AG25</f>
        <v>112</v>
      </c>
      <c r="H15" s="161">
        <f>'FS Jimbaran November 2021'!AH25/'FS Jimbaran November 2021'!AG25</f>
        <v>15370.535714285714</v>
      </c>
      <c r="I15" s="163">
        <f>'FS Jimbaran November 2021'!AJ25</f>
        <v>289.40000000000146</v>
      </c>
      <c r="J15" s="153">
        <f>'FS Jimbaran November 2021'!AK25/'FS Jimbaran November 2021'!AJ25</f>
        <v>11100</v>
      </c>
      <c r="K15" s="163">
        <f>'FS Jimbaran November 2021'!V25</f>
        <v>653</v>
      </c>
      <c r="L15" s="161">
        <f>'FS Jimbaran November 2021'!AA25/'FS Jimbaran November 2021'!V25</f>
        <v>9017.8608143340061</v>
      </c>
      <c r="M15" s="163">
        <f>+'RNs &amp; Covers November 2021'!B19</f>
        <v>5</v>
      </c>
      <c r="N15" s="163">
        <f>+'RNs &amp; Covers November 2021'!C19</f>
        <v>106</v>
      </c>
    </row>
    <row r="16" spans="1:15" ht="14.45" x14ac:dyDescent="0.3">
      <c r="A16" s="149" t="s">
        <v>49</v>
      </c>
      <c r="B16" s="150">
        <f t="shared" si="0"/>
        <v>15</v>
      </c>
      <c r="C16" s="151">
        <v>11</v>
      </c>
      <c r="D16" s="150">
        <v>2021</v>
      </c>
      <c r="E16" s="163">
        <f>'FS Jimbaran November 2021'!P26</f>
        <v>14459.999999999794</v>
      </c>
      <c r="F16" s="161">
        <f>'FS Jimbaran November 2021'!O26/'FS Jimbaran November 2021'!P26</f>
        <v>1183.0885456431552</v>
      </c>
      <c r="G16" s="163">
        <f>'FS Jimbaran November 2021'!AG26</f>
        <v>50</v>
      </c>
      <c r="H16" s="161">
        <f>'FS Jimbaran November 2021'!AH26/'FS Jimbaran November 2021'!AG26</f>
        <v>15840</v>
      </c>
      <c r="I16" s="163">
        <f>'FS Jimbaran November 2021'!AJ26</f>
        <v>279.14999999999418</v>
      </c>
      <c r="J16" s="153">
        <f>'FS Jimbaran November 2021'!AK26/'FS Jimbaran November 2021'!AJ26</f>
        <v>11100</v>
      </c>
      <c r="K16" s="163">
        <f>'FS Jimbaran November 2021'!V26</f>
        <v>848</v>
      </c>
      <c r="L16" s="161">
        <f>'FS Jimbaran November 2021'!AA26/'FS Jimbaran November 2021'!V26</f>
        <v>8042.2952374554534</v>
      </c>
      <c r="M16" s="163">
        <f>+'RNs &amp; Covers November 2021'!B20</f>
        <v>8</v>
      </c>
      <c r="N16" s="163">
        <f>+'RNs &amp; Covers November 2021'!C20</f>
        <v>45</v>
      </c>
    </row>
    <row r="17" spans="1:14" ht="14.45" x14ac:dyDescent="0.3">
      <c r="A17" s="149" t="s">
        <v>49</v>
      </c>
      <c r="B17" s="150">
        <f t="shared" si="0"/>
        <v>16</v>
      </c>
      <c r="C17" s="151">
        <v>11</v>
      </c>
      <c r="D17" s="150">
        <v>2021</v>
      </c>
      <c r="E17" s="163">
        <f>'FS Jimbaran November 2021'!P27</f>
        <v>13900.000000000176</v>
      </c>
      <c r="F17" s="161">
        <f>'FS Jimbaran November 2021'!O27/'FS Jimbaran November 2021'!P27</f>
        <v>1186.93681510791</v>
      </c>
      <c r="G17" s="163">
        <f>'FS Jimbaran November 2021'!AG27</f>
        <v>62</v>
      </c>
      <c r="H17" s="161">
        <f>'FS Jimbaran November 2021'!AH27/'FS Jimbaran November 2021'!AG27</f>
        <v>14991.935483870968</v>
      </c>
      <c r="I17" s="163">
        <f>'FS Jimbaran November 2021'!AJ27</f>
        <v>257.67000000000553</v>
      </c>
      <c r="J17" s="153">
        <f>'FS Jimbaran November 2021'!AK27/'FS Jimbaran November 2021'!AJ27</f>
        <v>11100</v>
      </c>
      <c r="K17" s="163">
        <f>'FS Jimbaran November 2021'!V27</f>
        <v>741</v>
      </c>
      <c r="L17" s="161">
        <f>'FS Jimbaran November 2021'!AA27/'FS Jimbaran November 2021'!V27</f>
        <v>8505.9468506579524</v>
      </c>
      <c r="M17" s="163">
        <f>+'RNs &amp; Covers November 2021'!B21</f>
        <v>7</v>
      </c>
      <c r="N17" s="163">
        <f>+'RNs &amp; Covers November 2021'!C21</f>
        <v>59</v>
      </c>
    </row>
    <row r="18" spans="1:14" ht="14.45" x14ac:dyDescent="0.3">
      <c r="A18" s="149" t="s">
        <v>49</v>
      </c>
      <c r="B18" s="150">
        <f t="shared" si="0"/>
        <v>17</v>
      </c>
      <c r="C18" s="151">
        <v>11</v>
      </c>
      <c r="D18" s="150">
        <v>2021</v>
      </c>
      <c r="E18" s="163">
        <f>'FS Jimbaran November 2021'!P28</f>
        <v>16079.999999999742</v>
      </c>
      <c r="F18" s="161">
        <f>'FS Jimbaran November 2021'!O28/'FS Jimbaran November 2021'!P28</f>
        <v>1197.1375186567182</v>
      </c>
      <c r="G18" s="163">
        <f>'FS Jimbaran November 2021'!AG28</f>
        <v>112</v>
      </c>
      <c r="H18" s="161">
        <f>'FS Jimbaran November 2021'!AH28/'FS Jimbaran November 2021'!AG28</f>
        <v>15370.535714285714</v>
      </c>
      <c r="I18" s="163">
        <f>'FS Jimbaran November 2021'!AJ28</f>
        <v>389.96999999999389</v>
      </c>
      <c r="J18" s="153">
        <f>'FS Jimbaran November 2021'!AK28/'FS Jimbaran November 2021'!AJ28</f>
        <v>11100</v>
      </c>
      <c r="K18" s="163">
        <f>'FS Jimbaran November 2021'!V28</f>
        <v>571</v>
      </c>
      <c r="L18" s="161">
        <f>'FS Jimbaran November 2021'!AA28/'FS Jimbaran November 2021'!V28</f>
        <v>9636.8887609365429</v>
      </c>
      <c r="M18" s="163">
        <f>+'RNs &amp; Covers November 2021'!B22</f>
        <v>16</v>
      </c>
      <c r="N18" s="163">
        <f>+'RNs &amp; Covers November 2021'!C22</f>
        <v>103</v>
      </c>
    </row>
    <row r="19" spans="1:14" ht="14.45" x14ac:dyDescent="0.3">
      <c r="A19" s="149" t="s">
        <v>49</v>
      </c>
      <c r="B19" s="150">
        <f t="shared" si="0"/>
        <v>18</v>
      </c>
      <c r="C19" s="151">
        <v>11</v>
      </c>
      <c r="D19" s="150">
        <v>2021</v>
      </c>
      <c r="E19" s="163">
        <f>'FS Jimbaran November 2021'!P29</f>
        <v>15739.999999999909</v>
      </c>
      <c r="F19" s="161">
        <f>'FS Jimbaran November 2021'!O29/'FS Jimbaran November 2021'!P29</f>
        <v>1179.46650762389</v>
      </c>
      <c r="G19" s="163">
        <f>'FS Jimbaran November 2021'!AG29</f>
        <v>62</v>
      </c>
      <c r="H19" s="161">
        <f>'FS Jimbaran November 2021'!AH29/'FS Jimbaran November 2021'!AG29</f>
        <v>14991.935483870968</v>
      </c>
      <c r="I19" s="163">
        <f>'FS Jimbaran November 2021'!AJ29</f>
        <v>70.110000000000582</v>
      </c>
      <c r="J19" s="153">
        <f>'FS Jimbaran November 2021'!AK29/'FS Jimbaran November 2021'!AJ29</f>
        <v>11100</v>
      </c>
      <c r="K19" s="163">
        <f>'FS Jimbaran November 2021'!V29</f>
        <v>554</v>
      </c>
      <c r="L19" s="161">
        <f>'FS Jimbaran November 2021'!AA29/'FS Jimbaran November 2021'!V29</f>
        <v>9812.1235939881226</v>
      </c>
      <c r="M19" s="163">
        <f>+'RNs &amp; Covers November 2021'!B23</f>
        <v>17</v>
      </c>
      <c r="N19" s="163">
        <f>+'RNs &amp; Covers November 2021'!C23</f>
        <v>91</v>
      </c>
    </row>
    <row r="20" spans="1:14" x14ac:dyDescent="0.25">
      <c r="A20" s="149" t="s">
        <v>49</v>
      </c>
      <c r="B20" s="150">
        <f t="shared" si="0"/>
        <v>19</v>
      </c>
      <c r="C20" s="151">
        <v>11</v>
      </c>
      <c r="D20" s="150">
        <v>2021</v>
      </c>
      <c r="E20" s="163">
        <f>'FS Jimbaran November 2021'!P30</f>
        <v>16000.0000000002</v>
      </c>
      <c r="F20" s="161">
        <f>'FS Jimbaran November 2021'!O30/'FS Jimbaran November 2021'!P30</f>
        <v>1180.0123649999969</v>
      </c>
      <c r="G20" s="163">
        <f>'FS Jimbaran November 2021'!AG30</f>
        <v>112</v>
      </c>
      <c r="H20" s="161">
        <f>'FS Jimbaran November 2021'!AH30/'FS Jimbaran November 2021'!AG30</f>
        <v>15370.535714285714</v>
      </c>
      <c r="I20" s="163">
        <f>'FS Jimbaran November 2021'!AJ30</f>
        <v>306.04000000000087</v>
      </c>
      <c r="J20" s="153">
        <f>'FS Jimbaran November 2021'!AK30/'FS Jimbaran November 2021'!AJ30</f>
        <v>11100</v>
      </c>
      <c r="K20" s="163">
        <f>'FS Jimbaran November 2021'!V30</f>
        <v>674</v>
      </c>
      <c r="L20" s="161">
        <f>'FS Jimbaran November 2021'!AA30/'FS Jimbaran November 2021'!V30</f>
        <v>8863.8566370823701</v>
      </c>
      <c r="M20" s="163">
        <f>+'RNs &amp; Covers November 2021'!B24</f>
        <v>13</v>
      </c>
      <c r="N20" s="163">
        <f>+'RNs &amp; Covers November 2021'!C24</f>
        <v>117</v>
      </c>
    </row>
    <row r="21" spans="1:14" x14ac:dyDescent="0.25">
      <c r="A21" s="149" t="s">
        <v>49</v>
      </c>
      <c r="B21" s="150">
        <f t="shared" si="0"/>
        <v>20</v>
      </c>
      <c r="C21" s="151">
        <v>11</v>
      </c>
      <c r="D21" s="150">
        <v>2021</v>
      </c>
      <c r="E21" s="163">
        <f>'FS Jimbaran November 2021'!P31</f>
        <v>15139.999999999916</v>
      </c>
      <c r="F21" s="161">
        <f>'FS Jimbaran November 2021'!O31/'FS Jimbaran November 2021'!P31</f>
        <v>1178.7983678996045</v>
      </c>
      <c r="G21" s="163">
        <f>'FS Jimbaran November 2021'!AG31</f>
        <v>112</v>
      </c>
      <c r="H21" s="161">
        <f>'FS Jimbaran November 2021'!AH31/'FS Jimbaran November 2021'!AG31</f>
        <v>15370.535714285714</v>
      </c>
      <c r="I21" s="163">
        <f>'FS Jimbaran November 2021'!AJ31</f>
        <v>171.56000000000495</v>
      </c>
      <c r="J21" s="153">
        <f>'FS Jimbaran November 2021'!AK31/'FS Jimbaran November 2021'!AJ31</f>
        <v>11100</v>
      </c>
      <c r="K21" s="163">
        <f>'FS Jimbaran November 2021'!V31</f>
        <v>777</v>
      </c>
      <c r="L21" s="161">
        <f>'FS Jimbaran November 2021'!AA31/'FS Jimbaran November 2021'!V31</f>
        <v>8312.8604456257417</v>
      </c>
      <c r="M21" s="163">
        <f>+'RNs &amp; Covers November 2021'!B25</f>
        <v>20</v>
      </c>
      <c r="N21" s="163">
        <f>+'RNs &amp; Covers November 2021'!C25</f>
        <v>142</v>
      </c>
    </row>
    <row r="22" spans="1:14" x14ac:dyDescent="0.25">
      <c r="A22" s="149" t="s">
        <v>49</v>
      </c>
      <c r="B22" s="150">
        <f t="shared" si="0"/>
        <v>21</v>
      </c>
      <c r="C22" s="151">
        <v>11</v>
      </c>
      <c r="D22" s="150">
        <v>2021</v>
      </c>
      <c r="E22" s="163">
        <f>'FS Jimbaran November 2021'!P32</f>
        <v>0</v>
      </c>
      <c r="F22" s="161" t="e">
        <f>'FS Jimbaran November 2021'!O32/'FS Jimbaran November 2021'!P32</f>
        <v>#DIV/0!</v>
      </c>
      <c r="G22" s="163">
        <f>'FS Jimbaran November 2021'!AG32</f>
        <v>0</v>
      </c>
      <c r="H22" s="161" t="e">
        <f>'FS Jimbaran November 2021'!AH32/'FS Jimbaran November 2021'!AG32</f>
        <v>#DIV/0!</v>
      </c>
      <c r="I22" s="163">
        <f>'FS Jimbaran November 2021'!AJ32</f>
        <v>0</v>
      </c>
      <c r="J22" s="153" t="e">
        <f>'FS Jimbaran November 2021'!AK32/'FS Jimbaran November 2021'!AJ32</f>
        <v>#DIV/0!</v>
      </c>
      <c r="K22" s="163">
        <f>'FS Jimbaran November 2021'!V32</f>
        <v>0</v>
      </c>
      <c r="L22" s="161" t="e">
        <f>'FS Jimbaran November 2021'!AA32/'FS Jimbaran November 2021'!V32</f>
        <v>#DIV/0!</v>
      </c>
      <c r="M22" s="163">
        <f>+'RNs &amp; Covers November 2021'!B26</f>
        <v>0</v>
      </c>
      <c r="N22" s="163">
        <f>+'RNs &amp; Covers November 2021'!C26</f>
        <v>0</v>
      </c>
    </row>
    <row r="23" spans="1:14" x14ac:dyDescent="0.25">
      <c r="A23" s="149" t="s">
        <v>49</v>
      </c>
      <c r="B23" s="150">
        <f t="shared" si="0"/>
        <v>22</v>
      </c>
      <c r="C23" s="151">
        <v>11</v>
      </c>
      <c r="D23" s="150">
        <v>2021</v>
      </c>
      <c r="E23" s="163">
        <f>'FS Jimbaran November 2021'!P33</f>
        <v>0</v>
      </c>
      <c r="F23" s="161" t="e">
        <f>'FS Jimbaran November 2021'!O33/'FS Jimbaran November 2021'!P33</f>
        <v>#DIV/0!</v>
      </c>
      <c r="G23" s="163">
        <f>'FS Jimbaran November 2021'!AG33</f>
        <v>0</v>
      </c>
      <c r="H23" s="161" t="e">
        <f>'FS Jimbaran November 2021'!AH33/'FS Jimbaran November 2021'!AG33</f>
        <v>#DIV/0!</v>
      </c>
      <c r="I23" s="163">
        <f>'FS Jimbaran November 2021'!AJ33</f>
        <v>0</v>
      </c>
      <c r="J23" s="153" t="e">
        <f>'FS Jimbaran November 2021'!AK33/'FS Jimbaran November 2021'!AJ33</f>
        <v>#DIV/0!</v>
      </c>
      <c r="K23" s="163">
        <f>'FS Jimbaran November 2021'!V33</f>
        <v>0</v>
      </c>
      <c r="L23" s="161" t="e">
        <f>'FS Jimbaran November 2021'!AA33/'FS Jimbaran November 2021'!V33</f>
        <v>#DIV/0!</v>
      </c>
      <c r="M23" s="163">
        <f>+'RNs &amp; Covers November 2021'!B27</f>
        <v>0</v>
      </c>
      <c r="N23" s="163">
        <f>+'RNs &amp; Covers November 2021'!C27</f>
        <v>0</v>
      </c>
    </row>
    <row r="24" spans="1:14" x14ac:dyDescent="0.25">
      <c r="A24" s="149" t="s">
        <v>49</v>
      </c>
      <c r="B24" s="150">
        <f t="shared" si="0"/>
        <v>23</v>
      </c>
      <c r="C24" s="151">
        <v>11</v>
      </c>
      <c r="D24" s="150">
        <v>2021</v>
      </c>
      <c r="E24" s="163">
        <f>'FS Jimbaran November 2021'!P34</f>
        <v>0</v>
      </c>
      <c r="F24" s="161" t="e">
        <f>'FS Jimbaran November 2021'!O34/'FS Jimbaran November 2021'!P34</f>
        <v>#DIV/0!</v>
      </c>
      <c r="G24" s="163">
        <f>'FS Jimbaran November 2021'!AG34</f>
        <v>0</v>
      </c>
      <c r="H24" s="161" t="e">
        <f>'FS Jimbaran November 2021'!AH34/'FS Jimbaran November 2021'!AG34</f>
        <v>#DIV/0!</v>
      </c>
      <c r="I24" s="163">
        <f>'FS Jimbaran November 2021'!AJ34</f>
        <v>0</v>
      </c>
      <c r="J24" s="153" t="e">
        <f>'FS Jimbaran November 2021'!AK34/'FS Jimbaran November 2021'!AJ34</f>
        <v>#DIV/0!</v>
      </c>
      <c r="K24" s="163">
        <f>'FS Jimbaran November 2021'!V34</f>
        <v>0</v>
      </c>
      <c r="L24" s="161" t="e">
        <f>'FS Jimbaran November 2021'!AA34/'FS Jimbaran November 2021'!V34</f>
        <v>#DIV/0!</v>
      </c>
      <c r="M24" s="163">
        <f>+'RNs &amp; Covers November 2021'!B28</f>
        <v>0</v>
      </c>
      <c r="N24" s="163">
        <f>+'RNs &amp; Covers November 2021'!C28</f>
        <v>0</v>
      </c>
    </row>
    <row r="25" spans="1:14" x14ac:dyDescent="0.25">
      <c r="A25" s="149" t="s">
        <v>49</v>
      </c>
      <c r="B25" s="150">
        <f t="shared" si="0"/>
        <v>24</v>
      </c>
      <c r="C25" s="151">
        <v>11</v>
      </c>
      <c r="D25" s="150">
        <v>2021</v>
      </c>
      <c r="E25" s="163">
        <f>'FS Jimbaran November 2021'!P35</f>
        <v>0</v>
      </c>
      <c r="F25" s="161" t="e">
        <f>'FS Jimbaran November 2021'!O35/'FS Jimbaran November 2021'!P35</f>
        <v>#DIV/0!</v>
      </c>
      <c r="G25" s="163">
        <f>'FS Jimbaran November 2021'!AG35</f>
        <v>0</v>
      </c>
      <c r="H25" s="161" t="e">
        <f>'FS Jimbaran November 2021'!AH35/'FS Jimbaran November 2021'!AG35</f>
        <v>#DIV/0!</v>
      </c>
      <c r="I25" s="163">
        <f>'FS Jimbaran November 2021'!AJ35</f>
        <v>0</v>
      </c>
      <c r="J25" s="153" t="e">
        <f>'FS Jimbaran November 2021'!AK35/'FS Jimbaran November 2021'!AJ35</f>
        <v>#DIV/0!</v>
      </c>
      <c r="K25" s="163">
        <f>'FS Jimbaran November 2021'!V35</f>
        <v>0</v>
      </c>
      <c r="L25" s="161" t="e">
        <f>'FS Jimbaran November 2021'!AA35/'FS Jimbaran November 2021'!V35</f>
        <v>#DIV/0!</v>
      </c>
      <c r="M25" s="163">
        <f>+'RNs &amp; Covers November 2021'!B29</f>
        <v>0</v>
      </c>
      <c r="N25" s="163">
        <f>+'RNs &amp; Covers November 2021'!C29</f>
        <v>0</v>
      </c>
    </row>
    <row r="26" spans="1:14" x14ac:dyDescent="0.25">
      <c r="A26" s="149" t="s">
        <v>49</v>
      </c>
      <c r="B26" s="150">
        <f>B25+1</f>
        <v>25</v>
      </c>
      <c r="C26" s="151">
        <v>11</v>
      </c>
      <c r="D26" s="150">
        <v>2021</v>
      </c>
      <c r="E26" s="163">
        <f>'FS Jimbaran November 2021'!P36</f>
        <v>0</v>
      </c>
      <c r="F26" s="161" t="e">
        <f>'FS Jimbaran November 2021'!O36/'FS Jimbaran November 2021'!P36</f>
        <v>#DIV/0!</v>
      </c>
      <c r="G26" s="163">
        <f>'FS Jimbaran November 2021'!AG36</f>
        <v>0</v>
      </c>
      <c r="H26" s="161" t="e">
        <f>'FS Jimbaran November 2021'!AH36/'FS Jimbaran November 2021'!AG36</f>
        <v>#DIV/0!</v>
      </c>
      <c r="I26" s="163">
        <f>'FS Jimbaran November 2021'!AJ36</f>
        <v>0</v>
      </c>
      <c r="J26" s="153" t="e">
        <f>'FS Jimbaran November 2021'!AK36/'FS Jimbaran November 2021'!AJ36</f>
        <v>#DIV/0!</v>
      </c>
      <c r="K26" s="163">
        <f>'FS Jimbaran November 2021'!V36</f>
        <v>0</v>
      </c>
      <c r="L26" s="161" t="e">
        <f>'FS Jimbaran November 2021'!AA36/'FS Jimbaran November 2021'!V36</f>
        <v>#DIV/0!</v>
      </c>
      <c r="M26" s="163">
        <f>+'RNs &amp; Covers November 2021'!B30</f>
        <v>0</v>
      </c>
      <c r="N26" s="163">
        <f>+'RNs &amp; Covers November 2021'!C30</f>
        <v>0</v>
      </c>
    </row>
    <row r="27" spans="1:14" x14ac:dyDescent="0.25">
      <c r="A27" s="149" t="s">
        <v>49</v>
      </c>
      <c r="B27" s="150">
        <f t="shared" si="0"/>
        <v>26</v>
      </c>
      <c r="C27" s="151">
        <v>11</v>
      </c>
      <c r="D27" s="150">
        <v>2021</v>
      </c>
      <c r="E27" s="163">
        <f>'FS Jimbaran November 2021'!P37</f>
        <v>0</v>
      </c>
      <c r="F27" s="161" t="e">
        <f>'FS Jimbaran November 2021'!O37/'FS Jimbaran November 2021'!P37</f>
        <v>#DIV/0!</v>
      </c>
      <c r="G27" s="163">
        <f>'FS Jimbaran November 2021'!AG37</f>
        <v>0</v>
      </c>
      <c r="H27" s="161" t="e">
        <f>'FS Jimbaran November 2021'!AH37/'FS Jimbaran November 2021'!AG37</f>
        <v>#DIV/0!</v>
      </c>
      <c r="I27" s="163">
        <f>'FS Jimbaran November 2021'!AJ37</f>
        <v>0</v>
      </c>
      <c r="J27" s="153" t="e">
        <f>'FS Jimbaran November 2021'!AK37/'FS Jimbaran November 2021'!AJ37</f>
        <v>#DIV/0!</v>
      </c>
      <c r="K27" s="163">
        <f>'FS Jimbaran November 2021'!V37</f>
        <v>0</v>
      </c>
      <c r="L27" s="161" t="e">
        <f>'FS Jimbaran November 2021'!AA37/'FS Jimbaran November 2021'!V37</f>
        <v>#DIV/0!</v>
      </c>
      <c r="M27" s="163">
        <f>+'RNs &amp; Covers November 2021'!B31</f>
        <v>0</v>
      </c>
      <c r="N27" s="163">
        <f>+'RNs &amp; Covers November 2021'!C31</f>
        <v>0</v>
      </c>
    </row>
    <row r="28" spans="1:14" x14ac:dyDescent="0.25">
      <c r="A28" s="149" t="s">
        <v>49</v>
      </c>
      <c r="B28" s="150">
        <f t="shared" si="0"/>
        <v>27</v>
      </c>
      <c r="C28" s="151">
        <v>11</v>
      </c>
      <c r="D28" s="150">
        <v>2021</v>
      </c>
      <c r="E28" s="163">
        <f>'FS Jimbaran November 2021'!P38</f>
        <v>0</v>
      </c>
      <c r="F28" s="161" t="e">
        <f>'FS Jimbaran November 2021'!O38/'FS Jimbaran November 2021'!P38</f>
        <v>#DIV/0!</v>
      </c>
      <c r="G28" s="163">
        <f>'FS Jimbaran November 2021'!AG38</f>
        <v>0</v>
      </c>
      <c r="H28" s="161" t="e">
        <f>'FS Jimbaran November 2021'!AH38/'FS Jimbaran November 2021'!AG38</f>
        <v>#DIV/0!</v>
      </c>
      <c r="I28" s="163">
        <f>'FS Jimbaran November 2021'!AJ38</f>
        <v>0</v>
      </c>
      <c r="J28" s="153" t="e">
        <f>'FS Jimbaran November 2021'!AK38/'FS Jimbaran November 2021'!AJ38</f>
        <v>#DIV/0!</v>
      </c>
      <c r="K28" s="163">
        <f>'FS Jimbaran November 2021'!V38</f>
        <v>0</v>
      </c>
      <c r="L28" s="161" t="e">
        <f>'FS Jimbaran November 2021'!AA38/'FS Jimbaran November 2021'!V38</f>
        <v>#DIV/0!</v>
      </c>
      <c r="M28" s="163">
        <f>+'RNs &amp; Covers November 2021'!B32</f>
        <v>0</v>
      </c>
      <c r="N28" s="163">
        <f>+'RNs &amp; Covers November 2021'!C32</f>
        <v>0</v>
      </c>
    </row>
    <row r="29" spans="1:14" x14ac:dyDescent="0.25">
      <c r="A29" s="149" t="s">
        <v>49</v>
      </c>
      <c r="B29" s="150">
        <f t="shared" si="0"/>
        <v>28</v>
      </c>
      <c r="C29" s="151">
        <v>11</v>
      </c>
      <c r="D29" s="150">
        <v>2021</v>
      </c>
      <c r="E29" s="163">
        <f>'FS Jimbaran November 2021'!P39</f>
        <v>0</v>
      </c>
      <c r="F29" s="161" t="e">
        <f>'FS Jimbaran November 2021'!O39/'FS Jimbaran November 2021'!P39</f>
        <v>#DIV/0!</v>
      </c>
      <c r="G29" s="163">
        <f>'FS Jimbaran November 2021'!AG39</f>
        <v>0</v>
      </c>
      <c r="H29" s="161" t="e">
        <f>'FS Jimbaran November 2021'!AH39/'FS Jimbaran November 2021'!AG39</f>
        <v>#DIV/0!</v>
      </c>
      <c r="I29" s="163">
        <f>'FS Jimbaran November 2021'!AJ39</f>
        <v>0</v>
      </c>
      <c r="J29" s="153" t="e">
        <f>'FS Jimbaran November 2021'!AK39/'FS Jimbaran November 2021'!AJ39</f>
        <v>#DIV/0!</v>
      </c>
      <c r="K29" s="163">
        <f>'FS Jimbaran November 2021'!V39</f>
        <v>0</v>
      </c>
      <c r="L29" s="161" t="e">
        <f>'FS Jimbaran November 2021'!AA39/'FS Jimbaran November 2021'!V39</f>
        <v>#DIV/0!</v>
      </c>
      <c r="M29" s="163">
        <f>+'RNs &amp; Covers November 2021'!B33</f>
        <v>0</v>
      </c>
      <c r="N29" s="163">
        <f>+'RNs &amp; Covers November 2021'!C33</f>
        <v>0</v>
      </c>
    </row>
    <row r="30" spans="1:14" x14ac:dyDescent="0.25">
      <c r="A30" s="149" t="s">
        <v>49</v>
      </c>
      <c r="B30" s="150">
        <f t="shared" si="0"/>
        <v>29</v>
      </c>
      <c r="C30" s="151">
        <v>11</v>
      </c>
      <c r="D30" s="150">
        <v>2021</v>
      </c>
      <c r="E30" s="163">
        <f>'FS Jimbaran November 2021'!P40</f>
        <v>0</v>
      </c>
      <c r="F30" s="161" t="e">
        <f>'FS Jimbaran November 2021'!O40/'FS Jimbaran November 2021'!P40</f>
        <v>#DIV/0!</v>
      </c>
      <c r="G30" s="163">
        <f>'FS Jimbaran November 2021'!AG40</f>
        <v>0</v>
      </c>
      <c r="H30" s="161" t="e">
        <f>'FS Jimbaran November 2021'!AH40/'FS Jimbaran November 2021'!AG40</f>
        <v>#DIV/0!</v>
      </c>
      <c r="I30" s="163">
        <f>'FS Jimbaran November 2021'!AJ40</f>
        <v>0</v>
      </c>
      <c r="J30" s="153" t="e">
        <f>'FS Jimbaran November 2021'!AK40/'FS Jimbaran November 2021'!AJ40</f>
        <v>#DIV/0!</v>
      </c>
      <c r="K30" s="163">
        <f>'FS Jimbaran November 2021'!V40</f>
        <v>0</v>
      </c>
      <c r="L30" s="161" t="e">
        <f>'FS Jimbaran November 2021'!AA40/'FS Jimbaran November 2021'!V40</f>
        <v>#DIV/0!</v>
      </c>
      <c r="M30" s="163">
        <f>+'RNs &amp; Covers November 2021'!B34</f>
        <v>0</v>
      </c>
      <c r="N30" s="163">
        <f>+'RNs &amp; Covers November 2021'!C34</f>
        <v>0</v>
      </c>
    </row>
    <row r="31" spans="1:14" x14ac:dyDescent="0.25">
      <c r="A31" s="149" t="s">
        <v>49</v>
      </c>
      <c r="B31" s="150">
        <f t="shared" si="0"/>
        <v>30</v>
      </c>
      <c r="C31" s="151">
        <v>11</v>
      </c>
      <c r="D31" s="150">
        <v>2021</v>
      </c>
      <c r="E31" s="163">
        <f>'FS Jimbaran November 2021'!P41</f>
        <v>0</v>
      </c>
      <c r="F31" s="161" t="e">
        <f>'FS Jimbaran November 2021'!O41/'FS Jimbaran November 2021'!P41</f>
        <v>#DIV/0!</v>
      </c>
      <c r="G31" s="163">
        <f>'FS Jimbaran November 2021'!AG41</f>
        <v>0</v>
      </c>
      <c r="H31" s="161" t="e">
        <f>'FS Jimbaran November 2021'!AH41/'FS Jimbaran November 2021'!AG41</f>
        <v>#DIV/0!</v>
      </c>
      <c r="I31" s="163">
        <f>'FS Jimbaran November 2021'!AJ41</f>
        <v>0</v>
      </c>
      <c r="J31" s="153" t="e">
        <f>'FS Jimbaran November 2021'!AK41/'FS Jimbaran November 2021'!AJ41</f>
        <v>#DIV/0!</v>
      </c>
      <c r="K31" s="163">
        <f>'FS Jimbaran November 2021'!V41</f>
        <v>0</v>
      </c>
      <c r="L31" s="161" t="e">
        <f>'FS Jimbaran November 2021'!AA41/'FS Jimbaran November 2021'!V41</f>
        <v>#DIV/0!</v>
      </c>
      <c r="M31" s="163">
        <f>+'RNs &amp; Covers November 2021'!B35</f>
        <v>0</v>
      </c>
      <c r="N31" s="163">
        <f>+'RNs &amp; Covers November 2021'!C35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C12" sqref="C12:D31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2" bestFit="1" customWidth="1"/>
    <col min="14" max="14" width="20.42578125" style="66" customWidth="1"/>
    <col min="15" max="15" width="18.85546875" customWidth="1"/>
    <col min="16" max="16" width="15.140625" style="66" customWidth="1"/>
    <col min="17" max="17" width="19.7109375" customWidth="1"/>
    <col min="18" max="18" width="18.140625" style="87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7" bestFit="1" customWidth="1"/>
    <col min="37" max="37" width="20.7109375" bestFit="1" customWidth="1"/>
    <col min="38" max="38" width="9.42578125" style="39" bestFit="1" customWidth="1"/>
    <col min="39" max="39" width="2.28515625" style="15" customWidth="1"/>
  </cols>
  <sheetData>
    <row r="5" spans="1:39" x14ac:dyDescent="0.25">
      <c r="N5" s="164"/>
      <c r="X5" s="165"/>
    </row>
    <row r="6" spans="1:39" s="25" customFormat="1" ht="19.5" thickBot="1" x14ac:dyDescent="0.35">
      <c r="B6" s="25" t="s">
        <v>28</v>
      </c>
      <c r="C6" s="34"/>
      <c r="E6" s="34"/>
      <c r="F6" s="34"/>
      <c r="H6" s="34"/>
      <c r="L6" s="34"/>
      <c r="M6" s="57"/>
      <c r="N6" s="63"/>
      <c r="P6" s="63"/>
      <c r="R6" s="83"/>
      <c r="AD6" s="34"/>
      <c r="AH6" s="34"/>
      <c r="AJ6" s="83"/>
      <c r="AL6" s="36"/>
    </row>
    <row r="7" spans="1:39" s="12" customFormat="1" ht="16.5" thickBot="1" x14ac:dyDescent="0.3">
      <c r="A7" s="30"/>
      <c r="B7" s="229" t="s">
        <v>54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1"/>
      <c r="AM7" s="30"/>
    </row>
    <row r="8" spans="1:39" s="8" customFormat="1" ht="15.75" customHeight="1" thickBot="1" x14ac:dyDescent="0.3">
      <c r="A8" s="26"/>
      <c r="B8" s="232" t="s">
        <v>1</v>
      </c>
      <c r="C8" s="235" t="s">
        <v>2</v>
      </c>
      <c r="D8" s="238" t="s">
        <v>3</v>
      </c>
      <c r="E8" s="241" t="s">
        <v>34</v>
      </c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2"/>
      <c r="V8" s="243" t="s">
        <v>19</v>
      </c>
      <c r="W8" s="244"/>
      <c r="X8" s="244"/>
      <c r="Y8" s="244"/>
      <c r="Z8" s="244"/>
      <c r="AA8" s="244"/>
      <c r="AB8" s="245"/>
      <c r="AC8" s="246" t="s">
        <v>24</v>
      </c>
      <c r="AD8" s="246"/>
      <c r="AE8" s="246"/>
      <c r="AF8" s="246"/>
      <c r="AG8" s="246"/>
      <c r="AH8" s="246"/>
      <c r="AI8" s="246"/>
      <c r="AJ8" s="246"/>
      <c r="AK8" s="246"/>
      <c r="AL8" s="247"/>
      <c r="AM8" s="28"/>
    </row>
    <row r="9" spans="1:39" ht="15" customHeight="1" thickBot="1" x14ac:dyDescent="0.3">
      <c r="A9" s="29"/>
      <c r="B9" s="233"/>
      <c r="C9" s="236"/>
      <c r="D9" s="239"/>
      <c r="E9" s="248" t="s">
        <v>33</v>
      </c>
      <c r="F9" s="249"/>
      <c r="G9" s="249"/>
      <c r="H9" s="249"/>
      <c r="I9" s="250"/>
      <c r="J9" s="251" t="s">
        <v>5</v>
      </c>
      <c r="K9" s="251"/>
      <c r="L9" s="251"/>
      <c r="M9" s="251"/>
      <c r="N9" s="252"/>
      <c r="O9" s="238" t="s">
        <v>12</v>
      </c>
      <c r="P9" s="253" t="s">
        <v>32</v>
      </c>
      <c r="Q9" s="255" t="s">
        <v>51</v>
      </c>
      <c r="R9" s="260" t="s">
        <v>21</v>
      </c>
      <c r="S9" s="262" t="s">
        <v>13</v>
      </c>
      <c r="T9" s="225" t="s">
        <v>18</v>
      </c>
      <c r="U9" s="226"/>
      <c r="V9" s="51"/>
      <c r="W9" s="51" t="s">
        <v>4</v>
      </c>
      <c r="X9" s="51"/>
      <c r="Y9" s="52"/>
      <c r="Z9" s="207"/>
      <c r="AA9" s="227" t="s">
        <v>27</v>
      </c>
      <c r="AB9" s="228"/>
      <c r="AC9" s="246" t="s">
        <v>22</v>
      </c>
      <c r="AD9" s="246"/>
      <c r="AE9" s="246"/>
      <c r="AF9" s="246"/>
      <c r="AG9" s="246"/>
      <c r="AH9" s="246"/>
      <c r="AI9" s="247"/>
      <c r="AJ9" s="257" t="s">
        <v>20</v>
      </c>
      <c r="AK9" s="258"/>
      <c r="AL9" s="259"/>
      <c r="AM9" s="29"/>
    </row>
    <row r="10" spans="1:39" ht="61.5" customHeight="1" thickBot="1" x14ac:dyDescent="0.3">
      <c r="A10" s="27"/>
      <c r="B10" s="234"/>
      <c r="C10" s="237"/>
      <c r="D10" s="240"/>
      <c r="E10" s="95" t="s">
        <v>35</v>
      </c>
      <c r="F10" s="81" t="s">
        <v>6</v>
      </c>
      <c r="G10" s="124" t="s">
        <v>36</v>
      </c>
      <c r="H10" s="18" t="s">
        <v>6</v>
      </c>
      <c r="I10" s="96" t="s">
        <v>14</v>
      </c>
      <c r="J10" s="95" t="s">
        <v>35</v>
      </c>
      <c r="K10" s="82" t="s">
        <v>6</v>
      </c>
      <c r="L10" s="124" t="s">
        <v>36</v>
      </c>
      <c r="M10" s="58" t="s">
        <v>6</v>
      </c>
      <c r="N10" s="90" t="s">
        <v>15</v>
      </c>
      <c r="O10" s="240"/>
      <c r="P10" s="254"/>
      <c r="Q10" s="256"/>
      <c r="R10" s="261"/>
      <c r="S10" s="263"/>
      <c r="T10" s="167" t="s">
        <v>16</v>
      </c>
      <c r="U10" s="23" t="s">
        <v>17</v>
      </c>
      <c r="V10" s="168" t="s">
        <v>8</v>
      </c>
      <c r="W10" s="53" t="s">
        <v>0</v>
      </c>
      <c r="X10" s="53" t="s">
        <v>26</v>
      </c>
      <c r="Y10" s="22" t="s">
        <v>10</v>
      </c>
      <c r="Z10" s="22" t="s">
        <v>30</v>
      </c>
      <c r="AA10" s="22" t="s">
        <v>16</v>
      </c>
      <c r="AB10" s="13" t="s">
        <v>17</v>
      </c>
      <c r="AC10" s="118" t="s">
        <v>7</v>
      </c>
      <c r="AD10" s="46" t="s">
        <v>31</v>
      </c>
      <c r="AE10" s="45" t="s">
        <v>11</v>
      </c>
      <c r="AF10" s="45" t="s">
        <v>9</v>
      </c>
      <c r="AG10" s="45" t="s">
        <v>25</v>
      </c>
      <c r="AH10" s="46" t="s">
        <v>16</v>
      </c>
      <c r="AI10" s="47" t="s">
        <v>17</v>
      </c>
      <c r="AJ10" s="131" t="s">
        <v>23</v>
      </c>
      <c r="AK10" s="45" t="s">
        <v>16</v>
      </c>
      <c r="AL10" s="49" t="s">
        <v>17</v>
      </c>
      <c r="AM10" s="27"/>
    </row>
    <row r="11" spans="1:39" x14ac:dyDescent="0.25">
      <c r="A11" s="27"/>
      <c r="B11" s="55"/>
      <c r="C11" s="97"/>
      <c r="D11" s="169"/>
      <c r="E11" s="170"/>
      <c r="F11" s="88"/>
      <c r="G11" s="19"/>
      <c r="H11" s="20"/>
      <c r="I11" s="98"/>
      <c r="J11" s="89"/>
      <c r="K11" s="19"/>
      <c r="L11" s="20"/>
      <c r="M11" s="59"/>
      <c r="N11" s="91"/>
      <c r="O11" s="54"/>
      <c r="P11" s="103"/>
      <c r="Q11" s="171"/>
      <c r="R11" s="106"/>
      <c r="S11" s="172"/>
      <c r="T11" s="172"/>
      <c r="U11" s="206"/>
      <c r="V11" s="89"/>
      <c r="W11" s="19"/>
      <c r="X11" s="19"/>
      <c r="Y11" s="21"/>
      <c r="Z11" s="21"/>
      <c r="AA11" s="21"/>
      <c r="AB11" s="98"/>
      <c r="AC11" s="119"/>
      <c r="AD11" s="43"/>
      <c r="AE11" s="40"/>
      <c r="AF11" s="40"/>
      <c r="AG11" s="40"/>
      <c r="AH11" s="43"/>
      <c r="AI11" s="44"/>
      <c r="AJ11" s="132"/>
      <c r="AK11" s="40"/>
      <c r="AL11" s="48"/>
      <c r="AM11" s="27"/>
    </row>
    <row r="12" spans="1:39" x14ac:dyDescent="0.25">
      <c r="A12" s="33"/>
      <c r="B12" s="56">
        <v>1</v>
      </c>
      <c r="C12" s="140">
        <v>6</v>
      </c>
      <c r="D12" s="141">
        <v>79</v>
      </c>
      <c r="E12" s="100">
        <v>10239.999999999782</v>
      </c>
      <c r="F12" s="3">
        <v>11136706.559999764</v>
      </c>
      <c r="G12" s="35">
        <v>2159.9999999999682</v>
      </c>
      <c r="H12" s="3">
        <v>3523723.5599999484</v>
      </c>
      <c r="I12" s="99">
        <f>F12+H12</f>
        <v>14660430.119999712</v>
      </c>
      <c r="J12" s="100">
        <v>1160.000000000025</v>
      </c>
      <c r="K12" s="3">
        <v>1261580.0400000273</v>
      </c>
      <c r="L12" s="173">
        <v>300.00000000001137</v>
      </c>
      <c r="M12" s="174">
        <v>489406.05000001861</v>
      </c>
      <c r="N12" s="92">
        <f>+K12+M12</f>
        <v>1750986.090000046</v>
      </c>
      <c r="O12" s="101">
        <f>N12+I12</f>
        <v>16411416.209999759</v>
      </c>
      <c r="P12" s="104">
        <f>L12+J12+G12+E12</f>
        <v>13859.999999999785</v>
      </c>
      <c r="Q12" s="126"/>
      <c r="R12" s="188"/>
      <c r="S12" s="200"/>
      <c r="T12" s="197"/>
      <c r="U12" s="196">
        <v>0</v>
      </c>
      <c r="V12" s="175">
        <f>Y12+W12</f>
        <v>539</v>
      </c>
      <c r="W12" s="3">
        <v>127</v>
      </c>
      <c r="X12" s="3">
        <v>2284046.0428903494</v>
      </c>
      <c r="Y12" s="31">
        <v>412</v>
      </c>
      <c r="Z12" s="31">
        <v>1939412.7714307334</v>
      </c>
      <c r="AA12" s="31">
        <f t="shared" ref="AA12:AA39" si="0">Z12+X12</f>
        <v>4223458.814321083</v>
      </c>
      <c r="AB12" s="120">
        <f t="shared" ref="AB12:AB41" si="1">AA12/$AL$47</f>
        <v>325.48008023380561</v>
      </c>
      <c r="AC12" s="125">
        <v>0</v>
      </c>
      <c r="AD12" s="3">
        <v>0</v>
      </c>
      <c r="AE12" s="3">
        <v>50</v>
      </c>
      <c r="AF12" s="3">
        <v>12</v>
      </c>
      <c r="AG12" s="3">
        <f t="shared" ref="AG12:AG31" si="2">+AE12+AF12</f>
        <v>62</v>
      </c>
      <c r="AH12" s="3">
        <v>846500</v>
      </c>
      <c r="AI12" s="41">
        <f t="shared" ref="AI12:AI41" si="3">AH12/$AL$47</f>
        <v>65.235367510552095</v>
      </c>
      <c r="AJ12" s="133">
        <v>381.63000000000466</v>
      </c>
      <c r="AK12" s="3">
        <v>4236093.0000000522</v>
      </c>
      <c r="AL12" s="37">
        <f t="shared" ref="AL12:AL41" si="4">AK12/$AL$47</f>
        <v>326.45373143990616</v>
      </c>
      <c r="AM12" s="7"/>
    </row>
    <row r="13" spans="1:39" x14ac:dyDescent="0.25">
      <c r="A13" s="33"/>
      <c r="B13" s="56">
        <v>2</v>
      </c>
      <c r="C13" s="140">
        <v>3</v>
      </c>
      <c r="D13" s="141">
        <v>37</v>
      </c>
      <c r="E13" s="100">
        <v>10320.000000000164</v>
      </c>
      <c r="F13" s="3">
        <v>11223712.080000179</v>
      </c>
      <c r="G13" s="35">
        <v>2039.9999999999636</v>
      </c>
      <c r="H13" s="3">
        <v>3327961.139999941</v>
      </c>
      <c r="I13" s="99">
        <f t="shared" ref="I13:I41" si="5">F13+H13</f>
        <v>14551673.22000012</v>
      </c>
      <c r="J13" s="100">
        <v>1139.9999999999864</v>
      </c>
      <c r="K13" s="3">
        <v>1239828.659999985</v>
      </c>
      <c r="L13" s="173">
        <v>359.99999999999943</v>
      </c>
      <c r="M13" s="174">
        <v>587287.25999999908</v>
      </c>
      <c r="N13" s="92">
        <f t="shared" ref="N13:N41" si="6">+K13+M13</f>
        <v>1827115.9199999841</v>
      </c>
      <c r="O13" s="101">
        <f t="shared" ref="O13:O39" si="7">N13+I13</f>
        <v>16378789.140000105</v>
      </c>
      <c r="P13" s="104">
        <f t="shared" ref="P13:P39" si="8">L13+J13+G13+E13</f>
        <v>13860.000000000113</v>
      </c>
      <c r="Q13" s="178"/>
      <c r="R13" s="189"/>
      <c r="S13" s="200"/>
      <c r="T13" s="197"/>
      <c r="U13" s="196">
        <v>0</v>
      </c>
      <c r="V13" s="175">
        <f t="shared" ref="V13:V41" si="9">Y13+W13</f>
        <v>424</v>
      </c>
      <c r="W13" s="3">
        <v>128</v>
      </c>
      <c r="X13" s="3">
        <v>2302030.6574012972</v>
      </c>
      <c r="Y13" s="31">
        <v>296</v>
      </c>
      <c r="Z13" s="31">
        <v>1393364.5153968376</v>
      </c>
      <c r="AA13" s="31">
        <f t="shared" si="0"/>
        <v>3695395.1727981349</v>
      </c>
      <c r="AB13" s="120">
        <f t="shared" si="1"/>
        <v>284.78495238535913</v>
      </c>
      <c r="AC13" s="125">
        <v>0</v>
      </c>
      <c r="AD13" s="3">
        <v>0</v>
      </c>
      <c r="AE13" s="3">
        <v>50</v>
      </c>
      <c r="AF13" s="3">
        <v>0</v>
      </c>
      <c r="AG13" s="3">
        <f t="shared" si="2"/>
        <v>50</v>
      </c>
      <c r="AH13" s="3">
        <v>709000</v>
      </c>
      <c r="AI13" s="41">
        <f t="shared" si="3"/>
        <v>54.638955186038324</v>
      </c>
      <c r="AJ13" s="133">
        <v>289.71999999999389</v>
      </c>
      <c r="AK13" s="3">
        <v>3215891.999999932</v>
      </c>
      <c r="AL13" s="37">
        <f t="shared" si="4"/>
        <v>247.83212816803305</v>
      </c>
      <c r="AM13" s="7"/>
    </row>
    <row r="14" spans="1:39" x14ac:dyDescent="0.25">
      <c r="A14" s="33"/>
      <c r="B14" s="56">
        <v>3</v>
      </c>
      <c r="C14" s="140">
        <v>0</v>
      </c>
      <c r="D14" s="141">
        <v>45</v>
      </c>
      <c r="E14" s="100">
        <v>10079.999999999927</v>
      </c>
      <c r="F14" s="3">
        <v>10962695.519999921</v>
      </c>
      <c r="G14" s="35">
        <v>2120.0000000000045</v>
      </c>
      <c r="H14" s="3">
        <v>3458469.4200000078</v>
      </c>
      <c r="I14" s="99">
        <f t="shared" si="5"/>
        <v>14421164.939999929</v>
      </c>
      <c r="J14" s="100">
        <v>1139.9999999999864</v>
      </c>
      <c r="K14" s="3">
        <v>1239828.659999985</v>
      </c>
      <c r="L14" s="173">
        <v>299.99999999999716</v>
      </c>
      <c r="M14" s="174">
        <v>489406.04999999545</v>
      </c>
      <c r="N14" s="92">
        <f t="shared" si="6"/>
        <v>1729234.7099999804</v>
      </c>
      <c r="O14" s="101">
        <f t="shared" si="7"/>
        <v>16150399.649999909</v>
      </c>
      <c r="P14" s="104">
        <f t="shared" si="8"/>
        <v>13639.999999999916</v>
      </c>
      <c r="Q14" s="178"/>
      <c r="R14" s="189"/>
      <c r="S14" s="200"/>
      <c r="T14" s="197"/>
      <c r="U14" s="196">
        <v>0</v>
      </c>
      <c r="V14" s="175">
        <f t="shared" si="9"/>
        <v>437</v>
      </c>
      <c r="W14" s="3">
        <v>128</v>
      </c>
      <c r="X14" s="3">
        <v>2302030.6574012972</v>
      </c>
      <c r="Y14" s="31">
        <v>309</v>
      </c>
      <c r="Z14" s="31">
        <v>1454559.57857305</v>
      </c>
      <c r="AA14" s="31">
        <f t="shared" si="0"/>
        <v>3756590.2359743472</v>
      </c>
      <c r="AB14" s="120">
        <f t="shared" si="1"/>
        <v>289.50093872455778</v>
      </c>
      <c r="AC14" s="125">
        <v>0</v>
      </c>
      <c r="AD14" s="3">
        <v>0</v>
      </c>
      <c r="AE14" s="3">
        <v>50</v>
      </c>
      <c r="AF14" s="3">
        <v>12</v>
      </c>
      <c r="AG14" s="3">
        <f t="shared" si="2"/>
        <v>62</v>
      </c>
      <c r="AH14" s="3">
        <v>846500</v>
      </c>
      <c r="AI14" s="41">
        <f t="shared" si="3"/>
        <v>65.235367510552095</v>
      </c>
      <c r="AJ14" s="133">
        <v>317.85000000000582</v>
      </c>
      <c r="AK14" s="3">
        <v>3528135.0000000647</v>
      </c>
      <c r="AL14" s="37">
        <f t="shared" si="4"/>
        <v>271.8950777930844</v>
      </c>
      <c r="AM14" s="7"/>
    </row>
    <row r="15" spans="1:39" x14ac:dyDescent="0.25">
      <c r="A15" s="33"/>
      <c r="B15" s="56">
        <v>4</v>
      </c>
      <c r="C15" s="140">
        <v>8</v>
      </c>
      <c r="D15" s="141">
        <v>41</v>
      </c>
      <c r="E15" s="100">
        <v>10360.000000000127</v>
      </c>
      <c r="F15" s="3">
        <v>11267214.840000138</v>
      </c>
      <c r="G15" s="35">
        <v>2039.9999999999636</v>
      </c>
      <c r="H15" s="3">
        <v>3327961.139999941</v>
      </c>
      <c r="I15" s="99">
        <f t="shared" si="5"/>
        <v>14595175.980000079</v>
      </c>
      <c r="J15" s="100">
        <v>1180.0000000000068</v>
      </c>
      <c r="K15" s="3">
        <v>1283331.4200000076</v>
      </c>
      <c r="L15" s="173">
        <v>299.99999999999716</v>
      </c>
      <c r="M15" s="174">
        <v>489406.04999999545</v>
      </c>
      <c r="N15" s="92">
        <f t="shared" si="6"/>
        <v>1772737.470000003</v>
      </c>
      <c r="O15" s="101">
        <f t="shared" si="7"/>
        <v>16367913.450000081</v>
      </c>
      <c r="P15" s="104">
        <f t="shared" si="8"/>
        <v>13880.000000000095</v>
      </c>
      <c r="Q15" s="178"/>
      <c r="R15" s="189"/>
      <c r="S15" s="200"/>
      <c r="T15" s="197"/>
      <c r="U15" s="196">
        <v>0</v>
      </c>
      <c r="V15" s="175">
        <f t="shared" si="9"/>
        <v>607</v>
      </c>
      <c r="W15" s="3">
        <v>147</v>
      </c>
      <c r="X15" s="3">
        <v>2643738.3331093024</v>
      </c>
      <c r="Y15" s="31">
        <v>460</v>
      </c>
      <c r="Z15" s="31">
        <v>2165363.7739275177</v>
      </c>
      <c r="AA15" s="31">
        <f t="shared" si="0"/>
        <v>4809102.1070368197</v>
      </c>
      <c r="AB15" s="120">
        <f t="shared" si="1"/>
        <v>370.61257335891008</v>
      </c>
      <c r="AC15" s="125">
        <v>0</v>
      </c>
      <c r="AD15" s="3">
        <v>0</v>
      </c>
      <c r="AE15" s="3">
        <v>50</v>
      </c>
      <c r="AF15" s="3">
        <v>0</v>
      </c>
      <c r="AG15" s="3">
        <f t="shared" si="2"/>
        <v>50</v>
      </c>
      <c r="AH15" s="3">
        <v>709000</v>
      </c>
      <c r="AI15" s="41">
        <f t="shared" si="3"/>
        <v>54.638955186038324</v>
      </c>
      <c r="AJ15" s="133">
        <v>26.399999999994179</v>
      </c>
      <c r="AK15" s="3">
        <v>293039.99999993539</v>
      </c>
      <c r="AL15" s="37">
        <f t="shared" si="4"/>
        <v>22.583073945998787</v>
      </c>
      <c r="AM15" s="7"/>
    </row>
    <row r="16" spans="1:39" x14ac:dyDescent="0.25">
      <c r="A16" s="33"/>
      <c r="B16" s="56">
        <v>5</v>
      </c>
      <c r="C16" s="140">
        <v>9</v>
      </c>
      <c r="D16" s="141">
        <v>79</v>
      </c>
      <c r="E16" s="100">
        <v>10679.999999999836</v>
      </c>
      <c r="F16" s="3">
        <v>11615236.919999823</v>
      </c>
      <c r="G16" s="35">
        <v>2240.0000000000091</v>
      </c>
      <c r="H16" s="3">
        <v>3654231.8400000152</v>
      </c>
      <c r="I16" s="99">
        <f t="shared" si="5"/>
        <v>15269468.759999838</v>
      </c>
      <c r="J16" s="100">
        <v>1180.0000000000068</v>
      </c>
      <c r="K16" s="3">
        <v>1283331.4200000076</v>
      </c>
      <c r="L16" s="173">
        <v>299.99999999999716</v>
      </c>
      <c r="M16" s="174">
        <v>489406.04999999545</v>
      </c>
      <c r="N16" s="92">
        <f t="shared" si="6"/>
        <v>1772737.470000003</v>
      </c>
      <c r="O16" s="101">
        <f t="shared" si="7"/>
        <v>17042206.22999984</v>
      </c>
      <c r="P16" s="104">
        <f t="shared" si="8"/>
        <v>14399.999999999849</v>
      </c>
      <c r="Q16" s="178"/>
      <c r="R16" s="189"/>
      <c r="S16" s="200"/>
      <c r="T16" s="197"/>
      <c r="U16" s="196">
        <v>0</v>
      </c>
      <c r="V16" s="175">
        <f t="shared" si="9"/>
        <v>612</v>
      </c>
      <c r="W16" s="3">
        <v>212</v>
      </c>
      <c r="X16" s="3">
        <v>3812738.2763208984</v>
      </c>
      <c r="Y16" s="31">
        <v>400</v>
      </c>
      <c r="Z16" s="31">
        <v>1882925.0208065372</v>
      </c>
      <c r="AA16" s="31">
        <f t="shared" si="0"/>
        <v>5695663.2971274359</v>
      </c>
      <c r="AB16" s="120">
        <f t="shared" si="1"/>
        <v>438.93524914881414</v>
      </c>
      <c r="AC16" s="125">
        <v>0</v>
      </c>
      <c r="AD16" s="3">
        <v>0</v>
      </c>
      <c r="AE16" s="3">
        <v>50</v>
      </c>
      <c r="AF16" s="3">
        <v>12</v>
      </c>
      <c r="AG16" s="3">
        <f t="shared" si="2"/>
        <v>62</v>
      </c>
      <c r="AH16" s="3">
        <v>846500</v>
      </c>
      <c r="AI16" s="41">
        <f t="shared" si="3"/>
        <v>65.235367510552095</v>
      </c>
      <c r="AJ16" s="133">
        <v>116.97000000000116</v>
      </c>
      <c r="AK16" s="3">
        <v>1298367.000000013</v>
      </c>
      <c r="AL16" s="37">
        <f t="shared" si="4"/>
        <v>100.05841513121541</v>
      </c>
      <c r="AM16" s="7"/>
    </row>
    <row r="17" spans="1:39" x14ac:dyDescent="0.25">
      <c r="A17" s="33"/>
      <c r="B17" s="56">
        <v>6</v>
      </c>
      <c r="C17" s="140">
        <v>7</v>
      </c>
      <c r="D17" s="141">
        <v>89</v>
      </c>
      <c r="E17" s="100">
        <v>11440.000000000055</v>
      </c>
      <c r="F17" s="3">
        <v>12441789.360000061</v>
      </c>
      <c r="G17" s="35">
        <v>2280.0000000000864</v>
      </c>
      <c r="H17" s="3">
        <v>3719485.9800001411</v>
      </c>
      <c r="I17" s="99">
        <f t="shared" si="5"/>
        <v>16161275.340000201</v>
      </c>
      <c r="J17" s="100">
        <v>1219.9999999999704</v>
      </c>
      <c r="K17" s="3">
        <v>1326834.1799999678</v>
      </c>
      <c r="L17" s="173">
        <v>320.00000000000739</v>
      </c>
      <c r="M17" s="174">
        <v>522033.1200000121</v>
      </c>
      <c r="N17" s="92">
        <f t="shared" si="6"/>
        <v>1848867.2999999798</v>
      </c>
      <c r="O17" s="101">
        <f t="shared" si="7"/>
        <v>18010142.640000179</v>
      </c>
      <c r="P17" s="104">
        <f t="shared" si="8"/>
        <v>15260.000000000118</v>
      </c>
      <c r="Q17" s="178"/>
      <c r="R17" s="189"/>
      <c r="S17" s="200"/>
      <c r="T17" s="197"/>
      <c r="U17" s="196">
        <v>0</v>
      </c>
      <c r="V17" s="175">
        <f t="shared" si="9"/>
        <v>711</v>
      </c>
      <c r="W17" s="3">
        <v>210</v>
      </c>
      <c r="X17" s="3">
        <v>3776769.0472990032</v>
      </c>
      <c r="Y17" s="31">
        <v>501</v>
      </c>
      <c r="Z17" s="31">
        <v>2358363.5885601877</v>
      </c>
      <c r="AA17" s="31">
        <f t="shared" si="0"/>
        <v>6135132.6358591914</v>
      </c>
      <c r="AB17" s="120">
        <f t="shared" si="1"/>
        <v>472.8028732737821</v>
      </c>
      <c r="AC17" s="125">
        <v>0</v>
      </c>
      <c r="AD17" s="3">
        <v>0</v>
      </c>
      <c r="AE17" s="3">
        <v>50</v>
      </c>
      <c r="AF17" s="3">
        <v>12</v>
      </c>
      <c r="AG17" s="3">
        <f t="shared" si="2"/>
        <v>62</v>
      </c>
      <c r="AH17" s="3">
        <v>846500</v>
      </c>
      <c r="AI17" s="41">
        <f t="shared" si="3"/>
        <v>65.235367510552095</v>
      </c>
      <c r="AJ17" s="133">
        <v>247.23000000002503</v>
      </c>
      <c r="AK17" s="3">
        <v>2744253.000000278</v>
      </c>
      <c r="AL17" s="37">
        <f t="shared" si="4"/>
        <v>211.48535498754077</v>
      </c>
      <c r="AM17" s="7"/>
    </row>
    <row r="18" spans="1:39" x14ac:dyDescent="0.25">
      <c r="A18" s="33"/>
      <c r="B18" s="56">
        <v>7</v>
      </c>
      <c r="C18" s="140">
        <v>3</v>
      </c>
      <c r="D18" s="141">
        <v>115</v>
      </c>
      <c r="E18" s="100">
        <v>11280.0000000002</v>
      </c>
      <c r="F18" s="3">
        <v>12267778.320000218</v>
      </c>
      <c r="G18" s="35">
        <v>2240.0000000000091</v>
      </c>
      <c r="H18" s="3">
        <v>3654231.8400000152</v>
      </c>
      <c r="I18" s="99">
        <f t="shared" si="5"/>
        <v>15922010.160000233</v>
      </c>
      <c r="J18" s="100">
        <v>1180.0000000000068</v>
      </c>
      <c r="K18" s="3">
        <v>1283331.4200000076</v>
      </c>
      <c r="L18" s="173">
        <v>319.99999999999318</v>
      </c>
      <c r="M18" s="174">
        <v>522033.11999998894</v>
      </c>
      <c r="N18" s="92">
        <f t="shared" si="6"/>
        <v>1805364.5399999965</v>
      </c>
      <c r="O18" s="101">
        <f t="shared" si="7"/>
        <v>17727374.70000023</v>
      </c>
      <c r="P18" s="104">
        <f t="shared" si="8"/>
        <v>15020.000000000209</v>
      </c>
      <c r="Q18" s="178"/>
      <c r="R18" s="189"/>
      <c r="S18" s="200"/>
      <c r="T18" s="197"/>
      <c r="U18" s="196">
        <v>0</v>
      </c>
      <c r="V18" s="175">
        <f t="shared" si="9"/>
        <v>806</v>
      </c>
      <c r="W18" s="3">
        <v>210</v>
      </c>
      <c r="X18" s="3">
        <v>3776769.0472990032</v>
      </c>
      <c r="Y18" s="31">
        <v>596</v>
      </c>
      <c r="Z18" s="31">
        <v>2805558.2810017406</v>
      </c>
      <c r="AA18" s="31">
        <f t="shared" si="0"/>
        <v>6582327.3283007443</v>
      </c>
      <c r="AB18" s="120">
        <f t="shared" si="1"/>
        <v>507.26585036792625</v>
      </c>
      <c r="AC18" s="125">
        <v>0</v>
      </c>
      <c r="AD18" s="3">
        <v>0</v>
      </c>
      <c r="AE18" s="3">
        <v>100</v>
      </c>
      <c r="AF18" s="3">
        <v>12</v>
      </c>
      <c r="AG18" s="3">
        <f t="shared" si="2"/>
        <v>112</v>
      </c>
      <c r="AH18" s="3">
        <v>1555500</v>
      </c>
      <c r="AI18" s="41">
        <f t="shared" si="3"/>
        <v>119.87432269659043</v>
      </c>
      <c r="AJ18" s="133">
        <v>97.900000000001455</v>
      </c>
      <c r="AK18" s="3">
        <v>1086690.0000000161</v>
      </c>
      <c r="AL18" s="37">
        <f t="shared" si="4"/>
        <v>83.745565883098536</v>
      </c>
      <c r="AM18" s="7"/>
    </row>
    <row r="19" spans="1:39" x14ac:dyDescent="0.25">
      <c r="A19" s="33"/>
      <c r="B19" s="56">
        <v>8</v>
      </c>
      <c r="C19" s="140">
        <v>10</v>
      </c>
      <c r="D19" s="141">
        <v>68</v>
      </c>
      <c r="E19" s="100">
        <v>10839.999999999691</v>
      </c>
      <c r="F19" s="3">
        <v>11789247.959999664</v>
      </c>
      <c r="G19" s="35">
        <v>2199.9999999999318</v>
      </c>
      <c r="H19" s="3">
        <v>3588977.6999998894</v>
      </c>
      <c r="I19" s="99">
        <f t="shared" si="5"/>
        <v>15378225.659999553</v>
      </c>
      <c r="J19" s="100">
        <v>1160.000000000025</v>
      </c>
      <c r="K19" s="3">
        <v>1261580.0400000273</v>
      </c>
      <c r="L19" s="173">
        <v>299.99999999999716</v>
      </c>
      <c r="M19" s="174">
        <v>489406.04999999545</v>
      </c>
      <c r="N19" s="92">
        <f t="shared" si="6"/>
        <v>1750986.0900000227</v>
      </c>
      <c r="O19" s="101">
        <f t="shared" si="7"/>
        <v>17129211.749999575</v>
      </c>
      <c r="P19" s="104">
        <f t="shared" si="8"/>
        <v>14499.999999999645</v>
      </c>
      <c r="Q19" s="178"/>
      <c r="R19" s="189"/>
      <c r="S19" s="200"/>
      <c r="T19" s="197"/>
      <c r="U19" s="196">
        <v>0</v>
      </c>
      <c r="V19" s="175">
        <f t="shared" si="9"/>
        <v>685</v>
      </c>
      <c r="W19" s="3">
        <v>211</v>
      </c>
      <c r="X19" s="3">
        <v>3794753.6618099511</v>
      </c>
      <c r="Y19" s="31">
        <v>474</v>
      </c>
      <c r="Z19" s="31">
        <v>2231266.1496557468</v>
      </c>
      <c r="AA19" s="31">
        <f t="shared" si="0"/>
        <v>6026019.8114656974</v>
      </c>
      <c r="AB19" s="120">
        <f t="shared" si="1"/>
        <v>464.39411343984955</v>
      </c>
      <c r="AC19" s="125">
        <v>0</v>
      </c>
      <c r="AD19" s="3">
        <v>0</v>
      </c>
      <c r="AE19" s="3">
        <v>50</v>
      </c>
      <c r="AF19" s="3">
        <v>12</v>
      </c>
      <c r="AG19" s="3">
        <f t="shared" si="2"/>
        <v>62</v>
      </c>
      <c r="AH19" s="3">
        <v>846500</v>
      </c>
      <c r="AI19" s="41">
        <f t="shared" si="3"/>
        <v>65.235367510552095</v>
      </c>
      <c r="AJ19" s="133">
        <v>313.04999999999563</v>
      </c>
      <c r="AK19" s="3">
        <v>3474854.9999999516</v>
      </c>
      <c r="AL19" s="37">
        <f t="shared" si="4"/>
        <v>267.78906434834772</v>
      </c>
      <c r="AM19" s="7"/>
    </row>
    <row r="20" spans="1:39" x14ac:dyDescent="0.25">
      <c r="A20" s="33"/>
      <c r="B20" s="56">
        <v>9</v>
      </c>
      <c r="C20" s="140">
        <v>11</v>
      </c>
      <c r="D20" s="141">
        <v>98</v>
      </c>
      <c r="E20" s="100">
        <v>10440.000000000055</v>
      </c>
      <c r="F20" s="3">
        <v>11354220.360000061</v>
      </c>
      <c r="G20" s="35">
        <v>2240.0000000000091</v>
      </c>
      <c r="H20" s="3">
        <v>3654231.8400000152</v>
      </c>
      <c r="I20" s="99">
        <f t="shared" si="5"/>
        <v>15008452.200000076</v>
      </c>
      <c r="J20" s="100">
        <v>1159.9999999999682</v>
      </c>
      <c r="K20" s="3">
        <v>1261580.0399999653</v>
      </c>
      <c r="L20" s="173">
        <v>320.00000000000739</v>
      </c>
      <c r="M20" s="174">
        <v>522033.1200000121</v>
      </c>
      <c r="N20" s="92">
        <f t="shared" si="6"/>
        <v>1783613.1599999773</v>
      </c>
      <c r="O20" s="101">
        <f t="shared" si="7"/>
        <v>16792065.360000052</v>
      </c>
      <c r="P20" s="104">
        <f t="shared" si="8"/>
        <v>14160.00000000004</v>
      </c>
      <c r="Q20" s="178"/>
      <c r="R20" s="189"/>
      <c r="S20" s="200"/>
      <c r="T20" s="197"/>
      <c r="U20" s="196">
        <v>0</v>
      </c>
      <c r="V20" s="175">
        <f t="shared" si="9"/>
        <v>597</v>
      </c>
      <c r="W20" s="3">
        <v>197</v>
      </c>
      <c r="X20" s="3">
        <v>3542969.0586566841</v>
      </c>
      <c r="Y20" s="31">
        <v>400</v>
      </c>
      <c r="Z20" s="31">
        <v>1882925.0208065372</v>
      </c>
      <c r="AA20" s="31">
        <f t="shared" si="0"/>
        <v>5425894.0794632211</v>
      </c>
      <c r="AB20" s="120">
        <f t="shared" si="1"/>
        <v>418.14553378276668</v>
      </c>
      <c r="AC20" s="125">
        <v>0</v>
      </c>
      <c r="AD20" s="3">
        <v>0</v>
      </c>
      <c r="AE20" s="3">
        <v>100</v>
      </c>
      <c r="AF20" s="3">
        <v>12</v>
      </c>
      <c r="AG20" s="3">
        <f t="shared" si="2"/>
        <v>112</v>
      </c>
      <c r="AH20" s="3">
        <v>1555500</v>
      </c>
      <c r="AI20" s="41">
        <f t="shared" si="3"/>
        <v>119.87432269659043</v>
      </c>
      <c r="AJ20" s="133">
        <v>87.680000000000291</v>
      </c>
      <c r="AK20" s="3">
        <v>973248.00000000326</v>
      </c>
      <c r="AL20" s="37">
        <f t="shared" si="4"/>
        <v>75.003178923697604</v>
      </c>
      <c r="AM20" s="7"/>
    </row>
    <row r="21" spans="1:39" x14ac:dyDescent="0.25">
      <c r="A21" s="33"/>
      <c r="B21" s="56">
        <v>10</v>
      </c>
      <c r="C21" s="140">
        <v>3</v>
      </c>
      <c r="D21" s="141">
        <v>81</v>
      </c>
      <c r="E21" s="100">
        <v>10720.000000000255</v>
      </c>
      <c r="F21" s="3">
        <v>11658739.680000277</v>
      </c>
      <c r="G21" s="35">
        <v>2159.9999999999682</v>
      </c>
      <c r="H21" s="3">
        <v>3523723.5599999484</v>
      </c>
      <c r="I21" s="99">
        <f t="shared" si="5"/>
        <v>15182463.240000226</v>
      </c>
      <c r="J21" s="100">
        <v>1180.0000000000068</v>
      </c>
      <c r="K21" s="3">
        <v>1283331.4200000076</v>
      </c>
      <c r="L21" s="173">
        <v>299.99999999999716</v>
      </c>
      <c r="M21" s="174">
        <v>489406.04999999545</v>
      </c>
      <c r="N21" s="92">
        <f t="shared" si="6"/>
        <v>1772737.470000003</v>
      </c>
      <c r="O21" s="101">
        <f t="shared" si="7"/>
        <v>16955200.710000228</v>
      </c>
      <c r="P21" s="104">
        <f t="shared" si="8"/>
        <v>14360.000000000227</v>
      </c>
      <c r="Q21" s="178"/>
      <c r="R21" s="189"/>
      <c r="S21" s="200"/>
      <c r="T21" s="197"/>
      <c r="U21" s="196">
        <v>0</v>
      </c>
      <c r="V21" s="175">
        <f t="shared" si="9"/>
        <v>572</v>
      </c>
      <c r="W21" s="3">
        <v>164</v>
      </c>
      <c r="X21" s="3">
        <v>2949476.779795412</v>
      </c>
      <c r="Y21" s="31">
        <v>408</v>
      </c>
      <c r="Z21" s="31">
        <v>1920583.521222668</v>
      </c>
      <c r="AA21" s="31">
        <f t="shared" si="0"/>
        <v>4870060.3010180797</v>
      </c>
      <c r="AB21" s="120">
        <f t="shared" si="1"/>
        <v>375.31030541696919</v>
      </c>
      <c r="AC21" s="125">
        <v>0</v>
      </c>
      <c r="AD21" s="3">
        <v>0</v>
      </c>
      <c r="AE21" s="3">
        <v>50</v>
      </c>
      <c r="AF21" s="3">
        <v>12</v>
      </c>
      <c r="AG21" s="3">
        <f t="shared" si="2"/>
        <v>62</v>
      </c>
      <c r="AH21" s="3">
        <v>846500</v>
      </c>
      <c r="AI21" s="41">
        <f t="shared" si="3"/>
        <v>65.235367510552095</v>
      </c>
      <c r="AJ21" s="133">
        <v>192.25</v>
      </c>
      <c r="AK21" s="3">
        <v>2133975</v>
      </c>
      <c r="AL21" s="37">
        <f t="shared" si="4"/>
        <v>164.45439265603122</v>
      </c>
      <c r="AM21" s="7"/>
    </row>
    <row r="22" spans="1:39" x14ac:dyDescent="0.25">
      <c r="A22" s="33"/>
      <c r="B22" s="56">
        <v>11</v>
      </c>
      <c r="C22" s="140">
        <v>7</v>
      </c>
      <c r="D22" s="141">
        <v>68</v>
      </c>
      <c r="E22" s="100">
        <v>10479.999999999563</v>
      </c>
      <c r="F22" s="3">
        <v>11397723.119999526</v>
      </c>
      <c r="G22" s="35">
        <v>2360.0000000000136</v>
      </c>
      <c r="H22" s="3">
        <v>3849994.2600000221</v>
      </c>
      <c r="I22" s="99">
        <f t="shared" si="5"/>
        <v>15247717.379999548</v>
      </c>
      <c r="J22" s="100">
        <v>1220.0000000000273</v>
      </c>
      <c r="K22" s="3">
        <v>1326834.1800000297</v>
      </c>
      <c r="L22" s="173">
        <v>439.99999999999773</v>
      </c>
      <c r="M22" s="174">
        <v>717795.53999999643</v>
      </c>
      <c r="N22" s="92">
        <f t="shared" si="6"/>
        <v>2044629.7200000263</v>
      </c>
      <c r="O22" s="101">
        <f t="shared" si="7"/>
        <v>17292347.099999573</v>
      </c>
      <c r="P22" s="104">
        <f t="shared" si="8"/>
        <v>14499.999999999602</v>
      </c>
      <c r="Q22" s="178"/>
      <c r="R22" s="189"/>
      <c r="S22" s="200"/>
      <c r="T22" s="197"/>
      <c r="U22" s="196">
        <v>0</v>
      </c>
      <c r="V22" s="175">
        <f t="shared" si="9"/>
        <v>542</v>
      </c>
      <c r="W22" s="3">
        <v>214</v>
      </c>
      <c r="X22" s="3">
        <v>3848707.5053427937</v>
      </c>
      <c r="Y22" s="31">
        <v>328</v>
      </c>
      <c r="Z22" s="31">
        <v>1543998.5170613604</v>
      </c>
      <c r="AA22" s="31">
        <f t="shared" si="0"/>
        <v>5392706.0224041538</v>
      </c>
      <c r="AB22" s="120">
        <f t="shared" si="1"/>
        <v>415.58790224205859</v>
      </c>
      <c r="AC22" s="125">
        <v>0</v>
      </c>
      <c r="AD22" s="3">
        <v>0</v>
      </c>
      <c r="AE22" s="3">
        <v>50</v>
      </c>
      <c r="AF22" s="3">
        <v>12</v>
      </c>
      <c r="AG22" s="3">
        <f t="shared" si="2"/>
        <v>62</v>
      </c>
      <c r="AH22" s="3">
        <v>846500</v>
      </c>
      <c r="AI22" s="41">
        <f t="shared" si="3"/>
        <v>65.235367510552095</v>
      </c>
      <c r="AJ22" s="133">
        <v>559.51000000000204</v>
      </c>
      <c r="AK22" s="3">
        <v>6210561.0000000224</v>
      </c>
      <c r="AL22" s="37">
        <f t="shared" si="4"/>
        <v>478.61574634578074</v>
      </c>
      <c r="AM22" s="7"/>
    </row>
    <row r="23" spans="1:39" x14ac:dyDescent="0.25">
      <c r="A23" s="33"/>
      <c r="B23" s="56">
        <v>12</v>
      </c>
      <c r="C23" s="140">
        <v>7</v>
      </c>
      <c r="D23" s="141">
        <v>100</v>
      </c>
      <c r="E23" s="100">
        <v>10240.000000000236</v>
      </c>
      <c r="F23" s="3">
        <v>11136706.560000258</v>
      </c>
      <c r="G23" s="35">
        <v>2159.9999999999682</v>
      </c>
      <c r="H23" s="3">
        <v>3523723.5599999484</v>
      </c>
      <c r="I23" s="99">
        <f t="shared" si="5"/>
        <v>14660430.120000206</v>
      </c>
      <c r="J23" s="100">
        <v>1479.9999999999613</v>
      </c>
      <c r="K23" s="3">
        <v>1609602.119999958</v>
      </c>
      <c r="L23" s="173">
        <v>320.00000000000739</v>
      </c>
      <c r="M23" s="174">
        <v>522033.1200000121</v>
      </c>
      <c r="N23" s="92">
        <f t="shared" si="6"/>
        <v>2131635.23999997</v>
      </c>
      <c r="O23" s="101">
        <f t="shared" si="7"/>
        <v>16792065.360000174</v>
      </c>
      <c r="P23" s="104">
        <f t="shared" si="8"/>
        <v>14200.000000000173</v>
      </c>
      <c r="Q23" s="178"/>
      <c r="R23" s="189"/>
      <c r="S23" s="200"/>
      <c r="T23" s="197"/>
      <c r="U23" s="196">
        <v>0</v>
      </c>
      <c r="V23" s="175">
        <f t="shared" si="9"/>
        <v>597</v>
      </c>
      <c r="W23" s="3">
        <v>214</v>
      </c>
      <c r="X23" s="3">
        <v>3848707.5053427937</v>
      </c>
      <c r="Y23" s="31">
        <v>383</v>
      </c>
      <c r="Z23" s="31">
        <v>1802900.7074222595</v>
      </c>
      <c r="AA23" s="31">
        <f t="shared" si="0"/>
        <v>5651608.2127650529</v>
      </c>
      <c r="AB23" s="120">
        <f t="shared" si="1"/>
        <v>435.54015213866836</v>
      </c>
      <c r="AC23" s="125">
        <v>0</v>
      </c>
      <c r="AD23" s="3">
        <v>0</v>
      </c>
      <c r="AE23" s="3">
        <v>100</v>
      </c>
      <c r="AF23" s="3">
        <v>12</v>
      </c>
      <c r="AG23" s="3">
        <f t="shared" si="2"/>
        <v>112</v>
      </c>
      <c r="AH23" s="3">
        <v>1555500</v>
      </c>
      <c r="AI23" s="41">
        <f t="shared" si="3"/>
        <v>119.87432269659043</v>
      </c>
      <c r="AJ23" s="133">
        <v>379.19999999999709</v>
      </c>
      <c r="AK23" s="3">
        <v>4209119.9999999674</v>
      </c>
      <c r="AL23" s="37">
        <f t="shared" si="4"/>
        <v>324.37506213350611</v>
      </c>
      <c r="AM23" s="7"/>
    </row>
    <row r="24" spans="1:39" x14ac:dyDescent="0.25">
      <c r="A24" s="33"/>
      <c r="B24" s="56">
        <v>13</v>
      </c>
      <c r="C24" s="140">
        <v>7</v>
      </c>
      <c r="D24" s="141">
        <v>92</v>
      </c>
      <c r="E24" s="100">
        <v>10639.999999999873</v>
      </c>
      <c r="F24" s="3">
        <v>11571734.15999986</v>
      </c>
      <c r="G24" s="35">
        <v>2080.0000000000409</v>
      </c>
      <c r="H24" s="3">
        <v>3393215.2800000673</v>
      </c>
      <c r="I24" s="99">
        <f t="shared" si="5"/>
        <v>14964949.439999927</v>
      </c>
      <c r="J24" s="100">
        <v>1300.0000000000114</v>
      </c>
      <c r="K24" s="3">
        <v>1413839.7000000123</v>
      </c>
      <c r="L24" s="173">
        <v>379.99999999999545</v>
      </c>
      <c r="M24" s="174">
        <v>619914.32999999262</v>
      </c>
      <c r="N24" s="92">
        <f t="shared" si="6"/>
        <v>2033754.0300000049</v>
      </c>
      <c r="O24" s="101">
        <f t="shared" si="7"/>
        <v>16998703.469999932</v>
      </c>
      <c r="P24" s="104">
        <f t="shared" si="8"/>
        <v>14399.99999999992</v>
      </c>
      <c r="Q24" s="178"/>
      <c r="R24" s="189"/>
      <c r="S24" s="200"/>
      <c r="T24" s="197"/>
      <c r="U24" s="196">
        <v>0</v>
      </c>
      <c r="V24" s="175">
        <f>Y24+W24</f>
        <v>736</v>
      </c>
      <c r="W24" s="3">
        <v>213</v>
      </c>
      <c r="X24" s="3">
        <v>3830722.8908318463</v>
      </c>
      <c r="Y24" s="31">
        <v>523</v>
      </c>
      <c r="Z24" s="31">
        <v>2461924.4647045475</v>
      </c>
      <c r="AA24" s="31">
        <f t="shared" si="0"/>
        <v>6292647.3555363938</v>
      </c>
      <c r="AB24" s="120">
        <f t="shared" si="1"/>
        <v>484.94171630563551</v>
      </c>
      <c r="AC24" s="125">
        <v>0</v>
      </c>
      <c r="AD24" s="3">
        <v>0</v>
      </c>
      <c r="AE24" s="3">
        <v>100</v>
      </c>
      <c r="AF24" s="3">
        <v>12</v>
      </c>
      <c r="AG24" s="3">
        <f t="shared" si="2"/>
        <v>112</v>
      </c>
      <c r="AH24" s="3">
        <v>1555500</v>
      </c>
      <c r="AI24" s="41">
        <f t="shared" si="3"/>
        <v>119.87432269659043</v>
      </c>
      <c r="AJ24" s="133">
        <v>115.85999999999331</v>
      </c>
      <c r="AK24" s="3">
        <v>1286045.9999999257</v>
      </c>
      <c r="AL24" s="37">
        <f t="shared" si="4"/>
        <v>99.108899522115351</v>
      </c>
      <c r="AM24" s="7"/>
    </row>
    <row r="25" spans="1:39" x14ac:dyDescent="0.25">
      <c r="A25" s="33"/>
      <c r="B25" s="56">
        <v>14</v>
      </c>
      <c r="C25" s="140">
        <v>5</v>
      </c>
      <c r="D25" s="141">
        <v>106</v>
      </c>
      <c r="E25" s="100">
        <v>10320.000000000164</v>
      </c>
      <c r="F25" s="3">
        <v>11223712.080000179</v>
      </c>
      <c r="G25" s="35">
        <v>2200.0000000000455</v>
      </c>
      <c r="H25" s="3">
        <v>3588977.7000000747</v>
      </c>
      <c r="I25" s="99">
        <f t="shared" si="5"/>
        <v>14812689.780000255</v>
      </c>
      <c r="J25" s="100">
        <v>1240.0000000000091</v>
      </c>
      <c r="K25" s="3">
        <v>1348585.5600000101</v>
      </c>
      <c r="L25" s="173">
        <v>340.00000000000341</v>
      </c>
      <c r="M25" s="174">
        <v>554660.19000000553</v>
      </c>
      <c r="N25" s="92">
        <f t="shared" si="6"/>
        <v>1903245.7500000156</v>
      </c>
      <c r="O25" s="101">
        <f t="shared" si="7"/>
        <v>16715935.530000269</v>
      </c>
      <c r="P25" s="104">
        <f t="shared" si="8"/>
        <v>14100.000000000222</v>
      </c>
      <c r="Q25" s="178"/>
      <c r="R25" s="189"/>
      <c r="S25" s="200"/>
      <c r="T25" s="197"/>
      <c r="U25" s="196">
        <v>0</v>
      </c>
      <c r="V25" s="175">
        <f t="shared" si="9"/>
        <v>653</v>
      </c>
      <c r="W25" s="3">
        <v>212</v>
      </c>
      <c r="X25" s="3">
        <v>3812738.2763208984</v>
      </c>
      <c r="Y25" s="31">
        <v>441</v>
      </c>
      <c r="Z25" s="31">
        <v>2075924.8354392073</v>
      </c>
      <c r="AA25" s="31">
        <f t="shared" si="0"/>
        <v>5888663.1117601059</v>
      </c>
      <c r="AB25" s="120">
        <f t="shared" si="1"/>
        <v>453.80874452628689</v>
      </c>
      <c r="AC25" s="125">
        <v>0</v>
      </c>
      <c r="AD25" s="3">
        <v>0</v>
      </c>
      <c r="AE25" s="3">
        <v>100</v>
      </c>
      <c r="AF25" s="3">
        <v>12</v>
      </c>
      <c r="AG25" s="3">
        <f t="shared" si="2"/>
        <v>112</v>
      </c>
      <c r="AH25" s="3">
        <v>1721500</v>
      </c>
      <c r="AI25" s="41">
        <f t="shared" si="3"/>
        <v>132.66708230291252</v>
      </c>
      <c r="AJ25" s="133">
        <v>289.40000000000146</v>
      </c>
      <c r="AK25" s="3">
        <v>3212340.0000000163</v>
      </c>
      <c r="AL25" s="37">
        <f t="shared" si="4"/>
        <v>247.55839393839102</v>
      </c>
      <c r="AM25" s="7"/>
    </row>
    <row r="26" spans="1:39" x14ac:dyDescent="0.25">
      <c r="A26" s="33"/>
      <c r="B26" s="56">
        <v>15</v>
      </c>
      <c r="C26" s="140">
        <v>8</v>
      </c>
      <c r="D26" s="141">
        <v>45</v>
      </c>
      <c r="E26" s="100">
        <v>10719.9999999998</v>
      </c>
      <c r="F26" s="3">
        <v>11658739.679999784</v>
      </c>
      <c r="G26" s="35">
        <v>2240.0000000000091</v>
      </c>
      <c r="H26" s="3">
        <v>3654231.8400000152</v>
      </c>
      <c r="I26" s="99">
        <f t="shared" si="5"/>
        <v>15312971.519999798</v>
      </c>
      <c r="J26" s="100">
        <v>1199.9999999999886</v>
      </c>
      <c r="K26" s="3">
        <v>1305082.7999999875</v>
      </c>
      <c r="L26" s="173">
        <v>299.99999999999716</v>
      </c>
      <c r="M26" s="174">
        <v>489406.04999999545</v>
      </c>
      <c r="N26" s="92">
        <f t="shared" si="6"/>
        <v>1794488.8499999829</v>
      </c>
      <c r="O26" s="101">
        <f t="shared" si="7"/>
        <v>17107460.369999781</v>
      </c>
      <c r="P26" s="104">
        <f t="shared" si="8"/>
        <v>14459.999999999794</v>
      </c>
      <c r="Q26" s="178"/>
      <c r="R26" s="189"/>
      <c r="S26" s="200"/>
      <c r="T26" s="197"/>
      <c r="U26" s="196">
        <v>0</v>
      </c>
      <c r="V26" s="175">
        <f t="shared" si="9"/>
        <v>848</v>
      </c>
      <c r="W26" s="3">
        <v>213</v>
      </c>
      <c r="X26" s="3">
        <v>3830722.8908318463</v>
      </c>
      <c r="Y26" s="31">
        <v>635</v>
      </c>
      <c r="Z26" s="31">
        <v>2989143.4705303777</v>
      </c>
      <c r="AA26" s="31">
        <f t="shared" si="0"/>
        <v>6819866.3613622244</v>
      </c>
      <c r="AB26" s="120">
        <f t="shared" si="1"/>
        <v>525.57175245873179</v>
      </c>
      <c r="AC26" s="125">
        <v>0</v>
      </c>
      <c r="AD26" s="3">
        <v>0</v>
      </c>
      <c r="AE26" s="3">
        <v>50</v>
      </c>
      <c r="AF26" s="3">
        <v>0</v>
      </c>
      <c r="AG26" s="3">
        <f t="shared" si="2"/>
        <v>50</v>
      </c>
      <c r="AH26" s="3">
        <v>792000</v>
      </c>
      <c r="AI26" s="41">
        <f t="shared" si="3"/>
        <v>61.035334989199363</v>
      </c>
      <c r="AJ26" s="133">
        <v>279.14999999999418</v>
      </c>
      <c r="AK26" s="3">
        <v>3098564.9999999353</v>
      </c>
      <c r="AL26" s="37">
        <f t="shared" si="4"/>
        <v>238.79034439495527</v>
      </c>
      <c r="AM26" s="7"/>
    </row>
    <row r="27" spans="1:39" x14ac:dyDescent="0.25">
      <c r="A27" s="33"/>
      <c r="B27" s="56">
        <v>16</v>
      </c>
      <c r="C27" s="140">
        <v>7</v>
      </c>
      <c r="D27" s="141">
        <v>59</v>
      </c>
      <c r="E27" s="100">
        <v>10240.000000000236</v>
      </c>
      <c r="F27" s="3">
        <v>11136706.560000258</v>
      </c>
      <c r="G27" s="35">
        <v>2199.9999999999318</v>
      </c>
      <c r="H27" s="3">
        <v>3588977.6999998894</v>
      </c>
      <c r="I27" s="99">
        <f t="shared" si="5"/>
        <v>14725684.260000147</v>
      </c>
      <c r="J27" s="100">
        <v>1120.0000000000045</v>
      </c>
      <c r="K27" s="3">
        <v>1218077.2800000052</v>
      </c>
      <c r="L27" s="173">
        <v>340.00000000000341</v>
      </c>
      <c r="M27" s="174">
        <v>554660.19000000553</v>
      </c>
      <c r="N27" s="92">
        <f t="shared" si="6"/>
        <v>1772737.4700000107</v>
      </c>
      <c r="O27" s="101">
        <f t="shared" si="7"/>
        <v>16498421.730000157</v>
      </c>
      <c r="P27" s="104">
        <f t="shared" si="8"/>
        <v>13900.000000000176</v>
      </c>
      <c r="Q27" s="178"/>
      <c r="R27" s="178"/>
      <c r="S27" s="200"/>
      <c r="T27" s="197"/>
      <c r="U27" s="196">
        <v>0</v>
      </c>
      <c r="V27" s="175">
        <f t="shared" si="9"/>
        <v>741</v>
      </c>
      <c r="W27" s="3">
        <v>212</v>
      </c>
      <c r="X27" s="3">
        <v>3812738.2763208984</v>
      </c>
      <c r="Y27" s="31">
        <v>529</v>
      </c>
      <c r="Z27" s="31">
        <v>2490168.3400166454</v>
      </c>
      <c r="AA27" s="31">
        <f t="shared" si="0"/>
        <v>6302906.6163375434</v>
      </c>
      <c r="AB27" s="120">
        <f t="shared" si="1"/>
        <v>485.73234436086244</v>
      </c>
      <c r="AC27" s="125">
        <v>0</v>
      </c>
      <c r="AD27" s="3">
        <v>0</v>
      </c>
      <c r="AE27" s="3">
        <v>50</v>
      </c>
      <c r="AF27" s="3">
        <v>12</v>
      </c>
      <c r="AG27" s="3">
        <f t="shared" si="2"/>
        <v>62</v>
      </c>
      <c r="AH27" s="3">
        <v>929500</v>
      </c>
      <c r="AI27" s="41">
        <f t="shared" si="3"/>
        <v>71.631747313713149</v>
      </c>
      <c r="AJ27" s="133">
        <v>257.67000000000553</v>
      </c>
      <c r="AK27" s="3">
        <v>2860137.0000000615</v>
      </c>
      <c r="AL27" s="37">
        <f t="shared" si="4"/>
        <v>220.41593422980739</v>
      </c>
      <c r="AM27" s="7"/>
    </row>
    <row r="28" spans="1:39" x14ac:dyDescent="0.25">
      <c r="A28" s="33"/>
      <c r="B28" s="56">
        <v>17</v>
      </c>
      <c r="C28" s="140">
        <v>16</v>
      </c>
      <c r="D28" s="141">
        <v>103</v>
      </c>
      <c r="E28" s="100">
        <v>11319.999999999709</v>
      </c>
      <c r="F28" s="3">
        <v>12311281.079999683</v>
      </c>
      <c r="G28" s="35">
        <v>2759.9999999999909</v>
      </c>
      <c r="H28" s="3">
        <v>4502535.6599999862</v>
      </c>
      <c r="I28" s="99">
        <f t="shared" si="5"/>
        <v>16813816.739999671</v>
      </c>
      <c r="J28" s="100">
        <v>1520.0000000000387</v>
      </c>
      <c r="K28" s="3">
        <v>1653104.880000042</v>
      </c>
      <c r="L28" s="173">
        <v>480.00000000000398</v>
      </c>
      <c r="M28" s="174">
        <v>783049.68000000657</v>
      </c>
      <c r="N28" s="92">
        <f t="shared" si="6"/>
        <v>2436154.5600000485</v>
      </c>
      <c r="O28" s="101">
        <f t="shared" si="7"/>
        <v>19249971.299999718</v>
      </c>
      <c r="P28" s="104">
        <f t="shared" si="8"/>
        <v>16079.999999999742</v>
      </c>
      <c r="Q28" s="179"/>
      <c r="R28" s="179"/>
      <c r="S28" s="200"/>
      <c r="T28" s="197"/>
      <c r="U28" s="196">
        <v>0</v>
      </c>
      <c r="V28" s="175">
        <f t="shared" si="9"/>
        <v>571</v>
      </c>
      <c r="W28" s="3">
        <v>212</v>
      </c>
      <c r="X28" s="3">
        <v>3812738.2763208984</v>
      </c>
      <c r="Y28" s="31">
        <v>359</v>
      </c>
      <c r="Z28" s="31">
        <v>1689925.2061738672</v>
      </c>
      <c r="AA28" s="31">
        <f t="shared" si="0"/>
        <v>5502663.4824947659</v>
      </c>
      <c r="AB28" s="120">
        <f t="shared" si="1"/>
        <v>424.06175377134144</v>
      </c>
      <c r="AC28" s="125">
        <v>0</v>
      </c>
      <c r="AD28" s="3">
        <v>0</v>
      </c>
      <c r="AE28" s="3">
        <v>100</v>
      </c>
      <c r="AF28" s="3">
        <v>12</v>
      </c>
      <c r="AG28" s="3">
        <f t="shared" si="2"/>
        <v>112</v>
      </c>
      <c r="AH28" s="3">
        <v>1721500</v>
      </c>
      <c r="AI28" s="41">
        <f t="shared" si="3"/>
        <v>132.66708230291252</v>
      </c>
      <c r="AJ28" s="133">
        <v>389.96999999999389</v>
      </c>
      <c r="AK28" s="3">
        <v>4328666.999999932</v>
      </c>
      <c r="AL28" s="37">
        <f t="shared" si="4"/>
        <v>333.58792980011174</v>
      </c>
      <c r="AM28" s="7"/>
    </row>
    <row r="29" spans="1:39" x14ac:dyDescent="0.25">
      <c r="A29" s="33"/>
      <c r="B29" s="56">
        <v>18</v>
      </c>
      <c r="C29" s="140">
        <v>17</v>
      </c>
      <c r="D29" s="141">
        <v>91</v>
      </c>
      <c r="E29" s="100">
        <v>11599.999999999909</v>
      </c>
      <c r="F29" s="3">
        <v>12615800.399999902</v>
      </c>
      <c r="G29" s="35">
        <v>2320.00000000005</v>
      </c>
      <c r="H29" s="3">
        <v>3784740.1200000816</v>
      </c>
      <c r="I29" s="99">
        <f t="shared" si="5"/>
        <v>16400540.519999983</v>
      </c>
      <c r="J29" s="100">
        <v>1479.9999999999613</v>
      </c>
      <c r="K29" s="3">
        <v>1609602.119999958</v>
      </c>
      <c r="L29" s="173">
        <v>339.9999999999892</v>
      </c>
      <c r="M29" s="174">
        <v>554660.18999998248</v>
      </c>
      <c r="N29" s="92">
        <f t="shared" si="6"/>
        <v>2164262.3099999405</v>
      </c>
      <c r="O29" s="101">
        <f t="shared" si="7"/>
        <v>18564802.829999924</v>
      </c>
      <c r="P29" s="104">
        <f t="shared" si="8"/>
        <v>15739.999999999909</v>
      </c>
      <c r="Q29" s="179"/>
      <c r="R29" s="192"/>
      <c r="S29" s="200"/>
      <c r="T29" s="197"/>
      <c r="U29" s="196">
        <v>0</v>
      </c>
      <c r="V29" s="175">
        <f t="shared" si="9"/>
        <v>554</v>
      </c>
      <c r="W29" s="3">
        <v>213</v>
      </c>
      <c r="X29" s="3">
        <v>3830722.8908318463</v>
      </c>
      <c r="Y29" s="31">
        <v>341</v>
      </c>
      <c r="Z29" s="31">
        <v>1605193.580237573</v>
      </c>
      <c r="AA29" s="31">
        <f t="shared" si="0"/>
        <v>5435916.4710694198</v>
      </c>
      <c r="AB29" s="120">
        <f t="shared" si="1"/>
        <v>418.91790755685417</v>
      </c>
      <c r="AC29" s="125">
        <v>0</v>
      </c>
      <c r="AD29" s="3">
        <v>0</v>
      </c>
      <c r="AE29" s="3">
        <v>50</v>
      </c>
      <c r="AF29" s="3">
        <v>12</v>
      </c>
      <c r="AG29" s="3">
        <f t="shared" si="2"/>
        <v>62</v>
      </c>
      <c r="AH29" s="3">
        <v>929500</v>
      </c>
      <c r="AI29" s="41">
        <f t="shared" si="3"/>
        <v>71.631747313713149</v>
      </c>
      <c r="AJ29" s="133">
        <v>70.110000000000582</v>
      </c>
      <c r="AK29" s="3">
        <v>778221.00000000652</v>
      </c>
      <c r="AL29" s="37">
        <f t="shared" si="4"/>
        <v>59.973458877058228</v>
      </c>
      <c r="AM29" s="7"/>
    </row>
    <row r="30" spans="1:39" x14ac:dyDescent="0.25">
      <c r="A30" s="33"/>
      <c r="B30" s="56">
        <v>19</v>
      </c>
      <c r="C30" s="140">
        <v>13</v>
      </c>
      <c r="D30" s="141">
        <v>117</v>
      </c>
      <c r="E30" s="100">
        <v>11720.000000000255</v>
      </c>
      <c r="F30" s="3">
        <v>12746308.680000277</v>
      </c>
      <c r="G30" s="35">
        <v>2319.9999999999363</v>
      </c>
      <c r="H30" s="3">
        <v>3784740.1199998963</v>
      </c>
      <c r="I30" s="99">
        <f t="shared" si="5"/>
        <v>16531048.800000174</v>
      </c>
      <c r="J30" s="100">
        <v>1560.0000000000023</v>
      </c>
      <c r="K30" s="3">
        <v>1696607.6400000025</v>
      </c>
      <c r="L30" s="173">
        <v>400.00000000000568</v>
      </c>
      <c r="M30" s="174">
        <v>652541.40000000934</v>
      </c>
      <c r="N30" s="92">
        <f t="shared" si="6"/>
        <v>2349149.0400000117</v>
      </c>
      <c r="O30" s="101">
        <f t="shared" si="7"/>
        <v>18880197.840000186</v>
      </c>
      <c r="P30" s="104">
        <f t="shared" si="8"/>
        <v>16000.0000000002</v>
      </c>
      <c r="Q30" s="178"/>
      <c r="R30" s="178"/>
      <c r="S30" s="200"/>
      <c r="T30" s="197"/>
      <c r="U30" s="196">
        <v>0</v>
      </c>
      <c r="V30" s="175">
        <f t="shared" si="9"/>
        <v>674</v>
      </c>
      <c r="W30" s="3">
        <v>211</v>
      </c>
      <c r="X30" s="3">
        <v>3794753.6618099511</v>
      </c>
      <c r="Y30" s="31">
        <v>463</v>
      </c>
      <c r="Z30" s="31">
        <v>2179485.7115835669</v>
      </c>
      <c r="AA30" s="31">
        <f t="shared" si="0"/>
        <v>5974239.3733935179</v>
      </c>
      <c r="AB30" s="120">
        <f t="shared" si="1"/>
        <v>460.40366346052764</v>
      </c>
      <c r="AC30" s="125">
        <v>0</v>
      </c>
      <c r="AD30" s="3">
        <v>0</v>
      </c>
      <c r="AE30" s="3">
        <v>100</v>
      </c>
      <c r="AF30" s="3">
        <v>12</v>
      </c>
      <c r="AG30" s="3">
        <f t="shared" si="2"/>
        <v>112</v>
      </c>
      <c r="AH30" s="3">
        <v>1721500</v>
      </c>
      <c r="AI30" s="41">
        <f t="shared" si="3"/>
        <v>132.66708230291252</v>
      </c>
      <c r="AJ30" s="133">
        <v>306.04000000000087</v>
      </c>
      <c r="AK30" s="3">
        <v>3397044.0000000098</v>
      </c>
      <c r="AL30" s="37">
        <f t="shared" si="4"/>
        <v>261.79257388011411</v>
      </c>
      <c r="AM30" s="7"/>
    </row>
    <row r="31" spans="1:39" x14ac:dyDescent="0.25">
      <c r="A31" s="33"/>
      <c r="B31" s="56">
        <v>20</v>
      </c>
      <c r="C31" s="140">
        <v>20</v>
      </c>
      <c r="D31" s="141">
        <v>142</v>
      </c>
      <c r="E31" s="100">
        <v>11079.999999999927</v>
      </c>
      <c r="F31" s="3">
        <v>12050264.519999921</v>
      </c>
      <c r="G31" s="35">
        <v>2120.0000000000045</v>
      </c>
      <c r="H31" s="3">
        <v>3458469.4200000078</v>
      </c>
      <c r="I31" s="99">
        <f t="shared" si="5"/>
        <v>15508733.939999929</v>
      </c>
      <c r="J31" s="100">
        <v>1519.9999999999818</v>
      </c>
      <c r="K31" s="3">
        <v>1653104.8799999803</v>
      </c>
      <c r="L31" s="173">
        <v>420.00000000000171</v>
      </c>
      <c r="M31" s="174">
        <v>685168.47000000288</v>
      </c>
      <c r="N31" s="92">
        <f t="shared" si="6"/>
        <v>2338273.3499999833</v>
      </c>
      <c r="O31" s="101">
        <f t="shared" si="7"/>
        <v>17847007.289999913</v>
      </c>
      <c r="P31" s="104">
        <f t="shared" si="8"/>
        <v>15139.999999999916</v>
      </c>
      <c r="Q31" s="179"/>
      <c r="R31" s="179"/>
      <c r="S31" s="200"/>
      <c r="T31" s="197"/>
      <c r="U31" s="196">
        <v>0</v>
      </c>
      <c r="V31" s="175">
        <f t="shared" si="9"/>
        <v>777</v>
      </c>
      <c r="W31" s="3">
        <v>211</v>
      </c>
      <c r="X31" s="3">
        <v>3794753.6618099511</v>
      </c>
      <c r="Y31" s="31">
        <v>566</v>
      </c>
      <c r="Z31" s="31">
        <v>2664338.90444125</v>
      </c>
      <c r="AA31" s="31">
        <f t="shared" si="0"/>
        <v>6459092.5662512016</v>
      </c>
      <c r="AB31" s="120">
        <f t="shared" si="1"/>
        <v>497.76878599417864</v>
      </c>
      <c r="AC31" s="125">
        <v>0</v>
      </c>
      <c r="AD31" s="3">
        <v>0</v>
      </c>
      <c r="AE31" s="3">
        <v>100</v>
      </c>
      <c r="AF31" s="3">
        <v>12</v>
      </c>
      <c r="AG31" s="3">
        <f t="shared" si="2"/>
        <v>112</v>
      </c>
      <c r="AH31" s="3">
        <v>1721500</v>
      </c>
      <c r="AI31" s="41">
        <f t="shared" si="3"/>
        <v>132.66708230291252</v>
      </c>
      <c r="AJ31" s="133">
        <v>171.56000000000495</v>
      </c>
      <c r="AK31" s="3">
        <v>1904316.0000000549</v>
      </c>
      <c r="AL31" s="37">
        <f t="shared" si="4"/>
        <v>146.75576387032265</v>
      </c>
      <c r="AM31" s="7"/>
    </row>
    <row r="32" spans="1:39" x14ac:dyDescent="0.25">
      <c r="A32" s="33"/>
      <c r="B32" s="56">
        <v>21</v>
      </c>
      <c r="C32" s="140"/>
      <c r="D32" s="141"/>
      <c r="E32" s="100"/>
      <c r="F32" s="3"/>
      <c r="G32" s="35"/>
      <c r="H32" s="3"/>
      <c r="I32" s="99">
        <f t="shared" si="5"/>
        <v>0</v>
      </c>
      <c r="J32" s="100"/>
      <c r="K32" s="3"/>
      <c r="L32" s="173"/>
      <c r="M32" s="174"/>
      <c r="N32" s="92">
        <f>+K32+M32</f>
        <v>0</v>
      </c>
      <c r="O32" s="101">
        <f t="shared" si="7"/>
        <v>0</v>
      </c>
      <c r="P32" s="104">
        <f t="shared" si="8"/>
        <v>0</v>
      </c>
      <c r="Q32" s="178"/>
      <c r="R32" s="190"/>
      <c r="S32" s="200"/>
      <c r="T32" s="197"/>
      <c r="U32" s="196">
        <v>0</v>
      </c>
      <c r="V32" s="175">
        <f t="shared" si="9"/>
        <v>0</v>
      </c>
      <c r="W32" s="3"/>
      <c r="X32" s="3"/>
      <c r="Y32" s="31"/>
      <c r="Z32" s="31"/>
      <c r="AA32" s="31">
        <f t="shared" si="0"/>
        <v>0</v>
      </c>
      <c r="AB32" s="120">
        <f t="shared" si="1"/>
        <v>0</v>
      </c>
      <c r="AC32" s="125">
        <v>0</v>
      </c>
      <c r="AD32" s="3">
        <v>0</v>
      </c>
      <c r="AE32" s="3"/>
      <c r="AF32" s="3"/>
      <c r="AG32" s="3">
        <f t="shared" ref="AG32:AG40" si="10">+AE32+AF32</f>
        <v>0</v>
      </c>
      <c r="AH32" s="3"/>
      <c r="AI32" s="41">
        <f t="shared" si="3"/>
        <v>0</v>
      </c>
      <c r="AJ32" s="133"/>
      <c r="AK32" s="3"/>
      <c r="AL32" s="37">
        <f t="shared" si="4"/>
        <v>0</v>
      </c>
      <c r="AM32" s="7"/>
    </row>
    <row r="33" spans="1:39" x14ac:dyDescent="0.25">
      <c r="A33" s="33"/>
      <c r="B33" s="56">
        <v>22</v>
      </c>
      <c r="C33" s="140"/>
      <c r="D33" s="141"/>
      <c r="E33" s="100"/>
      <c r="F33" s="3"/>
      <c r="G33" s="35"/>
      <c r="H33" s="3"/>
      <c r="I33" s="99">
        <f t="shared" si="5"/>
        <v>0</v>
      </c>
      <c r="J33" s="100"/>
      <c r="K33" s="3"/>
      <c r="L33" s="173"/>
      <c r="M33" s="174"/>
      <c r="N33" s="92">
        <f t="shared" si="6"/>
        <v>0</v>
      </c>
      <c r="O33" s="101">
        <f t="shared" si="7"/>
        <v>0</v>
      </c>
      <c r="P33" s="104">
        <f t="shared" si="8"/>
        <v>0</v>
      </c>
      <c r="Q33" s="178"/>
      <c r="R33" s="191"/>
      <c r="S33" s="200"/>
      <c r="T33" s="197"/>
      <c r="U33" s="196">
        <v>0</v>
      </c>
      <c r="V33" s="175">
        <f t="shared" si="9"/>
        <v>0</v>
      </c>
      <c r="W33" s="3"/>
      <c r="X33" s="3"/>
      <c r="Y33" s="31"/>
      <c r="Z33" s="31"/>
      <c r="AA33" s="31">
        <f t="shared" si="0"/>
        <v>0</v>
      </c>
      <c r="AB33" s="120">
        <f t="shared" si="1"/>
        <v>0</v>
      </c>
      <c r="AC33" s="125">
        <v>0</v>
      </c>
      <c r="AD33" s="3">
        <v>0</v>
      </c>
      <c r="AE33" s="3"/>
      <c r="AF33" s="3"/>
      <c r="AG33" s="3">
        <f t="shared" si="10"/>
        <v>0</v>
      </c>
      <c r="AH33" s="3"/>
      <c r="AI33" s="41">
        <f t="shared" si="3"/>
        <v>0</v>
      </c>
      <c r="AJ33" s="133"/>
      <c r="AK33" s="3"/>
      <c r="AL33" s="37">
        <f t="shared" si="4"/>
        <v>0</v>
      </c>
      <c r="AM33" s="7"/>
    </row>
    <row r="34" spans="1:39" x14ac:dyDescent="0.25">
      <c r="A34" s="33"/>
      <c r="B34" s="56">
        <v>23</v>
      </c>
      <c r="C34" s="140"/>
      <c r="D34" s="141"/>
      <c r="E34" s="100"/>
      <c r="F34" s="3"/>
      <c r="G34" s="35"/>
      <c r="H34" s="3"/>
      <c r="I34" s="99">
        <f t="shared" si="5"/>
        <v>0</v>
      </c>
      <c r="J34" s="100"/>
      <c r="K34" s="3"/>
      <c r="L34" s="173"/>
      <c r="M34" s="174"/>
      <c r="N34" s="92">
        <f t="shared" si="6"/>
        <v>0</v>
      </c>
      <c r="O34" s="101">
        <f t="shared" si="7"/>
        <v>0</v>
      </c>
      <c r="P34" s="104">
        <f t="shared" si="8"/>
        <v>0</v>
      </c>
      <c r="Q34" s="179"/>
      <c r="R34" s="192"/>
      <c r="S34" s="200"/>
      <c r="T34" s="197"/>
      <c r="U34" s="196">
        <v>0</v>
      </c>
      <c r="V34" s="175">
        <f t="shared" si="9"/>
        <v>0</v>
      </c>
      <c r="W34" s="3"/>
      <c r="X34" s="3"/>
      <c r="Y34" s="31"/>
      <c r="Z34" s="31"/>
      <c r="AA34" s="31">
        <f t="shared" si="0"/>
        <v>0</v>
      </c>
      <c r="AB34" s="120">
        <f t="shared" si="1"/>
        <v>0</v>
      </c>
      <c r="AC34" s="125">
        <v>0</v>
      </c>
      <c r="AD34" s="3">
        <v>0</v>
      </c>
      <c r="AE34" s="3"/>
      <c r="AF34" s="3"/>
      <c r="AG34" s="3">
        <f t="shared" si="10"/>
        <v>0</v>
      </c>
      <c r="AH34" s="3"/>
      <c r="AI34" s="41">
        <f t="shared" si="3"/>
        <v>0</v>
      </c>
      <c r="AJ34" s="133"/>
      <c r="AK34" s="3"/>
      <c r="AL34" s="37">
        <f t="shared" si="4"/>
        <v>0</v>
      </c>
      <c r="AM34" s="7"/>
    </row>
    <row r="35" spans="1:39" x14ac:dyDescent="0.25">
      <c r="A35" s="33"/>
      <c r="B35" s="56">
        <v>24</v>
      </c>
      <c r="C35" s="140"/>
      <c r="D35" s="141"/>
      <c r="E35" s="100"/>
      <c r="F35" s="3"/>
      <c r="G35" s="35"/>
      <c r="H35" s="3"/>
      <c r="I35" s="99">
        <f t="shared" si="5"/>
        <v>0</v>
      </c>
      <c r="J35" s="100"/>
      <c r="K35" s="3"/>
      <c r="L35" s="173"/>
      <c r="M35" s="174"/>
      <c r="N35" s="92">
        <f t="shared" si="6"/>
        <v>0</v>
      </c>
      <c r="O35" s="101">
        <f t="shared" si="7"/>
        <v>0</v>
      </c>
      <c r="P35" s="104">
        <f t="shared" si="8"/>
        <v>0</v>
      </c>
      <c r="Q35" s="178"/>
      <c r="R35" s="190"/>
      <c r="S35" s="200"/>
      <c r="T35" s="197"/>
      <c r="U35" s="196">
        <v>0</v>
      </c>
      <c r="V35" s="175">
        <f t="shared" si="9"/>
        <v>0</v>
      </c>
      <c r="W35" s="3"/>
      <c r="X35" s="3"/>
      <c r="Y35" s="31"/>
      <c r="Z35" s="31"/>
      <c r="AA35" s="31">
        <f t="shared" si="0"/>
        <v>0</v>
      </c>
      <c r="AB35" s="120">
        <f t="shared" si="1"/>
        <v>0</v>
      </c>
      <c r="AC35" s="125">
        <v>0</v>
      </c>
      <c r="AD35" s="3">
        <v>0</v>
      </c>
      <c r="AE35" s="3"/>
      <c r="AF35" s="3"/>
      <c r="AG35" s="3">
        <f t="shared" si="10"/>
        <v>0</v>
      </c>
      <c r="AH35" s="3"/>
      <c r="AI35" s="41">
        <f t="shared" si="3"/>
        <v>0</v>
      </c>
      <c r="AJ35" s="133"/>
      <c r="AK35" s="3"/>
      <c r="AL35" s="37">
        <f t="shared" si="4"/>
        <v>0</v>
      </c>
      <c r="AM35" s="7"/>
    </row>
    <row r="36" spans="1:39" x14ac:dyDescent="0.25">
      <c r="A36" s="33"/>
      <c r="B36" s="56">
        <v>25</v>
      </c>
      <c r="C36" s="140"/>
      <c r="D36" s="141"/>
      <c r="E36" s="100"/>
      <c r="F36" s="3"/>
      <c r="G36" s="35"/>
      <c r="H36" s="3"/>
      <c r="I36" s="99">
        <f t="shared" si="5"/>
        <v>0</v>
      </c>
      <c r="J36" s="100"/>
      <c r="K36" s="3"/>
      <c r="L36" s="173"/>
      <c r="M36" s="174"/>
      <c r="N36" s="92">
        <f t="shared" si="6"/>
        <v>0</v>
      </c>
      <c r="O36" s="101">
        <f t="shared" si="7"/>
        <v>0</v>
      </c>
      <c r="P36" s="104">
        <f t="shared" si="8"/>
        <v>0</v>
      </c>
      <c r="Q36" s="178"/>
      <c r="R36" s="190"/>
      <c r="S36" s="200"/>
      <c r="T36" s="197"/>
      <c r="U36" s="196">
        <v>0</v>
      </c>
      <c r="V36" s="175">
        <f t="shared" si="9"/>
        <v>0</v>
      </c>
      <c r="W36" s="3"/>
      <c r="X36" s="3"/>
      <c r="Y36" s="31"/>
      <c r="Z36" s="31"/>
      <c r="AA36" s="31">
        <f t="shared" si="0"/>
        <v>0</v>
      </c>
      <c r="AB36" s="120">
        <f t="shared" si="1"/>
        <v>0</v>
      </c>
      <c r="AC36" s="125">
        <v>0</v>
      </c>
      <c r="AD36" s="3">
        <v>0</v>
      </c>
      <c r="AE36" s="3"/>
      <c r="AF36" s="3"/>
      <c r="AG36" s="3">
        <f t="shared" si="10"/>
        <v>0</v>
      </c>
      <c r="AH36" s="3"/>
      <c r="AI36" s="41">
        <f t="shared" si="3"/>
        <v>0</v>
      </c>
      <c r="AJ36" s="133"/>
      <c r="AK36" s="3"/>
      <c r="AL36" s="37">
        <f t="shared" si="4"/>
        <v>0</v>
      </c>
      <c r="AM36" s="7"/>
    </row>
    <row r="37" spans="1:39" x14ac:dyDescent="0.25">
      <c r="A37" s="33"/>
      <c r="B37" s="56">
        <v>26</v>
      </c>
      <c r="C37" s="140"/>
      <c r="D37" s="141"/>
      <c r="E37" s="100"/>
      <c r="F37" s="3"/>
      <c r="G37" s="35"/>
      <c r="H37" s="3"/>
      <c r="I37" s="99">
        <f t="shared" si="5"/>
        <v>0</v>
      </c>
      <c r="J37" s="100"/>
      <c r="K37" s="3"/>
      <c r="L37" s="173"/>
      <c r="M37" s="174"/>
      <c r="N37" s="92">
        <f t="shared" si="6"/>
        <v>0</v>
      </c>
      <c r="O37" s="101">
        <f t="shared" si="7"/>
        <v>0</v>
      </c>
      <c r="P37" s="104">
        <f t="shared" si="8"/>
        <v>0</v>
      </c>
      <c r="Q37" s="178"/>
      <c r="R37" s="190"/>
      <c r="S37" s="200"/>
      <c r="T37" s="197"/>
      <c r="U37" s="196">
        <v>0</v>
      </c>
      <c r="V37" s="175">
        <f t="shared" si="9"/>
        <v>0</v>
      </c>
      <c r="W37" s="3"/>
      <c r="X37" s="3"/>
      <c r="Y37" s="31"/>
      <c r="Z37" s="31"/>
      <c r="AA37" s="31">
        <f t="shared" si="0"/>
        <v>0</v>
      </c>
      <c r="AB37" s="120">
        <f t="shared" si="1"/>
        <v>0</v>
      </c>
      <c r="AC37" s="125">
        <v>0</v>
      </c>
      <c r="AD37" s="3">
        <v>0</v>
      </c>
      <c r="AE37" s="3"/>
      <c r="AF37" s="3"/>
      <c r="AG37" s="3">
        <f t="shared" si="10"/>
        <v>0</v>
      </c>
      <c r="AH37" s="3"/>
      <c r="AI37" s="41">
        <f t="shared" si="3"/>
        <v>0</v>
      </c>
      <c r="AJ37" s="133"/>
      <c r="AK37" s="3"/>
      <c r="AL37" s="37">
        <f t="shared" si="4"/>
        <v>0</v>
      </c>
      <c r="AM37" s="7"/>
    </row>
    <row r="38" spans="1:39" x14ac:dyDescent="0.25">
      <c r="A38" s="33"/>
      <c r="B38" s="56">
        <v>27</v>
      </c>
      <c r="C38" s="140"/>
      <c r="D38" s="141"/>
      <c r="E38" s="100"/>
      <c r="F38" s="3"/>
      <c r="G38" s="35"/>
      <c r="H38" s="3"/>
      <c r="I38" s="99">
        <f t="shared" si="5"/>
        <v>0</v>
      </c>
      <c r="J38" s="100"/>
      <c r="K38" s="3"/>
      <c r="L38" s="173"/>
      <c r="M38" s="174"/>
      <c r="N38" s="92">
        <f t="shared" si="6"/>
        <v>0</v>
      </c>
      <c r="O38" s="101">
        <f t="shared" si="7"/>
        <v>0</v>
      </c>
      <c r="P38" s="104">
        <f t="shared" si="8"/>
        <v>0</v>
      </c>
      <c r="Q38" s="178"/>
      <c r="R38" s="190"/>
      <c r="S38" s="200"/>
      <c r="T38" s="197"/>
      <c r="U38" s="196">
        <v>0</v>
      </c>
      <c r="V38" s="175">
        <f t="shared" si="9"/>
        <v>0</v>
      </c>
      <c r="W38" s="3"/>
      <c r="X38" s="3"/>
      <c r="Y38" s="31"/>
      <c r="Z38" s="31"/>
      <c r="AA38" s="31">
        <f t="shared" si="0"/>
        <v>0</v>
      </c>
      <c r="AB38" s="120">
        <f t="shared" si="1"/>
        <v>0</v>
      </c>
      <c r="AC38" s="125">
        <v>0</v>
      </c>
      <c r="AD38" s="3">
        <v>0</v>
      </c>
      <c r="AE38" s="3"/>
      <c r="AF38" s="3"/>
      <c r="AG38" s="3">
        <f t="shared" si="10"/>
        <v>0</v>
      </c>
      <c r="AH38" s="3"/>
      <c r="AI38" s="41">
        <f t="shared" si="3"/>
        <v>0</v>
      </c>
      <c r="AJ38" s="133"/>
      <c r="AK38" s="3"/>
      <c r="AL38" s="37">
        <f t="shared" si="4"/>
        <v>0</v>
      </c>
      <c r="AM38" s="7"/>
    </row>
    <row r="39" spans="1:39" x14ac:dyDescent="0.25">
      <c r="A39" s="33"/>
      <c r="B39" s="56">
        <v>28</v>
      </c>
      <c r="C39" s="140"/>
      <c r="D39" s="141"/>
      <c r="E39" s="100"/>
      <c r="F39" s="3"/>
      <c r="G39" s="35"/>
      <c r="H39" s="3"/>
      <c r="I39" s="99">
        <f t="shared" si="5"/>
        <v>0</v>
      </c>
      <c r="J39" s="100"/>
      <c r="K39" s="3"/>
      <c r="L39" s="173"/>
      <c r="M39" s="174"/>
      <c r="N39" s="92">
        <f t="shared" si="6"/>
        <v>0</v>
      </c>
      <c r="O39" s="101">
        <f t="shared" si="7"/>
        <v>0</v>
      </c>
      <c r="P39" s="104">
        <f t="shared" si="8"/>
        <v>0</v>
      </c>
      <c r="Q39" s="178"/>
      <c r="R39" s="193"/>
      <c r="S39" s="200"/>
      <c r="T39" s="197"/>
      <c r="U39" s="196">
        <v>0</v>
      </c>
      <c r="V39" s="175">
        <f t="shared" si="9"/>
        <v>0</v>
      </c>
      <c r="W39" s="3"/>
      <c r="X39" s="3"/>
      <c r="Y39" s="31"/>
      <c r="Z39" s="31"/>
      <c r="AA39" s="31">
        <f t="shared" si="0"/>
        <v>0</v>
      </c>
      <c r="AB39" s="120">
        <f t="shared" si="1"/>
        <v>0</v>
      </c>
      <c r="AC39" s="125">
        <v>0</v>
      </c>
      <c r="AD39" s="3">
        <v>0</v>
      </c>
      <c r="AE39" s="3"/>
      <c r="AF39" s="3"/>
      <c r="AG39" s="3">
        <f t="shared" si="10"/>
        <v>0</v>
      </c>
      <c r="AH39" s="3"/>
      <c r="AI39" s="41">
        <f t="shared" si="3"/>
        <v>0</v>
      </c>
      <c r="AJ39" s="133"/>
      <c r="AK39" s="3"/>
      <c r="AL39" s="37">
        <f t="shared" si="4"/>
        <v>0</v>
      </c>
      <c r="AM39" s="7"/>
    </row>
    <row r="40" spans="1:39" x14ac:dyDescent="0.25">
      <c r="A40" s="33"/>
      <c r="B40" s="56">
        <v>29</v>
      </c>
      <c r="C40" s="140"/>
      <c r="D40" s="141"/>
      <c r="E40" s="100"/>
      <c r="F40" s="3"/>
      <c r="G40" s="35"/>
      <c r="H40" s="3"/>
      <c r="I40" s="99">
        <f t="shared" si="5"/>
        <v>0</v>
      </c>
      <c r="J40" s="100"/>
      <c r="K40" s="3"/>
      <c r="L40" s="173"/>
      <c r="M40" s="174"/>
      <c r="N40" s="92">
        <f t="shared" si="6"/>
        <v>0</v>
      </c>
      <c r="O40" s="101">
        <f t="shared" ref="O40:O41" si="11">N40+I40</f>
        <v>0</v>
      </c>
      <c r="P40" s="104">
        <f t="shared" ref="P40:P41" si="12">L40+J40+G40+E40</f>
        <v>0</v>
      </c>
      <c r="Q40" s="179"/>
      <c r="R40" s="194"/>
      <c r="S40" s="200"/>
      <c r="T40" s="197"/>
      <c r="U40" s="196">
        <v>0</v>
      </c>
      <c r="V40" s="175">
        <f t="shared" si="9"/>
        <v>0</v>
      </c>
      <c r="W40" s="3"/>
      <c r="X40" s="3"/>
      <c r="Y40" s="31"/>
      <c r="Z40" s="31"/>
      <c r="AA40" s="31">
        <f t="shared" ref="AA40:AA41" si="13">Z40+X40</f>
        <v>0</v>
      </c>
      <c r="AB40" s="120">
        <f t="shared" si="1"/>
        <v>0</v>
      </c>
      <c r="AC40" s="125">
        <v>0</v>
      </c>
      <c r="AD40" s="3">
        <v>0</v>
      </c>
      <c r="AE40" s="3"/>
      <c r="AF40" s="3"/>
      <c r="AG40" s="3">
        <f t="shared" si="10"/>
        <v>0</v>
      </c>
      <c r="AH40" s="3"/>
      <c r="AI40" s="41">
        <f t="shared" si="3"/>
        <v>0</v>
      </c>
      <c r="AJ40" s="133"/>
      <c r="AK40" s="3"/>
      <c r="AL40" s="37">
        <f t="shared" si="4"/>
        <v>0</v>
      </c>
      <c r="AM40" s="7"/>
    </row>
    <row r="41" spans="1:39" ht="17.25" customHeight="1" x14ac:dyDescent="0.25">
      <c r="A41" s="33"/>
      <c r="B41" s="56">
        <v>30</v>
      </c>
      <c r="C41" s="140"/>
      <c r="D41" s="141"/>
      <c r="E41" s="100"/>
      <c r="F41" s="3"/>
      <c r="G41" s="35"/>
      <c r="H41" s="3"/>
      <c r="I41" s="99">
        <f t="shared" si="5"/>
        <v>0</v>
      </c>
      <c r="J41" s="100"/>
      <c r="K41" s="3"/>
      <c r="L41" s="173"/>
      <c r="M41" s="174"/>
      <c r="N41" s="92">
        <f t="shared" si="6"/>
        <v>0</v>
      </c>
      <c r="O41" s="101">
        <f t="shared" si="11"/>
        <v>0</v>
      </c>
      <c r="P41" s="104">
        <f t="shared" si="12"/>
        <v>0</v>
      </c>
      <c r="Q41" s="178"/>
      <c r="R41" s="195"/>
      <c r="S41" s="200"/>
      <c r="T41" s="197"/>
      <c r="U41" s="196">
        <v>0</v>
      </c>
      <c r="V41" s="175">
        <f t="shared" si="9"/>
        <v>0</v>
      </c>
      <c r="W41" s="3"/>
      <c r="X41" s="3"/>
      <c r="Y41" s="31"/>
      <c r="Z41" s="31"/>
      <c r="AA41" s="31">
        <f t="shared" si="13"/>
        <v>0</v>
      </c>
      <c r="AB41" s="120">
        <f t="shared" si="1"/>
        <v>0</v>
      </c>
      <c r="AC41" s="125">
        <v>0</v>
      </c>
      <c r="AD41" s="3">
        <v>0</v>
      </c>
      <c r="AE41" s="3"/>
      <c r="AF41" s="3"/>
      <c r="AG41" s="3">
        <f>+AE41+AF41</f>
        <v>0</v>
      </c>
      <c r="AH41" s="3"/>
      <c r="AI41" s="41">
        <f t="shared" si="3"/>
        <v>0</v>
      </c>
      <c r="AJ41" s="133"/>
      <c r="AK41" s="3"/>
      <c r="AL41" s="37">
        <f t="shared" si="4"/>
        <v>0</v>
      </c>
      <c r="AM41" s="7"/>
    </row>
    <row r="42" spans="1:39" ht="16.5" thickBot="1" x14ac:dyDescent="0.3">
      <c r="A42" s="33"/>
      <c r="B42" s="115">
        <v>31</v>
      </c>
      <c r="C42" s="208"/>
      <c r="D42" s="209"/>
      <c r="E42" s="210"/>
      <c r="F42" s="93"/>
      <c r="G42" s="211"/>
      <c r="H42" s="93"/>
      <c r="I42" s="212">
        <f t="shared" ref="I42" si="14">F42+H42</f>
        <v>0</v>
      </c>
      <c r="J42" s="210"/>
      <c r="K42" s="93"/>
      <c r="L42" s="213"/>
      <c r="M42" s="214"/>
      <c r="N42" s="94">
        <f t="shared" ref="N42" si="15">+K42+M42</f>
        <v>0</v>
      </c>
      <c r="O42" s="102">
        <f t="shared" ref="O42" si="16">N42+I42</f>
        <v>0</v>
      </c>
      <c r="P42" s="105">
        <f t="shared" ref="P42" si="17">L42+J42+G42+E42</f>
        <v>0</v>
      </c>
      <c r="Q42" s="215"/>
      <c r="R42" s="216"/>
      <c r="S42" s="201"/>
      <c r="T42" s="201"/>
      <c r="U42" s="217">
        <v>0</v>
      </c>
      <c r="V42" s="218">
        <f t="shared" ref="V42" si="18">Y42+W42</f>
        <v>0</v>
      </c>
      <c r="W42" s="93"/>
      <c r="X42" s="93"/>
      <c r="Y42" s="219"/>
      <c r="Z42" s="219"/>
      <c r="AA42" s="219">
        <f t="shared" ref="AA42" si="19">Z42+X42</f>
        <v>0</v>
      </c>
      <c r="AB42" s="220">
        <f t="shared" ref="AB42" si="20">AA42/$AL$47</f>
        <v>0</v>
      </c>
      <c r="AC42" s="93">
        <v>0</v>
      </c>
      <c r="AD42" s="93">
        <v>0</v>
      </c>
      <c r="AE42" s="93"/>
      <c r="AF42" s="93"/>
      <c r="AG42" s="93">
        <f>+AE42+AF42</f>
        <v>0</v>
      </c>
      <c r="AH42" s="93"/>
      <c r="AI42" s="221">
        <f t="shared" ref="AI42" si="21">AH42/$AL$47</f>
        <v>0</v>
      </c>
      <c r="AJ42" s="222"/>
      <c r="AK42" s="93"/>
      <c r="AL42" s="223">
        <f t="shared" ref="AL42" si="22">AK42/$AL$47</f>
        <v>0</v>
      </c>
      <c r="AM42" s="7"/>
    </row>
    <row r="43" spans="1:39" s="8" customFormat="1" ht="4.5" customHeight="1" x14ac:dyDescent="0.25">
      <c r="A43" s="15"/>
      <c r="B43" s="110"/>
      <c r="C43" s="111"/>
      <c r="D43" s="111"/>
      <c r="E43" s="109"/>
      <c r="F43" s="7"/>
      <c r="G43" s="15"/>
      <c r="H43" s="7"/>
      <c r="I43" s="15"/>
      <c r="J43" s="15"/>
      <c r="K43" s="15"/>
      <c r="L43" s="7"/>
      <c r="M43" s="60"/>
      <c r="N43" s="64"/>
      <c r="O43" s="15"/>
      <c r="P43" s="64"/>
      <c r="Q43" s="15"/>
      <c r="R43" s="84"/>
      <c r="S43" s="7"/>
      <c r="T43" s="15"/>
      <c r="U43" s="32"/>
      <c r="V43" s="121"/>
      <c r="W43" s="15"/>
      <c r="X43" s="15"/>
      <c r="Y43" s="15"/>
      <c r="Z43" s="15"/>
      <c r="AA43" s="15"/>
      <c r="AB43" s="32"/>
      <c r="AC43" s="15"/>
      <c r="AD43" s="7"/>
      <c r="AE43" s="15"/>
      <c r="AF43" s="15"/>
      <c r="AG43" s="15"/>
      <c r="AH43" s="15"/>
      <c r="AI43" s="15"/>
      <c r="AJ43" s="84"/>
      <c r="AK43" s="15"/>
      <c r="AL43" s="32"/>
      <c r="AM43" s="15"/>
    </row>
    <row r="44" spans="1:39" s="8" customFormat="1" ht="6" customHeight="1" x14ac:dyDescent="0.25">
      <c r="A44" s="15"/>
      <c r="B44" s="110"/>
      <c r="C44" s="111"/>
      <c r="D44" s="111"/>
      <c r="E44" s="109"/>
      <c r="F44" s="7"/>
      <c r="G44" s="15"/>
      <c r="H44" s="7"/>
      <c r="I44" s="15"/>
      <c r="J44" s="15"/>
      <c r="K44" s="15"/>
      <c r="L44" s="7"/>
      <c r="M44" s="60"/>
      <c r="N44" s="64"/>
      <c r="O44" s="15"/>
      <c r="P44" s="64"/>
      <c r="Q44" s="15"/>
      <c r="R44" s="84"/>
      <c r="S44" s="16"/>
      <c r="T44" s="16"/>
      <c r="U44" s="32"/>
      <c r="V44" s="121"/>
      <c r="W44" s="15"/>
      <c r="X44" s="15"/>
      <c r="Y44" s="15"/>
      <c r="Z44" s="15"/>
      <c r="AA44" s="15"/>
      <c r="AB44" s="122"/>
      <c r="AC44" s="15"/>
      <c r="AD44" s="7"/>
      <c r="AE44" s="15"/>
      <c r="AF44" s="15"/>
      <c r="AG44" s="15"/>
      <c r="AH44" s="7"/>
      <c r="AI44" s="15"/>
      <c r="AJ44" s="86"/>
      <c r="AK44" s="5"/>
      <c r="AL44" s="38"/>
      <c r="AM44" s="15"/>
    </row>
    <row r="45" spans="1:39" s="8" customFormat="1" ht="16.5" thickBot="1" x14ac:dyDescent="0.3">
      <c r="A45" s="15"/>
      <c r="B45" s="112"/>
      <c r="C45" s="113"/>
      <c r="D45" s="113"/>
      <c r="E45" s="114"/>
      <c r="F45" s="70"/>
      <c r="G45" s="69"/>
      <c r="H45" s="70"/>
      <c r="I45" s="69"/>
      <c r="J45" s="69"/>
      <c r="K45" s="69"/>
      <c r="L45" s="70"/>
      <c r="M45" s="71"/>
      <c r="N45" s="72"/>
      <c r="O45" s="69"/>
      <c r="P45" s="72"/>
      <c r="Q45" s="69"/>
      <c r="R45" s="85"/>
      <c r="S45" s="73"/>
      <c r="T45" s="69"/>
      <c r="U45" s="176"/>
      <c r="V45" s="123"/>
      <c r="W45" s="75"/>
      <c r="X45" s="69"/>
      <c r="Y45" s="69"/>
      <c r="Z45" s="69"/>
      <c r="AA45" s="69"/>
      <c r="AB45" s="74"/>
      <c r="AC45" s="76"/>
      <c r="AD45" s="70"/>
      <c r="AE45" s="76"/>
      <c r="AF45" s="76"/>
      <c r="AG45" s="76"/>
      <c r="AH45" s="70"/>
      <c r="AI45" s="69"/>
      <c r="AJ45" s="134"/>
      <c r="AK45" s="77"/>
      <c r="AL45" s="78"/>
      <c r="AM45" s="15"/>
    </row>
    <row r="46" spans="1:39" ht="17.25" thickTop="1" thickBot="1" x14ac:dyDescent="0.3">
      <c r="A46" s="24"/>
      <c r="B46" s="67"/>
      <c r="C46" s="68">
        <f t="shared" ref="C46:P46" si="23">SUM(C12:C42)</f>
        <v>167</v>
      </c>
      <c r="D46" s="68">
        <f t="shared" si="23"/>
        <v>1655</v>
      </c>
      <c r="E46" s="68">
        <f t="shared" si="23"/>
        <v>214759.99999999983</v>
      </c>
      <c r="F46" s="68">
        <f t="shared" si="23"/>
        <v>233566318.43999973</v>
      </c>
      <c r="G46" s="68">
        <f t="shared" si="23"/>
        <v>44479.999999999913</v>
      </c>
      <c r="H46" s="68">
        <f t="shared" si="23"/>
        <v>72562603.679999858</v>
      </c>
      <c r="I46" s="68">
        <f t="shared" si="23"/>
        <v>306128922.11999965</v>
      </c>
      <c r="J46" s="68">
        <f t="shared" si="23"/>
        <v>25339.999999999978</v>
      </c>
      <c r="K46" s="68">
        <f t="shared" si="23"/>
        <v>27558998.459999971</v>
      </c>
      <c r="L46" s="68">
        <f t="shared" si="23"/>
        <v>6880.00000000001</v>
      </c>
      <c r="M46" s="68">
        <f t="shared" si="23"/>
        <v>11223712.080000017</v>
      </c>
      <c r="N46" s="68">
        <f t="shared" si="23"/>
        <v>38782710.539999992</v>
      </c>
      <c r="O46" s="68">
        <f t="shared" si="23"/>
        <v>344911632.65999955</v>
      </c>
      <c r="P46" s="80">
        <f t="shared" si="23"/>
        <v>291459.99999999965</v>
      </c>
      <c r="Q46" s="177"/>
      <c r="R46" s="116"/>
      <c r="S46" s="108">
        <f>Q46+P46</f>
        <v>291459.99999999965</v>
      </c>
      <c r="T46" s="108">
        <f>R46+O46</f>
        <v>344911632.65999955</v>
      </c>
      <c r="U46" s="128">
        <f>T46/AL47</f>
        <v>26580.551819538825</v>
      </c>
      <c r="V46" s="166">
        <f t="shared" ref="V46:AA46" si="24">SUM(V12:V41)</f>
        <v>12683</v>
      </c>
      <c r="W46" s="50">
        <f t="shared" si="24"/>
        <v>3859</v>
      </c>
      <c r="X46" s="50">
        <f t="shared" si="24"/>
        <v>69402627.397746921</v>
      </c>
      <c r="Y46" s="50">
        <f t="shared" si="24"/>
        <v>8824</v>
      </c>
      <c r="Z46" s="50">
        <f t="shared" si="24"/>
        <v>41537325.958992228</v>
      </c>
      <c r="AA46" s="127">
        <f t="shared" si="24"/>
        <v>110939953.35673915</v>
      </c>
      <c r="AB46" s="117">
        <f>AA46/$AL$47</f>
        <v>8549.5671929478867</v>
      </c>
      <c r="AC46" s="42">
        <f>SUM(AC12:AC41)</f>
        <v>0</v>
      </c>
      <c r="AD46" s="129">
        <f>SUM(AD12:AD41)</f>
        <v>0</v>
      </c>
      <c r="AE46" s="42">
        <f>SUM(AE12:AE41)</f>
        <v>1400</v>
      </c>
      <c r="AF46" s="42">
        <f>SUM(AF12:AF41)</f>
        <v>204</v>
      </c>
      <c r="AG46" s="199">
        <f>SUM(AG12:AG41)</f>
        <v>1604</v>
      </c>
      <c r="AH46" s="137">
        <f>SUM(AH12:AH42)</f>
        <v>23102500</v>
      </c>
      <c r="AI46" s="138">
        <f>AH46/$AL$47</f>
        <v>1780.3899325605787</v>
      </c>
      <c r="AJ46" s="198">
        <f>SUM(AJ12:AJ42)</f>
        <v>4889.150000000016</v>
      </c>
      <c r="AK46" s="135">
        <v>0</v>
      </c>
      <c r="AL46" s="136">
        <f>AK46/AL47</f>
        <v>0</v>
      </c>
      <c r="AM46" s="24"/>
    </row>
    <row r="47" spans="1:39" s="1" customFormat="1" x14ac:dyDescent="0.25">
      <c r="A47" s="24"/>
      <c r="B47" s="24"/>
      <c r="C47" s="5"/>
      <c r="D47" s="11"/>
      <c r="E47" s="5"/>
      <c r="F47" s="5"/>
      <c r="G47" s="11"/>
      <c r="H47" s="5"/>
      <c r="I47" s="9"/>
      <c r="J47" s="9"/>
      <c r="K47" s="9"/>
      <c r="L47" s="17"/>
      <c r="M47" s="61"/>
      <c r="N47" s="65"/>
      <c r="O47" s="10"/>
      <c r="P47" s="65"/>
      <c r="Q47" s="10"/>
      <c r="R47" s="107"/>
      <c r="S47" s="14"/>
      <c r="T47" s="79" t="s">
        <v>29</v>
      </c>
      <c r="U47" s="142">
        <f>U46/S46</f>
        <v>9.1197940779313993E-2</v>
      </c>
      <c r="V47" s="180" t="s">
        <v>52</v>
      </c>
      <c r="W47" s="11"/>
      <c r="X47" s="11"/>
      <c r="Y47" s="130"/>
      <c r="Z47" s="11"/>
      <c r="AA47" s="11"/>
      <c r="AB47" s="11"/>
      <c r="AC47" s="16"/>
      <c r="AD47" s="7"/>
      <c r="AE47" s="16"/>
      <c r="AF47" s="16"/>
      <c r="AG47" s="7"/>
      <c r="AH47" s="204"/>
      <c r="AI47" s="11"/>
      <c r="AJ47" s="86"/>
      <c r="AK47" s="11"/>
      <c r="AL47" s="139">
        <v>12976.09</v>
      </c>
      <c r="AM47" s="24"/>
    </row>
    <row r="48" spans="1:39" s="1" customFormat="1" x14ac:dyDescent="0.25">
      <c r="A48" s="24"/>
      <c r="B48" s="24"/>
      <c r="C48" s="5"/>
      <c r="D48" s="11"/>
      <c r="E48" s="5"/>
      <c r="F48" s="5"/>
      <c r="G48" s="11"/>
      <c r="H48" s="5"/>
      <c r="I48" s="9"/>
      <c r="J48" s="9"/>
      <c r="K48" s="9"/>
      <c r="L48" s="17"/>
      <c r="M48" s="61"/>
      <c r="N48" s="65"/>
      <c r="O48" s="10"/>
      <c r="P48" s="65"/>
      <c r="Q48" s="10"/>
      <c r="R48" s="107"/>
      <c r="S48" s="14"/>
      <c r="T48" s="205"/>
      <c r="U48" s="142"/>
      <c r="V48" s="180"/>
      <c r="W48" s="11"/>
      <c r="X48" s="203"/>
      <c r="Y48" s="130"/>
      <c r="Z48" s="203"/>
      <c r="AA48" s="11"/>
      <c r="AB48" s="11"/>
      <c r="AC48" s="16"/>
      <c r="AD48" s="7"/>
      <c r="AE48" s="16"/>
      <c r="AF48" s="16"/>
      <c r="AG48" s="7"/>
      <c r="AH48" s="204"/>
      <c r="AI48" s="11"/>
      <c r="AJ48" s="86"/>
      <c r="AK48" s="11"/>
      <c r="AL48" s="139"/>
      <c r="AM48" s="24"/>
    </row>
    <row r="49" spans="1:39" s="1" customFormat="1" x14ac:dyDescent="0.25">
      <c r="A49" s="24"/>
      <c r="B49" s="24"/>
      <c r="C49" s="5"/>
      <c r="D49" s="11"/>
      <c r="E49" s="5"/>
      <c r="F49" s="5"/>
      <c r="G49" s="11"/>
      <c r="H49" s="5"/>
      <c r="I49" s="9"/>
      <c r="J49" s="9"/>
      <c r="K49" s="9"/>
      <c r="L49" s="17"/>
      <c r="M49" s="61"/>
      <c r="N49" s="65"/>
      <c r="O49" s="10"/>
      <c r="P49" s="65"/>
      <c r="Q49" s="10"/>
      <c r="R49" s="107"/>
      <c r="S49" s="14"/>
      <c r="T49" s="79"/>
      <c r="U49" s="142"/>
      <c r="V49" s="180"/>
      <c r="W49" s="11"/>
      <c r="X49" s="11"/>
      <c r="Y49" s="130"/>
      <c r="Z49" s="203"/>
      <c r="AA49" s="11"/>
      <c r="AB49" s="11"/>
      <c r="AC49" s="16"/>
      <c r="AD49" s="7"/>
      <c r="AE49" s="16"/>
      <c r="AF49" s="16"/>
      <c r="AG49" s="7"/>
      <c r="AH49" s="204"/>
      <c r="AI49" s="11"/>
      <c r="AJ49" s="86"/>
      <c r="AK49" s="11"/>
      <c r="AL49" s="139"/>
      <c r="AM49" s="24"/>
    </row>
    <row r="50" spans="1:39" s="183" customFormat="1" x14ac:dyDescent="0.25">
      <c r="A50" s="181"/>
      <c r="B50" s="181"/>
      <c r="C50" s="182"/>
      <c r="E50" s="182"/>
      <c r="F50" s="182"/>
      <c r="H50" s="182"/>
      <c r="L50" s="182"/>
      <c r="M50" s="184"/>
      <c r="N50" s="185"/>
      <c r="P50" s="185"/>
      <c r="R50" s="186"/>
      <c r="T50" s="202"/>
      <c r="Y50" s="224"/>
      <c r="AD50" s="182"/>
      <c r="AH50" s="182"/>
      <c r="AJ50" s="186"/>
      <c r="AL50" s="187"/>
      <c r="AM50" s="181"/>
    </row>
    <row r="51" spans="1:39" s="183" customFormat="1" x14ac:dyDescent="0.25">
      <c r="A51" s="181"/>
      <c r="B51" s="181"/>
      <c r="C51" s="182"/>
      <c r="E51" s="182"/>
      <c r="F51" s="182"/>
      <c r="H51" s="182"/>
      <c r="L51" s="182"/>
      <c r="M51" s="184"/>
      <c r="N51" s="185"/>
      <c r="P51" s="185"/>
      <c r="R51" s="186"/>
      <c r="T51" s="202"/>
      <c r="AD51" s="182"/>
      <c r="AH51" s="182"/>
      <c r="AJ51" s="186"/>
      <c r="AL51" s="187"/>
      <c r="AM51" s="181"/>
    </row>
    <row r="52" spans="1:39" s="183" customFormat="1" x14ac:dyDescent="0.25">
      <c r="A52" s="181"/>
      <c r="B52" s="181"/>
      <c r="C52" s="182"/>
      <c r="E52" s="182"/>
      <c r="F52" s="182"/>
      <c r="H52" s="182"/>
      <c r="L52" s="182"/>
      <c r="M52" s="184"/>
      <c r="N52" s="185"/>
      <c r="P52" s="185"/>
      <c r="R52" s="186"/>
      <c r="AD52" s="182"/>
      <c r="AH52" s="182"/>
      <c r="AJ52" s="186"/>
      <c r="AL52" s="187"/>
      <c r="AM52" s="181"/>
    </row>
    <row r="53" spans="1:39" s="183" customFormat="1" x14ac:dyDescent="0.25">
      <c r="A53" s="181"/>
      <c r="B53" s="181"/>
      <c r="C53" s="182"/>
      <c r="E53" s="182"/>
      <c r="F53" s="182"/>
      <c r="H53" s="182"/>
      <c r="L53" s="182"/>
      <c r="M53" s="184"/>
      <c r="N53" s="185"/>
      <c r="P53" s="185"/>
      <c r="R53" s="186"/>
      <c r="AD53" s="182"/>
      <c r="AH53" s="182"/>
      <c r="AJ53" s="186"/>
      <c r="AL53" s="187"/>
      <c r="AM53" s="181"/>
    </row>
    <row r="54" spans="1:39" s="183" customFormat="1" x14ac:dyDescent="0.25">
      <c r="A54" s="181"/>
      <c r="B54" s="181"/>
      <c r="C54" s="182"/>
      <c r="E54" s="182"/>
      <c r="F54" s="182"/>
      <c r="H54" s="182"/>
      <c r="L54" s="182"/>
      <c r="M54" s="184"/>
      <c r="N54" s="185"/>
      <c r="P54" s="185"/>
      <c r="R54" s="186"/>
      <c r="T54" s="202"/>
      <c r="AD54" s="182"/>
      <c r="AH54" s="182"/>
      <c r="AJ54" s="186"/>
      <c r="AL54" s="187"/>
      <c r="AM54" s="181"/>
    </row>
    <row r="55" spans="1:39" s="183" customFormat="1" x14ac:dyDescent="0.25">
      <c r="A55" s="181"/>
      <c r="B55" s="181"/>
      <c r="C55" s="182"/>
      <c r="E55" s="182"/>
      <c r="F55" s="182"/>
      <c r="H55" s="182"/>
      <c r="L55" s="182"/>
      <c r="M55" s="184"/>
      <c r="N55" s="185"/>
      <c r="P55" s="185"/>
      <c r="R55" s="186"/>
      <c r="AD55" s="182"/>
      <c r="AH55" s="182"/>
      <c r="AJ55" s="186"/>
      <c r="AL55" s="187"/>
      <c r="AM55" s="181"/>
    </row>
    <row r="56" spans="1:39" s="183" customFormat="1" x14ac:dyDescent="0.25">
      <c r="A56" s="181"/>
      <c r="B56" s="181"/>
      <c r="C56" s="182"/>
      <c r="E56" s="182"/>
      <c r="F56" s="182"/>
      <c r="H56" s="182"/>
      <c r="L56" s="182"/>
      <c r="M56" s="184"/>
      <c r="N56" s="185"/>
      <c r="P56" s="185"/>
      <c r="R56" s="186"/>
      <c r="AD56" s="182"/>
      <c r="AH56" s="182"/>
      <c r="AJ56" s="186"/>
      <c r="AL56" s="187"/>
      <c r="AM56" s="181"/>
    </row>
    <row r="57" spans="1:39" s="183" customFormat="1" x14ac:dyDescent="0.25">
      <c r="A57" s="181"/>
      <c r="B57" s="181"/>
      <c r="C57" s="182"/>
      <c r="E57" s="182"/>
      <c r="F57" s="182"/>
      <c r="H57" s="182"/>
      <c r="L57" s="182"/>
      <c r="M57" s="184"/>
      <c r="N57" s="185"/>
      <c r="P57" s="185"/>
      <c r="R57" s="186"/>
      <c r="AD57" s="182"/>
      <c r="AH57" s="182"/>
      <c r="AJ57" s="186"/>
      <c r="AL57" s="187"/>
      <c r="AM57" s="181"/>
    </row>
    <row r="58" spans="1:39" s="183" customFormat="1" x14ac:dyDescent="0.25">
      <c r="A58" s="181"/>
      <c r="B58" s="181"/>
      <c r="C58" s="182"/>
      <c r="E58" s="182"/>
      <c r="F58" s="182"/>
      <c r="H58" s="182"/>
      <c r="L58" s="182"/>
      <c r="M58" s="184"/>
      <c r="N58" s="185"/>
      <c r="P58" s="185"/>
      <c r="R58" s="186"/>
      <c r="AD58" s="182"/>
      <c r="AH58" s="182"/>
      <c r="AJ58" s="186"/>
      <c r="AL58" s="187"/>
      <c r="AM58" s="181"/>
    </row>
    <row r="59" spans="1:39" s="183" customFormat="1" x14ac:dyDescent="0.25">
      <c r="A59" s="181"/>
      <c r="B59" s="181"/>
      <c r="C59" s="182"/>
      <c r="E59" s="182"/>
      <c r="F59" s="182"/>
      <c r="H59" s="182"/>
      <c r="L59" s="182"/>
      <c r="M59" s="184"/>
      <c r="N59" s="185"/>
      <c r="P59" s="185"/>
      <c r="R59" s="186"/>
      <c r="AD59" s="182"/>
      <c r="AH59" s="182"/>
      <c r="AJ59" s="186"/>
      <c r="AL59" s="187"/>
      <c r="AM59" s="181"/>
    </row>
    <row r="60" spans="1:39" s="183" customFormat="1" x14ac:dyDescent="0.25">
      <c r="A60" s="181"/>
      <c r="B60" s="181"/>
      <c r="C60" s="182"/>
      <c r="E60" s="182"/>
      <c r="F60" s="182"/>
      <c r="H60" s="182"/>
      <c r="L60" s="182"/>
      <c r="M60" s="184"/>
      <c r="N60" s="185"/>
      <c r="P60" s="185"/>
      <c r="R60" s="186"/>
      <c r="AD60" s="182"/>
      <c r="AH60" s="182"/>
      <c r="AJ60" s="186"/>
      <c r="AL60" s="187"/>
      <c r="AM60" s="181"/>
    </row>
    <row r="61" spans="1:39" s="183" customFormat="1" x14ac:dyDescent="0.25">
      <c r="A61" s="181"/>
      <c r="B61" s="181"/>
      <c r="C61" s="182"/>
      <c r="E61" s="182"/>
      <c r="F61" s="182"/>
      <c r="H61" s="182"/>
      <c r="L61" s="182"/>
      <c r="M61" s="184"/>
      <c r="N61" s="185"/>
      <c r="P61" s="185"/>
      <c r="R61" s="186"/>
      <c r="AD61" s="182"/>
      <c r="AH61" s="182"/>
      <c r="AJ61" s="186"/>
      <c r="AL61" s="187"/>
      <c r="AM61" s="181"/>
    </row>
    <row r="62" spans="1:39" s="183" customFormat="1" x14ac:dyDescent="0.25">
      <c r="A62" s="181"/>
      <c r="B62" s="181"/>
      <c r="C62" s="182"/>
      <c r="E62" s="182"/>
      <c r="F62" s="182"/>
      <c r="H62" s="182"/>
      <c r="I62" s="182"/>
      <c r="J62" s="182"/>
      <c r="L62" s="182"/>
      <c r="M62" s="184"/>
      <c r="N62" s="185"/>
      <c r="P62" s="185"/>
      <c r="R62" s="186"/>
      <c r="AD62" s="182"/>
      <c r="AH62" s="182"/>
      <c r="AJ62" s="186"/>
      <c r="AL62" s="187"/>
      <c r="AM62" s="181"/>
    </row>
    <row r="63" spans="1:39" s="183" customFormat="1" x14ac:dyDescent="0.25">
      <c r="A63" s="181"/>
      <c r="B63" s="181"/>
      <c r="C63" s="182"/>
      <c r="E63" s="182"/>
      <c r="F63" s="182"/>
      <c r="H63" s="182"/>
      <c r="L63" s="182"/>
      <c r="M63" s="184"/>
      <c r="N63" s="185"/>
      <c r="P63" s="185"/>
      <c r="R63" s="186"/>
      <c r="AD63" s="182"/>
      <c r="AH63" s="182"/>
      <c r="AJ63" s="186"/>
      <c r="AL63" s="187"/>
      <c r="AM63" s="181"/>
    </row>
    <row r="64" spans="1:39" s="183" customFormat="1" x14ac:dyDescent="0.25">
      <c r="A64" s="181"/>
      <c r="B64" s="181"/>
      <c r="C64" s="182"/>
      <c r="E64" s="182"/>
      <c r="F64" s="182"/>
      <c r="H64" s="182"/>
      <c r="L64" s="182"/>
      <c r="M64" s="184"/>
      <c r="N64" s="185"/>
      <c r="P64" s="185"/>
      <c r="R64" s="186"/>
      <c r="AD64" s="182"/>
      <c r="AH64" s="182"/>
      <c r="AJ64" s="186"/>
      <c r="AL64" s="187"/>
      <c r="AM64" s="181"/>
    </row>
    <row r="65" spans="1:39" s="183" customFormat="1" x14ac:dyDescent="0.25">
      <c r="A65" s="181"/>
      <c r="B65" s="181"/>
      <c r="C65" s="182"/>
      <c r="E65" s="182"/>
      <c r="F65" s="182"/>
      <c r="H65" s="182"/>
      <c r="L65" s="182"/>
      <c r="M65" s="184"/>
      <c r="N65" s="185"/>
      <c r="P65" s="185"/>
      <c r="R65" s="186"/>
      <c r="AD65" s="182"/>
      <c r="AH65" s="182"/>
      <c r="AJ65" s="186"/>
      <c r="AL65" s="187"/>
      <c r="AM65" s="181"/>
    </row>
    <row r="66" spans="1:39" s="183" customFormat="1" x14ac:dyDescent="0.25">
      <c r="A66" s="181"/>
      <c r="B66" s="181"/>
      <c r="C66" s="182"/>
      <c r="E66" s="182"/>
      <c r="F66" s="182"/>
      <c r="H66" s="182"/>
      <c r="L66" s="182"/>
      <c r="M66" s="184"/>
      <c r="N66" s="185"/>
      <c r="P66" s="185"/>
      <c r="R66" s="186"/>
      <c r="AD66" s="182"/>
      <c r="AH66" s="182"/>
      <c r="AJ66" s="186"/>
      <c r="AL66" s="187"/>
      <c r="AM66" s="181"/>
    </row>
    <row r="67" spans="1:39" s="183" customFormat="1" x14ac:dyDescent="0.25">
      <c r="A67" s="181"/>
      <c r="B67" s="181"/>
      <c r="C67" s="182"/>
      <c r="E67" s="182"/>
      <c r="F67" s="182"/>
      <c r="H67" s="182"/>
      <c r="L67" s="182"/>
      <c r="M67" s="184"/>
      <c r="N67" s="185"/>
      <c r="P67" s="185"/>
      <c r="R67" s="186"/>
      <c r="AD67" s="182"/>
      <c r="AH67" s="182"/>
      <c r="AJ67" s="186"/>
      <c r="AL67" s="187"/>
      <c r="AM67" s="181"/>
    </row>
    <row r="68" spans="1:39" s="183" customFormat="1" x14ac:dyDescent="0.25">
      <c r="A68" s="181"/>
      <c r="B68" s="181"/>
      <c r="C68" s="182"/>
      <c r="E68" s="182"/>
      <c r="F68" s="182"/>
      <c r="H68" s="182"/>
      <c r="L68" s="182"/>
      <c r="M68" s="184"/>
      <c r="N68" s="185"/>
      <c r="P68" s="185"/>
      <c r="R68" s="186"/>
      <c r="AD68" s="182"/>
      <c r="AH68" s="182"/>
      <c r="AJ68" s="186"/>
      <c r="AL68" s="187"/>
      <c r="AM68" s="181"/>
    </row>
    <row r="69" spans="1:39" s="183" customFormat="1" x14ac:dyDescent="0.25">
      <c r="A69" s="181"/>
      <c r="B69" s="181"/>
      <c r="C69" s="182"/>
      <c r="E69" s="182"/>
      <c r="F69" s="182"/>
      <c r="H69" s="182"/>
      <c r="L69" s="182"/>
      <c r="M69" s="184"/>
      <c r="N69" s="185"/>
      <c r="P69" s="185"/>
      <c r="R69" s="186"/>
      <c r="AD69" s="182"/>
      <c r="AH69" s="182"/>
      <c r="AJ69" s="186"/>
      <c r="AL69" s="187"/>
      <c r="AM69" s="181"/>
    </row>
  </sheetData>
  <mergeCells count="18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3" sqref="E13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5" t="s">
        <v>28</v>
      </c>
    </row>
    <row r="2" spans="1:3" ht="18" x14ac:dyDescent="0.35">
      <c r="A2" s="264">
        <v>44501</v>
      </c>
      <c r="B2" s="265"/>
      <c r="C2" s="265"/>
    </row>
    <row r="3" spans="1:3" x14ac:dyDescent="0.25">
      <c r="A3" s="267" t="s">
        <v>1</v>
      </c>
      <c r="B3" s="266" t="s">
        <v>2</v>
      </c>
      <c r="C3" s="266" t="s">
        <v>3</v>
      </c>
    </row>
    <row r="4" spans="1:3" x14ac:dyDescent="0.25">
      <c r="A4" s="267"/>
      <c r="B4" s="266"/>
      <c r="C4" s="266"/>
    </row>
    <row r="5" spans="1:3" x14ac:dyDescent="0.25">
      <c r="A5" s="267"/>
      <c r="B5" s="266"/>
      <c r="C5" s="266"/>
    </row>
    <row r="6" spans="1:3" x14ac:dyDescent="0.25">
      <c r="A6" s="2">
        <v>1</v>
      </c>
      <c r="B6" s="2">
        <v>6</v>
      </c>
      <c r="C6" s="2">
        <v>79</v>
      </c>
    </row>
    <row r="7" spans="1:3" x14ac:dyDescent="0.25">
      <c r="A7" s="2">
        <v>2</v>
      </c>
      <c r="B7" s="2">
        <v>3</v>
      </c>
      <c r="C7" s="2">
        <v>37</v>
      </c>
    </row>
    <row r="8" spans="1:3" x14ac:dyDescent="0.25">
      <c r="A8" s="2">
        <f>A7+1</f>
        <v>3</v>
      </c>
      <c r="B8" s="2">
        <v>0</v>
      </c>
      <c r="C8" s="2">
        <v>45</v>
      </c>
    </row>
    <row r="9" spans="1:3" x14ac:dyDescent="0.25">
      <c r="A9" s="2">
        <f>A8+1</f>
        <v>4</v>
      </c>
      <c r="B9" s="2">
        <v>8</v>
      </c>
      <c r="C9" s="2">
        <v>41</v>
      </c>
    </row>
    <row r="10" spans="1:3" x14ac:dyDescent="0.25">
      <c r="A10" s="2">
        <f t="shared" ref="A10:A36" si="0">A9+1</f>
        <v>5</v>
      </c>
      <c r="B10" s="2">
        <v>9</v>
      </c>
      <c r="C10" s="2">
        <v>79</v>
      </c>
    </row>
    <row r="11" spans="1:3" x14ac:dyDescent="0.25">
      <c r="A11" s="2">
        <f t="shared" si="0"/>
        <v>6</v>
      </c>
      <c r="B11" s="2">
        <v>7</v>
      </c>
      <c r="C11" s="2">
        <v>89</v>
      </c>
    </row>
    <row r="12" spans="1:3" x14ac:dyDescent="0.25">
      <c r="A12" s="2">
        <f t="shared" si="0"/>
        <v>7</v>
      </c>
      <c r="B12" s="2">
        <v>3</v>
      </c>
      <c r="C12" s="2">
        <v>115</v>
      </c>
    </row>
    <row r="13" spans="1:3" x14ac:dyDescent="0.25">
      <c r="A13" s="2">
        <f t="shared" si="0"/>
        <v>8</v>
      </c>
      <c r="B13" s="2">
        <v>10</v>
      </c>
      <c r="C13" s="2">
        <v>68</v>
      </c>
    </row>
    <row r="14" spans="1:3" x14ac:dyDescent="0.25">
      <c r="A14" s="2">
        <f t="shared" si="0"/>
        <v>9</v>
      </c>
      <c r="B14" s="2">
        <v>11</v>
      </c>
      <c r="C14" s="2">
        <v>98</v>
      </c>
    </row>
    <row r="15" spans="1:3" x14ac:dyDescent="0.25">
      <c r="A15" s="2">
        <f t="shared" si="0"/>
        <v>10</v>
      </c>
      <c r="B15" s="2">
        <v>3</v>
      </c>
      <c r="C15" s="2">
        <v>81</v>
      </c>
    </row>
    <row r="16" spans="1:3" x14ac:dyDescent="0.25">
      <c r="A16" s="2">
        <f t="shared" si="0"/>
        <v>11</v>
      </c>
      <c r="B16" s="2">
        <v>7</v>
      </c>
      <c r="C16" s="2">
        <v>68</v>
      </c>
    </row>
    <row r="17" spans="1:3" x14ac:dyDescent="0.25">
      <c r="A17" s="2">
        <f t="shared" si="0"/>
        <v>12</v>
      </c>
      <c r="B17" s="2">
        <v>7</v>
      </c>
      <c r="C17" s="2">
        <v>100</v>
      </c>
    </row>
    <row r="18" spans="1:3" x14ac:dyDescent="0.25">
      <c r="A18" s="2">
        <f t="shared" si="0"/>
        <v>13</v>
      </c>
      <c r="B18" s="2">
        <v>7</v>
      </c>
      <c r="C18" s="2">
        <v>92</v>
      </c>
    </row>
    <row r="19" spans="1:3" x14ac:dyDescent="0.25">
      <c r="A19" s="2">
        <f t="shared" si="0"/>
        <v>14</v>
      </c>
      <c r="B19" s="2">
        <v>5</v>
      </c>
      <c r="C19" s="2">
        <v>106</v>
      </c>
    </row>
    <row r="20" spans="1:3" x14ac:dyDescent="0.25">
      <c r="A20" s="2">
        <f t="shared" si="0"/>
        <v>15</v>
      </c>
      <c r="B20" s="2">
        <v>8</v>
      </c>
      <c r="C20" s="2">
        <v>45</v>
      </c>
    </row>
    <row r="21" spans="1:3" x14ac:dyDescent="0.25">
      <c r="A21" s="2">
        <f t="shared" si="0"/>
        <v>16</v>
      </c>
      <c r="B21" s="2">
        <v>7</v>
      </c>
      <c r="C21" s="2">
        <v>59</v>
      </c>
    </row>
    <row r="22" spans="1:3" x14ac:dyDescent="0.25">
      <c r="A22" s="2">
        <f t="shared" si="0"/>
        <v>17</v>
      </c>
      <c r="B22" s="2">
        <v>16</v>
      </c>
      <c r="C22" s="2">
        <v>103</v>
      </c>
    </row>
    <row r="23" spans="1:3" x14ac:dyDescent="0.25">
      <c r="A23" s="2">
        <f t="shared" si="0"/>
        <v>18</v>
      </c>
      <c r="B23" s="2">
        <v>17</v>
      </c>
      <c r="C23" s="2">
        <v>91</v>
      </c>
    </row>
    <row r="24" spans="1:3" x14ac:dyDescent="0.25">
      <c r="A24" s="2">
        <f t="shared" si="0"/>
        <v>19</v>
      </c>
      <c r="B24" s="2">
        <v>13</v>
      </c>
      <c r="C24" s="2">
        <v>117</v>
      </c>
    </row>
    <row r="25" spans="1:3" x14ac:dyDescent="0.25">
      <c r="A25" s="2">
        <f t="shared" si="0"/>
        <v>20</v>
      </c>
      <c r="B25" s="2">
        <v>20</v>
      </c>
      <c r="C25" s="2">
        <v>142</v>
      </c>
    </row>
    <row r="26" spans="1:3" x14ac:dyDescent="0.25">
      <c r="A26" s="2">
        <f t="shared" si="0"/>
        <v>21</v>
      </c>
      <c r="B26" s="2"/>
      <c r="C26" s="2"/>
    </row>
    <row r="27" spans="1:3" x14ac:dyDescent="0.25">
      <c r="A27" s="2">
        <f t="shared" si="0"/>
        <v>22</v>
      </c>
      <c r="B27" s="2"/>
      <c r="C27" s="2"/>
    </row>
    <row r="28" spans="1:3" x14ac:dyDescent="0.25">
      <c r="A28" s="2">
        <f t="shared" si="0"/>
        <v>23</v>
      </c>
      <c r="B28" s="2"/>
      <c r="C28" s="2"/>
    </row>
    <row r="29" spans="1:3" x14ac:dyDescent="0.25">
      <c r="A29" s="2">
        <f t="shared" si="0"/>
        <v>24</v>
      </c>
      <c r="B29" s="2"/>
      <c r="C29" s="2"/>
    </row>
    <row r="30" spans="1:3" x14ac:dyDescent="0.25">
      <c r="A30" s="2">
        <f t="shared" si="0"/>
        <v>25</v>
      </c>
      <c r="B30" s="2"/>
      <c r="C30" s="2"/>
    </row>
    <row r="31" spans="1:3" x14ac:dyDescent="0.25">
      <c r="A31" s="2">
        <f t="shared" si="0"/>
        <v>26</v>
      </c>
      <c r="B31" s="2"/>
      <c r="C31" s="2"/>
    </row>
    <row r="32" spans="1:3" x14ac:dyDescent="0.25">
      <c r="A32" s="2">
        <f t="shared" si="0"/>
        <v>27</v>
      </c>
      <c r="B32" s="2"/>
      <c r="C32" s="2"/>
    </row>
    <row r="33" spans="1:3" x14ac:dyDescent="0.25">
      <c r="A33" s="2">
        <f t="shared" si="0"/>
        <v>28</v>
      </c>
      <c r="B33" s="2"/>
      <c r="C33" s="2"/>
    </row>
    <row r="34" spans="1:3" x14ac:dyDescent="0.25">
      <c r="A34" s="2">
        <f t="shared" si="0"/>
        <v>29</v>
      </c>
      <c r="B34" s="2"/>
      <c r="C34" s="2"/>
    </row>
    <row r="35" spans="1:3" x14ac:dyDescent="0.25">
      <c r="A35" s="2">
        <f t="shared" si="0"/>
        <v>30</v>
      </c>
      <c r="B35" s="2"/>
      <c r="C35" s="2"/>
    </row>
    <row r="36" spans="1:3" x14ac:dyDescent="0.25">
      <c r="A36" s="2">
        <f t="shared" si="0"/>
        <v>31</v>
      </c>
      <c r="B36" s="2"/>
      <c r="C36" s="2"/>
    </row>
    <row r="37" spans="1:3" x14ac:dyDescent="0.25">
      <c r="B37" s="6">
        <f>SUM(B6:B36)</f>
        <v>167</v>
      </c>
      <c r="C37" s="6">
        <f>SUM(C6:C36)</f>
        <v>1655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ed2f2222-2bff-489f-89bb-9539c67e7b9c"/>
    <ds:schemaRef ds:uri="77842aba-bda6-4832-96cd-e75cb532429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November 2021</vt:lpstr>
      <vt:lpstr>RNs &amp; Covers November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2021-11-23T10:18:12Z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