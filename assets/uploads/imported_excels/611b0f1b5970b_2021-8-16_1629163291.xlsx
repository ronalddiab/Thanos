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fileRecoveryPr repairLoad="1"/>
</workbook>
</file>

<file path=xl/calcChain.xml><?xml version="1.0" encoding="utf-8"?>
<calcChain xmlns="http://schemas.openxmlformats.org/spreadsheetml/2006/main">
  <c r="T12" i="2" l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3" i="4"/>
  <c r="V14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3" i="4"/>
  <c r="R14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3" i="4"/>
  <c r="P14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3" i="4"/>
  <c r="N14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3" i="4"/>
  <c r="L14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3" i="4"/>
  <c r="G14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Z2" i="4"/>
  <c r="X2" i="4"/>
  <c r="I2" i="4"/>
  <c r="H6" i="3"/>
  <c r="D4" i="3"/>
  <c r="D6" i="3" s="1"/>
  <c r="D3" i="3"/>
  <c r="D14" i="4" l="1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<sst xmlns="http://schemas.openxmlformats.org/spreadsheetml/2006/main" count="441" uniqueCount="144">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</sst>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7" sqref="G1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170148.85151199999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201562.180808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L1" zoomScale="85" zoomScaleNormal="85" workbookViewId="0">
      <selection activeCell="T23" sqref="T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-117417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 t="str">
        <f>BTU!C18</f>
        <v>0</v>
      </c>
      <c r="S17" s="43" t="str">
        <f>BTU!F18</f>
        <v>0</v>
      </c>
      <c r="T17" s="43" t="str">
        <f>BTU!I18</f>
        <v>0</v>
      </c>
      <c r="U17" s="43" t="str">
        <f>BTU!O18</f>
        <v>0</v>
      </c>
      <c r="V17" s="43" t="str">
        <f>BTU!L18</f>
        <v>0</v>
      </c>
      <c r="W17" s="43" t="str">
        <f>BTU!R18</f>
        <v>0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 t="str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I1" zoomScale="110" zoomScaleNormal="110" workbookViewId="0">
      <pane ySplit="1" topLeftCell="A8" activePane="bottomLeft" state="frozen"/>
      <selection pane="bottomLeft" activeCell="C18" sqref="C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/>
      <c r="Q17" s="16">
        <f t="shared" si="7"/>
        <v>-117417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f t="shared" si="11"/>
        <v>45745</v>
      </c>
      <c r="C19" s="16">
        <f t="shared" si="0"/>
        <v>0</v>
      </c>
      <c r="D19" s="37">
        <f t="shared" si="12"/>
        <v>39765</v>
      </c>
      <c r="E19" s="16">
        <f t="shared" si="1"/>
        <v>0</v>
      </c>
      <c r="F19" s="37">
        <f t="shared" si="13"/>
        <v>20682</v>
      </c>
      <c r="G19" s="16">
        <f t="shared" si="2"/>
        <v>0</v>
      </c>
      <c r="H19" s="37">
        <f t="shared" si="14"/>
        <v>247148</v>
      </c>
      <c r="I19" s="16">
        <f t="shared" si="3"/>
        <v>0</v>
      </c>
      <c r="J19" s="37">
        <v>303517</v>
      </c>
      <c r="K19" s="16">
        <f t="shared" si="4"/>
        <v>0</v>
      </c>
      <c r="L19" s="37">
        <f t="shared" si="15"/>
        <v>25265</v>
      </c>
      <c r="M19" s="16">
        <f t="shared" si="5"/>
        <v>0</v>
      </c>
      <c r="N19" s="37">
        <f t="shared" si="16"/>
        <v>215787</v>
      </c>
      <c r="O19" s="16">
        <f t="shared" si="6"/>
        <v>0</v>
      </c>
      <c r="P19" s="37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37">
        <f t="shared" si="17"/>
        <v>3737</v>
      </c>
      <c r="U19" s="16">
        <f t="shared" si="9"/>
        <v>0</v>
      </c>
      <c r="W19" t="s">
        <v>12</v>
      </c>
    </row>
    <row r="20" spans="1:23" ht="13.5" thickBot="1" x14ac:dyDescent="0.25">
      <c r="A20" s="10">
        <v>44426</v>
      </c>
      <c r="B20" s="37">
        <f t="shared" si="11"/>
        <v>45745</v>
      </c>
      <c r="C20" s="16">
        <f t="shared" si="0"/>
        <v>0</v>
      </c>
      <c r="D20" s="37">
        <f t="shared" si="12"/>
        <v>39765</v>
      </c>
      <c r="E20" s="16">
        <f t="shared" si="1"/>
        <v>0</v>
      </c>
      <c r="F20" s="37">
        <f t="shared" si="13"/>
        <v>20682</v>
      </c>
      <c r="G20" s="16">
        <f t="shared" si="2"/>
        <v>0</v>
      </c>
      <c r="H20" s="37">
        <f t="shared" si="14"/>
        <v>247148</v>
      </c>
      <c r="I20" s="16">
        <f t="shared" si="3"/>
        <v>0</v>
      </c>
      <c r="J20" s="37">
        <v>303517</v>
      </c>
      <c r="K20" s="16">
        <v>0</v>
      </c>
      <c r="L20" s="37">
        <f t="shared" si="15"/>
        <v>25265</v>
      </c>
      <c r="M20" s="16">
        <f t="shared" si="5"/>
        <v>0</v>
      </c>
      <c r="N20" s="37">
        <f t="shared" si="16"/>
        <v>215787</v>
      </c>
      <c r="O20" s="16">
        <f t="shared" si="6"/>
        <v>0</v>
      </c>
      <c r="P20" s="37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37">
        <f t="shared" si="17"/>
        <v>3737</v>
      </c>
      <c r="U20" s="16">
        <f t="shared" si="9"/>
        <v>0</v>
      </c>
    </row>
    <row r="21" spans="1:23" ht="13.5" thickBot="1" x14ac:dyDescent="0.25">
      <c r="A21" s="10">
        <v>44427</v>
      </c>
      <c r="B21" s="37">
        <f t="shared" si="11"/>
        <v>45745</v>
      </c>
      <c r="C21" s="16">
        <f t="shared" si="0"/>
        <v>0</v>
      </c>
      <c r="D21" s="37">
        <f t="shared" si="12"/>
        <v>39765</v>
      </c>
      <c r="E21" s="16">
        <f t="shared" si="1"/>
        <v>0</v>
      </c>
      <c r="F21" s="37">
        <f t="shared" si="13"/>
        <v>20682</v>
      </c>
      <c r="G21" s="16">
        <f t="shared" si="2"/>
        <v>0</v>
      </c>
      <c r="H21" s="37">
        <f t="shared" si="14"/>
        <v>247148</v>
      </c>
      <c r="I21" s="16">
        <f t="shared" si="3"/>
        <v>0</v>
      </c>
      <c r="J21" s="37">
        <v>303517</v>
      </c>
      <c r="K21" s="16">
        <f t="shared" si="4"/>
        <v>0</v>
      </c>
      <c r="L21" s="37">
        <f t="shared" si="15"/>
        <v>25265</v>
      </c>
      <c r="M21" s="16">
        <f t="shared" si="5"/>
        <v>0</v>
      </c>
      <c r="N21" s="37">
        <f t="shared" si="16"/>
        <v>215787</v>
      </c>
      <c r="O21" s="16">
        <f t="shared" si="6"/>
        <v>0</v>
      </c>
      <c r="P21" s="37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37">
        <f t="shared" si="17"/>
        <v>3737</v>
      </c>
      <c r="U21" s="16">
        <f t="shared" si="9"/>
        <v>0</v>
      </c>
    </row>
    <row r="22" spans="1:23" ht="13.5" thickBot="1" x14ac:dyDescent="0.25">
      <c r="A22" s="10">
        <v>44428</v>
      </c>
      <c r="B22" s="37">
        <f t="shared" si="11"/>
        <v>45745</v>
      </c>
      <c r="C22" s="16">
        <f t="shared" si="0"/>
        <v>0</v>
      </c>
      <c r="D22" s="37">
        <f t="shared" si="12"/>
        <v>39765</v>
      </c>
      <c r="E22" s="16">
        <f t="shared" si="1"/>
        <v>0</v>
      </c>
      <c r="F22" s="37">
        <f t="shared" si="13"/>
        <v>20682</v>
      </c>
      <c r="G22" s="16">
        <f t="shared" si="2"/>
        <v>0</v>
      </c>
      <c r="H22" s="37">
        <f t="shared" si="14"/>
        <v>247148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5"/>
        <v>25265</v>
      </c>
      <c r="M22" s="16">
        <f t="shared" si="5"/>
        <v>0</v>
      </c>
      <c r="N22" s="37">
        <f t="shared" si="16"/>
        <v>215787</v>
      </c>
      <c r="O22" s="16">
        <f t="shared" si="6"/>
        <v>0</v>
      </c>
      <c r="P22" s="37">
        <f t="shared" si="10"/>
        <v>0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3737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1"/>
        <v>45745</v>
      </c>
      <c r="C23" s="16">
        <f t="shared" si="0"/>
        <v>0</v>
      </c>
      <c r="D23" s="37">
        <f t="shared" si="12"/>
        <v>39765</v>
      </c>
      <c r="E23" s="16">
        <f t="shared" si="1"/>
        <v>0</v>
      </c>
      <c r="F23" s="37">
        <f t="shared" si="13"/>
        <v>20682</v>
      </c>
      <c r="G23" s="16">
        <f t="shared" si="2"/>
        <v>0</v>
      </c>
      <c r="H23" s="37">
        <f t="shared" si="14"/>
        <v>247148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5"/>
        <v>25265</v>
      </c>
      <c r="M23" s="16">
        <f t="shared" si="5"/>
        <v>0</v>
      </c>
      <c r="N23" s="37">
        <f t="shared" si="16"/>
        <v>215787</v>
      </c>
      <c r="O23" s="16">
        <f t="shared" si="6"/>
        <v>0</v>
      </c>
      <c r="P23" s="37">
        <f t="shared" si="10"/>
        <v>0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3737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1"/>
        <v>45745</v>
      </c>
      <c r="C24" s="16">
        <f t="shared" si="0"/>
        <v>0</v>
      </c>
      <c r="D24" s="37">
        <f t="shared" si="12"/>
        <v>39765</v>
      </c>
      <c r="E24" s="16">
        <f t="shared" si="1"/>
        <v>0</v>
      </c>
      <c r="F24" s="37">
        <f t="shared" si="13"/>
        <v>20682</v>
      </c>
      <c r="G24" s="16">
        <f t="shared" si="2"/>
        <v>0</v>
      </c>
      <c r="H24" s="37">
        <f t="shared" si="14"/>
        <v>247148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25265</v>
      </c>
      <c r="M24" s="16">
        <f t="shared" si="5"/>
        <v>0</v>
      </c>
      <c r="N24" s="37">
        <f t="shared" si="16"/>
        <v>215787</v>
      </c>
      <c r="O24" s="16">
        <f t="shared" si="6"/>
        <v>0</v>
      </c>
      <c r="P24" s="37">
        <f t="shared" si="10"/>
        <v>0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3737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45745</v>
      </c>
      <c r="C25" s="16">
        <f t="shared" si="0"/>
        <v>0</v>
      </c>
      <c r="D25" s="37">
        <f t="shared" si="12"/>
        <v>39765</v>
      </c>
      <c r="E25" s="16">
        <f t="shared" si="1"/>
        <v>0</v>
      </c>
      <c r="F25" s="37">
        <f t="shared" si="13"/>
        <v>20682</v>
      </c>
      <c r="G25" s="16">
        <f t="shared" si="2"/>
        <v>0</v>
      </c>
      <c r="H25" s="37">
        <f t="shared" si="14"/>
        <v>247148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25265</v>
      </c>
      <c r="M25" s="16">
        <f t="shared" si="5"/>
        <v>0</v>
      </c>
      <c r="N25" s="37">
        <f t="shared" si="16"/>
        <v>215787</v>
      </c>
      <c r="O25" s="16">
        <f t="shared" si="6"/>
        <v>0</v>
      </c>
      <c r="P25" s="37">
        <f t="shared" si="10"/>
        <v>0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3737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45745</v>
      </c>
      <c r="C26" s="16">
        <f t="shared" si="0"/>
        <v>0</v>
      </c>
      <c r="D26" s="37">
        <f t="shared" si="12"/>
        <v>39765</v>
      </c>
      <c r="E26" s="16">
        <f t="shared" si="1"/>
        <v>0</v>
      </c>
      <c r="F26" s="37">
        <f t="shared" si="13"/>
        <v>20682</v>
      </c>
      <c r="G26" s="16">
        <f t="shared" si="2"/>
        <v>0</v>
      </c>
      <c r="H26" s="37">
        <f t="shared" si="14"/>
        <v>247148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25265</v>
      </c>
      <c r="M26" s="16">
        <f t="shared" si="5"/>
        <v>0</v>
      </c>
      <c r="N26" s="37">
        <f t="shared" si="16"/>
        <v>215787</v>
      </c>
      <c r="O26" s="16">
        <f t="shared" si="6"/>
        <v>0</v>
      </c>
      <c r="P26" s="37">
        <f t="shared" si="10"/>
        <v>0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3737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45745</v>
      </c>
      <c r="C27" s="16">
        <f t="shared" si="0"/>
        <v>0</v>
      </c>
      <c r="D27" s="37">
        <f t="shared" si="12"/>
        <v>39765</v>
      </c>
      <c r="E27" s="16">
        <f t="shared" si="1"/>
        <v>0</v>
      </c>
      <c r="F27" s="37">
        <f t="shared" si="13"/>
        <v>20682</v>
      </c>
      <c r="G27" s="16">
        <f t="shared" si="2"/>
        <v>0</v>
      </c>
      <c r="H27" s="37">
        <f t="shared" si="14"/>
        <v>247148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25265</v>
      </c>
      <c r="M27" s="16">
        <f t="shared" si="5"/>
        <v>0</v>
      </c>
      <c r="N27" s="37">
        <f t="shared" si="16"/>
        <v>215787</v>
      </c>
      <c r="O27" s="16">
        <f t="shared" si="6"/>
        <v>0</v>
      </c>
      <c r="P27" s="37">
        <f t="shared" si="10"/>
        <v>0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3737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45745</v>
      </c>
      <c r="C28" s="16">
        <f t="shared" si="0"/>
        <v>0</v>
      </c>
      <c r="D28" s="37">
        <f t="shared" si="12"/>
        <v>39765</v>
      </c>
      <c r="E28" s="16">
        <f t="shared" si="1"/>
        <v>0</v>
      </c>
      <c r="F28" s="37">
        <f t="shared" si="13"/>
        <v>20682</v>
      </c>
      <c r="G28" s="16">
        <f t="shared" si="2"/>
        <v>0</v>
      </c>
      <c r="H28" s="37">
        <f t="shared" si="14"/>
        <v>247148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25265</v>
      </c>
      <c r="M28" s="16">
        <f t="shared" si="5"/>
        <v>0</v>
      </c>
      <c r="N28" s="37">
        <f t="shared" si="16"/>
        <v>215787</v>
      </c>
      <c r="O28" s="16">
        <f t="shared" si="6"/>
        <v>0</v>
      </c>
      <c r="P28" s="37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3737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45745</v>
      </c>
      <c r="C29" s="16">
        <f t="shared" si="0"/>
        <v>0</v>
      </c>
      <c r="D29" s="37">
        <f t="shared" si="12"/>
        <v>39765</v>
      </c>
      <c r="E29" s="16">
        <f t="shared" si="1"/>
        <v>0</v>
      </c>
      <c r="F29" s="37">
        <f t="shared" si="13"/>
        <v>20682</v>
      </c>
      <c r="G29" s="16">
        <f t="shared" si="2"/>
        <v>0</v>
      </c>
      <c r="H29" s="37">
        <f t="shared" si="14"/>
        <v>247148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25265</v>
      </c>
      <c r="M29" s="16">
        <f t="shared" si="5"/>
        <v>0</v>
      </c>
      <c r="N29" s="37">
        <f t="shared" si="16"/>
        <v>215787</v>
      </c>
      <c r="O29" s="16">
        <f t="shared" si="6"/>
        <v>0</v>
      </c>
      <c r="P29" s="37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3737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45745</v>
      </c>
      <c r="C30" s="16">
        <f t="shared" si="0"/>
        <v>0</v>
      </c>
      <c r="D30" s="37">
        <f t="shared" si="12"/>
        <v>39765</v>
      </c>
      <c r="E30" s="16">
        <f t="shared" si="1"/>
        <v>0</v>
      </c>
      <c r="F30" s="37">
        <f t="shared" si="13"/>
        <v>20682</v>
      </c>
      <c r="G30" s="16">
        <f t="shared" si="2"/>
        <v>0</v>
      </c>
      <c r="H30" s="37">
        <f t="shared" si="14"/>
        <v>247148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25265</v>
      </c>
      <c r="M30" s="16">
        <f t="shared" si="5"/>
        <v>0</v>
      </c>
      <c r="N30" s="37">
        <f t="shared" si="16"/>
        <v>215787</v>
      </c>
      <c r="O30" s="16">
        <f t="shared" si="6"/>
        <v>0</v>
      </c>
      <c r="P30" s="37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3737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45745</v>
      </c>
      <c r="C31" s="16">
        <f t="shared" si="0"/>
        <v>0</v>
      </c>
      <c r="D31" s="37">
        <f t="shared" si="12"/>
        <v>39765</v>
      </c>
      <c r="E31" s="16">
        <f t="shared" si="1"/>
        <v>0</v>
      </c>
      <c r="F31" s="37">
        <f t="shared" si="13"/>
        <v>20682</v>
      </c>
      <c r="G31" s="16">
        <f t="shared" si="2"/>
        <v>0</v>
      </c>
      <c r="H31" s="37">
        <f t="shared" si="14"/>
        <v>247148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25265</v>
      </c>
      <c r="M31" s="16">
        <f t="shared" si="5"/>
        <v>0</v>
      </c>
      <c r="N31" s="37">
        <f t="shared" si="16"/>
        <v>215787</v>
      </c>
      <c r="O31" s="16">
        <f t="shared" si="6"/>
        <v>0</v>
      </c>
      <c r="P31" s="37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3737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45745</v>
      </c>
      <c r="C32" s="16">
        <f t="shared" si="0"/>
        <v>0</v>
      </c>
      <c r="D32" s="37">
        <f t="shared" si="12"/>
        <v>39765</v>
      </c>
      <c r="E32" s="16">
        <f t="shared" si="1"/>
        <v>0</v>
      </c>
      <c r="F32" s="37">
        <f t="shared" si="13"/>
        <v>20682</v>
      </c>
      <c r="G32" s="16">
        <f t="shared" si="2"/>
        <v>0</v>
      </c>
      <c r="H32" s="37">
        <f t="shared" si="14"/>
        <v>247148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25265</v>
      </c>
      <c r="M32" s="16">
        <f t="shared" si="5"/>
        <v>0</v>
      </c>
      <c r="N32" s="37">
        <f t="shared" si="16"/>
        <v>215787</v>
      </c>
      <c r="O32" s="16">
        <f t="shared" si="6"/>
        <v>0</v>
      </c>
      <c r="P32" s="37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3737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45745</v>
      </c>
      <c r="C33" s="16">
        <f t="shared" si="0"/>
        <v>0</v>
      </c>
      <c r="D33" s="37">
        <f t="shared" si="12"/>
        <v>39765</v>
      </c>
      <c r="E33" s="16">
        <f t="shared" si="1"/>
        <v>0</v>
      </c>
      <c r="F33" s="37">
        <f t="shared" si="13"/>
        <v>20682</v>
      </c>
      <c r="G33" s="16">
        <f t="shared" si="2"/>
        <v>0</v>
      </c>
      <c r="H33" s="37">
        <f t="shared" si="14"/>
        <v>247148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25265</v>
      </c>
      <c r="M33" s="16">
        <f t="shared" si="5"/>
        <v>0</v>
      </c>
      <c r="N33" s="37">
        <f t="shared" si="16"/>
        <v>215787</v>
      </c>
      <c r="O33" s="16">
        <f t="shared" si="6"/>
        <v>0</v>
      </c>
      <c r="P33" s="37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3737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14240</v>
      </c>
      <c r="D34" s="13"/>
      <c r="E34" s="11">
        <f>SUM(E3:E33)</f>
        <v>6880</v>
      </c>
      <c r="F34" s="13"/>
      <c r="G34" s="11">
        <f>SUM(G3:G33)</f>
        <v>1100</v>
      </c>
      <c r="H34" s="13"/>
      <c r="I34" s="11">
        <f>SUM(I3:I33)</f>
        <v>802</v>
      </c>
      <c r="J34" s="13"/>
      <c r="K34" s="11">
        <f>SUM(K3:K33)</f>
        <v>0</v>
      </c>
      <c r="L34" s="13"/>
      <c r="M34" s="11">
        <f>SUM(M3:M33)</f>
        <v>9440</v>
      </c>
      <c r="N34" s="38"/>
      <c r="O34" s="11">
        <f>SUM(O3:O33)</f>
        <v>51</v>
      </c>
      <c r="P34" s="13"/>
      <c r="Q34" s="11">
        <f>SUM(Q3:Q33)</f>
        <v>-113851</v>
      </c>
      <c r="R34" s="1"/>
      <c r="S34" s="11">
        <f>SUM(S3:S33)</f>
        <v>0</v>
      </c>
      <c r="T34" s="1"/>
      <c r="U34" s="11">
        <f>SUM(U3:U33)</f>
        <v>3040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zoomScaleNormal="100" zoomScaleSheetLayoutView="110" workbookViewId="0">
      <pane ySplit="1" topLeftCell="A5" activePane="bottomLeft" state="frozen"/>
      <selection pane="bottomLeft" activeCell="B18" sqref="B18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v>18612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33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33" si="15">L12</f>
        <v>8471934</v>
      </c>
      <c r="M13" s="44">
        <f t="shared" si="5"/>
        <v>0</v>
      </c>
      <c r="N13" s="154">
        <f t="shared" ref="N13:N33" si="16">N12</f>
        <v>5594906</v>
      </c>
      <c r="O13" s="44">
        <f t="shared" si="12"/>
        <v>0</v>
      </c>
      <c r="P13" s="157">
        <f t="shared" ref="P13:P33" si="17">P12</f>
        <v>4517628</v>
      </c>
      <c r="Q13" s="44">
        <f t="shared" si="6"/>
        <v>0</v>
      </c>
      <c r="R13" s="154">
        <f t="shared" ref="R13:R33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33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>IF((E14-E13)&lt;0,"0",(E14-E13))</f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>IF((E15-E14)&lt;0,"0",(E15-E14))</f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>IF((E16-E15)&lt;0,"0",(E16-E15))</f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135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135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135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135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/>
      <c r="C19" s="153"/>
      <c r="D19" s="44">
        <f>IF((C19-C18)&lt;0,"0",(C19-C18))*160</f>
        <v>0</v>
      </c>
      <c r="E19" s="154">
        <f t="shared" ref="E19:E33" si="20">E18</f>
        <v>27393042</v>
      </c>
      <c r="F19" s="135">
        <f t="shared" si="1"/>
        <v>0</v>
      </c>
      <c r="G19" s="155">
        <f t="shared" si="14"/>
        <v>86871201</v>
      </c>
      <c r="H19" s="44">
        <f t="shared" si="2"/>
        <v>0</v>
      </c>
      <c r="I19" s="160">
        <f t="shared" si="3"/>
        <v>0</v>
      </c>
      <c r="J19" s="154">
        <v>8437636</v>
      </c>
      <c r="K19" s="135" t="str">
        <f t="shared" si="4"/>
        <v>0</v>
      </c>
      <c r="L19" s="157">
        <f t="shared" si="15"/>
        <v>8493137</v>
      </c>
      <c r="M19" s="135">
        <f t="shared" si="5"/>
        <v>0</v>
      </c>
      <c r="N19" s="154">
        <f t="shared" si="16"/>
        <v>5617413</v>
      </c>
      <c r="O19" s="135">
        <f t="shared" si="12"/>
        <v>0</v>
      </c>
      <c r="P19" s="157">
        <f t="shared" si="17"/>
        <v>4574484</v>
      </c>
      <c r="Q19" s="135">
        <f t="shared" si="6"/>
        <v>0</v>
      </c>
      <c r="R19" s="154">
        <f t="shared" si="18"/>
        <v>18345128</v>
      </c>
      <c r="S19" s="135">
        <f t="shared" si="7"/>
        <v>0</v>
      </c>
      <c r="T19" s="161">
        <v>0</v>
      </c>
      <c r="U19" s="158"/>
      <c r="V19" s="154">
        <f t="shared" si="19"/>
        <v>6101453</v>
      </c>
      <c r="W19" s="135">
        <f t="shared" si="8"/>
        <v>0</v>
      </c>
      <c r="X19" s="22">
        <f t="shared" si="9"/>
        <v>0</v>
      </c>
      <c r="Y19" s="162">
        <f t="shared" si="10"/>
        <v>0</v>
      </c>
      <c r="Z19" s="163">
        <f t="shared" si="11"/>
        <v>0</v>
      </c>
      <c r="AA19" s="163">
        <f t="shared" si="13"/>
        <v>27589.506484799997</v>
      </c>
    </row>
    <row r="20" spans="1:27" s="136" customFormat="1" ht="16.5" thickBot="1" x14ac:dyDescent="0.3">
      <c r="A20" s="10">
        <v>44426</v>
      </c>
      <c r="B20" s="135"/>
      <c r="C20" s="153"/>
      <c r="D20" s="44">
        <f>IF((C20-C19)&lt;0,"0",(C20-C19))*160</f>
        <v>0</v>
      </c>
      <c r="E20" s="154">
        <f t="shared" si="20"/>
        <v>27393042</v>
      </c>
      <c r="F20" s="135">
        <f t="shared" si="1"/>
        <v>0</v>
      </c>
      <c r="G20" s="155">
        <f t="shared" si="14"/>
        <v>86871201</v>
      </c>
      <c r="H20" s="44">
        <f t="shared" si="2"/>
        <v>0</v>
      </c>
      <c r="I20" s="160">
        <f t="shared" si="3"/>
        <v>0</v>
      </c>
      <c r="J20" s="154">
        <v>8437636</v>
      </c>
      <c r="K20" s="135">
        <f t="shared" si="4"/>
        <v>0</v>
      </c>
      <c r="L20" s="157">
        <f t="shared" si="15"/>
        <v>8493137</v>
      </c>
      <c r="M20" s="135">
        <f t="shared" si="5"/>
        <v>0</v>
      </c>
      <c r="N20" s="154">
        <f t="shared" si="16"/>
        <v>5617413</v>
      </c>
      <c r="O20" s="135">
        <f t="shared" si="12"/>
        <v>0</v>
      </c>
      <c r="P20" s="157">
        <f t="shared" si="17"/>
        <v>4574484</v>
      </c>
      <c r="Q20" s="135">
        <f t="shared" si="6"/>
        <v>0</v>
      </c>
      <c r="R20" s="154">
        <f t="shared" si="18"/>
        <v>18345128</v>
      </c>
      <c r="S20" s="135">
        <f t="shared" si="7"/>
        <v>0</v>
      </c>
      <c r="T20" s="161">
        <v>0</v>
      </c>
      <c r="U20" s="158"/>
      <c r="V20" s="154">
        <f t="shared" si="19"/>
        <v>6101453</v>
      </c>
      <c r="W20" s="135">
        <f t="shared" si="8"/>
        <v>0</v>
      </c>
      <c r="X20" s="22">
        <f t="shared" si="9"/>
        <v>0</v>
      </c>
      <c r="Y20" s="162">
        <f t="shared" si="10"/>
        <v>0</v>
      </c>
      <c r="Z20" s="163">
        <f t="shared" si="11"/>
        <v>0</v>
      </c>
      <c r="AA20" s="163">
        <f t="shared" si="13"/>
        <v>21090.639377599997</v>
      </c>
    </row>
    <row r="21" spans="1:27" s="136" customFormat="1" ht="16.5" thickBot="1" x14ac:dyDescent="0.3">
      <c r="A21" s="10">
        <v>44427</v>
      </c>
      <c r="B21" s="135"/>
      <c r="C21" s="153"/>
      <c r="D21" s="44">
        <f>IF((C21-C20)&lt;0,"0",(C21-C20))*160</f>
        <v>0</v>
      </c>
      <c r="E21" s="154">
        <f t="shared" si="20"/>
        <v>27393042</v>
      </c>
      <c r="F21" s="135">
        <f t="shared" si="1"/>
        <v>0</v>
      </c>
      <c r="G21" s="155">
        <f t="shared" si="14"/>
        <v>86871201</v>
      </c>
      <c r="H21" s="44">
        <f t="shared" si="2"/>
        <v>0</v>
      </c>
      <c r="I21" s="160">
        <f t="shared" si="3"/>
        <v>0</v>
      </c>
      <c r="J21" s="154">
        <v>8437636</v>
      </c>
      <c r="K21" s="135">
        <f t="shared" si="4"/>
        <v>0</v>
      </c>
      <c r="L21" s="157">
        <f t="shared" si="15"/>
        <v>8493137</v>
      </c>
      <c r="M21" s="135">
        <f t="shared" si="5"/>
        <v>0</v>
      </c>
      <c r="N21" s="154">
        <f t="shared" si="16"/>
        <v>5617413</v>
      </c>
      <c r="O21" s="135">
        <f t="shared" si="12"/>
        <v>0</v>
      </c>
      <c r="P21" s="157">
        <f t="shared" si="17"/>
        <v>4574484</v>
      </c>
      <c r="Q21" s="135">
        <f t="shared" si="6"/>
        <v>0</v>
      </c>
      <c r="R21" s="154">
        <f t="shared" si="18"/>
        <v>18345128</v>
      </c>
      <c r="S21" s="135">
        <f t="shared" si="7"/>
        <v>0</v>
      </c>
      <c r="T21" s="161">
        <v>0</v>
      </c>
      <c r="U21" s="158"/>
      <c r="V21" s="154">
        <f t="shared" si="19"/>
        <v>6101453</v>
      </c>
      <c r="W21" s="135">
        <f t="shared" si="8"/>
        <v>0</v>
      </c>
      <c r="X21" s="22">
        <f t="shared" si="9"/>
        <v>0</v>
      </c>
      <c r="Y21" s="162">
        <f t="shared" si="10"/>
        <v>0</v>
      </c>
      <c r="Z21" s="163">
        <f t="shared" si="11"/>
        <v>0</v>
      </c>
      <c r="AA21" s="163">
        <f t="shared" si="13"/>
        <v>9912.8346303999988</v>
      </c>
    </row>
    <row r="22" spans="1:27" ht="16.5" thickBot="1" x14ac:dyDescent="0.3">
      <c r="A22" s="10">
        <v>44428</v>
      </c>
      <c r="B22" s="44"/>
      <c r="C22" s="153"/>
      <c r="D22" s="44">
        <f t="shared" si="0"/>
        <v>0</v>
      </c>
      <c r="E22" s="154">
        <f t="shared" si="20"/>
        <v>27393042</v>
      </c>
      <c r="F22" s="44">
        <f t="shared" si="1"/>
        <v>0</v>
      </c>
      <c r="G22" s="155">
        <f t="shared" si="14"/>
        <v>86871201</v>
      </c>
      <c r="H22" s="44">
        <f t="shared" si="2"/>
        <v>0</v>
      </c>
      <c r="I22" s="156">
        <f t="shared" si="3"/>
        <v>0</v>
      </c>
      <c r="J22" s="154">
        <v>8437636</v>
      </c>
      <c r="K22" s="44">
        <f t="shared" si="4"/>
        <v>0</v>
      </c>
      <c r="L22" s="157">
        <f t="shared" si="15"/>
        <v>8493137</v>
      </c>
      <c r="M22" s="44">
        <f t="shared" si="5"/>
        <v>0</v>
      </c>
      <c r="N22" s="154">
        <f t="shared" si="16"/>
        <v>5617413</v>
      </c>
      <c r="O22" s="44">
        <f t="shared" si="12"/>
        <v>0</v>
      </c>
      <c r="P22" s="157">
        <f t="shared" si="17"/>
        <v>4574484</v>
      </c>
      <c r="Q22" s="44">
        <f t="shared" si="6"/>
        <v>0</v>
      </c>
      <c r="R22" s="154">
        <f t="shared" si="18"/>
        <v>18345128</v>
      </c>
      <c r="S22" s="44">
        <f t="shared" si="7"/>
        <v>0</v>
      </c>
      <c r="T22" s="154">
        <v>0</v>
      </c>
      <c r="U22" s="158"/>
      <c r="V22" s="154">
        <f t="shared" si="19"/>
        <v>6101453</v>
      </c>
      <c r="W22" s="44">
        <f t="shared" si="8"/>
        <v>0</v>
      </c>
      <c r="X22" s="22">
        <f t="shared" si="9"/>
        <v>0</v>
      </c>
      <c r="Y22" s="159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44429</v>
      </c>
      <c r="B23" s="44"/>
      <c r="C23" s="153"/>
      <c r="D23" s="44">
        <f t="shared" si="0"/>
        <v>0</v>
      </c>
      <c r="E23" s="154">
        <f t="shared" si="20"/>
        <v>27393042</v>
      </c>
      <c r="F23" s="44">
        <f t="shared" si="1"/>
        <v>0</v>
      </c>
      <c r="G23" s="155">
        <f t="shared" si="14"/>
        <v>86871201</v>
      </c>
      <c r="H23" s="44">
        <f t="shared" si="2"/>
        <v>0</v>
      </c>
      <c r="I23" s="156">
        <f t="shared" si="3"/>
        <v>0</v>
      </c>
      <c r="J23" s="154">
        <v>8437636</v>
      </c>
      <c r="K23" s="44">
        <f t="shared" si="4"/>
        <v>0</v>
      </c>
      <c r="L23" s="157">
        <f t="shared" si="15"/>
        <v>8493137</v>
      </c>
      <c r="M23" s="44">
        <f t="shared" si="5"/>
        <v>0</v>
      </c>
      <c r="N23" s="154">
        <f t="shared" si="16"/>
        <v>5617413</v>
      </c>
      <c r="O23" s="44">
        <f t="shared" si="12"/>
        <v>0</v>
      </c>
      <c r="P23" s="157">
        <f t="shared" si="17"/>
        <v>4574484</v>
      </c>
      <c r="Q23" s="44">
        <f t="shared" si="6"/>
        <v>0</v>
      </c>
      <c r="R23" s="154">
        <f t="shared" si="18"/>
        <v>18345128</v>
      </c>
      <c r="S23" s="44">
        <f t="shared" si="7"/>
        <v>0</v>
      </c>
      <c r="T23" s="154">
        <v>0</v>
      </c>
      <c r="U23" s="158"/>
      <c r="V23" s="154">
        <f t="shared" si="19"/>
        <v>6101453</v>
      </c>
      <c r="W23" s="44">
        <f t="shared" si="8"/>
        <v>0</v>
      </c>
      <c r="X23" s="22">
        <f t="shared" si="9"/>
        <v>0</v>
      </c>
      <c r="Y23" s="159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44430</v>
      </c>
      <c r="B24" s="44"/>
      <c r="C24" s="153"/>
      <c r="D24" s="44">
        <f t="shared" si="0"/>
        <v>0</v>
      </c>
      <c r="E24" s="154">
        <f t="shared" si="20"/>
        <v>27393042</v>
      </c>
      <c r="F24" s="44">
        <f t="shared" si="1"/>
        <v>0</v>
      </c>
      <c r="G24" s="155">
        <f t="shared" si="14"/>
        <v>86871201</v>
      </c>
      <c r="H24" s="44">
        <f t="shared" si="2"/>
        <v>0</v>
      </c>
      <c r="I24" s="156">
        <f t="shared" si="3"/>
        <v>0</v>
      </c>
      <c r="J24" s="154">
        <v>8437636</v>
      </c>
      <c r="K24" s="44">
        <f t="shared" si="4"/>
        <v>0</v>
      </c>
      <c r="L24" s="157">
        <f t="shared" si="15"/>
        <v>8493137</v>
      </c>
      <c r="M24" s="44">
        <f t="shared" si="5"/>
        <v>0</v>
      </c>
      <c r="N24" s="154">
        <f t="shared" si="16"/>
        <v>5617413</v>
      </c>
      <c r="O24" s="44">
        <f t="shared" si="12"/>
        <v>0</v>
      </c>
      <c r="P24" s="157">
        <f t="shared" si="17"/>
        <v>4574484</v>
      </c>
      <c r="Q24" s="44">
        <f t="shared" si="6"/>
        <v>0</v>
      </c>
      <c r="R24" s="154">
        <f t="shared" si="18"/>
        <v>18345128</v>
      </c>
      <c r="S24" s="44">
        <f t="shared" si="7"/>
        <v>0</v>
      </c>
      <c r="T24" s="154">
        <v>0</v>
      </c>
      <c r="U24" s="158"/>
      <c r="V24" s="154">
        <f t="shared" si="19"/>
        <v>6101453</v>
      </c>
      <c r="W24" s="44">
        <f t="shared" si="8"/>
        <v>0</v>
      </c>
      <c r="X24" s="22">
        <f t="shared" si="9"/>
        <v>0</v>
      </c>
      <c r="Y24" s="159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44431</v>
      </c>
      <c r="B25" s="44"/>
      <c r="C25" s="153"/>
      <c r="D25" s="44">
        <f t="shared" si="0"/>
        <v>0</v>
      </c>
      <c r="E25" s="154">
        <f t="shared" si="20"/>
        <v>27393042</v>
      </c>
      <c r="F25" s="44">
        <f t="shared" si="1"/>
        <v>0</v>
      </c>
      <c r="G25" s="155">
        <f t="shared" si="14"/>
        <v>86871201</v>
      </c>
      <c r="H25" s="44">
        <f t="shared" si="2"/>
        <v>0</v>
      </c>
      <c r="I25" s="156">
        <f t="shared" si="3"/>
        <v>0</v>
      </c>
      <c r="J25" s="154">
        <v>8437636</v>
      </c>
      <c r="K25" s="44">
        <f t="shared" si="4"/>
        <v>0</v>
      </c>
      <c r="L25" s="157">
        <f t="shared" si="15"/>
        <v>8493137</v>
      </c>
      <c r="M25" s="44">
        <f t="shared" si="5"/>
        <v>0</v>
      </c>
      <c r="N25" s="154">
        <f t="shared" si="16"/>
        <v>5617413</v>
      </c>
      <c r="O25" s="44">
        <f t="shared" si="12"/>
        <v>0</v>
      </c>
      <c r="P25" s="157">
        <f t="shared" si="17"/>
        <v>4574484</v>
      </c>
      <c r="Q25" s="44">
        <f t="shared" si="6"/>
        <v>0</v>
      </c>
      <c r="R25" s="154">
        <f t="shared" si="18"/>
        <v>18345128</v>
      </c>
      <c r="S25" s="44">
        <f t="shared" si="7"/>
        <v>0</v>
      </c>
      <c r="T25" s="154">
        <v>0</v>
      </c>
      <c r="U25" s="158"/>
      <c r="V25" s="154">
        <f t="shared" si="19"/>
        <v>6101453</v>
      </c>
      <c r="W25" s="44">
        <f t="shared" si="8"/>
        <v>0</v>
      </c>
      <c r="X25" s="22">
        <f t="shared" si="9"/>
        <v>0</v>
      </c>
      <c r="Y25" s="159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44432</v>
      </c>
      <c r="B26" s="44"/>
      <c r="C26" s="153"/>
      <c r="D26" s="44">
        <f t="shared" si="0"/>
        <v>0</v>
      </c>
      <c r="E26" s="154">
        <f t="shared" si="20"/>
        <v>27393042</v>
      </c>
      <c r="F26" s="44">
        <f t="shared" si="1"/>
        <v>0</v>
      </c>
      <c r="G26" s="155">
        <f t="shared" si="14"/>
        <v>86871201</v>
      </c>
      <c r="H26" s="44">
        <f t="shared" si="2"/>
        <v>0</v>
      </c>
      <c r="I26" s="156">
        <f t="shared" si="3"/>
        <v>0</v>
      </c>
      <c r="J26" s="154">
        <v>8437636</v>
      </c>
      <c r="K26" s="44">
        <f t="shared" si="4"/>
        <v>0</v>
      </c>
      <c r="L26" s="157">
        <f t="shared" si="15"/>
        <v>8493137</v>
      </c>
      <c r="M26" s="44">
        <f t="shared" si="5"/>
        <v>0</v>
      </c>
      <c r="N26" s="154">
        <f t="shared" si="16"/>
        <v>5617413</v>
      </c>
      <c r="O26" s="44">
        <f t="shared" si="12"/>
        <v>0</v>
      </c>
      <c r="P26" s="157">
        <f t="shared" si="17"/>
        <v>4574484</v>
      </c>
      <c r="Q26" s="44">
        <f t="shared" si="6"/>
        <v>0</v>
      </c>
      <c r="R26" s="154">
        <f t="shared" si="18"/>
        <v>18345128</v>
      </c>
      <c r="S26" s="44">
        <f t="shared" si="7"/>
        <v>0</v>
      </c>
      <c r="T26" s="154">
        <v>0</v>
      </c>
      <c r="U26" s="158"/>
      <c r="V26" s="154">
        <f t="shared" si="19"/>
        <v>6101453</v>
      </c>
      <c r="W26" s="44">
        <f t="shared" si="8"/>
        <v>0</v>
      </c>
      <c r="X26" s="22">
        <f t="shared" si="9"/>
        <v>0</v>
      </c>
      <c r="Y26" s="159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44433</v>
      </c>
      <c r="B27" s="44"/>
      <c r="C27" s="153"/>
      <c r="D27" s="44">
        <f t="shared" si="0"/>
        <v>0</v>
      </c>
      <c r="E27" s="154">
        <f t="shared" si="20"/>
        <v>27393042</v>
      </c>
      <c r="F27" s="44">
        <f t="shared" si="1"/>
        <v>0</v>
      </c>
      <c r="G27" s="155">
        <f t="shared" si="14"/>
        <v>86871201</v>
      </c>
      <c r="H27" s="44">
        <f t="shared" si="2"/>
        <v>0</v>
      </c>
      <c r="I27" s="156">
        <f t="shared" si="3"/>
        <v>0</v>
      </c>
      <c r="J27" s="154">
        <v>8437636</v>
      </c>
      <c r="K27" s="44">
        <f t="shared" si="4"/>
        <v>0</v>
      </c>
      <c r="L27" s="157">
        <f t="shared" si="15"/>
        <v>8493137</v>
      </c>
      <c r="M27" s="44">
        <f t="shared" si="5"/>
        <v>0</v>
      </c>
      <c r="N27" s="154">
        <f t="shared" si="16"/>
        <v>5617413</v>
      </c>
      <c r="O27" s="44">
        <f t="shared" si="12"/>
        <v>0</v>
      </c>
      <c r="P27" s="157">
        <f t="shared" si="17"/>
        <v>4574484</v>
      </c>
      <c r="Q27" s="44">
        <f t="shared" si="6"/>
        <v>0</v>
      </c>
      <c r="R27" s="154">
        <f t="shared" si="18"/>
        <v>18345128</v>
      </c>
      <c r="S27" s="44">
        <f t="shared" si="7"/>
        <v>0</v>
      </c>
      <c r="T27" s="154">
        <v>0</v>
      </c>
      <c r="U27" s="158"/>
      <c r="V27" s="154">
        <f t="shared" si="19"/>
        <v>6101453</v>
      </c>
      <c r="W27" s="44">
        <f t="shared" si="8"/>
        <v>0</v>
      </c>
      <c r="X27" s="22">
        <f t="shared" si="9"/>
        <v>0</v>
      </c>
      <c r="Y27" s="159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44434</v>
      </c>
      <c r="B28" s="44"/>
      <c r="C28" s="153"/>
      <c r="D28" s="44">
        <f t="shared" si="0"/>
        <v>0</v>
      </c>
      <c r="E28" s="154">
        <f t="shared" si="20"/>
        <v>27393042</v>
      </c>
      <c r="F28" s="44">
        <f t="shared" si="1"/>
        <v>0</v>
      </c>
      <c r="G28" s="155">
        <f t="shared" si="14"/>
        <v>86871201</v>
      </c>
      <c r="H28" s="44">
        <f t="shared" si="2"/>
        <v>0</v>
      </c>
      <c r="I28" s="156">
        <f t="shared" si="3"/>
        <v>0</v>
      </c>
      <c r="J28" s="154">
        <v>8437636</v>
      </c>
      <c r="K28" s="44">
        <f t="shared" si="4"/>
        <v>0</v>
      </c>
      <c r="L28" s="157">
        <f t="shared" si="15"/>
        <v>8493137</v>
      </c>
      <c r="M28" s="44">
        <f t="shared" si="5"/>
        <v>0</v>
      </c>
      <c r="N28" s="154">
        <f t="shared" si="16"/>
        <v>5617413</v>
      </c>
      <c r="O28" s="44">
        <f t="shared" si="12"/>
        <v>0</v>
      </c>
      <c r="P28" s="157">
        <f t="shared" si="17"/>
        <v>4574484</v>
      </c>
      <c r="Q28" s="44">
        <f t="shared" si="6"/>
        <v>0</v>
      </c>
      <c r="R28" s="154">
        <f t="shared" si="18"/>
        <v>18345128</v>
      </c>
      <c r="S28" s="44">
        <f t="shared" si="7"/>
        <v>0</v>
      </c>
      <c r="T28" s="154">
        <v>0</v>
      </c>
      <c r="U28" s="158"/>
      <c r="V28" s="154">
        <f t="shared" si="19"/>
        <v>6101453</v>
      </c>
      <c r="W28" s="44">
        <f t="shared" si="8"/>
        <v>0</v>
      </c>
      <c r="X28" s="22">
        <f t="shared" si="9"/>
        <v>0</v>
      </c>
      <c r="Y28" s="159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44435</v>
      </c>
      <c r="B29" s="44"/>
      <c r="C29" s="153"/>
      <c r="D29" s="44">
        <f t="shared" si="0"/>
        <v>0</v>
      </c>
      <c r="E29" s="154">
        <f t="shared" si="20"/>
        <v>27393042</v>
      </c>
      <c r="F29" s="44">
        <f t="shared" si="1"/>
        <v>0</v>
      </c>
      <c r="G29" s="155">
        <f t="shared" si="14"/>
        <v>86871201</v>
      </c>
      <c r="H29" s="44">
        <f t="shared" si="2"/>
        <v>0</v>
      </c>
      <c r="I29" s="156">
        <f t="shared" si="3"/>
        <v>0</v>
      </c>
      <c r="J29" s="154">
        <v>8437636</v>
      </c>
      <c r="K29" s="44">
        <f t="shared" si="4"/>
        <v>0</v>
      </c>
      <c r="L29" s="157">
        <f t="shared" si="15"/>
        <v>8493137</v>
      </c>
      <c r="M29" s="44">
        <f t="shared" si="5"/>
        <v>0</v>
      </c>
      <c r="N29" s="154">
        <f t="shared" si="16"/>
        <v>5617413</v>
      </c>
      <c r="O29" s="44">
        <f t="shared" si="12"/>
        <v>0</v>
      </c>
      <c r="P29" s="157">
        <f t="shared" si="17"/>
        <v>4574484</v>
      </c>
      <c r="Q29" s="44">
        <f t="shared" si="6"/>
        <v>0</v>
      </c>
      <c r="R29" s="154">
        <f t="shared" si="18"/>
        <v>18345128</v>
      </c>
      <c r="S29" s="44">
        <f t="shared" si="7"/>
        <v>0</v>
      </c>
      <c r="T29" s="154">
        <v>0</v>
      </c>
      <c r="U29" s="158"/>
      <c r="V29" s="154">
        <f t="shared" si="19"/>
        <v>6101453</v>
      </c>
      <c r="W29" s="44">
        <f t="shared" si="8"/>
        <v>0</v>
      </c>
      <c r="X29" s="22">
        <f t="shared" si="9"/>
        <v>0</v>
      </c>
      <c r="Y29" s="159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44436</v>
      </c>
      <c r="B30" s="44"/>
      <c r="C30" s="153"/>
      <c r="D30" s="44">
        <f t="shared" si="0"/>
        <v>0</v>
      </c>
      <c r="E30" s="154">
        <f t="shared" si="20"/>
        <v>27393042</v>
      </c>
      <c r="F30" s="44">
        <f t="shared" si="1"/>
        <v>0</v>
      </c>
      <c r="G30" s="155">
        <f t="shared" si="14"/>
        <v>86871201</v>
      </c>
      <c r="H30" s="44">
        <f t="shared" si="2"/>
        <v>0</v>
      </c>
      <c r="I30" s="156">
        <f t="shared" si="3"/>
        <v>0</v>
      </c>
      <c r="J30" s="154">
        <v>8437636</v>
      </c>
      <c r="K30" s="44">
        <f t="shared" si="4"/>
        <v>0</v>
      </c>
      <c r="L30" s="157">
        <f t="shared" si="15"/>
        <v>8493137</v>
      </c>
      <c r="M30" s="44">
        <f t="shared" si="5"/>
        <v>0</v>
      </c>
      <c r="N30" s="154">
        <f t="shared" si="16"/>
        <v>5617413</v>
      </c>
      <c r="O30" s="44">
        <f t="shared" si="12"/>
        <v>0</v>
      </c>
      <c r="P30" s="157">
        <f t="shared" si="17"/>
        <v>4574484</v>
      </c>
      <c r="Q30" s="44">
        <f t="shared" si="6"/>
        <v>0</v>
      </c>
      <c r="R30" s="154">
        <f t="shared" si="18"/>
        <v>18345128</v>
      </c>
      <c r="S30" s="44">
        <f t="shared" si="7"/>
        <v>0</v>
      </c>
      <c r="T30" s="154">
        <v>0</v>
      </c>
      <c r="U30" s="158"/>
      <c r="V30" s="154">
        <f t="shared" si="19"/>
        <v>6101453</v>
      </c>
      <c r="W30" s="44">
        <f t="shared" si="8"/>
        <v>0</v>
      </c>
      <c r="X30" s="22">
        <f t="shared" si="9"/>
        <v>0</v>
      </c>
      <c r="Y30" s="159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>
        <f t="shared" si="20"/>
        <v>27393042</v>
      </c>
      <c r="F31" s="44">
        <f t="shared" si="1"/>
        <v>0</v>
      </c>
      <c r="G31" s="155">
        <f t="shared" si="14"/>
        <v>86871201</v>
      </c>
      <c r="H31" s="44">
        <f t="shared" si="2"/>
        <v>0</v>
      </c>
      <c r="I31" s="156">
        <f t="shared" si="3"/>
        <v>0</v>
      </c>
      <c r="J31" s="154">
        <v>8437636</v>
      </c>
      <c r="K31" s="44">
        <f t="shared" si="4"/>
        <v>0</v>
      </c>
      <c r="L31" s="157">
        <f t="shared" si="15"/>
        <v>8493137</v>
      </c>
      <c r="M31" s="44">
        <f t="shared" si="5"/>
        <v>0</v>
      </c>
      <c r="N31" s="154">
        <f t="shared" si="16"/>
        <v>5617413</v>
      </c>
      <c r="O31" s="44">
        <f t="shared" si="12"/>
        <v>0</v>
      </c>
      <c r="P31" s="157">
        <f t="shared" si="17"/>
        <v>4574484</v>
      </c>
      <c r="Q31" s="44">
        <f t="shared" si="6"/>
        <v>0</v>
      </c>
      <c r="R31" s="154">
        <f t="shared" si="18"/>
        <v>18345128</v>
      </c>
      <c r="S31" s="44">
        <f t="shared" si="7"/>
        <v>0</v>
      </c>
      <c r="T31" s="154">
        <v>0</v>
      </c>
      <c r="U31" s="11"/>
      <c r="V31" s="154">
        <f t="shared" si="19"/>
        <v>6101453</v>
      </c>
      <c r="W31" s="44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>
        <f t="shared" si="20"/>
        <v>27393042</v>
      </c>
      <c r="F32" s="44">
        <f t="shared" si="1"/>
        <v>0</v>
      </c>
      <c r="G32" s="155">
        <f t="shared" si="14"/>
        <v>86871201</v>
      </c>
      <c r="H32" s="44">
        <f t="shared" si="2"/>
        <v>0</v>
      </c>
      <c r="I32" s="22">
        <f>F32+H32</f>
        <v>0</v>
      </c>
      <c r="J32" s="154">
        <v>8437636</v>
      </c>
      <c r="K32" s="44">
        <f t="shared" si="4"/>
        <v>0</v>
      </c>
      <c r="L32" s="157">
        <f t="shared" si="15"/>
        <v>8493137</v>
      </c>
      <c r="M32" s="44">
        <f t="shared" si="5"/>
        <v>0</v>
      </c>
      <c r="N32" s="154">
        <f t="shared" si="16"/>
        <v>5617413</v>
      </c>
      <c r="O32" s="44">
        <f t="shared" si="12"/>
        <v>0</v>
      </c>
      <c r="P32" s="157">
        <f t="shared" si="17"/>
        <v>4574484</v>
      </c>
      <c r="Q32" s="44">
        <f t="shared" si="6"/>
        <v>0</v>
      </c>
      <c r="R32" s="154">
        <f t="shared" si="18"/>
        <v>18345128</v>
      </c>
      <c r="S32" s="44">
        <f t="shared" si="7"/>
        <v>0</v>
      </c>
      <c r="T32" s="154">
        <v>0</v>
      </c>
      <c r="U32" s="11"/>
      <c r="V32" s="154">
        <f t="shared" si="19"/>
        <v>6101453</v>
      </c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>
        <f t="shared" si="20"/>
        <v>27393042</v>
      </c>
      <c r="F33" s="44">
        <f t="shared" si="1"/>
        <v>0</v>
      </c>
      <c r="G33" s="155">
        <f t="shared" si="14"/>
        <v>86871201</v>
      </c>
      <c r="H33" s="44">
        <f t="shared" si="2"/>
        <v>0</v>
      </c>
      <c r="I33" s="22">
        <f>F33+H33</f>
        <v>0</v>
      </c>
      <c r="J33" s="154">
        <v>8437636</v>
      </c>
      <c r="K33" s="44">
        <f t="shared" si="4"/>
        <v>0</v>
      </c>
      <c r="L33" s="157">
        <f t="shared" si="15"/>
        <v>8493137</v>
      </c>
      <c r="M33" s="44">
        <f t="shared" si="5"/>
        <v>0</v>
      </c>
      <c r="N33" s="154">
        <f t="shared" si="16"/>
        <v>5617413</v>
      </c>
      <c r="O33" s="44">
        <f t="shared" si="12"/>
        <v>0</v>
      </c>
      <c r="P33" s="157">
        <f t="shared" si="17"/>
        <v>4574484</v>
      </c>
      <c r="Q33" s="44">
        <f t="shared" si="6"/>
        <v>0</v>
      </c>
      <c r="R33" s="154">
        <f t="shared" si="18"/>
        <v>18345128</v>
      </c>
      <c r="S33" s="44">
        <f t="shared" si="7"/>
        <v>0</v>
      </c>
      <c r="T33" s="154">
        <v>0</v>
      </c>
      <c r="U33" s="11"/>
      <c r="V33" s="154">
        <f t="shared" si="19"/>
        <v>6101453</v>
      </c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4127</v>
      </c>
      <c r="C34" s="144"/>
      <c r="D34" s="144">
        <f>SUM(D2:D33)</f>
        <v>34292</v>
      </c>
      <c r="E34" s="61">
        <v>0</v>
      </c>
      <c r="F34" s="61">
        <f>SUM(F2:F33)</f>
        <v>283890</v>
      </c>
      <c r="G34" s="61">
        <v>0</v>
      </c>
      <c r="H34" s="61">
        <f>SUM(H2:H33)</f>
        <v>896246</v>
      </c>
      <c r="I34" s="61">
        <f>SUM(I5:I33)</f>
        <v>1027423</v>
      </c>
      <c r="J34" s="61">
        <v>0</v>
      </c>
      <c r="K34" s="61">
        <f>SUM(K2:K33)</f>
        <v>159827</v>
      </c>
      <c r="L34" s="61">
        <v>0</v>
      </c>
      <c r="M34" s="61">
        <f>SUM(M2:M33)</f>
        <v>89793</v>
      </c>
      <c r="N34" s="61">
        <v>0</v>
      </c>
      <c r="O34" s="61">
        <f>SUM(O2:O33)</f>
        <v>191026</v>
      </c>
      <c r="P34" s="61">
        <v>0</v>
      </c>
      <c r="Q34" s="61">
        <f>SUM(Q2:Q33)</f>
        <v>230901</v>
      </c>
      <c r="R34" s="61">
        <v>0</v>
      </c>
      <c r="S34" s="61">
        <f>SUM(S2:S33)</f>
        <v>175551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189721</v>
      </c>
      <c r="X34" s="61">
        <f>SUM(X5:X33)</f>
        <v>910765</v>
      </c>
      <c r="Y34" s="61">
        <f>SUM(Y2:Y33)</f>
        <v>143317</v>
      </c>
      <c r="Z34" s="61">
        <f>SUM(Z2:Z33)</f>
        <v>149738.59447039998</v>
      </c>
      <c r="AA34" s="61">
        <f>SUM(AA2:AA33)</f>
        <v>590353.92151839996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F20" sqref="F2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44426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44427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44428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44431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44432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44435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44436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44437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21230</v>
      </c>
      <c r="D34" s="3"/>
      <c r="E34" s="61">
        <f>SUM(E3:E33)</f>
        <v>189</v>
      </c>
      <c r="F34" s="3"/>
      <c r="G34" s="61">
        <f>SUM(G3:G33)</f>
        <v>11078.099999999999</v>
      </c>
      <c r="H34" s="3"/>
      <c r="I34" s="61">
        <f>SUM(I3:I33)</f>
        <v>45.306000000000004</v>
      </c>
      <c r="J34" s="61">
        <f>SUM(J3:J33)</f>
        <v>32542.405999999999</v>
      </c>
      <c r="K34" s="61">
        <f>SUM(K3:K33)</f>
        <v>190698.49916000001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4" zoomScale="80" zoomScaleNormal="55" zoomScaleSheetLayoutView="80" workbookViewId="0">
      <pane xSplit="1" topLeftCell="B1" activePane="topRight" state="frozen"/>
      <selection pane="topRight" activeCell="C18" sqref="C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/>
      <c r="C19" s="50" t="str">
        <f t="shared" si="0"/>
        <v>0</v>
      </c>
    </row>
    <row r="20" spans="1:9" ht="24" thickBot="1" x14ac:dyDescent="0.4">
      <c r="A20" s="10">
        <v>44426</v>
      </c>
      <c r="B20" s="139"/>
      <c r="C20" s="50">
        <f t="shared" si="0"/>
        <v>0</v>
      </c>
    </row>
    <row r="21" spans="1:9" ht="24" thickBot="1" x14ac:dyDescent="0.4">
      <c r="A21" s="10">
        <v>44427</v>
      </c>
      <c r="B21" s="139"/>
      <c r="C21" s="50">
        <f t="shared" si="0"/>
        <v>0</v>
      </c>
    </row>
    <row r="22" spans="1:9" ht="24" thickBot="1" x14ac:dyDescent="0.4">
      <c r="A22" s="10">
        <v>44428</v>
      </c>
      <c r="B22" s="139"/>
      <c r="C22" s="50">
        <f t="shared" si="0"/>
        <v>0</v>
      </c>
    </row>
    <row r="23" spans="1:9" ht="24" thickBot="1" x14ac:dyDescent="0.4">
      <c r="A23" s="10">
        <v>44429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36343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F1" zoomScale="87" zoomScaleNormal="87" workbookViewId="0">
      <pane ySplit="1" topLeftCell="A2" activePane="bottomLeft" state="frozen"/>
      <selection pane="bottomLeft" activeCell="V17" sqref="V17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/>
      <c r="C18" s="49" t="str">
        <f t="shared" si="10"/>
        <v>0</v>
      </c>
      <c r="D18" s="33">
        <f t="shared" si="0"/>
        <v>0</v>
      </c>
      <c r="E18" s="1"/>
      <c r="F18" s="49" t="str">
        <f t="shared" si="1"/>
        <v>0</v>
      </c>
      <c r="G18" s="33">
        <f t="shared" si="2"/>
        <v>0</v>
      </c>
      <c r="H18" s="1"/>
      <c r="I18" s="49" t="str">
        <f t="shared" si="3"/>
        <v>0</v>
      </c>
      <c r="J18" s="33">
        <f t="shared" si="4"/>
        <v>0</v>
      </c>
      <c r="K18" s="7"/>
      <c r="L18" s="49" t="str">
        <f t="shared" si="11"/>
        <v>0</v>
      </c>
      <c r="M18" s="33">
        <f t="shared" si="5"/>
        <v>0</v>
      </c>
      <c r="N18" s="7"/>
      <c r="O18" s="49" t="str">
        <f t="shared" si="6"/>
        <v>0</v>
      </c>
      <c r="P18" s="33">
        <f t="shared" si="7"/>
        <v>0</v>
      </c>
      <c r="Q18" s="7"/>
      <c r="R18" s="49" t="str">
        <f t="shared" si="8"/>
        <v>0</v>
      </c>
      <c r="S18" s="33">
        <f t="shared" si="9"/>
        <v>0</v>
      </c>
      <c r="T18" s="8">
        <f t="shared" si="13"/>
        <v>0</v>
      </c>
      <c r="U18" s="35">
        <f t="shared" si="12"/>
        <v>0</v>
      </c>
    </row>
    <row r="19" spans="1:24" ht="16.5" thickBot="1" x14ac:dyDescent="0.25">
      <c r="A19" s="10">
        <v>44425</v>
      </c>
      <c r="B19" s="1"/>
      <c r="C19" s="49">
        <f t="shared" si="10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11"/>
        <v>0</v>
      </c>
      <c r="M19" s="33">
        <f t="shared" si="5"/>
        <v>0</v>
      </c>
      <c r="N19" s="7"/>
      <c r="O19" s="49">
        <f t="shared" si="6"/>
        <v>0</v>
      </c>
      <c r="P19" s="33">
        <f t="shared" si="7"/>
        <v>0</v>
      </c>
      <c r="Q19" s="7"/>
      <c r="R19" s="49">
        <f t="shared" si="8"/>
        <v>0</v>
      </c>
      <c r="S19" s="33">
        <f t="shared" si="9"/>
        <v>0</v>
      </c>
      <c r="T19" s="8">
        <f t="shared" si="13"/>
        <v>0</v>
      </c>
      <c r="U19" s="35">
        <f t="shared" si="12"/>
        <v>0</v>
      </c>
    </row>
    <row r="20" spans="1:24" ht="16.5" thickBot="1" x14ac:dyDescent="0.25">
      <c r="A20" s="10">
        <v>44426</v>
      </c>
      <c r="B20" s="1"/>
      <c r="C20" s="49">
        <f t="shared" si="10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11"/>
        <v>0</v>
      </c>
      <c r="M20" s="33">
        <f t="shared" si="5"/>
        <v>0</v>
      </c>
      <c r="N20" s="7"/>
      <c r="O20" s="49">
        <f t="shared" si="6"/>
        <v>0</v>
      </c>
      <c r="P20" s="33">
        <f t="shared" si="7"/>
        <v>0</v>
      </c>
      <c r="Q20" s="7"/>
      <c r="R20" s="49">
        <f t="shared" si="8"/>
        <v>0</v>
      </c>
      <c r="S20" s="33">
        <f t="shared" si="9"/>
        <v>0</v>
      </c>
      <c r="T20" s="8">
        <f t="shared" si="13"/>
        <v>0</v>
      </c>
      <c r="U20" s="35">
        <f t="shared" si="12"/>
        <v>0</v>
      </c>
      <c r="X20" t="s">
        <v>12</v>
      </c>
    </row>
    <row r="21" spans="1:24" ht="16.5" thickBot="1" x14ac:dyDescent="0.25">
      <c r="A21" s="10">
        <v>44427</v>
      </c>
      <c r="B21" s="1"/>
      <c r="C21" s="49">
        <f t="shared" si="10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11"/>
        <v>0</v>
      </c>
      <c r="M21" s="33">
        <f t="shared" si="5"/>
        <v>0</v>
      </c>
      <c r="N21" s="7"/>
      <c r="O21" s="49">
        <f t="shared" si="6"/>
        <v>0</v>
      </c>
      <c r="P21" s="33">
        <f t="shared" si="7"/>
        <v>0</v>
      </c>
      <c r="Q21" s="7"/>
      <c r="R21" s="49">
        <f t="shared" si="8"/>
        <v>0</v>
      </c>
      <c r="S21" s="33">
        <f t="shared" si="9"/>
        <v>0</v>
      </c>
      <c r="T21" s="8">
        <f t="shared" si="13"/>
        <v>0</v>
      </c>
      <c r="U21" s="35">
        <f t="shared" si="12"/>
        <v>0</v>
      </c>
    </row>
    <row r="22" spans="1:24" ht="16.5" thickBot="1" x14ac:dyDescent="0.25">
      <c r="A22" s="10">
        <v>44428</v>
      </c>
      <c r="B22" s="1"/>
      <c r="C22" s="49">
        <f t="shared" si="10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11"/>
        <v>0</v>
      </c>
      <c r="M22" s="33">
        <f t="shared" si="5"/>
        <v>0</v>
      </c>
      <c r="N22" s="7"/>
      <c r="O22" s="49">
        <f t="shared" si="6"/>
        <v>0</v>
      </c>
      <c r="P22" s="33">
        <f t="shared" si="7"/>
        <v>0</v>
      </c>
      <c r="Q22" s="7"/>
      <c r="R22" s="49">
        <f t="shared" si="8"/>
        <v>0</v>
      </c>
      <c r="S22" s="33">
        <f t="shared" si="9"/>
        <v>0</v>
      </c>
      <c r="T22" s="8">
        <f t="shared" si="13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/>
      <c r="C23" s="49">
        <f t="shared" si="10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11"/>
        <v>0</v>
      </c>
      <c r="M23" s="33">
        <f t="shared" si="5"/>
        <v>0</v>
      </c>
      <c r="N23" s="7"/>
      <c r="O23" s="49">
        <f t="shared" si="6"/>
        <v>0</v>
      </c>
      <c r="P23" s="33">
        <f t="shared" si="7"/>
        <v>0</v>
      </c>
      <c r="Q23" s="7"/>
      <c r="R23" s="49">
        <f t="shared" si="8"/>
        <v>0</v>
      </c>
      <c r="S23" s="33">
        <f t="shared" si="9"/>
        <v>0</v>
      </c>
      <c r="T23" s="8">
        <f t="shared" si="13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/>
      <c r="C24" s="49">
        <f t="shared" si="10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11"/>
        <v>0</v>
      </c>
      <c r="M24" s="33">
        <f t="shared" si="5"/>
        <v>0</v>
      </c>
      <c r="N24" s="7"/>
      <c r="O24" s="49">
        <f t="shared" si="6"/>
        <v>0</v>
      </c>
      <c r="P24" s="33">
        <f t="shared" si="7"/>
        <v>0</v>
      </c>
      <c r="Q24" s="7"/>
      <c r="R24" s="49">
        <f t="shared" si="8"/>
        <v>0</v>
      </c>
      <c r="S24" s="33">
        <f t="shared" si="9"/>
        <v>0</v>
      </c>
      <c r="T24" s="8">
        <f t="shared" si="13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3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3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3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3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3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3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246.34000000000015</v>
      </c>
      <c r="D34" s="144">
        <f>SUM(D2:D33)</f>
        <v>468046.00000000023</v>
      </c>
      <c r="E34" s="144">
        <v>0</v>
      </c>
      <c r="F34" s="144">
        <f>SUM(F2:F33)</f>
        <v>45.414000000000215</v>
      </c>
      <c r="G34" s="144">
        <f>SUM(G2:G33)</f>
        <v>86286.600000000384</v>
      </c>
      <c r="H34" s="144"/>
      <c r="I34" s="144">
        <f>SUM(I2:I33)</f>
        <v>122</v>
      </c>
      <c r="J34" s="144">
        <f>SUM(J2:J33)</f>
        <v>231800</v>
      </c>
      <c r="K34" s="144"/>
      <c r="L34" s="144">
        <f>SUM(L2:L33)</f>
        <v>12295.461000000001</v>
      </c>
      <c r="M34" s="144">
        <f>SUM(M2:M33)</f>
        <v>23361375.899999991</v>
      </c>
      <c r="N34" s="144"/>
      <c r="O34" s="144">
        <f>SUM(O2:O33)</f>
        <v>23.170000000000073</v>
      </c>
      <c r="P34" s="144">
        <f>SUM(P2:P33)</f>
        <v>44023.000000000138</v>
      </c>
      <c r="Q34" s="144"/>
      <c r="R34" s="144">
        <f>SUM(R2:R33)</f>
        <v>54.029999999999745</v>
      </c>
      <c r="S34" s="144">
        <f>SUM(S2:S33)</f>
        <v>102656.99999999951</v>
      </c>
      <c r="T34" s="144">
        <f>SUM(T2:T33)</f>
        <v>12786.415000000005</v>
      </c>
      <c r="U34" s="144">
        <f>SUM(U2:U33)</f>
        <v>24294188.5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535350</v>
      </c>
      <c r="D2" s="102">
        <f>C2*1.27</f>
        <v>679894.5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27393042</v>
      </c>
      <c r="K3" s="97">
        <f>J3-I3</f>
        <v>283890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86871201</v>
      </c>
      <c r="K4" s="97">
        <f>J4-I4</f>
        <v>896246</v>
      </c>
    </row>
    <row r="5" spans="1:11" ht="13.5" thickBot="1" x14ac:dyDescent="0.25">
      <c r="A5" s="100"/>
      <c r="B5" s="106" t="s">
        <v>27</v>
      </c>
      <c r="C5" s="110">
        <f>(K10+K12)*0.842284+K26</f>
        <v>-2501178.275988</v>
      </c>
      <c r="D5" s="110">
        <f t="shared" ref="D5:D11" si="0">C5*1.27</f>
        <v>-3176496.4105047602</v>
      </c>
      <c r="E5" s="111"/>
      <c r="F5" s="100"/>
      <c r="G5" s="100"/>
      <c r="H5" s="106" t="s">
        <v>23</v>
      </c>
      <c r="I5" s="112"/>
      <c r="J5" s="112"/>
      <c r="K5" s="132">
        <f>K3+K4</f>
        <v>1180136</v>
      </c>
    </row>
    <row r="6" spans="1:11" ht="13.5" thickBot="1" x14ac:dyDescent="0.25">
      <c r="A6" s="100"/>
      <c r="B6" s="106" t="s">
        <v>99</v>
      </c>
      <c r="C6" s="110">
        <f>(K10+K12+K26)*0.1488</f>
        <v>-359150.67359999998</v>
      </c>
      <c r="D6" s="110">
        <f t="shared" si="0"/>
        <v>-456121.35547199997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8437636</v>
      </c>
      <c r="K6" s="97">
        <f>J6-I6</f>
        <v>0</v>
      </c>
    </row>
    <row r="7" spans="1:11" ht="13.5" thickBot="1" x14ac:dyDescent="0.25">
      <c r="A7" s="100"/>
      <c r="B7" s="106" t="s">
        <v>101</v>
      </c>
      <c r="C7" s="110">
        <f>(K6+K7)-(C8+C9+C10+C11+K26)</f>
        <v>3140291</v>
      </c>
      <c r="D7" s="110">
        <f t="shared" si="0"/>
        <v>3988169.57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8493137</v>
      </c>
      <c r="K7" s="97">
        <f>J7-I7</f>
        <v>89793</v>
      </c>
    </row>
    <row r="8" spans="1:11" ht="13.5" thickBot="1" x14ac:dyDescent="0.25">
      <c r="A8" s="100"/>
      <c r="B8" s="106" t="s">
        <v>103</v>
      </c>
      <c r="C8" s="110">
        <f>K21+K22+K23+K24</f>
        <v>19462</v>
      </c>
      <c r="D8" s="110">
        <f t="shared" si="0"/>
        <v>24716.74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5617413</v>
      </c>
      <c r="K8" s="97">
        <f>(J8-I8)*2</f>
        <v>191026</v>
      </c>
    </row>
    <row r="9" spans="1:11" ht="13.5" thickBot="1" x14ac:dyDescent="0.25">
      <c r="A9" s="100"/>
      <c r="B9" s="106" t="s">
        <v>137</v>
      </c>
      <c r="C9" s="110">
        <f>K25+K16+K17</f>
        <v>3091</v>
      </c>
      <c r="D9" s="110">
        <f t="shared" si="0"/>
        <v>3925.57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4574484</v>
      </c>
      <c r="K9" s="97">
        <f>J9-I9</f>
        <v>230901</v>
      </c>
    </row>
    <row r="10" spans="1:11" ht="13.5" thickBot="1" x14ac:dyDescent="0.25">
      <c r="A10" s="100"/>
      <c r="B10" s="106" t="s">
        <v>106</v>
      </c>
      <c r="C10" s="110">
        <f>K18</f>
        <v>9440</v>
      </c>
      <c r="D10" s="110">
        <f t="shared" si="0"/>
        <v>11988.8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18345128</v>
      </c>
      <c r="K10" s="97">
        <f>J10-I10</f>
        <v>175551</v>
      </c>
    </row>
    <row r="11" spans="1:11" ht="13.5" thickBot="1" x14ac:dyDescent="0.25">
      <c r="A11" s="100"/>
      <c r="B11" s="106" t="s">
        <v>108</v>
      </c>
      <c r="C11" s="110">
        <f>K19+K20</f>
        <v>-113851</v>
      </c>
      <c r="D11" s="110">
        <f t="shared" si="0"/>
        <v>-144590.76999999999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6101453</v>
      </c>
      <c r="K12" s="97">
        <f>(J12-I12)*2</f>
        <v>379442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1066713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113423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3737</v>
      </c>
      <c r="K16" s="99">
        <f>(J16-I16)*160</f>
        <v>3040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25265</v>
      </c>
      <c r="K18" s="99">
        <f>(J18-I18)*160</f>
        <v>9440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0</v>
      </c>
      <c r="K19" s="99">
        <f>J19-I19</f>
        <v>-113851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45745</v>
      </c>
      <c r="K21" s="99">
        <f>(J21-I21)*120</f>
        <v>10680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39765</v>
      </c>
      <c r="K22" s="99">
        <f>(J22-I22)*160</f>
        <v>6880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20682</v>
      </c>
      <c r="K23" s="99">
        <f>(J23-I23)*20</f>
        <v>1100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247148</v>
      </c>
      <c r="K24" s="99">
        <f>J24-I24</f>
        <v>802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215787</v>
      </c>
      <c r="K25" s="99">
        <f>J25-I25</f>
        <v>51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0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0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72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72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1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1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0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0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72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72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1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1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0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0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7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7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1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1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0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0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7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7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1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1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0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0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7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7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1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1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0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0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72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72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1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1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0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0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72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72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1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1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0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0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7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7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72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72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1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1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72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72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0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0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72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72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1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1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0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0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72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72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1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1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0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0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72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72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0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0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72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72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1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1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0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0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72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72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72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72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0">
        <v>23</v>
      </c>
      <c r="D49" s="66" t="s">
        <v>83</v>
      </c>
      <c r="E49" s="81"/>
      <c r="F49" s="81"/>
      <c r="G49" s="68">
        <f t="shared" si="0"/>
        <v>0</v>
      </c>
      <c r="H49" s="69"/>
      <c r="J49" s="17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72"/>
      <c r="D50" s="66" t="s">
        <v>82</v>
      </c>
      <c r="E50" s="81"/>
      <c r="F50" s="81"/>
      <c r="G50" s="68">
        <f t="shared" si="0"/>
        <v>0</v>
      </c>
      <c r="H50" s="69"/>
      <c r="J50" s="17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73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73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74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74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7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7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0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0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1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1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0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0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1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1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0">
        <v>28</v>
      </c>
      <c r="D62" s="179" t="s">
        <v>86</v>
      </c>
      <c r="E62" s="67"/>
      <c r="F62" s="67"/>
      <c r="G62" s="68"/>
      <c r="H62" s="181" t="s">
        <v>87</v>
      </c>
      <c r="I62" s="72"/>
      <c r="J62" s="170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71"/>
      <c r="D63" s="180"/>
      <c r="E63" s="67"/>
      <c r="F63" s="67"/>
      <c r="G63" s="68"/>
      <c r="H63" s="182"/>
      <c r="I63" s="72"/>
      <c r="J63" s="171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28469</v>
      </c>
      <c r="H64" s="87"/>
      <c r="I64" s="72"/>
      <c r="J64" s="183" t="s">
        <v>88</v>
      </c>
      <c r="K64" s="183"/>
      <c r="L64" s="183"/>
      <c r="M64" s="183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4">
        <v>44348</v>
      </c>
      <c r="C69" s="185"/>
      <c r="D69" s="185"/>
      <c r="E69" s="186"/>
      <c r="F69" s="90"/>
      <c r="G69" s="187">
        <v>44378</v>
      </c>
      <c r="H69" s="188"/>
      <c r="I69" s="188"/>
      <c r="J69" s="189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2021-08-17T01:17:03Z</dcterms:modified>
</cp:coreProperties>
</file>