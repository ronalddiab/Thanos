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<sst xmlns="http://schemas.openxmlformats.org/spreadsheetml/2006/main" count="296" uniqueCount="138">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</sst>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 t="e">
        <f>Submetering!E9+Submetering!F9+Submetering!G9+Submetering!H9-Submetering!AV9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 t="str">
        <f>'FS Desroches Daily'!D11</f>
        <v>0</v>
      </c>
      <c r="F9" s="36" t="str">
        <f>'FS Desroches Daily'!F11</f>
        <v>0</v>
      </c>
      <c r="G9" s="35" t="str">
        <f>'FS Desroches Daily'!H11</f>
        <v>0</v>
      </c>
      <c r="H9" s="36" t="str">
        <f>'FS Desroches Daily'!J11</f>
        <v>0</v>
      </c>
      <c r="I9" s="35" t="str">
        <f>'FS Desroches Daily'!L11</f>
        <v>0</v>
      </c>
      <c r="J9" s="36" t="str">
        <f>'FS Desroches Daily'!N11</f>
        <v/>
      </c>
      <c r="K9" s="13" t="str">
        <f>'FS Desroches Daily'!P11</f>
        <v/>
      </c>
      <c r="L9" s="35" t="str">
        <f>'FS Desroches Daily'!R11</f>
        <v/>
      </c>
      <c r="M9" s="35" t="str">
        <f>'FS Desroches Daily'!T11</f>
        <v/>
      </c>
      <c r="N9" s="35" t="str">
        <f>'FS Desroches Daily'!V11</f>
        <v/>
      </c>
      <c r="O9" s="35" t="str">
        <f>'FS Desroches Daily'!X11</f>
        <v/>
      </c>
      <c r="P9" s="35" t="str">
        <f>'FS Desroches Daily'!Z11</f>
        <v/>
      </c>
      <c r="Q9" s="35" t="str">
        <f>'FS Desroches Daily'!AB11</f>
        <v/>
      </c>
      <c r="R9" s="35" t="str">
        <f>'FS Desroches Daily'!AD11</f>
        <v/>
      </c>
      <c r="S9" s="35" t="str">
        <f>'FS Desroches Daily'!AF11</f>
        <v/>
      </c>
      <c r="T9" s="35" t="str">
        <f>'FS Desroches Daily'!AH11</f>
        <v/>
      </c>
      <c r="U9" s="39" t="str">
        <f>'FS Desroches Daily'!AJ11</f>
        <v/>
      </c>
      <c r="V9" s="39" t="str">
        <f>'FS Desroches Daily'!AL11</f>
        <v/>
      </c>
      <c r="W9" s="39" t="str">
        <f>'FS Desroches Daily'!AN11</f>
        <v/>
      </c>
      <c r="X9" s="39" t="str">
        <f>'FS Desroches Daily'!AP11</f>
        <v/>
      </c>
      <c r="Y9" s="39" t="str">
        <f>'FS Desroches Daily'!AR11</f>
        <v/>
      </c>
      <c r="Z9" s="39" t="str">
        <f>'FS Desroches Daily'!AT11</f>
        <v/>
      </c>
      <c r="AA9" s="39" t="str">
        <f>'FS Desroches Daily'!AT11</f>
        <v/>
      </c>
      <c r="AB9" s="39" t="str">
        <f>'FS Desroches Daily'!AV11</f>
        <v/>
      </c>
      <c r="AC9" s="39" t="str">
        <f>'FS Desroches Daily'!AZ11</f>
        <v/>
      </c>
      <c r="AD9" s="39" t="str">
        <f>'FS Desroches Daily'!BB11</f>
        <v/>
      </c>
      <c r="AE9" s="39" t="str">
        <f>'FS Desroches Daily'!BD11</f>
        <v/>
      </c>
      <c r="AF9" s="35" t="str">
        <f>'FS Desroches Daily'!BF11</f>
        <v/>
      </c>
      <c r="AG9" s="36" t="str">
        <f>'FS Desroches Daily'!BH11</f>
        <v/>
      </c>
      <c r="AH9" s="36" t="str">
        <f>'FS Desroches Daily'!BJ11</f>
        <v/>
      </c>
      <c r="AI9" s="36" t="str">
        <f>'FS Desroches Daily'!BL11</f>
        <v/>
      </c>
      <c r="AJ9" s="36" t="str">
        <f>'FS Desroches Daily'!BN11</f>
        <v/>
      </c>
      <c r="AK9" s="36" t="str">
        <f>'FS Desroches Daily'!BP11</f>
        <v/>
      </c>
      <c r="AL9" s="36" t="str">
        <f>'FS Desroches Daily'!BR11</f>
        <v/>
      </c>
      <c r="AM9" s="36" t="str">
        <f>'FS Desroches Daily'!BT11</f>
        <v/>
      </c>
      <c r="AN9" s="36" t="str">
        <f>'FS Desroches Daily'!BV11</f>
        <v/>
      </c>
      <c r="AO9" s="36" t="str">
        <f>'FS Desroches Daily'!BX11</f>
        <v/>
      </c>
      <c r="AP9" s="36" t="str">
        <f>'FS Desroches Daily'!BZ11</f>
        <v/>
      </c>
      <c r="AQ9" s="35" t="str">
        <f>'FS Desroches Daily'!CB11</f>
        <v/>
      </c>
      <c r="AR9" s="35" t="str">
        <f>'FS Desroches Daily'!CD11</f>
        <v/>
      </c>
      <c r="AS9" s="35" t="str">
        <f>'FS Desroches Daily'!CF11</f>
        <v/>
      </c>
      <c r="AT9" s="35" t="str">
        <f>'FS Desroches Daily'!CH11</f>
        <v/>
      </c>
      <c r="AU9" s="35" t="str">
        <f>'FS Desroches Daily'!CJ11</f>
        <v/>
      </c>
      <c r="AV9" s="35" t="str">
        <f>'FS Desroches Daily'!CL11</f>
        <v/>
      </c>
      <c r="AW9" s="35">
        <f>'FS Desroches Daily'!CM11</f>
        <v>0</v>
      </c>
      <c r="AX9" s="35" t="str">
        <f>IF(LPG!F16-LPG!F15&lt;0,"0",(LPG!F16-LPG!F15)*1.8315)</f>
        <v>0</v>
      </c>
      <c r="AY9" s="35" t="str">
        <f>IF(LPG!H16-LPG!H15&lt;0,"0",(LPG!H16-LPG!H15)*1.8315)</f>
        <v>0</v>
      </c>
      <c r="AZ9" s="35" t="str">
        <f>IF(LPG!J16-LPG!J15&lt;0,"0",(LPG!J16-LPG!J15)*1.8315)</f>
        <v>0</v>
      </c>
      <c r="BA9" s="35" t="str">
        <f>IF(LPG!M16-LPG!M15&lt;0,"0",(LPG!M16-LPG!M15)*1.8315)</f>
        <v>0</v>
      </c>
      <c r="BB9" s="35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18100.000000000004</v>
      </c>
      <c r="F33" s="17">
        <f t="shared" ref="F33:BC33" si="1">SUM(F2:F32)</f>
        <v>30200.000000000229</v>
      </c>
      <c r="G33" s="17">
        <f t="shared" si="1"/>
        <v>23299.999999999876</v>
      </c>
      <c r="H33" s="17">
        <f t="shared" si="1"/>
        <v>12199.999999999989</v>
      </c>
      <c r="I33" s="17">
        <f t="shared" si="1"/>
        <v>16199.999999999993</v>
      </c>
      <c r="J33" s="17">
        <f t="shared" si="1"/>
        <v>14399.999999999967</v>
      </c>
      <c r="K33" s="17">
        <f t="shared" si="1"/>
        <v>135</v>
      </c>
      <c r="L33" s="17">
        <f t="shared" si="1"/>
        <v>67</v>
      </c>
      <c r="M33" s="17">
        <f t="shared" si="1"/>
        <v>9984</v>
      </c>
      <c r="N33" s="17">
        <f t="shared" si="1"/>
        <v>3856</v>
      </c>
      <c r="O33" s="17">
        <f t="shared" si="1"/>
        <v>3769.9999999999818</v>
      </c>
      <c r="P33" s="17">
        <f t="shared" si="1"/>
        <v>25500.000000000076</v>
      </c>
      <c r="Q33" s="17">
        <f t="shared" si="1"/>
        <v>3770.0000000000387</v>
      </c>
      <c r="R33" s="17">
        <f t="shared" si="1"/>
        <v>3209.9999999999795</v>
      </c>
      <c r="S33" s="17">
        <f t="shared" si="1"/>
        <v>6450.0000000000455</v>
      </c>
      <c r="T33" s="17">
        <f t="shared" si="1"/>
        <v>15.5</v>
      </c>
      <c r="U33" s="39">
        <f t="shared" si="1"/>
        <v>3060.0000000000023</v>
      </c>
      <c r="V33" s="39">
        <f t="shared" si="1"/>
        <v>1.8899999999999864</v>
      </c>
      <c r="W33" s="39">
        <f t="shared" si="1"/>
        <v>1.9000000000000057</v>
      </c>
      <c r="X33" s="39">
        <f t="shared" si="1"/>
        <v>1.4000000000000057</v>
      </c>
      <c r="Y33" s="39">
        <f t="shared" si="1"/>
        <v>1649.9999999999773</v>
      </c>
      <c r="Z33" s="39">
        <f t="shared" si="1"/>
        <v>1859.9999999999568</v>
      </c>
      <c r="AA33" s="39">
        <f t="shared" si="1"/>
        <v>1859.9999999999568</v>
      </c>
      <c r="AB33" s="39">
        <f t="shared" si="1"/>
        <v>1539.999999999992</v>
      </c>
      <c r="AC33" s="39">
        <f t="shared" si="1"/>
        <v>1209.9999999999795</v>
      </c>
      <c r="AD33" s="39">
        <f t="shared" si="1"/>
        <v>329.99999999998408</v>
      </c>
      <c r="AE33" s="39">
        <f t="shared" si="1"/>
        <v>149.99999999997726</v>
      </c>
      <c r="AF33" s="17">
        <f t="shared" si="1"/>
        <v>324</v>
      </c>
      <c r="AG33" s="36">
        <f t="shared" si="1"/>
        <v>219.99999999999886</v>
      </c>
      <c r="AH33" s="36">
        <f t="shared" si="1"/>
        <v>370.00000000000455</v>
      </c>
      <c r="AI33" s="36">
        <f t="shared" si="1"/>
        <v>370.00000000000455</v>
      </c>
      <c r="AJ33" s="36">
        <f t="shared" si="1"/>
        <v>330.00000000001251</v>
      </c>
      <c r="AK33" s="36">
        <f t="shared" si="1"/>
        <v>379.99999999999545</v>
      </c>
      <c r="AL33" s="36">
        <f t="shared" si="1"/>
        <v>349</v>
      </c>
      <c r="AM33" s="36">
        <f t="shared" si="1"/>
        <v>299.99999999998295</v>
      </c>
      <c r="AN33" s="36">
        <f t="shared" si="1"/>
        <v>319</v>
      </c>
      <c r="AO33" s="36">
        <f t="shared" si="1"/>
        <v>329.99999999998408</v>
      </c>
      <c r="AP33" s="36">
        <f t="shared" si="1"/>
        <v>476</v>
      </c>
      <c r="AQ33" s="17">
        <f t="shared" si="1"/>
        <v>295.29999999999927</v>
      </c>
      <c r="AR33" s="17">
        <f t="shared" si="1"/>
        <v>88.399999999999636</v>
      </c>
      <c r="AS33" s="17">
        <f t="shared" si="1"/>
        <v>39.5</v>
      </c>
      <c r="AT33" s="17">
        <f t="shared" si="1"/>
        <v>232.20000000000437</v>
      </c>
      <c r="AU33" s="17">
        <f t="shared" si="1"/>
        <v>2198</v>
      </c>
      <c r="AV33" s="17">
        <f t="shared" si="1"/>
        <v>3719.9999999999136</v>
      </c>
      <c r="AW33" s="17">
        <f t="shared" si="1"/>
        <v>635</v>
      </c>
      <c r="AX33" s="17">
        <f t="shared" si="1"/>
        <v>100.73249999999999</v>
      </c>
      <c r="AY33" s="17">
        <f t="shared" si="1"/>
        <v>27.4725</v>
      </c>
      <c r="AZ33" s="17">
        <f t="shared" si="1"/>
        <v>0</v>
      </c>
      <c r="BA33" s="17">
        <f t="shared" si="1"/>
        <v>25.640999999999998</v>
      </c>
      <c r="BB33" s="17">
        <f t="shared" si="1"/>
        <v>36.629999999999995</v>
      </c>
      <c r="BC33" s="17">
        <f t="shared" si="1"/>
        <v>258</v>
      </c>
    </row>
    <row r="35" spans="5:55" x14ac:dyDescent="0.25">
      <c r="E35" s="42">
        <f>E33/E37</f>
        <v>0.20260135664554824</v>
      </c>
      <c r="G35" s="33">
        <f>G33-M36</f>
        <v>9459.9999999998763</v>
      </c>
      <c r="AE35" s="39">
        <f>SUM(U33:AE33)</f>
        <v>11665.189999999828</v>
      </c>
      <c r="AG35" s="36">
        <f>SUM(AG33:AP33)</f>
        <v>3443.9999999999832</v>
      </c>
    </row>
    <row r="36" spans="5:55" x14ac:dyDescent="0.25">
      <c r="G36" s="33">
        <f>G35-633*14</f>
        <v>597.99999999987631</v>
      </c>
      <c r="M36" s="33">
        <f>M33+N33</f>
        <v>13840</v>
      </c>
    </row>
    <row r="37" spans="5:55" x14ac:dyDescent="0.25">
      <c r="E37" s="17">
        <f>E33+F33+G33+H33+J33-633*14</f>
        <v>89338.000000000073</v>
      </c>
      <c r="G37" s="41">
        <f>M36/E37</f>
        <v>0.15491728044057387</v>
      </c>
      <c r="M37" s="39">
        <f>AE35</f>
        <v>11665.189999999828</v>
      </c>
    </row>
    <row r="38" spans="5:55" x14ac:dyDescent="0.25">
      <c r="L38" s="31">
        <f>M38/E37</f>
        <v>3.8550224988246666E-2</v>
      </c>
      <c r="M38" s="33">
        <f>AG35</f>
        <v>3443.9999999999832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10" sqref="CO10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/>
      <c r="D11" s="71" t="str">
        <f t="shared" si="3"/>
        <v>0</v>
      </c>
      <c r="E11" s="64"/>
      <c r="F11" s="71" t="str">
        <f t="shared" si="4"/>
        <v>0</v>
      </c>
      <c r="G11" s="64"/>
      <c r="H11" s="71" t="str">
        <f t="shared" si="5"/>
        <v>0</v>
      </c>
      <c r="I11" s="64"/>
      <c r="J11" s="71" t="str">
        <f t="shared" si="43"/>
        <v>0</v>
      </c>
      <c r="K11" s="64"/>
      <c r="L11" s="71" t="str">
        <f t="shared" si="0"/>
        <v>0</v>
      </c>
      <c r="M11" s="64"/>
      <c r="N11" s="71" t="str">
        <f t="shared" si="6"/>
        <v/>
      </c>
      <c r="O11" s="64"/>
      <c r="P11" s="72" t="str">
        <f t="shared" si="7"/>
        <v/>
      </c>
      <c r="Q11" s="64"/>
      <c r="R11" s="72" t="str">
        <f t="shared" si="8"/>
        <v/>
      </c>
      <c r="S11" s="64"/>
      <c r="T11" s="71" t="str">
        <f t="shared" si="9"/>
        <v/>
      </c>
      <c r="U11" s="64"/>
      <c r="V11" s="72" t="str">
        <f t="shared" si="10"/>
        <v/>
      </c>
      <c r="W11" s="64"/>
      <c r="X11" s="72" t="str">
        <f t="shared" si="23"/>
        <v/>
      </c>
      <c r="Y11" s="64"/>
      <c r="Z11" s="72" t="str">
        <f t="shared" si="24"/>
        <v/>
      </c>
      <c r="AA11" s="64"/>
      <c r="AB11" s="72" t="str">
        <f t="shared" si="25"/>
        <v/>
      </c>
      <c r="AC11" s="64"/>
      <c r="AD11" s="72" t="str">
        <f t="shared" si="26"/>
        <v/>
      </c>
      <c r="AE11" s="64"/>
      <c r="AF11" s="72" t="str">
        <f t="shared" si="27"/>
        <v/>
      </c>
      <c r="AG11" s="64"/>
      <c r="AH11" s="72" t="str">
        <f t="shared" si="11"/>
        <v/>
      </c>
      <c r="AI11" s="64"/>
      <c r="AJ11" s="72" t="str">
        <f t="shared" si="28"/>
        <v/>
      </c>
      <c r="AK11" s="64"/>
      <c r="AL11" s="72" t="str">
        <f t="shared" si="12"/>
        <v/>
      </c>
      <c r="AM11" s="64"/>
      <c r="AN11" s="72" t="str">
        <f t="shared" si="13"/>
        <v/>
      </c>
      <c r="AO11" s="64"/>
      <c r="AP11" s="72" t="str">
        <f t="shared" si="14"/>
        <v/>
      </c>
      <c r="AQ11" s="64"/>
      <c r="AR11" s="72" t="str">
        <f t="shared" si="29"/>
        <v/>
      </c>
      <c r="AS11" s="64"/>
      <c r="AT11" s="72" t="str">
        <f t="shared" si="30"/>
        <v/>
      </c>
      <c r="AU11" s="64"/>
      <c r="AV11" s="72" t="str">
        <f t="shared" si="31"/>
        <v/>
      </c>
      <c r="AW11" s="64"/>
      <c r="AX11" s="72" t="str">
        <f t="shared" si="32"/>
        <v/>
      </c>
      <c r="AY11" s="64"/>
      <c r="AZ11" s="72" t="str">
        <f t="shared" si="33"/>
        <v/>
      </c>
      <c r="BA11" s="64"/>
      <c r="BB11" s="72" t="str">
        <f t="shared" si="34"/>
        <v/>
      </c>
      <c r="BC11" s="64"/>
      <c r="BD11" s="72" t="str">
        <f t="shared" si="35"/>
        <v/>
      </c>
      <c r="BE11" s="66"/>
      <c r="BF11" s="72" t="str">
        <f t="shared" si="15"/>
        <v/>
      </c>
      <c r="BG11" s="67"/>
      <c r="BH11" s="72" t="str">
        <f t="shared" si="36"/>
        <v/>
      </c>
      <c r="BI11" s="66"/>
      <c r="BJ11" s="72" t="str">
        <f t="shared" si="37"/>
        <v/>
      </c>
      <c r="BK11" s="66"/>
      <c r="BL11" s="72" t="str">
        <f t="shared" si="38"/>
        <v/>
      </c>
      <c r="BM11" s="66"/>
      <c r="BN11" s="72" t="str">
        <f t="shared" si="39"/>
        <v/>
      </c>
      <c r="BO11" s="66"/>
      <c r="BP11" s="72" t="str">
        <f t="shared" si="40"/>
        <v/>
      </c>
      <c r="BQ11" s="66"/>
      <c r="BR11" s="72" t="str">
        <f t="shared" si="16"/>
        <v/>
      </c>
      <c r="BS11" s="66"/>
      <c r="BT11" s="72" t="str">
        <f t="shared" si="41"/>
        <v/>
      </c>
      <c r="BU11" s="66"/>
      <c r="BV11" s="72" t="str">
        <f t="shared" si="1"/>
        <v/>
      </c>
      <c r="BW11" s="66"/>
      <c r="BX11" s="72" t="str">
        <f t="shared" si="42"/>
        <v/>
      </c>
      <c r="BY11" s="80"/>
      <c r="BZ11" s="72" t="str">
        <f t="shared" si="17"/>
        <v/>
      </c>
      <c r="CA11" s="64"/>
      <c r="CB11" s="72" t="str">
        <f t="shared" si="18"/>
        <v/>
      </c>
      <c r="CC11" s="64"/>
      <c r="CD11" s="72" t="str">
        <f t="shared" si="19"/>
        <v/>
      </c>
      <c r="CE11" s="64"/>
      <c r="CF11" s="72" t="str">
        <f t="shared" si="20"/>
        <v/>
      </c>
      <c r="CG11" s="64"/>
      <c r="CH11" s="72" t="str">
        <f t="shared" si="21"/>
        <v/>
      </c>
      <c r="CI11" s="64"/>
      <c r="CJ11" s="72" t="str">
        <f t="shared" si="2"/>
        <v/>
      </c>
      <c r="CK11" s="64"/>
      <c r="CL11" s="71" t="str">
        <f t="shared" si="22"/>
        <v/>
      </c>
      <c r="CM11" s="72"/>
      <c r="CN11" s="69"/>
      <c r="CO11" s="69"/>
    </row>
    <row r="12" spans="1:93" ht="25.5" customHeight="1" thickBot="1" x14ac:dyDescent="0.45">
      <c r="A12" s="70">
        <v>43899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6"/>
      <c r="BJ12" s="72">
        <f t="shared" si="37"/>
        <v>0</v>
      </c>
      <c r="BK12" s="66"/>
      <c r="BL12" s="72">
        <f t="shared" si="38"/>
        <v>0</v>
      </c>
      <c r="BM12" s="66"/>
      <c r="BN12" s="72">
        <f t="shared" si="39"/>
        <v>0</v>
      </c>
      <c r="BO12" s="66"/>
      <c r="BP12" s="72">
        <f t="shared" si="40"/>
        <v>0</v>
      </c>
      <c r="BQ12" s="66"/>
      <c r="BR12" s="72">
        <f t="shared" si="16"/>
        <v>0</v>
      </c>
      <c r="BS12" s="66"/>
      <c r="BT12" s="72">
        <f t="shared" si="41"/>
        <v>0</v>
      </c>
      <c r="BU12" s="66"/>
      <c r="BV12" s="72">
        <f t="shared" si="1"/>
        <v>0</v>
      </c>
      <c r="BW12" s="66"/>
      <c r="BX12" s="72">
        <f t="shared" si="42"/>
        <v>0</v>
      </c>
      <c r="BY12" s="80"/>
      <c r="BZ12" s="72">
        <f t="shared" si="17"/>
        <v>0</v>
      </c>
      <c r="CA12" s="64"/>
      <c r="CB12" s="72">
        <f t="shared" si="18"/>
        <v>0</v>
      </c>
      <c r="CC12" s="64"/>
      <c r="CD12" s="72">
        <f t="shared" si="19"/>
        <v>0</v>
      </c>
      <c r="CE12" s="64"/>
      <c r="CF12" s="72">
        <f t="shared" si="20"/>
        <v>0</v>
      </c>
      <c r="CG12" s="64"/>
      <c r="CH12" s="72">
        <f t="shared" si="21"/>
        <v>0</v>
      </c>
      <c r="CI12" s="64"/>
      <c r="CJ12" s="72">
        <f t="shared" si="2"/>
        <v>0</v>
      </c>
      <c r="CK12" s="64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43900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6"/>
      <c r="BJ13" s="72">
        <f t="shared" si="37"/>
        <v>0</v>
      </c>
      <c r="BK13" s="66"/>
      <c r="BL13" s="72">
        <f t="shared" si="38"/>
        <v>0</v>
      </c>
      <c r="BM13" s="66"/>
      <c r="BN13" s="72">
        <f t="shared" si="39"/>
        <v>0</v>
      </c>
      <c r="BO13" s="66"/>
      <c r="BP13" s="72">
        <f t="shared" si="40"/>
        <v>0</v>
      </c>
      <c r="BQ13" s="66"/>
      <c r="BR13" s="72">
        <f t="shared" si="16"/>
        <v>0</v>
      </c>
      <c r="BS13" s="66"/>
      <c r="BT13" s="72">
        <f t="shared" si="41"/>
        <v>0</v>
      </c>
      <c r="BU13" s="66"/>
      <c r="BV13" s="72">
        <f t="shared" si="1"/>
        <v>0</v>
      </c>
      <c r="BW13" s="66"/>
      <c r="BX13" s="72">
        <f t="shared" si="42"/>
        <v>0</v>
      </c>
      <c r="BY13" s="80"/>
      <c r="BZ13" s="72">
        <f t="shared" si="17"/>
        <v>0</v>
      </c>
      <c r="CA13" s="64"/>
      <c r="CB13" s="72">
        <f t="shared" si="18"/>
        <v>0</v>
      </c>
      <c r="CC13" s="64"/>
      <c r="CD13" s="72">
        <f t="shared" si="19"/>
        <v>0</v>
      </c>
      <c r="CE13" s="64"/>
      <c r="CF13" s="72">
        <f t="shared" si="20"/>
        <v>0</v>
      </c>
      <c r="CG13" s="64"/>
      <c r="CH13" s="72">
        <f t="shared" si="21"/>
        <v>0</v>
      </c>
      <c r="CI13" s="64"/>
      <c r="CJ13" s="72">
        <f t="shared" si="2"/>
        <v>0</v>
      </c>
      <c r="CK13" s="64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43901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6"/>
      <c r="BJ14" s="72">
        <f t="shared" si="37"/>
        <v>0</v>
      </c>
      <c r="BK14" s="66"/>
      <c r="BL14" s="72">
        <f t="shared" si="38"/>
        <v>0</v>
      </c>
      <c r="BM14" s="66"/>
      <c r="BN14" s="72">
        <f t="shared" si="39"/>
        <v>0</v>
      </c>
      <c r="BO14" s="66"/>
      <c r="BP14" s="72">
        <f t="shared" si="40"/>
        <v>0</v>
      </c>
      <c r="BQ14" s="66"/>
      <c r="BR14" s="72">
        <f t="shared" si="16"/>
        <v>0</v>
      </c>
      <c r="BS14" s="66"/>
      <c r="BT14" s="72">
        <f t="shared" si="41"/>
        <v>0</v>
      </c>
      <c r="BU14" s="66"/>
      <c r="BV14" s="72">
        <f t="shared" si="1"/>
        <v>0</v>
      </c>
      <c r="BW14" s="66"/>
      <c r="BX14" s="72">
        <f t="shared" si="42"/>
        <v>0</v>
      </c>
      <c r="BY14" s="80"/>
      <c r="BZ14" s="72">
        <f t="shared" si="17"/>
        <v>0</v>
      </c>
      <c r="CA14" s="64"/>
      <c r="CB14" s="72">
        <f t="shared" si="18"/>
        <v>0</v>
      </c>
      <c r="CC14" s="64"/>
      <c r="CD14" s="72">
        <f t="shared" si="19"/>
        <v>0</v>
      </c>
      <c r="CE14" s="64"/>
      <c r="CF14" s="72">
        <f t="shared" si="20"/>
        <v>0</v>
      </c>
      <c r="CG14" s="64"/>
      <c r="CH14" s="72">
        <f t="shared" si="21"/>
        <v>0</v>
      </c>
      <c r="CI14" s="64"/>
      <c r="CJ14" s="72">
        <f t="shared" si="2"/>
        <v>0</v>
      </c>
      <c r="CK14" s="64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43902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6"/>
      <c r="BJ15" s="72">
        <f t="shared" si="37"/>
        <v>0</v>
      </c>
      <c r="BK15" s="66"/>
      <c r="BL15" s="72">
        <f t="shared" si="38"/>
        <v>0</v>
      </c>
      <c r="BM15" s="66"/>
      <c r="BN15" s="72">
        <f t="shared" si="39"/>
        <v>0</v>
      </c>
      <c r="BO15" s="66"/>
      <c r="BP15" s="72">
        <f t="shared" si="40"/>
        <v>0</v>
      </c>
      <c r="BQ15" s="66"/>
      <c r="BR15" s="72">
        <f t="shared" si="16"/>
        <v>0</v>
      </c>
      <c r="BS15" s="66"/>
      <c r="BT15" s="72">
        <f t="shared" si="41"/>
        <v>0</v>
      </c>
      <c r="BU15" s="66"/>
      <c r="BV15" s="72">
        <f t="shared" si="1"/>
        <v>0</v>
      </c>
      <c r="BW15" s="66"/>
      <c r="BX15" s="72">
        <f t="shared" si="42"/>
        <v>0</v>
      </c>
      <c r="BY15" s="80"/>
      <c r="BZ15" s="72">
        <f t="shared" si="17"/>
        <v>0</v>
      </c>
      <c r="CA15" s="64"/>
      <c r="CB15" s="72">
        <f t="shared" si="18"/>
        <v>0</v>
      </c>
      <c r="CC15" s="64"/>
      <c r="CD15" s="72">
        <f t="shared" si="19"/>
        <v>0</v>
      </c>
      <c r="CE15" s="64"/>
      <c r="CF15" s="72">
        <f t="shared" si="20"/>
        <v>0</v>
      </c>
      <c r="CG15" s="64"/>
      <c r="CH15" s="72">
        <f t="shared" si="21"/>
        <v>0</v>
      </c>
      <c r="CI15" s="64"/>
      <c r="CJ15" s="72">
        <f t="shared" si="2"/>
        <v>0</v>
      </c>
      <c r="CK15" s="64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43903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6"/>
      <c r="BJ16" s="72">
        <f t="shared" si="37"/>
        <v>0</v>
      </c>
      <c r="BK16" s="66"/>
      <c r="BL16" s="72">
        <f t="shared" si="38"/>
        <v>0</v>
      </c>
      <c r="BM16" s="66"/>
      <c r="BN16" s="72">
        <f t="shared" si="39"/>
        <v>0</v>
      </c>
      <c r="BO16" s="66"/>
      <c r="BP16" s="72">
        <f t="shared" si="40"/>
        <v>0</v>
      </c>
      <c r="BQ16" s="66"/>
      <c r="BR16" s="72">
        <f t="shared" si="16"/>
        <v>0</v>
      </c>
      <c r="BS16" s="66"/>
      <c r="BT16" s="72">
        <f t="shared" si="41"/>
        <v>0</v>
      </c>
      <c r="BU16" s="66"/>
      <c r="BV16" s="72">
        <f t="shared" si="1"/>
        <v>0</v>
      </c>
      <c r="BW16" s="66"/>
      <c r="BX16" s="72">
        <f t="shared" si="42"/>
        <v>0</v>
      </c>
      <c r="BY16" s="80"/>
      <c r="BZ16" s="72">
        <f t="shared" si="17"/>
        <v>0</v>
      </c>
      <c r="CA16" s="64"/>
      <c r="CB16" s="72">
        <f t="shared" si="18"/>
        <v>0</v>
      </c>
      <c r="CC16" s="64"/>
      <c r="CD16" s="72">
        <f t="shared" si="19"/>
        <v>0</v>
      </c>
      <c r="CE16" s="64"/>
      <c r="CF16" s="72">
        <f t="shared" si="20"/>
        <v>0</v>
      </c>
      <c r="CG16" s="64"/>
      <c r="CH16" s="72">
        <f t="shared" si="21"/>
        <v>0</v>
      </c>
      <c r="CI16" s="64"/>
      <c r="CJ16" s="72">
        <f t="shared" si="2"/>
        <v>0</v>
      </c>
      <c r="CK16" s="64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43904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6"/>
      <c r="BJ17" s="72">
        <f t="shared" si="37"/>
        <v>0</v>
      </c>
      <c r="BK17" s="66"/>
      <c r="BL17" s="72">
        <f t="shared" si="38"/>
        <v>0</v>
      </c>
      <c r="BM17" s="66"/>
      <c r="BN17" s="72">
        <f t="shared" si="39"/>
        <v>0</v>
      </c>
      <c r="BO17" s="66"/>
      <c r="BP17" s="72">
        <f t="shared" si="40"/>
        <v>0</v>
      </c>
      <c r="BQ17" s="66"/>
      <c r="BR17" s="72">
        <f t="shared" si="16"/>
        <v>0</v>
      </c>
      <c r="BS17" s="66"/>
      <c r="BT17" s="72">
        <f t="shared" si="41"/>
        <v>0</v>
      </c>
      <c r="BU17" s="66"/>
      <c r="BV17" s="72">
        <f t="shared" si="1"/>
        <v>0</v>
      </c>
      <c r="BW17" s="66"/>
      <c r="BX17" s="72">
        <f t="shared" si="42"/>
        <v>0</v>
      </c>
      <c r="BY17" s="80"/>
      <c r="BZ17" s="72">
        <f t="shared" si="17"/>
        <v>0</v>
      </c>
      <c r="CA17" s="64"/>
      <c r="CB17" s="72">
        <f t="shared" si="18"/>
        <v>0</v>
      </c>
      <c r="CC17" s="64"/>
      <c r="CD17" s="72">
        <f t="shared" si="19"/>
        <v>0</v>
      </c>
      <c r="CE17" s="64"/>
      <c r="CF17" s="72">
        <f t="shared" si="20"/>
        <v>0</v>
      </c>
      <c r="CG17" s="64"/>
      <c r="CH17" s="72">
        <f t="shared" si="21"/>
        <v>0</v>
      </c>
      <c r="CI17" s="64"/>
      <c r="CJ17" s="72">
        <f t="shared" si="2"/>
        <v>0</v>
      </c>
      <c r="CK17" s="64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43905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6"/>
      <c r="BJ18" s="72">
        <f t="shared" si="37"/>
        <v>0</v>
      </c>
      <c r="BK18" s="66"/>
      <c r="BL18" s="72">
        <f t="shared" si="38"/>
        <v>0</v>
      </c>
      <c r="BM18" s="66"/>
      <c r="BN18" s="72">
        <f t="shared" si="39"/>
        <v>0</v>
      </c>
      <c r="BO18" s="66"/>
      <c r="BP18" s="72">
        <f t="shared" si="40"/>
        <v>0</v>
      </c>
      <c r="BQ18" s="66"/>
      <c r="BR18" s="72">
        <f t="shared" si="16"/>
        <v>0</v>
      </c>
      <c r="BS18" s="66"/>
      <c r="BT18" s="72">
        <f t="shared" si="41"/>
        <v>0</v>
      </c>
      <c r="BU18" s="66"/>
      <c r="BV18" s="72">
        <f t="shared" si="1"/>
        <v>0</v>
      </c>
      <c r="BW18" s="66"/>
      <c r="BX18" s="72">
        <f t="shared" si="42"/>
        <v>0</v>
      </c>
      <c r="BY18" s="80"/>
      <c r="BZ18" s="72">
        <f t="shared" si="17"/>
        <v>0</v>
      </c>
      <c r="CA18" s="64"/>
      <c r="CB18" s="72">
        <f t="shared" si="18"/>
        <v>0</v>
      </c>
      <c r="CC18" s="64"/>
      <c r="CD18" s="72">
        <f t="shared" si="19"/>
        <v>0</v>
      </c>
      <c r="CE18" s="64"/>
      <c r="CF18" s="72">
        <f t="shared" si="20"/>
        <v>0</v>
      </c>
      <c r="CG18" s="64"/>
      <c r="CH18" s="72">
        <f t="shared" si="21"/>
        <v>0</v>
      </c>
      <c r="CI18" s="64"/>
      <c r="CJ18" s="72">
        <f t="shared" si="2"/>
        <v>0</v>
      </c>
      <c r="CK18" s="64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43906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6"/>
      <c r="BJ19" s="72">
        <f t="shared" si="37"/>
        <v>0</v>
      </c>
      <c r="BK19" s="66"/>
      <c r="BL19" s="72">
        <f t="shared" si="38"/>
        <v>0</v>
      </c>
      <c r="BM19" s="66"/>
      <c r="BN19" s="72">
        <f t="shared" si="39"/>
        <v>0</v>
      </c>
      <c r="BO19" s="66"/>
      <c r="BP19" s="72">
        <f t="shared" si="40"/>
        <v>0</v>
      </c>
      <c r="BQ19" s="66"/>
      <c r="BR19" s="72">
        <f t="shared" si="16"/>
        <v>0</v>
      </c>
      <c r="BS19" s="66"/>
      <c r="BT19" s="72">
        <f t="shared" si="41"/>
        <v>0</v>
      </c>
      <c r="BU19" s="66"/>
      <c r="BV19" s="72">
        <f t="shared" si="1"/>
        <v>0</v>
      </c>
      <c r="BW19" s="66"/>
      <c r="BX19" s="72">
        <f t="shared" si="42"/>
        <v>0</v>
      </c>
      <c r="BY19" s="80"/>
      <c r="BZ19" s="72">
        <f t="shared" si="17"/>
        <v>0</v>
      </c>
      <c r="CA19" s="64"/>
      <c r="CB19" s="72">
        <f t="shared" si="18"/>
        <v>0</v>
      </c>
      <c r="CC19" s="64"/>
      <c r="CD19" s="72">
        <f t="shared" si="19"/>
        <v>0</v>
      </c>
      <c r="CE19" s="64"/>
      <c r="CF19" s="72">
        <f t="shared" si="20"/>
        <v>0</v>
      </c>
      <c r="CG19" s="64"/>
      <c r="CH19" s="72">
        <f t="shared" si="21"/>
        <v>0</v>
      </c>
      <c r="CI19" s="64"/>
      <c r="CJ19" s="72">
        <f t="shared" si="2"/>
        <v>0</v>
      </c>
      <c r="CK19" s="64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43907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6"/>
      <c r="BJ20" s="72">
        <f t="shared" si="37"/>
        <v>0</v>
      </c>
      <c r="BK20" s="66"/>
      <c r="BL20" s="72">
        <f t="shared" si="38"/>
        <v>0</v>
      </c>
      <c r="BM20" s="66"/>
      <c r="BN20" s="72">
        <f t="shared" si="39"/>
        <v>0</v>
      </c>
      <c r="BO20" s="66"/>
      <c r="BP20" s="72">
        <f t="shared" si="40"/>
        <v>0</v>
      </c>
      <c r="BQ20" s="66"/>
      <c r="BR20" s="72">
        <f t="shared" si="16"/>
        <v>0</v>
      </c>
      <c r="BS20" s="66"/>
      <c r="BT20" s="72">
        <f t="shared" si="41"/>
        <v>0</v>
      </c>
      <c r="BU20" s="66"/>
      <c r="BV20" s="72">
        <f t="shared" si="1"/>
        <v>0</v>
      </c>
      <c r="BW20" s="66"/>
      <c r="BX20" s="72">
        <f t="shared" si="42"/>
        <v>0</v>
      </c>
      <c r="BY20" s="80"/>
      <c r="BZ20" s="72">
        <f t="shared" si="17"/>
        <v>0</v>
      </c>
      <c r="CA20" s="64"/>
      <c r="CB20" s="72">
        <f t="shared" si="18"/>
        <v>0</v>
      </c>
      <c r="CC20" s="64"/>
      <c r="CD20" s="72">
        <f t="shared" si="19"/>
        <v>0</v>
      </c>
      <c r="CE20" s="64"/>
      <c r="CF20" s="72">
        <f t="shared" si="20"/>
        <v>0</v>
      </c>
      <c r="CG20" s="64"/>
      <c r="CH20" s="72">
        <f t="shared" si="21"/>
        <v>0</v>
      </c>
      <c r="CI20" s="64"/>
      <c r="CJ20" s="72">
        <f t="shared" si="2"/>
        <v>0</v>
      </c>
      <c r="CK20" s="64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43908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6"/>
      <c r="BJ21" s="72">
        <f t="shared" si="37"/>
        <v>0</v>
      </c>
      <c r="BK21" s="66"/>
      <c r="BL21" s="72">
        <f t="shared" si="38"/>
        <v>0</v>
      </c>
      <c r="BM21" s="66"/>
      <c r="BN21" s="72">
        <f t="shared" si="39"/>
        <v>0</v>
      </c>
      <c r="BO21" s="66"/>
      <c r="BP21" s="72">
        <f t="shared" si="40"/>
        <v>0</v>
      </c>
      <c r="BQ21" s="66"/>
      <c r="BR21" s="72">
        <f t="shared" si="16"/>
        <v>0</v>
      </c>
      <c r="BS21" s="66"/>
      <c r="BT21" s="72">
        <f t="shared" si="41"/>
        <v>0</v>
      </c>
      <c r="BU21" s="66"/>
      <c r="BV21" s="72">
        <f t="shared" si="1"/>
        <v>0</v>
      </c>
      <c r="BW21" s="66"/>
      <c r="BX21" s="72">
        <f t="shared" si="42"/>
        <v>0</v>
      </c>
      <c r="BY21" s="80"/>
      <c r="BZ21" s="72">
        <f t="shared" si="17"/>
        <v>0</v>
      </c>
      <c r="CA21" s="64"/>
      <c r="CB21" s="72">
        <f t="shared" si="18"/>
        <v>0</v>
      </c>
      <c r="CC21" s="64"/>
      <c r="CD21" s="72">
        <f t="shared" si="19"/>
        <v>0</v>
      </c>
      <c r="CE21" s="64"/>
      <c r="CF21" s="72">
        <f t="shared" si="20"/>
        <v>0</v>
      </c>
      <c r="CG21" s="64"/>
      <c r="CH21" s="72">
        <f t="shared" si="21"/>
        <v>0</v>
      </c>
      <c r="CI21" s="64"/>
      <c r="CJ21" s="72">
        <f t="shared" si="2"/>
        <v>0</v>
      </c>
      <c r="CK21" s="64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135</v>
      </c>
      <c r="R35" s="76">
        <f>SUM(R4:R33)</f>
        <v>67</v>
      </c>
      <c r="AX35" s="72">
        <f t="shared" si="32"/>
        <v>0</v>
      </c>
      <c r="BF35" s="76">
        <f>SUM(BF4:BF33)</f>
        <v>324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P15" sqref="P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43899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43900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43901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43902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43903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43904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43905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43906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43907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2020-03-08T03:19:14Z</dcterms:modified>
</cp:coreProperties>
</file>