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20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20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6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13" i="76" l="1"/>
  <c r="AT19" i="5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9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7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6" i="2"/>
  <c r="Y11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9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6" s="1"/>
  <c r="AC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6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6"/>
  <c r="S16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6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19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9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H6" i="77"/>
  <c r="B20" i="76" l="1"/>
  <c r="C19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B21" l="1"/>
  <c r="C20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B22" i="76" l="1"/>
  <c r="C2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B23" i="76" l="1"/>
  <c r="C22"/>
  <c r="AB33" i="2"/>
  <c r="AB10"/>
  <c r="Z33" i="3"/>
  <c r="AK33" s="1"/>
  <c r="D14" i="76"/>
  <c r="E14" s="1"/>
  <c r="G16"/>
  <c r="L16" s="1"/>
  <c r="I16"/>
  <c r="M16" s="1"/>
  <c r="AB33" i="3"/>
  <c r="X40" i="74"/>
  <c r="B24" i="76" l="1"/>
  <c r="C23"/>
  <c r="AC33" i="3"/>
  <c r="K34" i="76"/>
  <c r="N34" s="1"/>
  <c r="G17"/>
  <c r="L17" s="1"/>
  <c r="I17"/>
  <c r="M17" s="1"/>
  <c r="D15"/>
  <c r="E15" s="1"/>
  <c r="B25" l="1"/>
  <c r="C24"/>
  <c r="G18"/>
  <c r="I18"/>
  <c r="D17"/>
  <c r="E17" s="1"/>
  <c r="D16"/>
  <c r="E16" s="1"/>
  <c r="S12" i="3"/>
  <c r="B26" i="76" l="1"/>
  <c r="C25"/>
  <c r="G19"/>
  <c r="I19"/>
  <c r="K18"/>
  <c r="N18" s="1"/>
  <c r="B27" l="1"/>
  <c r="C26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S10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3" l="1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3" i="76"/>
  <c r="F21" i="81" s="1"/>
  <c r="T21" i="76"/>
  <c r="F19" i="81" s="1"/>
  <c r="T27" i="76"/>
  <c r="F25" i="81" s="1"/>
  <c r="T30" i="76"/>
  <c r="F28" i="81" s="1"/>
  <c r="T29" i="76"/>
  <c r="F27" i="81" s="1"/>
  <c r="T22" i="76"/>
  <c r="F20" i="81" s="1"/>
  <c r="T33" i="76"/>
  <c r="F31" i="81" s="1"/>
  <c r="T28" i="76"/>
  <c r="F26" i="81" s="1"/>
  <c r="T25" i="76"/>
  <c r="F23" i="81" s="1"/>
  <c r="T26" i="76"/>
  <c r="F24" i="81" s="1"/>
  <c r="T24" i="76"/>
  <c r="F22" i="81" s="1"/>
  <c r="T32" i="76"/>
  <c r="F30" i="81" s="1"/>
  <c r="T20" i="76"/>
  <c r="F18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AY21" i="7"/>
  <c r="Q19" i="76"/>
  <c r="R19" s="1"/>
  <c r="T19" s="1"/>
  <c r="F17" i="81" s="1"/>
  <c r="Q21" i="76"/>
  <c r="R21" s="1"/>
  <c r="AY23" i="7"/>
  <c r="AS40"/>
  <c r="Q29" i="76"/>
  <c r="R29" s="1"/>
  <c r="AY31" i="7"/>
  <c r="Q27" i="76"/>
  <c r="R27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AY30" i="7"/>
  <c r="Q23" i="76"/>
  <c r="R23" s="1"/>
  <c r="AY25" i="7"/>
  <c r="AY28"/>
  <c r="Q26" i="76"/>
  <c r="R26" s="1"/>
  <c r="Q15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AY35" i="7"/>
  <c r="AX16"/>
  <c r="AY27"/>
  <c r="Q20" i="76"/>
  <c r="R20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<sst xmlns="http://schemas.openxmlformats.org/spreadsheetml/2006/main" count="724" uniqueCount="418">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</sst>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089536"/>
        <c:axId val="111091072"/>
      </c:lineChart>
      <c:catAx>
        <c:axId val="11108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91072"/>
        <c:crosses val="autoZero"/>
        <c:auto val="1"/>
        <c:lblAlgn val="ctr"/>
        <c:lblOffset val="100"/>
      </c:catAx>
      <c:valAx>
        <c:axId val="111091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8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177"/>
          <c:w val="0.11899800868449698"/>
          <c:h val="4.49826989619452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111552"/>
        <c:axId val="111113344"/>
      </c:lineChart>
      <c:catAx>
        <c:axId val="11111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13344"/>
        <c:crosses val="autoZero"/>
        <c:auto val="1"/>
        <c:lblAlgn val="ctr"/>
        <c:lblOffset val="100"/>
      </c:catAx>
      <c:valAx>
        <c:axId val="11111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1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9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133440"/>
        <c:axId val="111134976"/>
      </c:lineChart>
      <c:catAx>
        <c:axId val="1111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34976"/>
        <c:crosses val="autoZero"/>
        <c:auto val="1"/>
        <c:lblAlgn val="ctr"/>
        <c:lblOffset val="100"/>
      </c:catAx>
      <c:valAx>
        <c:axId val="111134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771"/>
          <c:y val="0.62975887529635177"/>
          <c:w val="7.9124755870162669E-2"/>
          <c:h val="4.49826989619452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913408"/>
        <c:axId val="110914944"/>
      </c:lineChart>
      <c:catAx>
        <c:axId val="11091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14944"/>
        <c:crosses val="autoZero"/>
        <c:auto val="1"/>
        <c:lblAlgn val="ctr"/>
        <c:lblOffset val="100"/>
      </c:catAx>
      <c:valAx>
        <c:axId val="110914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1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8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0926848"/>
        <c:axId val="111284992"/>
      </c:lineChart>
      <c:catAx>
        <c:axId val="1109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84992"/>
        <c:crosses val="autoZero"/>
        <c:auto val="1"/>
        <c:lblAlgn val="ctr"/>
        <c:lblOffset val="100"/>
      </c:catAx>
      <c:valAx>
        <c:axId val="111284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0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379200"/>
        <c:axId val="111380736"/>
      </c:lineChart>
      <c:catAx>
        <c:axId val="1113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80736"/>
        <c:crosses val="autoZero"/>
        <c:auto val="1"/>
        <c:lblAlgn val="ctr"/>
        <c:lblOffset val="100"/>
      </c:catAx>
      <c:valAx>
        <c:axId val="11138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744896"/>
        <c:axId val="111746432"/>
      </c:lineChart>
      <c:catAx>
        <c:axId val="1117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46432"/>
        <c:crosses val="autoZero"/>
        <c:auto val="1"/>
        <c:lblAlgn val="ctr"/>
        <c:lblOffset val="100"/>
      </c:catAx>
      <c:valAx>
        <c:axId val="11174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766144"/>
        <c:axId val="111772032"/>
      </c:lineChart>
      <c:catAx>
        <c:axId val="11176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2032"/>
        <c:crosses val="autoZero"/>
        <c:auto val="1"/>
        <c:lblAlgn val="ctr"/>
        <c:lblOffset val="100"/>
      </c:catAx>
      <c:valAx>
        <c:axId val="11177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6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800320"/>
        <c:axId val="111801856"/>
      </c:lineChart>
      <c:catAx>
        <c:axId val="1118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01856"/>
        <c:crosses val="autoZero"/>
        <c:auto val="1"/>
        <c:lblAlgn val="ctr"/>
        <c:lblOffset val="100"/>
      </c:catAx>
      <c:valAx>
        <c:axId val="111801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687"/>
          <c:w val="0.127240331517722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715456"/>
        <c:axId val="111716992"/>
      </c:lineChart>
      <c:catAx>
        <c:axId val="11171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16992"/>
        <c:crosses val="autoZero"/>
        <c:auto val="1"/>
        <c:lblAlgn val="ctr"/>
        <c:lblOffset val="100"/>
      </c:catAx>
      <c:valAx>
        <c:axId val="111716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1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892736"/>
        <c:axId val="111894528"/>
      </c:lineChart>
      <c:catAx>
        <c:axId val="11189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94528"/>
        <c:crosses val="autoZero"/>
        <c:auto val="1"/>
        <c:lblAlgn val="ctr"/>
        <c:lblOffset val="100"/>
      </c:catAx>
      <c:valAx>
        <c:axId val="11189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9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687"/>
          <c:w val="0.135416885389346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906176"/>
        <c:axId val="111932544"/>
      </c:lineChart>
      <c:catAx>
        <c:axId val="1119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32544"/>
        <c:crosses val="autoZero"/>
        <c:auto val="1"/>
        <c:lblAlgn val="ctr"/>
        <c:lblOffset val="100"/>
      </c:catAx>
      <c:valAx>
        <c:axId val="111932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68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826048"/>
        <c:axId val="111827584"/>
      </c:lineChart>
      <c:catAx>
        <c:axId val="11182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27584"/>
        <c:crosses val="autoZero"/>
        <c:auto val="1"/>
        <c:lblAlgn val="ctr"/>
        <c:lblOffset val="100"/>
      </c:catAx>
      <c:valAx>
        <c:axId val="11182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2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177"/>
          <c:w val="0.12291688538932598"/>
          <c:h val="4.49826989619451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859968"/>
        <c:axId val="111865856"/>
      </c:lineChart>
      <c:catAx>
        <c:axId val="11185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65856"/>
        <c:crosses val="autoZero"/>
        <c:auto val="1"/>
        <c:lblAlgn val="ctr"/>
        <c:lblOffset val="100"/>
      </c:catAx>
      <c:valAx>
        <c:axId val="11186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687"/>
          <c:w val="0.135416885389346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938944"/>
        <c:axId val="111965312"/>
      </c:lineChart>
      <c:catAx>
        <c:axId val="1119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65312"/>
        <c:crosses val="autoZero"/>
        <c:auto val="1"/>
        <c:lblAlgn val="ctr"/>
        <c:lblOffset val="100"/>
      </c:catAx>
      <c:valAx>
        <c:axId val="111965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562"/>
          <c:y val="0.54325368498487869"/>
          <c:w val="0.11458355205599259"/>
          <c:h val="4.49826989619447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1993600"/>
        <c:axId val="111995136"/>
      </c:lineChart>
      <c:catAx>
        <c:axId val="11199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95136"/>
        <c:crosses val="autoZero"/>
        <c:auto val="1"/>
        <c:lblAlgn val="ctr"/>
        <c:lblOffset val="100"/>
      </c:catAx>
      <c:valAx>
        <c:axId val="111995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99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15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023808"/>
        <c:axId val="112046080"/>
      </c:lineChart>
      <c:catAx>
        <c:axId val="1120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46080"/>
        <c:crosses val="autoZero"/>
        <c:auto val="1"/>
        <c:lblAlgn val="ctr"/>
        <c:lblOffset val="100"/>
      </c:catAx>
      <c:valAx>
        <c:axId val="11204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2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149"/>
          <c:y val="0.62975887529635177"/>
          <c:w val="0.13541688538934687"/>
          <c:h val="4.49826989619451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053632"/>
        <c:axId val="112059520"/>
      </c:lineChart>
      <c:catAx>
        <c:axId val="1120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59520"/>
        <c:crosses val="autoZero"/>
        <c:auto val="1"/>
        <c:lblAlgn val="ctr"/>
        <c:lblOffset val="100"/>
      </c:catAx>
      <c:valAx>
        <c:axId val="1120595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177"/>
          <c:w val="9.730870597697025E-2"/>
          <c:h val="4.49826989619451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5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173824"/>
        <c:axId val="112175360"/>
      </c:lineChart>
      <c:catAx>
        <c:axId val="11217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75360"/>
        <c:crosses val="autoZero"/>
        <c:auto val="1"/>
        <c:lblAlgn val="ctr"/>
        <c:lblOffset val="100"/>
      </c:catAx>
      <c:valAx>
        <c:axId val="112175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7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1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273280"/>
        <c:axId val="112274816"/>
      </c:lineChart>
      <c:catAx>
        <c:axId val="11227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4816"/>
        <c:crosses val="autoZero"/>
        <c:auto val="1"/>
        <c:lblAlgn val="ctr"/>
        <c:lblOffset val="100"/>
      </c:catAx>
      <c:valAx>
        <c:axId val="11227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012"/>
          <c:y val="0.62975887529635177"/>
          <c:w val="0.13250539334757044"/>
          <c:h val="4.49826989619451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303104"/>
        <c:axId val="112308992"/>
      </c:lineChart>
      <c:catAx>
        <c:axId val="1123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08992"/>
        <c:crosses val="autoZero"/>
        <c:auto val="1"/>
        <c:lblAlgn val="ctr"/>
        <c:lblOffset val="100"/>
      </c:catAx>
      <c:valAx>
        <c:axId val="11230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68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210304"/>
        <c:axId val="112211840"/>
      </c:lineChart>
      <c:catAx>
        <c:axId val="1122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11840"/>
        <c:crosses val="autoZero"/>
        <c:auto val="1"/>
        <c:lblAlgn val="ctr"/>
        <c:lblOffset val="100"/>
      </c:catAx>
      <c:valAx>
        <c:axId val="1122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891"/>
          <c:w val="0.1234311819809251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-274.50000000000006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156.69999999999999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2249088"/>
        <c:axId val="112250880"/>
      </c:lineChart>
      <c:catAx>
        <c:axId val="1122490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50880"/>
        <c:crosses val="autoZero"/>
        <c:auto val="1"/>
        <c:lblAlgn val="ctr"/>
        <c:lblOffset val="100"/>
      </c:catAx>
      <c:valAx>
        <c:axId val="112250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229"/>
          <c:w val="0.156903985328211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262144"/>
        <c:axId val="112354048"/>
      </c:lineChart>
      <c:catAx>
        <c:axId val="11226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54048"/>
        <c:crosses val="autoZero"/>
        <c:auto val="1"/>
        <c:lblAlgn val="ctr"/>
        <c:lblOffset val="100"/>
      </c:catAx>
      <c:valAx>
        <c:axId val="112354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6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177"/>
          <c:w val="0.14853578449139548"/>
          <c:h val="4.49826989619454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456448"/>
        <c:axId val="112457984"/>
      </c:lineChart>
      <c:catAx>
        <c:axId val="11245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57984"/>
        <c:crosses val="autoZero"/>
        <c:auto val="1"/>
        <c:lblAlgn val="ctr"/>
        <c:lblOffset val="100"/>
      </c:catAx>
      <c:valAx>
        <c:axId val="11245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5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987"/>
          <c:y val="0.62975887529635177"/>
          <c:w val="0.12164948453608219"/>
          <c:h val="4.49826989619454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0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732800"/>
        <c:axId val="112738688"/>
      </c:lineChart>
      <c:catAx>
        <c:axId val="11273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38688"/>
        <c:crosses val="autoZero"/>
        <c:auto val="1"/>
        <c:lblAlgn val="ctr"/>
        <c:lblOffset val="100"/>
      </c:catAx>
      <c:valAx>
        <c:axId val="112738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258496"/>
        <c:axId val="113260032"/>
      </c:lineChart>
      <c:catAx>
        <c:axId val="1132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60032"/>
        <c:crosses val="autoZero"/>
        <c:auto val="1"/>
        <c:lblAlgn val="ctr"/>
        <c:lblOffset val="100"/>
      </c:catAx>
      <c:valAx>
        <c:axId val="11326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4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-274.50000000000006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156.69999999999999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3400064"/>
        <c:axId val="113471488"/>
      </c:lineChart>
      <c:catAx>
        <c:axId val="1134000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71488"/>
        <c:crosses val="autoZero"/>
        <c:auto val="1"/>
        <c:lblAlgn val="ctr"/>
        <c:lblOffset val="100"/>
      </c:catAx>
      <c:valAx>
        <c:axId val="1134714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2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0.13992049496967363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9.1684101446128777E-2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9.7219791864995908E-2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5.4418259250431637E-2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0.25356772473833844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4.9753500714785619E-2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-5.5177059373514935E-2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0.10248508657454267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8.5449191971396832E-2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7.2035063062995425E-2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7.3740228582945738E-2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0.1296728551435091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3.862860881396761E-2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9.8536837828156379E-2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9.8393683250111524E-2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5.9578921386779331E-2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0.53500000000000003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0.53500000000000003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G1" zoomScale="85" zoomScaleNormal="85" zoomScaleSheetLayoutView="100" workbookViewId="0">
      <pane ySplit="1" topLeftCell="A2" activePane="bottomLeft" state="frozen"/>
      <selection activeCell="C1" sqref="C1"/>
      <selection pane="bottomLeft" activeCell="AD18" sqref="AD18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0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f t="shared" ref="D18:D33" si="26">D18</f>
        <v>32115318</v>
      </c>
      <c r="E19" s="319">
        <f t="shared" si="9"/>
        <v>0</v>
      </c>
      <c r="F19" s="458">
        <f t="shared" ref="F18:L33" si="27">F18</f>
        <v>3830785</v>
      </c>
      <c r="G19" s="320">
        <f t="shared" si="0"/>
        <v>0</v>
      </c>
      <c r="H19" s="458">
        <f t="shared" si="27"/>
        <v>17624060</v>
      </c>
      <c r="I19" s="320">
        <f t="shared" si="10"/>
        <v>0</v>
      </c>
      <c r="J19" s="458">
        <f t="shared" si="27"/>
        <v>28678922</v>
      </c>
      <c r="K19" s="320">
        <f t="shared" si="11"/>
        <v>0</v>
      </c>
      <c r="L19" s="458">
        <f t="shared" si="27"/>
        <v>23520330</v>
      </c>
      <c r="M19" s="320">
        <f t="shared" si="12"/>
        <v>0</v>
      </c>
      <c r="N19" s="318">
        <f t="shared" si="13"/>
        <v>0</v>
      </c>
      <c r="O19" s="480">
        <f t="shared" si="22"/>
        <v>0</v>
      </c>
      <c r="P19" s="458">
        <f t="shared" si="18"/>
        <v>16238</v>
      </c>
      <c r="Q19" s="462">
        <f>(P19-P18)*1000</f>
        <v>0</v>
      </c>
      <c r="R19" s="462">
        <f t="shared" si="19"/>
        <v>0</v>
      </c>
      <c r="S19" s="458">
        <f t="shared" si="15"/>
        <v>9377</v>
      </c>
      <c r="T19" s="482">
        <f t="shared" si="3"/>
        <v>0</v>
      </c>
      <c r="U19" s="458">
        <f t="shared" si="15"/>
        <v>257494</v>
      </c>
      <c r="V19" s="462">
        <f t="shared" si="14"/>
        <v>0</v>
      </c>
      <c r="W19" s="458">
        <f t="shared" si="15"/>
        <v>32049</v>
      </c>
      <c r="X19" s="462">
        <f t="shared" si="21"/>
        <v>0</v>
      </c>
      <c r="Y19" s="458">
        <f t="shared" si="15"/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0</v>
      </c>
      <c r="AF19" s="486">
        <f t="shared" si="8"/>
        <v>0</v>
      </c>
      <c r="AG19" s="478">
        <f t="shared" si="23"/>
        <v>0</v>
      </c>
      <c r="AI19" s="479">
        <f>R19-'EDl log'!B17</f>
        <v>-272715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f t="shared" si="26"/>
        <v>32115318</v>
      </c>
      <c r="E20" s="319">
        <f t="shared" si="9"/>
        <v>0</v>
      </c>
      <c r="F20" s="458">
        <f t="shared" si="27"/>
        <v>3830785</v>
      </c>
      <c r="G20" s="320">
        <f t="shared" si="0"/>
        <v>0</v>
      </c>
      <c r="H20" s="458">
        <f t="shared" si="27"/>
        <v>17624060</v>
      </c>
      <c r="I20" s="320">
        <f t="shared" si="10"/>
        <v>0</v>
      </c>
      <c r="J20" s="458">
        <f t="shared" si="27"/>
        <v>28678922</v>
      </c>
      <c r="K20" s="320">
        <f t="shared" si="11"/>
        <v>0</v>
      </c>
      <c r="L20" s="458">
        <f t="shared" si="27"/>
        <v>23520330</v>
      </c>
      <c r="M20" s="320">
        <f t="shared" si="12"/>
        <v>0</v>
      </c>
      <c r="N20" s="318">
        <f t="shared" si="13"/>
        <v>0</v>
      </c>
      <c r="O20" s="480">
        <f t="shared" si="22"/>
        <v>0</v>
      </c>
      <c r="P20" s="458">
        <f t="shared" si="18"/>
        <v>16238</v>
      </c>
      <c r="Q20" s="462">
        <f t="shared" si="24"/>
        <v>0</v>
      </c>
      <c r="R20" s="462">
        <f t="shared" si="19"/>
        <v>0</v>
      </c>
      <c r="S20" s="458">
        <f t="shared" si="15"/>
        <v>9377</v>
      </c>
      <c r="T20" s="482">
        <f t="shared" si="3"/>
        <v>0</v>
      </c>
      <c r="U20" s="458">
        <f t="shared" si="15"/>
        <v>257494</v>
      </c>
      <c r="V20" s="462">
        <f t="shared" si="14"/>
        <v>0</v>
      </c>
      <c r="W20" s="458">
        <f t="shared" si="15"/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f t="shared" si="15"/>
        <v>35463</v>
      </c>
      <c r="AB20" s="462">
        <f t="shared" si="16"/>
        <v>0</v>
      </c>
      <c r="AC20" s="458">
        <f t="shared" si="15"/>
        <v>867699</v>
      </c>
      <c r="AD20" s="462">
        <f t="shared" si="25"/>
        <v>0</v>
      </c>
      <c r="AE20" s="485">
        <f t="shared" si="7"/>
        <v>0</v>
      </c>
      <c r="AF20" s="486">
        <f t="shared" si="8"/>
        <v>0</v>
      </c>
      <c r="AG20" s="478">
        <f t="shared" si="23"/>
        <v>0</v>
      </c>
      <c r="AI20" s="479">
        <f>R20-'EDl log'!B18</f>
        <v>-276815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si="26"/>
        <v>32115318</v>
      </c>
      <c r="E21" s="319">
        <f t="shared" si="9"/>
        <v>0</v>
      </c>
      <c r="F21" s="458">
        <f t="shared" si="27"/>
        <v>3830785</v>
      </c>
      <c r="G21" s="320">
        <f t="shared" si="0"/>
        <v>0</v>
      </c>
      <c r="H21" s="458">
        <f t="shared" si="27"/>
        <v>17624060</v>
      </c>
      <c r="I21" s="320">
        <f t="shared" si="10"/>
        <v>0</v>
      </c>
      <c r="J21" s="458">
        <f t="shared" si="27"/>
        <v>28678922</v>
      </c>
      <c r="K21" s="320">
        <f t="shared" si="11"/>
        <v>0</v>
      </c>
      <c r="L21" s="458">
        <f t="shared" si="27"/>
        <v>23520330</v>
      </c>
      <c r="M21" s="320">
        <f t="shared" si="12"/>
        <v>0</v>
      </c>
      <c r="N21" s="318">
        <f t="shared" si="13"/>
        <v>0</v>
      </c>
      <c r="O21" s="480">
        <f t="shared" si="22"/>
        <v>0</v>
      </c>
      <c r="P21" s="458">
        <f t="shared" si="18"/>
        <v>16238</v>
      </c>
      <c r="Q21" s="462">
        <f>(P21-P20)*1000</f>
        <v>0</v>
      </c>
      <c r="R21" s="462">
        <f t="shared" si="19"/>
        <v>0</v>
      </c>
      <c r="S21" s="458">
        <f t="shared" si="15"/>
        <v>9377</v>
      </c>
      <c r="T21" s="482">
        <f t="shared" si="3"/>
        <v>0</v>
      </c>
      <c r="U21" s="458">
        <f t="shared" si="15"/>
        <v>257494</v>
      </c>
      <c r="V21" s="462">
        <f t="shared" si="14"/>
        <v>0</v>
      </c>
      <c r="W21" s="458">
        <f t="shared" si="15"/>
        <v>32049</v>
      </c>
      <c r="X21" s="462">
        <f t="shared" si="21"/>
        <v>0</v>
      </c>
      <c r="Y21" s="458">
        <f t="shared" si="15"/>
        <v>673052</v>
      </c>
      <c r="Z21" s="462">
        <f t="shared" si="20"/>
        <v>0</v>
      </c>
      <c r="AA21" s="458">
        <f t="shared" si="15"/>
        <v>35463</v>
      </c>
      <c r="AB21" s="462">
        <f t="shared" si="16"/>
        <v>0</v>
      </c>
      <c r="AC21" s="458">
        <f t="shared" si="15"/>
        <v>867699</v>
      </c>
      <c r="AD21" s="462">
        <f t="shared" si="25"/>
        <v>0</v>
      </c>
      <c r="AE21" s="485">
        <f t="shared" si="7"/>
        <v>0</v>
      </c>
      <c r="AF21" s="486">
        <f t="shared" si="8"/>
        <v>0</v>
      </c>
      <c r="AG21" s="478">
        <f t="shared" si="23"/>
        <v>0</v>
      </c>
      <c r="AI21" s="479">
        <f>R21-'EDl log'!B19</f>
        <v>-280938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26"/>
        <v>32115318</v>
      </c>
      <c r="E22" s="319">
        <f t="shared" si="9"/>
        <v>0</v>
      </c>
      <c r="F22" s="458">
        <f t="shared" si="27"/>
        <v>3830785</v>
      </c>
      <c r="G22" s="320">
        <f t="shared" si="0"/>
        <v>0</v>
      </c>
      <c r="H22" s="458">
        <f t="shared" si="27"/>
        <v>17624060</v>
      </c>
      <c r="I22" s="320">
        <f t="shared" si="10"/>
        <v>0</v>
      </c>
      <c r="J22" s="458">
        <f t="shared" si="27"/>
        <v>28678922</v>
      </c>
      <c r="K22" s="320">
        <f t="shared" si="11"/>
        <v>0</v>
      </c>
      <c r="L22" s="458">
        <f t="shared" si="27"/>
        <v>23520330</v>
      </c>
      <c r="M22" s="320">
        <f t="shared" si="12"/>
        <v>0</v>
      </c>
      <c r="N22" s="318">
        <f t="shared" si="13"/>
        <v>0</v>
      </c>
      <c r="O22" s="480">
        <f t="shared" si="22"/>
        <v>0</v>
      </c>
      <c r="P22" s="458">
        <f t="shared" si="18"/>
        <v>16238</v>
      </c>
      <c r="Q22" s="462">
        <f t="shared" si="24"/>
        <v>0</v>
      </c>
      <c r="R22" s="462">
        <f t="shared" si="19"/>
        <v>0</v>
      </c>
      <c r="S22" s="458">
        <f t="shared" si="15"/>
        <v>9377</v>
      </c>
      <c r="T22" s="482">
        <f t="shared" si="3"/>
        <v>0</v>
      </c>
      <c r="U22" s="458">
        <f t="shared" si="15"/>
        <v>257494</v>
      </c>
      <c r="V22" s="462">
        <f t="shared" si="14"/>
        <v>0</v>
      </c>
      <c r="W22" s="458">
        <f t="shared" si="15"/>
        <v>32049</v>
      </c>
      <c r="X22" s="462">
        <f t="shared" si="21"/>
        <v>0</v>
      </c>
      <c r="Y22" s="458">
        <f t="shared" si="15"/>
        <v>673052</v>
      </c>
      <c r="Z22" s="462">
        <f t="shared" si="20"/>
        <v>0</v>
      </c>
      <c r="AA22" s="458">
        <f t="shared" si="15"/>
        <v>35463</v>
      </c>
      <c r="AB22" s="462">
        <f t="shared" si="16"/>
        <v>0</v>
      </c>
      <c r="AC22" s="458">
        <f t="shared" si="15"/>
        <v>867699</v>
      </c>
      <c r="AD22" s="462">
        <f t="shared" si="25"/>
        <v>0</v>
      </c>
      <c r="AE22" s="485">
        <f t="shared" si="7"/>
        <v>0</v>
      </c>
      <c r="AF22" s="486">
        <f t="shared" si="8"/>
        <v>0</v>
      </c>
      <c r="AG22" s="478">
        <f t="shared" si="23"/>
        <v>0</v>
      </c>
      <c r="AI22" s="479">
        <f>R22-'EDl log'!B20</f>
        <v>-280938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26"/>
        <v>32115318</v>
      </c>
      <c r="E23" s="319">
        <f t="shared" si="9"/>
        <v>0</v>
      </c>
      <c r="F23" s="458">
        <f t="shared" si="27"/>
        <v>3830785</v>
      </c>
      <c r="G23" s="320">
        <f t="shared" si="0"/>
        <v>0</v>
      </c>
      <c r="H23" s="458">
        <f t="shared" si="27"/>
        <v>17624060</v>
      </c>
      <c r="I23" s="451">
        <f t="shared" si="10"/>
        <v>0</v>
      </c>
      <c r="J23" s="458">
        <f t="shared" si="27"/>
        <v>28678922</v>
      </c>
      <c r="K23" s="320">
        <f t="shared" si="11"/>
        <v>0</v>
      </c>
      <c r="L23" s="458">
        <f t="shared" si="27"/>
        <v>23520330</v>
      </c>
      <c r="M23" s="320">
        <f t="shared" si="12"/>
        <v>0</v>
      </c>
      <c r="N23" s="318">
        <f t="shared" si="13"/>
        <v>0</v>
      </c>
      <c r="O23" s="480">
        <f t="shared" si="22"/>
        <v>0</v>
      </c>
      <c r="P23" s="458">
        <f t="shared" si="18"/>
        <v>16238</v>
      </c>
      <c r="Q23" s="462">
        <f t="shared" si="24"/>
        <v>0</v>
      </c>
      <c r="R23" s="462">
        <f t="shared" si="19"/>
        <v>0</v>
      </c>
      <c r="S23" s="458">
        <f t="shared" si="15"/>
        <v>9377</v>
      </c>
      <c r="T23" s="482">
        <f t="shared" si="3"/>
        <v>0</v>
      </c>
      <c r="U23" s="458">
        <f t="shared" si="15"/>
        <v>257494</v>
      </c>
      <c r="V23" s="462">
        <f t="shared" si="14"/>
        <v>0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f t="shared" si="15"/>
        <v>35463</v>
      </c>
      <c r="AB23" s="462">
        <f t="shared" si="16"/>
        <v>0</v>
      </c>
      <c r="AC23" s="458">
        <f t="shared" si="15"/>
        <v>867699</v>
      </c>
      <c r="AD23" s="462">
        <f t="shared" si="25"/>
        <v>0</v>
      </c>
      <c r="AE23" s="485">
        <f t="shared" si="7"/>
        <v>0</v>
      </c>
      <c r="AF23" s="486">
        <f t="shared" si="8"/>
        <v>0</v>
      </c>
      <c r="AG23" s="478">
        <f t="shared" si="23"/>
        <v>0</v>
      </c>
      <c r="AI23" s="479">
        <f>R23-'EDl log'!B21</f>
        <v>-280938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26"/>
        <v>32115318</v>
      </c>
      <c r="E24" s="319">
        <f t="shared" si="9"/>
        <v>0</v>
      </c>
      <c r="F24" s="458">
        <f t="shared" si="27"/>
        <v>3830785</v>
      </c>
      <c r="G24" s="320">
        <f t="shared" si="0"/>
        <v>0</v>
      </c>
      <c r="H24" s="458">
        <f t="shared" si="27"/>
        <v>17624060</v>
      </c>
      <c r="I24" s="320">
        <f t="shared" si="10"/>
        <v>0</v>
      </c>
      <c r="J24" s="458">
        <f t="shared" si="27"/>
        <v>28678922</v>
      </c>
      <c r="K24" s="320">
        <f t="shared" si="11"/>
        <v>0</v>
      </c>
      <c r="L24" s="458">
        <f t="shared" si="27"/>
        <v>23520330</v>
      </c>
      <c r="M24" s="320">
        <f t="shared" si="12"/>
        <v>0</v>
      </c>
      <c r="N24" s="318">
        <f t="shared" si="13"/>
        <v>0</v>
      </c>
      <c r="O24" s="480">
        <f t="shared" si="22"/>
        <v>0</v>
      </c>
      <c r="P24" s="458">
        <f t="shared" si="18"/>
        <v>16238</v>
      </c>
      <c r="Q24" s="462">
        <f t="shared" si="24"/>
        <v>0</v>
      </c>
      <c r="R24" s="462">
        <f t="shared" si="19"/>
        <v>0</v>
      </c>
      <c r="S24" s="458">
        <f t="shared" si="15"/>
        <v>9377</v>
      </c>
      <c r="T24" s="482">
        <f t="shared" si="3"/>
        <v>0</v>
      </c>
      <c r="U24" s="458">
        <f t="shared" si="15"/>
        <v>257494</v>
      </c>
      <c r="V24" s="462">
        <f t="shared" si="14"/>
        <v>0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35463</v>
      </c>
      <c r="AB24" s="462">
        <f t="shared" si="16"/>
        <v>0</v>
      </c>
      <c r="AC24" s="458">
        <f t="shared" si="15"/>
        <v>867699</v>
      </c>
      <c r="AD24" s="462">
        <f t="shared" si="25"/>
        <v>0</v>
      </c>
      <c r="AE24" s="485">
        <f t="shared" si="7"/>
        <v>0</v>
      </c>
      <c r="AF24" s="486">
        <f t="shared" si="8"/>
        <v>0</v>
      </c>
      <c r="AG24" s="478">
        <f t="shared" si="23"/>
        <v>0</v>
      </c>
      <c r="AI24" s="479">
        <f>R24-'EDl log'!B22</f>
        <v>-280938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6"/>
        <v>32115318</v>
      </c>
      <c r="E25" s="319">
        <f t="shared" si="9"/>
        <v>0</v>
      </c>
      <c r="F25" s="458">
        <f t="shared" si="27"/>
        <v>3830785</v>
      </c>
      <c r="G25" s="320">
        <f t="shared" si="0"/>
        <v>0</v>
      </c>
      <c r="H25" s="458">
        <f t="shared" si="27"/>
        <v>17624060</v>
      </c>
      <c r="I25" s="320">
        <f t="shared" si="10"/>
        <v>0</v>
      </c>
      <c r="J25" s="458">
        <f t="shared" si="27"/>
        <v>28678922</v>
      </c>
      <c r="K25" s="320">
        <f t="shared" si="11"/>
        <v>0</v>
      </c>
      <c r="L25" s="458">
        <f t="shared" si="27"/>
        <v>23520330</v>
      </c>
      <c r="M25" s="320">
        <f t="shared" si="12"/>
        <v>0</v>
      </c>
      <c r="N25" s="318">
        <f t="shared" si="13"/>
        <v>0</v>
      </c>
      <c r="O25" s="480">
        <f t="shared" si="22"/>
        <v>0</v>
      </c>
      <c r="P25" s="458">
        <f t="shared" si="18"/>
        <v>16238</v>
      </c>
      <c r="Q25" s="462">
        <f t="shared" si="24"/>
        <v>0</v>
      </c>
      <c r="R25" s="462">
        <f t="shared" si="19"/>
        <v>0</v>
      </c>
      <c r="S25" s="458">
        <f t="shared" si="15"/>
        <v>9377</v>
      </c>
      <c r="T25" s="482">
        <f t="shared" si="3"/>
        <v>0</v>
      </c>
      <c r="U25" s="458">
        <f t="shared" si="15"/>
        <v>257494</v>
      </c>
      <c r="V25" s="462">
        <f t="shared" si="14"/>
        <v>0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f t="shared" si="15"/>
        <v>35463</v>
      </c>
      <c r="AB25" s="462">
        <f t="shared" si="16"/>
        <v>0</v>
      </c>
      <c r="AC25" s="458">
        <f t="shared" si="15"/>
        <v>867699</v>
      </c>
      <c r="AD25" s="462">
        <f t="shared" si="25"/>
        <v>0</v>
      </c>
      <c r="AE25" s="485">
        <f t="shared" si="7"/>
        <v>0</v>
      </c>
      <c r="AF25" s="486">
        <f t="shared" si="8"/>
        <v>0</v>
      </c>
      <c r="AG25" s="478">
        <f t="shared" si="23"/>
        <v>0</v>
      </c>
      <c r="AI25" s="479">
        <f>R25-'EDl log'!B23</f>
        <v>-280938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6"/>
        <v>32115318</v>
      </c>
      <c r="E26" s="319">
        <f t="shared" si="9"/>
        <v>0</v>
      </c>
      <c r="F26" s="458">
        <f t="shared" si="27"/>
        <v>3830785</v>
      </c>
      <c r="G26" s="320">
        <f t="shared" si="0"/>
        <v>0</v>
      </c>
      <c r="H26" s="458">
        <f t="shared" si="27"/>
        <v>17624060</v>
      </c>
      <c r="I26" s="320">
        <f t="shared" si="10"/>
        <v>0</v>
      </c>
      <c r="J26" s="458">
        <f t="shared" si="27"/>
        <v>28678922</v>
      </c>
      <c r="K26" s="320">
        <f t="shared" si="11"/>
        <v>0</v>
      </c>
      <c r="L26" s="458">
        <f t="shared" si="27"/>
        <v>23520330</v>
      </c>
      <c r="M26" s="320">
        <f t="shared" si="12"/>
        <v>0</v>
      </c>
      <c r="N26" s="318">
        <f t="shared" si="13"/>
        <v>0</v>
      </c>
      <c r="O26" s="480">
        <f t="shared" si="22"/>
        <v>0</v>
      </c>
      <c r="P26" s="458">
        <f t="shared" si="18"/>
        <v>16238</v>
      </c>
      <c r="Q26" s="462">
        <f t="shared" si="24"/>
        <v>0</v>
      </c>
      <c r="R26" s="487">
        <f>N26-Q26</f>
        <v>0</v>
      </c>
      <c r="S26" s="458">
        <f t="shared" si="15"/>
        <v>9377</v>
      </c>
      <c r="T26" s="482">
        <f t="shared" si="3"/>
        <v>0</v>
      </c>
      <c r="U26" s="458">
        <f t="shared" si="15"/>
        <v>257494</v>
      </c>
      <c r="V26" s="462">
        <f t="shared" si="14"/>
        <v>0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f t="shared" si="15"/>
        <v>35463</v>
      </c>
      <c r="AB26" s="462">
        <f t="shared" si="16"/>
        <v>0</v>
      </c>
      <c r="AC26" s="458">
        <f t="shared" si="15"/>
        <v>867699</v>
      </c>
      <c r="AD26" s="462">
        <f t="shared" si="25"/>
        <v>0</v>
      </c>
      <c r="AE26" s="485">
        <f t="shared" si="7"/>
        <v>0</v>
      </c>
      <c r="AF26" s="486">
        <f t="shared" si="8"/>
        <v>0</v>
      </c>
      <c r="AG26" s="478">
        <f t="shared" si="23"/>
        <v>0</v>
      </c>
      <c r="AI26" s="479">
        <f>R26-'EDl log'!B24</f>
        <v>-280938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6"/>
        <v>32115318</v>
      </c>
      <c r="E27" s="319">
        <f t="shared" si="9"/>
        <v>0</v>
      </c>
      <c r="F27" s="458">
        <f t="shared" si="27"/>
        <v>3830785</v>
      </c>
      <c r="G27" s="320">
        <f>F27-F26</f>
        <v>0</v>
      </c>
      <c r="H27" s="458">
        <f t="shared" si="27"/>
        <v>17624060</v>
      </c>
      <c r="I27" s="320">
        <f t="shared" si="10"/>
        <v>0</v>
      </c>
      <c r="J27" s="458">
        <f t="shared" si="27"/>
        <v>28678922</v>
      </c>
      <c r="K27" s="320">
        <f t="shared" si="11"/>
        <v>0</v>
      </c>
      <c r="L27" s="458">
        <f t="shared" si="27"/>
        <v>23520330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16238</v>
      </c>
      <c r="Q27" s="462">
        <f t="shared" si="24"/>
        <v>0</v>
      </c>
      <c r="R27" s="462">
        <f t="shared" si="19"/>
        <v>0</v>
      </c>
      <c r="S27" s="458">
        <f t="shared" si="15"/>
        <v>9377</v>
      </c>
      <c r="T27" s="482">
        <f t="shared" si="3"/>
        <v>0</v>
      </c>
      <c r="U27" s="458">
        <f t="shared" si="15"/>
        <v>257494</v>
      </c>
      <c r="V27" s="462">
        <f t="shared" si="14"/>
        <v>0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35463</v>
      </c>
      <c r="AB27" s="462">
        <f t="shared" si="16"/>
        <v>0</v>
      </c>
      <c r="AC27" s="458">
        <f t="shared" si="15"/>
        <v>867699</v>
      </c>
      <c r="AD27" s="462">
        <f t="shared" si="25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-280938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6"/>
        <v>32115318</v>
      </c>
      <c r="E28" s="319">
        <f t="shared" si="9"/>
        <v>0</v>
      </c>
      <c r="F28" s="458">
        <f t="shared" si="27"/>
        <v>3830785</v>
      </c>
      <c r="G28" s="320">
        <f t="shared" si="0"/>
        <v>0</v>
      </c>
      <c r="H28" s="458">
        <f t="shared" si="27"/>
        <v>17624060</v>
      </c>
      <c r="I28" s="320">
        <f t="shared" si="10"/>
        <v>0</v>
      </c>
      <c r="J28" s="458">
        <f t="shared" si="27"/>
        <v>28678922</v>
      </c>
      <c r="K28" s="320">
        <f t="shared" si="11"/>
        <v>0</v>
      </c>
      <c r="L28" s="458">
        <f t="shared" si="27"/>
        <v>23520330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16238</v>
      </c>
      <c r="Q28" s="462">
        <f t="shared" si="24"/>
        <v>0</v>
      </c>
      <c r="R28" s="462">
        <f>N28-Q28</f>
        <v>0</v>
      </c>
      <c r="S28" s="458">
        <f t="shared" si="15"/>
        <v>9377</v>
      </c>
      <c r="T28" s="482">
        <f t="shared" si="3"/>
        <v>0</v>
      </c>
      <c r="U28" s="458">
        <f t="shared" si="15"/>
        <v>257494</v>
      </c>
      <c r="V28" s="462">
        <f t="shared" si="14"/>
        <v>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f t="shared" si="15"/>
        <v>35463</v>
      </c>
      <c r="AB28" s="462">
        <f t="shared" si="16"/>
        <v>0</v>
      </c>
      <c r="AC28" s="458">
        <f t="shared" si="15"/>
        <v>867699</v>
      </c>
      <c r="AD28" s="462">
        <f t="shared" si="25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-280938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6"/>
        <v>32115318</v>
      </c>
      <c r="E29" s="319">
        <f t="shared" si="9"/>
        <v>0</v>
      </c>
      <c r="F29" s="458">
        <f t="shared" si="27"/>
        <v>3830785</v>
      </c>
      <c r="G29" s="320">
        <f t="shared" si="0"/>
        <v>0</v>
      </c>
      <c r="H29" s="458">
        <f t="shared" si="27"/>
        <v>17624060</v>
      </c>
      <c r="I29" s="320">
        <f t="shared" si="10"/>
        <v>0</v>
      </c>
      <c r="J29" s="458">
        <f t="shared" si="27"/>
        <v>28678922</v>
      </c>
      <c r="K29" s="320">
        <f t="shared" si="11"/>
        <v>0</v>
      </c>
      <c r="L29" s="458">
        <f t="shared" si="27"/>
        <v>23520330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16238</v>
      </c>
      <c r="Q29" s="462">
        <f t="shared" si="24"/>
        <v>0</v>
      </c>
      <c r="R29" s="462">
        <f t="shared" si="19"/>
        <v>0</v>
      </c>
      <c r="S29" s="458">
        <f t="shared" si="15"/>
        <v>9377</v>
      </c>
      <c r="T29" s="482">
        <f t="shared" si="3"/>
        <v>0</v>
      </c>
      <c r="U29" s="458">
        <f t="shared" si="15"/>
        <v>257494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35463</v>
      </c>
      <c r="AB29" s="462">
        <f t="shared" si="16"/>
        <v>0</v>
      </c>
      <c r="AC29" s="458">
        <f t="shared" si="15"/>
        <v>867699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-280938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32115318</v>
      </c>
      <c r="E30" s="319">
        <f t="shared" si="9"/>
        <v>0</v>
      </c>
      <c r="F30" s="458">
        <f t="shared" si="27"/>
        <v>3830785</v>
      </c>
      <c r="G30" s="320">
        <f t="shared" si="0"/>
        <v>0</v>
      </c>
      <c r="H30" s="458">
        <f t="shared" si="27"/>
        <v>17624060</v>
      </c>
      <c r="I30" s="320">
        <f t="shared" si="10"/>
        <v>0</v>
      </c>
      <c r="J30" s="458">
        <f t="shared" si="27"/>
        <v>28678922</v>
      </c>
      <c r="K30" s="320">
        <f t="shared" si="11"/>
        <v>0</v>
      </c>
      <c r="L30" s="458">
        <f t="shared" si="27"/>
        <v>23520330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16238</v>
      </c>
      <c r="Q30" s="462">
        <f t="shared" si="24"/>
        <v>0</v>
      </c>
      <c r="R30" s="462">
        <f t="shared" si="19"/>
        <v>0</v>
      </c>
      <c r="S30" s="458">
        <f t="shared" si="15"/>
        <v>9377</v>
      </c>
      <c r="T30" s="482">
        <f t="shared" si="3"/>
        <v>0</v>
      </c>
      <c r="U30" s="458">
        <f t="shared" si="15"/>
        <v>257494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35463</v>
      </c>
      <c r="AB30" s="462">
        <f t="shared" si="16"/>
        <v>0</v>
      </c>
      <c r="AC30" s="458">
        <f t="shared" si="15"/>
        <v>867699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-280938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32115318</v>
      </c>
      <c r="E31" s="319">
        <f t="shared" si="9"/>
        <v>0</v>
      </c>
      <c r="F31" s="458">
        <f t="shared" si="27"/>
        <v>3830785</v>
      </c>
      <c r="G31" s="320">
        <f t="shared" si="0"/>
        <v>0</v>
      </c>
      <c r="H31" s="458">
        <f t="shared" si="27"/>
        <v>17624060</v>
      </c>
      <c r="I31" s="320">
        <f t="shared" si="10"/>
        <v>0</v>
      </c>
      <c r="J31" s="458">
        <f t="shared" si="27"/>
        <v>28678922</v>
      </c>
      <c r="K31" s="320">
        <f t="shared" si="11"/>
        <v>0</v>
      </c>
      <c r="L31" s="458">
        <f t="shared" si="27"/>
        <v>23520330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16238</v>
      </c>
      <c r="Q31" s="462">
        <f t="shared" si="24"/>
        <v>0</v>
      </c>
      <c r="R31" s="462">
        <f t="shared" si="19"/>
        <v>0</v>
      </c>
      <c r="S31" s="458">
        <f t="shared" si="15"/>
        <v>9377</v>
      </c>
      <c r="T31" s="482">
        <f t="shared" si="3"/>
        <v>0</v>
      </c>
      <c r="U31" s="458">
        <f t="shared" si="15"/>
        <v>257494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35463</v>
      </c>
      <c r="AB31" s="462">
        <f t="shared" si="16"/>
        <v>0</v>
      </c>
      <c r="AC31" s="458">
        <f t="shared" si="15"/>
        <v>867699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-280938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32115318</v>
      </c>
      <c r="E32" s="319">
        <f t="shared" si="9"/>
        <v>0</v>
      </c>
      <c r="F32" s="458">
        <f t="shared" si="27"/>
        <v>3830785</v>
      </c>
      <c r="G32" s="320">
        <f>F32-F31</f>
        <v>0</v>
      </c>
      <c r="H32" s="458">
        <f t="shared" si="27"/>
        <v>17624060</v>
      </c>
      <c r="I32" s="320">
        <f>H32-H31</f>
        <v>0</v>
      </c>
      <c r="J32" s="458">
        <f t="shared" si="27"/>
        <v>28678922</v>
      </c>
      <c r="K32" s="320">
        <f>J32-J31</f>
        <v>0</v>
      </c>
      <c r="L32" s="458">
        <f t="shared" si="27"/>
        <v>23520330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16238</v>
      </c>
      <c r="Q32" s="462">
        <f>(P32-P31)*1000</f>
        <v>0</v>
      </c>
      <c r="R32" s="462">
        <f>N32-Q32</f>
        <v>0</v>
      </c>
      <c r="S32" s="458">
        <f t="shared" si="15"/>
        <v>9377</v>
      </c>
      <c r="T32" s="482">
        <f t="shared" si="3"/>
        <v>0</v>
      </c>
      <c r="U32" s="458">
        <f t="shared" si="15"/>
        <v>257494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35463</v>
      </c>
      <c r="AB32" s="462">
        <f t="shared" si="16"/>
        <v>0</v>
      </c>
      <c r="AC32" s="458">
        <f t="shared" si="15"/>
        <v>867699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-280938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32115318</v>
      </c>
      <c r="E33" s="319">
        <f t="shared" ref="E33" si="28">D33-D32</f>
        <v>0</v>
      </c>
      <c r="F33" s="458">
        <f t="shared" si="27"/>
        <v>3830785</v>
      </c>
      <c r="G33" s="320">
        <f>F33-F32</f>
        <v>0</v>
      </c>
      <c r="H33" s="458">
        <f t="shared" si="27"/>
        <v>17624060</v>
      </c>
      <c r="I33" s="320">
        <f>H33-H32</f>
        <v>0</v>
      </c>
      <c r="J33" s="458">
        <f t="shared" si="27"/>
        <v>28678922</v>
      </c>
      <c r="K33" s="320">
        <f>J33-J32</f>
        <v>0</v>
      </c>
      <c r="L33" s="458">
        <f t="shared" si="27"/>
        <v>23520330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16238</v>
      </c>
      <c r="Q33" s="462">
        <f>(P33-P32)*1000</f>
        <v>0</v>
      </c>
      <c r="R33" s="462">
        <f>N33-Q33</f>
        <v>0</v>
      </c>
      <c r="S33" s="458">
        <f t="shared" si="15"/>
        <v>9377</v>
      </c>
      <c r="T33" s="482">
        <f t="shared" ref="T33" si="30">S33-S32</f>
        <v>0</v>
      </c>
      <c r="U33" s="458">
        <f t="shared" si="15"/>
        <v>257494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35463</v>
      </c>
      <c r="AB33" s="462">
        <f t="shared" ref="AB33" si="33">AA33-AA32</f>
        <v>0</v>
      </c>
      <c r="AC33" s="458">
        <f t="shared" si="15"/>
        <v>867699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-280938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S20" sqref="AS2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0" t="s">
        <v>2</v>
      </c>
      <c r="G1" s="611"/>
      <c r="H1" s="611"/>
      <c r="I1" s="612"/>
      <c r="J1" s="290">
        <f>J36</f>
        <v>1</v>
      </c>
      <c r="K1" s="613" t="s">
        <v>4</v>
      </c>
      <c r="L1" s="614"/>
      <c r="M1" s="614"/>
      <c r="N1" s="614"/>
      <c r="O1" s="615"/>
      <c r="P1" s="604" t="s">
        <v>6</v>
      </c>
      <c r="Q1" s="605"/>
      <c r="R1" s="605"/>
      <c r="S1" s="605"/>
      <c r="T1" s="606"/>
      <c r="U1" s="407"/>
      <c r="V1" s="27" t="s">
        <v>104</v>
      </c>
      <c r="W1" s="408"/>
      <c r="X1" s="604" t="s">
        <v>8</v>
      </c>
      <c r="Y1" s="605"/>
      <c r="Z1" s="605"/>
      <c r="AA1" s="605"/>
      <c r="AB1" s="605"/>
      <c r="AC1" s="607" t="s">
        <v>10</v>
      </c>
      <c r="AD1" s="608"/>
      <c r="AE1" s="608"/>
      <c r="AF1" s="60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2"/>
      <c r="R2" s="603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f>ELEC!C19</f>
        <v>44060</v>
      </c>
      <c r="B21" s="64">
        <f t="shared" si="66"/>
        <v>234.4</v>
      </c>
      <c r="C21" s="64">
        <f t="shared" si="67"/>
        <v>240.1</v>
      </c>
      <c r="D21" s="45">
        <f t="shared" ref="D21:D31" si="85">C20-C21</f>
        <v>0</v>
      </c>
      <c r="E21" s="45">
        <f t="shared" si="9"/>
        <v>0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f t="shared" si="66"/>
        <v>234.4</v>
      </c>
      <c r="C22" s="64">
        <f t="shared" si="67"/>
        <v>240.1</v>
      </c>
      <c r="D22" s="45">
        <f t="shared" si="85"/>
        <v>0</v>
      </c>
      <c r="E22" s="45">
        <f t="shared" si="9"/>
        <v>0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f t="shared" si="32"/>
        <v>2107</v>
      </c>
      <c r="L22" s="52">
        <f t="shared" si="2"/>
        <v>0</v>
      </c>
      <c r="M22" s="64">
        <f t="shared" si="32"/>
        <v>154592</v>
      </c>
      <c r="N22" s="406">
        <f t="shared" si="3"/>
        <v>0</v>
      </c>
      <c r="O22" s="64">
        <f t="shared" si="11"/>
        <v>211.87499999999994</v>
      </c>
      <c r="P22" s="64">
        <f t="shared" si="11"/>
        <v>1835</v>
      </c>
      <c r="Q22" s="64">
        <f t="shared" ref="Q22" si="91">Q21</f>
        <v>155805</v>
      </c>
      <c r="R22" s="405">
        <f t="shared" si="44"/>
        <v>0</v>
      </c>
      <c r="S22" s="52">
        <f t="shared" si="5"/>
        <v>0</v>
      </c>
      <c r="T22" s="67">
        <f t="shared" si="24"/>
        <v>0</v>
      </c>
      <c r="U22" s="412">
        <f t="shared" si="12"/>
        <v>0</v>
      </c>
      <c r="V22" s="62">
        <f t="shared" si="13"/>
        <v>0</v>
      </c>
      <c r="W22" s="410"/>
      <c r="X22" s="64">
        <f t="shared" si="34"/>
        <v>2419</v>
      </c>
      <c r="Y22" s="52">
        <f t="shared" si="15"/>
        <v>0</v>
      </c>
      <c r="Z22" s="64">
        <f t="shared" si="34"/>
        <v>136036</v>
      </c>
      <c r="AA22" s="65">
        <f t="shared" si="6"/>
        <v>0</v>
      </c>
      <c r="AB22" s="292">
        <f t="shared" si="73"/>
        <v>0</v>
      </c>
      <c r="AC22" s="64">
        <f t="shared" ref="AC22:AE22" si="92">AC21</f>
        <v>1933</v>
      </c>
      <c r="AD22" s="45">
        <f t="shared" si="7"/>
        <v>0</v>
      </c>
      <c r="AE22" s="64">
        <f t="shared" si="92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0</v>
      </c>
      <c r="AI22" s="326">
        <f t="shared" si="17"/>
        <v>0</v>
      </c>
      <c r="AJ22" s="326">
        <f>-tanks!AW23</f>
        <v>0</v>
      </c>
      <c r="AK22" s="326">
        <f t="shared" si="18"/>
        <v>0</v>
      </c>
      <c r="AL22" s="326">
        <f t="shared" si="88"/>
        <v>0</v>
      </c>
      <c r="AM22" s="326">
        <f t="shared" si="19"/>
        <v>0</v>
      </c>
      <c r="AN22" s="64">
        <f t="shared" ref="AN22:AP22" si="93">AN21</f>
        <v>67</v>
      </c>
      <c r="AO22" s="328">
        <f t="shared" si="20"/>
        <v>2010.0000000000002</v>
      </c>
      <c r="AP22" s="64">
        <f t="shared" si="93"/>
        <v>70</v>
      </c>
      <c r="AQ22" s="328">
        <f t="shared" si="21"/>
        <v>2100</v>
      </c>
      <c r="AR22" s="64">
        <f t="shared" ref="AR22" si="94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66"/>
        <v>234.4</v>
      </c>
      <c r="C23" s="64">
        <f t="shared" si="67"/>
        <v>240.1</v>
      </c>
      <c r="D23" s="45">
        <f t="shared" si="85"/>
        <v>0</v>
      </c>
      <c r="E23" s="45">
        <f t="shared" si="9"/>
        <v>0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2107</v>
      </c>
      <c r="L23" s="52">
        <f t="shared" si="2"/>
        <v>0</v>
      </c>
      <c r="M23" s="64">
        <f t="shared" si="32"/>
        <v>154592</v>
      </c>
      <c r="N23" s="406">
        <f t="shared" si="3"/>
        <v>0</v>
      </c>
      <c r="O23" s="64">
        <f t="shared" si="11"/>
        <v>211.87499999999994</v>
      </c>
      <c r="P23" s="64">
        <f t="shared" si="11"/>
        <v>1835</v>
      </c>
      <c r="Q23" s="64">
        <f t="shared" ref="Q23" si="95">Q22</f>
        <v>155805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4"/>
        <v>2419</v>
      </c>
      <c r="Y23" s="52">
        <f t="shared" si="15"/>
        <v>0</v>
      </c>
      <c r="Z23" s="64">
        <f t="shared" si="34"/>
        <v>136036</v>
      </c>
      <c r="AA23" s="65">
        <f t="shared" si="6"/>
        <v>0</v>
      </c>
      <c r="AB23" s="292">
        <f t="shared" si="73"/>
        <v>0</v>
      </c>
      <c r="AC23" s="64">
        <f t="shared" ref="AC23:AE23" si="96">AC22</f>
        <v>1933</v>
      </c>
      <c r="AD23" s="45">
        <f t="shared" si="7"/>
        <v>0</v>
      </c>
      <c r="AE23" s="64">
        <f t="shared" si="96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88"/>
        <v>0</v>
      </c>
      <c r="AM23" s="326">
        <f t="shared" si="19"/>
        <v>0</v>
      </c>
      <c r="AN23" s="64">
        <f t="shared" ref="AN23:AP23" si="97">AN22</f>
        <v>67</v>
      </c>
      <c r="AO23" s="328">
        <f t="shared" si="20"/>
        <v>2010.0000000000002</v>
      </c>
      <c r="AP23" s="64">
        <f t="shared" si="97"/>
        <v>70</v>
      </c>
      <c r="AQ23" s="328">
        <f t="shared" si="21"/>
        <v>2100</v>
      </c>
      <c r="AR23" s="64">
        <f t="shared" ref="AR23" si="98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66"/>
        <v>234.4</v>
      </c>
      <c r="C24" s="64">
        <f t="shared" si="67"/>
        <v>240.1</v>
      </c>
      <c r="D24" s="45">
        <f t="shared" si="85"/>
        <v>0</v>
      </c>
      <c r="E24" s="45">
        <f t="shared" si="9"/>
        <v>0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2107</v>
      </c>
      <c r="L24" s="52">
        <f t="shared" si="2"/>
        <v>0</v>
      </c>
      <c r="M24" s="64">
        <f t="shared" si="32"/>
        <v>154592</v>
      </c>
      <c r="N24" s="406">
        <f t="shared" si="3"/>
        <v>0</v>
      </c>
      <c r="O24" s="64">
        <f t="shared" si="11"/>
        <v>211.87499999999994</v>
      </c>
      <c r="P24" s="64">
        <f t="shared" si="11"/>
        <v>1835</v>
      </c>
      <c r="Q24" s="64">
        <f t="shared" ref="Q24" si="99">Q23</f>
        <v>155805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2419</v>
      </c>
      <c r="Y24" s="52">
        <f t="shared" si="15"/>
        <v>0</v>
      </c>
      <c r="Z24" s="64">
        <f t="shared" si="34"/>
        <v>136036</v>
      </c>
      <c r="AA24" s="65">
        <f t="shared" si="6"/>
        <v>0</v>
      </c>
      <c r="AB24" s="292">
        <f t="shared" ref="AB24:AB34" si="100">SUM(Y24*$AB$2)</f>
        <v>0</v>
      </c>
      <c r="AC24" s="64">
        <f t="shared" ref="AC24:AE24" si="101">AC23</f>
        <v>1933</v>
      </c>
      <c r="AD24" s="45">
        <f t="shared" si="7"/>
        <v>0</v>
      </c>
      <c r="AE24" s="64">
        <f t="shared" si="101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2">AN23</f>
        <v>67</v>
      </c>
      <c r="AO24" s="328">
        <f t="shared" si="20"/>
        <v>2010.0000000000002</v>
      </c>
      <c r="AP24" s="64">
        <f t="shared" si="102"/>
        <v>70</v>
      </c>
      <c r="AQ24" s="328">
        <f t="shared" si="21"/>
        <v>2100</v>
      </c>
      <c r="AR24" s="64">
        <f t="shared" ref="AR24" si="103">AR23</f>
        <v>70</v>
      </c>
      <c r="AS24" s="328">
        <f t="shared" si="28"/>
        <v>2100</v>
      </c>
      <c r="AT24" s="328">
        <f t="shared" ref="AT24:AT34" si="104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66"/>
        <v>234.4</v>
      </c>
      <c r="C25" s="64">
        <f t="shared" si="67"/>
        <v>240.1</v>
      </c>
      <c r="D25" s="45">
        <f t="shared" si="85"/>
        <v>0</v>
      </c>
      <c r="E25" s="45">
        <f t="shared" si="9"/>
        <v>0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2107</v>
      </c>
      <c r="L25" s="52">
        <f t="shared" si="2"/>
        <v>0</v>
      </c>
      <c r="M25" s="64">
        <f t="shared" si="32"/>
        <v>154592</v>
      </c>
      <c r="N25" s="406">
        <f t="shared" si="3"/>
        <v>0</v>
      </c>
      <c r="O25" s="64">
        <f t="shared" si="11"/>
        <v>211.87499999999994</v>
      </c>
      <c r="P25" s="64">
        <f t="shared" si="11"/>
        <v>1835</v>
      </c>
      <c r="Q25" s="64">
        <f t="shared" ref="Q25" si="105">Q24</f>
        <v>155805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2419</v>
      </c>
      <c r="Y25" s="52">
        <f t="shared" si="15"/>
        <v>0</v>
      </c>
      <c r="Z25" s="64">
        <f t="shared" si="34"/>
        <v>136036</v>
      </c>
      <c r="AA25" s="65">
        <f t="shared" si="6"/>
        <v>0</v>
      </c>
      <c r="AB25" s="292">
        <f t="shared" si="100"/>
        <v>0</v>
      </c>
      <c r="AC25" s="64">
        <f t="shared" ref="AC25:AE25" si="106">AC24</f>
        <v>1933</v>
      </c>
      <c r="AD25" s="45">
        <f t="shared" si="7"/>
        <v>0</v>
      </c>
      <c r="AE25" s="64">
        <f t="shared" si="106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f t="shared" ref="AN25:AP25" si="107">AN24</f>
        <v>67</v>
      </c>
      <c r="AO25" s="328">
        <f t="shared" si="20"/>
        <v>2010.0000000000002</v>
      </c>
      <c r="AP25" s="64">
        <f t="shared" si="107"/>
        <v>70</v>
      </c>
      <c r="AQ25" s="328">
        <f t="shared" ref="AQ25:AQ34" si="108">(AP25/100)*3000</f>
        <v>2100</v>
      </c>
      <c r="AR25" s="64">
        <f t="shared" ref="AR25" si="109">AR24</f>
        <v>70</v>
      </c>
      <c r="AS25" s="328">
        <f t="shared" si="28"/>
        <v>2100</v>
      </c>
      <c r="AT25" s="328">
        <f t="shared" si="104"/>
        <v>6210</v>
      </c>
      <c r="AU25" s="328">
        <f t="shared" si="30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66"/>
        <v>234.4</v>
      </c>
      <c r="C26" s="64">
        <f t="shared" si="67"/>
        <v>240.1</v>
      </c>
      <c r="D26" s="45">
        <f t="shared" si="85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2107</v>
      </c>
      <c r="L26" s="52">
        <f t="shared" si="2"/>
        <v>0</v>
      </c>
      <c r="M26" s="64">
        <f t="shared" si="32"/>
        <v>154592</v>
      </c>
      <c r="N26" s="406">
        <f t="shared" si="3"/>
        <v>0</v>
      </c>
      <c r="O26" s="64">
        <f t="shared" si="11"/>
        <v>211.87499999999994</v>
      </c>
      <c r="P26" s="64">
        <f t="shared" si="11"/>
        <v>1835</v>
      </c>
      <c r="Q26" s="64">
        <f t="shared" ref="Q26" si="110">Q25</f>
        <v>155805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2419</v>
      </c>
      <c r="Y26" s="52">
        <f t="shared" si="15"/>
        <v>0</v>
      </c>
      <c r="Z26" s="64">
        <f t="shared" si="34"/>
        <v>136036</v>
      </c>
      <c r="AA26" s="65">
        <f t="shared" si="6"/>
        <v>0</v>
      </c>
      <c r="AB26" s="292">
        <f t="shared" si="100"/>
        <v>0</v>
      </c>
      <c r="AC26" s="64">
        <f t="shared" ref="AC26:AE26" si="111">AC25</f>
        <v>1933</v>
      </c>
      <c r="AD26" s="45">
        <f t="shared" si="7"/>
        <v>0</v>
      </c>
      <c r="AE26" s="64">
        <f t="shared" si="111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2">AN25</f>
        <v>67</v>
      </c>
      <c r="AO26" s="328">
        <f t="shared" si="20"/>
        <v>2010.0000000000002</v>
      </c>
      <c r="AP26" s="64">
        <f t="shared" si="112"/>
        <v>70</v>
      </c>
      <c r="AQ26" s="328">
        <f t="shared" si="108"/>
        <v>2100</v>
      </c>
      <c r="AR26" s="64">
        <f t="shared" ref="AR26" si="113">AR25</f>
        <v>70</v>
      </c>
      <c r="AS26" s="328">
        <f t="shared" si="28"/>
        <v>2100</v>
      </c>
      <c r="AT26" s="328">
        <f t="shared" si="104"/>
        <v>6210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66"/>
        <v>234.4</v>
      </c>
      <c r="C27" s="64">
        <f t="shared" si="67"/>
        <v>240.1</v>
      </c>
      <c r="D27" s="45">
        <f t="shared" si="85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2107</v>
      </c>
      <c r="L27" s="52">
        <f t="shared" si="2"/>
        <v>0</v>
      </c>
      <c r="M27" s="64">
        <f t="shared" si="32"/>
        <v>154592</v>
      </c>
      <c r="N27" s="406">
        <f t="shared" si="3"/>
        <v>0</v>
      </c>
      <c r="O27" s="64">
        <f t="shared" si="11"/>
        <v>211.87499999999994</v>
      </c>
      <c r="P27" s="64">
        <f t="shared" si="11"/>
        <v>1835</v>
      </c>
      <c r="Q27" s="64">
        <f t="shared" ref="Q27" si="114">Q26</f>
        <v>155805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2419</v>
      </c>
      <c r="Y27" s="52">
        <f t="shared" si="15"/>
        <v>0</v>
      </c>
      <c r="Z27" s="64">
        <f t="shared" si="34"/>
        <v>136036</v>
      </c>
      <c r="AA27" s="65">
        <f t="shared" si="6"/>
        <v>0</v>
      </c>
      <c r="AB27" s="292">
        <f t="shared" si="100"/>
        <v>0</v>
      </c>
      <c r="AC27" s="64">
        <f t="shared" ref="AC27:AE27" si="115">AC26</f>
        <v>1933</v>
      </c>
      <c r="AD27" s="45">
        <f t="shared" si="7"/>
        <v>0</v>
      </c>
      <c r="AE27" s="64">
        <f t="shared" si="115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88"/>
        <v>0</v>
      </c>
      <c r="AM27" s="326">
        <f t="shared" si="19"/>
        <v>0</v>
      </c>
      <c r="AN27" s="64">
        <f t="shared" ref="AN27:AP27" si="116">AN26</f>
        <v>67</v>
      </c>
      <c r="AO27" s="328">
        <f>(AN27/100)*3000</f>
        <v>2010.0000000000002</v>
      </c>
      <c r="AP27" s="64">
        <f t="shared" si="116"/>
        <v>70</v>
      </c>
      <c r="AQ27" s="328">
        <f t="shared" si="108"/>
        <v>2100</v>
      </c>
      <c r="AR27" s="64">
        <f t="shared" ref="AR27" si="117">AR26</f>
        <v>70</v>
      </c>
      <c r="AS27" s="328">
        <f t="shared" si="28"/>
        <v>2100</v>
      </c>
      <c r="AT27" s="328">
        <f t="shared" si="104"/>
        <v>6210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66"/>
        <v>234.4</v>
      </c>
      <c r="C28" s="64">
        <f t="shared" si="67"/>
        <v>240.1</v>
      </c>
      <c r="D28" s="45">
        <f t="shared" si="85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2107</v>
      </c>
      <c r="L28" s="52">
        <f t="shared" si="2"/>
        <v>0</v>
      </c>
      <c r="M28" s="64">
        <f t="shared" si="32"/>
        <v>154592</v>
      </c>
      <c r="N28" s="406">
        <f t="shared" si="3"/>
        <v>0</v>
      </c>
      <c r="O28" s="64">
        <f t="shared" si="11"/>
        <v>211.87499999999994</v>
      </c>
      <c r="P28" s="64">
        <f t="shared" si="11"/>
        <v>1835</v>
      </c>
      <c r="Q28" s="64">
        <f t="shared" ref="Q28" si="118">Q27</f>
        <v>155805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2419</v>
      </c>
      <c r="Y28" s="52">
        <f t="shared" si="15"/>
        <v>0</v>
      </c>
      <c r="Z28" s="64">
        <f t="shared" si="34"/>
        <v>136036</v>
      </c>
      <c r="AA28" s="65">
        <f t="shared" si="6"/>
        <v>0</v>
      </c>
      <c r="AB28" s="292">
        <f t="shared" si="100"/>
        <v>0</v>
      </c>
      <c r="AC28" s="64">
        <f t="shared" ref="AC28:AE28" si="119">AC27</f>
        <v>1933</v>
      </c>
      <c r="AD28" s="45">
        <f t="shared" si="7"/>
        <v>0</v>
      </c>
      <c r="AE28" s="64">
        <f t="shared" si="119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20">AN27</f>
        <v>67</v>
      </c>
      <c r="AO28" s="328">
        <f t="shared" ref="AO28:AO34" si="121">(AN28/100)*3000</f>
        <v>2010.0000000000002</v>
      </c>
      <c r="AP28" s="64">
        <f t="shared" si="120"/>
        <v>70</v>
      </c>
      <c r="AQ28" s="328">
        <f t="shared" si="108"/>
        <v>2100</v>
      </c>
      <c r="AR28" s="64">
        <f t="shared" ref="AR28" si="122">AR27</f>
        <v>70</v>
      </c>
      <c r="AS28" s="328">
        <f t="shared" si="28"/>
        <v>2100</v>
      </c>
      <c r="AT28" s="328">
        <f t="shared" si="104"/>
        <v>6210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66"/>
        <v>234.4</v>
      </c>
      <c r="C29" s="64">
        <f t="shared" si="67"/>
        <v>240.1</v>
      </c>
      <c r="D29" s="45">
        <f t="shared" si="85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2107</v>
      </c>
      <c r="L29" s="52">
        <f t="shared" si="2"/>
        <v>0</v>
      </c>
      <c r="M29" s="64">
        <f t="shared" si="32"/>
        <v>154592</v>
      </c>
      <c r="N29" s="406">
        <f t="shared" si="3"/>
        <v>0</v>
      </c>
      <c r="O29" s="64">
        <f t="shared" si="11"/>
        <v>211.87499999999994</v>
      </c>
      <c r="P29" s="64">
        <f t="shared" si="11"/>
        <v>1835</v>
      </c>
      <c r="Q29" s="64">
        <f t="shared" ref="Q29" si="123">Q28</f>
        <v>155805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2419</v>
      </c>
      <c r="Y29" s="52">
        <f t="shared" si="15"/>
        <v>0</v>
      </c>
      <c r="Z29" s="64">
        <f t="shared" si="34"/>
        <v>136036</v>
      </c>
      <c r="AA29" s="65">
        <f t="shared" si="6"/>
        <v>0</v>
      </c>
      <c r="AB29" s="292">
        <f t="shared" si="100"/>
        <v>0</v>
      </c>
      <c r="AC29" s="64">
        <f t="shared" ref="AC29:AE29" si="124">AC28</f>
        <v>1933</v>
      </c>
      <c r="AD29" s="45">
        <f t="shared" si="7"/>
        <v>0</v>
      </c>
      <c r="AE29" s="64">
        <f t="shared" si="124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f t="shared" ref="AN29:AP29" si="125">AN28</f>
        <v>67</v>
      </c>
      <c r="AO29" s="328">
        <f t="shared" si="121"/>
        <v>2010.0000000000002</v>
      </c>
      <c r="AP29" s="64">
        <f t="shared" si="125"/>
        <v>70</v>
      </c>
      <c r="AQ29" s="328">
        <f t="shared" si="108"/>
        <v>2100</v>
      </c>
      <c r="AR29" s="64">
        <f t="shared" ref="AR29" si="126">AR28</f>
        <v>70</v>
      </c>
      <c r="AS29" s="328">
        <f t="shared" si="28"/>
        <v>2100</v>
      </c>
      <c r="AT29" s="328">
        <f>SUM(AO29+AQ29+AS29)</f>
        <v>6210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66"/>
        <v>234.4</v>
      </c>
      <c r="C30" s="64">
        <f t="shared" si="67"/>
        <v>240.1</v>
      </c>
      <c r="D30" s="45">
        <f t="shared" si="85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2107</v>
      </c>
      <c r="L30" s="52">
        <f t="shared" si="2"/>
        <v>0</v>
      </c>
      <c r="M30" s="64">
        <f t="shared" si="32"/>
        <v>154592</v>
      </c>
      <c r="N30" s="406">
        <f t="shared" si="3"/>
        <v>0</v>
      </c>
      <c r="O30" s="64">
        <f t="shared" si="11"/>
        <v>211.87499999999994</v>
      </c>
      <c r="P30" s="64">
        <f t="shared" si="11"/>
        <v>1835</v>
      </c>
      <c r="Q30" s="64">
        <f t="shared" ref="Q30" si="127">Q29</f>
        <v>155805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2419</v>
      </c>
      <c r="Y30" s="52">
        <f t="shared" si="15"/>
        <v>0</v>
      </c>
      <c r="Z30" s="64">
        <f t="shared" si="34"/>
        <v>136036</v>
      </c>
      <c r="AA30" s="65">
        <f t="shared" si="6"/>
        <v>0</v>
      </c>
      <c r="AB30" s="292">
        <f t="shared" si="100"/>
        <v>0</v>
      </c>
      <c r="AC30" s="64">
        <f t="shared" ref="AC30:AE30" si="128">AC29</f>
        <v>1933</v>
      </c>
      <c r="AD30" s="45">
        <f t="shared" si="7"/>
        <v>0</v>
      </c>
      <c r="AE30" s="64">
        <f t="shared" si="128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9">AN29</f>
        <v>67</v>
      </c>
      <c r="AO30" s="328">
        <f t="shared" si="121"/>
        <v>2010.0000000000002</v>
      </c>
      <c r="AP30" s="64">
        <f t="shared" si="129"/>
        <v>70</v>
      </c>
      <c r="AQ30" s="328">
        <f t="shared" si="108"/>
        <v>2100</v>
      </c>
      <c r="AR30" s="64">
        <f t="shared" ref="AR30" si="130">AR29</f>
        <v>70</v>
      </c>
      <c r="AS30" s="328">
        <f t="shared" si="28"/>
        <v>2100</v>
      </c>
      <c r="AT30" s="328">
        <f t="shared" si="104"/>
        <v>6210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234.4</v>
      </c>
      <c r="C31" s="64">
        <f t="shared" si="67"/>
        <v>240.1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2107</v>
      </c>
      <c r="L31" s="52">
        <f t="shared" si="2"/>
        <v>0</v>
      </c>
      <c r="M31" s="64">
        <f t="shared" si="32"/>
        <v>154592</v>
      </c>
      <c r="N31" s="406">
        <f t="shared" si="3"/>
        <v>0</v>
      </c>
      <c r="O31" s="64">
        <f t="shared" si="11"/>
        <v>211.87499999999994</v>
      </c>
      <c r="P31" s="64">
        <f t="shared" si="11"/>
        <v>1835</v>
      </c>
      <c r="Q31" s="64">
        <f t="shared" ref="Q31" si="131">Q30</f>
        <v>155805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2419</v>
      </c>
      <c r="Y31" s="52">
        <f t="shared" si="15"/>
        <v>0</v>
      </c>
      <c r="Z31" s="64">
        <f t="shared" si="34"/>
        <v>136036</v>
      </c>
      <c r="AA31" s="65">
        <f t="shared" si="6"/>
        <v>0</v>
      </c>
      <c r="AB31" s="292">
        <f t="shared" si="100"/>
        <v>0</v>
      </c>
      <c r="AC31" s="64">
        <f t="shared" ref="AC31:AE31" si="132">AC30</f>
        <v>1933</v>
      </c>
      <c r="AD31" s="275">
        <f t="shared" si="7"/>
        <v>0</v>
      </c>
      <c r="AE31" s="64">
        <f t="shared" si="132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3">AN30</f>
        <v>67</v>
      </c>
      <c r="AO31" s="328">
        <f t="shared" si="121"/>
        <v>2010.0000000000002</v>
      </c>
      <c r="AP31" s="64">
        <f t="shared" si="133"/>
        <v>70</v>
      </c>
      <c r="AQ31" s="328">
        <f t="shared" si="108"/>
        <v>2100</v>
      </c>
      <c r="AR31" s="64">
        <f t="shared" ref="AR31" si="134">AR30</f>
        <v>70</v>
      </c>
      <c r="AS31" s="328">
        <f t="shared" si="28"/>
        <v>2100</v>
      </c>
      <c r="AT31" s="328">
        <f t="shared" si="104"/>
        <v>6210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234.4</v>
      </c>
      <c r="C32" s="64">
        <f t="shared" si="67"/>
        <v>240.1</v>
      </c>
      <c r="D32" s="45">
        <f t="shared" si="23"/>
        <v>0</v>
      </c>
      <c r="E32" s="45">
        <f t="shared" ref="E32:E34" si="135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2107</v>
      </c>
      <c r="L32" s="52">
        <f t="shared" si="2"/>
        <v>0</v>
      </c>
      <c r="M32" s="64">
        <f t="shared" si="32"/>
        <v>154592</v>
      </c>
      <c r="N32" s="406">
        <f t="shared" si="3"/>
        <v>0</v>
      </c>
      <c r="O32" s="64">
        <f t="shared" si="11"/>
        <v>211.87499999999994</v>
      </c>
      <c r="P32" s="64">
        <f t="shared" si="11"/>
        <v>1835</v>
      </c>
      <c r="Q32" s="64">
        <f t="shared" ref="Q32" si="136">Q31</f>
        <v>155805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2419</v>
      </c>
      <c r="Y32" s="52">
        <f t="shared" si="15"/>
        <v>0</v>
      </c>
      <c r="Z32" s="64">
        <f t="shared" si="34"/>
        <v>136036</v>
      </c>
      <c r="AA32" s="65">
        <f t="shared" si="6"/>
        <v>0</v>
      </c>
      <c r="AB32" s="292">
        <f t="shared" si="100"/>
        <v>0</v>
      </c>
      <c r="AC32" s="64">
        <f t="shared" ref="AC32:AE32" si="137">AC31</f>
        <v>1933</v>
      </c>
      <c r="AD32" s="275">
        <f t="shared" si="7"/>
        <v>0</v>
      </c>
      <c r="AE32" s="64">
        <f t="shared" si="137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8">AN31</f>
        <v>67</v>
      </c>
      <c r="AO32" s="328">
        <f t="shared" si="121"/>
        <v>2010.0000000000002</v>
      </c>
      <c r="AP32" s="64">
        <f t="shared" si="138"/>
        <v>70</v>
      </c>
      <c r="AQ32" s="328">
        <f t="shared" si="108"/>
        <v>2100</v>
      </c>
      <c r="AR32" s="64">
        <f t="shared" ref="AR32" si="139">AR31</f>
        <v>70</v>
      </c>
      <c r="AS32" s="328">
        <f t="shared" si="28"/>
        <v>2100</v>
      </c>
      <c r="AT32" s="328">
        <f t="shared" si="104"/>
        <v>6210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234.4</v>
      </c>
      <c r="C33" s="64">
        <f t="shared" si="67"/>
        <v>240.1</v>
      </c>
      <c r="D33" s="45">
        <f t="shared" si="23"/>
        <v>0</v>
      </c>
      <c r="E33" s="45">
        <f t="shared" si="135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2107</v>
      </c>
      <c r="L33" s="52">
        <f t="shared" si="2"/>
        <v>0</v>
      </c>
      <c r="M33" s="64">
        <f t="shared" si="32"/>
        <v>154592</v>
      </c>
      <c r="N33" s="406">
        <f t="shared" si="3"/>
        <v>0</v>
      </c>
      <c r="O33" s="64">
        <f t="shared" si="11"/>
        <v>211.87499999999994</v>
      </c>
      <c r="P33" s="64">
        <f t="shared" si="11"/>
        <v>1835</v>
      </c>
      <c r="Q33" s="64">
        <f t="shared" ref="Q33" si="140">Q32</f>
        <v>155805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2419</v>
      </c>
      <c r="Y33" s="52">
        <f t="shared" si="15"/>
        <v>0</v>
      </c>
      <c r="Z33" s="64">
        <f t="shared" si="34"/>
        <v>136036</v>
      </c>
      <c r="AA33" s="65">
        <f t="shared" si="6"/>
        <v>0</v>
      </c>
      <c r="AB33" s="292">
        <f t="shared" si="100"/>
        <v>0</v>
      </c>
      <c r="AC33" s="64">
        <f t="shared" ref="AC33:AE33" si="141">AC32</f>
        <v>1933</v>
      </c>
      <c r="AD33" s="45">
        <f t="shared" si="7"/>
        <v>0</v>
      </c>
      <c r="AE33" s="64">
        <f t="shared" si="141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42">AN32</f>
        <v>67</v>
      </c>
      <c r="AO33" s="328">
        <f t="shared" si="121"/>
        <v>2010.0000000000002</v>
      </c>
      <c r="AP33" s="64">
        <f t="shared" si="142"/>
        <v>70</v>
      </c>
      <c r="AQ33" s="328">
        <f t="shared" si="108"/>
        <v>2100</v>
      </c>
      <c r="AR33" s="64">
        <f t="shared" ref="AR33" si="143">AR32</f>
        <v>70</v>
      </c>
      <c r="AS33" s="328">
        <f t="shared" si="28"/>
        <v>2100</v>
      </c>
      <c r="AT33" s="328">
        <f t="shared" si="104"/>
        <v>6210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234.4</v>
      </c>
      <c r="C34" s="64">
        <f t="shared" si="67"/>
        <v>240.1</v>
      </c>
      <c r="D34" s="45">
        <f t="shared" si="23"/>
        <v>0</v>
      </c>
      <c r="E34" s="45">
        <f t="shared" si="135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2107</v>
      </c>
      <c r="L34" s="52">
        <f t="shared" si="2"/>
        <v>0</v>
      </c>
      <c r="M34" s="64">
        <f t="shared" si="32"/>
        <v>154592</v>
      </c>
      <c r="N34" s="406">
        <f t="shared" si="3"/>
        <v>0</v>
      </c>
      <c r="O34" s="64">
        <f t="shared" si="11"/>
        <v>211.87499999999994</v>
      </c>
      <c r="P34" s="64">
        <f t="shared" si="11"/>
        <v>1835</v>
      </c>
      <c r="Q34" s="64">
        <f t="shared" ref="Q34" si="144">Q33</f>
        <v>155805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2419</v>
      </c>
      <c r="Y34" s="52">
        <f t="shared" si="15"/>
        <v>0</v>
      </c>
      <c r="Z34" s="64">
        <f t="shared" si="34"/>
        <v>136036</v>
      </c>
      <c r="AA34" s="65">
        <f t="shared" si="6"/>
        <v>0</v>
      </c>
      <c r="AB34" s="292">
        <f t="shared" si="100"/>
        <v>0</v>
      </c>
      <c r="AC34" s="64">
        <f t="shared" ref="AC34:AE34" si="145">AC33</f>
        <v>1933</v>
      </c>
      <c r="AD34" s="45">
        <f t="shared" si="7"/>
        <v>0</v>
      </c>
      <c r="AE34" s="64">
        <f t="shared" si="145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6">AN33</f>
        <v>67</v>
      </c>
      <c r="AO34" s="328">
        <f t="shared" si="121"/>
        <v>2010.0000000000002</v>
      </c>
      <c r="AP34" s="64">
        <f t="shared" si="146"/>
        <v>70</v>
      </c>
      <c r="AQ34" s="328">
        <f t="shared" si="108"/>
        <v>2100</v>
      </c>
      <c r="AR34" s="64">
        <f t="shared" ref="AR34" si="147">AR33</f>
        <v>70</v>
      </c>
      <c r="AS34" s="328">
        <f t="shared" si="28"/>
        <v>2100</v>
      </c>
      <c r="AT34" s="328">
        <f t="shared" si="104"/>
        <v>6210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234.4</v>
      </c>
      <c r="C35" s="64">
        <f t="shared" si="67"/>
        <v>240.1</v>
      </c>
      <c r="D35" s="45">
        <f t="shared" ref="D35" si="148">C34-C35</f>
        <v>0</v>
      </c>
      <c r="E35" s="45">
        <f t="shared" ref="E35" si="149">D35*8.38</f>
        <v>0</v>
      </c>
      <c r="F35" s="64">
        <f t="shared" si="31"/>
        <v>1648</v>
      </c>
      <c r="G35" s="52">
        <f t="shared" ref="G35" si="150">F35-F34</f>
        <v>0</v>
      </c>
      <c r="H35" s="64">
        <f t="shared" si="31"/>
        <v>357868</v>
      </c>
      <c r="I35" s="406">
        <f t="shared" ref="I35" si="151">SUM(H35-H34)</f>
        <v>0</v>
      </c>
      <c r="J35" s="66">
        <f t="shared" ref="J35" si="152">IF(G35&gt;0,I35/G35,0)</f>
        <v>0</v>
      </c>
      <c r="K35" s="64">
        <f t="shared" si="32"/>
        <v>2107</v>
      </c>
      <c r="L35" s="52">
        <f t="shared" ref="L35" si="153">K35-K34</f>
        <v>0</v>
      </c>
      <c r="M35" s="64">
        <f t="shared" si="32"/>
        <v>154592</v>
      </c>
      <c r="N35" s="406">
        <f t="shared" ref="N35" si="154">M35-M34</f>
        <v>0</v>
      </c>
      <c r="O35" s="64">
        <f t="shared" si="11"/>
        <v>211.87499999999994</v>
      </c>
      <c r="P35" s="64">
        <f t="shared" si="11"/>
        <v>1835</v>
      </c>
      <c r="Q35" s="64">
        <f t="shared" ref="Q35" si="155">Q34</f>
        <v>155805</v>
      </c>
      <c r="R35" s="405">
        <f t="shared" ref="R35" si="156">Q35-Q34</f>
        <v>0</v>
      </c>
      <c r="S35" s="52">
        <f t="shared" ref="S35" si="157">SUM(P35-P34)</f>
        <v>0</v>
      </c>
      <c r="T35" s="67">
        <f t="shared" ref="T35" si="158">SUM(S35*$T$2)</f>
        <v>0</v>
      </c>
      <c r="U35" s="412">
        <f t="shared" ref="U35" si="159">SUM(G35+L35+S35)</f>
        <v>0</v>
      </c>
      <c r="V35" s="62">
        <f t="shared" ref="V35" si="160">R35+N35+I35:I35</f>
        <v>0</v>
      </c>
      <c r="W35" s="410"/>
      <c r="X35" s="64">
        <f t="shared" si="34"/>
        <v>2419</v>
      </c>
      <c r="Y35" s="52">
        <f t="shared" ref="Y35" si="161">X35-X34</f>
        <v>0</v>
      </c>
      <c r="Z35" s="64">
        <f t="shared" si="34"/>
        <v>136036</v>
      </c>
      <c r="AA35" s="65">
        <f t="shared" ref="AA35" si="162">Z35-Z34</f>
        <v>0</v>
      </c>
      <c r="AB35" s="292">
        <f t="shared" ref="AB35" si="163">SUM(Y35*$AB$2)</f>
        <v>0</v>
      </c>
      <c r="AC35" s="64">
        <f t="shared" ref="AC35:AE35" si="164">AC34</f>
        <v>1933</v>
      </c>
      <c r="AD35" s="45">
        <f t="shared" ref="AD35" si="165">AC35-AC34</f>
        <v>0</v>
      </c>
      <c r="AE35" s="64">
        <f t="shared" si="164"/>
        <v>365210.2</v>
      </c>
      <c r="AF35" s="314">
        <f t="shared" ref="AF35" si="166">AE35-AE34</f>
        <v>0</v>
      </c>
      <c r="AG35" s="212">
        <f t="shared" ref="AG35" si="167">IF(AD35&gt;0,AF35/AD35,0)</f>
        <v>0</v>
      </c>
      <c r="AH35" s="62">
        <f t="shared" ref="AH35" si="168">AF35+AA35</f>
        <v>0</v>
      </c>
      <c r="AI35" s="326">
        <f t="shared" ref="AI35" si="169">SUM(AH35+V35)</f>
        <v>0</v>
      </c>
      <c r="AJ35" s="326">
        <f>-tanks!AW37</f>
        <v>0</v>
      </c>
      <c r="AK35" s="326">
        <f t="shared" ref="AK35" si="170">SUM(AJ35-AI35)</f>
        <v>0</v>
      </c>
      <c r="AL35" s="326">
        <f t="shared" ref="AL35" si="171">S35+L35+G35</f>
        <v>0</v>
      </c>
      <c r="AM35" s="326">
        <f>Y35+AD35</f>
        <v>0</v>
      </c>
      <c r="AN35" s="64">
        <f t="shared" ref="AN35:AP35" si="172">AN34</f>
        <v>67</v>
      </c>
      <c r="AO35" s="328">
        <f t="shared" ref="AO35" si="173">(AN35/100)*3000</f>
        <v>2010.0000000000002</v>
      </c>
      <c r="AP35" s="64">
        <f t="shared" si="172"/>
        <v>70</v>
      </c>
      <c r="AQ35" s="328">
        <f t="shared" ref="AQ35" si="174">(AP35/100)*3000</f>
        <v>2100</v>
      </c>
      <c r="AR35" s="64">
        <f t="shared" ref="AR35" si="175">AR34</f>
        <v>70</v>
      </c>
      <c r="AS35" s="328">
        <f t="shared" ref="AS35" si="176">(AR35/100)*3000</f>
        <v>2100</v>
      </c>
      <c r="AT35" s="328">
        <f t="shared" ref="AT35" si="177">SUM(AO35+AQ35+AS35)</f>
        <v>6210</v>
      </c>
      <c r="AU35" s="328">
        <f t="shared" ref="AU35" si="178">AT34-AT35+AV35</f>
        <v>0</v>
      </c>
      <c r="AV35" s="275"/>
      <c r="AW35" s="275"/>
      <c r="AX35" s="321">
        <f t="shared" ref="AX35" si="179">IF(AV35&gt;0,AW35,AX34)</f>
        <v>0.8</v>
      </c>
    </row>
    <row r="36" spans="1:50">
      <c r="J36" s="291">
        <f>SUM(J5:J34)/(COUNT(J5:J34)-COUNTIF(J5:J34,0))</f>
        <v>1</v>
      </c>
      <c r="V36" s="62">
        <f>SUM(V5:V35)</f>
        <v>865</v>
      </c>
      <c r="AE36" s="71" t="s">
        <v>385</v>
      </c>
      <c r="AG36" s="354"/>
      <c r="AH36" s="62">
        <f>SUM(AH5:AH35)</f>
        <v>683.20000000001164</v>
      </c>
      <c r="AL36" s="62">
        <f>SUM(AL5:AL35)</f>
        <v>12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870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1548.2000000000116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443.7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Y1" zoomScaleNormal="100" workbookViewId="0">
      <pane ySplit="3" topLeftCell="A4" activePane="bottomLeft" state="frozen"/>
      <selection pane="bottomLeft" activeCell="AY21" sqref="AY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19" t="s">
        <v>95</v>
      </c>
      <c r="AS2" s="620"/>
      <c r="AT2" s="620"/>
      <c r="AU2" s="620"/>
      <c r="AV2" s="621"/>
      <c r="AW2" s="619" t="s">
        <v>96</v>
      </c>
      <c r="AX2" s="620"/>
      <c r="AY2" s="621"/>
      <c r="AZ2" s="619" t="s">
        <v>98</v>
      </c>
      <c r="BA2" s="620"/>
      <c r="BB2" s="62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6" t="s">
        <v>126</v>
      </c>
      <c r="AO3" s="617"/>
      <c r="AP3" s="61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f t="shared" si="39"/>
        <v>183</v>
      </c>
      <c r="AU22" s="436">
        <f t="shared" si="34"/>
        <v>1.1000000000000001</v>
      </c>
      <c r="AV22" s="204">
        <f t="shared" si="34"/>
        <v>184</v>
      </c>
      <c r="AW22" s="5">
        <v>2.9</v>
      </c>
      <c r="AX22" s="204">
        <f t="shared" ref="AX22" si="40">AX21</f>
        <v>196</v>
      </c>
      <c r="AY22" s="439">
        <f t="shared" si="7"/>
        <v>164.70000000000002</v>
      </c>
      <c r="AZ22" s="439">
        <f t="shared" si="25"/>
        <v>202.4</v>
      </c>
      <c r="BA22" s="439">
        <f t="shared" si="26"/>
        <v>568.4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f t="shared" si="15"/>
        <v>147253</v>
      </c>
      <c r="Y23" s="332">
        <f t="shared" si="17"/>
        <v>0</v>
      </c>
      <c r="Z23" s="5">
        <f t="shared" si="15"/>
        <v>96647</v>
      </c>
      <c r="AA23" s="83">
        <f t="shared" si="18"/>
        <v>0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f t="shared" si="15"/>
        <v>190.66</v>
      </c>
      <c r="AF23" s="83">
        <f t="shared" si="19"/>
        <v>0</v>
      </c>
      <c r="AG23" s="5">
        <f t="shared" si="15"/>
        <v>2038.22</v>
      </c>
      <c r="AH23" s="83">
        <f t="shared" si="20"/>
        <v>0</v>
      </c>
      <c r="AI23" s="83">
        <f t="shared" si="21"/>
        <v>0</v>
      </c>
      <c r="AJ23" s="334">
        <f t="shared" si="22"/>
        <v>0</v>
      </c>
      <c r="AK23" s="335">
        <f t="shared" si="5"/>
        <v>0</v>
      </c>
      <c r="AL23" s="335">
        <f t="shared" si="23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f t="shared" si="39"/>
        <v>183</v>
      </c>
      <c r="AU23" s="436">
        <f t="shared" si="34"/>
        <v>1.1000000000000001</v>
      </c>
      <c r="AV23" s="204">
        <f t="shared" si="34"/>
        <v>184</v>
      </c>
      <c r="AW23" s="5">
        <v>2.9</v>
      </c>
      <c r="AX23" s="204">
        <f t="shared" ref="AX23" si="41">AX22</f>
        <v>196</v>
      </c>
      <c r="AY23" s="439">
        <f t="shared" si="7"/>
        <v>164.70000000000002</v>
      </c>
      <c r="AZ23" s="439">
        <f t="shared" si="25"/>
        <v>202.4</v>
      </c>
      <c r="BA23" s="439">
        <f t="shared" si="26"/>
        <v>568.4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5">
        <f t="shared" si="15"/>
        <v>147253</v>
      </c>
      <c r="Y24" s="332">
        <f t="shared" si="17"/>
        <v>0</v>
      </c>
      <c r="Z24" s="5">
        <f t="shared" si="15"/>
        <v>96647</v>
      </c>
      <c r="AA24" s="83">
        <f t="shared" si="18"/>
        <v>0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f t="shared" si="15"/>
        <v>190.66</v>
      </c>
      <c r="AF24" s="83">
        <f t="shared" si="19"/>
        <v>0</v>
      </c>
      <c r="AG24" s="5">
        <f t="shared" si="15"/>
        <v>2038.22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f t="shared" si="39"/>
        <v>183</v>
      </c>
      <c r="AU24" s="436">
        <f t="shared" si="34"/>
        <v>1.1000000000000001</v>
      </c>
      <c r="AV24" s="204">
        <f t="shared" si="34"/>
        <v>184</v>
      </c>
      <c r="AW24" s="5">
        <v>2.9</v>
      </c>
      <c r="AX24" s="204">
        <f t="shared" ref="AX24" si="42">AX23</f>
        <v>196</v>
      </c>
      <c r="AY24" s="439">
        <f t="shared" si="7"/>
        <v>164.70000000000002</v>
      </c>
      <c r="AZ24" s="439">
        <f t="shared" si="25"/>
        <v>202.4</v>
      </c>
      <c r="BA24" s="439">
        <f t="shared" si="26"/>
        <v>568.4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147253</v>
      </c>
      <c r="Y25" s="332">
        <f t="shared" si="17"/>
        <v>0</v>
      </c>
      <c r="Z25" s="5">
        <f t="shared" si="15"/>
        <v>96647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190.66</v>
      </c>
      <c r="AF25" s="83">
        <f t="shared" si="19"/>
        <v>0</v>
      </c>
      <c r="AG25" s="5">
        <f t="shared" si="15"/>
        <v>2038.22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f t="shared" si="39"/>
        <v>183</v>
      </c>
      <c r="AU25" s="436">
        <f t="shared" si="34"/>
        <v>1.1000000000000001</v>
      </c>
      <c r="AV25" s="204">
        <f t="shared" si="34"/>
        <v>184</v>
      </c>
      <c r="AW25" s="5">
        <v>2.9</v>
      </c>
      <c r="AX25" s="204">
        <f t="shared" ref="AX25" si="43">AX24</f>
        <v>196</v>
      </c>
      <c r="AY25" s="439">
        <f t="shared" si="7"/>
        <v>164.70000000000002</v>
      </c>
      <c r="AZ25" s="439">
        <f t="shared" si="25"/>
        <v>202.4</v>
      </c>
      <c r="BA25" s="439">
        <f t="shared" si="26"/>
        <v>568.4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147253</v>
      </c>
      <c r="Y26" s="332">
        <f t="shared" si="17"/>
        <v>0</v>
      </c>
      <c r="Z26" s="5">
        <f t="shared" si="15"/>
        <v>96647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190.66</v>
      </c>
      <c r="AF26" s="83">
        <f t="shared" si="19"/>
        <v>0</v>
      </c>
      <c r="AG26" s="5">
        <f t="shared" si="15"/>
        <v>2038.22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f t="shared" si="39"/>
        <v>183</v>
      </c>
      <c r="AU26" s="436">
        <f t="shared" si="34"/>
        <v>1.1000000000000001</v>
      </c>
      <c r="AV26" s="204">
        <f t="shared" si="34"/>
        <v>184</v>
      </c>
      <c r="AW26" s="5">
        <v>2.9</v>
      </c>
      <c r="AX26" s="204">
        <f t="shared" ref="AX26" si="44">AX25</f>
        <v>196</v>
      </c>
      <c r="AY26" s="439">
        <f t="shared" si="7"/>
        <v>164.70000000000002</v>
      </c>
      <c r="AZ26" s="439">
        <f t="shared" si="25"/>
        <v>202.4</v>
      </c>
      <c r="BA26" s="439">
        <f t="shared" si="26"/>
        <v>568.4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147253</v>
      </c>
      <c r="Y27" s="332">
        <f>SUM(X27-X26)</f>
        <v>0</v>
      </c>
      <c r="Z27" s="5">
        <f t="shared" si="15"/>
        <v>96647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190.66</v>
      </c>
      <c r="AF27" s="83">
        <f t="shared" si="19"/>
        <v>0</v>
      </c>
      <c r="AG27" s="5">
        <f t="shared" si="15"/>
        <v>2038.22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183</v>
      </c>
      <c r="AU27" s="436">
        <f t="shared" si="34"/>
        <v>1.1000000000000001</v>
      </c>
      <c r="AV27" s="204">
        <f t="shared" si="34"/>
        <v>184</v>
      </c>
      <c r="AW27" s="5">
        <v>2.9</v>
      </c>
      <c r="AX27" s="204">
        <f t="shared" ref="AX27" si="45">AX26</f>
        <v>196</v>
      </c>
      <c r="AY27" s="439">
        <f t="shared" si="7"/>
        <v>164.70000000000002</v>
      </c>
      <c r="AZ27" s="439">
        <f t="shared" si="25"/>
        <v>202.4</v>
      </c>
      <c r="BA27" s="439">
        <f t="shared" si="26"/>
        <v>568.4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147253</v>
      </c>
      <c r="Y28" s="332">
        <f t="shared" si="17"/>
        <v>0</v>
      </c>
      <c r="Z28" s="5">
        <f t="shared" si="15"/>
        <v>96647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f t="shared" si="15"/>
        <v>190.66</v>
      </c>
      <c r="AF28" s="83">
        <f t="shared" si="19"/>
        <v>0</v>
      </c>
      <c r="AG28" s="5">
        <f t="shared" si="15"/>
        <v>2038.22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183</v>
      </c>
      <c r="AU28" s="436">
        <f t="shared" si="34"/>
        <v>1.1000000000000001</v>
      </c>
      <c r="AV28" s="204">
        <f t="shared" si="34"/>
        <v>184</v>
      </c>
      <c r="AW28" s="5">
        <v>2.9</v>
      </c>
      <c r="AX28" s="204">
        <f t="shared" ref="AX28" si="46">AX27</f>
        <v>196</v>
      </c>
      <c r="AY28" s="439">
        <f t="shared" si="7"/>
        <v>164.70000000000002</v>
      </c>
      <c r="AZ28" s="439">
        <f t="shared" si="25"/>
        <v>202.4</v>
      </c>
      <c r="BA28" s="439">
        <f t="shared" si="26"/>
        <v>568.4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147253</v>
      </c>
      <c r="Y29" s="332">
        <f t="shared" si="17"/>
        <v>0</v>
      </c>
      <c r="Z29" s="5">
        <f t="shared" si="15"/>
        <v>96647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190.66</v>
      </c>
      <c r="AF29" s="83">
        <f t="shared" si="19"/>
        <v>0</v>
      </c>
      <c r="AG29" s="5">
        <f t="shared" si="15"/>
        <v>2038.22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f t="shared" si="39"/>
        <v>183</v>
      </c>
      <c r="AU29" s="436">
        <f t="shared" si="34"/>
        <v>1.1000000000000001</v>
      </c>
      <c r="AV29" s="204">
        <f t="shared" si="34"/>
        <v>184</v>
      </c>
      <c r="AW29" s="5">
        <v>2.9</v>
      </c>
      <c r="AX29" s="204">
        <f t="shared" ref="AX29" si="47">AX28</f>
        <v>196</v>
      </c>
      <c r="AY29" s="439">
        <f t="shared" si="7"/>
        <v>164.70000000000002</v>
      </c>
      <c r="AZ29" s="439">
        <f t="shared" si="25"/>
        <v>202.4</v>
      </c>
      <c r="BA29" s="439">
        <f t="shared" si="26"/>
        <v>568.4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147253</v>
      </c>
      <c r="Y30" s="332">
        <f t="shared" si="17"/>
        <v>0</v>
      </c>
      <c r="Z30" s="5">
        <f t="shared" si="15"/>
        <v>96647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190.66</v>
      </c>
      <c r="AF30" s="83">
        <f t="shared" si="19"/>
        <v>0</v>
      </c>
      <c r="AG30" s="5">
        <f t="shared" si="15"/>
        <v>2038.22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f t="shared" si="39"/>
        <v>183</v>
      </c>
      <c r="AU30" s="436">
        <f t="shared" si="34"/>
        <v>1.1000000000000001</v>
      </c>
      <c r="AV30" s="204">
        <f t="shared" si="34"/>
        <v>184</v>
      </c>
      <c r="AW30" s="5">
        <v>2.9</v>
      </c>
      <c r="AX30" s="204">
        <f t="shared" ref="AX30" si="48">AX29</f>
        <v>196</v>
      </c>
      <c r="AY30" s="439">
        <f t="shared" si="7"/>
        <v>164.70000000000002</v>
      </c>
      <c r="AZ30" s="439">
        <f t="shared" si="25"/>
        <v>202.4</v>
      </c>
      <c r="BA30" s="439">
        <f t="shared" si="26"/>
        <v>568.4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147253</v>
      </c>
      <c r="Y31" s="332">
        <f t="shared" si="17"/>
        <v>0</v>
      </c>
      <c r="Z31" s="5">
        <f t="shared" si="15"/>
        <v>96647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190.66</v>
      </c>
      <c r="AF31" s="83">
        <f t="shared" si="19"/>
        <v>0</v>
      </c>
      <c r="AG31" s="5">
        <f t="shared" si="15"/>
        <v>2038.22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f t="shared" si="39"/>
        <v>183</v>
      </c>
      <c r="AU31" s="436">
        <f t="shared" si="34"/>
        <v>1.1000000000000001</v>
      </c>
      <c r="AV31" s="204">
        <f t="shared" si="34"/>
        <v>184</v>
      </c>
      <c r="AW31" s="5">
        <v>2.9</v>
      </c>
      <c r="AX31" s="204">
        <f t="shared" ref="AX31" si="49">AX30</f>
        <v>196</v>
      </c>
      <c r="AY31" s="439">
        <f t="shared" si="7"/>
        <v>164.70000000000002</v>
      </c>
      <c r="AZ31" s="439">
        <f t="shared" si="25"/>
        <v>202.4</v>
      </c>
      <c r="BA31" s="439">
        <f t="shared" si="26"/>
        <v>568.4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147253</v>
      </c>
      <c r="Y32" s="332">
        <f t="shared" si="17"/>
        <v>0</v>
      </c>
      <c r="Z32" s="5">
        <f t="shared" si="15"/>
        <v>96647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190.66</v>
      </c>
      <c r="AF32" s="83">
        <f t="shared" si="19"/>
        <v>0</v>
      </c>
      <c r="AG32" s="5">
        <f t="shared" si="15"/>
        <v>2038.22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183</v>
      </c>
      <c r="AU32" s="436">
        <f t="shared" si="34"/>
        <v>1.1000000000000001</v>
      </c>
      <c r="AV32" s="204">
        <f t="shared" si="34"/>
        <v>184</v>
      </c>
      <c r="AW32" s="5">
        <v>2.9</v>
      </c>
      <c r="AX32" s="204">
        <f t="shared" ref="AX32" si="50">AX31</f>
        <v>196</v>
      </c>
      <c r="AY32" s="439">
        <f t="shared" si="7"/>
        <v>164.70000000000002</v>
      </c>
      <c r="AZ32" s="439">
        <f t="shared" si="25"/>
        <v>202.4</v>
      </c>
      <c r="BA32" s="439">
        <f t="shared" si="26"/>
        <v>568.4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147253</v>
      </c>
      <c r="Y33" s="332">
        <f t="shared" si="17"/>
        <v>0</v>
      </c>
      <c r="Z33" s="5">
        <f t="shared" si="15"/>
        <v>96647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190.66</v>
      </c>
      <c r="AF33" s="83">
        <f>AE33-AE32</f>
        <v>0</v>
      </c>
      <c r="AG33" s="5">
        <f t="shared" si="15"/>
        <v>2038.22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183</v>
      </c>
      <c r="AU33" s="436">
        <f t="shared" si="34"/>
        <v>1.1000000000000001</v>
      </c>
      <c r="AV33" s="204">
        <f t="shared" si="34"/>
        <v>184</v>
      </c>
      <c r="AW33" s="5">
        <v>2.9</v>
      </c>
      <c r="AX33" s="204">
        <f t="shared" ref="AX33" si="51">AX32</f>
        <v>196</v>
      </c>
      <c r="AY33" s="439">
        <f t="shared" si="7"/>
        <v>164.70000000000002</v>
      </c>
      <c r="AZ33" s="439">
        <f t="shared" si="25"/>
        <v>202.4</v>
      </c>
      <c r="BA33" s="439">
        <f t="shared" si="26"/>
        <v>568.4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147253</v>
      </c>
      <c r="Y34" s="332">
        <f t="shared" si="17"/>
        <v>0</v>
      </c>
      <c r="Z34" s="5">
        <f t="shared" si="15"/>
        <v>96647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190.66</v>
      </c>
      <c r="AF34" s="83">
        <f t="shared" si="19"/>
        <v>0</v>
      </c>
      <c r="AG34" s="5">
        <f t="shared" si="15"/>
        <v>2038.22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183</v>
      </c>
      <c r="AU34" s="437">
        <f t="shared" si="34"/>
        <v>1.1000000000000001</v>
      </c>
      <c r="AV34" s="204">
        <f t="shared" si="34"/>
        <v>184</v>
      </c>
      <c r="AW34" s="5">
        <v>2.9</v>
      </c>
      <c r="AX34" s="204">
        <f t="shared" ref="AX34" si="52">AX33</f>
        <v>196</v>
      </c>
      <c r="AY34" s="439">
        <f t="shared" si="7"/>
        <v>164.70000000000002</v>
      </c>
      <c r="AZ34" s="439">
        <f t="shared" si="25"/>
        <v>202.4</v>
      </c>
      <c r="BA34" s="439">
        <f t="shared" si="26"/>
        <v>568.4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147253</v>
      </c>
      <c r="Y35" s="332">
        <f t="shared" si="17"/>
        <v>0</v>
      </c>
      <c r="Z35" s="5">
        <f t="shared" si="15"/>
        <v>96647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190.66</v>
      </c>
      <c r="AF35" s="83">
        <f t="shared" si="19"/>
        <v>0</v>
      </c>
      <c r="AG35" s="5">
        <f t="shared" si="15"/>
        <v>2038.22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183</v>
      </c>
      <c r="AU35" s="438">
        <f t="shared" si="34"/>
        <v>1.1000000000000001</v>
      </c>
      <c r="AV35" s="204">
        <f t="shared" si="34"/>
        <v>184</v>
      </c>
      <c r="AW35" s="5">
        <v>2.9</v>
      </c>
      <c r="AX35" s="204">
        <f t="shared" ref="AX35" si="53">AX34</f>
        <v>196</v>
      </c>
      <c r="AY35" s="439">
        <f t="shared" si="7"/>
        <v>164.70000000000002</v>
      </c>
      <c r="AZ35" s="439">
        <f t="shared" si="25"/>
        <v>202.4</v>
      </c>
      <c r="BA35" s="439">
        <f t="shared" si="26"/>
        <v>568.4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54">B36-B35</f>
        <v>0</v>
      </c>
      <c r="D36" s="430">
        <f t="shared" ref="D36" si="55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56">G36-G35</f>
        <v>0</v>
      </c>
      <c r="I36" s="5">
        <f t="shared" ref="I36" si="57">C36+H36</f>
        <v>0</v>
      </c>
      <c r="J36" s="342">
        <f t="shared" ref="J36" si="58">IF(I36&gt;0,E36/I36,0)</f>
        <v>0</v>
      </c>
      <c r="K36" s="5">
        <f>'Swimming Pool quality check '!H36</f>
        <v>6555</v>
      </c>
      <c r="L36" s="83">
        <f t="shared" ref="L36" si="59">K36-K35</f>
        <v>0</v>
      </c>
      <c r="M36" s="421">
        <f t="shared" si="13"/>
        <v>457.44</v>
      </c>
      <c r="N36" s="529">
        <f t="shared" ref="N36" si="60">SUM(M36-M35)</f>
        <v>0</v>
      </c>
      <c r="O36" s="421">
        <f t="shared" si="14"/>
        <v>529.52</v>
      </c>
      <c r="P36" s="529">
        <f t="shared" ref="P36" si="61">SUM(O36-O35)</f>
        <v>0</v>
      </c>
      <c r="Q36" s="529">
        <f t="shared" ref="Q36" si="62">SUM(P36+N36)</f>
        <v>0</v>
      </c>
      <c r="R36" s="529"/>
      <c r="S36" s="529"/>
      <c r="T36" s="5">
        <f t="shared" si="15"/>
        <v>5040</v>
      </c>
      <c r="U36" s="5">
        <f t="shared" ref="U36" si="63">SUM(T36-T35)</f>
        <v>0</v>
      </c>
      <c r="V36" s="5">
        <f t="shared" si="15"/>
        <v>425</v>
      </c>
      <c r="W36" s="332">
        <f t="shared" ref="W36" si="64">+V36-V35</f>
        <v>0</v>
      </c>
      <c r="X36" s="5">
        <f t="shared" si="15"/>
        <v>147253</v>
      </c>
      <c r="Y36" s="332">
        <f t="shared" ref="Y36" si="65">SUM(X36-X35)</f>
        <v>0</v>
      </c>
      <c r="Z36" s="5">
        <f t="shared" si="15"/>
        <v>96647</v>
      </c>
      <c r="AA36" s="83">
        <f t="shared" ref="AA36" si="66">Z36-Z35</f>
        <v>0</v>
      </c>
      <c r="AB36" s="5">
        <f t="shared" si="15"/>
        <v>264</v>
      </c>
      <c r="AC36" s="5">
        <f t="shared" si="15"/>
        <v>698</v>
      </c>
      <c r="AD36" s="83">
        <f t="shared" ref="AD36" si="67">AC36-AC35</f>
        <v>0</v>
      </c>
      <c r="AE36" s="5">
        <f t="shared" si="15"/>
        <v>190.66</v>
      </c>
      <c r="AF36" s="83">
        <f t="shared" ref="AF36" si="68">AE36-AE35</f>
        <v>0</v>
      </c>
      <c r="AG36" s="5">
        <f t="shared" si="15"/>
        <v>2038.22</v>
      </c>
      <c r="AH36" s="83">
        <f t="shared" ref="AH36" si="69">AG36-AG35</f>
        <v>0</v>
      </c>
      <c r="AI36" s="83">
        <f t="shared" ref="AI36" si="70">AF36+AH36</f>
        <v>0</v>
      </c>
      <c r="AJ36" s="334">
        <f t="shared" ref="AJ36" si="71">+Z36-Z35</f>
        <v>0</v>
      </c>
      <c r="AK36" s="335">
        <f t="shared" ref="AK36" si="72">SUM(Y36-L36)</f>
        <v>0</v>
      </c>
      <c r="AL36" s="335">
        <f t="shared" ref="AL36" si="73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74">A36</f>
        <v>44074</v>
      </c>
      <c r="AS36" s="435">
        <f t="shared" si="39"/>
        <v>0.9</v>
      </c>
      <c r="AT36" s="204">
        <f t="shared" si="39"/>
        <v>183</v>
      </c>
      <c r="AU36" s="438">
        <f t="shared" si="34"/>
        <v>1.1000000000000001</v>
      </c>
      <c r="AV36" s="204">
        <f t="shared" si="34"/>
        <v>184</v>
      </c>
      <c r="AW36" s="5">
        <v>2.9</v>
      </c>
      <c r="AX36" s="204">
        <f t="shared" ref="AX36" si="75">AX35</f>
        <v>196</v>
      </c>
      <c r="AY36" s="439">
        <f t="shared" ref="AY36" si="76">AS36*AT36</f>
        <v>164.70000000000002</v>
      </c>
      <c r="AZ36" s="439">
        <f t="shared" ref="AZ36" si="77">AU36*AV36</f>
        <v>202.4</v>
      </c>
      <c r="BA36" s="439">
        <f t="shared" ref="BA36" si="78">AW36*AX36</f>
        <v>568.4</v>
      </c>
      <c r="BB36" s="21">
        <f t="shared" ref="BB36" si="79">AY36-AY35</f>
        <v>0</v>
      </c>
      <c r="BC36" s="230">
        <f t="shared" ref="BC36" si="80">AZ36-AZ35</f>
        <v>0</v>
      </c>
      <c r="BD36" s="230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362</v>
      </c>
      <c r="AK37" s="335" t="e">
        <f t="shared" si="5"/>
        <v>#REF!</v>
      </c>
      <c r="AL37" s="330">
        <f>SUM(AL6:AL35)</f>
        <v>359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2" t="s">
        <v>193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5" ht="15.75" customHeight="1" thickBot="1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1">
        <f>'[1]General information '!E36</f>
        <v>0.52</v>
      </c>
      <c r="F5" s="601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28.09375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233</v>
      </c>
      <c r="AT3" s="628" t="s">
        <v>301</v>
      </c>
      <c r="AU3" s="62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7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7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7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234.4</v>
      </c>
      <c r="C22" s="206">
        <f t="shared" si="18"/>
        <v>5043.38064516129</v>
      </c>
      <c r="D22">
        <f t="shared" si="19"/>
        <v>234.4</v>
      </c>
      <c r="E22" s="206">
        <f t="shared" si="18"/>
        <v>5043.38064516129</v>
      </c>
      <c r="F22">
        <f t="shared" si="20"/>
        <v>234.4</v>
      </c>
      <c r="G22" s="206">
        <f t="shared" si="1"/>
        <v>5043.38064516129</v>
      </c>
      <c r="H22" s="206">
        <f t="shared" si="21"/>
        <v>234.4</v>
      </c>
      <c r="I22" s="206">
        <f t="shared" si="2"/>
        <v>5043.38064516129</v>
      </c>
      <c r="J22" s="206">
        <f t="shared" si="22"/>
        <v>234.4</v>
      </c>
      <c r="K22" s="206">
        <f t="shared" si="3"/>
        <v>5043.38064516129</v>
      </c>
      <c r="L22" s="206">
        <f t="shared" si="23"/>
        <v>234.4</v>
      </c>
      <c r="M22" s="206">
        <f t="shared" si="4"/>
        <v>5043.38064516129</v>
      </c>
      <c r="N22" s="206">
        <f t="shared" si="24"/>
        <v>234.4</v>
      </c>
      <c r="O22" s="206">
        <f t="shared" si="5"/>
        <v>5043.38064516129</v>
      </c>
      <c r="P22" s="206">
        <f t="shared" si="25"/>
        <v>234.4</v>
      </c>
      <c r="Q22" s="206">
        <f t="shared" si="6"/>
        <v>5043.38064516129</v>
      </c>
      <c r="R22" s="206">
        <f t="shared" si="26"/>
        <v>234.4</v>
      </c>
      <c r="S22" s="206">
        <f t="shared" si="7"/>
        <v>5043.38064516129</v>
      </c>
      <c r="T22" s="206">
        <f t="shared" si="27"/>
        <v>234.4</v>
      </c>
      <c r="U22" s="206">
        <f t="shared" si="8"/>
        <v>5043.38064516129</v>
      </c>
      <c r="V22" s="206">
        <f t="shared" si="28"/>
        <v>234.4</v>
      </c>
      <c r="W22" s="206">
        <f t="shared" si="9"/>
        <v>5043.38064516129</v>
      </c>
      <c r="X22" s="35">
        <f t="shared" si="10"/>
        <v>0.75612903225806449</v>
      </c>
      <c r="Y22" s="36">
        <f t="shared" si="29"/>
        <v>55477.187096774192</v>
      </c>
      <c r="Z22" s="206">
        <f>'B5'!C21</f>
        <v>240.1</v>
      </c>
      <c r="AA22" s="206">
        <f t="shared" si="30"/>
        <v>2401</v>
      </c>
      <c r="AB22" s="206">
        <f t="shared" si="31"/>
        <v>240.1</v>
      </c>
      <c r="AC22" s="206">
        <f t="shared" si="30"/>
        <v>2401</v>
      </c>
      <c r="AD22" s="206">
        <f t="shared" si="32"/>
        <v>240.1</v>
      </c>
      <c r="AE22" s="206">
        <f t="shared" si="11"/>
        <v>2401</v>
      </c>
      <c r="AF22" s="206">
        <f t="shared" si="33"/>
        <v>240.1</v>
      </c>
      <c r="AG22" s="206">
        <f t="shared" si="12"/>
        <v>2401</v>
      </c>
      <c r="AH22" s="206">
        <f t="shared" si="34"/>
        <v>240.1</v>
      </c>
      <c r="AI22" s="206">
        <f t="shared" si="13"/>
        <v>2401</v>
      </c>
      <c r="AJ22" s="206">
        <f t="shared" si="35"/>
        <v>240.1</v>
      </c>
      <c r="AK22" s="206">
        <f t="shared" si="14"/>
        <v>2401</v>
      </c>
      <c r="AL22" s="206">
        <f t="shared" si="36"/>
        <v>240.1</v>
      </c>
      <c r="AM22" s="206">
        <f t="shared" si="15"/>
        <v>2401</v>
      </c>
      <c r="AN22" s="35">
        <f t="shared" si="16"/>
        <v>0.85750000000000004</v>
      </c>
      <c r="AO22" s="36">
        <f t="shared" si="17"/>
        <v>16807</v>
      </c>
      <c r="AQ22" s="226">
        <f t="shared" si="37"/>
        <v>0.77750013011481334</v>
      </c>
      <c r="AR22" s="38">
        <f t="shared" si="41"/>
        <v>72284.1870967742</v>
      </c>
      <c r="AS22" s="200">
        <f t="shared" si="38"/>
        <v>0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234.4</v>
      </c>
      <c r="C23" s="206">
        <f t="shared" si="18"/>
        <v>5043.38064516129</v>
      </c>
      <c r="D23">
        <f t="shared" si="19"/>
        <v>234.4</v>
      </c>
      <c r="E23" s="206">
        <f t="shared" si="18"/>
        <v>5043.38064516129</v>
      </c>
      <c r="F23">
        <f t="shared" si="20"/>
        <v>234.4</v>
      </c>
      <c r="G23" s="206">
        <f t="shared" si="1"/>
        <v>5043.38064516129</v>
      </c>
      <c r="H23" s="206">
        <f t="shared" si="21"/>
        <v>234.4</v>
      </c>
      <c r="I23" s="206">
        <f t="shared" si="2"/>
        <v>5043.38064516129</v>
      </c>
      <c r="J23" s="206">
        <f t="shared" si="22"/>
        <v>234.4</v>
      </c>
      <c r="K23" s="206">
        <f t="shared" si="3"/>
        <v>5043.38064516129</v>
      </c>
      <c r="L23" s="206">
        <f t="shared" si="23"/>
        <v>234.4</v>
      </c>
      <c r="M23" s="206">
        <f t="shared" si="4"/>
        <v>5043.38064516129</v>
      </c>
      <c r="N23" s="206">
        <f t="shared" si="24"/>
        <v>234.4</v>
      </c>
      <c r="O23" s="206">
        <f t="shared" si="5"/>
        <v>5043.38064516129</v>
      </c>
      <c r="P23" s="206">
        <f t="shared" si="25"/>
        <v>234.4</v>
      </c>
      <c r="Q23" s="206">
        <f t="shared" si="6"/>
        <v>5043.38064516129</v>
      </c>
      <c r="R23" s="206">
        <f t="shared" si="26"/>
        <v>234.4</v>
      </c>
      <c r="S23" s="206">
        <f t="shared" si="7"/>
        <v>5043.38064516129</v>
      </c>
      <c r="T23" s="206">
        <f t="shared" si="27"/>
        <v>234.4</v>
      </c>
      <c r="U23" s="206">
        <f t="shared" si="8"/>
        <v>5043.38064516129</v>
      </c>
      <c r="V23" s="206">
        <f t="shared" si="28"/>
        <v>234.4</v>
      </c>
      <c r="W23" s="206">
        <f t="shared" si="9"/>
        <v>5043.38064516129</v>
      </c>
      <c r="X23" s="35">
        <f t="shared" si="10"/>
        <v>0.75612903225806449</v>
      </c>
      <c r="Y23" s="36">
        <f t="shared" si="29"/>
        <v>55477.187096774192</v>
      </c>
      <c r="Z23" s="206">
        <f>'B5'!C22</f>
        <v>240.1</v>
      </c>
      <c r="AA23" s="206">
        <f t="shared" si="30"/>
        <v>2401</v>
      </c>
      <c r="AB23" s="206">
        <f t="shared" si="31"/>
        <v>240.1</v>
      </c>
      <c r="AC23" s="206">
        <f t="shared" si="30"/>
        <v>2401</v>
      </c>
      <c r="AD23" s="206">
        <f t="shared" si="32"/>
        <v>240.1</v>
      </c>
      <c r="AE23" s="206">
        <f t="shared" si="11"/>
        <v>2401</v>
      </c>
      <c r="AF23" s="206">
        <f t="shared" si="33"/>
        <v>240.1</v>
      </c>
      <c r="AG23" s="206">
        <f t="shared" si="12"/>
        <v>2401</v>
      </c>
      <c r="AH23" s="206">
        <f t="shared" si="34"/>
        <v>240.1</v>
      </c>
      <c r="AI23" s="206">
        <f t="shared" si="13"/>
        <v>2401</v>
      </c>
      <c r="AJ23" s="206">
        <f t="shared" si="35"/>
        <v>240.1</v>
      </c>
      <c r="AK23" s="206">
        <f t="shared" si="14"/>
        <v>2401</v>
      </c>
      <c r="AL23" s="206">
        <f t="shared" si="36"/>
        <v>240.1</v>
      </c>
      <c r="AM23" s="206">
        <f t="shared" si="15"/>
        <v>2401</v>
      </c>
      <c r="AN23" s="35">
        <f t="shared" si="16"/>
        <v>0.85750000000000004</v>
      </c>
      <c r="AO23" s="36">
        <f t="shared" si="17"/>
        <v>16807</v>
      </c>
      <c r="AQ23" s="226">
        <f t="shared" si="37"/>
        <v>0.77750013011481334</v>
      </c>
      <c r="AR23" s="38">
        <f t="shared" si="41"/>
        <v>72284.1870967742</v>
      </c>
      <c r="AS23" s="200">
        <f t="shared" si="38"/>
        <v>0</v>
      </c>
      <c r="AT23" s="277"/>
      <c r="AU23" s="449"/>
      <c r="AV23" s="533">
        <f t="shared" si="42"/>
        <v>0.53500000000000003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234.4</v>
      </c>
      <c r="C24" s="206">
        <f t="shared" si="18"/>
        <v>5043.38064516129</v>
      </c>
      <c r="D24">
        <f t="shared" si="19"/>
        <v>234.4</v>
      </c>
      <c r="E24" s="206">
        <f t="shared" si="18"/>
        <v>5043.38064516129</v>
      </c>
      <c r="F24">
        <f t="shared" si="20"/>
        <v>234.4</v>
      </c>
      <c r="G24" s="206">
        <f t="shared" si="1"/>
        <v>5043.38064516129</v>
      </c>
      <c r="H24" s="206">
        <f t="shared" si="21"/>
        <v>234.4</v>
      </c>
      <c r="I24" s="206">
        <f t="shared" si="2"/>
        <v>5043.38064516129</v>
      </c>
      <c r="J24" s="206">
        <f t="shared" si="22"/>
        <v>234.4</v>
      </c>
      <c r="K24" s="206">
        <f t="shared" si="3"/>
        <v>5043.38064516129</v>
      </c>
      <c r="L24" s="206">
        <f t="shared" si="23"/>
        <v>234.4</v>
      </c>
      <c r="M24" s="206">
        <f t="shared" si="4"/>
        <v>5043.38064516129</v>
      </c>
      <c r="N24" s="206">
        <f t="shared" si="24"/>
        <v>234.4</v>
      </c>
      <c r="O24" s="206">
        <f t="shared" si="5"/>
        <v>5043.38064516129</v>
      </c>
      <c r="P24" s="206">
        <f t="shared" si="25"/>
        <v>234.4</v>
      </c>
      <c r="Q24" s="206">
        <f t="shared" si="6"/>
        <v>5043.38064516129</v>
      </c>
      <c r="R24" s="206">
        <f t="shared" si="26"/>
        <v>234.4</v>
      </c>
      <c r="S24" s="206">
        <f t="shared" si="7"/>
        <v>5043.38064516129</v>
      </c>
      <c r="T24" s="206">
        <f t="shared" si="27"/>
        <v>234.4</v>
      </c>
      <c r="U24" s="206">
        <f t="shared" si="8"/>
        <v>5043.38064516129</v>
      </c>
      <c r="V24" s="206">
        <f t="shared" si="28"/>
        <v>234.4</v>
      </c>
      <c r="W24" s="206">
        <f t="shared" si="9"/>
        <v>5043.38064516129</v>
      </c>
      <c r="X24" s="35">
        <f t="shared" si="10"/>
        <v>0.75612903225806449</v>
      </c>
      <c r="Y24" s="36">
        <f t="shared" si="29"/>
        <v>55477.187096774192</v>
      </c>
      <c r="Z24" s="206">
        <f>'B5'!C23</f>
        <v>240.1</v>
      </c>
      <c r="AA24" s="206">
        <f t="shared" si="30"/>
        <v>2401</v>
      </c>
      <c r="AB24" s="206">
        <f t="shared" si="31"/>
        <v>240.1</v>
      </c>
      <c r="AC24" s="206">
        <f t="shared" si="30"/>
        <v>2401</v>
      </c>
      <c r="AD24" s="206">
        <f t="shared" si="32"/>
        <v>240.1</v>
      </c>
      <c r="AE24" s="206">
        <f t="shared" si="11"/>
        <v>2401</v>
      </c>
      <c r="AF24" s="206">
        <f t="shared" si="33"/>
        <v>240.1</v>
      </c>
      <c r="AG24" s="206">
        <f t="shared" si="12"/>
        <v>2401</v>
      </c>
      <c r="AH24" s="206">
        <f t="shared" si="34"/>
        <v>240.1</v>
      </c>
      <c r="AI24" s="206">
        <f t="shared" si="13"/>
        <v>2401</v>
      </c>
      <c r="AJ24" s="206">
        <f t="shared" si="35"/>
        <v>240.1</v>
      </c>
      <c r="AK24" s="206">
        <f t="shared" si="14"/>
        <v>2401</v>
      </c>
      <c r="AL24" s="206">
        <f t="shared" si="36"/>
        <v>240.1</v>
      </c>
      <c r="AM24" s="206">
        <f t="shared" si="15"/>
        <v>2401</v>
      </c>
      <c r="AN24" s="35">
        <f t="shared" si="16"/>
        <v>0.85750000000000004</v>
      </c>
      <c r="AO24" s="36">
        <f t="shared" si="17"/>
        <v>16807</v>
      </c>
      <c r="AQ24" s="226">
        <f t="shared" si="37"/>
        <v>0.77750013011481334</v>
      </c>
      <c r="AR24" s="38">
        <f t="shared" si="41"/>
        <v>72284.1870967742</v>
      </c>
      <c r="AS24" s="200">
        <f t="shared" si="38"/>
        <v>0</v>
      </c>
      <c r="AT24" s="277"/>
      <c r="AU24" s="449"/>
      <c r="AV24" s="533">
        <f t="shared" si="42"/>
        <v>0.53500000000000003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234.4</v>
      </c>
      <c r="C25" s="206">
        <f t="shared" si="18"/>
        <v>5043.38064516129</v>
      </c>
      <c r="D25">
        <f t="shared" si="19"/>
        <v>234.4</v>
      </c>
      <c r="E25" s="206">
        <f t="shared" si="18"/>
        <v>5043.38064516129</v>
      </c>
      <c r="F25">
        <f t="shared" si="20"/>
        <v>234.4</v>
      </c>
      <c r="G25" s="206">
        <f t="shared" si="1"/>
        <v>5043.38064516129</v>
      </c>
      <c r="H25" s="206">
        <f t="shared" si="21"/>
        <v>234.4</v>
      </c>
      <c r="I25" s="206">
        <f t="shared" si="2"/>
        <v>5043.38064516129</v>
      </c>
      <c r="J25" s="206">
        <f t="shared" si="22"/>
        <v>234.4</v>
      </c>
      <c r="K25" s="206">
        <f t="shared" si="3"/>
        <v>5043.38064516129</v>
      </c>
      <c r="L25" s="206">
        <f t="shared" si="23"/>
        <v>234.4</v>
      </c>
      <c r="M25" s="206">
        <f t="shared" si="4"/>
        <v>5043.38064516129</v>
      </c>
      <c r="N25" s="206">
        <f t="shared" si="24"/>
        <v>234.4</v>
      </c>
      <c r="O25" s="206">
        <f t="shared" si="5"/>
        <v>5043.38064516129</v>
      </c>
      <c r="P25" s="206">
        <f t="shared" si="25"/>
        <v>234.4</v>
      </c>
      <c r="Q25" s="206">
        <f t="shared" si="6"/>
        <v>5043.38064516129</v>
      </c>
      <c r="R25" s="206">
        <f t="shared" si="26"/>
        <v>234.4</v>
      </c>
      <c r="S25" s="206">
        <f t="shared" si="7"/>
        <v>5043.38064516129</v>
      </c>
      <c r="T25" s="206">
        <f t="shared" si="27"/>
        <v>234.4</v>
      </c>
      <c r="U25" s="206">
        <f t="shared" si="8"/>
        <v>5043.38064516129</v>
      </c>
      <c r="V25" s="206">
        <f t="shared" si="28"/>
        <v>234.4</v>
      </c>
      <c r="W25" s="206">
        <f t="shared" si="9"/>
        <v>5043.38064516129</v>
      </c>
      <c r="X25" s="35">
        <f t="shared" si="10"/>
        <v>0.75612903225806449</v>
      </c>
      <c r="Y25" s="36">
        <f t="shared" si="29"/>
        <v>55477.187096774192</v>
      </c>
      <c r="Z25" s="206">
        <f>'B5'!C24</f>
        <v>240.1</v>
      </c>
      <c r="AA25" s="206">
        <f t="shared" si="30"/>
        <v>2401</v>
      </c>
      <c r="AB25" s="206">
        <f t="shared" si="31"/>
        <v>240.1</v>
      </c>
      <c r="AC25" s="206">
        <f t="shared" si="30"/>
        <v>2401</v>
      </c>
      <c r="AD25" s="206">
        <f t="shared" si="32"/>
        <v>240.1</v>
      </c>
      <c r="AE25" s="206">
        <f t="shared" si="11"/>
        <v>2401</v>
      </c>
      <c r="AF25" s="206">
        <f t="shared" si="33"/>
        <v>240.1</v>
      </c>
      <c r="AG25" s="206">
        <f t="shared" si="12"/>
        <v>2401</v>
      </c>
      <c r="AH25" s="206">
        <f t="shared" si="34"/>
        <v>240.1</v>
      </c>
      <c r="AI25" s="206">
        <f t="shared" si="13"/>
        <v>2401</v>
      </c>
      <c r="AJ25" s="206">
        <f t="shared" si="35"/>
        <v>240.1</v>
      </c>
      <c r="AK25" s="206">
        <f t="shared" si="14"/>
        <v>2401</v>
      </c>
      <c r="AL25" s="206">
        <f t="shared" si="36"/>
        <v>240.1</v>
      </c>
      <c r="AM25" s="206">
        <f t="shared" si="15"/>
        <v>2401</v>
      </c>
      <c r="AN25" s="35">
        <f t="shared" si="16"/>
        <v>0.85750000000000004</v>
      </c>
      <c r="AO25" s="36">
        <f t="shared" si="17"/>
        <v>16807</v>
      </c>
      <c r="AQ25" s="226">
        <f t="shared" si="37"/>
        <v>0.77750013011481334</v>
      </c>
      <c r="AR25" s="38">
        <f t="shared" si="41"/>
        <v>72284.1870967742</v>
      </c>
      <c r="AS25" s="200">
        <f t="shared" si="38"/>
        <v>0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234.4</v>
      </c>
      <c r="C26" s="206">
        <f t="shared" si="18"/>
        <v>5043.38064516129</v>
      </c>
      <c r="D26">
        <f t="shared" si="19"/>
        <v>234.4</v>
      </c>
      <c r="E26" s="206">
        <f t="shared" si="18"/>
        <v>5043.38064516129</v>
      </c>
      <c r="F26">
        <f t="shared" si="20"/>
        <v>234.4</v>
      </c>
      <c r="G26" s="206">
        <f t="shared" si="1"/>
        <v>5043.38064516129</v>
      </c>
      <c r="H26" s="206">
        <f t="shared" si="21"/>
        <v>234.4</v>
      </c>
      <c r="I26" s="206">
        <f t="shared" si="2"/>
        <v>5043.38064516129</v>
      </c>
      <c r="J26" s="206">
        <f t="shared" si="22"/>
        <v>234.4</v>
      </c>
      <c r="K26" s="206">
        <f t="shared" si="3"/>
        <v>5043.38064516129</v>
      </c>
      <c r="L26" s="206">
        <f t="shared" si="23"/>
        <v>234.4</v>
      </c>
      <c r="M26" s="206">
        <f t="shared" si="4"/>
        <v>5043.38064516129</v>
      </c>
      <c r="N26" s="206">
        <f t="shared" si="24"/>
        <v>234.4</v>
      </c>
      <c r="O26" s="206">
        <f t="shared" si="5"/>
        <v>5043.38064516129</v>
      </c>
      <c r="P26" s="206">
        <f t="shared" si="25"/>
        <v>234.4</v>
      </c>
      <c r="Q26" s="206">
        <f t="shared" si="6"/>
        <v>5043.38064516129</v>
      </c>
      <c r="R26" s="206">
        <f t="shared" si="26"/>
        <v>234.4</v>
      </c>
      <c r="S26" s="206">
        <f t="shared" si="7"/>
        <v>5043.38064516129</v>
      </c>
      <c r="T26" s="206">
        <f t="shared" si="27"/>
        <v>234.4</v>
      </c>
      <c r="U26" s="206">
        <f t="shared" si="8"/>
        <v>5043.38064516129</v>
      </c>
      <c r="V26" s="206">
        <f t="shared" si="28"/>
        <v>234.4</v>
      </c>
      <c r="W26" s="206">
        <f t="shared" si="9"/>
        <v>5043.38064516129</v>
      </c>
      <c r="X26" s="35">
        <f t="shared" si="10"/>
        <v>0.75612903225806449</v>
      </c>
      <c r="Y26" s="36">
        <f t="shared" si="29"/>
        <v>55477.187096774192</v>
      </c>
      <c r="Z26" s="206">
        <f>'B5'!C25</f>
        <v>240.1</v>
      </c>
      <c r="AA26" s="206">
        <f t="shared" si="30"/>
        <v>2401</v>
      </c>
      <c r="AB26" s="206">
        <f t="shared" si="31"/>
        <v>240.1</v>
      </c>
      <c r="AC26" s="206">
        <f t="shared" si="30"/>
        <v>2401</v>
      </c>
      <c r="AD26" s="206">
        <f t="shared" si="32"/>
        <v>240.1</v>
      </c>
      <c r="AE26" s="206">
        <f t="shared" si="11"/>
        <v>2401</v>
      </c>
      <c r="AF26" s="206">
        <f t="shared" si="33"/>
        <v>240.1</v>
      </c>
      <c r="AG26" s="206">
        <f t="shared" si="12"/>
        <v>2401</v>
      </c>
      <c r="AH26" s="206">
        <f t="shared" si="34"/>
        <v>240.1</v>
      </c>
      <c r="AI26" s="206">
        <f t="shared" si="13"/>
        <v>2401</v>
      </c>
      <c r="AJ26" s="206">
        <f t="shared" si="35"/>
        <v>240.1</v>
      </c>
      <c r="AK26" s="206">
        <f t="shared" si="14"/>
        <v>2401</v>
      </c>
      <c r="AL26" s="206">
        <f t="shared" si="36"/>
        <v>240.1</v>
      </c>
      <c r="AM26" s="206">
        <f t="shared" si="15"/>
        <v>2401</v>
      </c>
      <c r="AN26" s="35">
        <f t="shared" si="16"/>
        <v>0.85750000000000004</v>
      </c>
      <c r="AO26" s="36">
        <f t="shared" si="17"/>
        <v>16807</v>
      </c>
      <c r="AQ26" s="226">
        <f t="shared" si="37"/>
        <v>0.77750013011481334</v>
      </c>
      <c r="AR26" s="38">
        <f t="shared" si="41"/>
        <v>72284.1870967742</v>
      </c>
      <c r="AS26" s="200">
        <f t="shared" si="38"/>
        <v>0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234.4</v>
      </c>
      <c r="C27" s="206">
        <f t="shared" si="18"/>
        <v>5043.38064516129</v>
      </c>
      <c r="D27">
        <f t="shared" si="19"/>
        <v>234.4</v>
      </c>
      <c r="E27" s="206">
        <f t="shared" si="18"/>
        <v>5043.38064516129</v>
      </c>
      <c r="F27">
        <f t="shared" si="20"/>
        <v>234.4</v>
      </c>
      <c r="G27" s="206">
        <f t="shared" si="1"/>
        <v>5043.38064516129</v>
      </c>
      <c r="H27" s="206">
        <f t="shared" si="21"/>
        <v>234.4</v>
      </c>
      <c r="I27" s="206">
        <f t="shared" si="2"/>
        <v>5043.38064516129</v>
      </c>
      <c r="J27" s="206">
        <f t="shared" si="22"/>
        <v>234.4</v>
      </c>
      <c r="K27" s="206">
        <f t="shared" si="3"/>
        <v>5043.38064516129</v>
      </c>
      <c r="L27" s="206">
        <f t="shared" si="23"/>
        <v>234.4</v>
      </c>
      <c r="M27" s="206">
        <f t="shared" si="4"/>
        <v>5043.38064516129</v>
      </c>
      <c r="N27" s="206">
        <f t="shared" si="24"/>
        <v>234.4</v>
      </c>
      <c r="O27" s="206">
        <f t="shared" si="5"/>
        <v>5043.38064516129</v>
      </c>
      <c r="P27" s="206">
        <f t="shared" si="25"/>
        <v>234.4</v>
      </c>
      <c r="Q27" s="206">
        <f t="shared" si="6"/>
        <v>5043.38064516129</v>
      </c>
      <c r="R27" s="206">
        <f t="shared" si="26"/>
        <v>234.4</v>
      </c>
      <c r="S27" s="206">
        <f t="shared" si="7"/>
        <v>5043.38064516129</v>
      </c>
      <c r="T27" s="206">
        <f t="shared" si="27"/>
        <v>234.4</v>
      </c>
      <c r="U27" s="206">
        <f t="shared" si="8"/>
        <v>5043.38064516129</v>
      </c>
      <c r="V27" s="206">
        <f t="shared" si="28"/>
        <v>234.4</v>
      </c>
      <c r="W27" s="206">
        <f t="shared" si="9"/>
        <v>5043.38064516129</v>
      </c>
      <c r="X27" s="35">
        <f t="shared" si="10"/>
        <v>0.75612903225806449</v>
      </c>
      <c r="Y27" s="36">
        <f t="shared" si="29"/>
        <v>55477.187096774192</v>
      </c>
      <c r="Z27" s="206">
        <f>'B5'!C26</f>
        <v>240.1</v>
      </c>
      <c r="AA27" s="206">
        <f t="shared" si="30"/>
        <v>2401</v>
      </c>
      <c r="AB27" s="206">
        <f t="shared" si="31"/>
        <v>240.1</v>
      </c>
      <c r="AC27" s="206">
        <f t="shared" si="30"/>
        <v>2401</v>
      </c>
      <c r="AD27" s="206">
        <f t="shared" si="32"/>
        <v>240.1</v>
      </c>
      <c r="AE27" s="206">
        <f t="shared" si="11"/>
        <v>2401</v>
      </c>
      <c r="AF27" s="206">
        <f t="shared" si="33"/>
        <v>240.1</v>
      </c>
      <c r="AG27" s="206">
        <f t="shared" si="12"/>
        <v>2401</v>
      </c>
      <c r="AH27" s="206">
        <f t="shared" si="34"/>
        <v>240.1</v>
      </c>
      <c r="AI27" s="206">
        <f t="shared" si="13"/>
        <v>2401</v>
      </c>
      <c r="AJ27" s="206">
        <f t="shared" si="35"/>
        <v>240.1</v>
      </c>
      <c r="AK27" s="206">
        <f t="shared" si="14"/>
        <v>2401</v>
      </c>
      <c r="AL27" s="206">
        <f t="shared" si="36"/>
        <v>240.1</v>
      </c>
      <c r="AM27" s="206">
        <f t="shared" si="15"/>
        <v>2401</v>
      </c>
      <c r="AN27" s="35">
        <f t="shared" si="16"/>
        <v>0.85750000000000004</v>
      </c>
      <c r="AO27" s="36">
        <f t="shared" si="17"/>
        <v>16807</v>
      </c>
      <c r="AQ27" s="226">
        <f t="shared" si="37"/>
        <v>0.77750013011481334</v>
      </c>
      <c r="AR27" s="38">
        <f t="shared" si="41"/>
        <v>72284.1870967742</v>
      </c>
      <c r="AS27" s="200">
        <f t="shared" si="38"/>
        <v>0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234.4</v>
      </c>
      <c r="C28" s="206">
        <f t="shared" si="18"/>
        <v>5043.38064516129</v>
      </c>
      <c r="D28">
        <f t="shared" si="19"/>
        <v>234.4</v>
      </c>
      <c r="E28" s="206">
        <f t="shared" si="18"/>
        <v>5043.38064516129</v>
      </c>
      <c r="F28">
        <f t="shared" si="20"/>
        <v>234.4</v>
      </c>
      <c r="G28" s="206">
        <f t="shared" si="1"/>
        <v>5043.38064516129</v>
      </c>
      <c r="H28" s="206">
        <f t="shared" si="21"/>
        <v>234.4</v>
      </c>
      <c r="I28" s="206">
        <f t="shared" si="2"/>
        <v>5043.38064516129</v>
      </c>
      <c r="J28" s="206">
        <f t="shared" si="22"/>
        <v>234.4</v>
      </c>
      <c r="K28" s="206">
        <f t="shared" si="3"/>
        <v>5043.38064516129</v>
      </c>
      <c r="L28" s="206">
        <f t="shared" si="23"/>
        <v>234.4</v>
      </c>
      <c r="M28" s="206">
        <f t="shared" si="4"/>
        <v>5043.38064516129</v>
      </c>
      <c r="N28" s="206">
        <f t="shared" si="24"/>
        <v>234.4</v>
      </c>
      <c r="O28" s="206">
        <f t="shared" si="5"/>
        <v>5043.38064516129</v>
      </c>
      <c r="P28" s="206">
        <f t="shared" si="25"/>
        <v>234.4</v>
      </c>
      <c r="Q28" s="206">
        <f t="shared" si="6"/>
        <v>5043.38064516129</v>
      </c>
      <c r="R28" s="206">
        <f t="shared" si="26"/>
        <v>234.4</v>
      </c>
      <c r="S28" s="206">
        <f t="shared" si="7"/>
        <v>5043.38064516129</v>
      </c>
      <c r="T28" s="206">
        <f t="shared" si="27"/>
        <v>234.4</v>
      </c>
      <c r="U28" s="206">
        <f t="shared" si="8"/>
        <v>5043.38064516129</v>
      </c>
      <c r="V28" s="206">
        <f t="shared" si="28"/>
        <v>234.4</v>
      </c>
      <c r="W28" s="206">
        <f t="shared" si="9"/>
        <v>5043.38064516129</v>
      </c>
      <c r="X28" s="35">
        <f t="shared" si="10"/>
        <v>0.75612903225806449</v>
      </c>
      <c r="Y28" s="36">
        <f t="shared" si="29"/>
        <v>55477.187096774192</v>
      </c>
      <c r="Z28" s="206">
        <f>'B5'!C27</f>
        <v>240.1</v>
      </c>
      <c r="AA28" s="206">
        <f t="shared" si="30"/>
        <v>2401</v>
      </c>
      <c r="AB28" s="206">
        <f t="shared" si="31"/>
        <v>240.1</v>
      </c>
      <c r="AC28" s="206">
        <f t="shared" si="30"/>
        <v>2401</v>
      </c>
      <c r="AD28" s="206">
        <f t="shared" si="32"/>
        <v>240.1</v>
      </c>
      <c r="AE28" s="206">
        <f t="shared" si="11"/>
        <v>2401</v>
      </c>
      <c r="AF28" s="206">
        <f t="shared" si="33"/>
        <v>240.1</v>
      </c>
      <c r="AG28" s="206">
        <f t="shared" si="12"/>
        <v>2401</v>
      </c>
      <c r="AH28" s="206">
        <f t="shared" si="34"/>
        <v>240.1</v>
      </c>
      <c r="AI28" s="206">
        <f t="shared" si="13"/>
        <v>2401</v>
      </c>
      <c r="AJ28" s="206">
        <f t="shared" si="35"/>
        <v>240.1</v>
      </c>
      <c r="AK28" s="206">
        <f t="shared" si="14"/>
        <v>2401</v>
      </c>
      <c r="AL28" s="206">
        <f t="shared" si="36"/>
        <v>240.1</v>
      </c>
      <c r="AM28" s="206">
        <f t="shared" si="15"/>
        <v>2401</v>
      </c>
      <c r="AN28" s="35">
        <f t="shared" si="16"/>
        <v>0.85750000000000004</v>
      </c>
      <c r="AO28" s="36">
        <f t="shared" si="17"/>
        <v>16807</v>
      </c>
      <c r="AQ28" s="226">
        <f t="shared" si="37"/>
        <v>0.77750013011481334</v>
      </c>
      <c r="AR28" s="38">
        <f t="shared" si="41"/>
        <v>72284.1870967742</v>
      </c>
      <c r="AS28" s="200">
        <f t="shared" si="38"/>
        <v>0</v>
      </c>
      <c r="AT28" s="365"/>
      <c r="AU28" s="449"/>
      <c r="AV28" s="533">
        <f t="shared" si="42"/>
        <v>0.53500000000000003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234.4</v>
      </c>
      <c r="C29" s="206">
        <f t="shared" si="18"/>
        <v>5043.38064516129</v>
      </c>
      <c r="D29">
        <f t="shared" si="19"/>
        <v>234.4</v>
      </c>
      <c r="E29" s="206">
        <f t="shared" si="18"/>
        <v>5043.38064516129</v>
      </c>
      <c r="F29">
        <f t="shared" si="20"/>
        <v>234.4</v>
      </c>
      <c r="G29" s="206">
        <f t="shared" si="1"/>
        <v>5043.38064516129</v>
      </c>
      <c r="H29" s="206">
        <f t="shared" si="21"/>
        <v>234.4</v>
      </c>
      <c r="I29" s="206">
        <f t="shared" si="2"/>
        <v>5043.38064516129</v>
      </c>
      <c r="J29" s="206">
        <f t="shared" si="22"/>
        <v>234.4</v>
      </c>
      <c r="K29" s="206">
        <f t="shared" si="3"/>
        <v>5043.38064516129</v>
      </c>
      <c r="L29" s="206">
        <f t="shared" si="23"/>
        <v>234.4</v>
      </c>
      <c r="M29" s="206">
        <f t="shared" si="4"/>
        <v>5043.38064516129</v>
      </c>
      <c r="N29" s="206">
        <f t="shared" si="24"/>
        <v>234.4</v>
      </c>
      <c r="O29" s="206">
        <f t="shared" si="5"/>
        <v>5043.38064516129</v>
      </c>
      <c r="P29" s="206">
        <f t="shared" si="25"/>
        <v>234.4</v>
      </c>
      <c r="Q29" s="206">
        <f t="shared" si="6"/>
        <v>5043.38064516129</v>
      </c>
      <c r="R29" s="206">
        <f t="shared" si="26"/>
        <v>234.4</v>
      </c>
      <c r="S29" s="206">
        <f t="shared" si="7"/>
        <v>5043.38064516129</v>
      </c>
      <c r="T29" s="206">
        <f t="shared" si="27"/>
        <v>234.4</v>
      </c>
      <c r="U29" s="206">
        <f t="shared" si="8"/>
        <v>5043.38064516129</v>
      </c>
      <c r="V29" s="206">
        <f t="shared" si="28"/>
        <v>234.4</v>
      </c>
      <c r="W29" s="206">
        <f t="shared" si="9"/>
        <v>5043.38064516129</v>
      </c>
      <c r="X29" s="35">
        <f t="shared" si="10"/>
        <v>0.75612903225806449</v>
      </c>
      <c r="Y29" s="36">
        <f t="shared" si="29"/>
        <v>55477.187096774192</v>
      </c>
      <c r="Z29" s="206">
        <f>'B5'!C28</f>
        <v>240.1</v>
      </c>
      <c r="AA29" s="206">
        <f t="shared" si="30"/>
        <v>2401</v>
      </c>
      <c r="AB29" s="206">
        <f t="shared" si="31"/>
        <v>240.1</v>
      </c>
      <c r="AC29" s="206">
        <f t="shared" si="30"/>
        <v>2401</v>
      </c>
      <c r="AD29" s="206">
        <f t="shared" si="32"/>
        <v>240.1</v>
      </c>
      <c r="AE29" s="206">
        <f t="shared" si="11"/>
        <v>2401</v>
      </c>
      <c r="AF29" s="206">
        <f t="shared" si="33"/>
        <v>240.1</v>
      </c>
      <c r="AG29" s="206">
        <f t="shared" si="12"/>
        <v>2401</v>
      </c>
      <c r="AH29" s="206">
        <f t="shared" si="34"/>
        <v>240.1</v>
      </c>
      <c r="AI29" s="206">
        <f t="shared" si="13"/>
        <v>2401</v>
      </c>
      <c r="AJ29" s="206">
        <f t="shared" si="35"/>
        <v>240.1</v>
      </c>
      <c r="AK29" s="206">
        <f t="shared" si="14"/>
        <v>2401</v>
      </c>
      <c r="AL29" s="206">
        <f t="shared" si="36"/>
        <v>240.1</v>
      </c>
      <c r="AM29" s="206">
        <f t="shared" si="15"/>
        <v>2401</v>
      </c>
      <c r="AN29" s="35">
        <f t="shared" si="16"/>
        <v>0.85750000000000004</v>
      </c>
      <c r="AO29" s="36">
        <f t="shared" si="17"/>
        <v>16807</v>
      </c>
      <c r="AQ29" s="226">
        <f t="shared" si="37"/>
        <v>0.77750013011481334</v>
      </c>
      <c r="AR29" s="38">
        <f t="shared" si="41"/>
        <v>72284.1870967742</v>
      </c>
      <c r="AS29" s="200">
        <f t="shared" si="38"/>
        <v>0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234.4</v>
      </c>
      <c r="C30" s="206">
        <f t="shared" si="18"/>
        <v>5043.38064516129</v>
      </c>
      <c r="D30">
        <f t="shared" ref="D30:D35" si="44">SUM(B30)</f>
        <v>234.4</v>
      </c>
      <c r="E30" s="206">
        <f t="shared" si="18"/>
        <v>5043.38064516129</v>
      </c>
      <c r="F30">
        <f t="shared" ref="F30:F35" si="45">SUM(D30)</f>
        <v>234.4</v>
      </c>
      <c r="G30" s="206">
        <f t="shared" si="1"/>
        <v>5043.38064516129</v>
      </c>
      <c r="H30" s="206">
        <f t="shared" ref="H30:H35" si="46">SUM(F30)</f>
        <v>234.4</v>
      </c>
      <c r="I30" s="206">
        <f t="shared" si="2"/>
        <v>5043.38064516129</v>
      </c>
      <c r="J30" s="206">
        <f t="shared" ref="J30:J35" si="47">SUM(H30)</f>
        <v>234.4</v>
      </c>
      <c r="K30" s="206">
        <f t="shared" si="3"/>
        <v>5043.38064516129</v>
      </c>
      <c r="L30" s="206">
        <f t="shared" ref="L30:L35" si="48">SUM(J30)</f>
        <v>234.4</v>
      </c>
      <c r="M30" s="206">
        <f t="shared" si="4"/>
        <v>5043.38064516129</v>
      </c>
      <c r="N30" s="206">
        <f t="shared" ref="N30:N35" si="49">SUM(L30)</f>
        <v>234.4</v>
      </c>
      <c r="O30" s="206">
        <f t="shared" si="5"/>
        <v>5043.38064516129</v>
      </c>
      <c r="P30" s="206">
        <f t="shared" ref="P30:P35" si="50">SUM(N30)</f>
        <v>234.4</v>
      </c>
      <c r="Q30" s="206">
        <f t="shared" si="6"/>
        <v>5043.38064516129</v>
      </c>
      <c r="R30" s="206">
        <f t="shared" ref="R30:R35" si="51">SUM(P30)</f>
        <v>234.4</v>
      </c>
      <c r="S30" s="206">
        <f t="shared" si="7"/>
        <v>5043.38064516129</v>
      </c>
      <c r="T30" s="206">
        <f t="shared" ref="T30:T35" si="52">SUM(R30)</f>
        <v>234.4</v>
      </c>
      <c r="U30" s="206">
        <f t="shared" si="8"/>
        <v>5043.38064516129</v>
      </c>
      <c r="V30" s="206">
        <f t="shared" ref="V30:V35" si="53">SUM(T30)</f>
        <v>234.4</v>
      </c>
      <c r="W30" s="206">
        <f t="shared" si="9"/>
        <v>5043.38064516129</v>
      </c>
      <c r="X30" s="35">
        <f t="shared" ref="X30:X35" si="54">SUM(Y30/73370)</f>
        <v>0.75612903225806449</v>
      </c>
      <c r="Y30" s="36">
        <f t="shared" ref="Y30:Y35" si="55">SUM(C30+E30+G30+I30+K30+M30+O30+Q30+S30+U30+W30)</f>
        <v>55477.187096774192</v>
      </c>
      <c r="Z30" s="206">
        <f>'B5'!C29</f>
        <v>240.1</v>
      </c>
      <c r="AA30" s="206">
        <f t="shared" si="30"/>
        <v>2401</v>
      </c>
      <c r="AB30" s="206">
        <f t="shared" ref="AB30:AB35" si="56">SUM(Z30)</f>
        <v>240.1</v>
      </c>
      <c r="AC30" s="206">
        <f t="shared" si="30"/>
        <v>2401</v>
      </c>
      <c r="AD30" s="206">
        <f t="shared" ref="AD30:AD35" si="57">SUM(AB30)</f>
        <v>240.1</v>
      </c>
      <c r="AE30" s="206">
        <f t="shared" si="11"/>
        <v>2401</v>
      </c>
      <c r="AF30" s="206">
        <f t="shared" ref="AF30:AF35" si="58">SUM(AD30)</f>
        <v>240.1</v>
      </c>
      <c r="AG30" s="206">
        <f t="shared" si="12"/>
        <v>2401</v>
      </c>
      <c r="AH30" s="206">
        <f t="shared" ref="AH30:AH35" si="59">SUM(AF30)</f>
        <v>240.1</v>
      </c>
      <c r="AI30" s="206">
        <f t="shared" si="13"/>
        <v>2401</v>
      </c>
      <c r="AJ30" s="206">
        <f t="shared" ref="AJ30:AJ35" si="60">SUM(AH30)</f>
        <v>240.1</v>
      </c>
      <c r="AK30" s="206">
        <f t="shared" si="14"/>
        <v>2401</v>
      </c>
      <c r="AL30" s="206">
        <f t="shared" ref="AL30:AL35" si="61">SUM(AJ30)</f>
        <v>240.1</v>
      </c>
      <c r="AM30" s="206">
        <f t="shared" si="15"/>
        <v>2401</v>
      </c>
      <c r="AN30" s="35">
        <f t="shared" ref="AN30:AN35" si="62">SUM(AO30/19600)</f>
        <v>0.85750000000000004</v>
      </c>
      <c r="AO30" s="36">
        <f t="shared" ref="AO30:AO35" si="63">SUM(AA30+AC30+AE30+AG30+AI30+AK30+AM30)</f>
        <v>16807</v>
      </c>
      <c r="AQ30" s="226">
        <f t="shared" si="37"/>
        <v>0.77750013011481334</v>
      </c>
      <c r="AR30" s="38">
        <f t="shared" si="41"/>
        <v>72284.1870967742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234.4</v>
      </c>
      <c r="C31" s="206">
        <f t="shared" si="18"/>
        <v>5043.38064516129</v>
      </c>
      <c r="D31">
        <f t="shared" si="44"/>
        <v>234.4</v>
      </c>
      <c r="E31" s="206">
        <f t="shared" si="18"/>
        <v>5043.38064516129</v>
      </c>
      <c r="F31">
        <f t="shared" si="45"/>
        <v>234.4</v>
      </c>
      <c r="G31" s="206">
        <f t="shared" si="1"/>
        <v>5043.38064516129</v>
      </c>
      <c r="H31" s="206">
        <f t="shared" si="46"/>
        <v>234.4</v>
      </c>
      <c r="I31" s="206">
        <f t="shared" si="2"/>
        <v>5043.38064516129</v>
      </c>
      <c r="J31" s="206">
        <f t="shared" si="47"/>
        <v>234.4</v>
      </c>
      <c r="K31" s="206">
        <f t="shared" si="3"/>
        <v>5043.38064516129</v>
      </c>
      <c r="L31" s="206">
        <f t="shared" si="48"/>
        <v>234.4</v>
      </c>
      <c r="M31" s="206">
        <f t="shared" si="4"/>
        <v>5043.38064516129</v>
      </c>
      <c r="N31" s="206">
        <f t="shared" si="49"/>
        <v>234.4</v>
      </c>
      <c r="O31" s="206">
        <f t="shared" si="5"/>
        <v>5043.38064516129</v>
      </c>
      <c r="P31" s="206">
        <f t="shared" si="50"/>
        <v>234.4</v>
      </c>
      <c r="Q31" s="206">
        <f t="shared" si="6"/>
        <v>5043.38064516129</v>
      </c>
      <c r="R31" s="206">
        <f t="shared" si="51"/>
        <v>234.4</v>
      </c>
      <c r="S31" s="206">
        <f t="shared" si="7"/>
        <v>5043.38064516129</v>
      </c>
      <c r="T31" s="206">
        <f t="shared" si="52"/>
        <v>234.4</v>
      </c>
      <c r="U31" s="206">
        <f t="shared" si="8"/>
        <v>5043.38064516129</v>
      </c>
      <c r="V31" s="206">
        <f t="shared" si="53"/>
        <v>234.4</v>
      </c>
      <c r="W31" s="206">
        <f t="shared" si="9"/>
        <v>5043.38064516129</v>
      </c>
      <c r="X31" s="35">
        <f t="shared" si="54"/>
        <v>0.75612903225806449</v>
      </c>
      <c r="Y31" s="36">
        <f t="shared" si="55"/>
        <v>55477.187096774192</v>
      </c>
      <c r="Z31" s="206">
        <f>'B5'!C30</f>
        <v>240.1</v>
      </c>
      <c r="AA31" s="206">
        <f t="shared" si="30"/>
        <v>2401</v>
      </c>
      <c r="AB31" s="206">
        <f t="shared" si="56"/>
        <v>240.1</v>
      </c>
      <c r="AC31" s="206">
        <f t="shared" si="30"/>
        <v>2401</v>
      </c>
      <c r="AD31" s="206">
        <f t="shared" si="57"/>
        <v>240.1</v>
      </c>
      <c r="AE31" s="206">
        <f t="shared" si="11"/>
        <v>2401</v>
      </c>
      <c r="AF31" s="206">
        <f t="shared" si="58"/>
        <v>240.1</v>
      </c>
      <c r="AG31" s="206">
        <f t="shared" si="12"/>
        <v>2401</v>
      </c>
      <c r="AH31" s="206">
        <f t="shared" si="59"/>
        <v>240.1</v>
      </c>
      <c r="AI31" s="206">
        <f t="shared" si="13"/>
        <v>2401</v>
      </c>
      <c r="AJ31" s="206">
        <f t="shared" si="60"/>
        <v>240.1</v>
      </c>
      <c r="AK31" s="206">
        <f t="shared" si="14"/>
        <v>2401</v>
      </c>
      <c r="AL31" s="206">
        <f t="shared" si="61"/>
        <v>240.1</v>
      </c>
      <c r="AM31" s="206">
        <f t="shared" si="15"/>
        <v>2401</v>
      </c>
      <c r="AN31" s="35">
        <f t="shared" si="62"/>
        <v>0.85750000000000004</v>
      </c>
      <c r="AO31" s="36">
        <f t="shared" si="63"/>
        <v>16807</v>
      </c>
      <c r="AQ31" s="226">
        <f t="shared" si="37"/>
        <v>0.77750013011481334</v>
      </c>
      <c r="AR31" s="38">
        <f t="shared" si="41"/>
        <v>72284.1870967742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234.4</v>
      </c>
      <c r="C32" s="206">
        <f t="shared" si="18"/>
        <v>5043.38064516129</v>
      </c>
      <c r="D32">
        <f t="shared" si="44"/>
        <v>234.4</v>
      </c>
      <c r="E32" s="206">
        <f t="shared" si="18"/>
        <v>5043.38064516129</v>
      </c>
      <c r="F32">
        <f t="shared" si="45"/>
        <v>234.4</v>
      </c>
      <c r="G32" s="206">
        <f t="shared" si="1"/>
        <v>5043.38064516129</v>
      </c>
      <c r="H32" s="206">
        <f t="shared" si="46"/>
        <v>234.4</v>
      </c>
      <c r="I32" s="206">
        <f t="shared" si="2"/>
        <v>5043.38064516129</v>
      </c>
      <c r="J32" s="206">
        <f t="shared" si="47"/>
        <v>234.4</v>
      </c>
      <c r="K32" s="206">
        <f t="shared" si="3"/>
        <v>5043.38064516129</v>
      </c>
      <c r="L32" s="206">
        <f t="shared" si="48"/>
        <v>234.4</v>
      </c>
      <c r="M32" s="206">
        <f t="shared" si="4"/>
        <v>5043.38064516129</v>
      </c>
      <c r="N32" s="206">
        <f t="shared" si="49"/>
        <v>234.4</v>
      </c>
      <c r="O32" s="206">
        <f t="shared" si="5"/>
        <v>5043.38064516129</v>
      </c>
      <c r="P32" s="206">
        <f t="shared" si="50"/>
        <v>234.4</v>
      </c>
      <c r="Q32" s="206">
        <f t="shared" si="6"/>
        <v>5043.38064516129</v>
      </c>
      <c r="R32" s="206">
        <f t="shared" si="51"/>
        <v>234.4</v>
      </c>
      <c r="S32" s="206">
        <f t="shared" si="7"/>
        <v>5043.38064516129</v>
      </c>
      <c r="T32" s="206">
        <f t="shared" si="52"/>
        <v>234.4</v>
      </c>
      <c r="U32" s="206">
        <f t="shared" si="8"/>
        <v>5043.38064516129</v>
      </c>
      <c r="V32" s="206">
        <f t="shared" si="53"/>
        <v>234.4</v>
      </c>
      <c r="W32" s="206">
        <f t="shared" si="9"/>
        <v>5043.38064516129</v>
      </c>
      <c r="X32" s="35">
        <f t="shared" si="54"/>
        <v>0.75612903225806449</v>
      </c>
      <c r="Y32" s="36">
        <f t="shared" si="55"/>
        <v>55477.187096774192</v>
      </c>
      <c r="Z32" s="206">
        <f>'B5'!C31</f>
        <v>240.1</v>
      </c>
      <c r="AA32" s="206">
        <f t="shared" si="30"/>
        <v>2401</v>
      </c>
      <c r="AB32" s="206">
        <f t="shared" si="56"/>
        <v>240.1</v>
      </c>
      <c r="AC32" s="206">
        <f t="shared" si="30"/>
        <v>2401</v>
      </c>
      <c r="AD32" s="206">
        <f t="shared" si="57"/>
        <v>240.1</v>
      </c>
      <c r="AE32" s="206">
        <f t="shared" si="11"/>
        <v>2401</v>
      </c>
      <c r="AF32" s="206">
        <f t="shared" si="58"/>
        <v>240.1</v>
      </c>
      <c r="AG32" s="206">
        <f t="shared" si="12"/>
        <v>2401</v>
      </c>
      <c r="AH32" s="206">
        <f t="shared" si="59"/>
        <v>240.1</v>
      </c>
      <c r="AI32" s="206">
        <f t="shared" si="13"/>
        <v>2401</v>
      </c>
      <c r="AJ32" s="206">
        <f t="shared" si="60"/>
        <v>240.1</v>
      </c>
      <c r="AK32" s="206">
        <f t="shared" si="14"/>
        <v>2401</v>
      </c>
      <c r="AL32" s="206">
        <f t="shared" si="61"/>
        <v>240.1</v>
      </c>
      <c r="AM32" s="206">
        <f t="shared" si="15"/>
        <v>2401</v>
      </c>
      <c r="AN32" s="35">
        <f t="shared" si="62"/>
        <v>0.85750000000000004</v>
      </c>
      <c r="AO32" s="36">
        <f t="shared" si="63"/>
        <v>16807</v>
      </c>
      <c r="AQ32" s="226">
        <f t="shared" si="37"/>
        <v>0.77750013011481334</v>
      </c>
      <c r="AR32" s="38">
        <f t="shared" si="41"/>
        <v>72284.1870967742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234.4</v>
      </c>
      <c r="C33" s="206">
        <f t="shared" si="18"/>
        <v>5043.38064516129</v>
      </c>
      <c r="D33">
        <f t="shared" si="44"/>
        <v>234.4</v>
      </c>
      <c r="E33" s="206">
        <f t="shared" si="18"/>
        <v>5043.38064516129</v>
      </c>
      <c r="F33">
        <f t="shared" si="45"/>
        <v>234.4</v>
      </c>
      <c r="G33" s="206">
        <f t="shared" si="1"/>
        <v>5043.38064516129</v>
      </c>
      <c r="H33" s="206">
        <f t="shared" si="46"/>
        <v>234.4</v>
      </c>
      <c r="I33" s="206">
        <f t="shared" si="2"/>
        <v>5043.38064516129</v>
      </c>
      <c r="J33" s="206">
        <f t="shared" si="47"/>
        <v>234.4</v>
      </c>
      <c r="K33" s="206">
        <f t="shared" si="3"/>
        <v>5043.38064516129</v>
      </c>
      <c r="L33" s="206">
        <f t="shared" si="48"/>
        <v>234.4</v>
      </c>
      <c r="M33" s="206">
        <f t="shared" si="4"/>
        <v>5043.38064516129</v>
      </c>
      <c r="N33" s="206">
        <f t="shared" si="49"/>
        <v>234.4</v>
      </c>
      <c r="O33" s="206">
        <f t="shared" si="5"/>
        <v>5043.38064516129</v>
      </c>
      <c r="P33" s="206">
        <f t="shared" si="50"/>
        <v>234.4</v>
      </c>
      <c r="Q33" s="206">
        <f t="shared" si="6"/>
        <v>5043.38064516129</v>
      </c>
      <c r="R33" s="206">
        <f t="shared" si="51"/>
        <v>234.4</v>
      </c>
      <c r="S33" s="206">
        <f t="shared" si="7"/>
        <v>5043.38064516129</v>
      </c>
      <c r="T33" s="206">
        <f t="shared" si="52"/>
        <v>234.4</v>
      </c>
      <c r="U33" s="206">
        <f t="shared" si="8"/>
        <v>5043.38064516129</v>
      </c>
      <c r="V33" s="206">
        <f t="shared" si="53"/>
        <v>234.4</v>
      </c>
      <c r="W33" s="206">
        <f t="shared" si="9"/>
        <v>5043.38064516129</v>
      </c>
      <c r="X33" s="35">
        <f t="shared" si="54"/>
        <v>0.75612903225806449</v>
      </c>
      <c r="Y33" s="36">
        <f t="shared" si="55"/>
        <v>55477.187096774192</v>
      </c>
      <c r="Z33" s="206">
        <f>'B5'!C32</f>
        <v>240.1</v>
      </c>
      <c r="AA33" s="206">
        <f t="shared" si="30"/>
        <v>2401</v>
      </c>
      <c r="AB33" s="206">
        <f t="shared" si="56"/>
        <v>240.1</v>
      </c>
      <c r="AC33" s="206">
        <f t="shared" si="30"/>
        <v>2401</v>
      </c>
      <c r="AD33" s="206">
        <f t="shared" si="57"/>
        <v>240.1</v>
      </c>
      <c r="AE33" s="206">
        <f t="shared" si="11"/>
        <v>2401</v>
      </c>
      <c r="AF33" s="206">
        <f t="shared" si="58"/>
        <v>240.1</v>
      </c>
      <c r="AG33" s="206">
        <f t="shared" si="12"/>
        <v>2401</v>
      </c>
      <c r="AH33" s="206">
        <f t="shared" si="59"/>
        <v>240.1</v>
      </c>
      <c r="AI33" s="206">
        <f t="shared" si="13"/>
        <v>2401</v>
      </c>
      <c r="AJ33" s="206">
        <f t="shared" si="60"/>
        <v>240.1</v>
      </c>
      <c r="AK33" s="206">
        <f t="shared" si="14"/>
        <v>2401</v>
      </c>
      <c r="AL33" s="206">
        <f t="shared" si="61"/>
        <v>240.1</v>
      </c>
      <c r="AM33" s="206">
        <f t="shared" si="15"/>
        <v>2401</v>
      </c>
      <c r="AN33" s="35">
        <f t="shared" si="62"/>
        <v>0.85750000000000004</v>
      </c>
      <c r="AO33" s="36">
        <f t="shared" si="63"/>
        <v>16807</v>
      </c>
      <c r="AQ33" s="226">
        <f t="shared" si="37"/>
        <v>0.77750013011481334</v>
      </c>
      <c r="AR33" s="38">
        <f t="shared" si="41"/>
        <v>72284.1870967742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234.4</v>
      </c>
      <c r="C34" s="206">
        <f t="shared" si="18"/>
        <v>5043.38064516129</v>
      </c>
      <c r="D34">
        <f t="shared" si="44"/>
        <v>234.4</v>
      </c>
      <c r="E34" s="206">
        <f t="shared" si="18"/>
        <v>5043.38064516129</v>
      </c>
      <c r="F34">
        <f t="shared" si="45"/>
        <v>234.4</v>
      </c>
      <c r="G34" s="206">
        <f t="shared" si="1"/>
        <v>5043.38064516129</v>
      </c>
      <c r="H34" s="206">
        <f t="shared" si="46"/>
        <v>234.4</v>
      </c>
      <c r="I34" s="206">
        <f t="shared" si="2"/>
        <v>5043.38064516129</v>
      </c>
      <c r="J34" s="206">
        <f t="shared" si="47"/>
        <v>234.4</v>
      </c>
      <c r="K34" s="206">
        <f t="shared" si="3"/>
        <v>5043.38064516129</v>
      </c>
      <c r="L34" s="206">
        <f t="shared" si="48"/>
        <v>234.4</v>
      </c>
      <c r="M34" s="206">
        <f t="shared" si="4"/>
        <v>5043.38064516129</v>
      </c>
      <c r="N34" s="206">
        <f t="shared" si="49"/>
        <v>234.4</v>
      </c>
      <c r="O34" s="206">
        <f t="shared" si="5"/>
        <v>5043.38064516129</v>
      </c>
      <c r="P34" s="206">
        <f t="shared" si="50"/>
        <v>234.4</v>
      </c>
      <c r="Q34" s="206">
        <f t="shared" si="6"/>
        <v>5043.38064516129</v>
      </c>
      <c r="R34" s="206">
        <f t="shared" si="51"/>
        <v>234.4</v>
      </c>
      <c r="S34" s="206">
        <f t="shared" si="7"/>
        <v>5043.38064516129</v>
      </c>
      <c r="T34" s="206">
        <f t="shared" si="52"/>
        <v>234.4</v>
      </c>
      <c r="U34" s="206">
        <f t="shared" si="8"/>
        <v>5043.38064516129</v>
      </c>
      <c r="V34" s="206">
        <f t="shared" si="53"/>
        <v>234.4</v>
      </c>
      <c r="W34" s="206">
        <f t="shared" si="9"/>
        <v>5043.38064516129</v>
      </c>
      <c r="X34" s="35">
        <f t="shared" si="54"/>
        <v>0.75612903225806449</v>
      </c>
      <c r="Y34" s="36">
        <f t="shared" si="55"/>
        <v>55477.187096774192</v>
      </c>
      <c r="Z34" s="206">
        <f>'B5'!C33</f>
        <v>240.1</v>
      </c>
      <c r="AA34" s="206">
        <f t="shared" si="30"/>
        <v>2401</v>
      </c>
      <c r="AB34" s="206">
        <f t="shared" si="56"/>
        <v>240.1</v>
      </c>
      <c r="AC34" s="206">
        <f t="shared" si="30"/>
        <v>2401</v>
      </c>
      <c r="AD34" s="206">
        <f t="shared" si="57"/>
        <v>240.1</v>
      </c>
      <c r="AE34" s="206">
        <f t="shared" si="11"/>
        <v>2401</v>
      </c>
      <c r="AF34" s="206">
        <f t="shared" si="58"/>
        <v>240.1</v>
      </c>
      <c r="AG34" s="206">
        <f t="shared" si="12"/>
        <v>2401</v>
      </c>
      <c r="AH34" s="206">
        <f t="shared" si="59"/>
        <v>240.1</v>
      </c>
      <c r="AI34" s="206">
        <f t="shared" si="13"/>
        <v>2401</v>
      </c>
      <c r="AJ34" s="206">
        <f t="shared" si="60"/>
        <v>240.1</v>
      </c>
      <c r="AK34" s="206">
        <f t="shared" si="14"/>
        <v>2401</v>
      </c>
      <c r="AL34" s="206">
        <f t="shared" si="61"/>
        <v>240.1</v>
      </c>
      <c r="AM34" s="206">
        <f t="shared" si="15"/>
        <v>2401</v>
      </c>
      <c r="AN34" s="35">
        <f t="shared" si="62"/>
        <v>0.85750000000000004</v>
      </c>
      <c r="AO34" s="36">
        <f t="shared" si="63"/>
        <v>16807</v>
      </c>
      <c r="AQ34" s="226">
        <f>SUM(AR34/92970)</f>
        <v>0.77750013011481334</v>
      </c>
      <c r="AR34" s="38">
        <f t="shared" si="41"/>
        <v>72284.1870967742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234.4</v>
      </c>
      <c r="C35" s="206">
        <f t="shared" si="18"/>
        <v>5043.38064516129</v>
      </c>
      <c r="D35">
        <f t="shared" si="44"/>
        <v>234.4</v>
      </c>
      <c r="E35" s="206">
        <f t="shared" si="18"/>
        <v>5043.38064516129</v>
      </c>
      <c r="F35">
        <f t="shared" si="45"/>
        <v>234.4</v>
      </c>
      <c r="G35" s="206">
        <f t="shared" si="1"/>
        <v>5043.38064516129</v>
      </c>
      <c r="H35" s="206">
        <f t="shared" si="46"/>
        <v>234.4</v>
      </c>
      <c r="I35" s="206">
        <f t="shared" si="2"/>
        <v>5043.38064516129</v>
      </c>
      <c r="J35" s="206">
        <f t="shared" si="47"/>
        <v>234.4</v>
      </c>
      <c r="K35" s="206">
        <f t="shared" si="3"/>
        <v>5043.38064516129</v>
      </c>
      <c r="L35" s="206">
        <f t="shared" si="48"/>
        <v>234.4</v>
      </c>
      <c r="M35" s="206">
        <f t="shared" si="4"/>
        <v>5043.38064516129</v>
      </c>
      <c r="N35" s="206">
        <f t="shared" si="49"/>
        <v>234.4</v>
      </c>
      <c r="O35" s="206">
        <f t="shared" si="5"/>
        <v>5043.38064516129</v>
      </c>
      <c r="P35" s="206">
        <f t="shared" si="50"/>
        <v>234.4</v>
      </c>
      <c r="Q35" s="206">
        <f t="shared" si="6"/>
        <v>5043.38064516129</v>
      </c>
      <c r="R35" s="206">
        <f t="shared" si="51"/>
        <v>234.4</v>
      </c>
      <c r="S35" s="206">
        <f t="shared" si="7"/>
        <v>5043.38064516129</v>
      </c>
      <c r="T35" s="206">
        <f t="shared" si="52"/>
        <v>234.4</v>
      </c>
      <c r="U35" s="206">
        <f t="shared" si="8"/>
        <v>5043.38064516129</v>
      </c>
      <c r="V35" s="206">
        <f t="shared" si="53"/>
        <v>234.4</v>
      </c>
      <c r="W35" s="206">
        <f t="shared" si="9"/>
        <v>5043.38064516129</v>
      </c>
      <c r="X35" s="35">
        <f t="shared" si="54"/>
        <v>0.75612903225806449</v>
      </c>
      <c r="Y35" s="36">
        <f t="shared" si="55"/>
        <v>55477.187096774192</v>
      </c>
      <c r="Z35" s="206">
        <f>'B5'!C34</f>
        <v>240.1</v>
      </c>
      <c r="AA35" s="206">
        <f t="shared" si="30"/>
        <v>2401</v>
      </c>
      <c r="AB35" s="206">
        <f t="shared" si="56"/>
        <v>240.1</v>
      </c>
      <c r="AC35" s="206">
        <f t="shared" si="30"/>
        <v>2401</v>
      </c>
      <c r="AD35" s="206">
        <f t="shared" si="57"/>
        <v>240.1</v>
      </c>
      <c r="AE35" s="206">
        <f t="shared" si="11"/>
        <v>2401</v>
      </c>
      <c r="AF35" s="206">
        <f t="shared" si="58"/>
        <v>240.1</v>
      </c>
      <c r="AG35" s="206">
        <f t="shared" si="12"/>
        <v>2401</v>
      </c>
      <c r="AH35" s="206">
        <f t="shared" si="59"/>
        <v>240.1</v>
      </c>
      <c r="AI35" s="206">
        <f t="shared" si="13"/>
        <v>2401</v>
      </c>
      <c r="AJ35" s="206">
        <f t="shared" si="60"/>
        <v>240.1</v>
      </c>
      <c r="AK35" s="206">
        <f t="shared" si="14"/>
        <v>2401</v>
      </c>
      <c r="AL35" s="206">
        <f t="shared" si="61"/>
        <v>240.1</v>
      </c>
      <c r="AM35" s="206">
        <f t="shared" si="15"/>
        <v>2401</v>
      </c>
      <c r="AN35" s="35">
        <f t="shared" si="62"/>
        <v>0.85750000000000004</v>
      </c>
      <c r="AO35" s="36">
        <f t="shared" si="63"/>
        <v>16807</v>
      </c>
      <c r="AQ35" s="226">
        <f>SUM(AR35/92970)</f>
        <v>0.77750013011481334</v>
      </c>
      <c r="AR35" s="38">
        <f t="shared" si="41"/>
        <v>72284.1870967742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234.4</v>
      </c>
      <c r="C36" s="206">
        <f t="shared" ref="C36" si="64">B36*$B$4</f>
        <v>5043.38064516129</v>
      </c>
      <c r="D36">
        <f t="shared" ref="D36" si="65">SUM(B36)</f>
        <v>234.4</v>
      </c>
      <c r="E36" s="206">
        <f t="shared" ref="E36" si="66">D36*$B$4</f>
        <v>5043.38064516129</v>
      </c>
      <c r="F36">
        <f t="shared" ref="F36" si="67">SUM(D36)</f>
        <v>234.4</v>
      </c>
      <c r="G36" s="206">
        <f t="shared" ref="G36" si="68">F36*$B$4</f>
        <v>5043.38064516129</v>
      </c>
      <c r="H36" s="206">
        <f t="shared" ref="H36" si="69">SUM(F36)</f>
        <v>234.4</v>
      </c>
      <c r="I36" s="206">
        <f t="shared" ref="I36" si="70">H36*$B$4</f>
        <v>5043.38064516129</v>
      </c>
      <c r="J36" s="206">
        <f t="shared" ref="J36" si="71">SUM(H36)</f>
        <v>234.4</v>
      </c>
      <c r="K36" s="206">
        <f t="shared" ref="K36" si="72">J36*$B$4</f>
        <v>5043.38064516129</v>
      </c>
      <c r="L36" s="206">
        <f t="shared" ref="L36" si="73">SUM(J36)</f>
        <v>234.4</v>
      </c>
      <c r="M36" s="206">
        <f t="shared" ref="M36" si="74">L36*$B$4</f>
        <v>5043.38064516129</v>
      </c>
      <c r="N36" s="206">
        <f t="shared" ref="N36" si="75">SUM(L36)</f>
        <v>234.4</v>
      </c>
      <c r="O36" s="206">
        <f t="shared" ref="O36" si="76">N36*$B$4</f>
        <v>5043.38064516129</v>
      </c>
      <c r="P36" s="206">
        <f t="shared" ref="P36" si="77">SUM(N36)</f>
        <v>234.4</v>
      </c>
      <c r="Q36" s="206">
        <f t="shared" ref="Q36" si="78">P36*$B$4</f>
        <v>5043.38064516129</v>
      </c>
      <c r="R36" s="206">
        <f t="shared" ref="R36" si="79">SUM(P36)</f>
        <v>234.4</v>
      </c>
      <c r="S36" s="206">
        <f t="shared" ref="S36" si="80">R36*$B$4</f>
        <v>5043.38064516129</v>
      </c>
      <c r="T36" s="206">
        <f t="shared" ref="T36" si="81">SUM(R36)</f>
        <v>234.4</v>
      </c>
      <c r="U36" s="206">
        <f t="shared" ref="U36" si="82">T36*$B$4</f>
        <v>5043.38064516129</v>
      </c>
      <c r="V36" s="206">
        <f t="shared" ref="V36" si="83">SUM(T36)</f>
        <v>234.4</v>
      </c>
      <c r="W36" s="206">
        <f t="shared" ref="W36" si="84">V36*$B$4</f>
        <v>5043.38064516129</v>
      </c>
      <c r="X36" s="35">
        <f t="shared" ref="X36" si="85">SUM(Y36/73370)</f>
        <v>0.75612903225806449</v>
      </c>
      <c r="Y36" s="36">
        <f t="shared" ref="Y36" si="86">SUM(C36+E36+G36+I36+K36+M36+O36+Q36+S36+U36+W36)</f>
        <v>55477.187096774192</v>
      </c>
      <c r="Z36" s="206">
        <f>'B5'!C35</f>
        <v>240.1</v>
      </c>
      <c r="AA36" s="206">
        <f t="shared" ref="AA36" si="87">SUM(Z36*$Z$4)</f>
        <v>2401</v>
      </c>
      <c r="AB36" s="206">
        <f t="shared" ref="AB36" si="88">SUM(Z36)</f>
        <v>240.1</v>
      </c>
      <c r="AC36" s="206">
        <f t="shared" ref="AC36" si="89">SUM(AB36*$Z$4)</f>
        <v>2401</v>
      </c>
      <c r="AD36" s="206">
        <f t="shared" ref="AD36" si="90">SUM(AB36)</f>
        <v>240.1</v>
      </c>
      <c r="AE36" s="206">
        <f t="shared" ref="AE36" si="91">SUM(AD36*$Z$4)</f>
        <v>2401</v>
      </c>
      <c r="AF36" s="206">
        <f t="shared" ref="AF36" si="92">SUM(AD36)</f>
        <v>240.1</v>
      </c>
      <c r="AG36" s="206">
        <f t="shared" ref="AG36" si="93">SUM(AF36*$Z$4)</f>
        <v>2401</v>
      </c>
      <c r="AH36" s="206">
        <f t="shared" ref="AH36" si="94">SUM(AF36)</f>
        <v>240.1</v>
      </c>
      <c r="AI36" s="206">
        <f t="shared" ref="AI36" si="95">SUM(AH36*$Z$4)</f>
        <v>2401</v>
      </c>
      <c r="AJ36" s="206">
        <f t="shared" ref="AJ36" si="96">SUM(AH36)</f>
        <v>240.1</v>
      </c>
      <c r="AK36" s="206">
        <f t="shared" ref="AK36" si="97">SUM(AJ36*$Z$4)</f>
        <v>2401</v>
      </c>
      <c r="AL36" s="206">
        <f t="shared" ref="AL36" si="98">SUM(AJ36)</f>
        <v>240.1</v>
      </c>
      <c r="AM36" s="206">
        <f t="shared" ref="AM36" si="99">SUM(AL36*$Z$4)</f>
        <v>2401</v>
      </c>
      <c r="AN36" s="35">
        <f t="shared" ref="AN36" si="100">SUM(AO36/19600)</f>
        <v>0.85750000000000004</v>
      </c>
      <c r="AO36" s="36">
        <f t="shared" ref="AO36" si="101">SUM(AA36+AC36+AE36+AG36+AI36+AK36+AM36)</f>
        <v>16807</v>
      </c>
      <c r="AQ36" s="226">
        <f>SUM(AR36/92970)</f>
        <v>0.77750013011481334</v>
      </c>
      <c r="AR36" s="38">
        <f t="shared" si="41"/>
        <v>72284.1870967742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-23113.290322580622</v>
      </c>
      <c r="AY37" s="206">
        <f>SUM(AY6:AY35)</f>
        <v>-24661.490322580634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-1541.3431451612896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5" activePane="bottomLeft" state="frozen"/>
      <selection pane="bottomLeft" activeCell="U18" sqref="U1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9">
        <v>9005</v>
      </c>
      <c r="C3" s="295">
        <f>B3-B2</f>
        <v>8</v>
      </c>
      <c r="D3" s="570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0">
        <f>J2</f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11612</v>
      </c>
      <c r="S3" s="295">
        <f t="shared" ref="S3:S32" si="5">R3-R2</f>
        <v>17</v>
      </c>
      <c r="T3" s="570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9">
        <v>9010</v>
      </c>
      <c r="C4" s="295">
        <f t="shared" ref="C4:C32" si="11">B4-B3</f>
        <v>5</v>
      </c>
      <c r="D4" s="570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0">
        <v>11616</v>
      </c>
      <c r="S4" s="295">
        <f t="shared" si="5"/>
        <v>4</v>
      </c>
      <c r="T4" s="570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9">
        <v>9025</v>
      </c>
      <c r="C5" s="295">
        <f t="shared" si="11"/>
        <v>15</v>
      </c>
      <c r="D5" s="570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0">
        <v>10698</v>
      </c>
      <c r="K5" s="295">
        <f t="shared" si="2"/>
        <v>0</v>
      </c>
      <c r="L5" s="570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0">
        <v>11620</v>
      </c>
      <c r="S5" s="295">
        <f t="shared" si="5"/>
        <v>4</v>
      </c>
      <c r="T5" s="570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9">
        <v>9038</v>
      </c>
      <c r="C6" s="295">
        <f t="shared" si="11"/>
        <v>13</v>
      </c>
      <c r="D6" s="570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0">
        <v>11627</v>
      </c>
      <c r="S6" s="295">
        <f t="shared" si="5"/>
        <v>7</v>
      </c>
      <c r="T6" s="570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9">
        <v>9046</v>
      </c>
      <c r="C7" s="295">
        <f t="shared" si="11"/>
        <v>8</v>
      </c>
      <c r="D7" s="570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0">
        <v>10698</v>
      </c>
      <c r="K7" s="295">
        <f t="shared" si="2"/>
        <v>0</v>
      </c>
      <c r="L7" s="570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0">
        <v>11627</v>
      </c>
      <c r="S7" s="295">
        <f t="shared" si="5"/>
        <v>0</v>
      </c>
      <c r="T7" s="570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9">
        <v>9048</v>
      </c>
      <c r="C8" s="295">
        <f t="shared" si="11"/>
        <v>2</v>
      </c>
      <c r="D8" s="570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0">
        <f t="shared" ref="R8:T33" si="27">R7</f>
        <v>11627</v>
      </c>
      <c r="S8" s="295">
        <f t="shared" si="5"/>
        <v>0</v>
      </c>
      <c r="T8" s="570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9">
        <v>9052</v>
      </c>
      <c r="C9" s="295">
        <f t="shared" si="11"/>
        <v>4</v>
      </c>
      <c r="D9" s="570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0">
        <v>10698</v>
      </c>
      <c r="K9" s="295">
        <f t="shared" si="2"/>
        <v>0</v>
      </c>
      <c r="L9" s="570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0">
        <v>11627</v>
      </c>
      <c r="S9" s="295">
        <f t="shared" si="5"/>
        <v>0</v>
      </c>
      <c r="T9" s="570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9">
        <v>9055</v>
      </c>
      <c r="C10" s="295">
        <f t="shared" si="11"/>
        <v>3</v>
      </c>
      <c r="D10" s="570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0">
        <v>11627</v>
      </c>
      <c r="S10" s="295">
        <f t="shared" si="5"/>
        <v>0</v>
      </c>
      <c r="T10" s="570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9">
        <v>9058</v>
      </c>
      <c r="C11" s="295">
        <f t="shared" si="11"/>
        <v>3</v>
      </c>
      <c r="D11" s="570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0">
        <f t="shared" si="27"/>
        <v>11627</v>
      </c>
      <c r="S11" s="295">
        <f t="shared" si="5"/>
        <v>0</v>
      </c>
      <c r="T11" s="570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9">
        <v>9061</v>
      </c>
      <c r="C12" s="295">
        <f t="shared" si="11"/>
        <v>3</v>
      </c>
      <c r="D12" s="570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0">
        <f t="shared" si="27"/>
        <v>11627</v>
      </c>
      <c r="S12" s="295">
        <f t="shared" si="5"/>
        <v>0</v>
      </c>
      <c r="T12" s="570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9">
        <v>9064</v>
      </c>
      <c r="C13" s="295">
        <f t="shared" si="11"/>
        <v>3</v>
      </c>
      <c r="D13" s="570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0">
        <v>11627</v>
      </c>
      <c r="S13" s="295">
        <f t="shared" si="5"/>
        <v>0</v>
      </c>
      <c r="T13" s="570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9">
        <v>9067</v>
      </c>
      <c r="C14" s="295">
        <f t="shared" si="11"/>
        <v>3</v>
      </c>
      <c r="D14" s="570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0">
        <f t="shared" si="27"/>
        <v>11627</v>
      </c>
      <c r="S14" s="295">
        <f t="shared" si="5"/>
        <v>0</v>
      </c>
      <c r="T14" s="570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9">
        <v>9071</v>
      </c>
      <c r="C15" s="295">
        <f t="shared" si="11"/>
        <v>4</v>
      </c>
      <c r="D15" s="570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0">
        <v>11629</v>
      </c>
      <c r="S15" s="295">
        <f t="shared" si="5"/>
        <v>2</v>
      </c>
      <c r="T15" s="570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9">
        <f t="shared" ref="B16:B33" si="29">B15</f>
        <v>9071</v>
      </c>
      <c r="C16" s="295">
        <f t="shared" si="11"/>
        <v>0</v>
      </c>
      <c r="D16" s="570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0">
        <v>11635</v>
      </c>
      <c r="S16" s="598">
        <f t="shared" si="5"/>
        <v>6</v>
      </c>
      <c r="T16" s="570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9">
        <f t="shared" si="29"/>
        <v>9071</v>
      </c>
      <c r="C17" s="295">
        <f t="shared" si="11"/>
        <v>0</v>
      </c>
      <c r="D17" s="570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0">
        <v>11640</v>
      </c>
      <c r="S17" s="295">
        <f t="shared" si="5"/>
        <v>5</v>
      </c>
      <c r="T17" s="570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9">
        <v>9074</v>
      </c>
      <c r="C18" s="295">
        <f t="shared" si="11"/>
        <v>3</v>
      </c>
      <c r="D18" s="570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0">
        <f t="shared" si="27"/>
        <v>11640</v>
      </c>
      <c r="S18" s="295">
        <f t="shared" si="5"/>
        <v>0</v>
      </c>
      <c r="T18" s="570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9">
        <f t="shared" si="29"/>
        <v>9074</v>
      </c>
      <c r="C19" s="295">
        <f t="shared" si="11"/>
        <v>0</v>
      </c>
      <c r="D19" s="570">
        <f t="shared" si="30"/>
        <v>217025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9100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0">
        <f t="shared" si="27"/>
        <v>11640</v>
      </c>
      <c r="S19" s="295">
        <f t="shared" si="5"/>
        <v>0</v>
      </c>
      <c r="T19" s="570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0</v>
      </c>
      <c r="AA19" s="295">
        <f t="shared" si="19"/>
        <v>0</v>
      </c>
      <c r="AB19" s="295">
        <f t="shared" si="20"/>
        <v>0</v>
      </c>
      <c r="AC19" s="295">
        <f t="shared" si="21"/>
        <v>0</v>
      </c>
      <c r="AD19" s="73">
        <f>ELEC!Q19</f>
        <v>0</v>
      </c>
      <c r="AE19" s="73" t="e">
        <f t="shared" si="23"/>
        <v>#DIV/0!</v>
      </c>
      <c r="AF19" s="413" t="e">
        <f t="shared" si="24"/>
        <v>#DIV/0!</v>
      </c>
      <c r="AG19" s="414" t="e">
        <f t="shared" si="25"/>
        <v>#DIV/0!</v>
      </c>
      <c r="AH19" s="414" t="e">
        <f t="shared" si="22"/>
        <v>#DIV/0!</v>
      </c>
      <c r="AI19" s="73">
        <f t="shared" si="26"/>
        <v>0</v>
      </c>
      <c r="AJ19" s="297">
        <f t="shared" si="9"/>
        <v>0.25738396624472576</v>
      </c>
      <c r="AK19" s="297">
        <f t="shared" si="31"/>
        <v>0</v>
      </c>
    </row>
    <row r="20" spans="1:37" ht="15.75" thickBot="1">
      <c r="A20" s="4">
        <f>ELEC!C20</f>
        <v>44061</v>
      </c>
      <c r="B20" s="569">
        <f t="shared" si="29"/>
        <v>9074</v>
      </c>
      <c r="C20" s="295">
        <f>B20-B19</f>
        <v>0</v>
      </c>
      <c r="D20" s="570">
        <f t="shared" si="30"/>
        <v>217025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9100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0">
        <f t="shared" si="27"/>
        <v>11640</v>
      </c>
      <c r="S20" s="295">
        <f t="shared" si="5"/>
        <v>0</v>
      </c>
      <c r="T20" s="570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0</v>
      </c>
      <c r="AA20" s="295">
        <f t="shared" si="19"/>
        <v>0</v>
      </c>
      <c r="AB20" s="295">
        <f t="shared" si="20"/>
        <v>0</v>
      </c>
      <c r="AC20" s="295">
        <f t="shared" si="21"/>
        <v>0</v>
      </c>
      <c r="AD20" s="73">
        <f>ELEC!Q20</f>
        <v>0</v>
      </c>
      <c r="AE20" s="73" t="e">
        <f t="shared" si="23"/>
        <v>#DIV/0!</v>
      </c>
      <c r="AF20" s="413" t="e">
        <f t="shared" si="24"/>
        <v>#DIV/0!</v>
      </c>
      <c r="AG20" s="414" t="e">
        <f t="shared" si="25"/>
        <v>#DIV/0!</v>
      </c>
      <c r="AH20" s="414" t="e">
        <f t="shared" si="22"/>
        <v>#DIV/0!</v>
      </c>
      <c r="AI20" s="73">
        <f>AD20*AJ20</f>
        <v>0</v>
      </c>
      <c r="AJ20" s="297">
        <f t="shared" si="9"/>
        <v>0.25738396624472576</v>
      </c>
      <c r="AK20" s="297">
        <f t="shared" si="31"/>
        <v>0</v>
      </c>
    </row>
    <row r="21" spans="1:37" ht="15.75" thickBot="1">
      <c r="A21" s="4">
        <f>ELEC!C21</f>
        <v>44062</v>
      </c>
      <c r="B21" s="569">
        <f t="shared" si="29"/>
        <v>9074</v>
      </c>
      <c r="C21" s="295">
        <f t="shared" si="11"/>
        <v>0</v>
      </c>
      <c r="D21" s="570">
        <f t="shared" si="30"/>
        <v>217025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0">
        <f t="shared" si="27"/>
        <v>11640</v>
      </c>
      <c r="S21" s="295">
        <f t="shared" si="5"/>
        <v>0</v>
      </c>
      <c r="T21" s="570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3"/>
        <v>#DIV/0!</v>
      </c>
      <c r="AF21" s="413" t="e">
        <f t="shared" si="24"/>
        <v>#DIV/0!</v>
      </c>
      <c r="AG21" s="414" t="e">
        <f t="shared" si="25"/>
        <v>#DIV/0!</v>
      </c>
      <c r="AH21" s="414" t="e">
        <f t="shared" si="22"/>
        <v>#DIV/0!</v>
      </c>
      <c r="AI21" s="73">
        <f t="shared" si="26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69">
        <f t="shared" si="29"/>
        <v>9074</v>
      </c>
      <c r="C22" s="295">
        <f t="shared" si="11"/>
        <v>0</v>
      </c>
      <c r="D22" s="570">
        <f t="shared" si="30"/>
        <v>217025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0">
        <f t="shared" si="27"/>
        <v>11640</v>
      </c>
      <c r="S22" s="295">
        <f t="shared" si="5"/>
        <v>0</v>
      </c>
      <c r="T22" s="570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3"/>
        <v>#DIV/0!</v>
      </c>
      <c r="AF22" s="413" t="e">
        <f t="shared" si="24"/>
        <v>#DIV/0!</v>
      </c>
      <c r="AG22" s="414" t="e">
        <f t="shared" si="25"/>
        <v>#DIV/0!</v>
      </c>
      <c r="AH22" s="414" t="e">
        <f t="shared" si="22"/>
        <v>#DIV/0!</v>
      </c>
      <c r="AI22" s="73">
        <f t="shared" si="26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69">
        <f t="shared" si="29"/>
        <v>9074</v>
      </c>
      <c r="C23" s="295">
        <f t="shared" si="11"/>
        <v>0</v>
      </c>
      <c r="D23" s="570">
        <f t="shared" si="30"/>
        <v>217025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0">
        <f t="shared" si="27"/>
        <v>11640</v>
      </c>
      <c r="S23" s="295">
        <f t="shared" si="5"/>
        <v>0</v>
      </c>
      <c r="T23" s="570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3"/>
        <v>#DIV/0!</v>
      </c>
      <c r="AF23" s="413" t="e">
        <f t="shared" si="24"/>
        <v>#DIV/0!</v>
      </c>
      <c r="AG23" s="414" t="e">
        <f t="shared" si="25"/>
        <v>#DIV/0!</v>
      </c>
      <c r="AH23" s="414" t="e">
        <f t="shared" si="22"/>
        <v>#DIV/0!</v>
      </c>
      <c r="AI23" s="73">
        <f t="shared" si="26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69">
        <f t="shared" si="29"/>
        <v>9074</v>
      </c>
      <c r="C24" s="295">
        <f t="shared" si="11"/>
        <v>0</v>
      </c>
      <c r="D24" s="570">
        <f t="shared" si="30"/>
        <v>217025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0">
        <f t="shared" si="14"/>
        <v>10698</v>
      </c>
      <c r="K24" s="295">
        <f t="shared" si="2"/>
        <v>0</v>
      </c>
      <c r="L24" s="570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0">
        <f t="shared" si="27"/>
        <v>11640</v>
      </c>
      <c r="S24" s="295">
        <f t="shared" si="5"/>
        <v>0</v>
      </c>
      <c r="T24" s="570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69">
        <f t="shared" si="29"/>
        <v>9074</v>
      </c>
      <c r="C25" s="295">
        <f t="shared" si="11"/>
        <v>0</v>
      </c>
      <c r="D25" s="570">
        <f t="shared" si="30"/>
        <v>217025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0">
        <f t="shared" si="14"/>
        <v>10698</v>
      </c>
      <c r="K25" s="295">
        <f t="shared" si="2"/>
        <v>0</v>
      </c>
      <c r="L25" s="570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0">
        <f t="shared" si="27"/>
        <v>11640</v>
      </c>
      <c r="S25" s="295">
        <f t="shared" si="5"/>
        <v>0</v>
      </c>
      <c r="T25" s="570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69">
        <f t="shared" si="29"/>
        <v>9074</v>
      </c>
      <c r="C26" s="295">
        <f t="shared" si="11"/>
        <v>0</v>
      </c>
      <c r="D26" s="570">
        <f t="shared" si="30"/>
        <v>217025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0">
        <f t="shared" si="14"/>
        <v>10698</v>
      </c>
      <c r="K26" s="295">
        <f t="shared" si="2"/>
        <v>0</v>
      </c>
      <c r="L26" s="570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0">
        <f t="shared" si="27"/>
        <v>11640</v>
      </c>
      <c r="S26" s="295">
        <f t="shared" si="5"/>
        <v>0</v>
      </c>
      <c r="T26" s="570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69">
        <f t="shared" si="29"/>
        <v>9074</v>
      </c>
      <c r="C27" s="295">
        <f t="shared" si="11"/>
        <v>0</v>
      </c>
      <c r="D27" s="570">
        <f t="shared" si="30"/>
        <v>217025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0">
        <f t="shared" si="14"/>
        <v>10698</v>
      </c>
      <c r="K27" s="295">
        <f t="shared" si="2"/>
        <v>0</v>
      </c>
      <c r="L27" s="570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0">
        <f t="shared" si="27"/>
        <v>11640</v>
      </c>
      <c r="S27" s="295">
        <f t="shared" si="5"/>
        <v>0</v>
      </c>
      <c r="T27" s="570">
        <f t="shared" si="27"/>
        <v>342996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69">
        <f t="shared" si="29"/>
        <v>9074</v>
      </c>
      <c r="C28" s="295">
        <f t="shared" si="11"/>
        <v>0</v>
      </c>
      <c r="D28" s="570">
        <f t="shared" si="30"/>
        <v>217025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0">
        <f t="shared" si="14"/>
        <v>10698</v>
      </c>
      <c r="K28" s="295">
        <f t="shared" si="2"/>
        <v>0</v>
      </c>
      <c r="L28" s="570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0">
        <f t="shared" si="27"/>
        <v>11640</v>
      </c>
      <c r="S28" s="295">
        <f t="shared" si="5"/>
        <v>0</v>
      </c>
      <c r="T28" s="570">
        <f t="shared" si="27"/>
        <v>342996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69">
        <f t="shared" si="29"/>
        <v>9074</v>
      </c>
      <c r="C29" s="295">
        <f t="shared" si="11"/>
        <v>0</v>
      </c>
      <c r="D29" s="570">
        <f t="shared" si="30"/>
        <v>217025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0">
        <f t="shared" si="14"/>
        <v>10698</v>
      </c>
      <c r="K29" s="295">
        <f t="shared" si="2"/>
        <v>0</v>
      </c>
      <c r="L29" s="570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0">
        <f t="shared" si="27"/>
        <v>11640</v>
      </c>
      <c r="S29" s="295">
        <f t="shared" si="5"/>
        <v>0</v>
      </c>
      <c r="T29" s="570">
        <f t="shared" si="27"/>
        <v>342996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9">
        <f t="shared" si="29"/>
        <v>9074</v>
      </c>
      <c r="C30" s="295">
        <f t="shared" si="11"/>
        <v>0</v>
      </c>
      <c r="D30" s="570">
        <f t="shared" si="30"/>
        <v>217025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0">
        <f t="shared" si="14"/>
        <v>10698</v>
      </c>
      <c r="K30" s="295">
        <f t="shared" si="2"/>
        <v>0</v>
      </c>
      <c r="L30" s="570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0">
        <f t="shared" si="27"/>
        <v>11640</v>
      </c>
      <c r="S30" s="295">
        <f t="shared" si="5"/>
        <v>0</v>
      </c>
      <c r="T30" s="570">
        <f t="shared" si="27"/>
        <v>342996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9">
        <f t="shared" si="29"/>
        <v>9074</v>
      </c>
      <c r="C31" s="295">
        <f t="shared" si="11"/>
        <v>0</v>
      </c>
      <c r="D31" s="570">
        <f t="shared" si="30"/>
        <v>217025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0">
        <f t="shared" si="14"/>
        <v>10698</v>
      </c>
      <c r="K31" s="295">
        <f t="shared" si="2"/>
        <v>0</v>
      </c>
      <c r="L31" s="570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0">
        <f t="shared" si="27"/>
        <v>11640</v>
      </c>
      <c r="S31" s="295">
        <f t="shared" si="5"/>
        <v>0</v>
      </c>
      <c r="T31" s="570">
        <f t="shared" si="27"/>
        <v>342996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9">
        <f t="shared" si="29"/>
        <v>9074</v>
      </c>
      <c r="C32" s="295">
        <f t="shared" si="11"/>
        <v>0</v>
      </c>
      <c r="D32" s="570">
        <f t="shared" si="30"/>
        <v>217025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0">
        <f t="shared" si="14"/>
        <v>10698</v>
      </c>
      <c r="K32" s="295">
        <f>J32-J31</f>
        <v>0</v>
      </c>
      <c r="L32" s="570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0">
        <f t="shared" si="27"/>
        <v>11640</v>
      </c>
      <c r="S32" s="295">
        <f t="shared" si="5"/>
        <v>0</v>
      </c>
      <c r="T32" s="570">
        <f t="shared" si="27"/>
        <v>342996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9">
        <f t="shared" si="29"/>
        <v>9074</v>
      </c>
      <c r="C33" s="295">
        <f t="shared" ref="C33" si="36">B33-B32</f>
        <v>0</v>
      </c>
      <c r="D33" s="570">
        <f t="shared" si="30"/>
        <v>217025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0">
        <f t="shared" si="14"/>
        <v>10698</v>
      </c>
      <c r="K33" s="295">
        <f>J33-J32</f>
        <v>0</v>
      </c>
      <c r="L33" s="570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0">
        <f t="shared" si="27"/>
        <v>11640</v>
      </c>
      <c r="S33" s="295">
        <f t="shared" ref="S33" si="43">R33-R32</f>
        <v>0</v>
      </c>
      <c r="T33" s="570">
        <f t="shared" si="27"/>
        <v>342996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122</v>
      </c>
      <c r="V34" s="40"/>
      <c r="X34">
        <v>341</v>
      </c>
      <c r="Z34" s="432">
        <f>SUM(Z3:Z32)</f>
        <v>122</v>
      </c>
    </row>
    <row r="35" spans="1:37">
      <c r="C35" s="40">
        <f>SUM(C3:C32)</f>
        <v>77</v>
      </c>
      <c r="K35" s="40">
        <f>SUM(K3:K32)</f>
        <v>0</v>
      </c>
      <c r="S35" s="40">
        <f>SUM(S3:S32)</f>
        <v>45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-6.1999999999999886</v>
      </c>
      <c r="J18" s="9">
        <f>'B5'!A20</f>
        <v>44059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44060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8"/>
      <c r="B1" s="636" t="s">
        <v>119</v>
      </c>
      <c r="C1" s="636" t="s">
        <v>118</v>
      </c>
      <c r="D1" s="640" t="s">
        <v>113</v>
      </c>
      <c r="E1" s="640" t="s">
        <v>114</v>
      </c>
      <c r="F1" s="641" t="s">
        <v>120</v>
      </c>
      <c r="G1" s="642" t="s">
        <v>75</v>
      </c>
      <c r="H1" s="633" t="s">
        <v>115</v>
      </c>
      <c r="I1" s="634" t="s">
        <v>116</v>
      </c>
      <c r="J1" s="633" t="s">
        <v>117</v>
      </c>
      <c r="K1" s="632" t="s">
        <v>121</v>
      </c>
      <c r="L1" s="632" t="s">
        <v>122</v>
      </c>
      <c r="M1" s="632" t="s">
        <v>123</v>
      </c>
      <c r="N1" s="632" t="s">
        <v>124</v>
      </c>
    </row>
    <row r="2" spans="1:14">
      <c r="A2" s="639"/>
      <c r="B2" s="637"/>
      <c r="C2" s="637"/>
      <c r="D2" s="640"/>
      <c r="E2" s="640"/>
      <c r="F2" s="641"/>
      <c r="G2" s="642"/>
      <c r="H2" s="633"/>
      <c r="I2" s="635"/>
      <c r="J2" s="633"/>
      <c r="K2" s="632"/>
      <c r="L2" s="632"/>
      <c r="M2" s="632"/>
      <c r="N2" s="63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44060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-6.1999999999999886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3" t="s">
        <v>151</v>
      </c>
      <c r="U3" s="64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zoomScale="80" zoomScaleNormal="80" workbookViewId="0">
      <selection activeCell="K19" sqref="K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7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7">
        <v>30051</v>
      </c>
      <c r="G4" s="160">
        <f t="shared" ref="G4:G32" si="1">F4-F3</f>
        <v>0</v>
      </c>
      <c r="H4" s="567">
        <v>103383</v>
      </c>
      <c r="I4" s="161">
        <f t="shared" ref="I4:I33" si="2">H4-H3</f>
        <v>3514</v>
      </c>
      <c r="J4" s="567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79.898342488045387</v>
      </c>
      <c r="P4" s="305">
        <f>SUM(L4:O4)</f>
        <v>403.1673308794218</v>
      </c>
      <c r="Q4" s="305">
        <f>SUM(-tanks!AX6*tanks!$AU$37)</f>
        <v>3143.9571370967742</v>
      </c>
      <c r="R4" s="305">
        <f>SUM(P4:Q4)</f>
        <v>3547.1244679761958</v>
      </c>
      <c r="S4" s="307">
        <f>SUM(ELEC!N3)</f>
        <v>25351</v>
      </c>
      <c r="T4" s="344">
        <f>IF(S4&gt;0,R4/S4,0)</f>
        <v>0.13992049496967363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4"/>
      <c r="AC4" s="655"/>
    </row>
    <row r="5" spans="1:30" ht="15.75" thickBot="1">
      <c r="A5" s="163">
        <f>ELEC!C4</f>
        <v>44045</v>
      </c>
      <c r="B5" s="567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7">
        <v>31607</v>
      </c>
      <c r="G5" s="160">
        <f t="shared" si="1"/>
        <v>1556</v>
      </c>
      <c r="H5" s="567">
        <v>107210</v>
      </c>
      <c r="I5" s="161">
        <f t="shared" si="2"/>
        <v>3827</v>
      </c>
      <c r="J5" s="567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79.898342488045387</v>
      </c>
      <c r="P5" s="305">
        <f t="shared" ref="P5:P32" si="9">SUM(L5:O5)</f>
        <v>831.2774469656573</v>
      </c>
      <c r="Q5" s="305">
        <f>SUM(-tanks!AX7*tanks!$AU$37)</f>
        <v>1436.2537499999994</v>
      </c>
      <c r="R5" s="305">
        <f t="shared" ref="R5:R32" si="10">SUM(P5:Q5)</f>
        <v>2267.5311969656568</v>
      </c>
      <c r="S5" s="307">
        <f>SUM(ELEC!N4)</f>
        <v>24732</v>
      </c>
      <c r="T5" s="344">
        <f>IF(S5&gt;0,R5/S5,0)</f>
        <v>9.1684101446128777E-2</v>
      </c>
      <c r="U5" s="255"/>
      <c r="V5" s="648"/>
      <c r="W5" s="649"/>
      <c r="X5" s="649"/>
      <c r="Y5" s="650"/>
      <c r="Z5" s="26" t="s">
        <v>203</v>
      </c>
      <c r="AA5" s="270">
        <f>'[5]EDl log'!AA22</f>
        <v>5000</v>
      </c>
      <c r="AB5" s="656"/>
      <c r="AC5" s="657"/>
    </row>
    <row r="6" spans="1:30" ht="15.75" thickBot="1">
      <c r="A6" s="163">
        <f>ELEC!C5</f>
        <v>44046</v>
      </c>
      <c r="B6" s="567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7">
        <v>31607</v>
      </c>
      <c r="G6" s="160">
        <f t="shared" si="1"/>
        <v>0</v>
      </c>
      <c r="H6" s="567">
        <v>110888</v>
      </c>
      <c r="I6" s="161">
        <f t="shared" si="2"/>
        <v>3678</v>
      </c>
      <c r="J6" s="567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79.898342488045387</v>
      </c>
      <c r="P6" s="305">
        <f t="shared" si="9"/>
        <v>396.61874049799559</v>
      </c>
      <c r="Q6" s="305">
        <f>SUM(-tanks!AX8*tanks!$AU$37)</f>
        <v>1913.031854838712</v>
      </c>
      <c r="R6" s="305">
        <f t="shared" si="10"/>
        <v>2309.6505953367077</v>
      </c>
      <c r="S6" s="307">
        <f>SUM(ELEC!N5)</f>
        <v>23757</v>
      </c>
      <c r="T6" s="344">
        <f t="shared" ref="T6:T32" si="12">IF(S6&gt;0,R6/S6,0)</f>
        <v>9.7219791864995908E-2</v>
      </c>
      <c r="V6" s="651"/>
      <c r="W6" s="652"/>
      <c r="X6" s="652"/>
      <c r="Y6" s="653"/>
      <c r="Z6" s="3"/>
      <c r="AA6" s="3"/>
      <c r="AB6" s="656"/>
      <c r="AC6" s="657"/>
    </row>
    <row r="7" spans="1:30" ht="15" customHeight="1" thickBot="1">
      <c r="A7" s="163">
        <f>ELEC!C6</f>
        <v>44047</v>
      </c>
      <c r="B7" s="567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7">
        <v>32332</v>
      </c>
      <c r="G7" s="160">
        <f t="shared" si="1"/>
        <v>725</v>
      </c>
      <c r="H7" s="567">
        <v>114200</v>
      </c>
      <c r="I7" s="161">
        <f t="shared" si="2"/>
        <v>3312</v>
      </c>
      <c r="J7" s="567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79.898342488045387</v>
      </c>
      <c r="P7" s="305">
        <f t="shared" si="9"/>
        <v>658.85953651789612</v>
      </c>
      <c r="Q7" s="305">
        <f>SUM(-tanks!AX9*tanks!$AU$37)</f>
        <v>714.87500000000011</v>
      </c>
      <c r="R7" s="305">
        <f t="shared" si="10"/>
        <v>1373.7345365178962</v>
      </c>
      <c r="S7" s="307">
        <f>SUM(ELEC!N6)</f>
        <v>25244</v>
      </c>
      <c r="T7" s="344">
        <f t="shared" si="12"/>
        <v>5.4418259250431637E-2</v>
      </c>
      <c r="V7" s="644" t="s">
        <v>204</v>
      </c>
      <c r="W7" s="645"/>
      <c r="X7" s="646" t="s">
        <v>205</v>
      </c>
      <c r="Y7" s="647"/>
      <c r="Z7" s="645"/>
      <c r="AA7" s="26"/>
      <c r="AB7" s="658"/>
      <c r="AC7" s="659"/>
    </row>
    <row r="8" spans="1:30" ht="15.75" customHeight="1" thickBot="1">
      <c r="A8" s="163">
        <f>ELEC!C7</f>
        <v>44048</v>
      </c>
      <c r="B8" s="567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7">
        <v>32678</v>
      </c>
      <c r="G8" s="160">
        <f t="shared" si="1"/>
        <v>346</v>
      </c>
      <c r="H8" s="567">
        <v>116434</v>
      </c>
      <c r="I8" s="161">
        <f t="shared" si="2"/>
        <v>2234</v>
      </c>
      <c r="J8" s="567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79.898342488045387</v>
      </c>
      <c r="P8" s="305">
        <f t="shared" si="9"/>
        <v>319.31990136035051</v>
      </c>
      <c r="Q8" s="305">
        <f>SUM(-tanks!AX10*tanks!$AU$37)</f>
        <v>2466.8822580645119</v>
      </c>
      <c r="R8" s="305">
        <f t="shared" si="10"/>
        <v>2786.2021594248627</v>
      </c>
      <c r="S8" s="307">
        <f>SUM(ELEC!N7)</f>
        <v>10988</v>
      </c>
      <c r="T8" s="344">
        <f>IF(S8&gt;0,R8/S8,0)</f>
        <v>0.25356772473833844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7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7">
        <v>33222</v>
      </c>
      <c r="G9" s="160">
        <f t="shared" si="1"/>
        <v>544</v>
      </c>
      <c r="H9" s="567">
        <v>117014</v>
      </c>
      <c r="I9" s="161">
        <f t="shared" si="2"/>
        <v>580</v>
      </c>
      <c r="J9" s="567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79.898342488045387</v>
      </c>
      <c r="P9" s="305">
        <f t="shared" si="9"/>
        <v>329.8485912442643</v>
      </c>
      <c r="Q9" s="305">
        <f>SUM(-tanks!AX11*tanks!$AU$37)</f>
        <v>202.46411290322698</v>
      </c>
      <c r="R9" s="305">
        <f>SUM(P9:Q9)</f>
        <v>532.31270414749133</v>
      </c>
      <c r="S9" s="307">
        <f>SUM(ELEC!N8)</f>
        <v>10699</v>
      </c>
      <c r="T9" s="344">
        <f t="shared" si="12"/>
        <v>4.9753500714785619E-2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7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7">
        <v>33793</v>
      </c>
      <c r="G10" s="160">
        <f t="shared" si="1"/>
        <v>571</v>
      </c>
      <c r="H10" s="567">
        <v>121686</v>
      </c>
      <c r="I10" s="161">
        <f t="shared" si="2"/>
        <v>4672</v>
      </c>
      <c r="J10" s="567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79.898342488045387</v>
      </c>
      <c r="P10" s="305">
        <f t="shared" si="9"/>
        <v>596.34544033215809</v>
      </c>
      <c r="Q10" s="305">
        <f>SUM(-tanks!AX12*tanks!$AU$37)</f>
        <v>-1136.0322580645077</v>
      </c>
      <c r="R10" s="305">
        <f t="shared" si="10"/>
        <v>-539.6868177323496</v>
      </c>
      <c r="S10" s="307">
        <f>SUM(ELEC!N9)</f>
        <v>9781</v>
      </c>
      <c r="T10" s="344">
        <f t="shared" si="12"/>
        <v>-5.5177059373514935E-2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7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7">
        <v>34451</v>
      </c>
      <c r="G11" s="160">
        <f t="shared" si="1"/>
        <v>658</v>
      </c>
      <c r="H11" s="567">
        <v>124110</v>
      </c>
      <c r="I11" s="161">
        <f t="shared" si="2"/>
        <v>2424</v>
      </c>
      <c r="J11" s="567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79.898342488045387</v>
      </c>
      <c r="P11" s="305">
        <f t="shared" si="9"/>
        <v>481.54875708174359</v>
      </c>
      <c r="Q11" s="305">
        <f>SUM(-tanks!AX13*tanks!$AU$37)</f>
        <v>609.60995967741223</v>
      </c>
      <c r="R11" s="305">
        <f t="shared" si="10"/>
        <v>1091.1587167591558</v>
      </c>
      <c r="S11" s="307">
        <f>SUM(ELEC!N10)</f>
        <v>10647</v>
      </c>
      <c r="T11" s="344">
        <f t="shared" si="12"/>
        <v>0.10248508657454267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7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7">
        <v>34998</v>
      </c>
      <c r="G12" s="160">
        <f t="shared" si="1"/>
        <v>547</v>
      </c>
      <c r="H12" s="567">
        <v>126161</v>
      </c>
      <c r="I12" s="161">
        <f t="shared" si="2"/>
        <v>2051</v>
      </c>
      <c r="J12" s="567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79.898342488045387</v>
      </c>
      <c r="P12" s="305">
        <f t="shared" si="9"/>
        <v>397.05389804360095</v>
      </c>
      <c r="Q12" s="305">
        <f>SUM(-tanks!AX14*tanks!$AU$37)</f>
        <v>320.71931451613244</v>
      </c>
      <c r="R12" s="305">
        <f t="shared" si="10"/>
        <v>717.77321255973334</v>
      </c>
      <c r="S12" s="307">
        <f>SUM(ELEC!N11)</f>
        <v>8400</v>
      </c>
      <c r="T12" s="344">
        <f t="shared" si="12"/>
        <v>8.5449191971396832E-2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7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7">
        <v>35632</v>
      </c>
      <c r="G13" s="160">
        <f t="shared" si="1"/>
        <v>634</v>
      </c>
      <c r="H13" s="567">
        <v>129428</v>
      </c>
      <c r="I13" s="161">
        <f t="shared" si="2"/>
        <v>3267</v>
      </c>
      <c r="J13" s="567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79.898342488045387</v>
      </c>
      <c r="P13" s="305">
        <f t="shared" si="9"/>
        <v>499.92089638522617</v>
      </c>
      <c r="Q13" s="305">
        <f>SUM(-tanks!AX15*tanks!$AU$37)</f>
        <v>253.34975806451698</v>
      </c>
      <c r="R13" s="305">
        <f t="shared" si="10"/>
        <v>753.27065444974312</v>
      </c>
      <c r="S13" s="307">
        <f>SUM(ELEC!N12)</f>
        <v>10457</v>
      </c>
      <c r="T13" s="344">
        <f t="shared" si="12"/>
        <v>7.2035063062995425E-2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5">
        <f>ELEC!C13</f>
        <v>44054</v>
      </c>
      <c r="B14" s="567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7">
        <v>36294</v>
      </c>
      <c r="G14" s="160">
        <f t="shared" si="1"/>
        <v>662</v>
      </c>
      <c r="H14" s="567">
        <v>132032</v>
      </c>
      <c r="I14" s="161">
        <f t="shared" si="2"/>
        <v>2604</v>
      </c>
      <c r="J14" s="567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79.898342488045387</v>
      </c>
      <c r="P14" s="305">
        <f t="shared" ref="P14:P17" si="18">SUM(L14:O14)</f>
        <v>485.42272059749814</v>
      </c>
      <c r="Q14" s="305">
        <f>SUM(-tanks!AX16*tanks!$AU$37)</f>
        <v>271.52072580643983</v>
      </c>
      <c r="R14" s="305">
        <f t="shared" ref="R14:R17" si="19">SUM(P14:Q14)</f>
        <v>756.94344640393797</v>
      </c>
      <c r="S14" s="307">
        <f>SUM(ELEC!N13)</f>
        <v>10265</v>
      </c>
      <c r="T14" s="344">
        <f t="shared" ref="T14:T17" si="20">IF(S14&gt;0,R14/S14,0)</f>
        <v>7.3740228582945738E-2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7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7">
        <v>36961</v>
      </c>
      <c r="G15" s="160">
        <f t="shared" si="1"/>
        <v>667</v>
      </c>
      <c r="H15" s="567">
        <v>134600</v>
      </c>
      <c r="I15" s="161">
        <f t="shared" si="2"/>
        <v>2568</v>
      </c>
      <c r="J15" s="567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79.898342488045387</v>
      </c>
      <c r="P15" s="305">
        <f t="shared" si="18"/>
        <v>485.93217333381654</v>
      </c>
      <c r="Q15" s="305">
        <f>SUM(-tanks!AX17*tanks!$AU$37)</f>
        <v>911.81153225806793</v>
      </c>
      <c r="R15" s="305">
        <f t="shared" si="19"/>
        <v>1397.7437055918845</v>
      </c>
      <c r="S15" s="307">
        <f>SUM(ELEC!N14)</f>
        <v>10779</v>
      </c>
      <c r="T15" s="344">
        <f t="shared" si="20"/>
        <v>0.1296728551435091</v>
      </c>
      <c r="V15" s="270" t="str">
        <f>'[5]EDl log'!V32</f>
        <v>H Deg</v>
      </c>
      <c r="W15" s="270">
        <f>'[1]EDl log'!W32</f>
        <v>-549.00000000000011</v>
      </c>
      <c r="X15" s="576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7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7">
        <v>37335</v>
      </c>
      <c r="G16" s="160">
        <f t="shared" si="1"/>
        <v>374</v>
      </c>
      <c r="H16" s="567">
        <v>137364</v>
      </c>
      <c r="I16" s="161">
        <f t="shared" si="2"/>
        <v>2764</v>
      </c>
      <c r="J16" s="567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79.898342488045387</v>
      </c>
      <c r="P16" s="305">
        <f t="shared" si="18"/>
        <v>442.49071396399899</v>
      </c>
      <c r="Q16" s="305">
        <f>SUM(-tanks!AX18*tanks!$AU$37)</f>
        <v>0</v>
      </c>
      <c r="R16" s="305">
        <f t="shared" si="19"/>
        <v>442.49071396399899</v>
      </c>
      <c r="S16" s="307">
        <f>SUM(ELEC!N15)</f>
        <v>11455</v>
      </c>
      <c r="T16" s="344">
        <f t="shared" si="20"/>
        <v>3.862860881396761E-2</v>
      </c>
      <c r="V16" s="270" t="str">
        <f>'[5]EDl log'!V33</f>
        <v>C Deg</v>
      </c>
      <c r="W16" s="270">
        <f>'[1]EDl log'!W33</f>
        <v>0</v>
      </c>
      <c r="X16" s="576">
        <f>'[2]EDl log'!X16</f>
        <v>0</v>
      </c>
      <c r="Y16" s="576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7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7">
        <v>37817</v>
      </c>
      <c r="G17" s="160">
        <f t="shared" si="1"/>
        <v>482</v>
      </c>
      <c r="H17" s="567">
        <v>139727</v>
      </c>
      <c r="I17" s="161">
        <f t="shared" si="2"/>
        <v>2363</v>
      </c>
      <c r="J17" s="567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79.898342488045387</v>
      </c>
      <c r="P17" s="305">
        <f t="shared" si="18"/>
        <v>413.06981844161089</v>
      </c>
      <c r="Q17" s="305">
        <f>SUM(-tanks!AX19*tanks!$AU$37)</f>
        <v>691.42959677419401</v>
      </c>
      <c r="R17" s="305">
        <f t="shared" si="19"/>
        <v>1104.4994152158049</v>
      </c>
      <c r="S17" s="307">
        <f>SUM(ELEC!N16)</f>
        <v>11209</v>
      </c>
      <c r="T17" s="344">
        <f t="shared" si="20"/>
        <v>9.8536837828156379E-2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7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7">
        <v>38527</v>
      </c>
      <c r="G18" s="160">
        <f t="shared" si="1"/>
        <v>710</v>
      </c>
      <c r="H18" s="567">
        <v>141543</v>
      </c>
      <c r="I18" s="161">
        <f t="shared" si="2"/>
        <v>1816</v>
      </c>
      <c r="J18" s="567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79.898342488045387</v>
      </c>
      <c r="P18" s="305">
        <f t="shared" si="9"/>
        <v>449.00746354940526</v>
      </c>
      <c r="Q18" s="305">
        <f>SUM(-tanks!AX20*tanks!$AU$37)</f>
        <v>505.80483870967697</v>
      </c>
      <c r="R18" s="305">
        <f t="shared" si="10"/>
        <v>954.81230225908223</v>
      </c>
      <c r="S18" s="307">
        <f>SUM(ELEC!N17)</f>
        <v>9704</v>
      </c>
      <c r="T18" s="344">
        <f t="shared" si="12"/>
        <v>9.8393683250111524E-2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7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7">
        <v>39113</v>
      </c>
      <c r="G19" s="160">
        <f t="shared" si="1"/>
        <v>586</v>
      </c>
      <c r="H19" s="567">
        <v>143816</v>
      </c>
      <c r="I19" s="161">
        <f t="shared" si="2"/>
        <v>2273</v>
      </c>
      <c r="J19" s="567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79.898342488045387</v>
      </c>
      <c r="P19" s="305">
        <f t="shared" si="9"/>
        <v>440.24063104525931</v>
      </c>
      <c r="Q19" s="305">
        <f>SUM(-tanks!AX21*tanks!$AU$37)</f>
        <v>117.71596774192915</v>
      </c>
      <c r="R19" s="305">
        <f t="shared" si="10"/>
        <v>557.95659878718845</v>
      </c>
      <c r="S19" s="307">
        <f>SUM(ELEC!N18)</f>
        <v>9365</v>
      </c>
      <c r="T19" s="344">
        <f t="shared" si="12"/>
        <v>5.9578921386779331E-2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7">
        <f t="shared" ref="B19:B34" si="25">B19</f>
        <v>280938</v>
      </c>
      <c r="C20" s="270">
        <f t="shared" si="0"/>
        <v>0</v>
      </c>
      <c r="D20" s="316">
        <f t="shared" si="7"/>
        <v>0</v>
      </c>
      <c r="E20" s="316">
        <f t="shared" si="11"/>
        <v>280938</v>
      </c>
      <c r="F20" s="567">
        <f t="shared" ref="F19:J34" si="26">F19</f>
        <v>39113</v>
      </c>
      <c r="G20" s="160">
        <f t="shared" si="1"/>
        <v>0</v>
      </c>
      <c r="H20" s="567">
        <f t="shared" si="26"/>
        <v>143816</v>
      </c>
      <c r="I20" s="161">
        <f t="shared" si="2"/>
        <v>0</v>
      </c>
      <c r="J20" s="567">
        <f t="shared" si="26"/>
        <v>98008</v>
      </c>
      <c r="K20" s="162">
        <f t="shared" si="3"/>
        <v>0</v>
      </c>
      <c r="L20" s="304">
        <f t="shared" si="21"/>
        <v>0</v>
      </c>
      <c r="M20" s="304">
        <f t="shared" si="22"/>
        <v>0</v>
      </c>
      <c r="N20" s="304">
        <f t="shared" si="23"/>
        <v>0</v>
      </c>
      <c r="O20" s="304">
        <f t="shared" si="24"/>
        <v>79.898342488045387</v>
      </c>
      <c r="P20" s="305">
        <f t="shared" si="9"/>
        <v>79.898342488045387</v>
      </c>
      <c r="Q20" s="305">
        <f>SUM(-tanks!AX22*tanks!$AU$37)</f>
        <v>0</v>
      </c>
      <c r="R20" s="305">
        <f t="shared" si="10"/>
        <v>79.898342488045387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44061</v>
      </c>
      <c r="B21" s="567">
        <f t="shared" si="25"/>
        <v>280938</v>
      </c>
      <c r="C21" s="270">
        <f t="shared" si="0"/>
        <v>0</v>
      </c>
      <c r="D21" s="316">
        <f t="shared" si="7"/>
        <v>0</v>
      </c>
      <c r="E21" s="316">
        <f t="shared" si="11"/>
        <v>280938</v>
      </c>
      <c r="F21" s="567">
        <f t="shared" si="26"/>
        <v>39113</v>
      </c>
      <c r="G21" s="160">
        <f t="shared" si="1"/>
        <v>0</v>
      </c>
      <c r="H21" s="567">
        <f t="shared" si="26"/>
        <v>143816</v>
      </c>
      <c r="I21" s="161">
        <f t="shared" si="2"/>
        <v>0</v>
      </c>
      <c r="J21" s="567">
        <f t="shared" si="26"/>
        <v>98008</v>
      </c>
      <c r="K21" s="162">
        <f t="shared" si="3"/>
        <v>0</v>
      </c>
      <c r="L21" s="304">
        <f t="shared" si="21"/>
        <v>0</v>
      </c>
      <c r="M21" s="304">
        <f t="shared" si="22"/>
        <v>0</v>
      </c>
      <c r="N21" s="304">
        <f t="shared" si="23"/>
        <v>0</v>
      </c>
      <c r="O21" s="304">
        <f t="shared" si="24"/>
        <v>79.898342488045387</v>
      </c>
      <c r="P21" s="305">
        <f t="shared" si="9"/>
        <v>79.898342488045387</v>
      </c>
      <c r="Q21" s="305">
        <f>SUM(-tanks!AX23*tanks!$AU$37)</f>
        <v>0</v>
      </c>
      <c r="R21" s="305">
        <f t="shared" si="10"/>
        <v>79.898342488045387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4"/>
      <c r="AC21" s="655"/>
    </row>
    <row r="22" spans="1:32" ht="15.75" thickBot="1">
      <c r="A22" s="163">
        <f>ELEC!C21</f>
        <v>44062</v>
      </c>
      <c r="B22" s="567">
        <f t="shared" si="25"/>
        <v>280938</v>
      </c>
      <c r="C22" s="270">
        <f t="shared" si="0"/>
        <v>0</v>
      </c>
      <c r="D22" s="316">
        <f t="shared" si="7"/>
        <v>0</v>
      </c>
      <c r="E22" s="316">
        <f t="shared" si="11"/>
        <v>280938</v>
      </c>
      <c r="F22" s="567">
        <f t="shared" si="26"/>
        <v>39113</v>
      </c>
      <c r="G22" s="160">
        <f t="shared" si="1"/>
        <v>0</v>
      </c>
      <c r="H22" s="567">
        <f t="shared" si="26"/>
        <v>143816</v>
      </c>
      <c r="I22" s="161">
        <f t="shared" si="2"/>
        <v>0</v>
      </c>
      <c r="J22" s="567">
        <f t="shared" si="26"/>
        <v>98008</v>
      </c>
      <c r="K22" s="162">
        <f t="shared" si="3"/>
        <v>0</v>
      </c>
      <c r="L22" s="304">
        <f t="shared" si="21"/>
        <v>0</v>
      </c>
      <c r="M22" s="304">
        <f t="shared" si="22"/>
        <v>0</v>
      </c>
      <c r="N22" s="304">
        <f t="shared" si="23"/>
        <v>0</v>
      </c>
      <c r="O22" s="304">
        <f t="shared" si="24"/>
        <v>79.898342488045387</v>
      </c>
      <c r="P22" s="305">
        <f t="shared" si="9"/>
        <v>79.898342488045387</v>
      </c>
      <c r="Q22" s="305">
        <f>SUM(-tanks!AX24*tanks!$AU$37)</f>
        <v>0</v>
      </c>
      <c r="R22" s="305">
        <f t="shared" si="10"/>
        <v>79.898342488045387</v>
      </c>
      <c r="S22" s="307">
        <f>SUM(ELEC!N21)</f>
        <v>0</v>
      </c>
      <c r="T22" s="344">
        <f t="shared" si="12"/>
        <v>0</v>
      </c>
      <c r="V22" s="660"/>
      <c r="W22" s="661"/>
      <c r="X22" s="661"/>
      <c r="Y22" s="662"/>
      <c r="Z22" s="26" t="s">
        <v>203</v>
      </c>
      <c r="AA22" s="26">
        <v>5000</v>
      </c>
      <c r="AB22" s="656"/>
      <c r="AC22" s="657"/>
    </row>
    <row r="23" spans="1:32" ht="15.75" thickBot="1">
      <c r="A23" s="163">
        <f>ELEC!C22</f>
        <v>44063</v>
      </c>
      <c r="B23" s="567">
        <f t="shared" si="25"/>
        <v>280938</v>
      </c>
      <c r="C23" s="270">
        <f t="shared" si="0"/>
        <v>0</v>
      </c>
      <c r="D23" s="316">
        <f t="shared" si="7"/>
        <v>0</v>
      </c>
      <c r="E23" s="316">
        <f t="shared" si="11"/>
        <v>280938</v>
      </c>
      <c r="F23" s="567">
        <f t="shared" si="26"/>
        <v>39113</v>
      </c>
      <c r="G23" s="160">
        <f t="shared" si="1"/>
        <v>0</v>
      </c>
      <c r="H23" s="567">
        <f t="shared" si="26"/>
        <v>143816</v>
      </c>
      <c r="I23" s="161">
        <f t="shared" si="2"/>
        <v>0</v>
      </c>
      <c r="J23" s="567">
        <f t="shared" si="26"/>
        <v>98008</v>
      </c>
      <c r="K23" s="162">
        <f t="shared" si="3"/>
        <v>0</v>
      </c>
      <c r="L23" s="304">
        <f t="shared" si="21"/>
        <v>0</v>
      </c>
      <c r="M23" s="304">
        <f t="shared" si="22"/>
        <v>0</v>
      </c>
      <c r="N23" s="304">
        <f t="shared" si="23"/>
        <v>0</v>
      </c>
      <c r="O23" s="304">
        <f t="shared" si="24"/>
        <v>79.898342488045387</v>
      </c>
      <c r="P23" s="305">
        <f t="shared" si="9"/>
        <v>79.898342488045387</v>
      </c>
      <c r="Q23" s="305">
        <f>SUM(-tanks!AX25*tanks!$AU$37)</f>
        <v>0</v>
      </c>
      <c r="R23" s="305">
        <f t="shared" si="10"/>
        <v>79.898342488045387</v>
      </c>
      <c r="S23" s="307">
        <f>SUM(ELEC!N22)</f>
        <v>0</v>
      </c>
      <c r="T23" s="344">
        <f t="shared" si="12"/>
        <v>0</v>
      </c>
      <c r="V23" s="663"/>
      <c r="W23" s="664"/>
      <c r="X23" s="664"/>
      <c r="Y23" s="665"/>
      <c r="Z23" s="666"/>
      <c r="AA23" s="667"/>
      <c r="AB23" s="656"/>
      <c r="AC23" s="657"/>
    </row>
    <row r="24" spans="1:32" ht="15" customHeight="1" thickBot="1">
      <c r="A24" s="163">
        <f>ELEC!C23</f>
        <v>44064</v>
      </c>
      <c r="B24" s="567">
        <f t="shared" si="25"/>
        <v>280938</v>
      </c>
      <c r="C24" s="270">
        <f t="shared" si="0"/>
        <v>0</v>
      </c>
      <c r="D24" s="316">
        <f t="shared" si="7"/>
        <v>0</v>
      </c>
      <c r="E24" s="316">
        <f t="shared" si="11"/>
        <v>280938</v>
      </c>
      <c r="F24" s="567">
        <f t="shared" si="26"/>
        <v>39113</v>
      </c>
      <c r="G24" s="160">
        <f t="shared" si="1"/>
        <v>0</v>
      </c>
      <c r="H24" s="567">
        <f t="shared" si="26"/>
        <v>143816</v>
      </c>
      <c r="I24" s="161">
        <f t="shared" si="2"/>
        <v>0</v>
      </c>
      <c r="J24" s="567">
        <f t="shared" si="26"/>
        <v>98008</v>
      </c>
      <c r="K24" s="162">
        <f t="shared" si="3"/>
        <v>0</v>
      </c>
      <c r="L24" s="304">
        <f t="shared" si="21"/>
        <v>0</v>
      </c>
      <c r="M24" s="304">
        <f t="shared" si="22"/>
        <v>0</v>
      </c>
      <c r="N24" s="304">
        <f t="shared" si="23"/>
        <v>0</v>
      </c>
      <c r="O24" s="304">
        <f t="shared" si="24"/>
        <v>79.898342488045387</v>
      </c>
      <c r="P24" s="305">
        <f t="shared" si="9"/>
        <v>79.898342488045387</v>
      </c>
      <c r="Q24" s="305">
        <f>SUM(-tanks!AX26*tanks!$AU$37)</f>
        <v>0</v>
      </c>
      <c r="R24" s="305">
        <f t="shared" si="10"/>
        <v>79.898342488045387</v>
      </c>
      <c r="S24" s="307">
        <f>SUM(ELEC!N23)</f>
        <v>0</v>
      </c>
      <c r="T24" s="344">
        <f t="shared" si="12"/>
        <v>0</v>
      </c>
      <c r="V24" s="668" t="s">
        <v>204</v>
      </c>
      <c r="W24" s="669"/>
      <c r="X24" s="670" t="s">
        <v>205</v>
      </c>
      <c r="Y24" s="671"/>
      <c r="Z24" s="672"/>
      <c r="AA24" s="170"/>
      <c r="AB24" s="658"/>
      <c r="AC24" s="659"/>
    </row>
    <row r="25" spans="1:32" ht="17.25" customHeight="1" thickBot="1">
      <c r="A25" s="163">
        <f>ELEC!C24</f>
        <v>44065</v>
      </c>
      <c r="B25" s="567">
        <f t="shared" si="25"/>
        <v>280938</v>
      </c>
      <c r="C25" s="270">
        <f t="shared" si="0"/>
        <v>0</v>
      </c>
      <c r="D25" s="316">
        <f t="shared" si="7"/>
        <v>0</v>
      </c>
      <c r="E25" s="316">
        <f t="shared" si="11"/>
        <v>280938</v>
      </c>
      <c r="F25" s="567">
        <f t="shared" si="26"/>
        <v>39113</v>
      </c>
      <c r="G25" s="160">
        <f t="shared" si="1"/>
        <v>0</v>
      </c>
      <c r="H25" s="567">
        <f t="shared" si="26"/>
        <v>143816</v>
      </c>
      <c r="I25" s="161">
        <f t="shared" si="2"/>
        <v>0</v>
      </c>
      <c r="J25" s="567">
        <f t="shared" si="26"/>
        <v>98008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24"/>
        <v>79.898342488045387</v>
      </c>
      <c r="P25" s="305">
        <f t="shared" si="9"/>
        <v>79.898342488045387</v>
      </c>
      <c r="Q25" s="305">
        <f>SUM(-tanks!AX27*tanks!$AU$37)</f>
        <v>0</v>
      </c>
      <c r="R25" s="305">
        <f t="shared" si="10"/>
        <v>79.898342488045387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67">
        <f t="shared" si="25"/>
        <v>280938</v>
      </c>
      <c r="C26" s="270">
        <f t="shared" si="0"/>
        <v>0</v>
      </c>
      <c r="D26" s="316">
        <f t="shared" si="7"/>
        <v>0</v>
      </c>
      <c r="E26" s="316">
        <f t="shared" si="11"/>
        <v>280938</v>
      </c>
      <c r="F26" s="567">
        <f t="shared" si="26"/>
        <v>39113</v>
      </c>
      <c r="G26" s="160">
        <f t="shared" si="1"/>
        <v>0</v>
      </c>
      <c r="H26" s="567">
        <f t="shared" si="26"/>
        <v>143816</v>
      </c>
      <c r="I26" s="161">
        <f t="shared" si="2"/>
        <v>0</v>
      </c>
      <c r="J26" s="567">
        <f t="shared" si="26"/>
        <v>98008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24"/>
        <v>79.898342488045387</v>
      </c>
      <c r="P26" s="305">
        <f t="shared" si="9"/>
        <v>79.898342488045387</v>
      </c>
      <c r="Q26" s="305">
        <f>SUM(-tanks!AX28*tanks!$AU$37)</f>
        <v>0</v>
      </c>
      <c r="R26" s="305">
        <f t="shared" si="10"/>
        <v>79.898342488045387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98008</v>
      </c>
      <c r="X26" s="172" t="s">
        <v>199</v>
      </c>
      <c r="Y26" s="172">
        <v>80</v>
      </c>
      <c r="Z26" s="172">
        <v>1</v>
      </c>
      <c r="AA26" s="199">
        <f>(W26-V26)*Z26</f>
        <v>21917</v>
      </c>
      <c r="AB26" s="199">
        <f>AA26*Y26</f>
        <v>1753360</v>
      </c>
      <c r="AC26" s="254">
        <f>AC9</f>
        <v>1033333</v>
      </c>
      <c r="AD26" s="215">
        <f>SUM(K38)</f>
        <v>0.29250747384155457</v>
      </c>
    </row>
    <row r="27" spans="1:32" ht="15.75" thickBot="1">
      <c r="A27" s="163">
        <f>ELEC!C26</f>
        <v>44067</v>
      </c>
      <c r="B27" s="567">
        <f t="shared" si="25"/>
        <v>280938</v>
      </c>
      <c r="C27" s="270">
        <f t="shared" si="0"/>
        <v>0</v>
      </c>
      <c r="D27" s="316">
        <f t="shared" si="7"/>
        <v>0</v>
      </c>
      <c r="E27" s="316">
        <f t="shared" si="11"/>
        <v>280938</v>
      </c>
      <c r="F27" s="567">
        <f t="shared" si="26"/>
        <v>39113</v>
      </c>
      <c r="G27" s="160">
        <f t="shared" si="1"/>
        <v>0</v>
      </c>
      <c r="H27" s="567">
        <f t="shared" si="26"/>
        <v>143816</v>
      </c>
      <c r="I27" s="161">
        <f t="shared" si="2"/>
        <v>0</v>
      </c>
      <c r="J27" s="567">
        <f t="shared" si="26"/>
        <v>98008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24"/>
        <v>79.898342488045387</v>
      </c>
      <c r="P27" s="305">
        <f t="shared" si="9"/>
        <v>79.898342488045387</v>
      </c>
      <c r="Q27" s="305">
        <f>SUM(-tanks!AX29*tanks!$AU$37)</f>
        <v>0</v>
      </c>
      <c r="R27" s="305">
        <f t="shared" si="10"/>
        <v>79.898342488045387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143816</v>
      </c>
      <c r="X27" s="172" t="s">
        <v>213</v>
      </c>
      <c r="Y27" s="172">
        <v>112</v>
      </c>
      <c r="Z27" s="172">
        <v>1</v>
      </c>
      <c r="AA27" s="199">
        <f>(W27-V27)*Z27</f>
        <v>43947</v>
      </c>
      <c r="AB27" s="199">
        <f>SUM(AA27*Y27)</f>
        <v>4922064</v>
      </c>
      <c r="AC27" s="254">
        <f>AC10</f>
        <v>6200000</v>
      </c>
      <c r="AD27" s="215">
        <f>SUM(I38)</f>
        <v>0.58652306213965411</v>
      </c>
    </row>
    <row r="28" spans="1:32" ht="15.75" thickBot="1">
      <c r="A28" s="163">
        <f>ELEC!C27</f>
        <v>44068</v>
      </c>
      <c r="B28" s="567">
        <f t="shared" si="25"/>
        <v>280938</v>
      </c>
      <c r="C28" s="270">
        <f t="shared" si="0"/>
        <v>0</v>
      </c>
      <c r="D28" s="316">
        <f t="shared" si="7"/>
        <v>0</v>
      </c>
      <c r="E28" s="316">
        <f t="shared" si="11"/>
        <v>280938</v>
      </c>
      <c r="F28" s="567">
        <f t="shared" si="26"/>
        <v>39113</v>
      </c>
      <c r="G28" s="160">
        <f t="shared" si="1"/>
        <v>0</v>
      </c>
      <c r="H28" s="567">
        <f t="shared" si="26"/>
        <v>143816</v>
      </c>
      <c r="I28" s="161">
        <f t="shared" si="2"/>
        <v>0</v>
      </c>
      <c r="J28" s="567">
        <f t="shared" si="26"/>
        <v>98008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24"/>
        <v>79.898342488045387</v>
      </c>
      <c r="P28" s="305">
        <f t="shared" si="9"/>
        <v>79.898342488045387</v>
      </c>
      <c r="Q28" s="305">
        <f>SUM(-tanks!AX30*tanks!$AU$37)</f>
        <v>0</v>
      </c>
      <c r="R28" s="305">
        <f t="shared" si="10"/>
        <v>79.898342488045387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39113</v>
      </c>
      <c r="X28" s="172" t="s">
        <v>197</v>
      </c>
      <c r="Y28" s="172">
        <v>320</v>
      </c>
      <c r="Z28" s="172">
        <v>1</v>
      </c>
      <c r="AA28" s="199">
        <f>(W28-V28)*Z28</f>
        <v>9062</v>
      </c>
      <c r="AB28" s="199">
        <f>SUM(AA28*Y28)</f>
        <v>2899840</v>
      </c>
      <c r="AC28" s="254">
        <f>AC11</f>
        <v>1000</v>
      </c>
      <c r="AD28" s="215">
        <f>SUM(G38)</f>
        <v>0.12094277172752509</v>
      </c>
      <c r="AE28" s="40">
        <f>SUM(AB28*5%)</f>
        <v>144992</v>
      </c>
      <c r="AF28" s="82">
        <f>SUM(AE28/7)*31</f>
        <v>642107.42857142864</v>
      </c>
    </row>
    <row r="29" spans="1:32" ht="15.75" thickBot="1">
      <c r="A29" s="163">
        <f>ELEC!C28</f>
        <v>44069</v>
      </c>
      <c r="B29" s="567">
        <f t="shared" si="25"/>
        <v>280938</v>
      </c>
      <c r="C29" s="270">
        <f t="shared" si="0"/>
        <v>0</v>
      </c>
      <c r="D29" s="316">
        <f t="shared" si="7"/>
        <v>0</v>
      </c>
      <c r="E29" s="316">
        <f t="shared" si="11"/>
        <v>280938</v>
      </c>
      <c r="F29" s="567">
        <f t="shared" si="26"/>
        <v>39113</v>
      </c>
      <c r="G29" s="160">
        <f t="shared" si="1"/>
        <v>0</v>
      </c>
      <c r="H29" s="567">
        <f t="shared" si="26"/>
        <v>143816</v>
      </c>
      <c r="I29" s="161">
        <f t="shared" si="2"/>
        <v>0</v>
      </c>
      <c r="J29" s="567">
        <f t="shared" si="26"/>
        <v>98008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24"/>
        <v>79.898342488045387</v>
      </c>
      <c r="P29" s="305">
        <f t="shared" si="9"/>
        <v>79.898342488045387</v>
      </c>
      <c r="Q29" s="305">
        <f>SUM(-tanks!AX31*tanks!$AU$37)</f>
        <v>0</v>
      </c>
      <c r="R29" s="305">
        <f t="shared" si="10"/>
        <v>79.898342488045387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74926</v>
      </c>
      <c r="AB29" s="199"/>
      <c r="AC29" s="254"/>
    </row>
    <row r="30" spans="1:32" ht="14.25" customHeight="1" thickBot="1">
      <c r="A30" s="163">
        <f>ELEC!C29</f>
        <v>44070</v>
      </c>
      <c r="B30" s="567">
        <f t="shared" si="25"/>
        <v>280938</v>
      </c>
      <c r="C30" s="270">
        <f t="shared" si="0"/>
        <v>0</v>
      </c>
      <c r="D30" s="316">
        <f t="shared" si="7"/>
        <v>0</v>
      </c>
      <c r="E30" s="316">
        <f t="shared" si="11"/>
        <v>280938</v>
      </c>
      <c r="F30" s="567">
        <f t="shared" si="26"/>
        <v>39113</v>
      </c>
      <c r="G30" s="160">
        <f t="shared" si="1"/>
        <v>0</v>
      </c>
      <c r="H30" s="567">
        <f t="shared" si="26"/>
        <v>143816</v>
      </c>
      <c r="I30" s="161">
        <f t="shared" si="2"/>
        <v>0</v>
      </c>
      <c r="J30" s="567">
        <f t="shared" si="26"/>
        <v>98008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79.898342488045387</v>
      </c>
      <c r="P30" s="305">
        <f t="shared" si="9"/>
        <v>79.898342488045387</v>
      </c>
      <c r="Q30" s="305">
        <f>SUM(-tanks!AX32*tanks!$AU$37)</f>
        <v>0</v>
      </c>
      <c r="R30" s="305">
        <f t="shared" si="10"/>
        <v>79.898342488045387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9575264</v>
      </c>
      <c r="AC30" s="254">
        <f>SUM(AC26:AC29)/A39*A37</f>
        <v>3733849.2903225808</v>
      </c>
    </row>
    <row r="31" spans="1:32" ht="15.75" thickBot="1">
      <c r="A31" s="163">
        <f>ELEC!C30</f>
        <v>44071</v>
      </c>
      <c r="B31" s="567">
        <f t="shared" si="25"/>
        <v>280938</v>
      </c>
      <c r="C31" s="270">
        <f t="shared" si="0"/>
        <v>0</v>
      </c>
      <c r="D31" s="316">
        <f t="shared" si="7"/>
        <v>0</v>
      </c>
      <c r="E31" s="316">
        <f t="shared" si="11"/>
        <v>280938</v>
      </c>
      <c r="F31" s="567">
        <f t="shared" si="26"/>
        <v>39113</v>
      </c>
      <c r="G31" s="160">
        <f t="shared" si="1"/>
        <v>0</v>
      </c>
      <c r="H31" s="567">
        <f t="shared" si="26"/>
        <v>143816</v>
      </c>
      <c r="I31" s="161">
        <f t="shared" si="2"/>
        <v>0</v>
      </c>
      <c r="J31" s="567">
        <f t="shared" si="26"/>
        <v>98008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79.898342488045387</v>
      </c>
      <c r="P31" s="305">
        <f t="shared" si="9"/>
        <v>79.898342488045387</v>
      </c>
      <c r="Q31" s="305">
        <f>SUM(-tanks!AX33*tanks!$AU$37)</f>
        <v>0</v>
      </c>
      <c r="R31" s="305">
        <f t="shared" si="10"/>
        <v>79.898342488045387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122</v>
      </c>
      <c r="X31" s="225">
        <f>SUM(W31/A37)</f>
        <v>7.625</v>
      </c>
      <c r="Y31" s="266">
        <f>SUM(X31/2)</f>
        <v>3.8125</v>
      </c>
      <c r="Z31" s="3"/>
      <c r="AA31" s="3"/>
      <c r="AB31" s="571">
        <f>SUM(AB30+AC31)</f>
        <v>13309113.290322581</v>
      </c>
      <c r="AC31" s="254">
        <f>SUM(AC30)</f>
        <v>3733849.2903225808</v>
      </c>
    </row>
    <row r="32" spans="1:32" ht="15.75" thickBot="1">
      <c r="A32" s="163">
        <f>ELEC!C31</f>
        <v>44072</v>
      </c>
      <c r="B32" s="567">
        <f t="shared" si="25"/>
        <v>280938</v>
      </c>
      <c r="C32" s="270">
        <f t="shared" si="0"/>
        <v>0</v>
      </c>
      <c r="D32" s="316">
        <f t="shared" si="7"/>
        <v>0</v>
      </c>
      <c r="E32" s="316">
        <f t="shared" si="11"/>
        <v>280938</v>
      </c>
      <c r="F32" s="567">
        <f t="shared" si="26"/>
        <v>39113</v>
      </c>
      <c r="G32" s="160">
        <f t="shared" si="1"/>
        <v>0</v>
      </c>
      <c r="H32" s="567">
        <f t="shared" si="26"/>
        <v>143816</v>
      </c>
      <c r="I32" s="161">
        <f t="shared" si="2"/>
        <v>0</v>
      </c>
      <c r="J32" s="567">
        <f t="shared" si="26"/>
        <v>98008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79.898342488045387</v>
      </c>
      <c r="P32" s="305">
        <f t="shared" si="9"/>
        <v>79.898342488045387</v>
      </c>
      <c r="Q32" s="305">
        <f>SUM(-tanks!AX34*tanks!$AU$37)</f>
        <v>0</v>
      </c>
      <c r="R32" s="305">
        <f t="shared" si="10"/>
        <v>79.898342488045387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-274.50000000000006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7">
        <f t="shared" si="25"/>
        <v>280938</v>
      </c>
      <c r="C33" s="270">
        <f t="shared" si="0"/>
        <v>0</v>
      </c>
      <c r="D33" s="316">
        <f t="shared" si="7"/>
        <v>0</v>
      </c>
      <c r="E33" s="316">
        <f t="shared" si="11"/>
        <v>280938</v>
      </c>
      <c r="F33" s="567">
        <f t="shared" si="26"/>
        <v>39113</v>
      </c>
      <c r="G33" s="160">
        <f>F33-F32</f>
        <v>0</v>
      </c>
      <c r="H33" s="567">
        <f t="shared" si="26"/>
        <v>143816</v>
      </c>
      <c r="I33" s="161">
        <f t="shared" si="2"/>
        <v>0</v>
      </c>
      <c r="J33" s="567">
        <f t="shared" si="26"/>
        <v>98008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79.898342488045387</v>
      </c>
      <c r="P33" s="305">
        <f>SUM(L33:O33)</f>
        <v>79.898342488045387</v>
      </c>
      <c r="Q33" s="305">
        <f>SUM(-tanks!AX35*tanks!$AU$37)</f>
        <v>0</v>
      </c>
      <c r="R33" s="305">
        <f>SUM(P33:Q33)</f>
        <v>79.898342488045387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156.69999999999999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7">
        <f t="shared" si="25"/>
        <v>280938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280938</v>
      </c>
      <c r="F34" s="567">
        <f t="shared" si="26"/>
        <v>39113</v>
      </c>
      <c r="G34" s="160">
        <f>F34-F33</f>
        <v>0</v>
      </c>
      <c r="H34" s="567">
        <f t="shared" si="26"/>
        <v>143816</v>
      </c>
      <c r="I34" s="161">
        <f t="shared" ref="I34" si="29">H34-H33</f>
        <v>0</v>
      </c>
      <c r="J34" s="567">
        <f t="shared" si="26"/>
        <v>98008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79.898342488045387</v>
      </c>
      <c r="P34" s="305">
        <f>SUM(L34:O34)</f>
        <v>79.898342488045387</v>
      </c>
      <c r="Q34" s="305">
        <f>SUM(-tanks!AX36*tanks!$AU$37)</f>
        <v>0</v>
      </c>
      <c r="R34" s="305">
        <f>SUM(P34:Q34)</f>
        <v>79.898342488045387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7"/>
      <c r="B35" s="558"/>
      <c r="C35" s="559"/>
      <c r="D35" s="558"/>
      <c r="E35" s="558"/>
      <c r="F35" s="558"/>
      <c r="G35" s="558"/>
      <c r="H35" s="558"/>
      <c r="I35" s="558"/>
      <c r="J35" s="558"/>
      <c r="K35" s="558"/>
      <c r="L35" s="560"/>
      <c r="M35" s="560"/>
      <c r="N35" s="560"/>
      <c r="O35" s="560"/>
      <c r="P35" s="561"/>
      <c r="Q35" s="561"/>
      <c r="R35" s="561"/>
      <c r="S35" s="562"/>
      <c r="T35" s="563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7"/>
      <c r="B36" s="558"/>
      <c r="C36" s="559"/>
      <c r="D36" s="559"/>
      <c r="E36" s="559"/>
      <c r="F36" s="558"/>
      <c r="G36" s="558"/>
      <c r="H36" s="558"/>
      <c r="I36" s="558"/>
      <c r="J36" s="558"/>
      <c r="K36" s="564"/>
      <c r="L36" s="561"/>
      <c r="M36" s="561"/>
      <c r="N36" s="561"/>
      <c r="O36" s="561"/>
      <c r="P36" s="562"/>
      <c r="Q36" s="562"/>
      <c r="R36" s="562"/>
      <c r="S36" s="562"/>
      <c r="T36" s="563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1464002.4619354839</v>
      </c>
      <c r="AC36" s="286"/>
    </row>
    <row r="37" spans="1:32" ht="15.75" thickBot="1">
      <c r="A37" s="556">
        <f>A39-COUNTIF(C4:C35,0)</f>
        <v>16</v>
      </c>
      <c r="C37" s="176">
        <f>SUM(C4:C35)/A37</f>
        <v>4683</v>
      </c>
      <c r="D37" s="176"/>
      <c r="E37" s="176"/>
      <c r="G37" s="176">
        <f>SUM(G4:G35)/A37</f>
        <v>566.375</v>
      </c>
      <c r="I37" s="176">
        <f>SUM(I4:I35)/A37</f>
        <v>2746.6875</v>
      </c>
      <c r="K37" s="176">
        <f>SUM(K4:K36)/A37</f>
        <v>1369.8125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14773115.752258066</v>
      </c>
      <c r="AC37" s="286"/>
    </row>
    <row r="38" spans="1:32" ht="15.75" thickBot="1">
      <c r="A38" s="213"/>
      <c r="C38" s="215">
        <f>SUM(G38:K38)</f>
        <v>0.99997330770873383</v>
      </c>
      <c r="G38" s="228">
        <f>IF(C37&gt;0,G37/C37,0)</f>
        <v>0.12094277172752509</v>
      </c>
      <c r="H38" s="215"/>
      <c r="I38" s="228">
        <f>SUM(I37/C37)</f>
        <v>0.58652306213965411</v>
      </c>
      <c r="J38" s="215"/>
      <c r="K38" s="228">
        <f>SUM(K37/C37)</f>
        <v>0.29250747384155457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8828.5991975605848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2476.8486171294066</v>
      </c>
      <c r="Z40" s="40"/>
      <c r="AA40" s="300" t="s">
        <v>215</v>
      </c>
      <c r="AB40" s="301">
        <f>SUM(AB38)</f>
        <v>8828.5991975605848</v>
      </c>
    </row>
    <row r="41" spans="1:32">
      <c r="V41" s="220"/>
      <c r="W41" s="82">
        <f>(AB30+AB56)/1507.5</f>
        <v>6351.7505804311777</v>
      </c>
      <c r="X41" s="572"/>
      <c r="Z41" s="302">
        <f>SUM(AB40)</f>
        <v>8828.5991975605848</v>
      </c>
      <c r="AA41" s="301"/>
      <c r="AB41" s="301"/>
    </row>
    <row r="42" spans="1:32">
      <c r="V42" s="17"/>
      <c r="W42" s="82">
        <f>SUM(W40:W41)</f>
        <v>8828.5991975605848</v>
      </c>
      <c r="X42" s="572"/>
      <c r="Y42" s="82"/>
      <c r="Z42" s="302">
        <f>SUM(-tanks!AX37)*tanks!AU37</f>
        <v>12423.393548387086</v>
      </c>
      <c r="AA42" s="101">
        <f>SUM(AB31/A37)</f>
        <v>831819.58064516133</v>
      </c>
      <c r="AB42" s="358">
        <f>SUM(AA42*A39)</f>
        <v>25786407</v>
      </c>
    </row>
    <row r="43" spans="1:32" ht="18.75">
      <c r="W43" s="82">
        <f>(AB30+AB56)/1507.5</f>
        <v>6351.7505804311777</v>
      </c>
      <c r="Z43" s="282">
        <f>SUM(Z41:Z42)</f>
        <v>21251.992745947671</v>
      </c>
      <c r="AA43" s="301">
        <f>SUM(AA42/1507.5)</f>
        <v>551.78744984753655</v>
      </c>
      <c r="AB43" s="357">
        <f>SUM(AB42/1507.5)</f>
        <v>17105.41094527363</v>
      </c>
    </row>
    <row r="44" spans="1:32">
      <c r="D44" s="534"/>
      <c r="E44" s="534"/>
      <c r="F44" s="534"/>
      <c r="W44" s="82">
        <f>SUM(W42:W43)</f>
        <v>15180.349777991763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7"/>
      <c r="W47" s="578"/>
      <c r="X47" s="17"/>
      <c r="Y47" s="17"/>
      <c r="Z47" s="579"/>
      <c r="AA47" s="17"/>
      <c r="AB47" s="673"/>
      <c r="AC47" s="673"/>
      <c r="AD47" s="17"/>
      <c r="AE47" s="17"/>
      <c r="AF47" s="17"/>
    </row>
    <row r="48" spans="1:32">
      <c r="V48" s="673"/>
      <c r="W48" s="673"/>
      <c r="X48" s="673"/>
      <c r="Y48" s="673"/>
      <c r="Z48" s="579"/>
      <c r="AA48" s="579"/>
      <c r="AB48" s="673"/>
      <c r="AC48" s="673"/>
      <c r="AD48" s="17"/>
      <c r="AE48" s="17"/>
      <c r="AF48" s="17"/>
    </row>
    <row r="49" spans="22:32">
      <c r="V49" s="673"/>
      <c r="W49" s="673"/>
      <c r="X49" s="673"/>
      <c r="Y49" s="673"/>
      <c r="Z49" s="673"/>
      <c r="AA49" s="673"/>
      <c r="AB49" s="673"/>
      <c r="AC49" s="673"/>
      <c r="AD49" s="17"/>
      <c r="AE49" s="17"/>
      <c r="AF49" s="17"/>
    </row>
    <row r="50" spans="22:32">
      <c r="V50" s="674"/>
      <c r="W50" s="674"/>
      <c r="X50" s="675"/>
      <c r="Y50" s="675"/>
      <c r="Z50" s="675"/>
      <c r="AA50" s="580"/>
      <c r="AB50" s="673"/>
      <c r="AC50" s="673"/>
      <c r="AD50" s="17"/>
      <c r="AE50" s="17"/>
      <c r="AF50" s="17"/>
    </row>
    <row r="51" spans="22:32">
      <c r="V51" s="577"/>
      <c r="W51" s="577"/>
      <c r="X51" s="577"/>
      <c r="Y51" s="577"/>
      <c r="Z51" s="577"/>
      <c r="AA51" s="577"/>
      <c r="AB51" s="577"/>
      <c r="AC51" s="581"/>
      <c r="AD51" s="17"/>
      <c r="AE51" s="17"/>
      <c r="AF51" s="17"/>
    </row>
    <row r="52" spans="22:32">
      <c r="V52" s="580"/>
      <c r="W52" s="580"/>
      <c r="X52" s="582"/>
      <c r="Y52" s="582"/>
      <c r="Z52" s="582"/>
      <c r="AA52" s="73"/>
      <c r="AB52" s="73"/>
      <c r="AC52" s="73"/>
      <c r="AD52" s="583"/>
      <c r="AE52" s="17"/>
      <c r="AF52" s="17"/>
    </row>
    <row r="53" spans="22:32">
      <c r="V53" s="580"/>
      <c r="W53" s="580"/>
      <c r="X53" s="582"/>
      <c r="Y53" s="582"/>
      <c r="Z53" s="582"/>
      <c r="AA53" s="73"/>
      <c r="AB53" s="73"/>
      <c r="AC53" s="73"/>
      <c r="AD53" s="583"/>
      <c r="AE53" s="17"/>
      <c r="AF53" s="17"/>
    </row>
    <row r="54" spans="22:32">
      <c r="V54" s="580"/>
      <c r="W54" s="580"/>
      <c r="X54" s="582"/>
      <c r="Y54" s="582"/>
      <c r="Z54" s="582"/>
      <c r="AA54" s="73"/>
      <c r="AB54" s="73"/>
      <c r="AC54" s="73"/>
      <c r="AD54" s="583"/>
      <c r="AE54" s="584"/>
      <c r="AF54" s="585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6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7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9"/>
      <c r="AC61" s="590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1"/>
      <c r="AB62" s="589"/>
      <c r="AC62" s="590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9"/>
      <c r="AC63" s="590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2"/>
      <c r="AC64" s="17"/>
      <c r="AD64" s="17"/>
      <c r="AE64" s="17"/>
      <c r="AF64" s="17"/>
    </row>
    <row r="65" spans="22:32">
      <c r="V65" s="220"/>
      <c r="W65" s="585"/>
      <c r="X65" s="17"/>
      <c r="Y65" s="17"/>
      <c r="Z65" s="584"/>
      <c r="AA65" s="593"/>
      <c r="AB65" s="582"/>
      <c r="AC65" s="17"/>
      <c r="AD65" s="17"/>
      <c r="AE65" s="17"/>
      <c r="AF65" s="17"/>
    </row>
    <row r="66" spans="22:32">
      <c r="V66" s="220"/>
      <c r="W66" s="585"/>
      <c r="X66" s="17"/>
      <c r="Y66" s="17"/>
      <c r="Z66" s="433"/>
      <c r="AA66" s="582"/>
      <c r="AB66" s="582"/>
      <c r="AC66" s="17"/>
      <c r="AD66" s="17"/>
      <c r="AE66" s="17"/>
      <c r="AF66" s="17"/>
    </row>
    <row r="67" spans="22:32">
      <c r="V67" s="17"/>
      <c r="W67" s="585"/>
      <c r="X67" s="17"/>
      <c r="Y67" s="585"/>
      <c r="Z67" s="433"/>
      <c r="AA67" s="582"/>
      <c r="AB67" s="594"/>
      <c r="AC67" s="17"/>
      <c r="AD67" s="17"/>
      <c r="AE67" s="17"/>
      <c r="AF67" s="17"/>
    </row>
    <row r="68" spans="22:32" ht="18.75">
      <c r="V68" s="17"/>
      <c r="W68" s="585"/>
      <c r="X68" s="17"/>
      <c r="Y68" s="17"/>
      <c r="Z68" s="595"/>
      <c r="AA68" s="582"/>
      <c r="AB68" s="596"/>
      <c r="AC68" s="17"/>
      <c r="AD68" s="17"/>
      <c r="AE68" s="17"/>
      <c r="AF68" s="17"/>
    </row>
    <row r="69" spans="22:32">
      <c r="V69" s="17"/>
      <c r="W69" s="585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2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G22" sqref="G22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6" t="s">
        <v>51</v>
      </c>
      <c r="B1" s="688" t="s">
        <v>320</v>
      </c>
      <c r="C1" s="689"/>
      <c r="D1" s="691"/>
      <c r="E1" s="688" t="s">
        <v>321</v>
      </c>
      <c r="F1" s="689"/>
      <c r="G1" s="690"/>
      <c r="H1" s="685" t="s">
        <v>326</v>
      </c>
      <c r="I1" s="682" t="s">
        <v>327</v>
      </c>
      <c r="J1" s="679" t="s">
        <v>43</v>
      </c>
    </row>
    <row r="2" spans="1:18" ht="38.25" thickBot="1">
      <c r="A2" s="677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6"/>
      <c r="I2" s="683"/>
      <c r="J2" s="680"/>
    </row>
    <row r="3" spans="1:18" ht="24" customHeight="1" thickBot="1">
      <c r="A3" s="678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7"/>
      <c r="I3" s="684"/>
      <c r="J3" s="68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6">
        <v>2.5</v>
      </c>
      <c r="C6" s="567">
        <v>7.8</v>
      </c>
      <c r="D6" s="568">
        <v>28</v>
      </c>
      <c r="E6" s="568">
        <v>2.5</v>
      </c>
      <c r="F6" s="568">
        <v>8</v>
      </c>
      <c r="G6" s="568">
        <v>35</v>
      </c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5">
        <v>7.8</v>
      </c>
      <c r="D7" s="170">
        <v>28</v>
      </c>
      <c r="E7" s="170">
        <v>2</v>
      </c>
      <c r="F7" s="170">
        <v>8</v>
      </c>
      <c r="G7" s="170">
        <v>35</v>
      </c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8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8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8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8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8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8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8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8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8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8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8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8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68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73"/>
      <c r="D22" s="170"/>
      <c r="E22" s="170"/>
      <c r="F22" s="170"/>
      <c r="G22" s="170"/>
      <c r="H22" s="568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68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68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68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68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68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74"/>
      <c r="D28" s="170"/>
      <c r="E28" s="170"/>
      <c r="F28" s="170"/>
      <c r="G28" s="170"/>
      <c r="H28" s="568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68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68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5"/>
      <c r="D31" s="170"/>
      <c r="E31" s="170"/>
      <c r="F31" s="170"/>
      <c r="G31" s="170"/>
      <c r="H31" s="568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8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8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8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8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8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411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693" t="s">
        <v>163</v>
      </c>
      <c r="B7" s="694"/>
      <c r="C7" s="695" t="s">
        <v>164</v>
      </c>
      <c r="D7" s="696"/>
      <c r="E7" s="696"/>
      <c r="F7" s="696"/>
      <c r="G7" s="696"/>
      <c r="H7" s="696"/>
      <c r="I7" s="696"/>
      <c r="J7" s="696"/>
      <c r="K7" s="69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-274.50000000000006</v>
      </c>
      <c r="AB17" s="278">
        <f>G81</f>
        <v>156.69999999999999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-682.3</v>
      </c>
      <c r="AB23" s="134">
        <f>SUM(AB10:AB22)</f>
        <v>806.39999999999986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0</v>
      </c>
      <c r="G64" s="278">
        <f>'General information '!C22</f>
        <v>0</v>
      </c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-274.50000000000006</v>
      </c>
      <c r="G81" s="119">
        <f>SUMIF(H48:H78,"&gt;0")</f>
        <v>156.69999999999999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698" t="s">
        <v>174</v>
      </c>
      <c r="O84" s="698" t="s">
        <v>175</v>
      </c>
      <c r="P84" s="134"/>
      <c r="T84" s="134"/>
      <c r="X84" s="134"/>
    </row>
    <row r="85" spans="1:24" ht="20.25" thickBot="1">
      <c r="D85" s="134"/>
      <c r="I85" s="700" t="s">
        <v>182</v>
      </c>
      <c r="J85" s="701"/>
      <c r="K85" s="701"/>
      <c r="L85" s="701"/>
      <c r="N85" s="699"/>
      <c r="O85" s="699"/>
      <c r="P85" s="134"/>
      <c r="R85" s="17"/>
      <c r="S85" s="17"/>
      <c r="T85" s="140"/>
      <c r="U85" s="141"/>
      <c r="X85" s="134"/>
    </row>
    <row r="86" spans="1:24" ht="18.75" thickBot="1">
      <c r="D86" s="134"/>
      <c r="I86" s="702" t="s">
        <v>183</v>
      </c>
      <c r="J86" s="702"/>
      <c r="K86" s="702"/>
      <c r="L86" s="702"/>
      <c r="N86" s="142">
        <f>B43+F43+J43+N43+R43+V43+B81+F81+J81+N81+R81+V81</f>
        <v>-2926.6000000000004</v>
      </c>
      <c r="O86" s="142">
        <f>C43+G43+K43+O43+S43+W43+C81+G81+K81+O81+S81+W81</f>
        <v>784.39999999999986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2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  <c r="U88" s="692"/>
      <c r="V88" s="692"/>
      <c r="W88" s="69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6" t="s">
        <v>216</v>
      </c>
      <c r="B2" s="706"/>
      <c r="C2" s="706"/>
      <c r="D2" s="706"/>
      <c r="E2" s="706"/>
      <c r="F2" s="706"/>
      <c r="G2" s="706"/>
      <c r="H2" s="706"/>
      <c r="I2" s="706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16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11.237500000000001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3870.9677419354839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999.07812500000011</v>
      </c>
      <c r="F8" s="195">
        <f>SUM(E8*F4)</f>
        <v>15985.250000000002</v>
      </c>
      <c r="G8" s="525">
        <f>E8*$F$4</f>
        <v>15985.250000000002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13309113.290322581</v>
      </c>
      <c r="E10" s="185">
        <f>SUM(D10/D4/F4)</f>
        <v>551.78744984753655</v>
      </c>
      <c r="F10" s="185">
        <f>SUM(E10*F4)</f>
        <v>8828.5991975605848</v>
      </c>
      <c r="G10" s="525">
        <f>E10*$G$4</f>
        <v>17105.410945273634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1804.0385587185046</v>
      </c>
      <c r="F12" s="183">
        <f>SUM(F6:F10)</f>
        <v>28864.616939496074</v>
      </c>
      <c r="G12" s="182">
        <f>SUM(G6:G10)</f>
        <v>40770.460945273633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156.69999999999999</v>
      </c>
      <c r="C14" s="445">
        <f>'[9]Utility Cost '!C14</f>
        <v>151</v>
      </c>
      <c r="D14" s="170"/>
      <c r="E14" s="170">
        <f t="shared" ref="E14:E18" si="0">B14-C14</f>
        <v>5.6999999999999886</v>
      </c>
      <c r="F14" s="524">
        <v>0</v>
      </c>
      <c r="G14" s="433"/>
      <c r="H14" s="434">
        <f>SUM(G12-H12)</f>
        <v>-32731.239054726364</v>
      </c>
      <c r="I14" s="434">
        <f>SUM(G12-I12)</f>
        <v>-72229.539054726367</v>
      </c>
    </row>
    <row r="15" spans="1:11">
      <c r="A15" s="462" t="s">
        <v>303</v>
      </c>
      <c r="B15" s="97">
        <f>'Degree Days 2020'!AA17</f>
        <v>-274.50000000000006</v>
      </c>
      <c r="C15" s="445">
        <f>'[9]Utility Cost '!C15</f>
        <v>-18.3</v>
      </c>
      <c r="D15" s="170"/>
      <c r="E15" s="170">
        <f t="shared" si="0"/>
        <v>-256.20000000000005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9">
        <f>'General information '!D38</f>
        <v>28.09375</v>
      </c>
      <c r="C16" s="445">
        <f>'[9]Utility Cost '!C16</f>
        <v>28.661290322580644</v>
      </c>
      <c r="D16" s="445"/>
      <c r="E16" s="446">
        <f t="shared" si="0"/>
        <v>-0.56754032258064413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122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-66.200000000000728</v>
      </c>
      <c r="F18" s="543">
        <f>B18-D18</f>
        <v>-176.16666666666669</v>
      </c>
    </row>
    <row r="19" spans="1:10">
      <c r="A19" s="537" t="s">
        <v>413</v>
      </c>
      <c r="B19" s="535">
        <f>SUM(B18/$F$4)</f>
        <v>7.625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2020-08-17T04:01:49Z</dcterms:modified>
</cp:coreProperties>
</file>