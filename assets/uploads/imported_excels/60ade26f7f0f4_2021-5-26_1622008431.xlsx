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G148" i="1" l="1"/>
  <c r="G149" i="1"/>
  <c r="G150" i="1"/>
  <c r="G151" i="1"/>
  <c r="G152" i="1"/>
  <c r="G153" i="1"/>
  <c r="G154" i="1"/>
  <c r="G155" i="1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52" i="4" l="1"/>
  <c r="M170" i="4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M148" i="4" s="1"/>
  <c r="L149" i="4"/>
  <c r="M149" i="4" s="1"/>
  <c r="L150" i="4"/>
  <c r="M150" i="4" s="1"/>
  <c r="L151" i="4"/>
  <c r="M151" i="4" s="1"/>
  <c r="L152" i="4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49" i="4"/>
  <c r="K154" i="4"/>
  <c r="K155" i="4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K148" i="4" s="1"/>
  <c r="J149" i="4"/>
  <c r="J150" i="4"/>
  <c r="K150" i="4" s="1"/>
  <c r="J151" i="4"/>
  <c r="K151" i="4" s="1"/>
  <c r="J152" i="4"/>
  <c r="K152" i="4" s="1"/>
  <c r="J153" i="4"/>
  <c r="K153" i="4" s="1"/>
  <c r="J154" i="4"/>
  <c r="J155" i="4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47" i="4" l="1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M153" i="3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M154" i="3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<sst xmlns="http://schemas.openxmlformats.org/spreadsheetml/2006/main" count="606" uniqueCount="76">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</sst>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36" workbookViewId="0">
      <selection activeCell="P148" sqref="P14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4">
        <v>0.67</v>
      </c>
      <c r="G139" s="4">
        <f>'Gas Water'!M141</f>
        <v>1612</v>
      </c>
      <c r="H139" s="154">
        <v>1.77</v>
      </c>
      <c r="I139" s="2">
        <f>'Gas Water'!L141</f>
        <v>132</v>
      </c>
      <c r="J139" s="154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4">
        <v>0.67</v>
      </c>
      <c r="G140" s="4">
        <f>'Gas Water'!M142</f>
        <v>1483</v>
      </c>
      <c r="H140" s="154">
        <v>1.77</v>
      </c>
      <c r="I140" s="2">
        <f>'Gas Water'!L142</f>
        <v>146</v>
      </c>
      <c r="J140" s="154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4">
        <v>0.67</v>
      </c>
      <c r="G141" s="4">
        <f>'Gas Water'!M143</f>
        <v>1470</v>
      </c>
      <c r="H141" s="154">
        <v>1.77</v>
      </c>
      <c r="I141" s="2">
        <f>'Gas Water'!L143</f>
        <v>147</v>
      </c>
      <c r="J141" s="154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4">
        <v>0.67</v>
      </c>
      <c r="G142" s="4">
        <f>'Gas Water'!M144</f>
        <v>2037</v>
      </c>
      <c r="H142" s="154">
        <v>1.77</v>
      </c>
      <c r="I142" s="2">
        <f>'Gas Water'!L144</f>
        <v>141</v>
      </c>
      <c r="J142" s="154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4">
        <v>0.67</v>
      </c>
      <c r="G143" s="4">
        <f>'Gas Water'!M145</f>
        <v>1745</v>
      </c>
      <c r="H143" s="154">
        <v>1.77</v>
      </c>
      <c r="I143" s="2">
        <f>'Gas Water'!L145</f>
        <v>144</v>
      </c>
      <c r="J143" s="154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4">
        <v>0.67</v>
      </c>
      <c r="G144" s="4">
        <f>'Gas Water'!M146</f>
        <v>1580</v>
      </c>
      <c r="H144" s="154">
        <v>1.77</v>
      </c>
      <c r="I144" s="2">
        <f>'Gas Water'!L146</f>
        <v>119</v>
      </c>
      <c r="J144" s="154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4">
        <v>0.67</v>
      </c>
      <c r="G145" s="4">
        <f>'Gas Water'!M147</f>
        <v>1472</v>
      </c>
      <c r="H145" s="154">
        <v>1.77</v>
      </c>
      <c r="I145" s="2">
        <f>'Gas Water'!L147</f>
        <v>185</v>
      </c>
      <c r="J145" s="154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4">
        <v>0.67</v>
      </c>
      <c r="G146" s="4">
        <f>'Gas Water'!M148</f>
        <v>1469</v>
      </c>
      <c r="H146" s="154">
        <v>1.77</v>
      </c>
      <c r="I146" s="2">
        <f>'Gas Water'!L148</f>
        <v>208</v>
      </c>
      <c r="J146" s="154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4">
        <v>0.67</v>
      </c>
      <c r="G147" s="4" t="str">
        <f>'Gas Water'!M149</f>
        <v/>
      </c>
      <c r="H147" s="154">
        <v>1.77</v>
      </c>
      <c r="I147" s="2" t="str">
        <f>'Gas Water'!L149</f>
        <v/>
      </c>
      <c r="J147" s="154">
        <v>12.93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4">
        <v>0.67</v>
      </c>
      <c r="G148" s="4" t="str">
        <f>'Gas Water'!M150</f>
        <v/>
      </c>
      <c r="H148" s="154">
        <v>1.77</v>
      </c>
      <c r="I148" s="2" t="str">
        <f>'Gas Water'!L150</f>
        <v/>
      </c>
      <c r="J148" s="154">
        <v>12.93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4">
        <v>0.67</v>
      </c>
      <c r="G149" s="4" t="str">
        <f>'Gas Water'!M151</f>
        <v/>
      </c>
      <c r="H149" s="154">
        <v>1.77</v>
      </c>
      <c r="I149" s="2" t="str">
        <f>'Gas Water'!L151</f>
        <v/>
      </c>
      <c r="J149" s="154">
        <v>12.93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4">
        <v>0.67</v>
      </c>
      <c r="G150" s="4" t="str">
        <f>'Gas Water'!M152</f>
        <v/>
      </c>
      <c r="H150" s="154">
        <v>1.77</v>
      </c>
      <c r="I150" s="2" t="str">
        <f>'Gas Water'!L152</f>
        <v/>
      </c>
      <c r="J150" s="154">
        <v>12.93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4">
        <v>0.67</v>
      </c>
      <c r="G151" s="4" t="str">
        <f>'Gas Water'!M153</f>
        <v/>
      </c>
      <c r="H151" s="154">
        <v>1.77</v>
      </c>
      <c r="I151" s="2" t="str">
        <f>'Gas Water'!L153</f>
        <v/>
      </c>
      <c r="J151" s="154">
        <v>12.93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>
        <v>0.67</v>
      </c>
      <c r="G152" s="4" t="str">
        <f>'Gas Water'!M154</f>
        <v/>
      </c>
      <c r="H152" s="154">
        <v>1.77</v>
      </c>
      <c r="I152" s="2" t="str">
        <f>'Gas Water'!L154</f>
        <v/>
      </c>
      <c r="J152" s="154">
        <v>12.93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>
        <v>0.67</v>
      </c>
      <c r="G153" s="4" t="str">
        <f>'Gas Water'!M155</f>
        <v/>
      </c>
      <c r="H153" s="154">
        <v>1.77</v>
      </c>
      <c r="I153" s="2" t="str">
        <f>'Gas Water'!L155</f>
        <v/>
      </c>
      <c r="J153" s="154">
        <v>12.93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>
        <v>0.67</v>
      </c>
      <c r="G154" s="4" t="str">
        <f>'Gas Water'!M156</f>
        <v/>
      </c>
      <c r="H154" s="154">
        <v>1.77</v>
      </c>
      <c r="I154" s="2" t="str">
        <f>'Gas Water'!L156</f>
        <v/>
      </c>
      <c r="J154" s="154">
        <v>12.93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>
        <v>0.67</v>
      </c>
      <c r="G155" s="4" t="str">
        <f>'Gas Water'!M157</f>
        <v/>
      </c>
      <c r="H155" s="154">
        <v>1.77</v>
      </c>
      <c r="I155" s="2" t="str">
        <f>'Gas Water'!L157</f>
        <v/>
      </c>
      <c r="J155" s="154">
        <v>12.93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>
        <v>0.67</v>
      </c>
      <c r="G156" s="4" t="str">
        <f>'Gas Water'!M158</f>
        <v/>
      </c>
      <c r="H156" s="154">
        <v>1.77</v>
      </c>
      <c r="I156" s="2" t="str">
        <f>'Gas Water'!L158</f>
        <v/>
      </c>
      <c r="J156" s="154">
        <v>12.93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>
        <v>0.67</v>
      </c>
      <c r="G157" s="4" t="str">
        <f>'Gas Water'!M159</f>
        <v/>
      </c>
      <c r="H157" s="154">
        <v>1.77</v>
      </c>
      <c r="I157" s="2" t="str">
        <f>'Gas Water'!L159</f>
        <v/>
      </c>
      <c r="J157" s="154">
        <v>12.93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>
        <v>0.67</v>
      </c>
      <c r="G158" s="4" t="str">
        <f>'Gas Water'!M160</f>
        <v/>
      </c>
      <c r="H158" s="154">
        <v>1.77</v>
      </c>
      <c r="I158" s="2" t="str">
        <f>'Gas Water'!L160</f>
        <v/>
      </c>
      <c r="J158" s="154">
        <v>12.93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>
        <v>0.67</v>
      </c>
      <c r="G159" s="4" t="str">
        <f>'Gas Water'!M161</f>
        <v/>
      </c>
      <c r="H159" s="154">
        <v>1.77</v>
      </c>
      <c r="I159" s="2" t="str">
        <f>'Gas Water'!L161</f>
        <v/>
      </c>
      <c r="J159" s="154">
        <v>12.93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>
        <v>0.67</v>
      </c>
      <c r="G160" s="4" t="str">
        <f>'Gas Water'!M162</f>
        <v/>
      </c>
      <c r="H160" s="154">
        <v>1.77</v>
      </c>
      <c r="I160" s="2" t="str">
        <f>'Gas Water'!L162</f>
        <v/>
      </c>
      <c r="J160" s="154">
        <v>12.93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>
        <v>0.67</v>
      </c>
      <c r="G161" s="4" t="str">
        <f>'Gas Water'!M163</f>
        <v/>
      </c>
      <c r="H161" s="154">
        <v>1.77</v>
      </c>
      <c r="I161" s="2" t="str">
        <f>'Gas Water'!L163</f>
        <v/>
      </c>
      <c r="J161" s="154">
        <v>12.93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>
        <v>0.67</v>
      </c>
      <c r="G162" s="4" t="str">
        <f>'Gas Water'!M164</f>
        <v/>
      </c>
      <c r="H162" s="154">
        <v>1.77</v>
      </c>
      <c r="I162" s="2" t="str">
        <f>'Gas Water'!L164</f>
        <v/>
      </c>
      <c r="J162" s="154">
        <v>12.93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>
        <v>0.67</v>
      </c>
      <c r="G163" s="4" t="str">
        <f>'Gas Water'!M165</f>
        <v/>
      </c>
      <c r="H163" s="154">
        <v>1.77</v>
      </c>
      <c r="I163" s="2" t="str">
        <f>'Gas Water'!L165</f>
        <v/>
      </c>
      <c r="J163" s="154">
        <v>12.93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>
        <v>0.67</v>
      </c>
      <c r="G164" s="4" t="str">
        <f>'Gas Water'!M166</f>
        <v/>
      </c>
      <c r="H164" s="154">
        <v>1.77</v>
      </c>
      <c r="I164" s="2" t="str">
        <f>'Gas Water'!L166</f>
        <v/>
      </c>
      <c r="J164" s="154">
        <v>12.93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>
        <v>0.67</v>
      </c>
      <c r="G165" s="4" t="str">
        <f>'Gas Water'!M167</f>
        <v/>
      </c>
      <c r="H165" s="154">
        <v>1.77</v>
      </c>
      <c r="I165" s="2" t="str">
        <f>'Gas Water'!L167</f>
        <v/>
      </c>
      <c r="J165" s="154">
        <v>12.93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>
        <v>0.67</v>
      </c>
      <c r="G166" s="4" t="str">
        <f>'Gas Water'!M168</f>
        <v/>
      </c>
      <c r="H166" s="154">
        <v>1.77</v>
      </c>
      <c r="I166" s="2" t="str">
        <f>'Gas Water'!L168</f>
        <v/>
      </c>
      <c r="J166" s="154">
        <v>12.93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>
        <v>0.67</v>
      </c>
      <c r="G167" s="4" t="str">
        <f>'Gas Water'!M169</f>
        <v/>
      </c>
      <c r="H167" s="154">
        <v>1.77</v>
      </c>
      <c r="I167" s="2" t="str">
        <f>'Gas Water'!L169</f>
        <v/>
      </c>
      <c r="J167" s="154">
        <v>12.93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>
        <v>0.67</v>
      </c>
      <c r="G168" s="4" t="str">
        <f>'Gas Water'!M170</f>
        <v/>
      </c>
      <c r="H168" s="154">
        <v>1.77</v>
      </c>
      <c r="I168" s="2" t="str">
        <f>'Gas Water'!L170</f>
        <v/>
      </c>
      <c r="J168" s="154">
        <v>12.93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>
        <v>0.67</v>
      </c>
      <c r="G169" s="4" t="str">
        <f>'Gas Water'!M171</f>
        <v/>
      </c>
      <c r="H169" s="154">
        <v>1.77</v>
      </c>
      <c r="I169" s="2" t="str">
        <f>'Gas Water'!L171</f>
        <v/>
      </c>
      <c r="J169" s="154">
        <v>12.93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>
        <v>0.67</v>
      </c>
      <c r="G170" s="4" t="str">
        <f>'Gas Water'!M172</f>
        <v/>
      </c>
      <c r="H170" s="154">
        <v>1.77</v>
      </c>
      <c r="I170" s="2" t="str">
        <f>'Gas Water'!L172</f>
        <v/>
      </c>
      <c r="J170" s="154">
        <v>12.93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>
        <v>0.67</v>
      </c>
      <c r="G171" s="4" t="str">
        <f>'Gas Water'!M173</f>
        <v/>
      </c>
      <c r="H171" s="154">
        <v>1.77</v>
      </c>
      <c r="I171" s="2" t="str">
        <f>'Gas Water'!L173</f>
        <v/>
      </c>
      <c r="J171" s="154">
        <v>12.93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>
        <v>0.67</v>
      </c>
      <c r="G172" s="4" t="str">
        <f>'Gas Water'!M174</f>
        <v/>
      </c>
      <c r="H172" s="154">
        <v>1.77</v>
      </c>
      <c r="I172" s="2" t="str">
        <f>'Gas Water'!L174</f>
        <v/>
      </c>
      <c r="J172" s="154">
        <v>12.93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>
        <v>0.67</v>
      </c>
      <c r="G173" s="4" t="str">
        <f>'Gas Water'!M175</f>
        <v/>
      </c>
      <c r="H173" s="154">
        <v>1.77</v>
      </c>
      <c r="I173" s="2" t="str">
        <f>'Gas Water'!L175</f>
        <v/>
      </c>
      <c r="J173" s="154">
        <v>12.93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21" workbookViewId="0">
      <selection activeCell="P135" sqref="P135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7" t="s">
        <v>21</v>
      </c>
      <c r="O145" s="197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8"/>
      <c r="O146" s="198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199"/>
      <c r="O147" s="199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3470</v>
      </c>
      <c r="O148" s="32">
        <f>SUM(M12:M155)</f>
        <v>383363</v>
      </c>
      <c r="Q148" s="20">
        <f>IF(L148="",1,0)</f>
        <v>0</v>
      </c>
    </row>
    <row r="149" spans="2:18" ht="12.95" customHeight="1" x14ac:dyDescent="0.2">
      <c r="B149" s="22">
        <v>44342</v>
      </c>
      <c r="C149" s="41"/>
      <c r="D149" s="24"/>
      <c r="E149" s="25"/>
      <c r="F149" s="26"/>
      <c r="G149" s="27"/>
      <c r="H149" s="28" t="str">
        <f t="shared" si="10"/>
        <v/>
      </c>
      <c r="I149" s="28" t="str">
        <f t="shared" si="10"/>
        <v/>
      </c>
      <c r="J149" s="28" t="str">
        <f t="shared" si="10"/>
        <v/>
      </c>
      <c r="K149" s="28" t="str">
        <f t="shared" si="10"/>
        <v/>
      </c>
      <c r="L149" s="29" t="str">
        <f t="shared" si="13"/>
        <v/>
      </c>
      <c r="M149" s="30" t="str">
        <f>IF(H149="","",+(H149+I149+J149+K149))</f>
        <v/>
      </c>
      <c r="N149" s="197" t="s">
        <v>23</v>
      </c>
      <c r="O149" s="197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1"/>
      <c r="D150" s="24"/>
      <c r="E150" s="25"/>
      <c r="F150" s="26"/>
      <c r="G150" s="27"/>
      <c r="H150" s="28" t="str">
        <f t="shared" si="10"/>
        <v/>
      </c>
      <c r="I150" s="28" t="str">
        <f t="shared" si="10"/>
        <v/>
      </c>
      <c r="J150" s="28" t="str">
        <f t="shared" si="10"/>
        <v/>
      </c>
      <c r="K150" s="28" t="str">
        <f t="shared" si="10"/>
        <v/>
      </c>
      <c r="L150" s="29" t="str">
        <f t="shared" si="13"/>
        <v/>
      </c>
      <c r="M150" s="30" t="str">
        <f>IF(H150="","",+(H150+I150+J150+K150))</f>
        <v/>
      </c>
      <c r="N150" s="199"/>
      <c r="O150" s="199"/>
      <c r="Q150" s="20">
        <f>IF(L150="",1,0)</f>
        <v>1</v>
      </c>
    </row>
    <row r="151" spans="2:18" ht="12.95" customHeight="1" thickBot="1" x14ac:dyDescent="0.25">
      <c r="B151" s="22">
        <v>44344</v>
      </c>
      <c r="C151" s="41"/>
      <c r="D151" s="24"/>
      <c r="E151" s="25"/>
      <c r="F151" s="26"/>
      <c r="G151" s="27"/>
      <c r="H151" s="28" t="str">
        <f t="shared" si="10"/>
        <v/>
      </c>
      <c r="I151" s="28" t="str">
        <f t="shared" si="10"/>
        <v/>
      </c>
      <c r="J151" s="28" t="str">
        <f t="shared" si="10"/>
        <v/>
      </c>
      <c r="K151" s="28" t="str">
        <f t="shared" si="10"/>
        <v/>
      </c>
      <c r="L151" s="29" t="str">
        <f t="shared" si="13"/>
        <v/>
      </c>
      <c r="M151" s="30" t="str">
        <f>IF(H151="","",+(H151+I151+J151+K151))</f>
        <v/>
      </c>
      <c r="N151" s="32">
        <f>AVERAGE(L125:L155)</f>
        <v>144.58333333333334</v>
      </c>
      <c r="O151" s="32">
        <f>AVERAGE(M125:M155)</f>
        <v>1600.8333333333333</v>
      </c>
      <c r="Q151" s="20">
        <f>IF(L151="",1,0)</f>
        <v>1</v>
      </c>
    </row>
    <row r="152" spans="2:18" ht="12.95" customHeight="1" x14ac:dyDescent="0.2">
      <c r="B152" s="22">
        <v>44345</v>
      </c>
      <c r="C152" s="41"/>
      <c r="D152" s="24"/>
      <c r="E152" s="25"/>
      <c r="F152" s="26"/>
      <c r="G152" s="27"/>
      <c r="H152" s="28" t="str">
        <f t="shared" si="10"/>
        <v/>
      </c>
      <c r="I152" s="28" t="str">
        <f t="shared" si="10"/>
        <v/>
      </c>
      <c r="J152" s="28" t="str">
        <f t="shared" si="10"/>
        <v/>
      </c>
      <c r="K152" s="28" t="str">
        <f t="shared" si="10"/>
        <v/>
      </c>
      <c r="L152" s="29" t="str">
        <f t="shared" si="13"/>
        <v/>
      </c>
      <c r="M152" s="30" t="str">
        <f t="shared" si="11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1"/>
      <c r="D153" s="24"/>
      <c r="E153" s="25"/>
      <c r="F153" s="26"/>
      <c r="G153" s="27"/>
      <c r="H153" s="28" t="str">
        <f t="shared" si="10"/>
        <v/>
      </c>
      <c r="I153" s="28" t="str">
        <f t="shared" si="10"/>
        <v/>
      </c>
      <c r="J153" s="28" t="str">
        <f t="shared" si="10"/>
        <v/>
      </c>
      <c r="K153" s="28" t="str">
        <f t="shared" si="10"/>
        <v/>
      </c>
      <c r="L153" s="29" t="str">
        <f t="shared" si="13"/>
        <v/>
      </c>
      <c r="M153" s="30" t="str">
        <f t="shared" si="11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0"/>
        <v/>
      </c>
      <c r="I154" s="28" t="str">
        <f t="shared" si="10"/>
        <v/>
      </c>
      <c r="J154" s="28" t="str">
        <f t="shared" si="10"/>
        <v/>
      </c>
      <c r="K154" s="28" t="str">
        <f t="shared" si="10"/>
        <v/>
      </c>
      <c r="L154" s="29" t="str">
        <f t="shared" si="13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0"/>
        <v/>
      </c>
      <c r="I155" s="33" t="str">
        <f t="shared" si="10"/>
        <v/>
      </c>
      <c r="J155" s="33" t="str">
        <f t="shared" si="10"/>
        <v/>
      </c>
      <c r="K155" s="33" t="str">
        <f t="shared" si="10"/>
        <v/>
      </c>
      <c r="L155" s="42" t="str">
        <f t="shared" ref="L155:L196" si="14">IF(G155="","",+(G154-G155))</f>
        <v/>
      </c>
      <c r="M155" s="33" t="str">
        <f t="shared" si="11"/>
        <v/>
      </c>
      <c r="Q155" s="20">
        <f t="shared" si="12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0"/>
        <v/>
      </c>
      <c r="I156" s="28" t="str">
        <f t="shared" si="10"/>
        <v/>
      </c>
      <c r="J156" s="28" t="str">
        <f t="shared" si="10"/>
        <v/>
      </c>
      <c r="K156" s="28" t="str">
        <f t="shared" si="10"/>
        <v/>
      </c>
      <c r="L156" s="29" t="str">
        <f t="shared" si="14"/>
        <v/>
      </c>
      <c r="M156" s="30" t="str">
        <f t="shared" si="11"/>
        <v/>
      </c>
      <c r="Q156" s="20">
        <f t="shared" si="12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si="14"/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0</v>
      </c>
      <c r="O178" s="32">
        <f>SUM(M156:M185)</f>
        <v>0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361551</v>
      </c>
      <c r="J371" s="40">
        <f t="shared" si="29"/>
        <v>20155</v>
      </c>
      <c r="K371" s="40">
        <f t="shared" si="29"/>
        <v>18710</v>
      </c>
      <c r="L371" s="40">
        <f t="shared" si="29"/>
        <v>19636</v>
      </c>
      <c r="M371" s="40">
        <f t="shared" si="29"/>
        <v>400416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24" workbookViewId="0">
      <selection activeCell="J151" sqref="J151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>
        <v>0.14199999999999999</v>
      </c>
      <c r="E140" s="58">
        <v>316.27800000000002</v>
      </c>
      <c r="F140" s="59">
        <v>12.167999999999999</v>
      </c>
      <c r="G140" s="60"/>
      <c r="H140" s="60">
        <v>4140</v>
      </c>
      <c r="I140" s="60">
        <f t="shared" si="14"/>
        <v>22099.320000000091</v>
      </c>
      <c r="J140" s="60">
        <f t="shared" si="15"/>
        <v>927.35999999999342</v>
      </c>
      <c r="K140" s="61">
        <f t="shared" si="10"/>
        <v>4.1963282128137408E-2</v>
      </c>
      <c r="L140" s="60">
        <f t="shared" si="11"/>
        <v>927.35999999999342</v>
      </c>
      <c r="M140" s="61">
        <f t="shared" si="12"/>
        <v>4.1963282128137408E-2</v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>
        <v>0.14199999999999999</v>
      </c>
      <c r="E141" s="58">
        <v>321.38499999999999</v>
      </c>
      <c r="F141" s="59">
        <v>12.362</v>
      </c>
      <c r="G141" s="60"/>
      <c r="H141" s="60">
        <v>4140</v>
      </c>
      <c r="I141" s="60">
        <f t="shared" si="14"/>
        <v>21142.97999999988</v>
      </c>
      <c r="J141" s="60">
        <f t="shared" si="15"/>
        <v>803.16000000000349</v>
      </c>
      <c r="K141" s="61">
        <f t="shared" ref="K141:K204" si="19">IF(J141="","",+(J141/I141))</f>
        <v>3.7987076561582525E-2</v>
      </c>
      <c r="L141" s="60">
        <f t="shared" ref="L141:L204" si="20">IF(F141="","",+(F141-F140)*4140)</f>
        <v>803.16000000000349</v>
      </c>
      <c r="M141" s="61">
        <f t="shared" ref="M141:M204" si="21">IF(L141="","",(L141/I141))</f>
        <v>3.7987076561582525E-2</v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>
        <v>0.14199999999999999</v>
      </c>
      <c r="E142" s="58">
        <v>327.31900000000002</v>
      </c>
      <c r="F142" s="59">
        <v>12.587999999999999</v>
      </c>
      <c r="G142" s="60"/>
      <c r="H142" s="60">
        <v>4140</v>
      </c>
      <c r="I142" s="60">
        <f t="shared" si="14"/>
        <v>24566.760000000108</v>
      </c>
      <c r="J142" s="60">
        <f t="shared" si="15"/>
        <v>935.63999999999623</v>
      </c>
      <c r="K142" s="61">
        <f t="shared" si="19"/>
        <v>3.8085608358611071E-2</v>
      </c>
      <c r="L142" s="60">
        <f t="shared" si="20"/>
        <v>935.63999999999623</v>
      </c>
      <c r="M142" s="61">
        <f t="shared" si="21"/>
        <v>3.8085608358611071E-2</v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>
        <v>0.14199999999999999</v>
      </c>
      <c r="E143" s="58">
        <v>332.46199999999999</v>
      </c>
      <c r="F143" s="59">
        <v>13.85</v>
      </c>
      <c r="G143" s="60"/>
      <c r="H143" s="60">
        <v>4140</v>
      </c>
      <c r="I143" s="60">
        <f t="shared" si="14"/>
        <v>21292.019999999884</v>
      </c>
      <c r="J143" s="60">
        <f t="shared" si="15"/>
        <v>5224.6800000000021</v>
      </c>
      <c r="K143" s="61">
        <f t="shared" si="19"/>
        <v>0.24538207272020365</v>
      </c>
      <c r="L143" s="60">
        <f t="shared" si="20"/>
        <v>5224.6800000000021</v>
      </c>
      <c r="M143" s="61">
        <f t="shared" si="21"/>
        <v>0.24538207272020365</v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>
        <v>0.14199999999999999</v>
      </c>
      <c r="E144" s="58">
        <v>337.65</v>
      </c>
      <c r="F144" s="59">
        <v>13.911</v>
      </c>
      <c r="G144" s="60"/>
      <c r="H144" s="60">
        <v>4140</v>
      </c>
      <c r="I144" s="60">
        <f t="shared" ref="I144:J159" si="22">IF(D144="","",+(E144-E143)*4140)</f>
        <v>21478.319999999952</v>
      </c>
      <c r="J144" s="60">
        <f t="shared" si="22"/>
        <v>252.53999999999976</v>
      </c>
      <c r="K144" s="61">
        <f t="shared" si="19"/>
        <v>1.17579028527371E-2</v>
      </c>
      <c r="L144" s="60">
        <f t="shared" si="20"/>
        <v>252.53999999999976</v>
      </c>
      <c r="M144" s="61">
        <f t="shared" si="21"/>
        <v>1.17579028527371E-2</v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>
        <v>0.14199999999999999</v>
      </c>
      <c r="E145" s="58">
        <v>342.79</v>
      </c>
      <c r="F145" s="59">
        <v>14.000999999999999</v>
      </c>
      <c r="G145" s="60"/>
      <c r="H145" s="60">
        <v>4140</v>
      </c>
      <c r="I145" s="60">
        <f t="shared" si="22"/>
        <v>21279.60000000018</v>
      </c>
      <c r="J145" s="60">
        <f t="shared" si="22"/>
        <v>372.5999999999994</v>
      </c>
      <c r="K145" s="61">
        <f t="shared" si="19"/>
        <v>1.7509727626458967E-2</v>
      </c>
      <c r="L145" s="60">
        <f t="shared" si="20"/>
        <v>372.5999999999994</v>
      </c>
      <c r="M145" s="61">
        <f t="shared" si="21"/>
        <v>1.7509727626458967E-2</v>
      </c>
      <c r="N145" s="62">
        <v>66068309</v>
      </c>
      <c r="O145" s="62">
        <f t="shared" si="17"/>
        <v>0</v>
      </c>
      <c r="P145" s="71">
        <f>IF(J124="",0,+SUM(J124:J154)/SUM(I124:I154))</f>
        <v>4.5063303404172854E-2</v>
      </c>
      <c r="Q145" s="71">
        <f>IF(L124="",0,+SUM(L124:L154)/SUM(I124:I154))</f>
        <v>4.5063303404172854E-2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>
        <v>0.14199999999999999</v>
      </c>
      <c r="E146" s="58">
        <v>348.30700000000002</v>
      </c>
      <c r="F146" s="59">
        <v>14.26</v>
      </c>
      <c r="G146" s="60"/>
      <c r="H146" s="60">
        <v>4140</v>
      </c>
      <c r="I146" s="60">
        <f t="shared" si="22"/>
        <v>22840.379999999983</v>
      </c>
      <c r="J146" s="60">
        <f t="shared" si="22"/>
        <v>1072.2600000000014</v>
      </c>
      <c r="K146" s="61">
        <f t="shared" si="19"/>
        <v>4.6945803878919799E-2</v>
      </c>
      <c r="L146" s="60">
        <f t="shared" si="20"/>
        <v>1072.2600000000014</v>
      </c>
      <c r="M146" s="61">
        <f t="shared" si="21"/>
        <v>4.6945803878919799E-2</v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>
        <v>0.14199999999999999</v>
      </c>
      <c r="E147" s="58">
        <v>354.14299999999997</v>
      </c>
      <c r="F147" s="59">
        <v>14.481</v>
      </c>
      <c r="G147" s="60"/>
      <c r="H147" s="60">
        <v>4140</v>
      </c>
      <c r="I147" s="60">
        <f t="shared" si="22"/>
        <v>24161.039999999819</v>
      </c>
      <c r="J147" s="60">
        <f t="shared" si="22"/>
        <v>914.9400000000004</v>
      </c>
      <c r="K147" s="61">
        <f t="shared" si="19"/>
        <v>3.7868403015764524E-2</v>
      </c>
      <c r="L147" s="60">
        <f t="shared" si="20"/>
        <v>914.9400000000004</v>
      </c>
      <c r="M147" s="61">
        <f t="shared" si="21"/>
        <v>3.7868403015764524E-2</v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/>
      <c r="E148" s="58"/>
      <c r="F148" s="59"/>
      <c r="G148" s="60"/>
      <c r="H148" s="60">
        <v>4140</v>
      </c>
      <c r="I148" s="60" t="str">
        <f t="shared" si="22"/>
        <v/>
      </c>
      <c r="J148" s="60" t="str">
        <f t="shared" si="22"/>
        <v/>
      </c>
      <c r="K148" s="61" t="str">
        <f t="shared" si="19"/>
        <v/>
      </c>
      <c r="L148" s="60" t="str">
        <f t="shared" si="20"/>
        <v/>
      </c>
      <c r="M148" s="61" t="str">
        <f t="shared" si="21"/>
        <v/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/>
      <c r="E149" s="58"/>
      <c r="F149" s="59"/>
      <c r="G149" s="60"/>
      <c r="H149" s="60">
        <v>4140</v>
      </c>
      <c r="I149" s="60" t="str">
        <f t="shared" si="22"/>
        <v/>
      </c>
      <c r="J149" s="60" t="str">
        <f t="shared" si="22"/>
        <v/>
      </c>
      <c r="K149" s="61" t="str">
        <f t="shared" si="19"/>
        <v/>
      </c>
      <c r="L149" s="60" t="str">
        <f t="shared" si="20"/>
        <v/>
      </c>
      <c r="M149" s="61" t="str">
        <f t="shared" si="21"/>
        <v/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/>
      <c r="E150" s="58"/>
      <c r="F150" s="59"/>
      <c r="G150" s="60"/>
      <c r="H150" s="60">
        <v>4140</v>
      </c>
      <c r="I150" s="60" t="str">
        <f t="shared" si="22"/>
        <v/>
      </c>
      <c r="J150" s="60" t="str">
        <f t="shared" si="22"/>
        <v/>
      </c>
      <c r="K150" s="61" t="str">
        <f t="shared" si="19"/>
        <v/>
      </c>
      <c r="L150" s="60" t="str">
        <f t="shared" si="20"/>
        <v/>
      </c>
      <c r="M150" s="61" t="str">
        <f t="shared" si="21"/>
        <v/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/>
      <c r="E151" s="58"/>
      <c r="F151" s="59"/>
      <c r="G151" s="60"/>
      <c r="H151" s="60">
        <v>4140</v>
      </c>
      <c r="I151" s="60" t="str">
        <f t="shared" si="22"/>
        <v/>
      </c>
      <c r="J151" s="60" t="str">
        <f t="shared" si="22"/>
        <v/>
      </c>
      <c r="K151" s="61" t="str">
        <f t="shared" si="19"/>
        <v/>
      </c>
      <c r="L151" s="60" t="str">
        <f t="shared" si="20"/>
        <v/>
      </c>
      <c r="M151" s="61" t="str">
        <f t="shared" si="21"/>
        <v/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/>
      <c r="E152" s="58"/>
      <c r="F152" s="59"/>
      <c r="G152" s="60"/>
      <c r="H152" s="60">
        <v>4140</v>
      </c>
      <c r="I152" s="60" t="str">
        <f t="shared" si="22"/>
        <v/>
      </c>
      <c r="J152" s="60" t="str">
        <f t="shared" si="22"/>
        <v/>
      </c>
      <c r="K152" s="61" t="str">
        <f t="shared" si="19"/>
        <v/>
      </c>
      <c r="L152" s="60" t="str">
        <f t="shared" si="20"/>
        <v/>
      </c>
      <c r="M152" s="61" t="str">
        <f t="shared" si="21"/>
        <v/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3054768.8999999953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2021-05-26T05:53:21Z</dcterms:modified>
  <cp:category/>
  <cp:contentStatus/>
</cp:coreProperties>
</file>