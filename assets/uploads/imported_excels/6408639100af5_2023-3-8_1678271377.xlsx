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06"/>
  <workbookPr defaultThemeVersion="124226"/>
  <mc:AlternateContent xmlns:mc="http://schemas.openxmlformats.org/markup-compatibility/2006">
    <mc:Choice Requires="x15">
      <x15ac:absPath xmlns:x15ac="http://schemas.microsoft.com/office/spreadsheetml/2010/11/ac" url="O:\CONSUMI\HEP file\2022\"/>
    </mc:Choice>
  </mc:AlternateContent>
  <xr:revisionPtr revIDLastSave="8" documentId="11_A60BFF29D2862C50B5D8C07FFD9ADE9232A32594" xr6:coauthVersionLast="47" xr6:coauthVersionMax="47" xr10:uidLastSave="{7A2B5E28-BB85-4C22-B0E5-CC1AEAE00E1E}"/>
  <bookViews>
    <workbookView xWindow="0" yWindow="0" windowWidth="28800" windowHeight="12300" xr2:uid="{00000000-000D-0000-FFFF-FFFF00000000}"/>
  </bookViews>
  <sheets>
    <sheet name="TOTAL" sheetId="5" r:id="rId1"/>
    <sheet name="Submetering " sheetId="4" r:id="rId2"/>
    <sheet name="Hotel Data" sheetId="2" r:id="rId3"/>
  </sheet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" i="4"/>
  <c r="AX36" i="2"/>
  <c r="AT36" i="2"/>
  <c r="AS36" i="2"/>
  <c r="AR36" i="2"/>
  <c r="AN36" i="2"/>
  <c r="AJ36" i="2"/>
  <c r="AG36" i="2"/>
  <c r="AD36" i="2"/>
  <c r="X36" i="2"/>
  <c r="T36" i="2"/>
  <c r="R36" i="2"/>
  <c r="P36" i="2"/>
  <c r="D36" i="2"/>
  <c r="F31" i="4"/>
  <c r="F30" i="4"/>
  <c r="H29" i="4"/>
  <c r="F29" i="4"/>
  <c r="J26" i="4"/>
  <c r="F26" i="4"/>
  <c r="J25" i="4"/>
  <c r="I25" i="4"/>
  <c r="H25" i="4"/>
  <c r="F25" i="4"/>
  <c r="J24" i="4"/>
  <c r="G23" i="4"/>
  <c r="I22" i="4"/>
  <c r="F22" i="4"/>
  <c r="I21" i="4"/>
  <c r="G21" i="4"/>
  <c r="F21" i="4"/>
  <c r="E21" i="4"/>
  <c r="F20" i="4"/>
  <c r="F19" i="4"/>
  <c r="J18" i="4"/>
  <c r="H18" i="4"/>
  <c r="I17" i="4"/>
  <c r="F17" i="4"/>
  <c r="G16" i="4"/>
  <c r="E16" i="4"/>
  <c r="I15" i="4"/>
  <c r="H15" i="4"/>
  <c r="F15" i="4"/>
  <c r="G14" i="4"/>
  <c r="F14" i="4"/>
  <c r="E14" i="4"/>
  <c r="J13" i="4"/>
  <c r="I12" i="4"/>
  <c r="E12" i="4"/>
  <c r="G11" i="4"/>
  <c r="F11" i="4"/>
  <c r="J10" i="4"/>
  <c r="E10" i="4"/>
  <c r="J9" i="4"/>
  <c r="I9" i="4"/>
  <c r="F9" i="4"/>
  <c r="H8" i="4"/>
  <c r="J7" i="4"/>
  <c r="G7" i="4"/>
  <c r="F7" i="4"/>
  <c r="J6" i="4"/>
  <c r="E6" i="4"/>
  <c r="J5" i="4"/>
  <c r="I5" i="4"/>
  <c r="H5" i="4"/>
  <c r="I4" i="4"/>
  <c r="J3" i="4"/>
  <c r="AP36" i="2"/>
  <c r="AL36" i="2"/>
  <c r="AH36" i="2"/>
  <c r="AE36" i="2"/>
  <c r="V36" i="2"/>
  <c r="I3" i="4"/>
  <c r="H3" i="4"/>
  <c r="H36" i="2"/>
  <c r="F36" i="2"/>
  <c r="Y36" i="2"/>
  <c r="AA36" i="2" s="1"/>
  <c r="N36" i="2"/>
  <c r="AB36" i="2"/>
  <c r="AB38" i="2"/>
  <c r="AJ38" i="2" s="1"/>
  <c r="H33" i="4"/>
  <c r="G33" i="4"/>
  <c r="I32" i="4"/>
  <c r="H32" i="4"/>
  <c r="J31" i="4"/>
  <c r="I31" i="4"/>
  <c r="E31" i="4"/>
  <c r="J30" i="4"/>
  <c r="G30" i="4"/>
  <c r="J29" i="4"/>
  <c r="I29" i="4"/>
  <c r="I28" i="4"/>
  <c r="G28" i="4"/>
  <c r="F28" i="4"/>
  <c r="H27" i="4"/>
  <c r="G27" i="4"/>
  <c r="F27" i="4"/>
  <c r="I26" i="4"/>
  <c r="H26" i="4"/>
  <c r="E26" i="4"/>
  <c r="I24" i="4"/>
  <c r="H24" i="4"/>
  <c r="E24" i="4"/>
  <c r="J23" i="4"/>
  <c r="I23" i="4"/>
  <c r="H23" i="4"/>
  <c r="E23" i="4"/>
  <c r="H22" i="4"/>
  <c r="G22" i="4"/>
  <c r="J21" i="4"/>
  <c r="J20" i="4"/>
  <c r="H20" i="4"/>
  <c r="G20" i="4"/>
  <c r="J19" i="4"/>
  <c r="I19" i="4"/>
  <c r="H19" i="4"/>
  <c r="G18" i="4"/>
  <c r="E18" i="4"/>
  <c r="G17" i="4"/>
  <c r="J16" i="4"/>
  <c r="I16" i="4"/>
  <c r="H16" i="4"/>
  <c r="J15" i="4"/>
  <c r="G15" i="4"/>
  <c r="J14" i="4"/>
  <c r="I14" i="4"/>
  <c r="H14" i="4"/>
  <c r="I13" i="4"/>
  <c r="H13" i="4"/>
  <c r="G13" i="4"/>
  <c r="F13" i="4"/>
  <c r="J12" i="4"/>
  <c r="H12" i="4"/>
  <c r="G12" i="4"/>
  <c r="J11" i="4"/>
  <c r="I11" i="4"/>
  <c r="I10" i="4"/>
  <c r="G10" i="4"/>
  <c r="G9" i="4"/>
  <c r="I8" i="4"/>
  <c r="G8" i="4"/>
  <c r="F8" i="4"/>
  <c r="I7" i="4"/>
  <c r="H7" i="4"/>
  <c r="I6" i="4"/>
  <c r="H6" i="4"/>
  <c r="G6" i="4"/>
  <c r="F6" i="4"/>
  <c r="F5" i="4"/>
  <c r="H4" i="4"/>
  <c r="G4" i="4"/>
  <c r="F4" i="4"/>
  <c r="G3" i="4"/>
  <c r="F3" i="4"/>
  <c r="J17" i="4"/>
  <c r="F23" i="4"/>
  <c r="G24" i="4"/>
  <c r="G25" i="4"/>
  <c r="G26" i="4"/>
  <c r="G29" i="4"/>
  <c r="I30" i="4"/>
  <c r="F32" i="4"/>
  <c r="E33" i="4"/>
  <c r="F33" i="4"/>
  <c r="J33" i="4"/>
  <c r="I33" i="4"/>
  <c r="J27" i="4"/>
  <c r="I27" i="4"/>
  <c r="H17" i="4"/>
  <c r="F12" i="4"/>
  <c r="H10" i="4"/>
  <c r="J4" i="4"/>
  <c r="I18" i="4"/>
  <c r="F16" i="4"/>
  <c r="I20" i="4"/>
  <c r="E9" i="4"/>
  <c r="G32" i="4"/>
  <c r="F24" i="4"/>
  <c r="E32" i="5"/>
  <c r="E31" i="5"/>
  <c r="K33" i="4"/>
  <c r="K32" i="4"/>
  <c r="J32" i="4"/>
  <c r="H31" i="4"/>
  <c r="P33" i="4"/>
  <c r="G31" i="4"/>
  <c r="H28" i="4"/>
  <c r="J22" i="4"/>
  <c r="G19" i="4"/>
  <c r="F18" i="4"/>
  <c r="H11" i="4"/>
  <c r="F10" i="4"/>
  <c r="H9" i="4"/>
  <c r="G5" i="4"/>
  <c r="H21" i="4"/>
  <c r="E28" i="4"/>
  <c r="J28" i="4"/>
  <c r="H30" i="4"/>
  <c r="K8" i="4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2" i="5"/>
  <c r="J8" i="4"/>
  <c r="K4" i="4"/>
  <c r="K5" i="4"/>
  <c r="K6" i="4"/>
  <c r="K7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" i="4"/>
  <c r="B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" i="5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E22" i="4"/>
  <c r="E8" i="4"/>
  <c r="E13" i="4"/>
  <c r="E17" i="4"/>
  <c r="E29" i="4"/>
  <c r="E27" i="4"/>
  <c r="E4" i="4"/>
  <c r="E11" i="4"/>
  <c r="E32" i="4"/>
  <c r="E5" i="4" l="1"/>
  <c r="E15" i="4"/>
  <c r="E19" i="4"/>
  <c r="E3" i="4"/>
  <c r="E30" i="4"/>
  <c r="E20" i="4"/>
  <c r="E25" i="4"/>
  <c r="E7" i="4"/>
</calcChain>
</file>

<file path=xl/sharedStrings.xml><?xml version="1.0" encoding="utf-8"?>
<sst xmlns="http://schemas.openxmlformats.org/spreadsheetml/2006/main" count="201" uniqueCount="75">
  <si>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</si>
  <si>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</si>
  <si>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</si>
  <si>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</si>
  <si>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</si>
  <si>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</si>
  <si>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</si>
  <si>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</si>
  <si>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</si>
  <si>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</si>
  <si>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</si>
  <si>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</si>
  <si>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Milan</t>
  </si>
  <si>
    <t>GAS RISCALD.(m3)</t>
  </si>
  <si>
    <t>GAS CUCINA (m3)</t>
  </si>
  <si>
    <t>H2O CONDIZION.ADD (m3)</t>
  </si>
  <si>
    <t>REINT. H2O ADD (m3)</t>
  </si>
  <si>
    <t>H2O ADD F CUC P (m3)</t>
  </si>
  <si>
    <t>H2O SANIT. CALDA (m3)</t>
  </si>
  <si>
    <t>ENEL CUC.PRINC. P (KWh)</t>
  </si>
  <si>
    <t>ENEL CUC.PRINC. N. (KWh)</t>
  </si>
  <si>
    <t>ENEL CUC.PREP. (KWh)</t>
  </si>
  <si>
    <t>ENEL CUC.VERANDA (KWh)</t>
  </si>
  <si>
    <t xml:space="preserve">   ENEL LAVANDERIA (KWh)</t>
  </si>
  <si>
    <t xml:space="preserve">   GAS RISCALD.</t>
  </si>
  <si>
    <t xml:space="preserve">        GAS CUCINA</t>
  </si>
  <si>
    <t xml:space="preserve">  H2O GENERALE</t>
  </si>
  <si>
    <t>H2O CONDIZION.ADD</t>
  </si>
  <si>
    <t>REINT. H2O ADD rfrig</t>
  </si>
  <si>
    <t>H2O ADD F CUC P</t>
  </si>
  <si>
    <t>H2O SANIT. CALDA</t>
  </si>
  <si>
    <t xml:space="preserve">  ENEL ATTIVA</t>
  </si>
  <si>
    <t>ENEL REATT.</t>
  </si>
  <si>
    <t xml:space="preserve">    ENEL CUC.PRINC. P</t>
  </si>
  <si>
    <t xml:space="preserve"> ENEL CUC.PRINC. N.</t>
  </si>
  <si>
    <t>ENEL CUC.PREP.</t>
  </si>
  <si>
    <t xml:space="preserve">           ENEL CUC.VERANDA       </t>
  </si>
  <si>
    <t xml:space="preserve">              ENEL LAVANDERIA</t>
  </si>
  <si>
    <t xml:space="preserve">  TEMPER.GG.</t>
  </si>
  <si>
    <t>RICAVI</t>
  </si>
  <si>
    <t xml:space="preserve">REFRIGERATA </t>
  </si>
  <si>
    <t>lt/ G</t>
  </si>
  <si>
    <t>GAS RISCALDAM.</t>
  </si>
  <si>
    <t>GAS CUCINA</t>
  </si>
  <si>
    <t>ACQUA GENER.</t>
  </si>
  <si>
    <t>ACQUA CONDIZ.</t>
  </si>
  <si>
    <t>ENERGIA</t>
  </si>
  <si>
    <t>Proiezione BA</t>
  </si>
  <si>
    <t>ENEL CUC.PRINC</t>
  </si>
  <si>
    <t>ENEL CUC.VER.</t>
  </si>
  <si>
    <t>ENEL LAVAND.</t>
  </si>
  <si>
    <t>GG</t>
  </si>
  <si>
    <t>ORA</t>
  </si>
  <si>
    <t>NOTE</t>
  </si>
  <si>
    <t>LETTURA MC</t>
  </si>
  <si>
    <t>DIFF. G</t>
  </si>
  <si>
    <t>lett. BA</t>
  </si>
  <si>
    <t>GUESTS</t>
  </si>
  <si>
    <t>mcxcl</t>
  </si>
  <si>
    <t>LET. KWH*2200</t>
  </si>
  <si>
    <t>Consumo BA</t>
  </si>
  <si>
    <t>LET.KWT</t>
  </si>
  <si>
    <t>LET. KWH</t>
  </si>
  <si>
    <t>LET. KWH*80</t>
  </si>
  <si>
    <t>COVERS</t>
  </si>
  <si>
    <t>MIN</t>
  </si>
  <si>
    <t>MAX</t>
  </si>
  <si>
    <t>LAVANDERIA</t>
  </si>
  <si>
    <t>00:00</t>
  </si>
  <si>
    <t xml:space="preserve">HEP disabilitato log. Recupero invernale.f </t>
  </si>
  <si>
    <t>off. Imp. Analisi e dosaggio T.EV</t>
  </si>
  <si>
    <t>Valvola T1 di reintegro acqua da regolare</t>
  </si>
  <si>
    <t>Valvola VM 12 fila-impostato caldaie a 65°</t>
  </si>
  <si>
    <t xml:space="preserve">TOTALE </t>
  </si>
  <si>
    <t>CONSUMI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</si>
</sst>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_-;\-* #,##0_-;_-* &quot;-&quot;_-;_-@_-"/>
    <numFmt numFmtId="165" formatCode="_-* #,##0.000_-;\-* #,##0.000_-;_-* &quot;-&quot;_-;_-@_-"/>
    <numFmt numFmtId="166" formatCode="#,##0_ ;\-#,##0\ "/>
    <numFmt numFmtId="167" formatCode="_-* #,##0.00_-;\-* #,##0.00_-;_-* &quot;-&quot;_-;_-@_-"/>
    <numFmt numFmtId="168" formatCode="#,##0.00_ ;\-#,##0.00\ "/>
    <numFmt numFmtId="169" formatCode="#,##0.000"/>
    <numFmt numFmtId="170" formatCode="0.000"/>
  </numFmts>
  <fonts count="2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sz val="12"/>
      <color indexed="17"/>
      <name val="Arial"/>
      <family val="2"/>
    </font>
    <font>
      <sz val="12"/>
      <color indexed="30"/>
      <name val="Arial"/>
      <family val="2"/>
    </font>
    <font>
      <b/>
      <sz val="12"/>
      <color indexed="48"/>
      <name val="Arial"/>
      <family val="2"/>
    </font>
    <font>
      <sz val="12"/>
      <color indexed="14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9"/>
      <name val="Arial"/>
      <family val="2"/>
    </font>
    <font>
      <b/>
      <sz val="12"/>
      <color theme="3" tint="0.59999389629810485"/>
      <name val="Arial"/>
      <family val="2"/>
    </font>
    <font>
      <sz val="12"/>
      <color rgb="FFFF0000"/>
      <name val="Arial"/>
      <family val="2"/>
    </font>
    <font>
      <sz val="12"/>
      <color theme="9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13"/>
        <bgColor indexed="64"/>
      </patternFill>
    </fill>
    <fill>
      <patternFill patternType="solid">
        <fgColor indexed="13"/>
      </patternFill>
    </fill>
    <fill>
      <patternFill patternType="solid">
        <fgColor rgb="FF00B0F0"/>
        <bgColor indexed="64"/>
      </patternFill>
    </fill>
  </fills>
  <borders count="45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8"/>
      </left>
      <right/>
      <top/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164" fontId="10" fillId="0" borderId="0" applyFont="0" applyFill="0" applyBorder="0" applyAlignment="0" applyProtection="0"/>
  </cellStyleXfs>
  <cellXfs count="136">
    <xf numFmtId="0" fontId="0" fillId="0" borderId="0" xfId="0"/>
    <xf numFmtId="164" fontId="1" fillId="0" borderId="0" xfId="1" applyFont="1"/>
    <xf numFmtId="164" fontId="2" fillId="0" borderId="0" xfId="1" applyFont="1"/>
    <xf numFmtId="164" fontId="2" fillId="3" borderId="1" xfId="1" applyFont="1" applyFill="1" applyBorder="1" applyAlignment="1" applyProtection="1">
      <alignment horizontal="left"/>
    </xf>
    <xf numFmtId="164" fontId="2" fillId="3" borderId="2" xfId="1" applyFont="1" applyFill="1" applyBorder="1" applyAlignment="1" applyProtection="1">
      <alignment horizontal="left"/>
    </xf>
    <xf numFmtId="164" fontId="4" fillId="3" borderId="3" xfId="1" applyFont="1" applyFill="1" applyBorder="1" applyAlignment="1" applyProtection="1">
      <alignment horizontal="left"/>
    </xf>
    <xf numFmtId="164" fontId="5" fillId="0" borderId="4" xfId="1" applyFont="1" applyBorder="1" applyProtection="1"/>
    <xf numFmtId="164" fontId="3" fillId="0" borderId="4" xfId="1" applyFont="1" applyBorder="1" applyProtection="1"/>
    <xf numFmtId="164" fontId="1" fillId="0" borderId="4" xfId="1" applyFont="1" applyBorder="1" applyProtection="1"/>
    <xf numFmtId="3" fontId="1" fillId="0" borderId="4" xfId="1" applyNumberFormat="1" applyFont="1" applyBorder="1" applyProtection="1"/>
    <xf numFmtId="164" fontId="1" fillId="0" borderId="4" xfId="1" applyFont="1" applyBorder="1" applyAlignment="1" applyProtection="1">
      <alignment horizontal="left"/>
    </xf>
    <xf numFmtId="165" fontId="6" fillId="0" borderId="4" xfId="1" applyNumberFormat="1" applyFont="1" applyBorder="1" applyProtection="1"/>
    <xf numFmtId="3" fontId="5" fillId="0" borderId="4" xfId="1" applyNumberFormat="1" applyFont="1" applyBorder="1" applyProtection="1"/>
    <xf numFmtId="167" fontId="5" fillId="0" borderId="4" xfId="1" applyNumberFormat="1" applyFont="1" applyBorder="1" applyProtection="1"/>
    <xf numFmtId="164" fontId="5" fillId="0" borderId="4" xfId="1" applyFont="1" applyFill="1" applyBorder="1" applyProtection="1"/>
    <xf numFmtId="164" fontId="1" fillId="0" borderId="5" xfId="1" applyFont="1" applyBorder="1"/>
    <xf numFmtId="164" fontId="2" fillId="0" borderId="6" xfId="1" applyFont="1" applyBorder="1" applyProtection="1"/>
    <xf numFmtId="164" fontId="2" fillId="0" borderId="0" xfId="1" applyFont="1" applyBorder="1" applyProtection="1"/>
    <xf numFmtId="164" fontId="2" fillId="5" borderId="7" xfId="1" applyFont="1" applyFill="1" applyBorder="1"/>
    <xf numFmtId="164" fontId="2" fillId="0" borderId="0" xfId="1" applyFont="1" applyAlignment="1" applyProtection="1">
      <alignment horizontal="center"/>
    </xf>
    <xf numFmtId="167" fontId="2" fillId="0" borderId="0" xfId="1" applyNumberFormat="1" applyFont="1" applyBorder="1" applyProtection="1"/>
    <xf numFmtId="167" fontId="1" fillId="0" borderId="0" xfId="1" applyNumberFormat="1" applyFont="1"/>
    <xf numFmtId="164" fontId="2" fillId="0" borderId="8" xfId="1" applyFont="1" applyBorder="1"/>
    <xf numFmtId="164" fontId="2" fillId="0" borderId="8" xfId="1" applyFont="1" applyBorder="1" applyProtection="1"/>
    <xf numFmtId="1" fontId="0" fillId="0" borderId="0" xfId="0" applyNumberFormat="1"/>
    <xf numFmtId="1" fontId="11" fillId="0" borderId="0" xfId="0" applyNumberFormat="1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wrapText="1"/>
    </xf>
    <xf numFmtId="0" fontId="11" fillId="0" borderId="0" xfId="0" applyFont="1"/>
    <xf numFmtId="1" fontId="11" fillId="0" borderId="0" xfId="0" applyNumberFormat="1" applyFont="1" applyAlignment="1">
      <alignment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" fontId="13" fillId="0" borderId="0" xfId="0" applyNumberFormat="1" applyFont="1"/>
    <xf numFmtId="1" fontId="16" fillId="0" borderId="0" xfId="0" applyNumberFormat="1" applyFont="1" applyAlignment="1">
      <alignment wrapText="1"/>
    </xf>
    <xf numFmtId="1" fontId="15" fillId="0" borderId="0" xfId="0" applyNumberFormat="1" applyFont="1"/>
    <xf numFmtId="1" fontId="12" fillId="0" borderId="0" xfId="0" applyNumberFormat="1" applyFont="1"/>
    <xf numFmtId="164" fontId="1" fillId="3" borderId="9" xfId="1" applyFont="1" applyFill="1" applyBorder="1" applyAlignment="1">
      <alignment horizontal="center" vertical="center" wrapText="1"/>
    </xf>
    <xf numFmtId="164" fontId="1" fillId="3" borderId="10" xfId="1" applyFont="1" applyFill="1" applyBorder="1" applyAlignment="1">
      <alignment horizontal="center" vertical="center" wrapText="1"/>
    </xf>
    <xf numFmtId="164" fontId="1" fillId="3" borderId="11" xfId="1" applyFont="1" applyFill="1" applyBorder="1" applyAlignment="1">
      <alignment horizontal="center" vertical="center" wrapText="1"/>
    </xf>
    <xf numFmtId="164" fontId="1" fillId="0" borderId="0" xfId="1" applyFont="1" applyBorder="1"/>
    <xf numFmtId="164" fontId="1" fillId="0" borderId="0" xfId="1" applyFont="1" applyBorder="1" applyAlignment="1">
      <alignment horizontal="center" vertical="center" wrapText="1"/>
    </xf>
    <xf numFmtId="164" fontId="2" fillId="3" borderId="1" xfId="1" applyFont="1" applyFill="1" applyBorder="1" applyAlignment="1" applyProtection="1">
      <alignment horizontal="center" vertical="center" wrapText="1"/>
    </xf>
    <xf numFmtId="164" fontId="2" fillId="3" borderId="1" xfId="1" applyFont="1" applyFill="1" applyBorder="1" applyAlignment="1" applyProtection="1">
      <alignment horizontal="left" vertical="center"/>
    </xf>
    <xf numFmtId="164" fontId="2" fillId="3" borderId="12" xfId="1" applyFont="1" applyFill="1" applyBorder="1" applyAlignment="1">
      <alignment horizontal="center" vertical="center" wrapText="1"/>
    </xf>
    <xf numFmtId="164" fontId="17" fillId="0" borderId="4" xfId="1" applyFont="1" applyBorder="1" applyProtection="1"/>
    <xf numFmtId="164" fontId="2" fillId="4" borderId="13" xfId="1" applyFont="1" applyFill="1" applyBorder="1" applyAlignment="1" applyProtection="1">
      <alignment horizontal="right"/>
    </xf>
    <xf numFmtId="164" fontId="2" fillId="0" borderId="0" xfId="1" applyFont="1" applyBorder="1" applyAlignment="1" applyProtection="1">
      <alignment horizontal="left"/>
    </xf>
    <xf numFmtId="164" fontId="2" fillId="0" borderId="14" xfId="1" applyFont="1" applyBorder="1" applyProtection="1"/>
    <xf numFmtId="164" fontId="1" fillId="2" borderId="0" xfId="1" applyFont="1" applyFill="1" applyBorder="1"/>
    <xf numFmtId="164" fontId="1" fillId="0" borderId="0" xfId="1" applyFont="1" applyBorder="1" applyProtection="1"/>
    <xf numFmtId="167" fontId="2" fillId="0" borderId="0" xfId="1" applyNumberFormat="1" applyFont="1"/>
    <xf numFmtId="164" fontId="2" fillId="0" borderId="7" xfId="1" applyFont="1" applyFill="1" applyBorder="1"/>
    <xf numFmtId="164" fontId="2" fillId="4" borderId="15" xfId="1" applyFont="1" applyFill="1" applyBorder="1" applyProtection="1"/>
    <xf numFmtId="4" fontId="1" fillId="0" borderId="4" xfId="1" quotePrefix="1" applyNumberFormat="1" applyFont="1" applyBorder="1" applyAlignment="1" applyProtection="1">
      <alignment horizontal="left"/>
    </xf>
    <xf numFmtId="168" fontId="5" fillId="0" borderId="4" xfId="1" applyNumberFormat="1" applyFont="1" applyBorder="1" applyProtection="1"/>
    <xf numFmtId="164" fontId="7" fillId="0" borderId="4" xfId="1" applyFont="1" applyBorder="1" applyProtection="1"/>
    <xf numFmtId="164" fontId="5" fillId="0" borderId="4" xfId="1" applyFont="1" applyFill="1" applyBorder="1"/>
    <xf numFmtId="164" fontId="1" fillId="0" borderId="4" xfId="1" applyFont="1" applyBorder="1"/>
    <xf numFmtId="164" fontId="18" fillId="0" borderId="0" xfId="1" applyFont="1"/>
    <xf numFmtId="164" fontId="2" fillId="0" borderId="16" xfId="1" applyFont="1" applyBorder="1"/>
    <xf numFmtId="164" fontId="1" fillId="2" borderId="4" xfId="1" applyFont="1" applyFill="1" applyBorder="1"/>
    <xf numFmtId="164" fontId="3" fillId="0" borderId="4" xfId="1" applyFont="1" applyFill="1" applyBorder="1" applyProtection="1"/>
    <xf numFmtId="165" fontId="5" fillId="0" borderId="17" xfId="1" applyNumberFormat="1" applyFont="1" applyBorder="1" applyProtection="1"/>
    <xf numFmtId="3" fontId="19" fillId="0" borderId="4" xfId="1" applyNumberFormat="1" applyFont="1" applyBorder="1" applyProtection="1"/>
    <xf numFmtId="164" fontId="1" fillId="0" borderId="4" xfId="1" applyFont="1" applyFill="1" applyBorder="1" applyProtection="1"/>
    <xf numFmtId="4" fontId="1" fillId="0" borderId="18" xfId="1" quotePrefix="1" applyNumberFormat="1" applyFont="1" applyBorder="1" applyAlignment="1" applyProtection="1">
      <alignment horizontal="left"/>
    </xf>
    <xf numFmtId="3" fontId="1" fillId="0" borderId="1" xfId="1" applyNumberFormat="1" applyFont="1" applyBorder="1" applyProtection="1"/>
    <xf numFmtId="164" fontId="5" fillId="0" borderId="17" xfId="1" applyFont="1" applyBorder="1" applyProtection="1"/>
    <xf numFmtId="168" fontId="9" fillId="0" borderId="4" xfId="1" applyNumberFormat="1" applyFont="1" applyFill="1" applyBorder="1" applyProtection="1"/>
    <xf numFmtId="3" fontId="5" fillId="0" borderId="4" xfId="1" applyNumberFormat="1" applyFont="1" applyFill="1" applyBorder="1" applyProtection="1"/>
    <xf numFmtId="3" fontId="5" fillId="0" borderId="19" xfId="1" applyNumberFormat="1" applyFont="1" applyBorder="1" applyProtection="1"/>
    <xf numFmtId="164" fontId="8" fillId="0" borderId="4" xfId="1" applyFont="1" applyBorder="1" applyAlignment="1" applyProtection="1">
      <alignment horizontal="left"/>
    </xf>
    <xf numFmtId="164" fontId="1" fillId="0" borderId="20" xfId="1" applyFont="1" applyBorder="1" applyProtection="1"/>
    <xf numFmtId="164" fontId="5" fillId="0" borderId="21" xfId="1" applyFont="1" applyBorder="1" applyProtection="1"/>
    <xf numFmtId="164" fontId="2" fillId="0" borderId="0" xfId="1" applyFont="1" applyAlignment="1" applyProtection="1">
      <alignment horizontal="left"/>
    </xf>
    <xf numFmtId="166" fontId="2" fillId="0" borderId="6" xfId="1" applyNumberFormat="1" applyFont="1" applyBorder="1" applyProtection="1"/>
    <xf numFmtId="168" fontId="2" fillId="0" borderId="6" xfId="1" applyNumberFormat="1" applyFont="1" applyBorder="1" applyProtection="1"/>
    <xf numFmtId="164" fontId="2" fillId="0" borderId="22" xfId="1" applyFont="1" applyBorder="1" applyProtection="1"/>
    <xf numFmtId="164" fontId="2" fillId="0" borderId="23" xfId="1" applyFont="1" applyBorder="1" applyProtection="1"/>
    <xf numFmtId="164" fontId="2" fillId="4" borderId="24" xfId="1" applyFont="1" applyFill="1" applyBorder="1" applyAlignment="1" applyProtection="1">
      <alignment horizontal="right"/>
    </xf>
    <xf numFmtId="164" fontId="5" fillId="0" borderId="25" xfId="1" applyFont="1" applyBorder="1" applyProtection="1"/>
    <xf numFmtId="166" fontId="3" fillId="0" borderId="25" xfId="1" applyNumberFormat="1" applyFont="1" applyFill="1" applyBorder="1"/>
    <xf numFmtId="164" fontId="3" fillId="0" borderId="25" xfId="1" applyFont="1" applyFill="1" applyBorder="1"/>
    <xf numFmtId="164" fontId="2" fillId="0" borderId="26" xfId="1" applyFont="1" applyBorder="1" applyProtection="1"/>
    <xf numFmtId="164" fontId="20" fillId="0" borderId="4" xfId="1" applyFont="1" applyBorder="1" applyProtection="1"/>
    <xf numFmtId="164" fontId="5" fillId="0" borderId="20" xfId="1" applyFont="1" applyFill="1" applyBorder="1" applyProtection="1"/>
    <xf numFmtId="164" fontId="3" fillId="0" borderId="20" xfId="1" applyFont="1" applyFill="1" applyBorder="1" applyProtection="1"/>
    <xf numFmtId="169" fontId="5" fillId="0" borderId="4" xfId="1" applyNumberFormat="1" applyFont="1" applyBorder="1" applyProtection="1"/>
    <xf numFmtId="170" fontId="5" fillId="0" borderId="17" xfId="1" applyNumberFormat="1" applyFont="1" applyBorder="1" applyProtection="1"/>
    <xf numFmtId="164" fontId="1" fillId="0" borderId="43" xfId="1" applyFont="1" applyBorder="1" applyProtection="1"/>
    <xf numFmtId="164" fontId="1" fillId="0" borderId="44" xfId="1" applyFont="1" applyBorder="1" applyProtection="1"/>
    <xf numFmtId="164" fontId="3" fillId="0" borderId="43" xfId="1" applyFont="1" applyFill="1" applyBorder="1" applyProtection="1"/>
    <xf numFmtId="166" fontId="5" fillId="0" borderId="4" xfId="1" applyNumberFormat="1" applyFont="1" applyFill="1" applyBorder="1" applyProtection="1"/>
    <xf numFmtId="164" fontId="5" fillId="0" borderId="20" xfId="1" applyFont="1" applyFill="1" applyBorder="1"/>
    <xf numFmtId="164" fontId="3" fillId="0" borderId="20" xfId="1" applyFont="1" applyFill="1" applyBorder="1"/>
    <xf numFmtId="164" fontId="5" fillId="0" borderId="20" xfId="1" applyFont="1" applyBorder="1" applyProtection="1"/>
    <xf numFmtId="164" fontId="2" fillId="3" borderId="31" xfId="1" applyFont="1" applyFill="1" applyBorder="1" applyAlignment="1" applyProtection="1">
      <alignment horizontal="center" vertical="center" wrapText="1"/>
    </xf>
    <xf numFmtId="164" fontId="2" fillId="3" borderId="32" xfId="1" applyFont="1" applyFill="1" applyBorder="1" applyAlignment="1" applyProtection="1">
      <alignment horizontal="center" vertical="center" wrapText="1"/>
    </xf>
    <xf numFmtId="164" fontId="2" fillId="3" borderId="16" xfId="1" applyFont="1" applyFill="1" applyBorder="1" applyAlignment="1" applyProtection="1">
      <alignment horizontal="center" vertical="center" wrapText="1"/>
    </xf>
    <xf numFmtId="164" fontId="2" fillId="3" borderId="35" xfId="1" applyFont="1" applyFill="1" applyBorder="1" applyAlignment="1">
      <alignment horizontal="center" vertical="center" wrapText="1"/>
    </xf>
    <xf numFmtId="164" fontId="2" fillId="3" borderId="36" xfId="1" applyFont="1" applyFill="1" applyBorder="1" applyAlignment="1">
      <alignment horizontal="center" vertical="center" wrapText="1"/>
    </xf>
    <xf numFmtId="164" fontId="1" fillId="3" borderId="9" xfId="1" applyFont="1" applyFill="1" applyBorder="1" applyAlignment="1">
      <alignment horizontal="center" vertical="center" wrapText="1"/>
    </xf>
    <xf numFmtId="164" fontId="1" fillId="3" borderId="30" xfId="1" applyFont="1" applyFill="1" applyBorder="1" applyAlignment="1">
      <alignment horizontal="center" vertical="center" wrapText="1"/>
    </xf>
    <xf numFmtId="164" fontId="1" fillId="3" borderId="33" xfId="1" applyFont="1" applyFill="1" applyBorder="1" applyAlignment="1">
      <alignment horizontal="center" vertical="center" wrapText="1"/>
    </xf>
    <xf numFmtId="164" fontId="1" fillId="3" borderId="10" xfId="1" applyFont="1" applyFill="1" applyBorder="1" applyAlignment="1">
      <alignment horizontal="center" vertical="center" wrapText="1"/>
    </xf>
    <xf numFmtId="164" fontId="1" fillId="3" borderId="14" xfId="1" applyFont="1" applyFill="1" applyBorder="1" applyAlignment="1">
      <alignment horizontal="center" vertical="center" wrapText="1"/>
    </xf>
    <xf numFmtId="164" fontId="1" fillId="3" borderId="34" xfId="1" applyFont="1" applyFill="1" applyBorder="1" applyAlignment="1">
      <alignment horizontal="center" vertical="center" wrapText="1"/>
    </xf>
    <xf numFmtId="164" fontId="2" fillId="3" borderId="9" xfId="1" applyFont="1" applyFill="1" applyBorder="1" applyAlignment="1" applyProtection="1">
      <alignment horizontal="center" vertical="center" wrapText="1"/>
    </xf>
    <xf numFmtId="164" fontId="2" fillId="3" borderId="33" xfId="1" applyFont="1" applyFill="1" applyBorder="1" applyAlignment="1" applyProtection="1">
      <alignment horizontal="center" vertical="center" wrapText="1"/>
    </xf>
    <xf numFmtId="164" fontId="2" fillId="3" borderId="10" xfId="1" applyFont="1" applyFill="1" applyBorder="1" applyAlignment="1" applyProtection="1">
      <alignment horizontal="center" vertical="center" wrapText="1"/>
    </xf>
    <xf numFmtId="164" fontId="2" fillId="3" borderId="34" xfId="1" applyFont="1" applyFill="1" applyBorder="1" applyAlignment="1" applyProtection="1">
      <alignment horizontal="center" vertical="center" wrapText="1"/>
    </xf>
    <xf numFmtId="164" fontId="2" fillId="3" borderId="37" xfId="1" applyFont="1" applyFill="1" applyBorder="1" applyAlignment="1" applyProtection="1">
      <alignment horizontal="center" vertical="center" wrapText="1"/>
    </xf>
    <xf numFmtId="164" fontId="2" fillId="3" borderId="38" xfId="1" applyFont="1" applyFill="1" applyBorder="1" applyAlignment="1" applyProtection="1">
      <alignment horizontal="center" vertical="center" wrapText="1"/>
    </xf>
    <xf numFmtId="164" fontId="2" fillId="3" borderId="39" xfId="1" applyFont="1" applyFill="1" applyBorder="1" applyAlignment="1" applyProtection="1">
      <alignment horizontal="center" vertical="center" wrapText="1"/>
    </xf>
    <xf numFmtId="164" fontId="2" fillId="3" borderId="11" xfId="1" applyFont="1" applyFill="1" applyBorder="1" applyAlignment="1" applyProtection="1">
      <alignment horizontal="center" vertical="center" wrapText="1"/>
    </xf>
    <xf numFmtId="164" fontId="2" fillId="3" borderId="0" xfId="1" applyFont="1" applyFill="1" applyBorder="1" applyAlignment="1" applyProtection="1">
      <alignment horizontal="center" vertical="center" wrapText="1"/>
    </xf>
    <xf numFmtId="164" fontId="2" fillId="3" borderId="40" xfId="1" applyFont="1" applyFill="1" applyBorder="1" applyAlignment="1" applyProtection="1">
      <alignment horizontal="center" vertical="center" wrapText="1"/>
    </xf>
    <xf numFmtId="164" fontId="2" fillId="3" borderId="41" xfId="1" applyFont="1" applyFill="1" applyBorder="1" applyAlignment="1" applyProtection="1">
      <alignment horizontal="center" vertical="center" wrapText="1"/>
    </xf>
    <xf numFmtId="164" fontId="2" fillId="3" borderId="42" xfId="1" applyFont="1" applyFill="1" applyBorder="1" applyAlignment="1" applyProtection="1">
      <alignment horizontal="center" vertical="center" wrapText="1"/>
    </xf>
    <xf numFmtId="164" fontId="2" fillId="3" borderId="9" xfId="1" applyFont="1" applyFill="1" applyBorder="1" applyAlignment="1">
      <alignment horizontal="center" vertical="center" wrapText="1"/>
    </xf>
    <xf numFmtId="164" fontId="2" fillId="3" borderId="33" xfId="1" applyFont="1" applyFill="1" applyBorder="1" applyAlignment="1">
      <alignment horizontal="center" vertical="center" wrapText="1"/>
    </xf>
    <xf numFmtId="164" fontId="2" fillId="3" borderId="10" xfId="1" applyFont="1" applyFill="1" applyBorder="1" applyAlignment="1">
      <alignment horizontal="center" vertical="center" wrapText="1"/>
    </xf>
    <xf numFmtId="164" fontId="2" fillId="3" borderId="34" xfId="1" applyFont="1" applyFill="1" applyBorder="1" applyAlignment="1">
      <alignment horizontal="center" vertical="center" wrapText="1"/>
    </xf>
    <xf numFmtId="164" fontId="2" fillId="3" borderId="30" xfId="1" applyFont="1" applyFill="1" applyBorder="1" applyAlignment="1" applyProtection="1">
      <alignment horizontal="center" vertical="center" wrapText="1"/>
    </xf>
    <xf numFmtId="164" fontId="2" fillId="3" borderId="14" xfId="1" applyFont="1" applyFill="1" applyBorder="1" applyAlignment="1" applyProtection="1">
      <alignment horizontal="center" vertical="center" wrapText="1"/>
    </xf>
    <xf numFmtId="164" fontId="2" fillId="3" borderId="31" xfId="1" applyFont="1" applyFill="1" applyBorder="1" applyAlignment="1">
      <alignment horizontal="center" vertical="center" wrapText="1"/>
    </xf>
    <xf numFmtId="164" fontId="2" fillId="3" borderId="16" xfId="1" applyFont="1" applyFill="1" applyBorder="1" applyAlignment="1">
      <alignment horizontal="center" vertical="center" wrapText="1"/>
    </xf>
    <xf numFmtId="4" fontId="2" fillId="3" borderId="31" xfId="1" applyNumberFormat="1" applyFont="1" applyFill="1" applyBorder="1" applyAlignment="1">
      <alignment horizontal="center" vertical="center" wrapText="1"/>
    </xf>
    <xf numFmtId="4" fontId="2" fillId="3" borderId="16" xfId="1" applyNumberFormat="1" applyFont="1" applyFill="1" applyBorder="1" applyAlignment="1">
      <alignment horizontal="center" vertical="center" wrapText="1"/>
    </xf>
    <xf numFmtId="4" fontId="2" fillId="3" borderId="31" xfId="1" applyNumberFormat="1" applyFont="1" applyFill="1" applyBorder="1" applyAlignment="1" applyProtection="1">
      <alignment horizontal="center" vertical="center" wrapText="1"/>
    </xf>
    <xf numFmtId="4" fontId="2" fillId="3" borderId="16" xfId="1" applyNumberFormat="1" applyFont="1" applyFill="1" applyBorder="1" applyAlignment="1" applyProtection="1">
      <alignment horizontal="center" vertical="center" wrapText="1"/>
    </xf>
    <xf numFmtId="164" fontId="2" fillId="5" borderId="27" xfId="1" applyFont="1" applyFill="1" applyBorder="1" applyAlignment="1">
      <alignment horizontal="center"/>
    </xf>
    <xf numFmtId="164" fontId="1" fillId="5" borderId="28" xfId="1" applyFont="1" applyFill="1" applyBorder="1" applyAlignment="1">
      <alignment horizontal="center"/>
    </xf>
    <xf numFmtId="164" fontId="2" fillId="5" borderId="29" xfId="1" applyFont="1" applyFill="1" applyBorder="1" applyAlignment="1">
      <alignment horizontal="center"/>
    </xf>
    <xf numFmtId="164" fontId="2" fillId="0" borderId="30" xfId="1" applyFont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130" zoomScaleNormal="130" workbookViewId="0">
      <selection activeCell="P16" sqref="P16"/>
    </sheetView>
  </sheetViews>
  <sheetFormatPr defaultColWidth="11.5703125" defaultRowHeight="15"/>
  <cols>
    <col min="4" max="4" width="13.42578125" customWidth="1"/>
    <col min="5" max="5" width="13" style="36" customWidth="1"/>
    <col min="6" max="6" width="12.5703125" customWidth="1"/>
    <col min="7" max="7" width="13" style="24" customWidth="1"/>
  </cols>
  <sheetData>
    <row r="1" spans="1:12" s="28" customFormat="1" ht="60">
      <c r="A1" s="28" t="s">
        <v>0</v>
      </c>
      <c r="B1" s="28" t="s">
        <v>1</v>
      </c>
      <c r="C1" s="28" t="s">
        <v>2</v>
      </c>
      <c r="D1" s="28" t="s">
        <v>3</v>
      </c>
      <c r="E1" s="34" t="s">
        <v>4</v>
      </c>
      <c r="F1" s="27" t="s">
        <v>5</v>
      </c>
      <c r="G1" s="29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</row>
    <row r="2" spans="1:12" s="30" customFormat="1" ht="12.75">
      <c r="A2" s="30" t="s">
        <v>12</v>
      </c>
      <c r="B2" s="30">
        <v>1</v>
      </c>
      <c r="C2" s="32">
        <v>12</v>
      </c>
      <c r="D2" s="30">
        <v>2022</v>
      </c>
      <c r="E2" s="35">
        <f>'Hotel Data'!X5</f>
        <v>11726</v>
      </c>
      <c r="F2" s="30">
        <v>0.34599999999999997</v>
      </c>
      <c r="G2" s="33">
        <f>INT('Hotel Data'!E5)</f>
        <v>910</v>
      </c>
      <c r="H2" s="30">
        <v>1.2669999999999999</v>
      </c>
      <c r="I2" s="33">
        <f>INT('Hotel Data'!K5)</f>
        <v>155</v>
      </c>
      <c r="J2" s="30">
        <v>1</v>
      </c>
      <c r="K2" s="30">
        <v>66</v>
      </c>
      <c r="L2" s="30">
        <v>120</v>
      </c>
    </row>
    <row r="3" spans="1:12" s="31" customFormat="1">
      <c r="A3" s="31" t="s">
        <v>12</v>
      </c>
      <c r="B3" s="31">
        <f>B2+1</f>
        <v>2</v>
      </c>
      <c r="C3" s="32">
        <v>12</v>
      </c>
      <c r="D3" s="30">
        <v>2022</v>
      </c>
      <c r="E3" s="35">
        <f>'Hotel Data'!X6</f>
        <v>11021</v>
      </c>
      <c r="F3" s="30">
        <v>0.34599999999999997</v>
      </c>
      <c r="G3" s="33">
        <f>INT('Hotel Data'!E6)</f>
        <v>1037</v>
      </c>
      <c r="H3" s="30">
        <v>1.2669999999999999</v>
      </c>
      <c r="I3" s="33">
        <f>INT('Hotel Data'!K6)</f>
        <v>163</v>
      </c>
      <c r="J3" s="30">
        <v>1</v>
      </c>
      <c r="K3" s="30">
        <v>83</v>
      </c>
      <c r="L3" s="30">
        <v>154</v>
      </c>
    </row>
    <row r="4" spans="1:12" s="31" customFormat="1">
      <c r="A4" s="31" t="s">
        <v>12</v>
      </c>
      <c r="B4" s="31">
        <f t="shared" ref="B4:B32" si="0">B3+1</f>
        <v>3</v>
      </c>
      <c r="C4" s="32">
        <v>12</v>
      </c>
      <c r="D4" s="30">
        <v>2022</v>
      </c>
      <c r="E4" s="35">
        <f>'Hotel Data'!X7</f>
        <v>10865</v>
      </c>
      <c r="F4" s="30">
        <v>0.34599999999999997</v>
      </c>
      <c r="G4" s="33">
        <f>INT('Hotel Data'!E7)</f>
        <v>982</v>
      </c>
      <c r="H4" s="30">
        <v>1.2669999999999999</v>
      </c>
      <c r="I4" s="33">
        <f>INT('Hotel Data'!K7)</f>
        <v>178</v>
      </c>
      <c r="J4" s="30">
        <v>1</v>
      </c>
      <c r="K4" s="30">
        <v>74</v>
      </c>
      <c r="L4" s="30">
        <v>132</v>
      </c>
    </row>
    <row r="5" spans="1:12" s="31" customFormat="1">
      <c r="A5" s="31" t="s">
        <v>12</v>
      </c>
      <c r="B5" s="31">
        <f t="shared" si="0"/>
        <v>4</v>
      </c>
      <c r="C5" s="32">
        <v>12</v>
      </c>
      <c r="D5" s="30">
        <v>2022</v>
      </c>
      <c r="E5" s="35">
        <f>'Hotel Data'!X8</f>
        <v>9850</v>
      </c>
      <c r="F5" s="30">
        <v>0.34599999999999997</v>
      </c>
      <c r="G5" s="33">
        <f>INT('Hotel Data'!E8)</f>
        <v>893</v>
      </c>
      <c r="H5" s="30">
        <v>1.2669999999999999</v>
      </c>
      <c r="I5" s="33">
        <f>INT('Hotel Data'!K8)</f>
        <v>177</v>
      </c>
      <c r="J5" s="30">
        <v>1</v>
      </c>
      <c r="K5" s="30">
        <v>57</v>
      </c>
      <c r="L5" s="30">
        <v>94</v>
      </c>
    </row>
    <row r="6" spans="1:12" s="31" customFormat="1">
      <c r="A6" s="31" t="s">
        <v>12</v>
      </c>
      <c r="B6" s="31">
        <f t="shared" si="0"/>
        <v>5</v>
      </c>
      <c r="C6" s="32">
        <v>12</v>
      </c>
      <c r="D6" s="30">
        <v>2022</v>
      </c>
      <c r="E6" s="35">
        <f>'Hotel Data'!X9</f>
        <v>10482</v>
      </c>
      <c r="F6" s="30">
        <v>0.34599999999999997</v>
      </c>
      <c r="G6" s="33">
        <f>INT('Hotel Data'!E9)</f>
        <v>833</v>
      </c>
      <c r="H6" s="30">
        <v>1.2669999999999999</v>
      </c>
      <c r="I6" s="33">
        <f>INT('Hotel Data'!K9)</f>
        <v>183</v>
      </c>
      <c r="J6" s="30">
        <v>1</v>
      </c>
      <c r="K6" s="30">
        <v>53</v>
      </c>
      <c r="L6" s="30">
        <v>89</v>
      </c>
    </row>
    <row r="7" spans="1:12" s="31" customFormat="1">
      <c r="A7" s="31" t="s">
        <v>12</v>
      </c>
      <c r="B7" s="31">
        <f t="shared" si="0"/>
        <v>6</v>
      </c>
      <c r="C7" s="32">
        <v>12</v>
      </c>
      <c r="D7" s="30">
        <v>2022</v>
      </c>
      <c r="E7" s="35">
        <f>'Hotel Data'!X10</f>
        <v>10254</v>
      </c>
      <c r="F7" s="30">
        <v>0.34599999999999997</v>
      </c>
      <c r="G7" s="33">
        <f>INT('Hotel Data'!E10)</f>
        <v>960</v>
      </c>
      <c r="H7" s="30">
        <v>1.2669999999999999</v>
      </c>
      <c r="I7" s="33">
        <f>INT('Hotel Data'!K10)</f>
        <v>151</v>
      </c>
      <c r="J7" s="30">
        <v>1</v>
      </c>
      <c r="K7" s="30">
        <v>78</v>
      </c>
      <c r="L7" s="30">
        <v>124</v>
      </c>
    </row>
    <row r="8" spans="1:12" s="31" customFormat="1">
      <c r="A8" s="31" t="s">
        <v>12</v>
      </c>
      <c r="B8" s="31">
        <f t="shared" si="0"/>
        <v>7</v>
      </c>
      <c r="C8" s="32">
        <v>12</v>
      </c>
      <c r="D8" s="30">
        <v>2022</v>
      </c>
      <c r="E8" s="35">
        <f>'Hotel Data'!X11</f>
        <v>10153</v>
      </c>
      <c r="F8" s="30">
        <v>0.34599999999999997</v>
      </c>
      <c r="G8" s="33">
        <f>INT('Hotel Data'!E11)</f>
        <v>1166</v>
      </c>
      <c r="H8" s="30">
        <v>1.2669999999999999</v>
      </c>
      <c r="I8" s="33">
        <f>INT('Hotel Data'!K11)</f>
        <v>171</v>
      </c>
      <c r="J8" s="30">
        <v>1</v>
      </c>
      <c r="K8" s="30">
        <v>75</v>
      </c>
      <c r="L8" s="30">
        <v>124</v>
      </c>
    </row>
    <row r="9" spans="1:12" s="31" customFormat="1">
      <c r="A9" s="31" t="s">
        <v>12</v>
      </c>
      <c r="B9" s="31">
        <f t="shared" si="0"/>
        <v>8</v>
      </c>
      <c r="C9" s="32">
        <v>12</v>
      </c>
      <c r="D9" s="30">
        <v>2022</v>
      </c>
      <c r="E9" s="35">
        <f>'Hotel Data'!X12</f>
        <v>10134</v>
      </c>
      <c r="F9" s="30">
        <v>0.34599999999999997</v>
      </c>
      <c r="G9" s="33">
        <f>INT('Hotel Data'!E12)</f>
        <v>1123</v>
      </c>
      <c r="H9" s="30">
        <v>1.2669999999999999</v>
      </c>
      <c r="I9" s="33">
        <f>INT('Hotel Data'!K12)</f>
        <v>154</v>
      </c>
      <c r="J9" s="30">
        <v>1</v>
      </c>
      <c r="K9" s="30">
        <v>59</v>
      </c>
      <c r="L9" s="30">
        <v>100</v>
      </c>
    </row>
    <row r="10" spans="1:12" s="31" customFormat="1">
      <c r="A10" s="31" t="s">
        <v>12</v>
      </c>
      <c r="B10" s="31">
        <f t="shared" si="0"/>
        <v>9</v>
      </c>
      <c r="C10" s="32">
        <v>12</v>
      </c>
      <c r="D10" s="30">
        <v>2022</v>
      </c>
      <c r="E10" s="35">
        <f>'Hotel Data'!X13</f>
        <v>10162</v>
      </c>
      <c r="F10" s="30">
        <v>0.34599999999999997</v>
      </c>
      <c r="G10" s="33">
        <f>INT('Hotel Data'!E13)</f>
        <v>1149</v>
      </c>
      <c r="H10" s="30">
        <v>1.2669999999999999</v>
      </c>
      <c r="I10" s="33">
        <f>INT('Hotel Data'!K13)</f>
        <v>168</v>
      </c>
      <c r="J10" s="30">
        <v>1</v>
      </c>
      <c r="K10" s="30">
        <v>68</v>
      </c>
      <c r="L10" s="30">
        <v>110</v>
      </c>
    </row>
    <row r="11" spans="1:12" s="31" customFormat="1">
      <c r="A11" s="31" t="s">
        <v>12</v>
      </c>
      <c r="B11" s="31">
        <f t="shared" si="0"/>
        <v>10</v>
      </c>
      <c r="C11" s="32">
        <v>12</v>
      </c>
      <c r="D11" s="30">
        <v>2022</v>
      </c>
      <c r="E11" s="35">
        <f>'Hotel Data'!X14</f>
        <v>10416</v>
      </c>
      <c r="F11" s="30">
        <v>0.34599999999999997</v>
      </c>
      <c r="G11" s="33">
        <f>INT('Hotel Data'!E14)</f>
        <v>1390</v>
      </c>
      <c r="H11" s="30">
        <v>1.2669999999999999</v>
      </c>
      <c r="I11" s="33">
        <f>INT('Hotel Data'!K14)</f>
        <v>167</v>
      </c>
      <c r="J11" s="30">
        <v>1</v>
      </c>
      <c r="K11" s="30">
        <v>64</v>
      </c>
      <c r="L11" s="30">
        <v>116</v>
      </c>
    </row>
    <row r="12" spans="1:12" s="31" customFormat="1">
      <c r="A12" s="31" t="s">
        <v>12</v>
      </c>
      <c r="B12" s="31">
        <f t="shared" si="0"/>
        <v>11</v>
      </c>
      <c r="C12" s="32">
        <v>12</v>
      </c>
      <c r="D12" s="30">
        <v>2022</v>
      </c>
      <c r="E12" s="35">
        <f>'Hotel Data'!X15</f>
        <v>10752</v>
      </c>
      <c r="F12" s="30">
        <v>0.34599999999999997</v>
      </c>
      <c r="G12" s="33">
        <f>INT('Hotel Data'!E15)</f>
        <v>1450</v>
      </c>
      <c r="H12" s="30">
        <v>1.2669999999999999</v>
      </c>
      <c r="I12" s="33">
        <f>INT('Hotel Data'!K15)</f>
        <v>142</v>
      </c>
      <c r="J12" s="30">
        <v>1</v>
      </c>
      <c r="K12" s="30">
        <v>52</v>
      </c>
      <c r="L12" s="30">
        <v>91</v>
      </c>
    </row>
    <row r="13" spans="1:12" s="31" customFormat="1">
      <c r="A13" s="31" t="s">
        <v>12</v>
      </c>
      <c r="B13" s="31">
        <f t="shared" si="0"/>
        <v>12</v>
      </c>
      <c r="C13" s="32">
        <v>12</v>
      </c>
      <c r="D13" s="30">
        <v>2022</v>
      </c>
      <c r="E13" s="35">
        <f>'Hotel Data'!X16</f>
        <v>10894</v>
      </c>
      <c r="F13" s="30">
        <v>0.34599999999999997</v>
      </c>
      <c r="G13" s="33">
        <f>INT('Hotel Data'!E16)</f>
        <v>1581</v>
      </c>
      <c r="H13" s="30">
        <v>1.2669999999999999</v>
      </c>
      <c r="I13" s="33">
        <f>INT('Hotel Data'!K16)</f>
        <v>159</v>
      </c>
      <c r="J13" s="30">
        <v>1</v>
      </c>
      <c r="K13" s="30">
        <v>60</v>
      </c>
      <c r="L13" s="30">
        <v>99</v>
      </c>
    </row>
    <row r="14" spans="1:12" s="31" customFormat="1">
      <c r="A14" s="31" t="s">
        <v>12</v>
      </c>
      <c r="B14" s="31">
        <f t="shared" si="0"/>
        <v>13</v>
      </c>
      <c r="C14" s="32">
        <v>12</v>
      </c>
      <c r="D14" s="30">
        <v>2022</v>
      </c>
      <c r="E14" s="35">
        <f>'Hotel Data'!X17</f>
        <v>10518</v>
      </c>
      <c r="F14" s="30">
        <v>0.34599999999999997</v>
      </c>
      <c r="G14" s="33">
        <f>INT('Hotel Data'!E17)</f>
        <v>1544</v>
      </c>
      <c r="H14" s="30">
        <v>1.2669999999999999</v>
      </c>
      <c r="I14" s="33">
        <f>INT('Hotel Data'!K17)</f>
        <v>165</v>
      </c>
      <c r="J14" s="30">
        <v>1</v>
      </c>
      <c r="K14" s="30">
        <v>80</v>
      </c>
      <c r="L14" s="30">
        <v>125</v>
      </c>
    </row>
    <row r="15" spans="1:12" s="31" customFormat="1">
      <c r="A15" s="31" t="s">
        <v>12</v>
      </c>
      <c r="B15" s="31">
        <f t="shared" si="0"/>
        <v>14</v>
      </c>
      <c r="C15" s="32">
        <v>12</v>
      </c>
      <c r="D15" s="30">
        <v>2022</v>
      </c>
      <c r="E15" s="35">
        <f>'Hotel Data'!X18</f>
        <v>10947</v>
      </c>
      <c r="F15" s="30">
        <v>0.34599999999999997</v>
      </c>
      <c r="G15" s="33">
        <f>INT('Hotel Data'!E18)</f>
        <v>1295</v>
      </c>
      <c r="H15" s="30">
        <v>1.2669999999999999</v>
      </c>
      <c r="I15" s="33">
        <f>INT('Hotel Data'!K18)</f>
        <v>172</v>
      </c>
      <c r="J15" s="30">
        <v>1</v>
      </c>
      <c r="K15" s="30">
        <v>70</v>
      </c>
      <c r="L15" s="30">
        <v>109</v>
      </c>
    </row>
    <row r="16" spans="1:12" s="31" customFormat="1">
      <c r="A16" s="31" t="s">
        <v>12</v>
      </c>
      <c r="B16" s="31">
        <f t="shared" si="0"/>
        <v>15</v>
      </c>
      <c r="C16" s="32">
        <v>12</v>
      </c>
      <c r="D16" s="30">
        <v>2022</v>
      </c>
      <c r="E16" s="35">
        <f>'Hotel Data'!X19</f>
        <v>10641</v>
      </c>
      <c r="F16" s="30">
        <v>0.34599999999999997</v>
      </c>
      <c r="G16" s="33">
        <f>INT('Hotel Data'!E19)</f>
        <v>1288</v>
      </c>
      <c r="H16" s="30">
        <v>1.2669999999999999</v>
      </c>
      <c r="I16" s="33">
        <f>INT('Hotel Data'!K19)</f>
        <v>162</v>
      </c>
      <c r="J16" s="30">
        <v>1</v>
      </c>
      <c r="K16" s="30">
        <v>61</v>
      </c>
      <c r="L16" s="30">
        <v>111</v>
      </c>
    </row>
    <row r="17" spans="1:12" s="31" customFormat="1">
      <c r="A17" s="31" t="s">
        <v>12</v>
      </c>
      <c r="B17" s="31">
        <f t="shared" si="0"/>
        <v>16</v>
      </c>
      <c r="C17" s="32">
        <v>12</v>
      </c>
      <c r="D17" s="30">
        <v>2022</v>
      </c>
      <c r="E17" s="35">
        <f>'Hotel Data'!X20</f>
        <v>11083</v>
      </c>
      <c r="F17" s="30">
        <v>0.34599999999999997</v>
      </c>
      <c r="G17" s="33">
        <f>INT('Hotel Data'!E20)</f>
        <v>1259</v>
      </c>
      <c r="H17" s="30">
        <v>1.2669999999999999</v>
      </c>
      <c r="I17" s="33">
        <f>INT('Hotel Data'!K20)</f>
        <v>181</v>
      </c>
      <c r="J17" s="30">
        <v>1</v>
      </c>
      <c r="K17" s="30">
        <v>76</v>
      </c>
      <c r="L17" s="30">
        <v>132</v>
      </c>
    </row>
    <row r="18" spans="1:12" s="31" customFormat="1">
      <c r="A18" s="31" t="s">
        <v>12</v>
      </c>
      <c r="B18" s="31">
        <f t="shared" si="0"/>
        <v>17</v>
      </c>
      <c r="C18" s="32">
        <v>12</v>
      </c>
      <c r="D18" s="30">
        <v>2022</v>
      </c>
      <c r="E18" s="35">
        <f>'Hotel Data'!X21</f>
        <v>10700</v>
      </c>
      <c r="F18" s="30">
        <v>0.34599999999999997</v>
      </c>
      <c r="G18" s="33">
        <f>INT('Hotel Data'!E21)</f>
        <v>1088</v>
      </c>
      <c r="H18" s="30">
        <v>1.2669999999999999</v>
      </c>
      <c r="I18" s="33">
        <f>INT('Hotel Data'!K21)</f>
        <v>172</v>
      </c>
      <c r="J18" s="30">
        <v>1</v>
      </c>
      <c r="K18" s="30">
        <v>71</v>
      </c>
      <c r="L18" s="30">
        <v>139</v>
      </c>
    </row>
    <row r="19" spans="1:12" s="31" customFormat="1">
      <c r="A19" s="31" t="s">
        <v>12</v>
      </c>
      <c r="B19" s="31">
        <f t="shared" si="0"/>
        <v>18</v>
      </c>
      <c r="C19" s="32">
        <v>12</v>
      </c>
      <c r="D19" s="30">
        <v>2022</v>
      </c>
      <c r="E19" s="35">
        <f>'Hotel Data'!X22</f>
        <v>10732</v>
      </c>
      <c r="F19" s="30">
        <v>0.34599999999999997</v>
      </c>
      <c r="G19" s="33">
        <f>INT('Hotel Data'!E22)</f>
        <v>1000</v>
      </c>
      <c r="H19" s="30">
        <v>1.2669999999999999</v>
      </c>
      <c r="I19" s="33">
        <f>INT('Hotel Data'!K22)</f>
        <v>156</v>
      </c>
      <c r="J19" s="30">
        <v>1</v>
      </c>
      <c r="K19" s="30">
        <v>55</v>
      </c>
      <c r="L19" s="30">
        <v>106</v>
      </c>
    </row>
    <row r="20" spans="1:12" s="31" customFormat="1">
      <c r="A20" s="31" t="s">
        <v>12</v>
      </c>
      <c r="B20" s="31">
        <f t="shared" si="0"/>
        <v>19</v>
      </c>
      <c r="C20" s="32">
        <v>12</v>
      </c>
      <c r="D20" s="30">
        <v>2022</v>
      </c>
      <c r="E20" s="35">
        <f>'Hotel Data'!X23</f>
        <v>10369</v>
      </c>
      <c r="F20" s="30">
        <v>0.34599999999999997</v>
      </c>
      <c r="G20" s="33">
        <f>INT('Hotel Data'!E23)</f>
        <v>995</v>
      </c>
      <c r="H20" s="30">
        <v>1.2669999999999999</v>
      </c>
      <c r="I20" s="33">
        <f>INT('Hotel Data'!K23)</f>
        <v>159</v>
      </c>
      <c r="J20" s="30">
        <v>1</v>
      </c>
      <c r="K20" s="30">
        <v>59</v>
      </c>
      <c r="L20" s="30">
        <v>117</v>
      </c>
    </row>
    <row r="21" spans="1:12" s="31" customFormat="1">
      <c r="A21" s="31" t="s">
        <v>12</v>
      </c>
      <c r="B21" s="31">
        <f t="shared" si="0"/>
        <v>20</v>
      </c>
      <c r="C21" s="32">
        <v>12</v>
      </c>
      <c r="D21" s="30">
        <v>2022</v>
      </c>
      <c r="E21" s="35">
        <f>'Hotel Data'!X24</f>
        <v>10611</v>
      </c>
      <c r="F21" s="30">
        <v>0.34599999999999997</v>
      </c>
      <c r="G21" s="33">
        <f>INT('Hotel Data'!E24)</f>
        <v>1052</v>
      </c>
      <c r="H21" s="30">
        <v>1.2669999999999999</v>
      </c>
      <c r="I21" s="33">
        <f>INT('Hotel Data'!K24)</f>
        <v>153</v>
      </c>
      <c r="J21" s="30">
        <v>1</v>
      </c>
      <c r="K21" s="30">
        <v>68</v>
      </c>
      <c r="L21" s="30">
        <v>138</v>
      </c>
    </row>
    <row r="22" spans="1:12" s="31" customFormat="1">
      <c r="A22" s="31" t="s">
        <v>12</v>
      </c>
      <c r="B22" s="31">
        <f t="shared" si="0"/>
        <v>21</v>
      </c>
      <c r="C22" s="32">
        <v>12</v>
      </c>
      <c r="D22" s="30">
        <v>2022</v>
      </c>
      <c r="E22" s="35">
        <f>'Hotel Data'!X25</f>
        <v>10597</v>
      </c>
      <c r="F22" s="30">
        <v>0.34599999999999997</v>
      </c>
      <c r="G22" s="33">
        <f>INT('Hotel Data'!E25)</f>
        <v>1013</v>
      </c>
      <c r="H22" s="30">
        <v>1.2669999999999999</v>
      </c>
      <c r="I22" s="33">
        <f>INT('Hotel Data'!K25)</f>
        <v>153</v>
      </c>
      <c r="J22" s="30">
        <v>1</v>
      </c>
      <c r="K22" s="30">
        <v>71</v>
      </c>
      <c r="L22" s="30">
        <v>146</v>
      </c>
    </row>
    <row r="23" spans="1:12" s="31" customFormat="1">
      <c r="A23" s="31" t="s">
        <v>12</v>
      </c>
      <c r="B23" s="31">
        <f t="shared" si="0"/>
        <v>22</v>
      </c>
      <c r="C23" s="32">
        <v>12</v>
      </c>
      <c r="D23" s="30">
        <v>2022</v>
      </c>
      <c r="E23" s="35">
        <f>'Hotel Data'!X26</f>
        <v>10519</v>
      </c>
      <c r="F23" s="30">
        <v>0.34599999999999997</v>
      </c>
      <c r="G23" s="33">
        <f>INT('Hotel Data'!E26)</f>
        <v>838</v>
      </c>
      <c r="H23" s="30">
        <v>1.2669999999999999</v>
      </c>
      <c r="I23" s="33">
        <f>INT('Hotel Data'!K26)</f>
        <v>180</v>
      </c>
      <c r="J23" s="30">
        <v>1</v>
      </c>
      <c r="K23" s="30">
        <v>72</v>
      </c>
      <c r="L23" s="30">
        <v>146</v>
      </c>
    </row>
    <row r="24" spans="1:12" s="31" customFormat="1">
      <c r="A24" s="31" t="s">
        <v>12</v>
      </c>
      <c r="B24" s="31">
        <f t="shared" si="0"/>
        <v>23</v>
      </c>
      <c r="C24" s="32">
        <v>12</v>
      </c>
      <c r="D24" s="30">
        <v>2022</v>
      </c>
      <c r="E24" s="35">
        <f>'Hotel Data'!X27</f>
        <v>10671</v>
      </c>
      <c r="F24" s="30">
        <v>0.34599999999999997</v>
      </c>
      <c r="G24" s="33">
        <f>INT('Hotel Data'!E27)</f>
        <v>1047</v>
      </c>
      <c r="H24" s="30">
        <v>1.2669999999999999</v>
      </c>
      <c r="I24" s="33">
        <f>INT('Hotel Data'!K27)</f>
        <v>168</v>
      </c>
      <c r="J24" s="30">
        <v>1</v>
      </c>
      <c r="K24" s="30">
        <v>58</v>
      </c>
      <c r="L24" s="30">
        <v>122</v>
      </c>
    </row>
    <row r="25" spans="1:12" s="31" customFormat="1">
      <c r="A25" s="31" t="s">
        <v>12</v>
      </c>
      <c r="B25" s="31">
        <f t="shared" si="0"/>
        <v>24</v>
      </c>
      <c r="C25" s="32">
        <v>12</v>
      </c>
      <c r="D25" s="30">
        <v>2022</v>
      </c>
      <c r="E25" s="35">
        <f>'Hotel Data'!X28</f>
        <v>10642</v>
      </c>
      <c r="F25" s="30">
        <v>0.34599999999999997</v>
      </c>
      <c r="G25" s="33">
        <f>INT('Hotel Data'!E28)</f>
        <v>725</v>
      </c>
      <c r="H25" s="30">
        <v>1.2669999999999999</v>
      </c>
      <c r="I25" s="33">
        <f>INT('Hotel Data'!K28)</f>
        <v>136</v>
      </c>
      <c r="J25" s="30">
        <v>1</v>
      </c>
      <c r="K25" s="30">
        <v>55</v>
      </c>
      <c r="L25" s="30">
        <v>122</v>
      </c>
    </row>
    <row r="26" spans="1:12" s="31" customFormat="1">
      <c r="A26" s="31" t="s">
        <v>12</v>
      </c>
      <c r="B26" s="31">
        <f>B25+1</f>
        <v>25</v>
      </c>
      <c r="C26" s="32">
        <v>12</v>
      </c>
      <c r="D26" s="30">
        <v>2022</v>
      </c>
      <c r="E26" s="35">
        <f>'Hotel Data'!X29</f>
        <v>10513</v>
      </c>
      <c r="F26" s="30">
        <v>0.34599999999999997</v>
      </c>
      <c r="G26" s="33">
        <f>INT('Hotel Data'!E29)</f>
        <v>712</v>
      </c>
      <c r="H26" s="30">
        <v>1.2669999999999999</v>
      </c>
      <c r="I26" s="33">
        <f>INT('Hotel Data'!K29)</f>
        <v>132</v>
      </c>
      <c r="J26" s="30">
        <v>1</v>
      </c>
      <c r="K26" s="30">
        <v>45</v>
      </c>
      <c r="L26" s="30">
        <v>105</v>
      </c>
    </row>
    <row r="27" spans="1:12" s="31" customFormat="1">
      <c r="A27" s="31" t="s">
        <v>12</v>
      </c>
      <c r="B27" s="31">
        <f t="shared" si="0"/>
        <v>26</v>
      </c>
      <c r="C27" s="32">
        <v>12</v>
      </c>
      <c r="D27" s="30">
        <v>2022</v>
      </c>
      <c r="E27" s="35">
        <f>'Hotel Data'!X30</f>
        <v>10375</v>
      </c>
      <c r="F27" s="30">
        <v>0.34599999999999997</v>
      </c>
      <c r="G27" s="33">
        <f>INT('Hotel Data'!E30)</f>
        <v>712</v>
      </c>
      <c r="H27" s="30">
        <v>1.2669999999999999</v>
      </c>
      <c r="I27" s="33">
        <f>INT('Hotel Data'!K30)</f>
        <v>145</v>
      </c>
      <c r="J27" s="30">
        <v>1</v>
      </c>
      <c r="K27" s="30">
        <v>55</v>
      </c>
      <c r="L27" s="30">
        <v>126</v>
      </c>
    </row>
    <row r="28" spans="1:12" s="31" customFormat="1">
      <c r="A28" s="31" t="s">
        <v>12</v>
      </c>
      <c r="B28" s="31">
        <f t="shared" si="0"/>
        <v>27</v>
      </c>
      <c r="C28" s="32">
        <v>12</v>
      </c>
      <c r="D28" s="30">
        <v>2022</v>
      </c>
      <c r="E28" s="35">
        <f>'Hotel Data'!X31</f>
        <v>10327</v>
      </c>
      <c r="F28" s="30">
        <v>0.34599999999999997</v>
      </c>
      <c r="G28" s="33">
        <f>INT('Hotel Data'!E31)</f>
        <v>744</v>
      </c>
      <c r="H28" s="30">
        <v>1.2669999999999999</v>
      </c>
      <c r="I28" s="33">
        <f>INT('Hotel Data'!K31)</f>
        <v>145</v>
      </c>
      <c r="J28" s="30">
        <v>1</v>
      </c>
      <c r="K28" s="30">
        <v>58</v>
      </c>
      <c r="L28" s="30">
        <v>123</v>
      </c>
    </row>
    <row r="29" spans="1:12" s="31" customFormat="1">
      <c r="A29" s="31" t="s">
        <v>12</v>
      </c>
      <c r="B29" s="31">
        <f t="shared" si="0"/>
        <v>28</v>
      </c>
      <c r="C29" s="32">
        <v>12</v>
      </c>
      <c r="D29" s="30">
        <v>2022</v>
      </c>
      <c r="E29" s="35">
        <f>'Hotel Data'!X32</f>
        <v>10482</v>
      </c>
      <c r="F29" s="30">
        <v>0.34599999999999997</v>
      </c>
      <c r="G29" s="33">
        <f>INT('Hotel Data'!E32)</f>
        <v>744</v>
      </c>
      <c r="H29" s="30">
        <v>1.2669999999999999</v>
      </c>
      <c r="I29" s="33">
        <f>INT('Hotel Data'!K32)</f>
        <v>143</v>
      </c>
      <c r="J29" s="30">
        <v>1</v>
      </c>
      <c r="K29" s="30">
        <v>68</v>
      </c>
      <c r="L29" s="30">
        <v>138</v>
      </c>
    </row>
    <row r="30" spans="1:12" s="31" customFormat="1">
      <c r="A30" s="31" t="s">
        <v>12</v>
      </c>
      <c r="B30" s="31">
        <f t="shared" si="0"/>
        <v>29</v>
      </c>
      <c r="C30" s="32">
        <v>12</v>
      </c>
      <c r="D30" s="30">
        <v>2022</v>
      </c>
      <c r="E30" s="35">
        <f>'Hotel Data'!X33</f>
        <v>10365</v>
      </c>
      <c r="F30" s="30">
        <v>0.34599999999999997</v>
      </c>
      <c r="G30" s="33">
        <f>INT('Hotel Data'!E33)</f>
        <v>776</v>
      </c>
      <c r="H30" s="30">
        <v>1.2669999999999999</v>
      </c>
      <c r="I30" s="33">
        <f>INT('Hotel Data'!K33)</f>
        <v>152</v>
      </c>
      <c r="J30" s="30">
        <v>1</v>
      </c>
      <c r="K30" s="30">
        <v>68</v>
      </c>
      <c r="L30" s="30">
        <v>135</v>
      </c>
    </row>
    <row r="31" spans="1:12" s="30" customFormat="1">
      <c r="A31" s="30" t="s">
        <v>12</v>
      </c>
      <c r="B31" s="31">
        <f t="shared" si="0"/>
        <v>30</v>
      </c>
      <c r="C31" s="32">
        <v>12</v>
      </c>
      <c r="D31" s="30">
        <v>2022</v>
      </c>
      <c r="E31" s="35">
        <f>'Hotel Data'!X34</f>
        <v>10386</v>
      </c>
      <c r="F31" s="30">
        <v>0.34599999999999997</v>
      </c>
      <c r="G31" s="33">
        <f>INT('Hotel Data'!E34)</f>
        <v>794</v>
      </c>
      <c r="H31" s="30">
        <v>1.2669999999999999</v>
      </c>
      <c r="I31" s="33">
        <f>INT('Hotel Data'!K34)</f>
        <v>140</v>
      </c>
      <c r="J31" s="30">
        <v>1</v>
      </c>
      <c r="K31" s="30">
        <v>57</v>
      </c>
      <c r="L31" s="30">
        <v>116</v>
      </c>
    </row>
    <row r="32" spans="1:12" s="30" customFormat="1">
      <c r="A32" s="30" t="s">
        <v>12</v>
      </c>
      <c r="B32" s="31">
        <f t="shared" si="0"/>
        <v>31</v>
      </c>
      <c r="C32" s="32">
        <v>12</v>
      </c>
      <c r="D32" s="30">
        <v>2022</v>
      </c>
      <c r="E32" s="35">
        <f>'Hotel Data'!X35</f>
        <v>10519</v>
      </c>
      <c r="F32" s="30">
        <v>0.34599999999999997</v>
      </c>
      <c r="G32" s="33">
        <f>INT('Hotel Data'!E35)</f>
        <v>789</v>
      </c>
      <c r="H32" s="30">
        <v>1.2669999999999999</v>
      </c>
      <c r="I32" s="33">
        <f>INT('Hotel Data'!K35)</f>
        <v>137</v>
      </c>
      <c r="J32" s="30">
        <v>1</v>
      </c>
      <c r="K32" s="30">
        <v>63</v>
      </c>
      <c r="L32" s="30">
        <v>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3"/>
  <sheetViews>
    <sheetView topLeftCell="B1" workbookViewId="0">
      <selection activeCell="R25" sqref="R25"/>
    </sheetView>
  </sheetViews>
  <sheetFormatPr defaultColWidth="11.5703125" defaultRowHeight="15"/>
  <cols>
    <col min="4" max="4" width="13.42578125" customWidth="1"/>
    <col min="5" max="5" width="13" style="24" customWidth="1"/>
    <col min="6" max="6" width="12.5703125" customWidth="1"/>
    <col min="7" max="7" width="13" style="24" customWidth="1"/>
    <col min="12" max="12" width="11.5703125" style="24"/>
    <col min="15" max="15" width="14" customWidth="1"/>
  </cols>
  <sheetData>
    <row r="1" spans="1:16" s="28" customFormat="1" ht="45">
      <c r="A1" s="28" t="s">
        <v>0</v>
      </c>
      <c r="B1" s="28" t="s">
        <v>1</v>
      </c>
      <c r="C1" s="28" t="s">
        <v>2</v>
      </c>
      <c r="D1" s="28" t="s">
        <v>3</v>
      </c>
      <c r="E1" s="25" t="s">
        <v>13</v>
      </c>
      <c r="F1" s="25" t="s">
        <v>14</v>
      </c>
      <c r="G1" s="25" t="s">
        <v>15</v>
      </c>
      <c r="H1" s="26" t="s">
        <v>16</v>
      </c>
      <c r="I1" s="26" t="s">
        <v>17</v>
      </c>
      <c r="J1" s="26" t="s">
        <v>18</v>
      </c>
      <c r="K1" s="26" t="s">
        <v>19</v>
      </c>
      <c r="L1" s="25" t="s">
        <v>20</v>
      </c>
      <c r="M1" s="26" t="s">
        <v>21</v>
      </c>
      <c r="N1" s="26" t="s">
        <v>22</v>
      </c>
      <c r="O1" s="27" t="s">
        <v>23</v>
      </c>
      <c r="P1" s="27" t="s">
        <v>10</v>
      </c>
    </row>
    <row r="2" spans="1:16" s="28" customFormat="1">
      <c r="E2" s="25"/>
      <c r="F2" s="25"/>
      <c r="G2" s="25"/>
      <c r="H2" s="26"/>
      <c r="I2" s="26"/>
      <c r="J2" s="26"/>
      <c r="K2" s="26"/>
      <c r="L2" s="25"/>
      <c r="M2" s="26"/>
      <c r="N2" s="26"/>
      <c r="O2" s="27"/>
      <c r="P2" s="27"/>
    </row>
    <row r="3" spans="1:16" s="30" customFormat="1">
      <c r="A3" s="30" t="s">
        <v>12</v>
      </c>
      <c r="B3" s="30">
        <v>1</v>
      </c>
      <c r="C3" s="32">
        <v>12</v>
      </c>
      <c r="D3" s="30">
        <v>2022</v>
      </c>
      <c r="E3" s="33">
        <f>'Hotel Data'!E5</f>
        <v>910</v>
      </c>
      <c r="F3" s="33">
        <f>'Hotel Data'!G5</f>
        <v>3</v>
      </c>
      <c r="G3" s="33">
        <f>'Hotel Data'!O5</f>
        <v>5</v>
      </c>
      <c r="H3" s="33">
        <f>'Hotel Data'!Q5</f>
        <v>14</v>
      </c>
      <c r="I3" s="33">
        <f>'Hotel Data'!S5</f>
        <v>0</v>
      </c>
      <c r="J3" s="33">
        <f>'Hotel Data'!U5</f>
        <v>37</v>
      </c>
      <c r="K3" s="33">
        <f>'Hotel Data'!AD5</f>
        <v>239</v>
      </c>
      <c r="L3" s="33">
        <f>'Hotel Data'!AG5</f>
        <v>1286</v>
      </c>
      <c r="M3" s="33">
        <f>'Hotel Data'!AJ5</f>
        <v>280</v>
      </c>
      <c r="N3" s="33">
        <f>'Hotel Data'!AN5</f>
        <v>628</v>
      </c>
      <c r="O3" s="33">
        <f>'Hotel Data'!AR5</f>
        <v>264</v>
      </c>
      <c r="P3" s="31">
        <f>TOTAL!K2</f>
        <v>66</v>
      </c>
    </row>
    <row r="4" spans="1:16" s="31" customFormat="1">
      <c r="A4" s="31" t="s">
        <v>12</v>
      </c>
      <c r="B4" s="31">
        <f>B3+1</f>
        <v>2</v>
      </c>
      <c r="C4" s="32">
        <v>12</v>
      </c>
      <c r="D4" s="30">
        <v>2022</v>
      </c>
      <c r="E4" s="33">
        <f>'Hotel Data'!E6</f>
        <v>1037</v>
      </c>
      <c r="F4" s="33">
        <f>'Hotel Data'!G6</f>
        <v>2</v>
      </c>
      <c r="G4" s="33">
        <f>'Hotel Data'!O6</f>
        <v>5</v>
      </c>
      <c r="H4" s="33">
        <f>'Hotel Data'!Q6</f>
        <v>16</v>
      </c>
      <c r="I4" s="33">
        <f>'Hotel Data'!S6</f>
        <v>0</v>
      </c>
      <c r="J4" s="33">
        <f>'Hotel Data'!U6</f>
        <v>43</v>
      </c>
      <c r="K4" s="33">
        <f>'Hotel Data'!AD6</f>
        <v>225</v>
      </c>
      <c r="L4" s="33">
        <f>'Hotel Data'!AG6</f>
        <v>1303</v>
      </c>
      <c r="M4" s="33">
        <f>'Hotel Data'!AJ6</f>
        <v>264</v>
      </c>
      <c r="N4" s="33">
        <f>'Hotel Data'!AN6</f>
        <v>563</v>
      </c>
      <c r="O4" s="33">
        <f>'Hotel Data'!AR6</f>
        <v>224</v>
      </c>
      <c r="P4" s="31">
        <f>TOTAL!K3</f>
        <v>83</v>
      </c>
    </row>
    <row r="5" spans="1:16" s="31" customFormat="1">
      <c r="A5" s="31" t="s">
        <v>12</v>
      </c>
      <c r="B5" s="31">
        <f t="shared" ref="B5:B33" si="0">B4+1</f>
        <v>3</v>
      </c>
      <c r="C5" s="32">
        <v>12</v>
      </c>
      <c r="D5" s="30">
        <v>2022</v>
      </c>
      <c r="E5" s="33">
        <f>'Hotel Data'!E7</f>
        <v>982</v>
      </c>
      <c r="F5" s="33">
        <f>'Hotel Data'!G7</f>
        <v>2</v>
      </c>
      <c r="G5" s="33">
        <f>'Hotel Data'!O7</f>
        <v>5</v>
      </c>
      <c r="H5" s="33">
        <f>'Hotel Data'!Q7</f>
        <v>22</v>
      </c>
      <c r="I5" s="33">
        <f>'Hotel Data'!S7</f>
        <v>0</v>
      </c>
      <c r="J5" s="33">
        <f>'Hotel Data'!U7</f>
        <v>47</v>
      </c>
      <c r="K5" s="33">
        <f>'Hotel Data'!AD7</f>
        <v>222</v>
      </c>
      <c r="L5" s="33">
        <f>'Hotel Data'!AG7</f>
        <v>1348</v>
      </c>
      <c r="M5" s="33">
        <f>'Hotel Data'!AJ7</f>
        <v>264</v>
      </c>
      <c r="N5" s="33">
        <f>'Hotel Data'!AN7</f>
        <v>564</v>
      </c>
      <c r="O5" s="33">
        <f>'Hotel Data'!AR7</f>
        <v>304</v>
      </c>
      <c r="P5" s="31">
        <f>TOTAL!K4</f>
        <v>74</v>
      </c>
    </row>
    <row r="6" spans="1:16" s="31" customFormat="1">
      <c r="A6" s="31" t="s">
        <v>12</v>
      </c>
      <c r="B6" s="31">
        <f t="shared" si="0"/>
        <v>4</v>
      </c>
      <c r="C6" s="32">
        <v>12</v>
      </c>
      <c r="D6" s="30">
        <v>2022</v>
      </c>
      <c r="E6" s="33">
        <f>'Hotel Data'!E8</f>
        <v>893</v>
      </c>
      <c r="F6" s="33">
        <f>'Hotel Data'!G8</f>
        <v>0</v>
      </c>
      <c r="G6" s="33">
        <f>'Hotel Data'!O8</f>
        <v>5</v>
      </c>
      <c r="H6" s="33">
        <f>'Hotel Data'!Q8</f>
        <v>20</v>
      </c>
      <c r="I6" s="33">
        <f>'Hotel Data'!S8</f>
        <v>0</v>
      </c>
      <c r="J6" s="33">
        <f>'Hotel Data'!U8</f>
        <v>47</v>
      </c>
      <c r="K6" s="33">
        <f>'Hotel Data'!AD8</f>
        <v>236</v>
      </c>
      <c r="L6" s="33">
        <f>'Hotel Data'!AG8</f>
        <v>1145</v>
      </c>
      <c r="M6" s="33">
        <f>'Hotel Data'!AJ8</f>
        <v>200</v>
      </c>
      <c r="N6" s="33">
        <f>'Hotel Data'!AN8</f>
        <v>536</v>
      </c>
      <c r="O6" s="33">
        <f>'Hotel Data'!AR8</f>
        <v>272</v>
      </c>
      <c r="P6" s="31">
        <f>TOTAL!K5</f>
        <v>57</v>
      </c>
    </row>
    <row r="7" spans="1:16" s="31" customFormat="1">
      <c r="A7" s="31" t="s">
        <v>12</v>
      </c>
      <c r="B7" s="31">
        <f t="shared" si="0"/>
        <v>5</v>
      </c>
      <c r="C7" s="32">
        <v>12</v>
      </c>
      <c r="D7" s="30">
        <v>2022</v>
      </c>
      <c r="E7" s="33">
        <f>'Hotel Data'!E9</f>
        <v>833</v>
      </c>
      <c r="F7" s="33">
        <f>'Hotel Data'!G9</f>
        <v>3</v>
      </c>
      <c r="G7" s="33">
        <f>'Hotel Data'!O9</f>
        <v>5</v>
      </c>
      <c r="H7" s="33">
        <f>'Hotel Data'!Q9</f>
        <v>20</v>
      </c>
      <c r="I7" s="33">
        <f>'Hotel Data'!S9</f>
        <v>0</v>
      </c>
      <c r="J7" s="33">
        <f>'Hotel Data'!U9</f>
        <v>45</v>
      </c>
      <c r="K7" s="33">
        <f>'Hotel Data'!AD9</f>
        <v>223</v>
      </c>
      <c r="L7" s="33">
        <f>'Hotel Data'!AG9</f>
        <v>1300</v>
      </c>
      <c r="M7" s="33">
        <f>'Hotel Data'!AJ9</f>
        <v>272</v>
      </c>
      <c r="N7" s="33">
        <f>'Hotel Data'!AN9</f>
        <v>569</v>
      </c>
      <c r="O7" s="33">
        <f>'Hotel Data'!AR9</f>
        <v>224</v>
      </c>
      <c r="P7" s="31">
        <f>TOTAL!K6</f>
        <v>53</v>
      </c>
    </row>
    <row r="8" spans="1:16" s="31" customFormat="1">
      <c r="A8" s="31" t="s">
        <v>12</v>
      </c>
      <c r="B8" s="31">
        <f t="shared" si="0"/>
        <v>6</v>
      </c>
      <c r="C8" s="32">
        <v>12</v>
      </c>
      <c r="D8" s="30">
        <v>2022</v>
      </c>
      <c r="E8" s="33">
        <f>'Hotel Data'!E10</f>
        <v>960</v>
      </c>
      <c r="F8" s="33">
        <f>'Hotel Data'!G10</f>
        <v>0</v>
      </c>
      <c r="G8" s="33">
        <f>'Hotel Data'!O10</f>
        <v>4</v>
      </c>
      <c r="H8" s="33">
        <f>'Hotel Data'!Q10</f>
        <v>17</v>
      </c>
      <c r="I8" s="33">
        <f>'Hotel Data'!S10</f>
        <v>0</v>
      </c>
      <c r="J8" s="33">
        <f>'Hotel Data'!U10</f>
        <v>38</v>
      </c>
      <c r="K8" s="33">
        <f>'Hotel Data'!AD10</f>
        <v>227</v>
      </c>
      <c r="L8" s="33">
        <f>'Hotel Data'!AG10</f>
        <v>1453</v>
      </c>
      <c r="M8" s="33">
        <f>'Hotel Data'!AJ10</f>
        <v>168</v>
      </c>
      <c r="N8" s="33">
        <f>'Hotel Data'!AN10</f>
        <v>572</v>
      </c>
      <c r="O8" s="33">
        <f>'Hotel Data'!AR10</f>
        <v>240</v>
      </c>
      <c r="P8" s="31">
        <f>TOTAL!K7</f>
        <v>78</v>
      </c>
    </row>
    <row r="9" spans="1:16" s="31" customFormat="1">
      <c r="A9" s="31" t="s">
        <v>12</v>
      </c>
      <c r="B9" s="31">
        <f t="shared" si="0"/>
        <v>7</v>
      </c>
      <c r="C9" s="32">
        <v>12</v>
      </c>
      <c r="D9" s="30">
        <v>2022</v>
      </c>
      <c r="E9" s="33">
        <f>'Hotel Data'!E11</f>
        <v>1166</v>
      </c>
      <c r="F9" s="33">
        <f>'Hotel Data'!G11</f>
        <v>3</v>
      </c>
      <c r="G9" s="33">
        <f>'Hotel Data'!O11</f>
        <v>5</v>
      </c>
      <c r="H9" s="33">
        <f>'Hotel Data'!Q11</f>
        <v>16</v>
      </c>
      <c r="I9" s="33">
        <f>'Hotel Data'!S11</f>
        <v>0</v>
      </c>
      <c r="J9" s="33">
        <f>'Hotel Data'!U11</f>
        <v>40</v>
      </c>
      <c r="K9" s="33">
        <f>'Hotel Data'!AD11</f>
        <v>230</v>
      </c>
      <c r="L9" s="33">
        <f>'Hotel Data'!AG11</f>
        <v>1424</v>
      </c>
      <c r="M9" s="33">
        <f>'Hotel Data'!AJ11</f>
        <v>416</v>
      </c>
      <c r="N9" s="33">
        <f>'Hotel Data'!AN11</f>
        <v>557</v>
      </c>
      <c r="O9" s="33">
        <f>'Hotel Data'!AR11</f>
        <v>512</v>
      </c>
      <c r="P9" s="31">
        <f>TOTAL!K8</f>
        <v>75</v>
      </c>
    </row>
    <row r="10" spans="1:16" s="31" customFormat="1">
      <c r="A10" s="31" t="s">
        <v>12</v>
      </c>
      <c r="B10" s="31">
        <f t="shared" si="0"/>
        <v>8</v>
      </c>
      <c r="C10" s="32">
        <v>12</v>
      </c>
      <c r="D10" s="30">
        <v>2022</v>
      </c>
      <c r="E10" s="33">
        <f>'Hotel Data'!E12</f>
        <v>1123</v>
      </c>
      <c r="F10" s="33">
        <f>'Hotel Data'!G12</f>
        <v>1</v>
      </c>
      <c r="G10" s="33">
        <f>'Hotel Data'!O12</f>
        <v>5</v>
      </c>
      <c r="H10" s="33">
        <f>'Hotel Data'!Q12</f>
        <v>16</v>
      </c>
      <c r="I10" s="33">
        <f>'Hotel Data'!S12</f>
        <v>1</v>
      </c>
      <c r="J10" s="33">
        <f>'Hotel Data'!U12</f>
        <v>37</v>
      </c>
      <c r="K10" s="33">
        <f>'Hotel Data'!AD12</f>
        <v>242</v>
      </c>
      <c r="L10" s="33">
        <f>'Hotel Data'!AG12</f>
        <v>1243</v>
      </c>
      <c r="M10" s="33">
        <f>'Hotel Data'!AJ12</f>
        <v>208</v>
      </c>
      <c r="N10" s="33">
        <f>'Hotel Data'!AN12</f>
        <v>551</v>
      </c>
      <c r="O10" s="33">
        <f>'Hotel Data'!AR12</f>
        <v>328</v>
      </c>
      <c r="P10" s="31">
        <f>TOTAL!K9</f>
        <v>59</v>
      </c>
    </row>
    <row r="11" spans="1:16" s="31" customFormat="1">
      <c r="A11" s="31" t="s">
        <v>12</v>
      </c>
      <c r="B11" s="31">
        <f t="shared" si="0"/>
        <v>9</v>
      </c>
      <c r="C11" s="32">
        <v>12</v>
      </c>
      <c r="D11" s="30">
        <v>2022</v>
      </c>
      <c r="E11" s="33">
        <f>'Hotel Data'!E13</f>
        <v>1149</v>
      </c>
      <c r="F11" s="33">
        <f>'Hotel Data'!G13</f>
        <v>0</v>
      </c>
      <c r="G11" s="33">
        <f>'Hotel Data'!O13</f>
        <v>5</v>
      </c>
      <c r="H11" s="33">
        <f>'Hotel Data'!Q13</f>
        <v>15</v>
      </c>
      <c r="I11" s="33">
        <f>'Hotel Data'!S13</f>
        <v>0</v>
      </c>
      <c r="J11" s="33">
        <f>'Hotel Data'!U13</f>
        <v>40</v>
      </c>
      <c r="K11" s="33">
        <f>'Hotel Data'!AD13</f>
        <v>241</v>
      </c>
      <c r="L11" s="33">
        <f>'Hotel Data'!AG13</f>
        <v>1273</v>
      </c>
      <c r="M11" s="33">
        <f>'Hotel Data'!AJ13</f>
        <v>144</v>
      </c>
      <c r="N11" s="33">
        <f>'Hotel Data'!AN13</f>
        <v>583</v>
      </c>
      <c r="O11" s="33">
        <f>'Hotel Data'!AR13</f>
        <v>280</v>
      </c>
      <c r="P11" s="31">
        <f>TOTAL!K10</f>
        <v>68</v>
      </c>
    </row>
    <row r="12" spans="1:16" s="31" customFormat="1">
      <c r="A12" s="31" t="s">
        <v>12</v>
      </c>
      <c r="B12" s="31">
        <f t="shared" si="0"/>
        <v>10</v>
      </c>
      <c r="C12" s="32">
        <v>12</v>
      </c>
      <c r="D12" s="30">
        <v>2022</v>
      </c>
      <c r="E12" s="33">
        <f>'Hotel Data'!E14</f>
        <v>1390</v>
      </c>
      <c r="F12" s="33">
        <f>'Hotel Data'!G14</f>
        <v>1</v>
      </c>
      <c r="G12" s="33">
        <f>'Hotel Data'!O14</f>
        <v>8</v>
      </c>
      <c r="H12" s="33">
        <f>'Hotel Data'!Q14</f>
        <v>8</v>
      </c>
      <c r="I12" s="33">
        <f>'Hotel Data'!S14</f>
        <v>0</v>
      </c>
      <c r="J12" s="33">
        <f>'Hotel Data'!U14</f>
        <v>35</v>
      </c>
      <c r="K12" s="33">
        <f>'Hotel Data'!AD14</f>
        <v>212</v>
      </c>
      <c r="L12" s="33">
        <f>'Hotel Data'!AG14</f>
        <v>1446</v>
      </c>
      <c r="M12" s="33">
        <f>'Hotel Data'!AJ14</f>
        <v>192</v>
      </c>
      <c r="N12" s="33">
        <f>'Hotel Data'!AN14</f>
        <v>549</v>
      </c>
      <c r="O12" s="33">
        <f>'Hotel Data'!AR14</f>
        <v>288</v>
      </c>
      <c r="P12" s="31">
        <f>TOTAL!K11</f>
        <v>64</v>
      </c>
    </row>
    <row r="13" spans="1:16" s="31" customFormat="1">
      <c r="A13" s="31" t="s">
        <v>12</v>
      </c>
      <c r="B13" s="31">
        <f t="shared" si="0"/>
        <v>11</v>
      </c>
      <c r="C13" s="32">
        <v>12</v>
      </c>
      <c r="D13" s="30">
        <v>2022</v>
      </c>
      <c r="E13" s="33">
        <f>'Hotel Data'!E15</f>
        <v>1450</v>
      </c>
      <c r="F13" s="33">
        <f>'Hotel Data'!G15</f>
        <v>1</v>
      </c>
      <c r="G13" s="33">
        <f>'Hotel Data'!O15</f>
        <v>7</v>
      </c>
      <c r="H13" s="33">
        <f>'Hotel Data'!Q15</f>
        <v>22</v>
      </c>
      <c r="I13" s="33">
        <f>'Hotel Data'!S15</f>
        <v>0</v>
      </c>
      <c r="J13" s="33">
        <f>'Hotel Data'!U15</f>
        <v>35</v>
      </c>
      <c r="K13" s="33">
        <f>'Hotel Data'!AD15</f>
        <v>220</v>
      </c>
      <c r="L13" s="33">
        <f>'Hotel Data'!AG15</f>
        <v>1343</v>
      </c>
      <c r="M13" s="33">
        <f>'Hotel Data'!AJ15</f>
        <v>208</v>
      </c>
      <c r="N13" s="33">
        <f>'Hotel Data'!AN15</f>
        <v>580</v>
      </c>
      <c r="O13" s="33">
        <f>'Hotel Data'!AR15</f>
        <v>256</v>
      </c>
      <c r="P13" s="31">
        <f>TOTAL!K12</f>
        <v>52</v>
      </c>
    </row>
    <row r="14" spans="1:16" s="31" customFormat="1">
      <c r="A14" s="31" t="s">
        <v>12</v>
      </c>
      <c r="B14" s="31">
        <f t="shared" si="0"/>
        <v>12</v>
      </c>
      <c r="C14" s="32">
        <v>12</v>
      </c>
      <c r="D14" s="30">
        <v>2022</v>
      </c>
      <c r="E14" s="33">
        <f>'Hotel Data'!E16</f>
        <v>1581</v>
      </c>
      <c r="F14" s="33">
        <f>'Hotel Data'!G16</f>
        <v>1.3999999999996362</v>
      </c>
      <c r="G14" s="33">
        <f>'Hotel Data'!O16</f>
        <v>6</v>
      </c>
      <c r="H14" s="33">
        <f>'Hotel Data'!Q16</f>
        <v>15</v>
      </c>
      <c r="I14" s="33">
        <f>'Hotel Data'!S16</f>
        <v>0</v>
      </c>
      <c r="J14" s="33">
        <f>'Hotel Data'!U16</f>
        <v>40</v>
      </c>
      <c r="K14" s="33">
        <f>'Hotel Data'!AD16</f>
        <v>220</v>
      </c>
      <c r="L14" s="33">
        <f>'Hotel Data'!AG16</f>
        <v>1258</v>
      </c>
      <c r="M14" s="33">
        <f>'Hotel Data'!AJ16</f>
        <v>224</v>
      </c>
      <c r="N14" s="33">
        <f>'Hotel Data'!AN16</f>
        <v>556</v>
      </c>
      <c r="O14" s="33">
        <f>'Hotel Data'!AR16</f>
        <v>232</v>
      </c>
      <c r="P14" s="31">
        <f>TOTAL!K13</f>
        <v>60</v>
      </c>
    </row>
    <row r="15" spans="1:16" s="31" customFormat="1">
      <c r="A15" s="31" t="s">
        <v>12</v>
      </c>
      <c r="B15" s="31">
        <f t="shared" si="0"/>
        <v>13</v>
      </c>
      <c r="C15" s="32">
        <v>12</v>
      </c>
      <c r="D15" s="30">
        <v>2022</v>
      </c>
      <c r="E15" s="33">
        <f>'Hotel Data'!E17</f>
        <v>1544</v>
      </c>
      <c r="F15" s="33">
        <f>'Hotel Data'!G17</f>
        <v>4</v>
      </c>
      <c r="G15" s="33">
        <f>'Hotel Data'!O17</f>
        <v>6</v>
      </c>
      <c r="H15" s="33">
        <f>'Hotel Data'!Q17</f>
        <v>16</v>
      </c>
      <c r="I15" s="33">
        <f>'Hotel Data'!S17</f>
        <v>0</v>
      </c>
      <c r="J15" s="33">
        <f>'Hotel Data'!U17</f>
        <v>34</v>
      </c>
      <c r="K15" s="33">
        <f>'Hotel Data'!AD17</f>
        <v>216</v>
      </c>
      <c r="L15" s="33">
        <f>'Hotel Data'!AG17</f>
        <v>1317</v>
      </c>
      <c r="M15" s="33">
        <f>'Hotel Data'!AJ17</f>
        <v>232</v>
      </c>
      <c r="N15" s="33">
        <f>'Hotel Data'!AN17</f>
        <v>541</v>
      </c>
      <c r="O15" s="33">
        <f>'Hotel Data'!AR17</f>
        <v>216</v>
      </c>
      <c r="P15" s="31">
        <f>TOTAL!K14</f>
        <v>80</v>
      </c>
    </row>
    <row r="16" spans="1:16" s="31" customFormat="1">
      <c r="A16" s="31" t="s">
        <v>12</v>
      </c>
      <c r="B16" s="31">
        <f t="shared" si="0"/>
        <v>14</v>
      </c>
      <c r="C16" s="32">
        <v>12</v>
      </c>
      <c r="D16" s="30">
        <v>2022</v>
      </c>
      <c r="E16" s="33">
        <f>'Hotel Data'!E18</f>
        <v>1295</v>
      </c>
      <c r="F16" s="33">
        <f>'Hotel Data'!G18</f>
        <v>1.7000000000007276</v>
      </c>
      <c r="G16" s="33">
        <f>'Hotel Data'!O18</f>
        <v>6</v>
      </c>
      <c r="H16" s="33">
        <f>'Hotel Data'!Q18</f>
        <v>14</v>
      </c>
      <c r="I16" s="33">
        <f>'Hotel Data'!S18</f>
        <v>1</v>
      </c>
      <c r="J16" s="33">
        <f>'Hotel Data'!U18</f>
        <v>45</v>
      </c>
      <c r="K16" s="33">
        <f>'Hotel Data'!AD18</f>
        <v>239</v>
      </c>
      <c r="L16" s="33">
        <f>'Hotel Data'!AG18</f>
        <v>1322</v>
      </c>
      <c r="M16" s="33">
        <f>'Hotel Data'!AJ18</f>
        <v>248</v>
      </c>
      <c r="N16" s="33">
        <f>'Hotel Data'!AN18</f>
        <v>624</v>
      </c>
      <c r="O16" s="33">
        <f>'Hotel Data'!AR18</f>
        <v>280</v>
      </c>
      <c r="P16" s="31">
        <f>TOTAL!K15</f>
        <v>70</v>
      </c>
    </row>
    <row r="17" spans="1:16" s="31" customFormat="1">
      <c r="A17" s="31" t="s">
        <v>12</v>
      </c>
      <c r="B17" s="31">
        <f t="shared" si="0"/>
        <v>15</v>
      </c>
      <c r="C17" s="32">
        <v>12</v>
      </c>
      <c r="D17" s="30">
        <v>2022</v>
      </c>
      <c r="E17" s="33">
        <f>'Hotel Data'!E19</f>
        <v>1288</v>
      </c>
      <c r="F17" s="33">
        <f>'Hotel Data'!G19</f>
        <v>2.6899999999995998</v>
      </c>
      <c r="G17" s="33">
        <f>'Hotel Data'!O19</f>
        <v>5</v>
      </c>
      <c r="H17" s="33">
        <f>'Hotel Data'!Q19</f>
        <v>12</v>
      </c>
      <c r="I17" s="33">
        <f>'Hotel Data'!S19</f>
        <v>0</v>
      </c>
      <c r="J17" s="33">
        <f>'Hotel Data'!U19</f>
        <v>30</v>
      </c>
      <c r="K17" s="33">
        <f>'Hotel Data'!AD19</f>
        <v>214</v>
      </c>
      <c r="L17" s="33">
        <f>'Hotel Data'!AG19</f>
        <v>1312</v>
      </c>
      <c r="M17" s="33">
        <f>'Hotel Data'!AJ19</f>
        <v>272</v>
      </c>
      <c r="N17" s="33">
        <f>'Hotel Data'!AN19</f>
        <v>596</v>
      </c>
      <c r="O17" s="33">
        <f>'Hotel Data'!AR19</f>
        <v>248</v>
      </c>
      <c r="P17" s="31">
        <f>TOTAL!K16</f>
        <v>61</v>
      </c>
    </row>
    <row r="18" spans="1:16" s="31" customFormat="1">
      <c r="A18" s="31" t="s">
        <v>12</v>
      </c>
      <c r="B18" s="31">
        <f t="shared" si="0"/>
        <v>16</v>
      </c>
      <c r="C18" s="32">
        <v>12</v>
      </c>
      <c r="D18" s="30">
        <v>2022</v>
      </c>
      <c r="E18" s="33">
        <f>'Hotel Data'!E20</f>
        <v>1259</v>
      </c>
      <c r="F18" s="33">
        <f>'Hotel Data'!G20</f>
        <v>3.9399999999995998</v>
      </c>
      <c r="G18" s="33">
        <f>'Hotel Data'!O20</f>
        <v>7</v>
      </c>
      <c r="H18" s="33">
        <f>'Hotel Data'!Q20</f>
        <v>16</v>
      </c>
      <c r="I18" s="33">
        <f>'Hotel Data'!S20</f>
        <v>0</v>
      </c>
      <c r="J18" s="33">
        <f>'Hotel Data'!U20</f>
        <v>46</v>
      </c>
      <c r="K18" s="33">
        <f>'Hotel Data'!AD20</f>
        <v>224</v>
      </c>
      <c r="L18" s="33">
        <f>'Hotel Data'!AG20</f>
        <v>1380</v>
      </c>
      <c r="M18" s="33">
        <f>'Hotel Data'!AJ20</f>
        <v>312</v>
      </c>
      <c r="N18" s="33">
        <f>'Hotel Data'!AN20</f>
        <v>629</v>
      </c>
      <c r="O18" s="33">
        <f>'Hotel Data'!AR20</f>
        <v>280</v>
      </c>
      <c r="P18" s="31">
        <f>TOTAL!K17</f>
        <v>76</v>
      </c>
    </row>
    <row r="19" spans="1:16" s="31" customFormat="1">
      <c r="A19" s="31" t="s">
        <v>12</v>
      </c>
      <c r="B19" s="31">
        <f t="shared" si="0"/>
        <v>17</v>
      </c>
      <c r="C19" s="32">
        <v>12</v>
      </c>
      <c r="D19" s="30">
        <v>2022</v>
      </c>
      <c r="E19" s="33">
        <f>'Hotel Data'!E21</f>
        <v>1088</v>
      </c>
      <c r="F19" s="33">
        <f>'Hotel Data'!G21</f>
        <v>0.27000000000043656</v>
      </c>
      <c r="G19" s="33">
        <f>'Hotel Data'!O21</f>
        <v>4</v>
      </c>
      <c r="H19" s="33">
        <f>'Hotel Data'!Q21</f>
        <v>16</v>
      </c>
      <c r="I19" s="33">
        <f>'Hotel Data'!S21</f>
        <v>0</v>
      </c>
      <c r="J19" s="33">
        <f>'Hotel Data'!U21</f>
        <v>52</v>
      </c>
      <c r="K19" s="33">
        <f>'Hotel Data'!AD21</f>
        <v>220</v>
      </c>
      <c r="L19" s="33">
        <f>'Hotel Data'!AG21</f>
        <v>1298</v>
      </c>
      <c r="M19" s="33">
        <f>'Hotel Data'!AJ21</f>
        <v>352</v>
      </c>
      <c r="N19" s="33">
        <f>'Hotel Data'!AN21</f>
        <v>561</v>
      </c>
      <c r="O19" s="33">
        <f>'Hotel Data'!AR21</f>
        <v>288</v>
      </c>
      <c r="P19" s="31">
        <f>TOTAL!K18</f>
        <v>71</v>
      </c>
    </row>
    <row r="20" spans="1:16" s="31" customFormat="1">
      <c r="A20" s="31" t="s">
        <v>12</v>
      </c>
      <c r="B20" s="31">
        <f t="shared" si="0"/>
        <v>18</v>
      </c>
      <c r="C20" s="32">
        <v>12</v>
      </c>
      <c r="D20" s="30">
        <v>2022</v>
      </c>
      <c r="E20" s="33">
        <f>'Hotel Data'!E22</f>
        <v>1000</v>
      </c>
      <c r="F20" s="33">
        <f>'Hotel Data'!G22</f>
        <v>1</v>
      </c>
      <c r="G20" s="33">
        <f>'Hotel Data'!O22</f>
        <v>0</v>
      </c>
      <c r="H20" s="33">
        <f>'Hotel Data'!Q22</f>
        <v>16</v>
      </c>
      <c r="I20" s="33">
        <f>'Hotel Data'!S22</f>
        <v>0</v>
      </c>
      <c r="J20" s="33">
        <f>'Hotel Data'!U22</f>
        <v>39</v>
      </c>
      <c r="K20" s="33">
        <f>'Hotel Data'!AD22</f>
        <v>243</v>
      </c>
      <c r="L20" s="33">
        <f>'Hotel Data'!AG22</f>
        <v>1250</v>
      </c>
      <c r="M20" s="33">
        <f>'Hotel Data'!AJ22</f>
        <v>224</v>
      </c>
      <c r="N20" s="33">
        <f>'Hotel Data'!AN22</f>
        <v>618</v>
      </c>
      <c r="O20" s="33">
        <f>'Hotel Data'!AR22</f>
        <v>264</v>
      </c>
      <c r="P20" s="31">
        <f>TOTAL!K19</f>
        <v>55</v>
      </c>
    </row>
    <row r="21" spans="1:16" s="31" customFormat="1">
      <c r="A21" s="31" t="s">
        <v>12</v>
      </c>
      <c r="B21" s="31">
        <f t="shared" si="0"/>
        <v>19</v>
      </c>
      <c r="C21" s="32">
        <v>12</v>
      </c>
      <c r="D21" s="30">
        <v>2022</v>
      </c>
      <c r="E21" s="33">
        <f>'Hotel Data'!E23</f>
        <v>995</v>
      </c>
      <c r="F21" s="33">
        <f>'Hotel Data'!G23</f>
        <v>0</v>
      </c>
      <c r="G21" s="33">
        <f>'Hotel Data'!O23</f>
        <v>0</v>
      </c>
      <c r="H21" s="33">
        <f>'Hotel Data'!Q23</f>
        <v>14</v>
      </c>
      <c r="I21" s="33">
        <f>'Hotel Data'!S23</f>
        <v>0</v>
      </c>
      <c r="J21" s="33">
        <f>'Hotel Data'!U23</f>
        <v>33</v>
      </c>
      <c r="K21" s="33">
        <f>'Hotel Data'!AD23</f>
        <v>250</v>
      </c>
      <c r="L21" s="33">
        <f>'Hotel Data'!AG23</f>
        <v>1227</v>
      </c>
      <c r="M21" s="33">
        <f>'Hotel Data'!AJ23</f>
        <v>176</v>
      </c>
      <c r="N21" s="33">
        <f>'Hotel Data'!AN23</f>
        <v>568</v>
      </c>
      <c r="O21" s="33">
        <f>'Hotel Data'!AR23</f>
        <v>304</v>
      </c>
      <c r="P21" s="31">
        <f>TOTAL!K20</f>
        <v>59</v>
      </c>
    </row>
    <row r="22" spans="1:16" s="31" customFormat="1">
      <c r="A22" s="31" t="s">
        <v>12</v>
      </c>
      <c r="B22" s="31">
        <f t="shared" si="0"/>
        <v>20</v>
      </c>
      <c r="C22" s="32">
        <v>12</v>
      </c>
      <c r="D22" s="30">
        <v>2022</v>
      </c>
      <c r="E22" s="33">
        <f>'Hotel Data'!E24</f>
        <v>1052</v>
      </c>
      <c r="F22" s="33">
        <f>'Hotel Data'!G24</f>
        <v>0</v>
      </c>
      <c r="G22" s="33">
        <f>'Hotel Data'!O24</f>
        <v>0</v>
      </c>
      <c r="H22" s="33">
        <f>'Hotel Data'!Q24</f>
        <v>17</v>
      </c>
      <c r="I22" s="33">
        <f>'Hotel Data'!S24</f>
        <v>0</v>
      </c>
      <c r="J22" s="33">
        <f>'Hotel Data'!U24</f>
        <v>44</v>
      </c>
      <c r="K22" s="33">
        <f>'Hotel Data'!AD24</f>
        <v>230</v>
      </c>
      <c r="L22" s="33">
        <f>'Hotel Data'!AG24</f>
        <v>1266</v>
      </c>
      <c r="M22" s="33">
        <f>'Hotel Data'!AJ24</f>
        <v>176</v>
      </c>
      <c r="N22" s="33">
        <f>'Hotel Data'!AN24</f>
        <v>605</v>
      </c>
      <c r="O22" s="33">
        <f>'Hotel Data'!AR24</f>
        <v>288</v>
      </c>
      <c r="P22" s="31">
        <f>TOTAL!K21</f>
        <v>68</v>
      </c>
    </row>
    <row r="23" spans="1:16" s="31" customFormat="1">
      <c r="A23" s="31" t="s">
        <v>12</v>
      </c>
      <c r="B23" s="31">
        <f t="shared" si="0"/>
        <v>21</v>
      </c>
      <c r="C23" s="32">
        <v>12</v>
      </c>
      <c r="D23" s="30">
        <v>2022</v>
      </c>
      <c r="E23" s="33">
        <f>'Hotel Data'!E25</f>
        <v>1013</v>
      </c>
      <c r="F23" s="33">
        <f>'Hotel Data'!G25</f>
        <v>0</v>
      </c>
      <c r="G23" s="33">
        <f>'Hotel Data'!O25</f>
        <v>2</v>
      </c>
      <c r="H23" s="33">
        <f>'Hotel Data'!Q25</f>
        <v>15</v>
      </c>
      <c r="I23" s="33">
        <f>'Hotel Data'!S25</f>
        <v>0</v>
      </c>
      <c r="J23" s="33">
        <f>'Hotel Data'!U25</f>
        <v>47</v>
      </c>
      <c r="K23" s="33">
        <f>'Hotel Data'!AD25</f>
        <v>228</v>
      </c>
      <c r="L23" s="33">
        <f>'Hotel Data'!AG25</f>
        <v>1291</v>
      </c>
      <c r="M23" s="33">
        <f>'Hotel Data'!AJ25</f>
        <v>168</v>
      </c>
      <c r="N23" s="33">
        <f>'Hotel Data'!AN25</f>
        <v>568</v>
      </c>
      <c r="O23" s="33">
        <f>'Hotel Data'!AR25</f>
        <v>272</v>
      </c>
      <c r="P23" s="31">
        <f>TOTAL!K22</f>
        <v>71</v>
      </c>
    </row>
    <row r="24" spans="1:16" s="31" customFormat="1">
      <c r="A24" s="31" t="s">
        <v>12</v>
      </c>
      <c r="B24" s="31">
        <f t="shared" si="0"/>
        <v>22</v>
      </c>
      <c r="C24" s="32">
        <v>12</v>
      </c>
      <c r="D24" s="30">
        <v>2022</v>
      </c>
      <c r="E24" s="33">
        <f>'Hotel Data'!E26</f>
        <v>838</v>
      </c>
      <c r="F24" s="33">
        <f>'Hotel Data'!G26</f>
        <v>0</v>
      </c>
      <c r="G24" s="33">
        <f>'Hotel Data'!O26</f>
        <v>5</v>
      </c>
      <c r="H24" s="33">
        <f>'Hotel Data'!Q26</f>
        <v>16</v>
      </c>
      <c r="I24" s="33">
        <f>'Hotel Data'!S26</f>
        <v>1</v>
      </c>
      <c r="J24" s="33">
        <f>'Hotel Data'!U26</f>
        <v>37</v>
      </c>
      <c r="K24" s="33">
        <f>'Hotel Data'!AD26</f>
        <v>243</v>
      </c>
      <c r="L24" s="33">
        <f>'Hotel Data'!AG26</f>
        <v>1154</v>
      </c>
      <c r="M24" s="33">
        <f>'Hotel Data'!AJ26</f>
        <v>200</v>
      </c>
      <c r="N24" s="33">
        <f>'Hotel Data'!AN26</f>
        <v>564</v>
      </c>
      <c r="O24" s="33">
        <f>'Hotel Data'!AR26</f>
        <v>312</v>
      </c>
      <c r="P24" s="31">
        <f>TOTAL!K23</f>
        <v>72</v>
      </c>
    </row>
    <row r="25" spans="1:16" s="31" customFormat="1">
      <c r="A25" s="31" t="s">
        <v>12</v>
      </c>
      <c r="B25" s="31">
        <f t="shared" si="0"/>
        <v>23</v>
      </c>
      <c r="C25" s="32">
        <v>12</v>
      </c>
      <c r="D25" s="30">
        <v>2022</v>
      </c>
      <c r="E25" s="33">
        <f>'Hotel Data'!E27</f>
        <v>1047</v>
      </c>
      <c r="F25" s="33">
        <f>'Hotel Data'!G27</f>
        <v>0</v>
      </c>
      <c r="G25" s="33">
        <f>'Hotel Data'!O27</f>
        <v>7</v>
      </c>
      <c r="H25" s="33">
        <f>'Hotel Data'!Q27</f>
        <v>17</v>
      </c>
      <c r="I25" s="33">
        <f>'Hotel Data'!S27</f>
        <v>0</v>
      </c>
      <c r="J25" s="33">
        <f>'Hotel Data'!U27</f>
        <v>52</v>
      </c>
      <c r="K25" s="33">
        <f>'Hotel Data'!AD27</f>
        <v>232</v>
      </c>
      <c r="L25" s="33">
        <f>'Hotel Data'!AG27</f>
        <v>1264</v>
      </c>
      <c r="M25" s="33">
        <f>'Hotel Data'!AJ27</f>
        <v>200</v>
      </c>
      <c r="N25" s="33">
        <f>'Hotel Data'!AN27</f>
        <v>540</v>
      </c>
      <c r="O25" s="33">
        <f>'Hotel Data'!AR27</f>
        <v>344</v>
      </c>
      <c r="P25" s="31">
        <f>TOTAL!K24</f>
        <v>58</v>
      </c>
    </row>
    <row r="26" spans="1:16" s="31" customFormat="1">
      <c r="A26" s="31" t="s">
        <v>12</v>
      </c>
      <c r="B26" s="31">
        <f t="shared" si="0"/>
        <v>24</v>
      </c>
      <c r="C26" s="32">
        <v>12</v>
      </c>
      <c r="D26" s="30">
        <v>2022</v>
      </c>
      <c r="E26" s="33">
        <f>'Hotel Data'!E28</f>
        <v>725</v>
      </c>
      <c r="F26" s="33">
        <f>'Hotel Data'!G28</f>
        <v>3</v>
      </c>
      <c r="G26" s="33">
        <f>'Hotel Data'!O28</f>
        <v>5</v>
      </c>
      <c r="H26" s="33">
        <f>'Hotel Data'!Q28</f>
        <v>16</v>
      </c>
      <c r="I26" s="33">
        <f>'Hotel Data'!S28</f>
        <v>0</v>
      </c>
      <c r="J26" s="33">
        <f>'Hotel Data'!U28</f>
        <v>39</v>
      </c>
      <c r="K26" s="33">
        <f>'Hotel Data'!AD28</f>
        <v>254</v>
      </c>
      <c r="L26" s="33">
        <f>'Hotel Data'!AG28</f>
        <v>1195</v>
      </c>
      <c r="M26" s="33">
        <f>'Hotel Data'!AJ28</f>
        <v>176</v>
      </c>
      <c r="N26" s="33">
        <f>'Hotel Data'!AN28</f>
        <v>551</v>
      </c>
      <c r="O26" s="33">
        <f>'Hotel Data'!AR28</f>
        <v>216</v>
      </c>
      <c r="P26" s="31">
        <f>TOTAL!K25</f>
        <v>55</v>
      </c>
    </row>
    <row r="27" spans="1:16" s="31" customFormat="1">
      <c r="A27" s="31" t="s">
        <v>12</v>
      </c>
      <c r="B27" s="31">
        <f>B26+1</f>
        <v>25</v>
      </c>
      <c r="C27" s="32">
        <v>12</v>
      </c>
      <c r="D27" s="30">
        <v>2022</v>
      </c>
      <c r="E27" s="33">
        <f>'Hotel Data'!E29</f>
        <v>712</v>
      </c>
      <c r="F27" s="33">
        <f>'Hotel Data'!G29</f>
        <v>0</v>
      </c>
      <c r="G27" s="33">
        <f>'Hotel Data'!O29</f>
        <v>6</v>
      </c>
      <c r="H27" s="33">
        <f>'Hotel Data'!Q29</f>
        <v>15</v>
      </c>
      <c r="I27" s="33">
        <f>'Hotel Data'!S29</f>
        <v>0</v>
      </c>
      <c r="J27" s="33">
        <f>'Hotel Data'!U29</f>
        <v>38</v>
      </c>
      <c r="K27" s="33">
        <f>'Hotel Data'!AD29</f>
        <v>223</v>
      </c>
      <c r="L27" s="33">
        <f>'Hotel Data'!AG29</f>
        <v>1186</v>
      </c>
      <c r="M27" s="33">
        <f>'Hotel Data'!AJ29</f>
        <v>160</v>
      </c>
      <c r="N27" s="33">
        <f>'Hotel Data'!AN29</f>
        <v>587</v>
      </c>
      <c r="O27" s="33">
        <f>'Hotel Data'!AR29</f>
        <v>192</v>
      </c>
      <c r="P27" s="31">
        <f>TOTAL!K26</f>
        <v>45</v>
      </c>
    </row>
    <row r="28" spans="1:16" s="31" customFormat="1">
      <c r="A28" s="31" t="s">
        <v>12</v>
      </c>
      <c r="B28" s="31">
        <f t="shared" si="0"/>
        <v>26</v>
      </c>
      <c r="C28" s="32">
        <v>12</v>
      </c>
      <c r="D28" s="30">
        <v>2022</v>
      </c>
      <c r="E28" s="33">
        <f>'Hotel Data'!E30</f>
        <v>712</v>
      </c>
      <c r="F28" s="33">
        <f>'Hotel Data'!G30</f>
        <v>0</v>
      </c>
      <c r="G28" s="33">
        <f>'Hotel Data'!O30</f>
        <v>6</v>
      </c>
      <c r="H28" s="33">
        <f>'Hotel Data'!Q30</f>
        <v>16</v>
      </c>
      <c r="I28" s="33">
        <f>'Hotel Data'!S30</f>
        <v>0</v>
      </c>
      <c r="J28" s="33">
        <f>'Hotel Data'!U30</f>
        <v>42</v>
      </c>
      <c r="K28" s="33">
        <f>'Hotel Data'!AD30</f>
        <v>222</v>
      </c>
      <c r="L28" s="33">
        <f>'Hotel Data'!AG30</f>
        <v>1108</v>
      </c>
      <c r="M28" s="33">
        <f>'Hotel Data'!AJ30</f>
        <v>160</v>
      </c>
      <c r="N28" s="33">
        <f>'Hotel Data'!AN30</f>
        <v>563</v>
      </c>
      <c r="O28" s="33">
        <f>'Hotel Data'!AR30</f>
        <v>192</v>
      </c>
      <c r="P28" s="31">
        <f>TOTAL!K27</f>
        <v>55</v>
      </c>
    </row>
    <row r="29" spans="1:16" s="31" customFormat="1">
      <c r="A29" s="31" t="s">
        <v>12</v>
      </c>
      <c r="B29" s="31">
        <f t="shared" si="0"/>
        <v>27</v>
      </c>
      <c r="C29" s="32">
        <v>12</v>
      </c>
      <c r="D29" s="30">
        <v>2022</v>
      </c>
      <c r="E29" s="33">
        <f>'Hotel Data'!E31</f>
        <v>744</v>
      </c>
      <c r="F29" s="33">
        <f>'Hotel Data'!G31</f>
        <v>0</v>
      </c>
      <c r="G29" s="33">
        <f>'Hotel Data'!O31</f>
        <v>5</v>
      </c>
      <c r="H29" s="33">
        <f>'Hotel Data'!Q31</f>
        <v>13</v>
      </c>
      <c r="I29" s="33">
        <f>'Hotel Data'!S31</f>
        <v>0</v>
      </c>
      <c r="J29" s="33">
        <f>'Hotel Data'!U31</f>
        <v>36</v>
      </c>
      <c r="K29" s="33">
        <f>'Hotel Data'!AD31</f>
        <v>248</v>
      </c>
      <c r="L29" s="33">
        <f>'Hotel Data'!AG31</f>
        <v>1171</v>
      </c>
      <c r="M29" s="33">
        <f>'Hotel Data'!AJ31</f>
        <v>136</v>
      </c>
      <c r="N29" s="33">
        <f>'Hotel Data'!AN31</f>
        <v>514</v>
      </c>
      <c r="O29" s="33">
        <f>'Hotel Data'!AR31</f>
        <v>264</v>
      </c>
      <c r="P29" s="31">
        <f>TOTAL!K28</f>
        <v>58</v>
      </c>
    </row>
    <row r="30" spans="1:16" s="31" customFormat="1">
      <c r="A30" s="31" t="s">
        <v>12</v>
      </c>
      <c r="B30" s="31">
        <f t="shared" si="0"/>
        <v>28</v>
      </c>
      <c r="C30" s="32">
        <v>12</v>
      </c>
      <c r="D30" s="30">
        <v>2022</v>
      </c>
      <c r="E30" s="33">
        <f>'Hotel Data'!E32</f>
        <v>744</v>
      </c>
      <c r="F30" s="33">
        <f>'Hotel Data'!G32</f>
        <v>2</v>
      </c>
      <c r="G30" s="33">
        <f>'Hotel Data'!O32</f>
        <v>4</v>
      </c>
      <c r="H30" s="33">
        <f>'Hotel Data'!Q32</f>
        <v>15</v>
      </c>
      <c r="I30" s="33">
        <f>'Hotel Data'!S32</f>
        <v>0</v>
      </c>
      <c r="J30" s="33">
        <f>'Hotel Data'!U32</f>
        <v>40</v>
      </c>
      <c r="K30" s="33">
        <f>'Hotel Data'!AD32</f>
        <v>221</v>
      </c>
      <c r="L30" s="33">
        <f>'Hotel Data'!AG32</f>
        <v>1173</v>
      </c>
      <c r="M30" s="33">
        <f>'Hotel Data'!AJ32</f>
        <v>168</v>
      </c>
      <c r="N30" s="33">
        <f>'Hotel Data'!AN32</f>
        <v>538</v>
      </c>
      <c r="O30" s="33">
        <f>'Hotel Data'!AR32</f>
        <v>280</v>
      </c>
      <c r="P30" s="31">
        <f>TOTAL!K29</f>
        <v>68</v>
      </c>
    </row>
    <row r="31" spans="1:16" s="31" customFormat="1">
      <c r="A31" s="31" t="s">
        <v>12</v>
      </c>
      <c r="B31" s="31">
        <f t="shared" si="0"/>
        <v>29</v>
      </c>
      <c r="C31" s="32">
        <v>12</v>
      </c>
      <c r="D31" s="30">
        <v>2022</v>
      </c>
      <c r="E31" s="33">
        <f>'Hotel Data'!E33</f>
        <v>776</v>
      </c>
      <c r="F31" s="33">
        <f>'Hotel Data'!G33</f>
        <v>0</v>
      </c>
      <c r="G31" s="33">
        <f>'Hotel Data'!O33</f>
        <v>2</v>
      </c>
      <c r="H31" s="33">
        <f>'Hotel Data'!Q33</f>
        <v>16</v>
      </c>
      <c r="I31" s="33">
        <f>'Hotel Data'!S33</f>
        <v>0</v>
      </c>
      <c r="J31" s="33">
        <f>'Hotel Data'!U33</f>
        <v>44</v>
      </c>
      <c r="K31" s="33">
        <f>'Hotel Data'!AD33</f>
        <v>241</v>
      </c>
      <c r="L31" s="33">
        <f>'Hotel Data'!AG33</f>
        <v>1052</v>
      </c>
      <c r="M31" s="33">
        <f>'Hotel Data'!AJ33</f>
        <v>152</v>
      </c>
      <c r="N31" s="33">
        <f>'Hotel Data'!AN33</f>
        <v>536</v>
      </c>
      <c r="O31" s="33">
        <f>'Hotel Data'!AR33</f>
        <v>304</v>
      </c>
      <c r="P31" s="31">
        <f>TOTAL!K30</f>
        <v>68</v>
      </c>
    </row>
    <row r="32" spans="1:16" s="30" customFormat="1">
      <c r="A32" s="30" t="s">
        <v>12</v>
      </c>
      <c r="B32" s="30">
        <f t="shared" si="0"/>
        <v>30</v>
      </c>
      <c r="C32" s="32">
        <v>12</v>
      </c>
      <c r="D32" s="30">
        <v>2022</v>
      </c>
      <c r="E32" s="33">
        <f>'Hotel Data'!E34</f>
        <v>794</v>
      </c>
      <c r="F32" s="33">
        <f>'Hotel Data'!G34</f>
        <v>0</v>
      </c>
      <c r="G32" s="33">
        <f>'Hotel Data'!O34</f>
        <v>1</v>
      </c>
      <c r="H32" s="33">
        <f>'Hotel Data'!Q34</f>
        <v>15</v>
      </c>
      <c r="I32" s="33">
        <f>'Hotel Data'!S34</f>
        <v>0</v>
      </c>
      <c r="J32" s="33">
        <f>'Hotel Data'!U34</f>
        <v>39</v>
      </c>
      <c r="K32" s="33">
        <f>'Hotel Data'!AD34</f>
        <v>230</v>
      </c>
      <c r="L32" s="33">
        <f>'Hotel Data'!AG34</f>
        <v>1070</v>
      </c>
      <c r="M32" s="33">
        <f>'Hotel Data'!AJ34</f>
        <v>144</v>
      </c>
      <c r="N32" s="33">
        <f>'Hotel Data'!AN34</f>
        <v>548</v>
      </c>
      <c r="O32" s="33">
        <f>'Hotel Data'!AR34</f>
        <v>256</v>
      </c>
      <c r="P32" s="31">
        <f>TOTAL!K31</f>
        <v>57</v>
      </c>
    </row>
    <row r="33" spans="1:16" s="30" customFormat="1">
      <c r="A33" s="30" t="s">
        <v>12</v>
      </c>
      <c r="B33" s="30">
        <f t="shared" si="0"/>
        <v>31</v>
      </c>
      <c r="C33" s="32">
        <v>12</v>
      </c>
      <c r="D33" s="30">
        <v>2022</v>
      </c>
      <c r="E33" s="33">
        <f>'Hotel Data'!E35</f>
        <v>789</v>
      </c>
      <c r="F33" s="33">
        <f>'Hotel Data'!G35</f>
        <v>1</v>
      </c>
      <c r="G33" s="33">
        <f>'Hotel Data'!O35</f>
        <v>1</v>
      </c>
      <c r="H33" s="33">
        <f>'Hotel Data'!Q35</f>
        <v>20</v>
      </c>
      <c r="I33" s="33">
        <f>'Hotel Data'!S35</f>
        <v>0</v>
      </c>
      <c r="J33" s="33">
        <f>'Hotel Data'!U35</f>
        <v>52</v>
      </c>
      <c r="K33" s="33">
        <f>'Hotel Data'!AD35</f>
        <v>241</v>
      </c>
      <c r="L33" s="33">
        <f>'Hotel Data'!AG35</f>
        <v>1144</v>
      </c>
      <c r="M33" s="33">
        <f>'Hotel Data'!AJ35</f>
        <v>160</v>
      </c>
      <c r="N33" s="33">
        <f>'Hotel Data'!AN35</f>
        <v>627</v>
      </c>
      <c r="O33" s="33">
        <f>'Hotel Data'!AR35</f>
        <v>288</v>
      </c>
      <c r="P33" s="31">
        <f>TOTAL!K32</f>
        <v>63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44"/>
  <sheetViews>
    <sheetView topLeftCell="AE1" zoomScale="85" zoomScaleNormal="85" workbookViewId="0">
      <selection activeCell="L38" sqref="L38"/>
    </sheetView>
  </sheetViews>
  <sheetFormatPr defaultColWidth="8.5703125" defaultRowHeight="15"/>
  <cols>
    <col min="1" max="1" width="6" style="40" customWidth="1"/>
    <col min="2" max="2" width="8.140625" style="1" customWidth="1"/>
    <col min="3" max="3" width="14.85546875" style="1" customWidth="1"/>
    <col min="4" max="4" width="13.5703125" style="1" customWidth="1"/>
    <col min="5" max="5" width="10.7109375" style="1" customWidth="1"/>
    <col min="6" max="6" width="12.28515625" style="1" customWidth="1"/>
    <col min="7" max="7" width="12.28515625" style="1" bestFit="1" customWidth="1"/>
    <col min="8" max="8" width="11.7109375" style="1" customWidth="1"/>
    <col min="9" max="11" width="12.7109375" style="1" customWidth="1"/>
    <col min="12" max="13" width="8.85546875" style="1" customWidth="1"/>
    <col min="14" max="14" width="14.85546875" style="1" customWidth="1"/>
    <col min="15" max="15" width="9.140625" style="1" customWidth="1"/>
    <col min="16" max="16" width="15.7109375" style="1" customWidth="1"/>
    <col min="17" max="17" width="9" style="1" customWidth="1"/>
    <col min="18" max="18" width="15.7109375" style="1" customWidth="1"/>
    <col min="19" max="19" width="9.5703125" style="1" customWidth="1"/>
    <col min="20" max="20" width="13.5703125" style="1" customWidth="1"/>
    <col min="21" max="21" width="7.5703125" style="1" customWidth="1"/>
    <col min="22" max="22" width="17" style="1" customWidth="1"/>
    <col min="23" max="23" width="15.140625" style="1" bestFit="1" customWidth="1"/>
    <col min="24" max="24" width="14.42578125" style="1" customWidth="1"/>
    <col min="25" max="25" width="12.7109375" style="21" customWidth="1"/>
    <col min="26" max="26" width="16.42578125" style="1" customWidth="1"/>
    <col min="27" max="27" width="11.5703125" style="1" customWidth="1"/>
    <col min="28" max="28" width="16.5703125" style="40" customWidth="1"/>
    <col min="29" max="29" width="12.140625" style="1" customWidth="1"/>
    <col min="30" max="30" width="17.7109375" style="1" bestFit="1" customWidth="1"/>
    <col min="31" max="31" width="17.85546875" style="1" customWidth="1"/>
    <col min="32" max="32" width="12.28515625" style="1" bestFit="1" customWidth="1"/>
    <col min="33" max="33" width="12.28515625" style="1" customWidth="1"/>
    <col min="34" max="34" width="17.85546875" style="1" bestFit="1" customWidth="1"/>
    <col min="35" max="35" width="17.85546875" style="1" customWidth="1"/>
    <col min="36" max="36" width="12.28515625" style="1" customWidth="1"/>
    <col min="37" max="37" width="10" style="1" customWidth="1"/>
    <col min="38" max="38" width="15" style="1" customWidth="1"/>
    <col min="39" max="39" width="12.5703125" style="1" customWidth="1"/>
    <col min="40" max="40" width="11" style="1" customWidth="1"/>
    <col min="41" max="41" width="9.140625" style="1" customWidth="1"/>
    <col min="42" max="42" width="13.42578125" style="1" customWidth="1"/>
    <col min="43" max="43" width="13.28515625" style="1" customWidth="1"/>
    <col min="44" max="44" width="10.28515625" style="1" customWidth="1"/>
    <col min="45" max="45" width="11.140625" style="1" customWidth="1"/>
    <col min="46" max="46" width="10.28515625" style="1" customWidth="1"/>
    <col min="47" max="47" width="11.5703125" style="1" customWidth="1"/>
    <col min="48" max="48" width="13.140625" style="1" customWidth="1"/>
    <col min="49" max="49" width="12.28515625" style="1" customWidth="1"/>
    <col min="50" max="50" width="7.28515625" style="1" customWidth="1"/>
    <col min="51" max="51" width="7.5703125" style="1" customWidth="1"/>
    <col min="52" max="55" width="11.42578125" style="1" customWidth="1"/>
    <col min="56" max="56" width="17.28515625" style="1" bestFit="1" customWidth="1"/>
    <col min="57" max="57" width="17.28515625" style="1" customWidth="1"/>
    <col min="58" max="59" width="12.7109375" style="1" customWidth="1"/>
    <col min="60" max="61" width="11.42578125" style="1" customWidth="1"/>
    <col min="62" max="16384" width="8.5703125" style="1"/>
  </cols>
  <sheetData>
    <row r="1" spans="1:61" ht="12" customHeight="1">
      <c r="A1" s="102"/>
      <c r="B1" s="103"/>
      <c r="C1" s="104"/>
      <c r="D1" s="108" t="s">
        <v>24</v>
      </c>
      <c r="E1" s="109"/>
      <c r="F1" s="108" t="s">
        <v>25</v>
      </c>
      <c r="G1" s="109"/>
      <c r="H1" s="112" t="s">
        <v>26</v>
      </c>
      <c r="I1" s="113"/>
      <c r="J1" s="113"/>
      <c r="K1" s="113"/>
      <c r="L1" s="113"/>
      <c r="M1" s="114"/>
      <c r="N1" s="118" t="s">
        <v>27</v>
      </c>
      <c r="O1" s="109"/>
      <c r="P1" s="120" t="s">
        <v>28</v>
      </c>
      <c r="Q1" s="121"/>
      <c r="R1" s="120" t="s">
        <v>29</v>
      </c>
      <c r="S1" s="121"/>
      <c r="T1" s="120" t="s">
        <v>30</v>
      </c>
      <c r="U1" s="121"/>
      <c r="V1" s="108" t="s">
        <v>31</v>
      </c>
      <c r="W1" s="124"/>
      <c r="X1" s="109"/>
      <c r="Y1" s="108" t="s">
        <v>32</v>
      </c>
      <c r="Z1" s="124"/>
      <c r="AA1" s="109"/>
      <c r="AB1" s="108" t="s">
        <v>33</v>
      </c>
      <c r="AC1" s="124"/>
      <c r="AD1" s="109"/>
      <c r="AE1" s="108" t="s">
        <v>34</v>
      </c>
      <c r="AF1" s="124"/>
      <c r="AG1" s="109"/>
      <c r="AH1" s="108" t="s">
        <v>35</v>
      </c>
      <c r="AI1" s="124"/>
      <c r="AJ1" s="124"/>
      <c r="AK1" s="109"/>
      <c r="AL1" s="108" t="s">
        <v>36</v>
      </c>
      <c r="AM1" s="124"/>
      <c r="AN1" s="124"/>
      <c r="AO1" s="109"/>
      <c r="AP1" s="108" t="s">
        <v>37</v>
      </c>
      <c r="AQ1" s="124"/>
      <c r="AR1" s="109"/>
      <c r="AS1" s="108" t="s">
        <v>38</v>
      </c>
      <c r="AT1" s="109"/>
      <c r="AU1" s="126" t="s">
        <v>39</v>
      </c>
      <c r="AV1" s="128" t="s">
        <v>40</v>
      </c>
      <c r="AW1" s="130" t="s">
        <v>41</v>
      </c>
      <c r="AX1" s="41"/>
      <c r="AY1" s="37"/>
      <c r="AZ1" s="97" t="s">
        <v>42</v>
      </c>
      <c r="BA1" s="97" t="s">
        <v>43</v>
      </c>
      <c r="BB1" s="97" t="s">
        <v>44</v>
      </c>
      <c r="BC1" s="97" t="s">
        <v>45</v>
      </c>
      <c r="BD1" s="97" t="s">
        <v>46</v>
      </c>
      <c r="BE1" s="97" t="s">
        <v>47</v>
      </c>
      <c r="BF1" s="97" t="s">
        <v>48</v>
      </c>
      <c r="BG1" s="97" t="s">
        <v>35</v>
      </c>
      <c r="BH1" s="97" t="s">
        <v>49</v>
      </c>
      <c r="BI1" s="97" t="s">
        <v>50</v>
      </c>
    </row>
    <row r="2" spans="1:61" ht="15.75" thickBot="1">
      <c r="A2" s="105"/>
      <c r="B2" s="106"/>
      <c r="C2" s="107"/>
      <c r="D2" s="110"/>
      <c r="E2" s="111"/>
      <c r="F2" s="110"/>
      <c r="G2" s="111"/>
      <c r="H2" s="115"/>
      <c r="I2" s="116"/>
      <c r="J2" s="116"/>
      <c r="K2" s="116"/>
      <c r="L2" s="116"/>
      <c r="M2" s="117"/>
      <c r="N2" s="119"/>
      <c r="O2" s="111"/>
      <c r="P2" s="122"/>
      <c r="Q2" s="123"/>
      <c r="R2" s="122"/>
      <c r="S2" s="123"/>
      <c r="T2" s="122"/>
      <c r="U2" s="123"/>
      <c r="V2" s="110"/>
      <c r="W2" s="125"/>
      <c r="X2" s="111"/>
      <c r="Y2" s="110"/>
      <c r="Z2" s="125"/>
      <c r="AA2" s="111"/>
      <c r="AB2" s="110"/>
      <c r="AC2" s="125"/>
      <c r="AD2" s="111"/>
      <c r="AE2" s="110"/>
      <c r="AF2" s="125"/>
      <c r="AG2" s="111"/>
      <c r="AH2" s="110"/>
      <c r="AI2" s="125"/>
      <c r="AJ2" s="125"/>
      <c r="AK2" s="111"/>
      <c r="AL2" s="110"/>
      <c r="AM2" s="125"/>
      <c r="AN2" s="125"/>
      <c r="AO2" s="111"/>
      <c r="AP2" s="110"/>
      <c r="AQ2" s="125"/>
      <c r="AR2" s="111"/>
      <c r="AS2" s="110"/>
      <c r="AT2" s="111"/>
      <c r="AU2" s="127"/>
      <c r="AV2" s="129"/>
      <c r="AW2" s="131"/>
      <c r="AX2" s="41"/>
      <c r="AY2" s="39"/>
      <c r="AZ2" s="98"/>
      <c r="BA2" s="98"/>
      <c r="BB2" s="98"/>
      <c r="BC2" s="98"/>
      <c r="BD2" s="98"/>
      <c r="BE2" s="98"/>
      <c r="BF2" s="98"/>
      <c r="BG2" s="98"/>
      <c r="BH2" s="98"/>
      <c r="BI2" s="98"/>
    </row>
    <row r="3" spans="1:61" ht="16.5" thickBot="1">
      <c r="A3" s="42" t="s">
        <v>51</v>
      </c>
      <c r="B3" s="42" t="s">
        <v>52</v>
      </c>
      <c r="C3" s="42" t="s">
        <v>53</v>
      </c>
      <c r="D3" s="43" t="s">
        <v>54</v>
      </c>
      <c r="E3" s="43" t="s">
        <v>55</v>
      </c>
      <c r="F3" s="43" t="s">
        <v>54</v>
      </c>
      <c r="G3" s="43" t="s">
        <v>55</v>
      </c>
      <c r="H3" s="3" t="s">
        <v>54</v>
      </c>
      <c r="I3" s="3" t="s">
        <v>55</v>
      </c>
      <c r="J3" s="4" t="s">
        <v>56</v>
      </c>
      <c r="K3" s="5" t="s">
        <v>55</v>
      </c>
      <c r="L3" s="3" t="s">
        <v>57</v>
      </c>
      <c r="M3" s="3" t="s">
        <v>58</v>
      </c>
      <c r="N3" s="43" t="s">
        <v>54</v>
      </c>
      <c r="O3" s="43" t="s">
        <v>55</v>
      </c>
      <c r="P3" s="43" t="s">
        <v>54</v>
      </c>
      <c r="Q3" s="43" t="s">
        <v>55</v>
      </c>
      <c r="R3" s="43" t="s">
        <v>54</v>
      </c>
      <c r="S3" s="43" t="s">
        <v>55</v>
      </c>
      <c r="T3" s="43" t="s">
        <v>54</v>
      </c>
      <c r="U3" s="43" t="s">
        <v>55</v>
      </c>
      <c r="V3" s="43" t="s">
        <v>59</v>
      </c>
      <c r="W3" s="43" t="s">
        <v>55</v>
      </c>
      <c r="X3" s="43" t="s">
        <v>60</v>
      </c>
      <c r="Y3" s="43" t="s">
        <v>61</v>
      </c>
      <c r="Z3" s="43" t="s">
        <v>55</v>
      </c>
      <c r="AA3" s="43"/>
      <c r="AB3" s="43" t="s">
        <v>62</v>
      </c>
      <c r="AC3" s="43" t="s">
        <v>55</v>
      </c>
      <c r="AD3" s="43" t="s">
        <v>60</v>
      </c>
      <c r="AE3" s="43" t="s">
        <v>62</v>
      </c>
      <c r="AF3" s="43" t="s">
        <v>55</v>
      </c>
      <c r="AG3" s="43" t="s">
        <v>60</v>
      </c>
      <c r="AH3" s="43" t="s">
        <v>63</v>
      </c>
      <c r="AI3" s="43" t="s">
        <v>55</v>
      </c>
      <c r="AJ3" s="43" t="s">
        <v>60</v>
      </c>
      <c r="AK3" s="43" t="s">
        <v>64</v>
      </c>
      <c r="AL3" s="43" t="s">
        <v>62</v>
      </c>
      <c r="AM3" s="43" t="s">
        <v>55</v>
      </c>
      <c r="AN3" s="43" t="s">
        <v>60</v>
      </c>
      <c r="AO3" s="43" t="s">
        <v>64</v>
      </c>
      <c r="AP3" s="43" t="s">
        <v>63</v>
      </c>
      <c r="AQ3" s="43" t="s">
        <v>55</v>
      </c>
      <c r="AR3" s="43" t="s">
        <v>60</v>
      </c>
      <c r="AS3" s="42" t="s">
        <v>65</v>
      </c>
      <c r="AT3" s="42" t="s">
        <v>66</v>
      </c>
      <c r="AU3" s="100" t="s">
        <v>67</v>
      </c>
      <c r="AV3" s="101"/>
      <c r="AW3" s="44"/>
      <c r="AX3" s="41"/>
      <c r="AY3" s="38"/>
      <c r="AZ3" s="99"/>
      <c r="BA3" s="99"/>
      <c r="BB3" s="99"/>
      <c r="BC3" s="99"/>
      <c r="BD3" s="99"/>
      <c r="BE3" s="99"/>
      <c r="BF3" s="99"/>
      <c r="BG3" s="99"/>
      <c r="BH3" s="99"/>
      <c r="BI3" s="99"/>
    </row>
    <row r="4" spans="1:61" ht="15.75">
      <c r="A4" s="80"/>
      <c r="B4" s="66"/>
      <c r="C4" s="10"/>
      <c r="D4" s="96">
        <v>369176</v>
      </c>
      <c r="E4" s="8"/>
      <c r="F4" s="6">
        <v>7099</v>
      </c>
      <c r="G4" s="8"/>
      <c r="H4" s="6">
        <v>114715</v>
      </c>
      <c r="I4" s="8"/>
      <c r="J4" s="45">
        <v>628598</v>
      </c>
      <c r="K4" s="8"/>
      <c r="L4" s="7"/>
      <c r="M4" s="7"/>
      <c r="N4" s="6">
        <v>15083</v>
      </c>
      <c r="O4" s="8"/>
      <c r="P4" s="6">
        <v>100407</v>
      </c>
      <c r="Q4" s="67"/>
      <c r="R4" s="6">
        <v>44</v>
      </c>
      <c r="S4" s="67"/>
      <c r="T4" s="6">
        <v>207141</v>
      </c>
      <c r="U4" s="67"/>
      <c r="V4" s="6">
        <v>5808.74</v>
      </c>
      <c r="W4" s="8"/>
      <c r="X4" s="45"/>
      <c r="Y4" s="6">
        <v>1101.143</v>
      </c>
      <c r="Z4" s="8"/>
      <c r="AA4" s="45"/>
      <c r="AB4" s="6">
        <v>1783697.8</v>
      </c>
      <c r="AC4" s="9"/>
      <c r="AD4" s="45"/>
      <c r="AE4" s="6">
        <v>5300045</v>
      </c>
      <c r="AF4" s="9"/>
      <c r="AG4" s="45"/>
      <c r="AH4" s="6">
        <v>34337.699999999997</v>
      </c>
      <c r="AI4" s="8"/>
      <c r="AJ4" s="45"/>
      <c r="AK4" s="7"/>
      <c r="AL4" s="6">
        <v>262109.3</v>
      </c>
      <c r="AM4" s="8"/>
      <c r="AN4" s="45"/>
      <c r="AO4" s="7"/>
      <c r="AP4" s="6">
        <v>47121.7</v>
      </c>
      <c r="AQ4" s="8"/>
      <c r="AR4" s="45"/>
      <c r="AS4" s="14"/>
      <c r="AT4" s="14"/>
      <c r="AU4" s="14"/>
      <c r="AV4" s="55">
        <v>0</v>
      </c>
      <c r="AW4" s="68"/>
      <c r="AX4" s="6">
        <v>613</v>
      </c>
      <c r="AY4" s="67"/>
      <c r="AZ4" s="81">
        <v>25000</v>
      </c>
      <c r="BA4" s="81">
        <v>150</v>
      </c>
      <c r="BB4" s="81">
        <v>4250</v>
      </c>
      <c r="BC4" s="81">
        <v>75</v>
      </c>
      <c r="BD4" s="81">
        <v>390000</v>
      </c>
      <c r="BE4" s="81">
        <v>390000</v>
      </c>
      <c r="BF4" s="82">
        <v>41488</v>
      </c>
      <c r="BG4" s="83">
        <v>6944</v>
      </c>
      <c r="BH4" s="83">
        <v>20303</v>
      </c>
      <c r="BI4" s="83">
        <v>10008</v>
      </c>
    </row>
    <row r="5" spans="1:61" ht="15.75">
      <c r="A5" s="53">
        <v>1</v>
      </c>
      <c r="B5" s="54" t="s">
        <v>68</v>
      </c>
      <c r="C5" s="10" t="s">
        <v>69</v>
      </c>
      <c r="D5" s="6">
        <v>370086</v>
      </c>
      <c r="E5" s="8">
        <v>910</v>
      </c>
      <c r="F5" s="6">
        <v>7102</v>
      </c>
      <c r="G5" s="8">
        <v>3</v>
      </c>
      <c r="H5" s="14">
        <v>114877</v>
      </c>
      <c r="I5" s="8">
        <v>162</v>
      </c>
      <c r="J5" s="85">
        <v>628753</v>
      </c>
      <c r="K5" s="8">
        <v>155</v>
      </c>
      <c r="L5" s="7"/>
      <c r="M5" s="11" t="e">
        <v>#DIV/0!</v>
      </c>
      <c r="N5" s="6">
        <v>15088</v>
      </c>
      <c r="O5" s="8">
        <v>5</v>
      </c>
      <c r="P5" s="12">
        <v>100421</v>
      </c>
      <c r="Q5" s="9">
        <v>14</v>
      </c>
      <c r="R5" s="12">
        <v>44</v>
      </c>
      <c r="S5" s="9">
        <v>0</v>
      </c>
      <c r="T5" s="12">
        <v>207178</v>
      </c>
      <c r="U5" s="9">
        <v>37</v>
      </c>
      <c r="V5" s="13"/>
      <c r="W5" s="8">
        <v>0</v>
      </c>
      <c r="X5" s="45">
        <v>11726</v>
      </c>
      <c r="Y5" s="55"/>
      <c r="Z5" s="8">
        <v>0</v>
      </c>
      <c r="AA5" s="45">
        <v>1957</v>
      </c>
      <c r="AB5" s="6"/>
      <c r="AC5" s="9">
        <v>0</v>
      </c>
      <c r="AD5" s="45">
        <v>239</v>
      </c>
      <c r="AE5" s="6"/>
      <c r="AF5" s="9">
        <v>0</v>
      </c>
      <c r="AG5" s="45">
        <v>1286</v>
      </c>
      <c r="AH5" s="6"/>
      <c r="AI5" s="8">
        <v>0</v>
      </c>
      <c r="AJ5" s="45">
        <v>280</v>
      </c>
      <c r="AK5" s="7"/>
      <c r="AL5" s="6"/>
      <c r="AM5" s="8">
        <v>0</v>
      </c>
      <c r="AN5" s="45">
        <v>628</v>
      </c>
      <c r="AO5" s="7"/>
      <c r="AP5" s="6"/>
      <c r="AQ5" s="8">
        <v>0</v>
      </c>
      <c r="AR5" s="45">
        <v>264</v>
      </c>
      <c r="AS5" s="14">
        <v>2</v>
      </c>
      <c r="AT5" s="86">
        <v>8</v>
      </c>
      <c r="AU5" s="87"/>
      <c r="AV5" s="88"/>
      <c r="AW5" s="89">
        <v>121.884</v>
      </c>
      <c r="AX5" s="12">
        <v>614</v>
      </c>
      <c r="AY5" s="9">
        <v>1</v>
      </c>
      <c r="AZ5" s="90">
        <v>28210</v>
      </c>
      <c r="BA5" s="90">
        <v>93</v>
      </c>
      <c r="BB5" s="90"/>
      <c r="BC5" s="90"/>
      <c r="BD5" s="91"/>
      <c r="BE5" s="90"/>
      <c r="BF5" s="90"/>
      <c r="BG5" s="91"/>
      <c r="BH5" s="91"/>
      <c r="BI5" s="91"/>
    </row>
    <row r="6" spans="1:61" ht="15.75">
      <c r="A6" s="53">
        <v>2</v>
      </c>
      <c r="B6" s="54" t="s">
        <v>68</v>
      </c>
      <c r="C6" s="10"/>
      <c r="D6" s="6">
        <v>371123</v>
      </c>
      <c r="E6" s="8">
        <v>1037</v>
      </c>
      <c r="F6" s="6">
        <v>7104</v>
      </c>
      <c r="G6" s="8">
        <v>2</v>
      </c>
      <c r="H6" s="14">
        <v>115047</v>
      </c>
      <c r="I6" s="8">
        <v>170</v>
      </c>
      <c r="J6" s="85">
        <v>628916</v>
      </c>
      <c r="K6" s="8">
        <v>163</v>
      </c>
      <c r="L6" s="7"/>
      <c r="M6" s="11" t="e">
        <v>#DIV/0!</v>
      </c>
      <c r="N6" s="6">
        <v>15093</v>
      </c>
      <c r="O6" s="8">
        <v>5</v>
      </c>
      <c r="P6" s="12">
        <v>100437</v>
      </c>
      <c r="Q6" s="9">
        <v>16</v>
      </c>
      <c r="R6" s="12">
        <v>44</v>
      </c>
      <c r="S6" s="9">
        <v>0</v>
      </c>
      <c r="T6" s="12">
        <v>207221</v>
      </c>
      <c r="U6" s="9">
        <v>43</v>
      </c>
      <c r="V6" s="13"/>
      <c r="W6" s="8">
        <v>0</v>
      </c>
      <c r="X6" s="45">
        <v>11021</v>
      </c>
      <c r="Y6" s="55"/>
      <c r="Z6" s="8">
        <v>0</v>
      </c>
      <c r="AA6" s="45">
        <v>1808</v>
      </c>
      <c r="AB6" s="6"/>
      <c r="AC6" s="9">
        <v>0</v>
      </c>
      <c r="AD6" s="45">
        <v>225</v>
      </c>
      <c r="AE6" s="6"/>
      <c r="AF6" s="9">
        <v>0</v>
      </c>
      <c r="AG6" s="45">
        <v>1303</v>
      </c>
      <c r="AH6" s="6"/>
      <c r="AI6" s="8">
        <v>0</v>
      </c>
      <c r="AJ6" s="45">
        <v>264</v>
      </c>
      <c r="AK6" s="7"/>
      <c r="AL6" s="6"/>
      <c r="AM6" s="8">
        <v>0</v>
      </c>
      <c r="AN6" s="45">
        <v>563</v>
      </c>
      <c r="AO6" s="7"/>
      <c r="AP6" s="6"/>
      <c r="AQ6" s="8">
        <v>0</v>
      </c>
      <c r="AR6" s="45">
        <v>224</v>
      </c>
      <c r="AS6" s="14">
        <v>4</v>
      </c>
      <c r="AT6" s="86">
        <v>9</v>
      </c>
      <c r="AU6" s="92"/>
      <c r="AV6" s="88"/>
      <c r="AW6" s="89">
        <v>121.884</v>
      </c>
      <c r="AX6" s="12">
        <v>615</v>
      </c>
      <c r="AY6" s="9">
        <v>1</v>
      </c>
      <c r="AZ6" s="90">
        <v>30178.5</v>
      </c>
      <c r="BA6" s="90">
        <v>77.5</v>
      </c>
      <c r="BB6" s="90">
        <v>5146</v>
      </c>
      <c r="BC6" s="90">
        <v>155</v>
      </c>
      <c r="BD6" s="91">
        <v>0</v>
      </c>
      <c r="BE6" s="90">
        <v>339233</v>
      </c>
      <c r="BF6" s="90">
        <v>48019</v>
      </c>
      <c r="BG6" s="91">
        <v>8184</v>
      </c>
      <c r="BH6" s="91">
        <v>17468.5</v>
      </c>
      <c r="BI6" s="91">
        <v>8184</v>
      </c>
    </row>
    <row r="7" spans="1:61" ht="15.75">
      <c r="A7" s="53">
        <v>3</v>
      </c>
      <c r="B7" s="54" t="s">
        <v>68</v>
      </c>
      <c r="C7" s="10"/>
      <c r="D7" s="6">
        <v>372105</v>
      </c>
      <c r="E7" s="8">
        <v>982</v>
      </c>
      <c r="F7" s="6">
        <v>7106</v>
      </c>
      <c r="G7" s="8">
        <v>2</v>
      </c>
      <c r="H7" s="14">
        <v>115233</v>
      </c>
      <c r="I7" s="8">
        <v>186</v>
      </c>
      <c r="J7" s="85">
        <v>629094</v>
      </c>
      <c r="K7" s="8">
        <v>178</v>
      </c>
      <c r="L7" s="7"/>
      <c r="M7" s="11" t="e">
        <v>#DIV/0!</v>
      </c>
      <c r="N7" s="6">
        <v>15098</v>
      </c>
      <c r="O7" s="8">
        <v>5</v>
      </c>
      <c r="P7" s="12">
        <v>100459</v>
      </c>
      <c r="Q7" s="9">
        <v>22</v>
      </c>
      <c r="R7" s="12">
        <v>44</v>
      </c>
      <c r="S7" s="9">
        <v>0</v>
      </c>
      <c r="T7" s="12">
        <v>207268</v>
      </c>
      <c r="U7" s="9">
        <v>47</v>
      </c>
      <c r="V7" s="13"/>
      <c r="W7" s="8">
        <v>0</v>
      </c>
      <c r="X7" s="45">
        <v>10865</v>
      </c>
      <c r="Y7" s="55"/>
      <c r="Z7" s="8">
        <v>0</v>
      </c>
      <c r="AA7" s="45">
        <v>1628</v>
      </c>
      <c r="AB7" s="6"/>
      <c r="AC7" s="9">
        <v>0</v>
      </c>
      <c r="AD7" s="45">
        <v>222</v>
      </c>
      <c r="AE7" s="6"/>
      <c r="AF7" s="9">
        <v>0</v>
      </c>
      <c r="AG7" s="45">
        <v>1348</v>
      </c>
      <c r="AH7" s="6"/>
      <c r="AI7" s="8">
        <v>0</v>
      </c>
      <c r="AJ7" s="45">
        <v>264</v>
      </c>
      <c r="AK7" s="7"/>
      <c r="AL7" s="6"/>
      <c r="AM7" s="8">
        <v>0</v>
      </c>
      <c r="AN7" s="45">
        <v>564</v>
      </c>
      <c r="AO7" s="7"/>
      <c r="AP7" s="6"/>
      <c r="AQ7" s="8">
        <v>0</v>
      </c>
      <c r="AR7" s="45">
        <v>304</v>
      </c>
      <c r="AS7" s="14">
        <v>4</v>
      </c>
      <c r="AT7" s="86">
        <v>8</v>
      </c>
      <c r="AU7" s="87"/>
      <c r="AV7" s="88"/>
      <c r="AW7" s="89">
        <v>121.884</v>
      </c>
      <c r="AX7" s="12">
        <v>615</v>
      </c>
      <c r="AY7" s="9">
        <v>0</v>
      </c>
      <c r="AZ7" s="90">
        <v>30266.333333333336</v>
      </c>
      <c r="BA7" s="90">
        <v>72.333333333333343</v>
      </c>
      <c r="BB7" s="90">
        <v>5352.6666666666661</v>
      </c>
      <c r="BC7" s="90">
        <v>155</v>
      </c>
      <c r="BD7" s="91">
        <v>0</v>
      </c>
      <c r="BE7" s="90">
        <v>336815</v>
      </c>
      <c r="BF7" s="90">
        <v>48670</v>
      </c>
      <c r="BG7" s="91">
        <v>8184</v>
      </c>
      <c r="BH7" s="91">
        <v>17484</v>
      </c>
      <c r="BI7" s="91">
        <v>9424</v>
      </c>
    </row>
    <row r="8" spans="1:61" ht="15.75">
      <c r="A8" s="53">
        <v>4</v>
      </c>
      <c r="B8" s="54" t="s">
        <v>68</v>
      </c>
      <c r="C8" s="10"/>
      <c r="D8" s="6">
        <v>372998</v>
      </c>
      <c r="E8" s="8">
        <v>893</v>
      </c>
      <c r="F8" s="6">
        <v>7106</v>
      </c>
      <c r="G8" s="8">
        <v>0</v>
      </c>
      <c r="H8" s="14">
        <v>115418</v>
      </c>
      <c r="I8" s="8">
        <v>185</v>
      </c>
      <c r="J8" s="85">
        <v>629271</v>
      </c>
      <c r="K8" s="8">
        <v>177</v>
      </c>
      <c r="L8" s="7"/>
      <c r="M8" s="11" t="e">
        <v>#DIV/0!</v>
      </c>
      <c r="N8" s="6">
        <v>15103</v>
      </c>
      <c r="O8" s="8">
        <v>5</v>
      </c>
      <c r="P8" s="12">
        <v>100479</v>
      </c>
      <c r="Q8" s="9">
        <v>20</v>
      </c>
      <c r="R8" s="12">
        <v>44</v>
      </c>
      <c r="S8" s="9">
        <v>0</v>
      </c>
      <c r="T8" s="12">
        <v>207315</v>
      </c>
      <c r="U8" s="9">
        <v>47</v>
      </c>
      <c r="V8" s="13"/>
      <c r="W8" s="8">
        <v>0</v>
      </c>
      <c r="X8" s="45">
        <v>9850</v>
      </c>
      <c r="Y8" s="55"/>
      <c r="Z8" s="8">
        <v>0</v>
      </c>
      <c r="AA8" s="45">
        <v>1362</v>
      </c>
      <c r="AB8" s="6"/>
      <c r="AC8" s="9">
        <v>0</v>
      </c>
      <c r="AD8" s="45">
        <v>236</v>
      </c>
      <c r="AE8" s="6"/>
      <c r="AF8" s="9">
        <v>0</v>
      </c>
      <c r="AG8" s="45">
        <v>1145</v>
      </c>
      <c r="AH8" s="6"/>
      <c r="AI8" s="8">
        <v>0</v>
      </c>
      <c r="AJ8" s="45">
        <v>200</v>
      </c>
      <c r="AK8" s="7"/>
      <c r="AL8" s="6"/>
      <c r="AM8" s="8">
        <v>0</v>
      </c>
      <c r="AN8" s="45">
        <v>536</v>
      </c>
      <c r="AO8" s="7"/>
      <c r="AP8" s="6"/>
      <c r="AQ8" s="8">
        <v>0</v>
      </c>
      <c r="AR8" s="45">
        <v>272</v>
      </c>
      <c r="AS8" s="14">
        <v>8</v>
      </c>
      <c r="AT8" s="86">
        <v>10</v>
      </c>
      <c r="AU8" s="92"/>
      <c r="AV8" s="88"/>
      <c r="AW8" s="89">
        <v>121.884</v>
      </c>
      <c r="AX8" s="12">
        <v>616</v>
      </c>
      <c r="AY8" s="9">
        <v>1</v>
      </c>
      <c r="AZ8" s="90">
        <v>29620.5</v>
      </c>
      <c r="BA8" s="90">
        <v>54.25</v>
      </c>
      <c r="BB8" s="90">
        <v>5448.25</v>
      </c>
      <c r="BC8" s="90">
        <v>155</v>
      </c>
      <c r="BD8" s="91">
        <v>0</v>
      </c>
      <c r="BE8" s="90">
        <v>321082.5</v>
      </c>
      <c r="BF8" s="90">
        <v>45740.5</v>
      </c>
      <c r="BG8" s="91">
        <v>7192</v>
      </c>
      <c r="BH8" s="91">
        <v>17050</v>
      </c>
      <c r="BI8" s="91">
        <v>8928</v>
      </c>
    </row>
    <row r="9" spans="1:61" ht="15.75">
      <c r="A9" s="53">
        <v>5</v>
      </c>
      <c r="B9" s="54" t="s">
        <v>68</v>
      </c>
      <c r="C9" s="10"/>
      <c r="D9" s="6">
        <v>373831</v>
      </c>
      <c r="E9" s="8">
        <v>833</v>
      </c>
      <c r="F9" s="6">
        <v>7109</v>
      </c>
      <c r="G9" s="8">
        <v>3</v>
      </c>
      <c r="H9" s="14">
        <v>115610</v>
      </c>
      <c r="I9" s="8">
        <v>192</v>
      </c>
      <c r="J9" s="85">
        <v>629454</v>
      </c>
      <c r="K9" s="8">
        <v>183</v>
      </c>
      <c r="L9" s="7"/>
      <c r="M9" s="11" t="e">
        <v>#DIV/0!</v>
      </c>
      <c r="N9" s="6">
        <v>15108</v>
      </c>
      <c r="O9" s="8">
        <v>5</v>
      </c>
      <c r="P9" s="12">
        <v>100499</v>
      </c>
      <c r="Q9" s="9">
        <v>20</v>
      </c>
      <c r="R9" s="12">
        <v>44</v>
      </c>
      <c r="S9" s="9">
        <v>0</v>
      </c>
      <c r="T9" s="12">
        <v>207360</v>
      </c>
      <c r="U9" s="9">
        <v>45</v>
      </c>
      <c r="V9" s="13"/>
      <c r="W9" s="8">
        <v>0</v>
      </c>
      <c r="X9" s="45">
        <v>10482</v>
      </c>
      <c r="Y9" s="55"/>
      <c r="Z9" s="8">
        <v>0</v>
      </c>
      <c r="AA9" s="45">
        <v>2271</v>
      </c>
      <c r="AB9" s="6"/>
      <c r="AC9" s="9">
        <v>0</v>
      </c>
      <c r="AD9" s="45">
        <v>223</v>
      </c>
      <c r="AE9" s="6"/>
      <c r="AF9" s="9">
        <v>0</v>
      </c>
      <c r="AG9" s="45">
        <v>1300</v>
      </c>
      <c r="AH9" s="6"/>
      <c r="AI9" s="8">
        <v>0</v>
      </c>
      <c r="AJ9" s="45">
        <v>272</v>
      </c>
      <c r="AK9" s="7"/>
      <c r="AL9" s="6"/>
      <c r="AM9" s="8">
        <v>0</v>
      </c>
      <c r="AN9" s="45">
        <v>569</v>
      </c>
      <c r="AO9" s="7"/>
      <c r="AP9" s="6"/>
      <c r="AQ9" s="8">
        <v>0</v>
      </c>
      <c r="AR9" s="45">
        <v>224</v>
      </c>
      <c r="AS9" s="14">
        <v>4</v>
      </c>
      <c r="AT9" s="86">
        <v>9</v>
      </c>
      <c r="AU9" s="87"/>
      <c r="AV9" s="88"/>
      <c r="AW9" s="89">
        <v>121.884</v>
      </c>
      <c r="AX9" s="12">
        <v>619</v>
      </c>
      <c r="AY9" s="9">
        <v>3</v>
      </c>
      <c r="AZ9" s="90">
        <v>28861</v>
      </c>
      <c r="BA9" s="90">
        <v>62</v>
      </c>
      <c r="BB9" s="90">
        <v>5549</v>
      </c>
      <c r="BC9" s="90">
        <v>155</v>
      </c>
      <c r="BD9" s="91">
        <v>0</v>
      </c>
      <c r="BE9" s="90">
        <v>322369</v>
      </c>
      <c r="BF9" s="90">
        <v>46231.333333333328</v>
      </c>
      <c r="BG9" s="91">
        <v>7605.3333333333339</v>
      </c>
      <c r="BH9" s="91">
        <v>17246.333333333336</v>
      </c>
      <c r="BI9" s="91">
        <v>8266.6666666666679</v>
      </c>
    </row>
    <row r="10" spans="1:61" ht="15.75">
      <c r="A10" s="53">
        <v>6</v>
      </c>
      <c r="B10" s="54" t="s">
        <v>68</v>
      </c>
      <c r="C10" s="10"/>
      <c r="D10" s="6">
        <v>374791</v>
      </c>
      <c r="E10" s="8">
        <v>960</v>
      </c>
      <c r="F10" s="6">
        <v>7109</v>
      </c>
      <c r="G10" s="8">
        <v>0</v>
      </c>
      <c r="H10" s="14">
        <v>115767</v>
      </c>
      <c r="I10" s="8">
        <v>157</v>
      </c>
      <c r="J10" s="85">
        <v>629605</v>
      </c>
      <c r="K10" s="8">
        <v>151</v>
      </c>
      <c r="L10" s="7"/>
      <c r="M10" s="11" t="e">
        <v>#DIV/0!</v>
      </c>
      <c r="N10" s="6">
        <v>15112</v>
      </c>
      <c r="O10" s="8">
        <v>4</v>
      </c>
      <c r="P10" s="12">
        <v>100516</v>
      </c>
      <c r="Q10" s="9">
        <v>17</v>
      </c>
      <c r="R10" s="12">
        <v>44</v>
      </c>
      <c r="S10" s="9">
        <v>0</v>
      </c>
      <c r="T10" s="12">
        <v>207398</v>
      </c>
      <c r="U10" s="9">
        <v>38</v>
      </c>
      <c r="V10" s="13"/>
      <c r="W10" s="8">
        <v>0</v>
      </c>
      <c r="X10" s="45">
        <v>10254</v>
      </c>
      <c r="Y10" s="55"/>
      <c r="Z10" s="8">
        <v>0</v>
      </c>
      <c r="AA10" s="45">
        <v>2270</v>
      </c>
      <c r="AB10" s="6"/>
      <c r="AC10" s="9">
        <v>0</v>
      </c>
      <c r="AD10" s="45">
        <v>227</v>
      </c>
      <c r="AE10" s="6"/>
      <c r="AF10" s="9">
        <v>0</v>
      </c>
      <c r="AG10" s="45">
        <v>1453</v>
      </c>
      <c r="AH10" s="6"/>
      <c r="AI10" s="8">
        <v>0</v>
      </c>
      <c r="AJ10" s="45">
        <v>168</v>
      </c>
      <c r="AK10" s="7"/>
      <c r="AL10" s="6"/>
      <c r="AM10" s="8">
        <v>0</v>
      </c>
      <c r="AN10" s="45">
        <v>572</v>
      </c>
      <c r="AO10" s="7"/>
      <c r="AP10" s="6"/>
      <c r="AQ10" s="8">
        <v>0</v>
      </c>
      <c r="AR10" s="45">
        <v>240</v>
      </c>
      <c r="AS10" s="14">
        <v>1</v>
      </c>
      <c r="AT10" s="86">
        <v>9</v>
      </c>
      <c r="AU10" s="92"/>
      <c r="AV10" s="88"/>
      <c r="AW10" s="89">
        <v>121.884</v>
      </c>
      <c r="AX10" s="12">
        <v>621</v>
      </c>
      <c r="AY10" s="9">
        <v>2</v>
      </c>
      <c r="AZ10" s="90">
        <v>29010.833333333336</v>
      </c>
      <c r="BA10" s="90">
        <v>51.666666666666671</v>
      </c>
      <c r="BB10" s="90">
        <v>5435.3333333333339</v>
      </c>
      <c r="BC10" s="90">
        <v>149.83333333333331</v>
      </c>
      <c r="BD10" s="91">
        <v>0</v>
      </c>
      <c r="BE10" s="90">
        <v>321245.25</v>
      </c>
      <c r="BF10" s="90">
        <v>47693.5</v>
      </c>
      <c r="BG10" s="91">
        <v>7006</v>
      </c>
      <c r="BH10" s="91">
        <v>17367.75</v>
      </c>
      <c r="BI10" s="91">
        <v>8060</v>
      </c>
    </row>
    <row r="11" spans="1:61" ht="15.75">
      <c r="A11" s="53">
        <v>7</v>
      </c>
      <c r="B11" s="54" t="s">
        <v>68</v>
      </c>
      <c r="C11" s="10"/>
      <c r="D11" s="6">
        <v>375957</v>
      </c>
      <c r="E11" s="8">
        <v>1166</v>
      </c>
      <c r="F11" s="6">
        <v>7112</v>
      </c>
      <c r="G11" s="8">
        <v>3</v>
      </c>
      <c r="H11" s="14">
        <v>115945</v>
      </c>
      <c r="I11" s="8">
        <v>178</v>
      </c>
      <c r="J11" s="85">
        <v>629776</v>
      </c>
      <c r="K11" s="8">
        <v>171</v>
      </c>
      <c r="L11" s="7"/>
      <c r="M11" s="11" t="e">
        <v>#DIV/0!</v>
      </c>
      <c r="N11" s="6">
        <v>15117</v>
      </c>
      <c r="O11" s="8">
        <v>5</v>
      </c>
      <c r="P11" s="12">
        <v>100532</v>
      </c>
      <c r="Q11" s="9">
        <v>16</v>
      </c>
      <c r="R11" s="12">
        <v>44</v>
      </c>
      <c r="S11" s="9">
        <v>0</v>
      </c>
      <c r="T11" s="12">
        <v>207438</v>
      </c>
      <c r="U11" s="9">
        <v>40</v>
      </c>
      <c r="V11" s="13"/>
      <c r="W11" s="8">
        <v>0</v>
      </c>
      <c r="X11" s="45">
        <v>10153</v>
      </c>
      <c r="Y11" s="55"/>
      <c r="Z11" s="8">
        <v>0</v>
      </c>
      <c r="AA11" s="45">
        <v>2063</v>
      </c>
      <c r="AB11" s="6"/>
      <c r="AC11" s="9">
        <v>0</v>
      </c>
      <c r="AD11" s="45">
        <v>230</v>
      </c>
      <c r="AE11" s="6"/>
      <c r="AF11" s="9">
        <v>0</v>
      </c>
      <c r="AG11" s="45">
        <v>1424</v>
      </c>
      <c r="AH11" s="6"/>
      <c r="AI11" s="8">
        <v>0</v>
      </c>
      <c r="AJ11" s="45">
        <v>416</v>
      </c>
      <c r="AK11" s="7"/>
      <c r="AL11" s="6"/>
      <c r="AM11" s="8">
        <v>0</v>
      </c>
      <c r="AN11" s="45">
        <v>557</v>
      </c>
      <c r="AO11" s="7"/>
      <c r="AP11" s="6"/>
      <c r="AQ11" s="8">
        <v>0</v>
      </c>
      <c r="AR11" s="45">
        <v>512</v>
      </c>
      <c r="AS11" s="14">
        <v>-2</v>
      </c>
      <c r="AT11" s="86">
        <v>6</v>
      </c>
      <c r="AU11" s="87"/>
      <c r="AV11" s="88"/>
      <c r="AW11" s="89">
        <v>121.884</v>
      </c>
      <c r="AX11" s="64">
        <v>622</v>
      </c>
      <c r="AY11" s="9">
        <v>1</v>
      </c>
      <c r="AZ11" s="90">
        <v>30030.142857142855</v>
      </c>
      <c r="BA11" s="90">
        <v>57.571428571428577</v>
      </c>
      <c r="BB11" s="90">
        <v>5447.1428571428578</v>
      </c>
      <c r="BC11" s="90">
        <v>150.57142857142856</v>
      </c>
      <c r="BD11" s="91">
        <v>0</v>
      </c>
      <c r="BE11" s="90">
        <v>319944.8</v>
      </c>
      <c r="BF11" s="90">
        <v>48409.599999999999</v>
      </c>
      <c r="BG11" s="91">
        <v>8184</v>
      </c>
      <c r="BH11" s="91">
        <v>17347.600000000002</v>
      </c>
      <c r="BI11" s="91">
        <v>9622.4</v>
      </c>
    </row>
    <row r="12" spans="1:61" ht="15.75">
      <c r="A12" s="53">
        <v>8</v>
      </c>
      <c r="B12" s="54" t="s">
        <v>68</v>
      </c>
      <c r="C12" s="10"/>
      <c r="D12" s="6">
        <v>377080</v>
      </c>
      <c r="E12" s="8">
        <v>1123</v>
      </c>
      <c r="F12" s="6">
        <v>7113</v>
      </c>
      <c r="G12" s="8">
        <v>1</v>
      </c>
      <c r="H12" s="14">
        <v>116107</v>
      </c>
      <c r="I12" s="8">
        <v>162</v>
      </c>
      <c r="J12" s="85">
        <v>629930</v>
      </c>
      <c r="K12" s="8">
        <v>154</v>
      </c>
      <c r="L12" s="7"/>
      <c r="M12" s="11" t="e">
        <v>#DIV/0!</v>
      </c>
      <c r="N12" s="6">
        <v>15122</v>
      </c>
      <c r="O12" s="8">
        <v>5</v>
      </c>
      <c r="P12" s="12">
        <v>100548</v>
      </c>
      <c r="Q12" s="9">
        <v>16</v>
      </c>
      <c r="R12" s="12">
        <v>45</v>
      </c>
      <c r="S12" s="9">
        <v>1</v>
      </c>
      <c r="T12" s="12">
        <v>207475</v>
      </c>
      <c r="U12" s="9">
        <v>37</v>
      </c>
      <c r="V12" s="13"/>
      <c r="W12" s="8">
        <v>0</v>
      </c>
      <c r="X12" s="45">
        <v>10134</v>
      </c>
      <c r="Y12" s="55"/>
      <c r="Z12" s="8">
        <v>0</v>
      </c>
      <c r="AA12" s="45">
        <v>2266</v>
      </c>
      <c r="AB12" s="6"/>
      <c r="AC12" s="9">
        <v>0</v>
      </c>
      <c r="AD12" s="45">
        <v>242</v>
      </c>
      <c r="AE12" s="6"/>
      <c r="AF12" s="9">
        <v>0</v>
      </c>
      <c r="AG12" s="45">
        <v>1243</v>
      </c>
      <c r="AH12" s="6"/>
      <c r="AI12" s="8">
        <v>0</v>
      </c>
      <c r="AJ12" s="45">
        <v>208</v>
      </c>
      <c r="AK12" s="7"/>
      <c r="AL12" s="6"/>
      <c r="AM12" s="8">
        <v>0</v>
      </c>
      <c r="AN12" s="45">
        <v>551</v>
      </c>
      <c r="AO12" s="7"/>
      <c r="AP12" s="6"/>
      <c r="AQ12" s="8">
        <v>0</v>
      </c>
      <c r="AR12" s="45">
        <v>328</v>
      </c>
      <c r="AS12" s="93">
        <v>1</v>
      </c>
      <c r="AT12" s="86">
        <v>8</v>
      </c>
      <c r="AU12" s="92"/>
      <c r="AV12" s="88"/>
      <c r="AW12" s="89">
        <v>121.884</v>
      </c>
      <c r="AX12" s="12">
        <v>623</v>
      </c>
      <c r="AY12" s="9">
        <v>1</v>
      </c>
      <c r="AZ12" s="90">
        <v>30628</v>
      </c>
      <c r="BA12" s="90">
        <v>54.25</v>
      </c>
      <c r="BB12" s="90">
        <v>5394</v>
      </c>
      <c r="BC12" s="90">
        <v>151.125</v>
      </c>
      <c r="BD12" s="91">
        <v>0</v>
      </c>
      <c r="BE12" s="90">
        <v>318979.66666666663</v>
      </c>
      <c r="BF12" s="90">
        <v>48013.833333333328</v>
      </c>
      <c r="BG12" s="91">
        <v>7894.6666666666661</v>
      </c>
      <c r="BH12" s="91">
        <v>17303.166666666664</v>
      </c>
      <c r="BI12" s="91">
        <v>9713.3333333333321</v>
      </c>
    </row>
    <row r="13" spans="1:61" ht="15.75">
      <c r="A13" s="53">
        <v>9</v>
      </c>
      <c r="B13" s="54" t="s">
        <v>68</v>
      </c>
      <c r="C13" s="10"/>
      <c r="D13" s="6">
        <v>378229</v>
      </c>
      <c r="E13" s="8">
        <v>1149</v>
      </c>
      <c r="F13" s="6">
        <v>7113</v>
      </c>
      <c r="G13" s="8">
        <v>0</v>
      </c>
      <c r="H13" s="14">
        <v>116282</v>
      </c>
      <c r="I13" s="8">
        <v>175</v>
      </c>
      <c r="J13" s="85">
        <v>630098</v>
      </c>
      <c r="K13" s="8">
        <v>168</v>
      </c>
      <c r="L13" s="7"/>
      <c r="M13" s="11" t="e">
        <v>#DIV/0!</v>
      </c>
      <c r="N13" s="6">
        <v>15127</v>
      </c>
      <c r="O13" s="8">
        <v>5</v>
      </c>
      <c r="P13" s="12">
        <v>100563</v>
      </c>
      <c r="Q13" s="9">
        <v>15</v>
      </c>
      <c r="R13" s="12">
        <v>45</v>
      </c>
      <c r="S13" s="9">
        <v>0</v>
      </c>
      <c r="T13" s="12">
        <v>207515</v>
      </c>
      <c r="U13" s="9">
        <v>40</v>
      </c>
      <c r="V13" s="13"/>
      <c r="W13" s="8">
        <v>0</v>
      </c>
      <c r="X13" s="45">
        <v>10162</v>
      </c>
      <c r="Y13" s="55"/>
      <c r="Z13" s="8">
        <v>0</v>
      </c>
      <c r="AA13" s="45">
        <v>2264</v>
      </c>
      <c r="AB13" s="6"/>
      <c r="AC13" s="9">
        <v>0</v>
      </c>
      <c r="AD13" s="45">
        <v>241</v>
      </c>
      <c r="AE13" s="6"/>
      <c r="AF13" s="9">
        <v>0</v>
      </c>
      <c r="AG13" s="45">
        <v>1273</v>
      </c>
      <c r="AH13" s="6"/>
      <c r="AI13" s="8">
        <v>0</v>
      </c>
      <c r="AJ13" s="45">
        <v>144</v>
      </c>
      <c r="AK13" s="7"/>
      <c r="AL13" s="6"/>
      <c r="AM13" s="8">
        <v>0</v>
      </c>
      <c r="AN13" s="45">
        <v>583</v>
      </c>
      <c r="AO13" s="7"/>
      <c r="AP13" s="6"/>
      <c r="AQ13" s="8">
        <v>0</v>
      </c>
      <c r="AR13" s="45">
        <v>280</v>
      </c>
      <c r="AS13" s="14">
        <v>3</v>
      </c>
      <c r="AT13" s="86">
        <v>6</v>
      </c>
      <c r="AU13" s="87"/>
      <c r="AV13" s="88"/>
      <c r="AW13" s="89">
        <v>121.886</v>
      </c>
      <c r="AX13" s="12">
        <v>624</v>
      </c>
      <c r="AY13" s="9">
        <v>1</v>
      </c>
      <c r="AZ13" s="90">
        <v>31182.555555555555</v>
      </c>
      <c r="BA13" s="90">
        <v>48.222222222222221</v>
      </c>
      <c r="BB13" s="90">
        <v>5397.4444444444443</v>
      </c>
      <c r="BC13" s="90">
        <v>151.55555555555557</v>
      </c>
      <c r="BD13" s="91">
        <v>0</v>
      </c>
      <c r="BE13" s="90">
        <v>318414.28571428568</v>
      </c>
      <c r="BF13" s="90">
        <v>47859.57142857142</v>
      </c>
      <c r="BG13" s="91">
        <v>7404.5714285714284</v>
      </c>
      <c r="BH13" s="91">
        <v>17413.142857142855</v>
      </c>
      <c r="BI13" s="91">
        <v>9565.7142857142844</v>
      </c>
    </row>
    <row r="14" spans="1:61" ht="15.75">
      <c r="A14" s="53">
        <v>10</v>
      </c>
      <c r="B14" s="54" t="s">
        <v>68</v>
      </c>
      <c r="C14" s="10"/>
      <c r="D14" s="6">
        <v>379619</v>
      </c>
      <c r="E14" s="8">
        <v>1390</v>
      </c>
      <c r="F14" s="6">
        <v>7114</v>
      </c>
      <c r="G14" s="8">
        <v>1</v>
      </c>
      <c r="H14" s="14">
        <v>116457</v>
      </c>
      <c r="I14" s="8">
        <v>175</v>
      </c>
      <c r="J14" s="85">
        <v>630265</v>
      </c>
      <c r="K14" s="8">
        <v>167</v>
      </c>
      <c r="L14" s="7"/>
      <c r="M14" s="11" t="e">
        <v>#DIV/0!</v>
      </c>
      <c r="N14" s="6">
        <v>15135</v>
      </c>
      <c r="O14" s="8">
        <v>8</v>
      </c>
      <c r="P14" s="12">
        <v>100571</v>
      </c>
      <c r="Q14" s="9">
        <v>8</v>
      </c>
      <c r="R14" s="12">
        <v>45</v>
      </c>
      <c r="S14" s="9">
        <v>0</v>
      </c>
      <c r="T14" s="12">
        <v>207550</v>
      </c>
      <c r="U14" s="9">
        <v>35</v>
      </c>
      <c r="V14" s="13"/>
      <c r="W14" s="8">
        <v>0</v>
      </c>
      <c r="X14" s="45">
        <v>10416</v>
      </c>
      <c r="Y14" s="55"/>
      <c r="Z14" s="8">
        <v>0</v>
      </c>
      <c r="AA14" s="45">
        <v>2397</v>
      </c>
      <c r="AB14" s="6"/>
      <c r="AC14" s="9">
        <v>0</v>
      </c>
      <c r="AD14" s="45">
        <v>212</v>
      </c>
      <c r="AE14" s="6"/>
      <c r="AF14" s="9">
        <v>0</v>
      </c>
      <c r="AG14" s="45">
        <v>1446</v>
      </c>
      <c r="AH14" s="6"/>
      <c r="AI14" s="8">
        <v>0</v>
      </c>
      <c r="AJ14" s="45">
        <v>192</v>
      </c>
      <c r="AK14" s="7"/>
      <c r="AL14" s="6"/>
      <c r="AM14" s="8">
        <v>0</v>
      </c>
      <c r="AN14" s="45">
        <v>549</v>
      </c>
      <c r="AO14" s="7"/>
      <c r="AP14" s="6"/>
      <c r="AQ14" s="8">
        <v>0</v>
      </c>
      <c r="AR14" s="45">
        <v>288</v>
      </c>
      <c r="AS14" s="14">
        <v>1</v>
      </c>
      <c r="AT14" s="86">
        <v>8</v>
      </c>
      <c r="AU14" s="92"/>
      <c r="AV14" s="88"/>
      <c r="AW14" s="89">
        <v>121.88</v>
      </c>
      <c r="AX14" s="12">
        <v>633</v>
      </c>
      <c r="AY14" s="9">
        <v>9</v>
      </c>
      <c r="AZ14" s="90">
        <v>32373.3</v>
      </c>
      <c r="BA14" s="90">
        <v>46.5</v>
      </c>
      <c r="BB14" s="90">
        <v>5400.2</v>
      </c>
      <c r="BC14" s="90">
        <v>161.20000000000002</v>
      </c>
      <c r="BD14" s="91">
        <v>0</v>
      </c>
      <c r="BE14" s="90">
        <v>318974.5</v>
      </c>
      <c r="BF14" s="90">
        <v>48301.875</v>
      </c>
      <c r="BG14" s="91">
        <v>7223</v>
      </c>
      <c r="BH14" s="91">
        <v>17363.875</v>
      </c>
      <c r="BI14" s="91">
        <v>9486</v>
      </c>
    </row>
    <row r="15" spans="1:61" ht="15.75">
      <c r="A15" s="53">
        <v>11</v>
      </c>
      <c r="B15" s="54" t="s">
        <v>68</v>
      </c>
      <c r="C15" s="10"/>
      <c r="D15" s="6">
        <v>381069</v>
      </c>
      <c r="E15" s="8">
        <v>1450</v>
      </c>
      <c r="F15" s="6">
        <v>7115</v>
      </c>
      <c r="G15" s="8">
        <v>1</v>
      </c>
      <c r="H15" s="14">
        <v>116605</v>
      </c>
      <c r="I15" s="8">
        <v>148</v>
      </c>
      <c r="J15" s="85">
        <v>630407</v>
      </c>
      <c r="K15" s="8">
        <v>142</v>
      </c>
      <c r="L15" s="7"/>
      <c r="M15" s="11" t="e">
        <v>#DIV/0!</v>
      </c>
      <c r="N15" s="6">
        <v>15142</v>
      </c>
      <c r="O15" s="8">
        <v>7</v>
      </c>
      <c r="P15" s="12">
        <v>100593</v>
      </c>
      <c r="Q15" s="9">
        <v>22</v>
      </c>
      <c r="R15" s="12">
        <v>45</v>
      </c>
      <c r="S15" s="9">
        <v>0</v>
      </c>
      <c r="T15" s="12">
        <v>207585</v>
      </c>
      <c r="U15" s="9">
        <v>35</v>
      </c>
      <c r="V15" s="13"/>
      <c r="W15" s="8">
        <v>0</v>
      </c>
      <c r="X15" s="45">
        <v>10752</v>
      </c>
      <c r="Y15" s="55"/>
      <c r="Z15" s="8">
        <v>0</v>
      </c>
      <c r="AA15" s="45">
        <v>2334</v>
      </c>
      <c r="AB15" s="6"/>
      <c r="AC15" s="9">
        <v>0</v>
      </c>
      <c r="AD15" s="45">
        <v>220</v>
      </c>
      <c r="AE15" s="6"/>
      <c r="AF15" s="9">
        <v>0</v>
      </c>
      <c r="AG15" s="45">
        <v>1343</v>
      </c>
      <c r="AH15" s="6"/>
      <c r="AI15" s="8">
        <v>0</v>
      </c>
      <c r="AJ15" s="45">
        <v>208</v>
      </c>
      <c r="AK15" s="7"/>
      <c r="AL15" s="6"/>
      <c r="AM15" s="8">
        <v>0</v>
      </c>
      <c r="AN15" s="45">
        <v>580</v>
      </c>
      <c r="AO15" s="7"/>
      <c r="AP15" s="6"/>
      <c r="AQ15" s="8">
        <v>0</v>
      </c>
      <c r="AR15" s="45">
        <v>256</v>
      </c>
      <c r="AS15" s="14">
        <v>1</v>
      </c>
      <c r="AT15" s="86">
        <v>5</v>
      </c>
      <c r="AU15" s="87"/>
      <c r="AV15" s="88"/>
      <c r="AW15" s="89">
        <v>121.88</v>
      </c>
      <c r="AX15" s="12">
        <v>635</v>
      </c>
      <c r="AY15" s="9">
        <v>2</v>
      </c>
      <c r="AZ15" s="90">
        <v>33516.636363636368</v>
      </c>
      <c r="BA15" s="90">
        <v>45.090909090909093</v>
      </c>
      <c r="BB15" s="90">
        <v>5326.363636363636</v>
      </c>
      <c r="BC15" s="90">
        <v>166.27272727272725</v>
      </c>
      <c r="BD15" s="91">
        <v>0</v>
      </c>
      <c r="BE15" s="90">
        <v>320567.55555555556</v>
      </c>
      <c r="BF15" s="90">
        <v>48318.666666666672</v>
      </c>
      <c r="BG15" s="91">
        <v>7136.8888888888887</v>
      </c>
      <c r="BH15" s="91">
        <v>17432.333333333336</v>
      </c>
      <c r="BI15" s="91">
        <v>9313.7777777777774</v>
      </c>
    </row>
    <row r="16" spans="1:61" ht="15.75">
      <c r="A16" s="53">
        <v>12</v>
      </c>
      <c r="B16" s="54" t="s">
        <v>68</v>
      </c>
      <c r="C16" s="10"/>
      <c r="D16" s="6">
        <v>382650</v>
      </c>
      <c r="E16" s="8">
        <v>1581</v>
      </c>
      <c r="F16" s="6">
        <v>7116.4</v>
      </c>
      <c r="G16" s="8">
        <v>1.3999999999996362</v>
      </c>
      <c r="H16" s="14">
        <v>116771</v>
      </c>
      <c r="I16" s="8">
        <v>166</v>
      </c>
      <c r="J16" s="85">
        <v>630566</v>
      </c>
      <c r="K16" s="8">
        <v>159</v>
      </c>
      <c r="L16" s="7"/>
      <c r="M16" s="11" t="e">
        <v>#DIV/0!</v>
      </c>
      <c r="N16" s="6">
        <v>15148</v>
      </c>
      <c r="O16" s="8">
        <v>6</v>
      </c>
      <c r="P16" s="12">
        <v>100608</v>
      </c>
      <c r="Q16" s="9">
        <v>15</v>
      </c>
      <c r="R16" s="12">
        <v>45</v>
      </c>
      <c r="S16" s="9">
        <v>0</v>
      </c>
      <c r="T16" s="12">
        <v>207625</v>
      </c>
      <c r="U16" s="9">
        <v>40</v>
      </c>
      <c r="V16" s="13"/>
      <c r="W16" s="8">
        <v>0</v>
      </c>
      <c r="X16" s="45">
        <v>10894</v>
      </c>
      <c r="Y16" s="55"/>
      <c r="Z16" s="8">
        <v>0</v>
      </c>
      <c r="AA16" s="45">
        <v>1917</v>
      </c>
      <c r="AB16" s="6"/>
      <c r="AC16" s="9">
        <v>0</v>
      </c>
      <c r="AD16" s="45">
        <v>220</v>
      </c>
      <c r="AE16" s="6"/>
      <c r="AF16" s="9">
        <v>0</v>
      </c>
      <c r="AG16" s="45">
        <v>1258</v>
      </c>
      <c r="AH16" s="6"/>
      <c r="AI16" s="8">
        <v>0</v>
      </c>
      <c r="AJ16" s="45">
        <v>224</v>
      </c>
      <c r="AK16" s="7"/>
      <c r="AL16" s="6"/>
      <c r="AM16" s="8">
        <v>0</v>
      </c>
      <c r="AN16" s="45">
        <v>556</v>
      </c>
      <c r="AO16" s="7"/>
      <c r="AP16" s="6"/>
      <c r="AQ16" s="8">
        <v>0</v>
      </c>
      <c r="AR16" s="45">
        <v>232</v>
      </c>
      <c r="AS16" s="14">
        <v>-1</v>
      </c>
      <c r="AT16" s="86">
        <v>5</v>
      </c>
      <c r="AU16" s="92"/>
      <c r="AV16" s="88"/>
      <c r="AW16" s="89">
        <v>121.88</v>
      </c>
      <c r="AX16" s="12">
        <v>635</v>
      </c>
      <c r="AY16" s="9">
        <v>0</v>
      </c>
      <c r="AZ16" s="90">
        <v>34807.833333333328</v>
      </c>
      <c r="BA16" s="90">
        <v>44.949999999999065</v>
      </c>
      <c r="BB16" s="90">
        <v>5311.3333333333339</v>
      </c>
      <c r="BC16" s="90">
        <v>167.91666666666669</v>
      </c>
      <c r="BD16" s="91">
        <v>0</v>
      </c>
      <c r="BE16" s="90">
        <v>322282.2</v>
      </c>
      <c r="BF16" s="90">
        <v>48068.6</v>
      </c>
      <c r="BG16" s="91">
        <v>7117.5999999999995</v>
      </c>
      <c r="BH16" s="91">
        <v>17412.7</v>
      </c>
      <c r="BI16" s="91">
        <v>9101.6</v>
      </c>
    </row>
    <row r="17" spans="1:61" ht="15.75">
      <c r="A17" s="53">
        <v>13</v>
      </c>
      <c r="B17" s="54" t="s">
        <v>68</v>
      </c>
      <c r="C17" s="10"/>
      <c r="D17" s="6">
        <v>384194</v>
      </c>
      <c r="E17" s="8">
        <v>1544</v>
      </c>
      <c r="F17" s="6">
        <v>7120.4</v>
      </c>
      <c r="G17" s="8">
        <v>4</v>
      </c>
      <c r="H17" s="14">
        <v>116944</v>
      </c>
      <c r="I17" s="8">
        <v>173</v>
      </c>
      <c r="J17" s="85">
        <v>630731</v>
      </c>
      <c r="K17" s="8">
        <v>165</v>
      </c>
      <c r="L17" s="7"/>
      <c r="M17" s="11" t="e">
        <v>#DIV/0!</v>
      </c>
      <c r="N17" s="6">
        <v>15154</v>
      </c>
      <c r="O17" s="8">
        <v>6</v>
      </c>
      <c r="P17" s="12">
        <v>100624</v>
      </c>
      <c r="Q17" s="9">
        <v>16</v>
      </c>
      <c r="R17" s="12">
        <v>45</v>
      </c>
      <c r="S17" s="9">
        <v>0</v>
      </c>
      <c r="T17" s="12">
        <v>207659</v>
      </c>
      <c r="U17" s="9">
        <v>34</v>
      </c>
      <c r="V17" s="13"/>
      <c r="W17" s="8">
        <v>0</v>
      </c>
      <c r="X17" s="45">
        <v>10518</v>
      </c>
      <c r="Y17" s="55"/>
      <c r="Z17" s="8">
        <v>0</v>
      </c>
      <c r="AA17" s="45">
        <v>1686</v>
      </c>
      <c r="AB17" s="6"/>
      <c r="AC17" s="9">
        <v>0</v>
      </c>
      <c r="AD17" s="45">
        <v>216</v>
      </c>
      <c r="AE17" s="6"/>
      <c r="AF17" s="9">
        <v>0</v>
      </c>
      <c r="AG17" s="45">
        <v>1317</v>
      </c>
      <c r="AH17" s="6"/>
      <c r="AI17" s="8">
        <v>0</v>
      </c>
      <c r="AJ17" s="45">
        <v>232</v>
      </c>
      <c r="AK17" s="7"/>
      <c r="AL17" s="6"/>
      <c r="AM17" s="8">
        <v>0</v>
      </c>
      <c r="AN17" s="45">
        <v>541</v>
      </c>
      <c r="AO17" s="7"/>
      <c r="AP17" s="6"/>
      <c r="AQ17" s="8">
        <v>0</v>
      </c>
      <c r="AR17" s="45">
        <v>216</v>
      </c>
      <c r="AS17" s="14">
        <v>-1</v>
      </c>
      <c r="AT17" s="86">
        <v>3</v>
      </c>
      <c r="AU17" s="87"/>
      <c r="AV17" s="88"/>
      <c r="AW17" s="89">
        <v>121.88</v>
      </c>
      <c r="AX17" s="12">
        <v>637</v>
      </c>
      <c r="AY17" s="9">
        <v>2</v>
      </c>
      <c r="AZ17" s="90">
        <v>35812.153846153851</v>
      </c>
      <c r="BA17" s="90">
        <v>51.030769230768364</v>
      </c>
      <c r="BB17" s="90">
        <v>5315.3076923076924</v>
      </c>
      <c r="BC17" s="90">
        <v>169.30769230769232</v>
      </c>
      <c r="BD17" s="91">
        <v>0</v>
      </c>
      <c r="BE17" s="90">
        <v>322625.45454545459</v>
      </c>
      <c r="BF17" s="90">
        <v>48019</v>
      </c>
      <c r="BG17" s="91">
        <v>7124.363636363636</v>
      </c>
      <c r="BH17" s="91">
        <v>17354.36363636364</v>
      </c>
      <c r="BI17" s="91">
        <v>8882.9090909090919</v>
      </c>
    </row>
    <row r="18" spans="1:61" ht="15.75">
      <c r="A18" s="53">
        <v>14</v>
      </c>
      <c r="B18" s="54" t="s">
        <v>68</v>
      </c>
      <c r="C18" s="10"/>
      <c r="D18" s="6">
        <v>385489</v>
      </c>
      <c r="E18" s="8">
        <v>1295</v>
      </c>
      <c r="F18" s="6">
        <v>7122.1</v>
      </c>
      <c r="G18" s="8">
        <v>1.7000000000007276</v>
      </c>
      <c r="H18" s="14">
        <v>117123</v>
      </c>
      <c r="I18" s="8">
        <v>179</v>
      </c>
      <c r="J18" s="85">
        <v>630903</v>
      </c>
      <c r="K18" s="8">
        <v>172</v>
      </c>
      <c r="L18" s="7"/>
      <c r="M18" s="11" t="e">
        <v>#DIV/0!</v>
      </c>
      <c r="N18" s="6">
        <v>15160</v>
      </c>
      <c r="O18" s="8">
        <v>6</v>
      </c>
      <c r="P18" s="12">
        <v>100638</v>
      </c>
      <c r="Q18" s="9">
        <v>14</v>
      </c>
      <c r="R18" s="12">
        <v>46</v>
      </c>
      <c r="S18" s="9">
        <v>1</v>
      </c>
      <c r="T18" s="12">
        <v>207704</v>
      </c>
      <c r="U18" s="9">
        <v>45</v>
      </c>
      <c r="V18" s="13"/>
      <c r="W18" s="8">
        <v>0</v>
      </c>
      <c r="X18" s="45">
        <v>10947</v>
      </c>
      <c r="Y18" s="55"/>
      <c r="Z18" s="8">
        <v>0</v>
      </c>
      <c r="AA18" s="45">
        <v>1722</v>
      </c>
      <c r="AB18" s="6"/>
      <c r="AC18" s="9">
        <v>0</v>
      </c>
      <c r="AD18" s="45">
        <v>239</v>
      </c>
      <c r="AE18" s="6"/>
      <c r="AF18" s="9">
        <v>0</v>
      </c>
      <c r="AG18" s="45">
        <v>1322</v>
      </c>
      <c r="AH18" s="6"/>
      <c r="AI18" s="8">
        <v>0</v>
      </c>
      <c r="AJ18" s="45">
        <v>248</v>
      </c>
      <c r="AK18" s="7"/>
      <c r="AL18" s="6"/>
      <c r="AM18" s="8">
        <v>0</v>
      </c>
      <c r="AN18" s="45">
        <v>624</v>
      </c>
      <c r="AO18" s="7"/>
      <c r="AP18" s="6"/>
      <c r="AQ18" s="8">
        <v>0</v>
      </c>
      <c r="AR18" s="45">
        <v>280</v>
      </c>
      <c r="AS18" s="14">
        <v>-1</v>
      </c>
      <c r="AT18" s="86">
        <v>4</v>
      </c>
      <c r="AU18" s="92"/>
      <c r="AV18" s="88"/>
      <c r="AW18" s="89">
        <v>121.88</v>
      </c>
      <c r="AX18" s="12">
        <v>637</v>
      </c>
      <c r="AY18" s="9">
        <v>0</v>
      </c>
      <c r="AZ18" s="90">
        <v>36121.642857142862</v>
      </c>
      <c r="BA18" s="90">
        <v>51.150000000000801</v>
      </c>
      <c r="BB18" s="90">
        <v>5332</v>
      </c>
      <c r="BC18" s="90">
        <v>170.5</v>
      </c>
      <c r="BD18" s="91">
        <v>0</v>
      </c>
      <c r="BE18" s="90">
        <v>324019.75</v>
      </c>
      <c r="BF18" s="90">
        <v>48050.000000000007</v>
      </c>
      <c r="BG18" s="91">
        <v>7171.3333333333339</v>
      </c>
      <c r="BH18" s="91">
        <v>17520.166666666664</v>
      </c>
      <c r="BI18" s="91">
        <v>8866</v>
      </c>
    </row>
    <row r="19" spans="1:61" ht="15.75">
      <c r="A19" s="53">
        <v>15</v>
      </c>
      <c r="B19" s="54" t="s">
        <v>68</v>
      </c>
      <c r="C19" s="10"/>
      <c r="D19" s="6">
        <v>386777</v>
      </c>
      <c r="E19" s="8">
        <v>1288</v>
      </c>
      <c r="F19" s="6">
        <v>7124.79</v>
      </c>
      <c r="G19" s="8">
        <v>2.6899999999995998</v>
      </c>
      <c r="H19" s="14">
        <v>117292</v>
      </c>
      <c r="I19" s="8">
        <v>169</v>
      </c>
      <c r="J19" s="85">
        <v>631065</v>
      </c>
      <c r="K19" s="8">
        <v>162</v>
      </c>
      <c r="L19" s="7"/>
      <c r="M19" s="11" t="e">
        <v>#DIV/0!</v>
      </c>
      <c r="N19" s="6">
        <v>15165</v>
      </c>
      <c r="O19" s="8">
        <v>5</v>
      </c>
      <c r="P19" s="12">
        <v>100650</v>
      </c>
      <c r="Q19" s="9">
        <v>12</v>
      </c>
      <c r="R19" s="12">
        <v>46</v>
      </c>
      <c r="S19" s="9">
        <v>0</v>
      </c>
      <c r="T19" s="12">
        <v>207734</v>
      </c>
      <c r="U19" s="9">
        <v>30</v>
      </c>
      <c r="V19" s="13"/>
      <c r="W19" s="8">
        <v>0</v>
      </c>
      <c r="X19" s="45">
        <v>10641</v>
      </c>
      <c r="Y19" s="55"/>
      <c r="Z19" s="8">
        <v>0</v>
      </c>
      <c r="AA19" s="45">
        <v>1844</v>
      </c>
      <c r="AB19" s="6"/>
      <c r="AC19" s="9">
        <v>0</v>
      </c>
      <c r="AD19" s="45">
        <v>214</v>
      </c>
      <c r="AE19" s="6"/>
      <c r="AF19" s="9">
        <v>0</v>
      </c>
      <c r="AG19" s="45">
        <v>1312</v>
      </c>
      <c r="AH19" s="6"/>
      <c r="AI19" s="8">
        <v>0</v>
      </c>
      <c r="AJ19" s="45">
        <v>272</v>
      </c>
      <c r="AK19" s="7"/>
      <c r="AL19" s="6"/>
      <c r="AM19" s="8">
        <v>0</v>
      </c>
      <c r="AN19" s="45">
        <v>596</v>
      </c>
      <c r="AO19" s="7"/>
      <c r="AP19" s="6"/>
      <c r="AQ19" s="8">
        <v>0</v>
      </c>
      <c r="AR19" s="45">
        <v>248</v>
      </c>
      <c r="AS19" s="14">
        <v>2</v>
      </c>
      <c r="AT19" s="86">
        <v>6</v>
      </c>
      <c r="AU19" s="87"/>
      <c r="AV19" s="88"/>
      <c r="AW19" s="89">
        <v>121.88</v>
      </c>
      <c r="AX19" s="12">
        <v>639</v>
      </c>
      <c r="AY19" s="9">
        <v>2</v>
      </c>
      <c r="AZ19" s="90">
        <v>36375.4</v>
      </c>
      <c r="BA19" s="90">
        <v>53.299333333333259</v>
      </c>
      <c r="BB19" s="90">
        <v>5325.8</v>
      </c>
      <c r="BC19" s="90">
        <v>169.46666666666667</v>
      </c>
      <c r="BD19" s="91">
        <v>0</v>
      </c>
      <c r="BE19" s="90">
        <v>324469.84615384613</v>
      </c>
      <c r="BF19" s="90">
        <v>47992.769230769227</v>
      </c>
      <c r="BG19" s="91">
        <v>7268.3076923076924</v>
      </c>
      <c r="BH19" s="91">
        <v>17593.692307692309</v>
      </c>
      <c r="BI19" s="91">
        <v>8775.3846153846152</v>
      </c>
    </row>
    <row r="20" spans="1:61" ht="15.75">
      <c r="A20" s="53">
        <v>16</v>
      </c>
      <c r="B20" s="54" t="s">
        <v>68</v>
      </c>
      <c r="C20" s="10"/>
      <c r="D20" s="6">
        <v>388036</v>
      </c>
      <c r="E20" s="8">
        <v>1259</v>
      </c>
      <c r="F20" s="6">
        <v>7128.73</v>
      </c>
      <c r="G20" s="8">
        <v>3.9399999999995998</v>
      </c>
      <c r="H20" s="14">
        <v>117481</v>
      </c>
      <c r="I20" s="8">
        <v>189</v>
      </c>
      <c r="J20" s="85">
        <v>631246</v>
      </c>
      <c r="K20" s="8">
        <v>181</v>
      </c>
      <c r="L20" s="7"/>
      <c r="M20" s="11" t="e">
        <v>#DIV/0!</v>
      </c>
      <c r="N20" s="6">
        <v>15172</v>
      </c>
      <c r="O20" s="8">
        <v>7</v>
      </c>
      <c r="P20" s="12">
        <v>100666</v>
      </c>
      <c r="Q20" s="9">
        <v>16</v>
      </c>
      <c r="R20" s="12">
        <v>46</v>
      </c>
      <c r="S20" s="9">
        <v>0</v>
      </c>
      <c r="T20" s="64">
        <v>207780</v>
      </c>
      <c r="U20" s="9">
        <v>46</v>
      </c>
      <c r="V20" s="13"/>
      <c r="W20" s="8">
        <v>0</v>
      </c>
      <c r="X20" s="45">
        <v>11083</v>
      </c>
      <c r="Y20" s="55"/>
      <c r="Z20" s="8">
        <v>0</v>
      </c>
      <c r="AA20" s="45">
        <v>2045</v>
      </c>
      <c r="AB20" s="6"/>
      <c r="AC20" s="9">
        <v>0</v>
      </c>
      <c r="AD20" s="45">
        <v>224</v>
      </c>
      <c r="AE20" s="6"/>
      <c r="AF20" s="9">
        <v>0</v>
      </c>
      <c r="AG20" s="45">
        <v>1380</v>
      </c>
      <c r="AH20" s="6"/>
      <c r="AI20" s="8">
        <v>0</v>
      </c>
      <c r="AJ20" s="45">
        <v>312</v>
      </c>
      <c r="AK20" s="7"/>
      <c r="AL20" s="6"/>
      <c r="AM20" s="8">
        <v>0</v>
      </c>
      <c r="AN20" s="45">
        <v>629</v>
      </c>
      <c r="AO20" s="7"/>
      <c r="AP20" s="6"/>
      <c r="AQ20" s="8">
        <v>0</v>
      </c>
      <c r="AR20" s="45">
        <v>280</v>
      </c>
      <c r="AS20" s="14">
        <v>2</v>
      </c>
      <c r="AT20" s="86">
        <v>6</v>
      </c>
      <c r="AU20" s="92"/>
      <c r="AV20" s="88"/>
      <c r="AW20" s="89">
        <v>121.88</v>
      </c>
      <c r="AX20" s="12">
        <v>640</v>
      </c>
      <c r="AY20" s="9">
        <v>1</v>
      </c>
      <c r="AZ20" s="90">
        <v>36541.25</v>
      </c>
      <c r="BA20" s="90">
        <v>57.601874999999154</v>
      </c>
      <c r="BB20" s="90">
        <v>5359.125</v>
      </c>
      <c r="BC20" s="90">
        <v>172.4375</v>
      </c>
      <c r="BD20" s="91">
        <v>0</v>
      </c>
      <c r="BE20" s="90">
        <v>325834.3571428571</v>
      </c>
      <c r="BF20" s="90">
        <v>48116.428571428572</v>
      </c>
      <c r="BG20" s="91">
        <v>7440</v>
      </c>
      <c r="BH20" s="91">
        <v>17729.785714285714</v>
      </c>
      <c r="BI20" s="91">
        <v>8768.5714285714275</v>
      </c>
    </row>
    <row r="21" spans="1:61" ht="15.75">
      <c r="A21" s="53">
        <v>17</v>
      </c>
      <c r="B21" s="54" t="s">
        <v>68</v>
      </c>
      <c r="C21" s="10"/>
      <c r="D21" s="6">
        <v>389124</v>
      </c>
      <c r="E21" s="8">
        <v>1088</v>
      </c>
      <c r="F21" s="6">
        <v>7129</v>
      </c>
      <c r="G21" s="8">
        <v>0.27000000000043656</v>
      </c>
      <c r="H21" s="14">
        <v>117661</v>
      </c>
      <c r="I21" s="8">
        <v>180</v>
      </c>
      <c r="J21" s="85">
        <v>631418</v>
      </c>
      <c r="K21" s="8">
        <v>172</v>
      </c>
      <c r="L21" s="7"/>
      <c r="M21" s="11" t="e">
        <v>#DIV/0!</v>
      </c>
      <c r="N21" s="6">
        <v>15176</v>
      </c>
      <c r="O21" s="8">
        <v>4</v>
      </c>
      <c r="P21" s="12">
        <v>100682</v>
      </c>
      <c r="Q21" s="9">
        <v>16</v>
      </c>
      <c r="R21" s="12">
        <v>46</v>
      </c>
      <c r="S21" s="9">
        <v>0</v>
      </c>
      <c r="T21" s="12">
        <v>207832</v>
      </c>
      <c r="U21" s="9">
        <v>52</v>
      </c>
      <c r="V21" s="13"/>
      <c r="W21" s="8">
        <v>0</v>
      </c>
      <c r="X21" s="45">
        <v>10700</v>
      </c>
      <c r="Y21" s="55"/>
      <c r="Z21" s="8">
        <v>0</v>
      </c>
      <c r="AA21" s="45">
        <v>1966</v>
      </c>
      <c r="AB21" s="6"/>
      <c r="AC21" s="9">
        <v>0</v>
      </c>
      <c r="AD21" s="45">
        <v>220</v>
      </c>
      <c r="AE21" s="6"/>
      <c r="AF21" s="9">
        <v>0</v>
      </c>
      <c r="AG21" s="45">
        <v>1298</v>
      </c>
      <c r="AH21" s="6"/>
      <c r="AI21" s="8">
        <v>0</v>
      </c>
      <c r="AJ21" s="45">
        <v>352</v>
      </c>
      <c r="AK21" s="7"/>
      <c r="AL21" s="6"/>
      <c r="AM21" s="8">
        <v>0</v>
      </c>
      <c r="AN21" s="45">
        <v>561</v>
      </c>
      <c r="AO21" s="7"/>
      <c r="AP21" s="6"/>
      <c r="AQ21" s="8">
        <v>0</v>
      </c>
      <c r="AR21" s="45">
        <v>288</v>
      </c>
      <c r="AS21" s="14">
        <v>3</v>
      </c>
      <c r="AT21" s="86">
        <v>6</v>
      </c>
      <c r="AU21" s="87"/>
      <c r="AV21" s="88"/>
      <c r="AW21" s="89">
        <v>121.88</v>
      </c>
      <c r="AX21" s="12">
        <v>640</v>
      </c>
      <c r="AY21" s="9">
        <v>0</v>
      </c>
      <c r="AZ21" s="90">
        <v>36375.764705882357</v>
      </c>
      <c r="BA21" s="90">
        <v>54.705882352941174</v>
      </c>
      <c r="BB21" s="90">
        <v>5372.1176470588234</v>
      </c>
      <c r="BC21" s="90">
        <v>169.58823529411765</v>
      </c>
      <c r="BD21" s="91">
        <v>0</v>
      </c>
      <c r="BE21" s="90">
        <v>326225.39999999997</v>
      </c>
      <c r="BF21" s="90">
        <v>48045.866666666669</v>
      </c>
      <c r="BG21" s="91">
        <v>7671.4666666666672</v>
      </c>
      <c r="BH21" s="91">
        <v>17707.2</v>
      </c>
      <c r="BI21" s="91">
        <v>8779.1999999999989</v>
      </c>
    </row>
    <row r="22" spans="1:61" ht="15.75">
      <c r="A22" s="53">
        <v>18</v>
      </c>
      <c r="B22" s="54" t="s">
        <v>68</v>
      </c>
      <c r="C22" s="10" t="s">
        <v>70</v>
      </c>
      <c r="D22" s="6">
        <v>390124</v>
      </c>
      <c r="E22" s="8">
        <v>1000</v>
      </c>
      <c r="F22" s="6">
        <v>7130</v>
      </c>
      <c r="G22" s="8">
        <v>1</v>
      </c>
      <c r="H22" s="14">
        <v>117823</v>
      </c>
      <c r="I22" s="8">
        <v>162</v>
      </c>
      <c r="J22" s="85">
        <v>631574</v>
      </c>
      <c r="K22" s="8">
        <v>156</v>
      </c>
      <c r="L22" s="7"/>
      <c r="M22" s="11" t="e">
        <v>#DIV/0!</v>
      </c>
      <c r="N22" s="6">
        <v>15176</v>
      </c>
      <c r="O22" s="8">
        <v>0</v>
      </c>
      <c r="P22" s="12">
        <v>100698</v>
      </c>
      <c r="Q22" s="9">
        <v>16</v>
      </c>
      <c r="R22" s="12">
        <v>46</v>
      </c>
      <c r="S22" s="9">
        <v>0</v>
      </c>
      <c r="T22" s="12">
        <v>207871</v>
      </c>
      <c r="U22" s="9">
        <v>39</v>
      </c>
      <c r="V22" s="13"/>
      <c r="W22" s="8">
        <v>0</v>
      </c>
      <c r="X22" s="45">
        <v>10732</v>
      </c>
      <c r="Y22" s="55"/>
      <c r="Z22" s="8">
        <v>0</v>
      </c>
      <c r="AA22" s="45">
        <v>1963</v>
      </c>
      <c r="AB22" s="6"/>
      <c r="AC22" s="9">
        <v>0</v>
      </c>
      <c r="AD22" s="45">
        <v>243</v>
      </c>
      <c r="AE22" s="6"/>
      <c r="AF22" s="9">
        <v>0</v>
      </c>
      <c r="AG22" s="45">
        <v>1250</v>
      </c>
      <c r="AH22" s="6"/>
      <c r="AI22" s="8">
        <v>0</v>
      </c>
      <c r="AJ22" s="45">
        <v>224</v>
      </c>
      <c r="AK22" s="7"/>
      <c r="AL22" s="6"/>
      <c r="AM22" s="8">
        <v>0</v>
      </c>
      <c r="AN22" s="45">
        <v>618</v>
      </c>
      <c r="AO22" s="7"/>
      <c r="AP22" s="6"/>
      <c r="AQ22" s="8">
        <v>0</v>
      </c>
      <c r="AR22" s="45">
        <v>264</v>
      </c>
      <c r="AS22" s="14">
        <v>3</v>
      </c>
      <c r="AT22" s="86">
        <v>8</v>
      </c>
      <c r="AU22" s="92"/>
      <c r="AV22" s="88"/>
      <c r="AW22" s="89">
        <v>121.88</v>
      </c>
      <c r="AX22" s="12">
        <v>640</v>
      </c>
      <c r="AY22" s="9">
        <v>0</v>
      </c>
      <c r="AZ22" s="90">
        <v>36077.111111111109</v>
      </c>
      <c r="BA22" s="90">
        <v>53.388888888888893</v>
      </c>
      <c r="BB22" s="90">
        <v>5352.6666666666661</v>
      </c>
      <c r="BC22" s="90">
        <v>160.16666666666669</v>
      </c>
      <c r="BD22" s="91">
        <v>0</v>
      </c>
      <c r="BE22" s="90">
        <v>326629.5625</v>
      </c>
      <c r="BF22" s="90">
        <v>47935.6875</v>
      </c>
      <c r="BG22" s="91">
        <v>7626</v>
      </c>
      <c r="BH22" s="91">
        <v>17797.875</v>
      </c>
      <c r="BI22" s="91">
        <v>8742</v>
      </c>
    </row>
    <row r="23" spans="1:61" ht="15.75">
      <c r="A23" s="53">
        <v>19</v>
      </c>
      <c r="B23" s="54" t="s">
        <v>68</v>
      </c>
      <c r="C23" s="10"/>
      <c r="D23" s="6">
        <v>391119</v>
      </c>
      <c r="E23" s="8">
        <v>995</v>
      </c>
      <c r="F23" s="6">
        <v>7130</v>
      </c>
      <c r="G23" s="8">
        <v>0</v>
      </c>
      <c r="H23" s="14">
        <v>117991</v>
      </c>
      <c r="I23" s="8">
        <v>168</v>
      </c>
      <c r="J23" s="85">
        <v>631733</v>
      </c>
      <c r="K23" s="8">
        <v>159</v>
      </c>
      <c r="L23" s="7"/>
      <c r="M23" s="11" t="e">
        <v>#DIV/0!</v>
      </c>
      <c r="N23" s="6">
        <v>15176</v>
      </c>
      <c r="O23" s="8">
        <v>0</v>
      </c>
      <c r="P23" s="12">
        <v>100712</v>
      </c>
      <c r="Q23" s="9">
        <v>14</v>
      </c>
      <c r="R23" s="12">
        <v>46</v>
      </c>
      <c r="S23" s="9">
        <v>0</v>
      </c>
      <c r="T23" s="12">
        <v>207904</v>
      </c>
      <c r="U23" s="9">
        <v>33</v>
      </c>
      <c r="V23" s="13"/>
      <c r="W23" s="8">
        <v>0</v>
      </c>
      <c r="X23" s="45">
        <v>10369</v>
      </c>
      <c r="Y23" s="55"/>
      <c r="Z23" s="8">
        <v>0</v>
      </c>
      <c r="AA23" s="45">
        <v>1914</v>
      </c>
      <c r="AB23" s="6"/>
      <c r="AC23" s="9">
        <v>0</v>
      </c>
      <c r="AD23" s="45">
        <v>250</v>
      </c>
      <c r="AE23" s="6"/>
      <c r="AF23" s="9">
        <v>0</v>
      </c>
      <c r="AG23" s="45">
        <v>1227</v>
      </c>
      <c r="AH23" s="6"/>
      <c r="AI23" s="8">
        <v>0</v>
      </c>
      <c r="AJ23" s="45">
        <v>176</v>
      </c>
      <c r="AK23" s="7"/>
      <c r="AL23" s="6"/>
      <c r="AM23" s="8">
        <v>0</v>
      </c>
      <c r="AN23" s="45">
        <v>568</v>
      </c>
      <c r="AO23" s="7"/>
      <c r="AP23" s="6"/>
      <c r="AQ23" s="8">
        <v>0</v>
      </c>
      <c r="AR23" s="45">
        <v>304</v>
      </c>
      <c r="AS23" s="57">
        <v>3</v>
      </c>
      <c r="AT23" s="94">
        <v>6</v>
      </c>
      <c r="AU23" s="95"/>
      <c r="AV23" s="88"/>
      <c r="AW23" s="89">
        <v>121.88</v>
      </c>
      <c r="AX23" s="12">
        <v>640</v>
      </c>
      <c r="AY23" s="9">
        <v>0</v>
      </c>
      <c r="AZ23" s="90">
        <v>35801.73684210526</v>
      </c>
      <c r="BA23" s="90">
        <v>50.578947368421055</v>
      </c>
      <c r="BB23" s="90">
        <v>5345.0526315789475</v>
      </c>
      <c r="BC23" s="90">
        <v>151.73684210526315</v>
      </c>
      <c r="BD23" s="91">
        <v>0</v>
      </c>
      <c r="BE23" s="90">
        <v>326324.23529411765</v>
      </c>
      <c r="BF23" s="90">
        <v>47809.294117647056</v>
      </c>
      <c r="BG23" s="91">
        <v>7498.3529411764703</v>
      </c>
      <c r="BH23" s="91">
        <v>17786.705882352941</v>
      </c>
      <c r="BI23" s="91">
        <v>8782.1176470588234</v>
      </c>
    </row>
    <row r="24" spans="1:61" ht="15.75">
      <c r="A24" s="53">
        <v>20</v>
      </c>
      <c r="B24" s="54" t="s">
        <v>68</v>
      </c>
      <c r="C24" s="10"/>
      <c r="D24" s="6">
        <v>392171</v>
      </c>
      <c r="E24" s="8">
        <v>1052</v>
      </c>
      <c r="F24" s="6">
        <v>7130</v>
      </c>
      <c r="G24" s="8">
        <v>0</v>
      </c>
      <c r="H24" s="14">
        <v>118148</v>
      </c>
      <c r="I24" s="8">
        <v>157</v>
      </c>
      <c r="J24" s="85">
        <v>631886</v>
      </c>
      <c r="K24" s="8">
        <v>153</v>
      </c>
      <c r="L24" s="7"/>
      <c r="M24" s="11" t="e">
        <v>#DIV/0!</v>
      </c>
      <c r="N24" s="6">
        <v>15176</v>
      </c>
      <c r="O24" s="8">
        <v>0</v>
      </c>
      <c r="P24" s="12">
        <v>100729</v>
      </c>
      <c r="Q24" s="9">
        <v>17</v>
      </c>
      <c r="R24" s="12">
        <v>46</v>
      </c>
      <c r="S24" s="9">
        <v>0</v>
      </c>
      <c r="T24" s="12">
        <v>207948</v>
      </c>
      <c r="U24" s="9">
        <v>44</v>
      </c>
      <c r="V24" s="13">
        <v>5915.0730000000003</v>
      </c>
      <c r="W24" s="8">
        <v>13013160.600000001</v>
      </c>
      <c r="X24" s="45">
        <v>10611</v>
      </c>
      <c r="Y24" s="55">
        <v>1120.9880000000001</v>
      </c>
      <c r="Z24" s="8">
        <v>2466173.6</v>
      </c>
      <c r="AA24" s="45">
        <v>1963</v>
      </c>
      <c r="AB24" s="6">
        <v>1788282</v>
      </c>
      <c r="AC24" s="9">
        <v>1788282</v>
      </c>
      <c r="AD24" s="45">
        <v>230</v>
      </c>
      <c r="AE24" s="6">
        <v>5326288</v>
      </c>
      <c r="AF24" s="9">
        <v>5326288</v>
      </c>
      <c r="AG24" s="45">
        <v>1266</v>
      </c>
      <c r="AH24" s="6">
        <v>34398</v>
      </c>
      <c r="AI24" s="8">
        <v>2751840</v>
      </c>
      <c r="AJ24" s="45">
        <v>176</v>
      </c>
      <c r="AK24" s="7"/>
      <c r="AL24" s="6">
        <v>273663</v>
      </c>
      <c r="AM24" s="8">
        <v>273663</v>
      </c>
      <c r="AN24" s="45">
        <v>605</v>
      </c>
      <c r="AO24" s="7"/>
      <c r="AP24" s="6">
        <v>47188</v>
      </c>
      <c r="AQ24" s="8">
        <v>3775040</v>
      </c>
      <c r="AR24" s="45">
        <v>288</v>
      </c>
      <c r="AS24" s="14">
        <v>4</v>
      </c>
      <c r="AT24" s="86">
        <v>7</v>
      </c>
      <c r="AU24" s="92"/>
      <c r="AV24" s="88"/>
      <c r="AW24" s="89">
        <v>121.88</v>
      </c>
      <c r="AX24" s="12">
        <v>641</v>
      </c>
      <c r="AY24" s="9">
        <v>1</v>
      </c>
      <c r="AZ24" s="90">
        <v>35642.25</v>
      </c>
      <c r="BA24" s="90">
        <v>48.050000000000004</v>
      </c>
      <c r="BB24" s="90">
        <v>5321.1500000000005</v>
      </c>
      <c r="BC24" s="90">
        <v>144.15</v>
      </c>
      <c r="BD24" s="91">
        <v>362595.53000000183</v>
      </c>
      <c r="BE24" s="90">
        <v>326469.61111111112</v>
      </c>
      <c r="BF24" s="90">
        <v>47729.666666666664</v>
      </c>
      <c r="BG24" s="91">
        <v>7384.8888888888887</v>
      </c>
      <c r="BH24" s="91">
        <v>17840.5</v>
      </c>
      <c r="BI24" s="91">
        <v>8790.2222222222226</v>
      </c>
    </row>
    <row r="25" spans="1:61" ht="15.75">
      <c r="A25" s="53">
        <v>21</v>
      </c>
      <c r="B25" s="54" t="s">
        <v>68</v>
      </c>
      <c r="C25" s="10" t="s">
        <v>71</v>
      </c>
      <c r="D25" s="6">
        <v>393184</v>
      </c>
      <c r="E25" s="8">
        <v>1013</v>
      </c>
      <c r="F25" s="6">
        <v>7130</v>
      </c>
      <c r="G25" s="8">
        <v>0</v>
      </c>
      <c r="H25" s="14">
        <v>118310</v>
      </c>
      <c r="I25" s="8">
        <v>162</v>
      </c>
      <c r="J25" s="85">
        <v>632039</v>
      </c>
      <c r="K25" s="8">
        <v>153</v>
      </c>
      <c r="L25" s="7"/>
      <c r="M25" s="11" t="e">
        <v>#DIV/0!</v>
      </c>
      <c r="N25" s="6">
        <v>15178</v>
      </c>
      <c r="O25" s="8">
        <v>2</v>
      </c>
      <c r="P25" s="12">
        <v>100744</v>
      </c>
      <c r="Q25" s="9">
        <v>15</v>
      </c>
      <c r="R25" s="12">
        <v>46</v>
      </c>
      <c r="S25" s="9">
        <v>0</v>
      </c>
      <c r="T25" s="12">
        <v>207995</v>
      </c>
      <c r="U25" s="9">
        <v>47</v>
      </c>
      <c r="V25" s="13"/>
      <c r="W25" s="8">
        <v>0</v>
      </c>
      <c r="X25" s="45">
        <v>10597</v>
      </c>
      <c r="Y25" s="55"/>
      <c r="Z25" s="8">
        <v>0</v>
      </c>
      <c r="AA25" s="45">
        <v>2189</v>
      </c>
      <c r="AB25" s="6"/>
      <c r="AC25" s="9">
        <v>0</v>
      </c>
      <c r="AD25" s="45">
        <v>228</v>
      </c>
      <c r="AE25" s="6"/>
      <c r="AF25" s="9">
        <v>0</v>
      </c>
      <c r="AG25" s="45">
        <v>1291</v>
      </c>
      <c r="AH25" s="6"/>
      <c r="AI25" s="8">
        <v>0</v>
      </c>
      <c r="AJ25" s="45">
        <v>168</v>
      </c>
      <c r="AK25" s="7"/>
      <c r="AL25" s="6"/>
      <c r="AM25" s="8">
        <v>0</v>
      </c>
      <c r="AN25" s="45">
        <v>568</v>
      </c>
      <c r="AO25" s="7"/>
      <c r="AP25" s="6"/>
      <c r="AQ25" s="8">
        <v>0</v>
      </c>
      <c r="AR25" s="45">
        <v>272</v>
      </c>
      <c r="AS25" s="14">
        <v>4</v>
      </c>
      <c r="AT25" s="86">
        <v>8</v>
      </c>
      <c r="AU25" s="87"/>
      <c r="AV25" s="88"/>
      <c r="AW25" s="89">
        <v>121.88</v>
      </c>
      <c r="AX25" s="12">
        <v>643</v>
      </c>
      <c r="AY25" s="9">
        <v>2</v>
      </c>
      <c r="AZ25" s="90">
        <v>35440.380952380954</v>
      </c>
      <c r="BA25" s="90">
        <v>45.761904761904766</v>
      </c>
      <c r="BB25" s="90">
        <v>5306.9047619047624</v>
      </c>
      <c r="BC25" s="90">
        <v>140.23809523809524</v>
      </c>
      <c r="BD25" s="91">
        <v>0</v>
      </c>
      <c r="BE25" s="90">
        <v>326576.84210526315</v>
      </c>
      <c r="BF25" s="90">
        <v>47695.947368421046</v>
      </c>
      <c r="BG25" s="91">
        <v>7270.3157894736842</v>
      </c>
      <c r="BH25" s="91">
        <v>17828.263157894737</v>
      </c>
      <c r="BI25" s="91">
        <v>8771.3684210526317</v>
      </c>
    </row>
    <row r="26" spans="1:61" ht="15.75">
      <c r="A26" s="53">
        <v>22</v>
      </c>
      <c r="B26" s="54" t="s">
        <v>68</v>
      </c>
      <c r="C26" s="10"/>
      <c r="D26" s="6">
        <v>394022</v>
      </c>
      <c r="E26" s="8">
        <v>838</v>
      </c>
      <c r="F26" s="6">
        <v>7130</v>
      </c>
      <c r="G26" s="8">
        <v>0</v>
      </c>
      <c r="H26" s="14">
        <v>118497</v>
      </c>
      <c r="I26" s="65">
        <v>187</v>
      </c>
      <c r="J26" s="85">
        <v>632219</v>
      </c>
      <c r="K26" s="8">
        <v>180</v>
      </c>
      <c r="L26" s="7"/>
      <c r="M26" s="11" t="e">
        <v>#DIV/0!</v>
      </c>
      <c r="N26" s="6">
        <v>15183</v>
      </c>
      <c r="O26" s="8">
        <v>5</v>
      </c>
      <c r="P26" s="12">
        <v>100760</v>
      </c>
      <c r="Q26" s="9">
        <v>16</v>
      </c>
      <c r="R26" s="12">
        <v>47</v>
      </c>
      <c r="S26" s="9">
        <v>1</v>
      </c>
      <c r="T26" s="12">
        <v>208032</v>
      </c>
      <c r="U26" s="9">
        <v>37</v>
      </c>
      <c r="V26" s="13"/>
      <c r="W26" s="65">
        <v>0</v>
      </c>
      <c r="X26" s="45">
        <v>10519</v>
      </c>
      <c r="Y26" s="55"/>
      <c r="Z26" s="8">
        <v>0</v>
      </c>
      <c r="AA26" s="45">
        <v>2360</v>
      </c>
      <c r="AB26" s="6"/>
      <c r="AC26" s="9">
        <v>0</v>
      </c>
      <c r="AD26" s="45">
        <v>243</v>
      </c>
      <c r="AE26" s="6"/>
      <c r="AF26" s="9">
        <v>0</v>
      </c>
      <c r="AG26" s="45">
        <v>1154</v>
      </c>
      <c r="AH26" s="6"/>
      <c r="AI26" s="8">
        <v>0</v>
      </c>
      <c r="AJ26" s="45">
        <v>200</v>
      </c>
      <c r="AK26" s="7"/>
      <c r="AL26" s="6"/>
      <c r="AM26" s="8">
        <v>0</v>
      </c>
      <c r="AN26" s="45">
        <v>564</v>
      </c>
      <c r="AO26" s="7"/>
      <c r="AP26" s="6"/>
      <c r="AQ26" s="8">
        <v>0</v>
      </c>
      <c r="AR26" s="45">
        <v>312</v>
      </c>
      <c r="AS26" s="14">
        <v>4</v>
      </c>
      <c r="AT26" s="86">
        <v>8</v>
      </c>
      <c r="AU26" s="92"/>
      <c r="AV26" s="88"/>
      <c r="AW26" s="89">
        <v>121.88</v>
      </c>
      <c r="AX26" s="12">
        <v>644</v>
      </c>
      <c r="AY26" s="9">
        <v>1</v>
      </c>
      <c r="AZ26" s="90">
        <v>35010.272727272721</v>
      </c>
      <c r="BA26" s="90">
        <v>43.681818181818187</v>
      </c>
      <c r="BB26" s="90">
        <v>5329.181818181818</v>
      </c>
      <c r="BC26" s="90">
        <v>140.90909090909093</v>
      </c>
      <c r="BD26" s="91">
        <v>0</v>
      </c>
      <c r="BE26" s="90">
        <v>326552.45</v>
      </c>
      <c r="BF26" s="90">
        <v>47476.5</v>
      </c>
      <c r="BG26" s="91">
        <v>7216.8</v>
      </c>
      <c r="BH26" s="91">
        <v>17811.05</v>
      </c>
      <c r="BI26" s="91">
        <v>8816.4</v>
      </c>
    </row>
    <row r="27" spans="1:61" ht="15.75">
      <c r="A27" s="53">
        <v>23</v>
      </c>
      <c r="B27" s="54" t="s">
        <v>68</v>
      </c>
      <c r="C27" s="10" t="s">
        <v>72</v>
      </c>
      <c r="D27" s="6">
        <v>395069</v>
      </c>
      <c r="E27" s="8">
        <v>1047</v>
      </c>
      <c r="F27" s="6">
        <v>7130</v>
      </c>
      <c r="G27" s="8">
        <v>0</v>
      </c>
      <c r="H27" s="6">
        <v>118673</v>
      </c>
      <c r="I27" s="8">
        <v>176</v>
      </c>
      <c r="J27" s="45">
        <v>632387</v>
      </c>
      <c r="K27" s="8">
        <v>168</v>
      </c>
      <c r="L27" s="7"/>
      <c r="M27" s="11" t="e">
        <v>#DIV/0!</v>
      </c>
      <c r="N27" s="6">
        <v>15190</v>
      </c>
      <c r="O27" s="8">
        <v>7</v>
      </c>
      <c r="P27" s="12">
        <v>100777</v>
      </c>
      <c r="Q27" s="9">
        <v>17</v>
      </c>
      <c r="R27" s="12">
        <v>47</v>
      </c>
      <c r="S27" s="9">
        <v>0</v>
      </c>
      <c r="T27" s="12">
        <v>208084</v>
      </c>
      <c r="U27" s="9">
        <v>52</v>
      </c>
      <c r="V27" s="13"/>
      <c r="W27" s="8">
        <v>0</v>
      </c>
      <c r="X27" s="45">
        <v>10671</v>
      </c>
      <c r="Y27" s="55"/>
      <c r="Z27" s="8">
        <v>0</v>
      </c>
      <c r="AA27" s="45">
        <v>2391</v>
      </c>
      <c r="AB27" s="6"/>
      <c r="AC27" s="9">
        <v>0</v>
      </c>
      <c r="AD27" s="45">
        <v>232</v>
      </c>
      <c r="AE27" s="12"/>
      <c r="AF27" s="9">
        <v>0</v>
      </c>
      <c r="AG27" s="45">
        <v>1264</v>
      </c>
      <c r="AH27" s="6"/>
      <c r="AI27" s="8">
        <v>0</v>
      </c>
      <c r="AJ27" s="45">
        <v>200</v>
      </c>
      <c r="AK27" s="7"/>
      <c r="AL27" s="6"/>
      <c r="AM27" s="8">
        <v>0</v>
      </c>
      <c r="AN27" s="45">
        <v>540</v>
      </c>
      <c r="AO27" s="7"/>
      <c r="AP27" s="6"/>
      <c r="AQ27" s="8">
        <v>0</v>
      </c>
      <c r="AR27" s="45">
        <v>344</v>
      </c>
      <c r="AS27" s="14">
        <v>5</v>
      </c>
      <c r="AT27" s="14">
        <v>9</v>
      </c>
      <c r="AU27" s="62"/>
      <c r="AV27" s="55"/>
      <c r="AW27" s="63">
        <v>121.89</v>
      </c>
      <c r="AX27" s="12">
        <v>644</v>
      </c>
      <c r="AY27" s="9">
        <v>0</v>
      </c>
      <c r="AZ27" s="9">
        <v>34899.260869565216</v>
      </c>
      <c r="BA27" s="9">
        <v>41.782608695652172</v>
      </c>
      <c r="BB27" s="9">
        <v>5334.695652173913</v>
      </c>
      <c r="BC27" s="9">
        <v>144.21739130434784</v>
      </c>
      <c r="BD27" s="9">
        <v>0</v>
      </c>
      <c r="BE27" s="9">
        <v>326754.76190476189</v>
      </c>
      <c r="BF27" s="8">
        <v>47424.095238095244</v>
      </c>
      <c r="BG27" s="9">
        <v>7168.3809523809523</v>
      </c>
      <c r="BH27" s="9">
        <v>17760.047619047618</v>
      </c>
      <c r="BI27" s="9">
        <v>8904.3809523809523</v>
      </c>
    </row>
    <row r="28" spans="1:61" ht="15.75">
      <c r="A28" s="53">
        <v>24</v>
      </c>
      <c r="B28" s="54" t="s">
        <v>68</v>
      </c>
      <c r="C28" s="10"/>
      <c r="D28" s="6">
        <v>395794</v>
      </c>
      <c r="E28" s="8">
        <v>725</v>
      </c>
      <c r="F28" s="6">
        <v>7133</v>
      </c>
      <c r="G28" s="8">
        <v>3</v>
      </c>
      <c r="H28" s="6">
        <v>118815</v>
      </c>
      <c r="I28" s="8">
        <v>142</v>
      </c>
      <c r="J28" s="45">
        <v>632523</v>
      </c>
      <c r="K28" s="8">
        <v>136</v>
      </c>
      <c r="L28" s="7"/>
      <c r="M28" s="11" t="e">
        <v>#DIV/0!</v>
      </c>
      <c r="N28" s="6">
        <v>15195</v>
      </c>
      <c r="O28" s="8">
        <v>5</v>
      </c>
      <c r="P28" s="12">
        <v>100793</v>
      </c>
      <c r="Q28" s="9">
        <v>16</v>
      </c>
      <c r="R28" s="12">
        <v>47</v>
      </c>
      <c r="S28" s="9">
        <v>0</v>
      </c>
      <c r="T28" s="12">
        <v>208123</v>
      </c>
      <c r="U28" s="9">
        <v>39</v>
      </c>
      <c r="V28" s="13"/>
      <c r="W28" s="8">
        <v>0</v>
      </c>
      <c r="X28" s="45">
        <v>10642</v>
      </c>
      <c r="Y28" s="55"/>
      <c r="Z28" s="8">
        <v>0</v>
      </c>
      <c r="AA28" s="45">
        <v>2597</v>
      </c>
      <c r="AB28" s="6"/>
      <c r="AC28" s="9">
        <v>0</v>
      </c>
      <c r="AD28" s="45">
        <v>254</v>
      </c>
      <c r="AE28" s="12"/>
      <c r="AF28" s="9">
        <v>0</v>
      </c>
      <c r="AG28" s="45">
        <v>1195</v>
      </c>
      <c r="AH28" s="6"/>
      <c r="AI28" s="8">
        <v>0</v>
      </c>
      <c r="AJ28" s="45">
        <v>176</v>
      </c>
      <c r="AK28" s="7"/>
      <c r="AL28" s="6"/>
      <c r="AM28" s="8">
        <v>0</v>
      </c>
      <c r="AN28" s="45">
        <v>551</v>
      </c>
      <c r="AO28" s="7"/>
      <c r="AP28" s="6"/>
      <c r="AQ28" s="8">
        <v>0</v>
      </c>
      <c r="AR28" s="45">
        <v>216</v>
      </c>
      <c r="AS28" s="14">
        <v>7</v>
      </c>
      <c r="AT28" s="14">
        <v>9</v>
      </c>
      <c r="AU28" s="62"/>
      <c r="AV28" s="55"/>
      <c r="AW28" s="63">
        <v>121.896</v>
      </c>
      <c r="AX28" s="12">
        <v>645</v>
      </c>
      <c r="AY28" s="9">
        <v>1</v>
      </c>
      <c r="AZ28" s="9">
        <v>34381.583333333328</v>
      </c>
      <c r="BA28" s="9">
        <v>43.916666666666671</v>
      </c>
      <c r="BB28" s="9">
        <v>5295.8333333333339</v>
      </c>
      <c r="BC28" s="9">
        <v>144.66666666666669</v>
      </c>
      <c r="BD28" s="9">
        <v>0</v>
      </c>
      <c r="BE28" s="9">
        <v>326897.81818181823</v>
      </c>
      <c r="BF28" s="8">
        <v>47310.227272727265</v>
      </c>
      <c r="BG28" s="9">
        <v>7090.545454545454</v>
      </c>
      <c r="BH28" s="9">
        <v>17729.181818181816</v>
      </c>
      <c r="BI28" s="9">
        <v>8804</v>
      </c>
    </row>
    <row r="29" spans="1:61" ht="15.75">
      <c r="A29" s="53">
        <v>25</v>
      </c>
      <c r="B29" s="54" t="s">
        <v>68</v>
      </c>
      <c r="C29" s="10"/>
      <c r="D29" s="6">
        <v>396506</v>
      </c>
      <c r="E29" s="8">
        <v>712</v>
      </c>
      <c r="F29" s="6">
        <v>7133</v>
      </c>
      <c r="G29" s="8">
        <v>0</v>
      </c>
      <c r="H29" s="6">
        <v>118955</v>
      </c>
      <c r="I29" s="8">
        <v>140</v>
      </c>
      <c r="J29" s="45">
        <v>632655</v>
      </c>
      <c r="K29" s="8">
        <v>132</v>
      </c>
      <c r="L29" s="7"/>
      <c r="M29" s="11" t="e">
        <v>#DIV/0!</v>
      </c>
      <c r="N29" s="6">
        <v>15201</v>
      </c>
      <c r="O29" s="8">
        <v>6</v>
      </c>
      <c r="P29" s="12">
        <v>100808</v>
      </c>
      <c r="Q29" s="9">
        <v>15</v>
      </c>
      <c r="R29" s="12">
        <v>47</v>
      </c>
      <c r="S29" s="9">
        <v>0</v>
      </c>
      <c r="T29" s="12">
        <v>208161</v>
      </c>
      <c r="U29" s="9">
        <v>38</v>
      </c>
      <c r="V29" s="13"/>
      <c r="W29" s="8">
        <v>0</v>
      </c>
      <c r="X29" s="45">
        <v>10513</v>
      </c>
      <c r="Y29" s="55"/>
      <c r="Z29" s="8">
        <v>0</v>
      </c>
      <c r="AA29" s="45">
        <v>2635</v>
      </c>
      <c r="AB29" s="6"/>
      <c r="AC29" s="9">
        <v>0</v>
      </c>
      <c r="AD29" s="45">
        <v>223</v>
      </c>
      <c r="AE29" s="12"/>
      <c r="AF29" s="9">
        <v>0</v>
      </c>
      <c r="AG29" s="45">
        <v>1186</v>
      </c>
      <c r="AH29" s="6"/>
      <c r="AI29" s="8">
        <v>0</v>
      </c>
      <c r="AJ29" s="45">
        <v>160</v>
      </c>
      <c r="AK29" s="7"/>
      <c r="AL29" s="6"/>
      <c r="AM29" s="8">
        <v>0</v>
      </c>
      <c r="AN29" s="45">
        <v>587</v>
      </c>
      <c r="AO29" s="7"/>
      <c r="AP29" s="6"/>
      <c r="AQ29" s="8">
        <v>0</v>
      </c>
      <c r="AR29" s="45">
        <v>192</v>
      </c>
      <c r="AS29" s="14">
        <v>9</v>
      </c>
      <c r="AT29" s="14">
        <v>11</v>
      </c>
      <c r="AU29" s="62"/>
      <c r="AV29" s="55"/>
      <c r="AW29" s="63">
        <v>121.896</v>
      </c>
      <c r="AX29" s="12">
        <v>645</v>
      </c>
      <c r="AY29" s="9">
        <v>0</v>
      </c>
      <c r="AZ29" s="9">
        <v>33889.200000000004</v>
      </c>
      <c r="BA29" s="9">
        <v>42.160000000000004</v>
      </c>
      <c r="BB29" s="9">
        <v>5257.5999999999995</v>
      </c>
      <c r="BC29" s="9">
        <v>146.32</v>
      </c>
      <c r="BD29" s="9">
        <v>0</v>
      </c>
      <c r="BE29" s="9">
        <v>326854.56521739135</v>
      </c>
      <c r="BF29" s="8">
        <v>47152.34782608696</v>
      </c>
      <c r="BG29" s="9">
        <v>6997.9130434782601</v>
      </c>
      <c r="BH29" s="9">
        <v>17749.521739130436</v>
      </c>
      <c r="BI29" s="9">
        <v>8680</v>
      </c>
    </row>
    <row r="30" spans="1:61" ht="15.75">
      <c r="A30" s="53">
        <v>26</v>
      </c>
      <c r="B30" s="54" t="s">
        <v>68</v>
      </c>
      <c r="C30" s="10"/>
      <c r="D30" s="6">
        <v>397218</v>
      </c>
      <c r="E30" s="8">
        <v>712</v>
      </c>
      <c r="F30" s="6">
        <v>7133</v>
      </c>
      <c r="G30" s="8">
        <v>0</v>
      </c>
      <c r="H30" s="6">
        <v>119107</v>
      </c>
      <c r="I30" s="8">
        <v>152</v>
      </c>
      <c r="J30" s="45">
        <v>632800</v>
      </c>
      <c r="K30" s="8">
        <v>145</v>
      </c>
      <c r="L30" s="7"/>
      <c r="M30" s="11" t="e">
        <v>#DIV/0!</v>
      </c>
      <c r="N30" s="6">
        <v>15207</v>
      </c>
      <c r="O30" s="8">
        <v>6</v>
      </c>
      <c r="P30" s="12">
        <v>100824</v>
      </c>
      <c r="Q30" s="9">
        <v>16</v>
      </c>
      <c r="R30" s="12">
        <v>47</v>
      </c>
      <c r="S30" s="9">
        <v>0</v>
      </c>
      <c r="T30" s="12">
        <v>208203</v>
      </c>
      <c r="U30" s="9">
        <v>42</v>
      </c>
      <c r="V30" s="13"/>
      <c r="W30" s="8">
        <v>0</v>
      </c>
      <c r="X30" s="45">
        <v>10375</v>
      </c>
      <c r="Y30" s="55"/>
      <c r="Z30" s="8">
        <v>0</v>
      </c>
      <c r="AA30" s="45">
        <v>2595</v>
      </c>
      <c r="AB30" s="6"/>
      <c r="AC30" s="9">
        <v>0</v>
      </c>
      <c r="AD30" s="45">
        <v>222</v>
      </c>
      <c r="AE30" s="12"/>
      <c r="AF30" s="9">
        <v>0</v>
      </c>
      <c r="AG30" s="45">
        <v>1108</v>
      </c>
      <c r="AH30" s="6"/>
      <c r="AI30" s="8">
        <v>0</v>
      </c>
      <c r="AJ30" s="45">
        <v>160</v>
      </c>
      <c r="AK30" s="7"/>
      <c r="AL30" s="6"/>
      <c r="AM30" s="8">
        <v>0</v>
      </c>
      <c r="AN30" s="45">
        <v>563</v>
      </c>
      <c r="AO30" s="7"/>
      <c r="AP30" s="6"/>
      <c r="AQ30" s="8">
        <v>0</v>
      </c>
      <c r="AR30" s="45">
        <v>192</v>
      </c>
      <c r="AS30" s="14">
        <v>8</v>
      </c>
      <c r="AT30" s="14">
        <v>11</v>
      </c>
      <c r="AU30" s="62"/>
      <c r="AV30" s="55"/>
      <c r="AW30" s="63">
        <v>121.896</v>
      </c>
      <c r="AX30" s="12">
        <v>646</v>
      </c>
      <c r="AY30" s="9">
        <v>1</v>
      </c>
      <c r="AZ30" s="9">
        <v>33434.692307692305</v>
      </c>
      <c r="BA30" s="9">
        <v>40.53846153846154</v>
      </c>
      <c r="BB30" s="9">
        <v>5236.6153846153848</v>
      </c>
      <c r="BC30" s="9">
        <v>147.84615384615384</v>
      </c>
      <c r="BD30" s="9">
        <v>0</v>
      </c>
      <c r="BE30" s="9">
        <v>326636.66666666663</v>
      </c>
      <c r="BF30" s="8">
        <v>46905.583333333328</v>
      </c>
      <c r="BG30" s="9">
        <v>6913</v>
      </c>
      <c r="BH30" s="9">
        <v>17737.166666666664</v>
      </c>
      <c r="BI30" s="9">
        <v>8566.3333333333321</v>
      </c>
    </row>
    <row r="31" spans="1:61" ht="15.75">
      <c r="A31" s="53">
        <v>27</v>
      </c>
      <c r="B31" s="54" t="s">
        <v>68</v>
      </c>
      <c r="C31" s="10"/>
      <c r="D31" s="6">
        <v>397962</v>
      </c>
      <c r="E31" s="8">
        <v>744</v>
      </c>
      <c r="F31" s="96">
        <v>7133</v>
      </c>
      <c r="G31" s="8">
        <v>0</v>
      </c>
      <c r="H31" s="6">
        <v>119259</v>
      </c>
      <c r="I31" s="8">
        <v>152</v>
      </c>
      <c r="J31" s="45">
        <v>632945</v>
      </c>
      <c r="K31" s="8">
        <v>145</v>
      </c>
      <c r="L31" s="7"/>
      <c r="M31" s="11" t="e">
        <v>#DIV/0!</v>
      </c>
      <c r="N31" s="14">
        <v>15212</v>
      </c>
      <c r="O31" s="8">
        <v>5</v>
      </c>
      <c r="P31" s="12">
        <v>100837</v>
      </c>
      <c r="Q31" s="9">
        <v>13</v>
      </c>
      <c r="R31" s="12">
        <v>47</v>
      </c>
      <c r="S31" s="9">
        <v>0</v>
      </c>
      <c r="T31" s="12">
        <v>208239</v>
      </c>
      <c r="U31" s="9">
        <v>36</v>
      </c>
      <c r="V31" s="13"/>
      <c r="W31" s="8">
        <v>0</v>
      </c>
      <c r="X31" s="45">
        <v>10327</v>
      </c>
      <c r="Y31" s="69"/>
      <c r="Z31" s="8">
        <v>0</v>
      </c>
      <c r="AA31" s="45">
        <v>2536</v>
      </c>
      <c r="AB31" s="6"/>
      <c r="AC31" s="9">
        <v>0</v>
      </c>
      <c r="AD31" s="45">
        <v>248</v>
      </c>
      <c r="AE31" s="12"/>
      <c r="AF31" s="9">
        <v>0</v>
      </c>
      <c r="AG31" s="45">
        <v>1171</v>
      </c>
      <c r="AH31" s="6"/>
      <c r="AI31" s="8">
        <v>0</v>
      </c>
      <c r="AJ31" s="45">
        <v>136</v>
      </c>
      <c r="AK31" s="7"/>
      <c r="AL31" s="6"/>
      <c r="AM31" s="8">
        <v>0</v>
      </c>
      <c r="AN31" s="45">
        <v>514</v>
      </c>
      <c r="AO31" s="7"/>
      <c r="AP31" s="6"/>
      <c r="AQ31" s="8">
        <v>0</v>
      </c>
      <c r="AR31" s="45">
        <v>264</v>
      </c>
      <c r="AS31" s="57">
        <v>8</v>
      </c>
      <c r="AT31" s="57">
        <v>12</v>
      </c>
      <c r="AU31" s="62"/>
      <c r="AV31" s="55"/>
      <c r="AW31" s="63">
        <v>121.896</v>
      </c>
      <c r="AX31" s="12">
        <v>646</v>
      </c>
      <c r="AY31" s="9">
        <v>0</v>
      </c>
      <c r="AZ31" s="9">
        <v>33050.592592592591</v>
      </c>
      <c r="BA31" s="9">
        <v>39.037037037037038</v>
      </c>
      <c r="BB31" s="9">
        <v>5217.1851851851852</v>
      </c>
      <c r="BC31" s="9">
        <v>148.11111111111111</v>
      </c>
      <c r="BD31" s="9">
        <v>0</v>
      </c>
      <c r="BE31" s="9">
        <v>326376.68</v>
      </c>
      <c r="BF31" s="8">
        <v>46788.920000000006</v>
      </c>
      <c r="BG31" s="9">
        <v>6805.12</v>
      </c>
      <c r="BH31" s="9">
        <v>17665.04</v>
      </c>
      <c r="BI31" s="9">
        <v>8551.0399999999991</v>
      </c>
    </row>
    <row r="32" spans="1:61" ht="15.75">
      <c r="A32" s="53">
        <v>28</v>
      </c>
      <c r="B32" s="54" t="s">
        <v>68</v>
      </c>
      <c r="C32" s="10"/>
      <c r="D32" s="6">
        <v>398706</v>
      </c>
      <c r="E32" s="8">
        <v>744</v>
      </c>
      <c r="F32" s="6">
        <v>7135</v>
      </c>
      <c r="G32" s="8">
        <v>2</v>
      </c>
      <c r="H32" s="6">
        <v>119408</v>
      </c>
      <c r="I32" s="8">
        <v>149</v>
      </c>
      <c r="J32" s="45">
        <v>633088</v>
      </c>
      <c r="K32" s="8">
        <v>143</v>
      </c>
      <c r="L32" s="7"/>
      <c r="M32" s="11" t="e">
        <v>#DIV/0!</v>
      </c>
      <c r="N32" s="14">
        <v>15216</v>
      </c>
      <c r="O32" s="8">
        <v>4</v>
      </c>
      <c r="P32" s="12">
        <v>100852</v>
      </c>
      <c r="Q32" s="9">
        <v>15</v>
      </c>
      <c r="R32" s="12">
        <v>47</v>
      </c>
      <c r="S32" s="9">
        <v>0</v>
      </c>
      <c r="T32" s="12">
        <v>208279</v>
      </c>
      <c r="U32" s="9">
        <v>40</v>
      </c>
      <c r="V32" s="13"/>
      <c r="W32" s="8">
        <v>0</v>
      </c>
      <c r="X32" s="45">
        <v>10482</v>
      </c>
      <c r="Y32" s="55"/>
      <c r="Z32" s="8">
        <v>0</v>
      </c>
      <c r="AA32" s="45">
        <v>2576</v>
      </c>
      <c r="AB32" s="6"/>
      <c r="AC32" s="9">
        <v>0</v>
      </c>
      <c r="AD32" s="45">
        <v>221</v>
      </c>
      <c r="AE32" s="12"/>
      <c r="AF32" s="9">
        <v>0</v>
      </c>
      <c r="AG32" s="45">
        <v>1173</v>
      </c>
      <c r="AH32" s="6"/>
      <c r="AI32" s="8">
        <v>0</v>
      </c>
      <c r="AJ32" s="45">
        <v>168</v>
      </c>
      <c r="AK32" s="7"/>
      <c r="AL32" s="6"/>
      <c r="AM32" s="8">
        <v>0</v>
      </c>
      <c r="AN32" s="45">
        <v>538</v>
      </c>
      <c r="AO32" s="7"/>
      <c r="AP32" s="6"/>
      <c r="AQ32" s="8">
        <v>0</v>
      </c>
      <c r="AR32" s="45">
        <v>280</v>
      </c>
      <c r="AS32" s="14">
        <v>9</v>
      </c>
      <c r="AT32" s="14">
        <v>13</v>
      </c>
      <c r="AU32" s="62"/>
      <c r="AV32" s="55"/>
      <c r="AW32" s="63">
        <v>121.89</v>
      </c>
      <c r="AX32" s="12">
        <v>646</v>
      </c>
      <c r="AY32" s="9">
        <v>0</v>
      </c>
      <c r="AZ32" s="9">
        <v>32693.928571428569</v>
      </c>
      <c r="BA32" s="9">
        <v>39.857142857142861</v>
      </c>
      <c r="BB32" s="9">
        <v>5195.8214285714284</v>
      </c>
      <c r="BC32" s="9">
        <v>147.25</v>
      </c>
      <c r="BD32" s="9">
        <v>0</v>
      </c>
      <c r="BE32" s="9">
        <v>326321.5</v>
      </c>
      <c r="BF32" s="8">
        <v>46651.423076923078</v>
      </c>
      <c r="BG32" s="9">
        <v>6743.6923076923076</v>
      </c>
      <c r="BH32" s="9">
        <v>17627.076923076926</v>
      </c>
      <c r="BI32" s="9">
        <v>8556</v>
      </c>
    </row>
    <row r="33" spans="1:61" ht="15.75">
      <c r="A33" s="53">
        <v>29</v>
      </c>
      <c r="B33" s="54" t="s">
        <v>68</v>
      </c>
      <c r="C33" s="10"/>
      <c r="D33" s="6">
        <v>399482</v>
      </c>
      <c r="E33" s="8">
        <v>776</v>
      </c>
      <c r="F33" s="6">
        <v>7135</v>
      </c>
      <c r="G33" s="8">
        <v>0</v>
      </c>
      <c r="H33" s="6">
        <v>119568</v>
      </c>
      <c r="I33" s="8">
        <v>160</v>
      </c>
      <c r="J33" s="45">
        <v>633240</v>
      </c>
      <c r="K33" s="8">
        <v>152</v>
      </c>
      <c r="L33" s="7"/>
      <c r="M33" s="11" t="e">
        <v>#DIV/0!</v>
      </c>
      <c r="N33" s="14">
        <v>15218</v>
      </c>
      <c r="O33" s="8">
        <v>2</v>
      </c>
      <c r="P33" s="12">
        <v>100868</v>
      </c>
      <c r="Q33" s="9">
        <v>16</v>
      </c>
      <c r="R33" s="70">
        <v>47</v>
      </c>
      <c r="S33" s="9">
        <v>0</v>
      </c>
      <c r="T33" s="12">
        <v>208323</v>
      </c>
      <c r="U33" s="9">
        <v>44</v>
      </c>
      <c r="V33" s="13"/>
      <c r="W33" s="8">
        <v>0</v>
      </c>
      <c r="X33" s="45">
        <v>10365</v>
      </c>
      <c r="Y33" s="55"/>
      <c r="Z33" s="8">
        <v>0</v>
      </c>
      <c r="AA33" s="45">
        <v>2531</v>
      </c>
      <c r="AB33" s="6"/>
      <c r="AC33" s="9">
        <v>0</v>
      </c>
      <c r="AD33" s="45">
        <v>241</v>
      </c>
      <c r="AE33" s="12"/>
      <c r="AF33" s="9">
        <v>0</v>
      </c>
      <c r="AG33" s="45">
        <v>1052</v>
      </c>
      <c r="AH33" s="6"/>
      <c r="AI33" s="8">
        <v>0</v>
      </c>
      <c r="AJ33" s="45">
        <v>152</v>
      </c>
      <c r="AK33" s="7"/>
      <c r="AL33" s="6"/>
      <c r="AM33" s="8">
        <v>0</v>
      </c>
      <c r="AN33" s="45">
        <v>536</v>
      </c>
      <c r="AO33" s="7"/>
      <c r="AP33" s="6"/>
      <c r="AQ33" s="8">
        <v>0</v>
      </c>
      <c r="AR33" s="45">
        <v>304</v>
      </c>
      <c r="AS33" s="14">
        <v>10</v>
      </c>
      <c r="AT33" s="14">
        <v>13</v>
      </c>
      <c r="AU33" s="62"/>
      <c r="AV33" s="55"/>
      <c r="AW33" s="63">
        <v>121.89</v>
      </c>
      <c r="AX33" s="12">
        <v>647</v>
      </c>
      <c r="AY33" s="9">
        <v>1</v>
      </c>
      <c r="AZ33" s="9">
        <v>32396.068965517243</v>
      </c>
      <c r="BA33" s="9">
        <v>38.482758620689658</v>
      </c>
      <c r="BB33" s="9">
        <v>5187.6896551724139</v>
      </c>
      <c r="BC33" s="9">
        <v>144.31034482758619</v>
      </c>
      <c r="BD33" s="9">
        <v>0</v>
      </c>
      <c r="BE33" s="9">
        <v>326136.07407407404</v>
      </c>
      <c r="BF33" s="8">
        <v>46408.148148148146</v>
      </c>
      <c r="BG33" s="9">
        <v>6668.4444444444443</v>
      </c>
      <c r="BH33" s="9">
        <v>17589.629629629628</v>
      </c>
      <c r="BI33" s="9">
        <v>8588.1481481481478</v>
      </c>
    </row>
    <row r="34" spans="1:61" ht="15.75">
      <c r="A34" s="53">
        <v>30</v>
      </c>
      <c r="B34" s="54" t="s">
        <v>68</v>
      </c>
      <c r="C34" s="10"/>
      <c r="D34" s="6">
        <v>400276</v>
      </c>
      <c r="E34" s="8">
        <v>794</v>
      </c>
      <c r="F34" s="6">
        <v>7135</v>
      </c>
      <c r="G34" s="8">
        <v>0</v>
      </c>
      <c r="H34" s="6">
        <v>119714</v>
      </c>
      <c r="I34" s="8">
        <v>146</v>
      </c>
      <c r="J34" s="45">
        <v>633380</v>
      </c>
      <c r="K34" s="8">
        <v>140</v>
      </c>
      <c r="L34" s="7"/>
      <c r="M34" s="11" t="e">
        <v>#DIV/0!</v>
      </c>
      <c r="N34" s="14">
        <v>15219</v>
      </c>
      <c r="O34" s="8">
        <v>1</v>
      </c>
      <c r="P34" s="71">
        <v>100883</v>
      </c>
      <c r="Q34" s="9">
        <v>15</v>
      </c>
      <c r="R34" s="12">
        <v>47</v>
      </c>
      <c r="S34" s="9">
        <v>0</v>
      </c>
      <c r="T34" s="71">
        <v>208362</v>
      </c>
      <c r="U34" s="9">
        <v>39</v>
      </c>
      <c r="V34" s="13"/>
      <c r="W34" s="8">
        <v>0</v>
      </c>
      <c r="X34" s="45">
        <v>10386</v>
      </c>
      <c r="Y34" s="55"/>
      <c r="Z34" s="8">
        <v>0</v>
      </c>
      <c r="AA34" s="45">
        <v>2498</v>
      </c>
      <c r="AB34" s="6"/>
      <c r="AC34" s="9">
        <v>0</v>
      </c>
      <c r="AD34" s="45">
        <v>230</v>
      </c>
      <c r="AE34" s="12"/>
      <c r="AF34" s="9">
        <v>0</v>
      </c>
      <c r="AG34" s="45">
        <v>1070</v>
      </c>
      <c r="AH34" s="6"/>
      <c r="AI34" s="8">
        <v>0</v>
      </c>
      <c r="AJ34" s="45">
        <v>144</v>
      </c>
      <c r="AK34" s="7"/>
      <c r="AL34" s="6"/>
      <c r="AM34" s="8">
        <v>0</v>
      </c>
      <c r="AN34" s="45">
        <v>548</v>
      </c>
      <c r="AO34" s="7"/>
      <c r="AP34" s="6"/>
      <c r="AQ34" s="8">
        <v>0</v>
      </c>
      <c r="AR34" s="45">
        <v>256</v>
      </c>
      <c r="AS34" s="14">
        <v>9</v>
      </c>
      <c r="AT34" s="14">
        <v>13</v>
      </c>
      <c r="AU34" s="62"/>
      <c r="AV34" s="55"/>
      <c r="AW34" s="63">
        <v>121.89</v>
      </c>
      <c r="AX34" s="12">
        <v>648</v>
      </c>
      <c r="AY34" s="9">
        <v>1</v>
      </c>
      <c r="AZ34" s="9">
        <v>32136.666666666668</v>
      </c>
      <c r="BA34" s="9">
        <v>37.199999999999996</v>
      </c>
      <c r="BB34" s="9">
        <v>5165.6333333333332</v>
      </c>
      <c r="BC34" s="9">
        <v>140.53333333333333</v>
      </c>
      <c r="BD34" s="9">
        <v>0</v>
      </c>
      <c r="BE34" s="9">
        <v>325987.1428571429</v>
      </c>
      <c r="BF34" s="8">
        <v>46190</v>
      </c>
      <c r="BG34" s="9">
        <v>6589.7142857142862</v>
      </c>
      <c r="BH34" s="9">
        <v>17568.142857142855</v>
      </c>
      <c r="BI34" s="9">
        <v>8564.8571428571431</v>
      </c>
    </row>
    <row r="35" spans="1:61" ht="16.5" thickBot="1">
      <c r="A35" s="53">
        <v>31</v>
      </c>
      <c r="B35" s="54" t="s">
        <v>68</v>
      </c>
      <c r="C35" s="72"/>
      <c r="D35" s="6">
        <v>401065</v>
      </c>
      <c r="E35" s="8">
        <v>789</v>
      </c>
      <c r="F35" s="6">
        <v>7136</v>
      </c>
      <c r="G35" s="8">
        <v>1</v>
      </c>
      <c r="H35" s="6">
        <v>119857</v>
      </c>
      <c r="I35" s="8">
        <v>143</v>
      </c>
      <c r="J35" s="45">
        <v>633517</v>
      </c>
      <c r="K35" s="8">
        <v>137</v>
      </c>
      <c r="L35" s="7"/>
      <c r="M35" s="11" t="e">
        <v>#DIV/0!</v>
      </c>
      <c r="N35" s="14">
        <v>15220</v>
      </c>
      <c r="O35" s="73">
        <v>1</v>
      </c>
      <c r="P35" s="74">
        <v>100903</v>
      </c>
      <c r="Q35" s="9">
        <v>20</v>
      </c>
      <c r="R35" s="12">
        <v>47</v>
      </c>
      <c r="S35" s="9">
        <v>0</v>
      </c>
      <c r="T35" s="74">
        <v>208414</v>
      </c>
      <c r="U35" s="9">
        <v>52</v>
      </c>
      <c r="V35" s="13">
        <v>5972.8</v>
      </c>
      <c r="W35" s="8">
        <v>13140160</v>
      </c>
      <c r="X35" s="45">
        <v>10519</v>
      </c>
      <c r="Y35" s="55">
        <v>1134.7</v>
      </c>
      <c r="Z35" s="8">
        <v>2496340</v>
      </c>
      <c r="AA35" s="45">
        <v>2535</v>
      </c>
      <c r="AB35" s="6">
        <v>1790862</v>
      </c>
      <c r="AC35" s="9">
        <v>1790862</v>
      </c>
      <c r="AD35" s="45">
        <v>241</v>
      </c>
      <c r="AE35" s="12">
        <v>5339095</v>
      </c>
      <c r="AF35" s="9">
        <v>5339095</v>
      </c>
      <c r="AG35" s="56">
        <v>1144</v>
      </c>
      <c r="AH35" s="6">
        <v>34421</v>
      </c>
      <c r="AI35" s="8">
        <v>2753680</v>
      </c>
      <c r="AJ35" s="45">
        <v>160</v>
      </c>
      <c r="AK35" s="7"/>
      <c r="AL35" s="6">
        <v>279811</v>
      </c>
      <c r="AM35" s="8">
        <v>279811</v>
      </c>
      <c r="AN35" s="45">
        <v>627</v>
      </c>
      <c r="AO35" s="7"/>
      <c r="AP35" s="6">
        <v>47225</v>
      </c>
      <c r="AQ35" s="8">
        <v>3778000</v>
      </c>
      <c r="AR35" s="45">
        <v>288</v>
      </c>
      <c r="AS35" s="14">
        <v>7</v>
      </c>
      <c r="AT35" s="14">
        <v>10</v>
      </c>
      <c r="AU35" s="62"/>
      <c r="AV35" s="55"/>
      <c r="AW35" s="63">
        <v>121.89</v>
      </c>
      <c r="AX35" s="12">
        <v>650</v>
      </c>
      <c r="AY35" s="9"/>
      <c r="AZ35" s="9">
        <v>31889.000000000004</v>
      </c>
      <c r="BA35" s="9">
        <v>37</v>
      </c>
      <c r="BB35" s="9">
        <v>5142</v>
      </c>
      <c r="BC35" s="9">
        <v>137</v>
      </c>
      <c r="BD35" s="9">
        <v>360932.00000000087</v>
      </c>
      <c r="BE35" s="9">
        <v>325990.6551724138</v>
      </c>
      <c r="BF35" s="8">
        <v>46077.758620689652</v>
      </c>
      <c r="BG35" s="9">
        <v>6533.5172413793107</v>
      </c>
      <c r="BH35" s="9">
        <v>17632.586206896551</v>
      </c>
      <c r="BI35" s="9">
        <v>8577.3793103448279</v>
      </c>
    </row>
    <row r="36" spans="1:61" ht="15" customHeight="1" thickTop="1" thickBot="1">
      <c r="A36" s="75" t="s">
        <v>73</v>
      </c>
      <c r="C36" s="15"/>
      <c r="D36" s="16">
        <f>D35-D4</f>
        <v>31889</v>
      </c>
      <c r="F36" s="16">
        <f>F35-F4</f>
        <v>37</v>
      </c>
      <c r="G36" s="2"/>
      <c r="H36" s="16">
        <f>H35-H4</f>
        <v>5142</v>
      </c>
      <c r="I36" s="2"/>
      <c r="J36" s="59"/>
      <c r="K36" s="2"/>
      <c r="L36" s="2"/>
      <c r="M36" s="2"/>
      <c r="N36" s="16">
        <f>N35-N4</f>
        <v>137</v>
      </c>
      <c r="O36" s="2"/>
      <c r="P36" s="16">
        <f>P35-P5</f>
        <v>482</v>
      </c>
      <c r="Q36" s="2"/>
      <c r="R36" s="76">
        <f>R35-R5</f>
        <v>3</v>
      </c>
      <c r="S36" s="2"/>
      <c r="T36" s="16">
        <f>T35-T5</f>
        <v>1236</v>
      </c>
      <c r="U36" s="2"/>
      <c r="V36" s="16">
        <f>SUM(+V35-V4)*2200</f>
        <v>360932.00000000087</v>
      </c>
      <c r="W36" s="2"/>
      <c r="X36" s="16">
        <f>SUM(X5:X35)</f>
        <v>327706</v>
      </c>
      <c r="Y36" s="77">
        <f>Y35-Y4</f>
        <v>33.557000000000016</v>
      </c>
      <c r="Z36" s="2"/>
      <c r="AA36" s="16">
        <f>SUM(Y4:Y36)</f>
        <v>3390.3879999999999</v>
      </c>
      <c r="AB36" s="78">
        <f>SUM(+AB35-AB4)</f>
        <v>7164.1999999999534</v>
      </c>
      <c r="AC36" s="2"/>
      <c r="AD36" s="16">
        <f>SUM(AD5:AD35)</f>
        <v>7156</v>
      </c>
      <c r="AE36" s="78">
        <f>SUM(+AE35-AE4)</f>
        <v>39050</v>
      </c>
      <c r="AF36" s="2"/>
      <c r="AG36" s="16">
        <f>SUM(AG5:AG35)</f>
        <v>39002</v>
      </c>
      <c r="AH36" s="16">
        <f>SUM(+AH35-AH4)*80</f>
        <v>6664.0000000002328</v>
      </c>
      <c r="AI36" s="2"/>
      <c r="AJ36" s="60">
        <f>SUM(AJ4:AJ35)</f>
        <v>6656</v>
      </c>
      <c r="AK36" s="2"/>
      <c r="AL36" s="60">
        <f>AL35-AL4</f>
        <v>17701.700000000012</v>
      </c>
      <c r="AM36" s="2"/>
      <c r="AN36" s="16">
        <f>SUM(AN5:AN35)</f>
        <v>17686</v>
      </c>
      <c r="AO36" s="2"/>
      <c r="AP36" s="16">
        <f>SUM(+AP35-AP4)*80</f>
        <v>8264.0000000002328</v>
      </c>
      <c r="AQ36" s="2"/>
      <c r="AR36" s="16">
        <f>SUM(AR5:AR35)</f>
        <v>8512</v>
      </c>
      <c r="AS36" s="84">
        <f>AVERAGE(AS5:AS35)</f>
        <v>3.903225806451613</v>
      </c>
      <c r="AT36" s="79">
        <f>AVERAGE(AT5:AT35)</f>
        <v>8.193548387096774</v>
      </c>
      <c r="AU36" s="17"/>
      <c r="AV36" s="55"/>
      <c r="AX36" s="16">
        <f>AX35-AX5</f>
        <v>36</v>
      </c>
      <c r="AY36" s="61"/>
      <c r="AZ36" s="58"/>
      <c r="BA36" s="58"/>
      <c r="BB36" s="58"/>
      <c r="BC36" s="58"/>
      <c r="BD36" s="58"/>
      <c r="BE36" s="9"/>
      <c r="BF36" s="8"/>
      <c r="BG36" s="9"/>
      <c r="BH36" s="9"/>
      <c r="BI36" s="9"/>
    </row>
    <row r="37" spans="1:61" ht="17.25" thickTop="1" thickBot="1">
      <c r="A37" s="47" t="s">
        <v>74</v>
      </c>
      <c r="C37" s="40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20"/>
      <c r="Z37" s="17"/>
      <c r="AA37" s="17"/>
      <c r="AB37" s="48"/>
      <c r="AC37" s="2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Y37" s="49"/>
      <c r="AZ37" s="40"/>
      <c r="BA37" s="40"/>
      <c r="BB37" s="40"/>
      <c r="BC37" s="40"/>
      <c r="BD37" s="40"/>
      <c r="BE37" s="50"/>
      <c r="BF37" s="50"/>
      <c r="BG37" s="50"/>
      <c r="BH37" s="50"/>
      <c r="BI37" s="50"/>
    </row>
    <row r="38" spans="1:61" ht="16.5" thickBot="1">
      <c r="A38" s="47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17"/>
      <c r="Q38" s="2"/>
      <c r="R38" s="17"/>
      <c r="S38" s="2"/>
      <c r="T38" s="2"/>
      <c r="U38" s="2"/>
      <c r="V38" s="2"/>
      <c r="W38" s="2"/>
      <c r="X38" s="2"/>
      <c r="Y38" s="51"/>
      <c r="Z38" s="2"/>
      <c r="AA38" s="2"/>
      <c r="AB38" s="132">
        <f>AD36+AG36</f>
        <v>46158</v>
      </c>
      <c r="AC38" s="133"/>
      <c r="AD38" s="133"/>
      <c r="AE38" s="134"/>
      <c r="AF38" s="2"/>
      <c r="AG38" s="2"/>
      <c r="AH38" s="2"/>
      <c r="AI38" s="52"/>
      <c r="AJ38" s="18">
        <f>AB38+AJ36</f>
        <v>52814</v>
      </c>
      <c r="AK38" s="2"/>
      <c r="AL38" s="2"/>
      <c r="AM38" s="2"/>
      <c r="AN38" s="2"/>
      <c r="AO38" s="2"/>
      <c r="AP38" s="2"/>
      <c r="AQ38" s="2"/>
      <c r="AR38" s="2"/>
      <c r="AS38" s="19"/>
      <c r="AT38" s="2"/>
      <c r="AU38" s="2"/>
    </row>
    <row r="39" spans="1:61" ht="15.75"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51"/>
      <c r="Z39" s="2"/>
      <c r="AA39" s="2"/>
      <c r="AB39" s="135"/>
      <c r="AC39" s="135"/>
      <c r="AD39" s="135"/>
      <c r="AE39" s="135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61" ht="15.75" thickBot="1"/>
    <row r="41" spans="1:61" ht="17.25" thickTop="1" thickBot="1">
      <c r="A41" s="46"/>
      <c r="B41" s="46"/>
      <c r="C41" s="22"/>
      <c r="D41" s="16"/>
      <c r="E41" s="23"/>
      <c r="F41" s="16"/>
      <c r="G41" s="23"/>
      <c r="H41" s="16"/>
      <c r="I41" s="23"/>
      <c r="J41" s="23"/>
      <c r="K41" s="23"/>
      <c r="L41" s="22"/>
      <c r="M41" s="22"/>
      <c r="N41" s="16"/>
      <c r="O41" s="23"/>
      <c r="P41" s="23"/>
      <c r="Q41" s="23"/>
      <c r="R41" s="23"/>
      <c r="S41" s="23"/>
      <c r="T41" s="23"/>
      <c r="U41" s="23"/>
      <c r="V41" s="16"/>
      <c r="Y41" s="1"/>
      <c r="AB41" s="1"/>
    </row>
    <row r="42" spans="1:61" ht="16.5" thickTop="1">
      <c r="A42" s="2"/>
    </row>
    <row r="43" spans="1:61" ht="15" customHeight="1">
      <c r="A43" s="2"/>
    </row>
    <row r="44" spans="1:61" ht="25.5" customHeight="1">
      <c r="A44" s="2"/>
    </row>
  </sheetData>
  <mergeCells count="32">
    <mergeCell ref="AB38:AE38"/>
    <mergeCell ref="AB39:AE39"/>
    <mergeCell ref="BE1:BE3"/>
    <mergeCell ref="BF1:BF3"/>
    <mergeCell ref="BG1:BG3"/>
    <mergeCell ref="BH1:BH3"/>
    <mergeCell ref="AP1:AR2"/>
    <mergeCell ref="AS1:AT2"/>
    <mergeCell ref="AU1:AU2"/>
    <mergeCell ref="AV1:AV2"/>
    <mergeCell ref="AW1:AW2"/>
    <mergeCell ref="AZ1:AZ3"/>
    <mergeCell ref="BA1:BA3"/>
    <mergeCell ref="BB1:BB3"/>
    <mergeCell ref="BC1:BC3"/>
    <mergeCell ref="BD1:BD3"/>
    <mergeCell ref="BI1:BI3"/>
    <mergeCell ref="AU3:AV3"/>
    <mergeCell ref="A1:C2"/>
    <mergeCell ref="D1:E2"/>
    <mergeCell ref="F1:G2"/>
    <mergeCell ref="H1:M2"/>
    <mergeCell ref="N1:O2"/>
    <mergeCell ref="P1:Q2"/>
    <mergeCell ref="R1:S2"/>
    <mergeCell ref="T1:U2"/>
    <mergeCell ref="V1:X2"/>
    <mergeCell ref="Y1:AA2"/>
    <mergeCell ref="AB1:AD2"/>
    <mergeCell ref="AE1:AG2"/>
    <mergeCell ref="AH1:AK2"/>
    <mergeCell ref="AL1:AO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df3099-c435-44ee-a1b8-fd51d77027c2" xsi:nil="true"/>
    <lcf76f155ced4ddcb4097134ff3c332f xmlns="7faafeb7-e572-4165-a2ec-683872b64b7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7685AD8F1F245818AD40AA1A81DE5" ma:contentTypeVersion="13" ma:contentTypeDescription="Create a new document." ma:contentTypeScope="" ma:versionID="d2eddbd1742f5191ae111d03f62b21a6">
  <xsd:schema xmlns:xsd="http://www.w3.org/2001/XMLSchema" xmlns:xs="http://www.w3.org/2001/XMLSchema" xmlns:p="http://schemas.microsoft.com/office/2006/metadata/properties" xmlns:ns2="7faafeb7-e572-4165-a2ec-683872b64b7f" xmlns:ns3="bedf3099-c435-44ee-a1b8-fd51d77027c2" targetNamespace="http://schemas.microsoft.com/office/2006/metadata/properties" ma:root="true" ma:fieldsID="dc2df2e2a3136a193aa056c6e05f3f07" ns2:_="" ns3:_="">
    <xsd:import namespace="7faafeb7-e572-4165-a2ec-683872b64b7f"/>
    <xsd:import namespace="bedf3099-c435-44ee-a1b8-fd51d77027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afeb7-e572-4165-a2ec-683872b64b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f3099-c435-44ee-a1b8-fd51d77027c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a3fb430-f2f4-4634-9111-535fb4d5991c}" ma:internalName="TaxCatchAll" ma:showField="CatchAllData" ma:web="bedf3099-c435-44ee-a1b8-fd51d77027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FFEFE1-84B4-4865-8FD0-D78C50D40ACA}"/>
</file>

<file path=customXml/itemProps2.xml><?xml version="1.0" encoding="utf-8"?>
<ds:datastoreItem xmlns:ds="http://schemas.openxmlformats.org/officeDocument/2006/customXml" ds:itemID="{BEB55DAC-81FF-46D7-B50B-0E155F1EB950}"/>
</file>

<file path=customXml/itemProps3.xml><?xml version="1.0" encoding="utf-8"?>
<ds:datastoreItem xmlns:ds="http://schemas.openxmlformats.org/officeDocument/2006/customXml" ds:itemID="{774E4A80-D2AF-4211-A05C-2013265F10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Paolo Battistin</cp:lastModifiedBy>
  <cp:revision/>
  <dcterms:created xsi:type="dcterms:W3CDTF">2017-05-22T13:08:25Z</dcterms:created>
  <dcterms:modified xsi:type="dcterms:W3CDTF">2023-03-08T10:20:28Z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0x0101003077685AD8F1F245818AD40AA1A81DE5</vt:lpwstr>
  </property>
  <property fmtid="{D5CDD505-2E9C-101B-9397-08002B2CF9AE}" pid="3" name="Order">
    <vt:r8>2416800</vt:r8>
  </property>
  <property fmtid="{D5CDD505-2E9C-101B-9397-08002B2CF9AE}" pid="4" name="MediaServiceImageTags">
    <vt:lpwstr/>
  </property>
</Properties>
</file>