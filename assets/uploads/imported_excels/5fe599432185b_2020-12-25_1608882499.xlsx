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9" i="7" l="1"/>
  <c r="AV8" i="7" l="1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30" i="7"/>
  <c r="Q31" i="7"/>
  <c r="Q32" i="7"/>
  <c r="Q33" i="7"/>
  <c r="Q34" i="7"/>
  <c r="Q35" i="7"/>
  <c r="Q36" i="7"/>
  <c r="Q37" i="7"/>
  <c r="R24" i="9" l="1"/>
  <c r="R25" i="9"/>
  <c r="R26" i="9"/>
  <c r="R27" i="9"/>
  <c r="R28" i="9"/>
  <c r="R29" i="9"/>
  <c r="R30" i="9"/>
  <c r="R31" i="9"/>
  <c r="R32" i="9"/>
  <c r="Q27" i="9"/>
  <c r="Q28" i="9"/>
  <c r="Q29" i="9"/>
  <c r="Q30" i="9"/>
  <c r="Q31" i="9"/>
  <c r="Q32" i="9"/>
  <c r="P27" i="9"/>
  <c r="P28" i="9"/>
  <c r="P29" i="9"/>
  <c r="P30" i="9"/>
  <c r="P31" i="9"/>
  <c r="P32" i="9"/>
  <c r="O27" i="9"/>
  <c r="O28" i="9"/>
  <c r="O29" i="9"/>
  <c r="O30" i="9"/>
  <c r="O31" i="9"/>
  <c r="O32" i="9"/>
  <c r="N27" i="9"/>
  <c r="N28" i="9"/>
  <c r="N29" i="9"/>
  <c r="N30" i="9"/>
  <c r="N31" i="9"/>
  <c r="M27" i="9"/>
  <c r="M28" i="9"/>
  <c r="M29" i="9"/>
  <c r="M30" i="9"/>
  <c r="M31" i="9"/>
  <c r="M32" i="9"/>
  <c r="L27" i="9"/>
  <c r="L28" i="9"/>
  <c r="L29" i="9"/>
  <c r="L30" i="9"/>
  <c r="L31" i="9"/>
  <c r="L32" i="9"/>
  <c r="K27" i="9"/>
  <c r="K28" i="9"/>
  <c r="K29" i="9"/>
  <c r="K30" i="9"/>
  <c r="K31" i="9"/>
  <c r="K32" i="9"/>
  <c r="J27" i="9"/>
  <c r="J28" i="9"/>
  <c r="J29" i="9"/>
  <c r="J30" i="9"/>
  <c r="J31" i="9"/>
  <c r="J32" i="9"/>
  <c r="I27" i="9"/>
  <c r="I28" i="9"/>
  <c r="I29" i="9"/>
  <c r="I30" i="9"/>
  <c r="I31" i="9"/>
  <c r="I32" i="9"/>
  <c r="H27" i="9"/>
  <c r="H28" i="9"/>
  <c r="H29" i="9"/>
  <c r="H30" i="9"/>
  <c r="H31" i="9"/>
  <c r="H32" i="9"/>
  <c r="G27" i="9"/>
  <c r="G28" i="9"/>
  <c r="G29" i="9"/>
  <c r="G30" i="9"/>
  <c r="G31" i="9"/>
  <c r="G32" i="9"/>
  <c r="F27" i="9"/>
  <c r="F28" i="9"/>
  <c r="F29" i="9"/>
  <c r="F30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P24" i="9"/>
  <c r="AB30" i="7"/>
  <c r="P25" i="9" s="1"/>
  <c r="AB31" i="7"/>
  <c r="P26" i="9" s="1"/>
  <c r="AB32" i="7"/>
  <c r="AB33" i="7"/>
  <c r="AB36" i="7"/>
  <c r="AB37" i="7"/>
  <c r="AC31" i="7" l="1"/>
  <c r="Q26" i="9" s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W36" i="7" l="1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G24" i="5"/>
  <c r="G25" i="5"/>
  <c r="AW31" i="7"/>
  <c r="AW32" i="7"/>
  <c r="AW33" i="7"/>
  <c r="AW34" i="7"/>
  <c r="AW35" i="7"/>
  <c r="R13" i="9"/>
  <c r="R16" i="9"/>
  <c r="R17" i="9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G24" i="9"/>
  <c r="I24" i="9"/>
  <c r="M24" i="9"/>
  <c r="N24" i="9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E19" i="9"/>
  <c r="E20" i="9"/>
  <c r="E21" i="9"/>
  <c r="AF29" i="7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H31" i="7" l="1"/>
  <c r="G26" i="9"/>
  <c r="AK31" i="7"/>
  <c r="J26" i="9"/>
  <c r="AL31" i="7"/>
  <c r="K26" i="9"/>
  <c r="AL30" i="7"/>
  <c r="K25" i="9"/>
  <c r="AK30" i="7"/>
  <c r="J25" i="9"/>
  <c r="AG30" i="7"/>
  <c r="F25" i="9"/>
  <c r="AI30" i="7"/>
  <c r="H25" i="9"/>
  <c r="AP30" i="7"/>
  <c r="O25" i="9"/>
  <c r="AO30" i="7"/>
  <c r="N25" i="9"/>
  <c r="AN30" i="7"/>
  <c r="M25" i="9"/>
  <c r="AR29" i="7"/>
  <c r="Q24" i="9"/>
  <c r="AM29" i="7"/>
  <c r="L24" i="9"/>
  <c r="AI29" i="7"/>
  <c r="H24" i="9"/>
  <c r="AP29" i="7"/>
  <c r="O24" i="9"/>
  <c r="AL29" i="7"/>
  <c r="K24" i="9"/>
  <c r="AK29" i="7"/>
  <c r="J24" i="9"/>
  <c r="AG29" i="7"/>
  <c r="F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R20" i="9"/>
  <c r="G20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<sst xmlns="http://schemas.openxmlformats.org/spreadsheetml/2006/main" count="128" uniqueCount="49">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</sst>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Submetering!R10</f>
        <v>605.66560000000004</v>
      </c>
      <c r="H10" s="11">
        <v>0.52800000000000002</v>
      </c>
      <c r="I10" s="12">
        <f>Hotel!B15</f>
        <v>82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Submetering!R11</f>
        <v>1424.8283239999998</v>
      </c>
      <c r="H11" s="11">
        <v>0.52800000000000002</v>
      </c>
      <c r="I11" s="12">
        <f>Hotel!B16</f>
        <v>111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Submetering!R12</f>
        <v>279.36325800000003</v>
      </c>
      <c r="H12" s="11">
        <v>0.52800000000000002</v>
      </c>
      <c r="I12" s="12">
        <f>Hotel!B17</f>
        <v>125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Submetering!R13</f>
        <v>207.061927</v>
      </c>
      <c r="H13" s="11">
        <v>0.52800000000000002</v>
      </c>
      <c r="I13" s="12">
        <f>Hotel!B18</f>
        <v>103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51340</v>
      </c>
      <c r="F14" s="11">
        <v>5.0000000000000001E-3</v>
      </c>
      <c r="G14" s="12">
        <f>Submetering!R14</f>
        <v>662.82529099999999</v>
      </c>
      <c r="H14" s="11">
        <v>0.52800000000000002</v>
      </c>
      <c r="I14" s="12">
        <f>Hotel!B19</f>
        <v>75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51360</v>
      </c>
      <c r="F15" s="11">
        <v>5.0000000000000001E-3</v>
      </c>
      <c r="G15" s="12">
        <f>Submetering!R15</f>
        <v>697.65106300000002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50340</v>
      </c>
      <c r="F16" s="11">
        <v>5.0000000000000001E-3</v>
      </c>
      <c r="G16" s="12">
        <f>Submetering!R16</f>
        <v>520.87241600000004</v>
      </c>
      <c r="H16" s="11">
        <v>0.52800000000000002</v>
      </c>
      <c r="I16" s="12">
        <f>Hotel!B21</f>
        <v>64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53910</v>
      </c>
      <c r="F17" s="11">
        <v>5.0000000000000001E-3</v>
      </c>
      <c r="G17" s="12">
        <f>Submetering!R17</f>
        <v>889.94989099999998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52920</v>
      </c>
      <c r="F18" s="11">
        <v>5.0000000000000001E-3</v>
      </c>
      <c r="G18" s="12">
        <f>Submetering!R18</f>
        <v>507.24493999999999</v>
      </c>
      <c r="H18" s="11">
        <v>0.52800000000000002</v>
      </c>
      <c r="I18" s="12">
        <f>Hotel!B23</f>
        <v>112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52320</v>
      </c>
      <c r="F19" s="11">
        <v>5.0000000000000001E-3</v>
      </c>
      <c r="G19" s="12">
        <f>Submetering!R19</f>
        <v>696.5154399999999</v>
      </c>
      <c r="H19" s="11">
        <v>0.52800000000000002</v>
      </c>
      <c r="I19" s="12">
        <f>Hotel!B24</f>
        <v>121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58012</v>
      </c>
      <c r="F20" s="11">
        <v>5.0000000000000001E-3</v>
      </c>
      <c r="G20" s="12">
        <f>Submetering!R20</f>
        <v>904.33444899999995</v>
      </c>
      <c r="H20" s="11">
        <v>0.52800000000000002</v>
      </c>
      <c r="I20" s="12">
        <f>Hotel!B25</f>
        <v>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51350</v>
      </c>
      <c r="F21" s="11">
        <v>5.0000000000000001E-3</v>
      </c>
      <c r="G21" s="12">
        <f>Submetering!R21</f>
        <v>350.52896599999997</v>
      </c>
      <c r="H21" s="11">
        <v>0.52800000000000002</v>
      </c>
      <c r="I21" s="12">
        <f>Hotel!B26</f>
        <v>71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53658</v>
      </c>
      <c r="F22" s="11">
        <v>5.0000000000000001E-3</v>
      </c>
      <c r="G22" s="12">
        <f>Submetering!R22</f>
        <v>662.82529099999999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52810</v>
      </c>
      <c r="F23" s="11">
        <v>5.0000000000000001E-3</v>
      </c>
      <c r="G23" s="12">
        <f>Submetering!R23</f>
        <v>686.67337399999997</v>
      </c>
      <c r="H23" s="11">
        <v>0.52800000000000002</v>
      </c>
      <c r="I23" s="12">
        <f>Hotel!B28</f>
        <v>82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53470</v>
      </c>
      <c r="F24" s="11">
        <v>5.0000000000000001E-3</v>
      </c>
      <c r="G24" s="12">
        <f>Submetering!R24</f>
        <v>1256253.4175519999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53490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Hotel!AV15*0.00378541*100</f>
        <v>605.66560000000004</v>
      </c>
      <c r="S10" s="4">
        <f>Hotel!B15</f>
        <v>82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Hotel!AV16*0.00378541*100</f>
        <v>1424.8283239999998</v>
      </c>
      <c r="S11" s="4">
        <f>Hotel!B16</f>
        <v>111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Hotel!AV17*0.00378541*100</f>
        <v>279.36325800000003</v>
      </c>
      <c r="S12" s="4">
        <f>Hotel!B17</f>
        <v>125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Hotel!AV18*0.00378541*100</f>
        <v>207.061927</v>
      </c>
      <c r="S13" s="4">
        <f>Hotel!B18</f>
        <v>103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750</v>
      </c>
      <c r="F14" s="4">
        <f>Hotel!R19</f>
        <v>1880</v>
      </c>
      <c r="G14" s="4">
        <f>Hotel!S19</f>
        <v>2670</v>
      </c>
      <c r="H14" s="4">
        <f>Hotel!T19</f>
        <v>1380</v>
      </c>
      <c r="I14" s="4">
        <f>Hotel!U19</f>
        <v>5160</v>
      </c>
      <c r="J14" s="4">
        <f>Hotel!V19</f>
        <v>3560</v>
      </c>
      <c r="K14" s="4">
        <f>Hotel!W19</f>
        <v>2390</v>
      </c>
      <c r="L14" s="4">
        <f>Hotel!X19</f>
        <v>3610</v>
      </c>
      <c r="M14" s="4">
        <f>Hotel!Y19</f>
        <v>5890</v>
      </c>
      <c r="N14" s="4">
        <f>Hotel!Z19</f>
        <v>2550</v>
      </c>
      <c r="O14" s="4">
        <f>Hotel!AA19</f>
        <v>3310</v>
      </c>
      <c r="P14" s="4">
        <f>Hotel!AB19</f>
        <v>6920</v>
      </c>
      <c r="Q14" s="4">
        <f>Hotel!AC19</f>
        <v>11270</v>
      </c>
      <c r="R14" s="4">
        <f>Hotel!AV19*0.00378541*100</f>
        <v>662.82529099999999</v>
      </c>
      <c r="S14" s="4">
        <f>Hotel!B19</f>
        <v>75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560</v>
      </c>
      <c r="F15" s="4">
        <f>Hotel!R20</f>
        <v>1900</v>
      </c>
      <c r="G15" s="4">
        <f>Hotel!S20</f>
        <v>2770</v>
      </c>
      <c r="H15" s="4">
        <f>Hotel!T20</f>
        <v>1390</v>
      </c>
      <c r="I15" s="4">
        <f>Hotel!U20</f>
        <v>5020</v>
      </c>
      <c r="J15" s="4">
        <f>Hotel!V20</f>
        <v>3500</v>
      </c>
      <c r="K15" s="4">
        <f>Hotel!W20</f>
        <v>2400</v>
      </c>
      <c r="L15" s="4">
        <f>Hotel!X20</f>
        <v>3710</v>
      </c>
      <c r="M15" s="4">
        <f>Hotel!Y20</f>
        <v>5850</v>
      </c>
      <c r="N15" s="4">
        <f>Hotel!Z20</f>
        <v>2450</v>
      </c>
      <c r="O15" s="4">
        <f>Hotel!AA20</f>
        <v>3210</v>
      </c>
      <c r="P15" s="4">
        <f>Hotel!AB20</f>
        <v>7080</v>
      </c>
      <c r="Q15" s="4">
        <f>Hotel!AC20</f>
        <v>11520</v>
      </c>
      <c r="R15" s="4">
        <f>Hotel!AV20*0.00378541*100</f>
        <v>697.65106300000002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550</v>
      </c>
      <c r="F16" s="4">
        <f>Hotel!R21</f>
        <v>1860</v>
      </c>
      <c r="G16" s="4">
        <f>Hotel!S21</f>
        <v>3000</v>
      </c>
      <c r="H16" s="4">
        <f>Hotel!T21</f>
        <v>1380</v>
      </c>
      <c r="I16" s="4">
        <f>Hotel!U21</f>
        <v>4620</v>
      </c>
      <c r="J16" s="4">
        <f>Hotel!V21</f>
        <v>3470</v>
      </c>
      <c r="K16" s="4">
        <f>Hotel!W21</f>
        <v>2450</v>
      </c>
      <c r="L16" s="4">
        <f>Hotel!X21</f>
        <v>3630</v>
      </c>
      <c r="M16" s="4">
        <f>Hotel!Y21</f>
        <v>6000</v>
      </c>
      <c r="N16" s="4">
        <f>Hotel!Z21</f>
        <v>2450</v>
      </c>
      <c r="O16" s="4">
        <f>Hotel!AA21</f>
        <v>2810</v>
      </c>
      <c r="P16" s="4">
        <f>Hotel!AB21</f>
        <v>6740</v>
      </c>
      <c r="Q16" s="4">
        <f>Hotel!AC21</f>
        <v>11380</v>
      </c>
      <c r="R16" s="4">
        <f>Hotel!AV21*0.00378541*100</f>
        <v>520.87241600000004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560</v>
      </c>
      <c r="F17" s="4">
        <f>Hotel!R22</f>
        <v>1900</v>
      </c>
      <c r="G17" s="4">
        <f>Hotel!S22</f>
        <v>2960</v>
      </c>
      <c r="H17" s="4">
        <f>Hotel!T22</f>
        <v>1430</v>
      </c>
      <c r="I17" s="4">
        <f>Hotel!U22</f>
        <v>5280</v>
      </c>
      <c r="J17" s="4">
        <f>Hotel!V22</f>
        <v>3580</v>
      </c>
      <c r="K17" s="4">
        <f>Hotel!W22</f>
        <v>2430</v>
      </c>
      <c r="L17" s="4">
        <f>Hotel!X22</f>
        <v>3800</v>
      </c>
      <c r="M17" s="4">
        <f>Hotel!Y22</f>
        <v>6190</v>
      </c>
      <c r="N17" s="4">
        <f>Hotel!Z22</f>
        <v>2570</v>
      </c>
      <c r="O17" s="4">
        <f>Hotel!AA22</f>
        <v>3510</v>
      </c>
      <c r="P17" s="4">
        <f>Hotel!AB22</f>
        <v>7020</v>
      </c>
      <c r="Q17" s="4">
        <f>Hotel!AC22</f>
        <v>12680</v>
      </c>
      <c r="R17" s="4">
        <f>Hotel!AV22*0.00378541*100</f>
        <v>889.94989099999998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550</v>
      </c>
      <c r="F18" s="4">
        <f>Hotel!R23</f>
        <v>1890</v>
      </c>
      <c r="G18" s="4">
        <f>Hotel!S23</f>
        <v>3070</v>
      </c>
      <c r="H18" s="4">
        <f>Hotel!T23</f>
        <v>1460</v>
      </c>
      <c r="I18" s="4">
        <f>Hotel!U23</f>
        <v>4840</v>
      </c>
      <c r="J18" s="4">
        <f>Hotel!V23</f>
        <v>3570</v>
      </c>
      <c r="K18" s="4">
        <f>Hotel!W23</f>
        <v>2420</v>
      </c>
      <c r="L18" s="4">
        <f>Hotel!X23</f>
        <v>3840</v>
      </c>
      <c r="M18" s="4">
        <f>Hotel!Y23</f>
        <v>5960</v>
      </c>
      <c r="N18" s="4">
        <f>Hotel!Z23</f>
        <v>2570</v>
      </c>
      <c r="O18" s="4">
        <f>Hotel!AA23</f>
        <v>3270</v>
      </c>
      <c r="P18" s="4">
        <f>Hotel!AB23</f>
        <v>7000</v>
      </c>
      <c r="Q18" s="4">
        <f>Hotel!AC23</f>
        <v>12480</v>
      </c>
      <c r="R18" s="4">
        <f>Hotel!AV23*0.00378541*100</f>
        <v>507.24493999999999</v>
      </c>
      <c r="S18" s="4">
        <f>Hotel!B23</f>
        <v>112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540</v>
      </c>
      <c r="F19" s="4">
        <f>Hotel!R24</f>
        <v>1810</v>
      </c>
      <c r="G19" s="4">
        <f>Hotel!S24</f>
        <v>2880</v>
      </c>
      <c r="H19" s="4">
        <f>Hotel!T24</f>
        <v>1410</v>
      </c>
      <c r="I19" s="4">
        <f>Hotel!U24</f>
        <v>4860</v>
      </c>
      <c r="J19" s="4">
        <f>Hotel!V24</f>
        <v>3600</v>
      </c>
      <c r="K19" s="4">
        <f>Hotel!W24</f>
        <v>2360</v>
      </c>
      <c r="L19" s="4">
        <f>Hotel!X24</f>
        <v>3770</v>
      </c>
      <c r="M19" s="4">
        <f>Hotel!Y24</f>
        <v>6180</v>
      </c>
      <c r="N19" s="4">
        <f>Hotel!Z24</f>
        <v>2620</v>
      </c>
      <c r="O19" s="4">
        <f>Hotel!AA24</f>
        <v>3270</v>
      </c>
      <c r="P19" s="4">
        <f>Hotel!AB24</f>
        <v>6980</v>
      </c>
      <c r="Q19" s="4">
        <f>Hotel!AC24</f>
        <v>12040</v>
      </c>
      <c r="R19" s="4">
        <f>Hotel!AV24*0.00378541*100</f>
        <v>696.5154399999999</v>
      </c>
      <c r="S19" s="4">
        <f>Hotel!B24</f>
        <v>121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600</v>
      </c>
      <c r="F20" s="4">
        <f>Hotel!R25</f>
        <v>2050</v>
      </c>
      <c r="G20" s="4">
        <f>Hotel!S25</f>
        <v>3110</v>
      </c>
      <c r="H20" s="4">
        <f>Hotel!T25</f>
        <v>1580</v>
      </c>
      <c r="I20" s="4">
        <f>Hotel!U25</f>
        <v>5500</v>
      </c>
      <c r="J20" s="4">
        <f>Hotel!V25</f>
        <v>3782</v>
      </c>
      <c r="K20" s="4">
        <f>Hotel!W25</f>
        <v>2640</v>
      </c>
      <c r="L20" s="4">
        <f>Hotel!X25</f>
        <v>4160</v>
      </c>
      <c r="M20" s="4">
        <f>Hotel!Y25</f>
        <v>6740</v>
      </c>
      <c r="N20" s="4">
        <f>Hotel!Z25</f>
        <v>2790</v>
      </c>
      <c r="O20" s="4">
        <f>Hotel!AA25</f>
        <v>3740</v>
      </c>
      <c r="P20" s="4">
        <f>Hotel!AB25</f>
        <v>7750</v>
      </c>
      <c r="Q20" s="4">
        <f>Hotel!AC25</f>
        <v>13570</v>
      </c>
      <c r="R20" s="4">
        <f>Hotel!AV25*0.00378541*100</f>
        <v>904.33444899999995</v>
      </c>
      <c r="S20" s="4">
        <f>Hotel!B25</f>
        <v>73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530</v>
      </c>
      <c r="F21" s="4">
        <f>Hotel!R26</f>
        <v>1810</v>
      </c>
      <c r="G21" s="4">
        <f>Hotel!S26</f>
        <v>2580</v>
      </c>
      <c r="H21" s="4">
        <f>Hotel!T26</f>
        <v>1400</v>
      </c>
      <c r="I21" s="4">
        <f>Hotel!U26</f>
        <v>4590</v>
      </c>
      <c r="J21" s="4">
        <f>Hotel!V26</f>
        <v>3348</v>
      </c>
      <c r="K21" s="4">
        <f>Hotel!W26</f>
        <v>2360</v>
      </c>
      <c r="L21" s="4">
        <f>Hotel!X26</f>
        <v>3420</v>
      </c>
      <c r="M21" s="4">
        <f>Hotel!Y26</f>
        <v>5520</v>
      </c>
      <c r="N21" s="4">
        <f>Hotel!Z26</f>
        <v>2380</v>
      </c>
      <c r="O21" s="4">
        <f>Hotel!AA26</f>
        <v>2970</v>
      </c>
      <c r="P21" s="4">
        <f>Hotel!AB26</f>
        <v>6790</v>
      </c>
      <c r="Q21" s="4">
        <f>Hotel!AC26</f>
        <v>13652</v>
      </c>
      <c r="R21" s="4">
        <f>Hotel!AV26*0.00378541*100</f>
        <v>350.52896599999997</v>
      </c>
      <c r="S21" s="4">
        <f>Hotel!B26</f>
        <v>71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560</v>
      </c>
      <c r="F22" s="4">
        <f>Hotel!R27</f>
        <v>1920</v>
      </c>
      <c r="G22" s="4">
        <f>Hotel!S27</f>
        <v>2660</v>
      </c>
      <c r="H22" s="4">
        <f>Hotel!T27</f>
        <v>1470</v>
      </c>
      <c r="I22" s="4">
        <f>Hotel!U27</f>
        <v>5100</v>
      </c>
      <c r="J22" s="4">
        <f>Hotel!V27</f>
        <v>3540</v>
      </c>
      <c r="K22" s="4">
        <f>Hotel!W27</f>
        <v>2500</v>
      </c>
      <c r="L22" s="4">
        <f>Hotel!X27</f>
        <v>3960</v>
      </c>
      <c r="M22" s="4">
        <f>Hotel!Y27</f>
        <v>6120</v>
      </c>
      <c r="N22" s="4">
        <f>Hotel!Z27</f>
        <v>2400</v>
      </c>
      <c r="O22" s="4">
        <f>Hotel!AA27</f>
        <v>3410</v>
      </c>
      <c r="P22" s="4">
        <f>Hotel!AB27</f>
        <v>7020</v>
      </c>
      <c r="Q22" s="4">
        <f>Hotel!AC27</f>
        <v>12998</v>
      </c>
      <c r="R22" s="4">
        <f>Hotel!AV27*0.00378541*100</f>
        <v>662.82529099999999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550</v>
      </c>
      <c r="F23" s="4">
        <f>Hotel!R28</f>
        <v>1860</v>
      </c>
      <c r="G23" s="4">
        <f>Hotel!S28</f>
        <v>2590</v>
      </c>
      <c r="H23" s="4">
        <f>Hotel!T28</f>
        <v>1430</v>
      </c>
      <c r="I23" s="4">
        <f>Hotel!U28</f>
        <v>5300</v>
      </c>
      <c r="J23" s="4">
        <f>Hotel!V28</f>
        <v>3460</v>
      </c>
      <c r="K23" s="4">
        <f>Hotel!W28</f>
        <v>2460</v>
      </c>
      <c r="L23" s="4">
        <f>Hotel!X28</f>
        <v>3840</v>
      </c>
      <c r="M23" s="4">
        <f>Hotel!Y28</f>
        <v>6170</v>
      </c>
      <c r="N23" s="4">
        <f>Hotel!Z28</f>
        <v>2530</v>
      </c>
      <c r="O23" s="4">
        <f>Hotel!AA28</f>
        <v>3120</v>
      </c>
      <c r="P23" s="4">
        <f>Hotel!AB28</f>
        <v>6710</v>
      </c>
      <c r="Q23" s="4">
        <f>Hotel!AC28</f>
        <v>12790</v>
      </c>
      <c r="R23" s="4">
        <f>Hotel!AV28*0.00378541*100</f>
        <v>686.67337399999997</v>
      </c>
      <c r="S23" s="4">
        <f>Hotel!B28</f>
        <v>82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560</v>
      </c>
      <c r="F24" s="4">
        <f>Hotel!R29</f>
        <v>1920</v>
      </c>
      <c r="G24" s="4">
        <f>Hotel!S29</f>
        <v>2730</v>
      </c>
      <c r="H24" s="4">
        <f>Hotel!T29</f>
        <v>1480</v>
      </c>
      <c r="I24" s="4">
        <f>Hotel!U29</f>
        <v>5400</v>
      </c>
      <c r="J24" s="4">
        <f>Hotel!V29</f>
        <v>3600</v>
      </c>
      <c r="K24" s="4">
        <f>Hotel!W29</f>
        <v>2510</v>
      </c>
      <c r="L24" s="4">
        <f>Hotel!X29</f>
        <v>3760</v>
      </c>
      <c r="M24" s="4">
        <f>Hotel!Y29</f>
        <v>6260</v>
      </c>
      <c r="N24" s="4">
        <f>Hotel!Z29</f>
        <v>2540</v>
      </c>
      <c r="O24" s="4">
        <f>Hotel!AA29</f>
        <v>3380</v>
      </c>
      <c r="P24" s="4">
        <f>Hotel!AB29</f>
        <v>7030</v>
      </c>
      <c r="Q24" s="4">
        <f>Hotel!AC29</f>
        <v>12300</v>
      </c>
      <c r="R24" s="4">
        <f>Hotel!AV29*0.00378541*100</f>
        <v>1256253.4175519999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550</v>
      </c>
      <c r="F25" s="4">
        <f>Hotel!R30</f>
        <v>1870</v>
      </c>
      <c r="G25" s="4">
        <f>Hotel!S30</f>
        <v>2710</v>
      </c>
      <c r="H25" s="4">
        <f>Hotel!T30</f>
        <v>1440</v>
      </c>
      <c r="I25" s="4">
        <f>Hotel!U30</f>
        <v>5480</v>
      </c>
      <c r="J25" s="4">
        <f>Hotel!V30</f>
        <v>3580</v>
      </c>
      <c r="K25" s="4">
        <f>Hotel!W30</f>
        <v>2440</v>
      </c>
      <c r="L25" s="4">
        <f>Hotel!X30</f>
        <v>3690</v>
      </c>
      <c r="M25" s="4">
        <f>Hotel!Y30</f>
        <v>6170</v>
      </c>
      <c r="N25" s="4">
        <f>Hotel!Z30</f>
        <v>2580</v>
      </c>
      <c r="O25" s="4">
        <f>Hotel!AA30</f>
        <v>3420</v>
      </c>
      <c r="P25" s="4">
        <f>Hotel!AB30</f>
        <v>6830</v>
      </c>
      <c r="Q25" s="4">
        <f>Hotel!AC30</f>
        <v>12730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L30" sqref="L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16"/>
        <v>550</v>
      </c>
      <c r="R15" s="37">
        <f t="shared" si="17"/>
        <v>1910</v>
      </c>
      <c r="S15" s="37">
        <f t="shared" si="15"/>
        <v>0</v>
      </c>
      <c r="T15" s="37">
        <f t="shared" si="18"/>
        <v>4320</v>
      </c>
      <c r="U15" s="37">
        <f t="shared" si="19"/>
        <v>4950</v>
      </c>
      <c r="V15" s="37">
        <f t="shared" si="20"/>
        <v>3470</v>
      </c>
      <c r="W15" s="37">
        <f t="shared" si="21"/>
        <v>2440</v>
      </c>
      <c r="X15" s="37">
        <f t="shared" si="22"/>
        <v>3890</v>
      </c>
      <c r="Y15" s="37">
        <f t="shared" si="23"/>
        <v>5980</v>
      </c>
      <c r="Z15" s="37">
        <f t="shared" si="24"/>
        <v>2570</v>
      </c>
      <c r="AA15" s="37">
        <f t="shared" si="25"/>
        <v>3210</v>
      </c>
      <c r="AB15" s="37">
        <f t="shared" si="26"/>
        <v>7440</v>
      </c>
      <c r="AC15" s="37">
        <f t="shared" si="27"/>
        <v>11980</v>
      </c>
      <c r="AD15" s="35">
        <f t="shared" si="28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29"/>
        <v>263.55</v>
      </c>
      <c r="AU15" s="47">
        <v>344400</v>
      </c>
      <c r="AV15" s="37">
        <f t="shared" si="31"/>
        <v>1600</v>
      </c>
      <c r="AW15" s="35">
        <f t="shared" si="30"/>
        <v>3.2</v>
      </c>
    </row>
    <row r="16" spans="1:49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16"/>
        <v>540</v>
      </c>
      <c r="R16" s="37">
        <f t="shared" si="17"/>
        <v>1850</v>
      </c>
      <c r="S16" s="37">
        <f t="shared" si="15"/>
        <v>1630</v>
      </c>
      <c r="T16" s="37">
        <f t="shared" si="18"/>
        <v>2570</v>
      </c>
      <c r="U16" s="37">
        <f t="shared" si="19"/>
        <v>4930</v>
      </c>
      <c r="V16" s="37">
        <f t="shared" si="20"/>
        <v>3410</v>
      </c>
      <c r="W16" s="37">
        <f t="shared" si="21"/>
        <v>2370</v>
      </c>
      <c r="X16" s="37">
        <f t="shared" si="22"/>
        <v>3760</v>
      </c>
      <c r="Y16" s="37">
        <f t="shared" si="23"/>
        <v>6030</v>
      </c>
      <c r="Z16" s="37">
        <f t="shared" si="24"/>
        <v>2640</v>
      </c>
      <c r="AA16" s="37">
        <f t="shared" si="25"/>
        <v>3400</v>
      </c>
      <c r="AB16" s="37">
        <f t="shared" si="26"/>
        <v>6990</v>
      </c>
      <c r="AC16" s="37">
        <f t="shared" si="27"/>
        <v>10940</v>
      </c>
      <c r="AD16" s="35">
        <f t="shared" si="28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29"/>
        <v>255.29999999999995</v>
      </c>
      <c r="AU16" s="47">
        <v>348164</v>
      </c>
      <c r="AV16" s="37">
        <f t="shared" si="31"/>
        <v>3764</v>
      </c>
      <c r="AW16" s="35">
        <f t="shared" si="30"/>
        <v>7.5280000000000005</v>
      </c>
    </row>
    <row r="17" spans="1:49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16"/>
        <v>580</v>
      </c>
      <c r="R17" s="37">
        <f t="shared" si="17"/>
        <v>1970</v>
      </c>
      <c r="S17" s="37">
        <f t="shared" si="15"/>
        <v>2960</v>
      </c>
      <c r="T17" s="37">
        <f t="shared" si="18"/>
        <v>1440</v>
      </c>
      <c r="U17" s="37">
        <f t="shared" si="19"/>
        <v>5380</v>
      </c>
      <c r="V17" s="37">
        <f t="shared" si="20"/>
        <v>3650</v>
      </c>
      <c r="W17" s="37">
        <f t="shared" si="21"/>
        <v>2510</v>
      </c>
      <c r="X17" s="37">
        <f t="shared" si="22"/>
        <v>4020</v>
      </c>
      <c r="Y17" s="37">
        <f t="shared" si="23"/>
        <v>6410</v>
      </c>
      <c r="Z17" s="37">
        <f t="shared" si="24"/>
        <v>2730</v>
      </c>
      <c r="AA17" s="37">
        <f t="shared" si="25"/>
        <v>3590</v>
      </c>
      <c r="AB17" s="37">
        <f t="shared" si="26"/>
        <v>7410</v>
      </c>
      <c r="AC17" s="37">
        <f t="shared" si="27"/>
        <v>11940</v>
      </c>
      <c r="AD17" s="35">
        <f t="shared" si="28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29"/>
        <v>272.95000000000005</v>
      </c>
      <c r="AU17" s="47">
        <v>348902</v>
      </c>
      <c r="AV17" s="37">
        <f t="shared" si="31"/>
        <v>738</v>
      </c>
      <c r="AW17" s="35">
        <f t="shared" si="30"/>
        <v>1.476</v>
      </c>
    </row>
    <row r="18" spans="1:49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16"/>
        <v>360</v>
      </c>
      <c r="R18" s="37">
        <f t="shared" si="17"/>
        <v>1890</v>
      </c>
      <c r="S18" s="37">
        <f t="shared" si="15"/>
        <v>2730</v>
      </c>
      <c r="T18" s="37">
        <f t="shared" si="18"/>
        <v>1390</v>
      </c>
      <c r="U18" s="37">
        <f t="shared" si="19"/>
        <v>5200</v>
      </c>
      <c r="V18" s="37">
        <f t="shared" si="20"/>
        <v>3550</v>
      </c>
      <c r="W18" s="37">
        <f t="shared" si="21"/>
        <v>2410</v>
      </c>
      <c r="X18" s="37">
        <f t="shared" si="22"/>
        <v>3860</v>
      </c>
      <c r="Y18" s="37">
        <f t="shared" si="23"/>
        <v>6240</v>
      </c>
      <c r="Z18" s="37">
        <f t="shared" si="24"/>
        <v>2540</v>
      </c>
      <c r="AA18" s="37">
        <f t="shared" si="25"/>
        <v>3720</v>
      </c>
      <c r="AB18" s="37">
        <f t="shared" si="26"/>
        <v>7090</v>
      </c>
      <c r="AC18" s="37">
        <f t="shared" si="27"/>
        <v>11830</v>
      </c>
      <c r="AD18" s="35">
        <f t="shared" si="28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29"/>
        <v>264.04999999999995</v>
      </c>
      <c r="AU18" s="47">
        <v>349449</v>
      </c>
      <c r="AV18" s="37">
        <f t="shared" si="31"/>
        <v>547</v>
      </c>
      <c r="AW18" s="35">
        <f t="shared" si="30"/>
        <v>1.0940000000000001</v>
      </c>
    </row>
    <row r="19" spans="1:49" x14ac:dyDescent="0.25">
      <c r="A19" s="23">
        <v>44178</v>
      </c>
      <c r="B19" s="40">
        <v>75</v>
      </c>
      <c r="C19" s="24">
        <v>6497460</v>
      </c>
      <c r="D19" s="24">
        <v>15000770</v>
      </c>
      <c r="E19" s="24">
        <v>2218810</v>
      </c>
      <c r="F19" s="24">
        <v>3200150</v>
      </c>
      <c r="G19" s="24">
        <v>9600590</v>
      </c>
      <c r="H19" s="24">
        <v>4952890</v>
      </c>
      <c r="I19" s="24">
        <v>4666290</v>
      </c>
      <c r="J19" s="24">
        <v>5315090</v>
      </c>
      <c r="K19" s="24">
        <v>8328040</v>
      </c>
      <c r="L19" s="24">
        <v>3395170</v>
      </c>
      <c r="M19" s="24">
        <v>7317350</v>
      </c>
      <c r="N19" s="24">
        <v>10838770</v>
      </c>
      <c r="O19" s="24">
        <v>14761710</v>
      </c>
      <c r="Q19" s="37">
        <f t="shared" si="16"/>
        <v>750</v>
      </c>
      <c r="R19" s="37">
        <f t="shared" si="17"/>
        <v>1880</v>
      </c>
      <c r="S19" s="37">
        <f t="shared" si="15"/>
        <v>2670</v>
      </c>
      <c r="T19" s="37">
        <f t="shared" si="18"/>
        <v>1380</v>
      </c>
      <c r="U19" s="37">
        <f t="shared" si="19"/>
        <v>5160</v>
      </c>
      <c r="V19" s="37">
        <f t="shared" si="20"/>
        <v>3560</v>
      </c>
      <c r="W19" s="37">
        <f t="shared" si="21"/>
        <v>2390</v>
      </c>
      <c r="X19" s="37">
        <f t="shared" si="22"/>
        <v>3610</v>
      </c>
      <c r="Y19" s="37">
        <f t="shared" si="23"/>
        <v>5890</v>
      </c>
      <c r="Z19" s="37">
        <f t="shared" si="24"/>
        <v>2550</v>
      </c>
      <c r="AA19" s="37">
        <f t="shared" si="25"/>
        <v>3310</v>
      </c>
      <c r="AB19" s="37">
        <f t="shared" si="26"/>
        <v>6920</v>
      </c>
      <c r="AC19" s="37">
        <f t="shared" si="27"/>
        <v>11270</v>
      </c>
      <c r="AD19" s="35">
        <f t="shared" si="28"/>
        <v>51340</v>
      </c>
      <c r="AF19" s="20">
        <f t="shared" si="1"/>
        <v>3.75</v>
      </c>
      <c r="AG19" s="20">
        <f t="shared" si="2"/>
        <v>9.4</v>
      </c>
      <c r="AH19" s="20">
        <f t="shared" si="3"/>
        <v>13.35</v>
      </c>
      <c r="AI19" s="20">
        <f t="shared" si="4"/>
        <v>6.9</v>
      </c>
      <c r="AJ19" s="20">
        <f t="shared" si="5"/>
        <v>25.8</v>
      </c>
      <c r="AK19" s="20">
        <f t="shared" si="6"/>
        <v>17.8</v>
      </c>
      <c r="AL19" s="20">
        <f t="shared" si="7"/>
        <v>11.950000000000001</v>
      </c>
      <c r="AM19" s="20">
        <f t="shared" si="8"/>
        <v>18.05</v>
      </c>
      <c r="AN19" s="20">
        <f t="shared" si="9"/>
        <v>29.45</v>
      </c>
      <c r="AO19" s="20">
        <f t="shared" si="10"/>
        <v>12.75</v>
      </c>
      <c r="AP19" s="20">
        <f t="shared" si="11"/>
        <v>16.55</v>
      </c>
      <c r="AQ19" s="20">
        <f t="shared" si="12"/>
        <v>34.6</v>
      </c>
      <c r="AR19" s="20">
        <f t="shared" si="13"/>
        <v>56.35</v>
      </c>
      <c r="AS19" s="35">
        <f t="shared" si="29"/>
        <v>256.7</v>
      </c>
      <c r="AU19" s="47">
        <v>351200</v>
      </c>
      <c r="AV19" s="37">
        <f t="shared" si="31"/>
        <v>1751</v>
      </c>
      <c r="AW19" s="35">
        <f t="shared" si="30"/>
        <v>3.5020000000000002</v>
      </c>
    </row>
    <row r="20" spans="1:49" x14ac:dyDescent="0.25">
      <c r="A20" s="23">
        <v>44179</v>
      </c>
      <c r="B20" s="40">
        <v>73</v>
      </c>
      <c r="C20" s="24">
        <v>6498020</v>
      </c>
      <c r="D20" s="24">
        <v>15002670</v>
      </c>
      <c r="E20" s="24">
        <v>2221580</v>
      </c>
      <c r="F20" s="24">
        <v>3201540</v>
      </c>
      <c r="G20" s="24">
        <v>9605610</v>
      </c>
      <c r="H20" s="24">
        <v>4956390</v>
      </c>
      <c r="I20" s="24">
        <v>4668690</v>
      </c>
      <c r="J20" s="24">
        <v>5318800</v>
      </c>
      <c r="K20" s="24">
        <v>8333890</v>
      </c>
      <c r="L20" s="24">
        <v>3397620</v>
      </c>
      <c r="M20" s="24">
        <v>7320560</v>
      </c>
      <c r="N20" s="24">
        <v>10845850</v>
      </c>
      <c r="O20" s="24">
        <v>14773230</v>
      </c>
      <c r="Q20" s="37">
        <f t="shared" si="16"/>
        <v>560</v>
      </c>
      <c r="R20" s="37">
        <f t="shared" si="17"/>
        <v>1900</v>
      </c>
      <c r="S20" s="37">
        <f t="shared" si="15"/>
        <v>2770</v>
      </c>
      <c r="T20" s="37">
        <f t="shared" si="18"/>
        <v>1390</v>
      </c>
      <c r="U20" s="37">
        <f t="shared" si="19"/>
        <v>5020</v>
      </c>
      <c r="V20" s="37">
        <f t="shared" si="20"/>
        <v>3500</v>
      </c>
      <c r="W20" s="37">
        <f t="shared" si="21"/>
        <v>2400</v>
      </c>
      <c r="X20" s="37">
        <f t="shared" si="22"/>
        <v>3710</v>
      </c>
      <c r="Y20" s="37">
        <f t="shared" si="23"/>
        <v>5850</v>
      </c>
      <c r="Z20" s="37">
        <f t="shared" si="24"/>
        <v>2450</v>
      </c>
      <c r="AA20" s="37">
        <f t="shared" si="25"/>
        <v>3210</v>
      </c>
      <c r="AB20" s="37">
        <f t="shared" si="26"/>
        <v>7080</v>
      </c>
      <c r="AC20" s="37">
        <f t="shared" si="27"/>
        <v>11520</v>
      </c>
      <c r="AD20" s="35">
        <f t="shared" si="28"/>
        <v>51360</v>
      </c>
      <c r="AF20" s="20">
        <f t="shared" si="1"/>
        <v>2.8000000000000003</v>
      </c>
      <c r="AG20" s="20">
        <f t="shared" si="2"/>
        <v>9.5</v>
      </c>
      <c r="AH20" s="20">
        <f t="shared" si="3"/>
        <v>13.85</v>
      </c>
      <c r="AI20" s="20">
        <f t="shared" si="4"/>
        <v>6.95</v>
      </c>
      <c r="AJ20" s="20">
        <f t="shared" si="5"/>
        <v>25.1</v>
      </c>
      <c r="AK20" s="20">
        <f t="shared" si="6"/>
        <v>17.5</v>
      </c>
      <c r="AL20" s="20">
        <f t="shared" si="7"/>
        <v>12</v>
      </c>
      <c r="AM20" s="20">
        <f t="shared" si="8"/>
        <v>18.55</v>
      </c>
      <c r="AN20" s="20">
        <f t="shared" si="9"/>
        <v>29.25</v>
      </c>
      <c r="AO20" s="20">
        <f t="shared" si="10"/>
        <v>12.25</v>
      </c>
      <c r="AP20" s="20">
        <f t="shared" si="11"/>
        <v>16.05</v>
      </c>
      <c r="AQ20" s="20">
        <f t="shared" si="12"/>
        <v>35.4</v>
      </c>
      <c r="AR20" s="20">
        <f t="shared" si="13"/>
        <v>57.6</v>
      </c>
      <c r="AS20" s="35">
        <f t="shared" si="29"/>
        <v>256.8</v>
      </c>
      <c r="AU20" s="47">
        <v>353043</v>
      </c>
      <c r="AV20" s="37">
        <f t="shared" si="31"/>
        <v>1843</v>
      </c>
      <c r="AW20" s="35">
        <f t="shared" si="30"/>
        <v>3.6859999999999999</v>
      </c>
    </row>
    <row r="21" spans="1:49" x14ac:dyDescent="0.25">
      <c r="A21" s="23">
        <v>44180</v>
      </c>
      <c r="B21" s="40">
        <v>64</v>
      </c>
      <c r="C21" s="24">
        <v>6498570</v>
      </c>
      <c r="D21" s="24">
        <v>15004530</v>
      </c>
      <c r="E21" s="24">
        <v>2224580</v>
      </c>
      <c r="F21" s="24">
        <v>3202920</v>
      </c>
      <c r="G21" s="24">
        <v>9610230</v>
      </c>
      <c r="H21" s="24">
        <v>4959860</v>
      </c>
      <c r="I21" s="24">
        <v>4671140</v>
      </c>
      <c r="J21" s="24">
        <v>5322430</v>
      </c>
      <c r="K21" s="24">
        <v>8339890</v>
      </c>
      <c r="L21" s="24">
        <v>3400070</v>
      </c>
      <c r="M21" s="24">
        <v>7323370</v>
      </c>
      <c r="N21" s="24">
        <v>10852590</v>
      </c>
      <c r="O21" s="24">
        <v>14784610</v>
      </c>
      <c r="Q21" s="37">
        <f t="shared" si="16"/>
        <v>550</v>
      </c>
      <c r="R21" s="37">
        <f t="shared" si="17"/>
        <v>1860</v>
      </c>
      <c r="S21" s="37">
        <f t="shared" si="15"/>
        <v>3000</v>
      </c>
      <c r="T21" s="37">
        <f t="shared" si="18"/>
        <v>1380</v>
      </c>
      <c r="U21" s="37">
        <f t="shared" si="19"/>
        <v>4620</v>
      </c>
      <c r="V21" s="37">
        <f t="shared" si="20"/>
        <v>3470</v>
      </c>
      <c r="W21" s="37">
        <f t="shared" si="21"/>
        <v>2450</v>
      </c>
      <c r="X21" s="37">
        <f t="shared" si="22"/>
        <v>3630</v>
      </c>
      <c r="Y21" s="37">
        <f t="shared" si="23"/>
        <v>6000</v>
      </c>
      <c r="Z21" s="37">
        <f t="shared" si="24"/>
        <v>2450</v>
      </c>
      <c r="AA21" s="37">
        <f t="shared" si="25"/>
        <v>2810</v>
      </c>
      <c r="AB21" s="37">
        <f t="shared" si="26"/>
        <v>6740</v>
      </c>
      <c r="AC21" s="37">
        <f t="shared" si="27"/>
        <v>11380</v>
      </c>
      <c r="AD21" s="35">
        <f t="shared" si="28"/>
        <v>50340</v>
      </c>
      <c r="AF21" s="20">
        <f t="shared" si="1"/>
        <v>2.75</v>
      </c>
      <c r="AG21" s="20">
        <f t="shared" si="2"/>
        <v>9.3000000000000007</v>
      </c>
      <c r="AH21" s="20">
        <f t="shared" si="3"/>
        <v>15</v>
      </c>
      <c r="AI21" s="20">
        <f t="shared" si="4"/>
        <v>6.9</v>
      </c>
      <c r="AJ21" s="20">
        <f t="shared" si="5"/>
        <v>23.1</v>
      </c>
      <c r="AK21" s="20">
        <f t="shared" si="6"/>
        <v>17.350000000000001</v>
      </c>
      <c r="AL21" s="20">
        <f t="shared" si="7"/>
        <v>12.25</v>
      </c>
      <c r="AM21" s="20">
        <f t="shared" si="8"/>
        <v>18.150000000000002</v>
      </c>
      <c r="AN21" s="20">
        <f t="shared" si="9"/>
        <v>30</v>
      </c>
      <c r="AO21" s="20">
        <f t="shared" si="10"/>
        <v>12.25</v>
      </c>
      <c r="AP21" s="20">
        <f t="shared" si="11"/>
        <v>14.05</v>
      </c>
      <c r="AQ21" s="20">
        <f t="shared" si="12"/>
        <v>33.700000000000003</v>
      </c>
      <c r="AR21" s="20">
        <f t="shared" si="13"/>
        <v>56.9</v>
      </c>
      <c r="AS21" s="35">
        <f t="shared" si="29"/>
        <v>251.70000000000002</v>
      </c>
      <c r="AU21" s="47">
        <v>354419</v>
      </c>
      <c r="AV21" s="37">
        <f t="shared" si="31"/>
        <v>1376</v>
      </c>
      <c r="AW21" s="35">
        <f t="shared" si="30"/>
        <v>2.7520000000000002</v>
      </c>
    </row>
    <row r="22" spans="1:49" x14ac:dyDescent="0.25">
      <c r="A22" s="23">
        <v>44181</v>
      </c>
      <c r="B22" s="40">
        <v>75</v>
      </c>
      <c r="C22" s="24">
        <v>6499130</v>
      </c>
      <c r="D22" s="24">
        <v>15006430</v>
      </c>
      <c r="E22" s="24">
        <v>2227540</v>
      </c>
      <c r="F22" s="24">
        <v>3204350</v>
      </c>
      <c r="G22" s="24">
        <v>9615510</v>
      </c>
      <c r="H22" s="24">
        <v>4963440</v>
      </c>
      <c r="I22" s="24">
        <v>4673570</v>
      </c>
      <c r="J22" s="44">
        <v>5326230</v>
      </c>
      <c r="K22" s="24">
        <v>8346080</v>
      </c>
      <c r="L22" s="24">
        <v>3402640</v>
      </c>
      <c r="M22" s="24">
        <v>7326880</v>
      </c>
      <c r="N22" s="24">
        <v>10859610</v>
      </c>
      <c r="O22" s="44">
        <v>14797290</v>
      </c>
      <c r="Q22" s="37">
        <f t="shared" si="16"/>
        <v>560</v>
      </c>
      <c r="R22" s="37">
        <f t="shared" si="17"/>
        <v>1900</v>
      </c>
      <c r="S22" s="37">
        <f t="shared" si="15"/>
        <v>2960</v>
      </c>
      <c r="T22" s="37">
        <f t="shared" si="18"/>
        <v>1430</v>
      </c>
      <c r="U22" s="37">
        <f t="shared" si="19"/>
        <v>5280</v>
      </c>
      <c r="V22" s="37">
        <f t="shared" si="20"/>
        <v>3580</v>
      </c>
      <c r="W22" s="37">
        <f t="shared" si="21"/>
        <v>2430</v>
      </c>
      <c r="X22" s="37">
        <f t="shared" si="22"/>
        <v>3800</v>
      </c>
      <c r="Y22" s="37">
        <f t="shared" si="23"/>
        <v>6190</v>
      </c>
      <c r="Z22" s="37">
        <f t="shared" si="24"/>
        <v>2570</v>
      </c>
      <c r="AA22" s="37">
        <f t="shared" si="25"/>
        <v>3510</v>
      </c>
      <c r="AB22" s="37">
        <f t="shared" si="26"/>
        <v>7020</v>
      </c>
      <c r="AC22" s="37">
        <f t="shared" si="27"/>
        <v>12680</v>
      </c>
      <c r="AD22" s="35">
        <f t="shared" si="28"/>
        <v>53910</v>
      </c>
      <c r="AF22" s="20">
        <f t="shared" si="1"/>
        <v>2.8000000000000003</v>
      </c>
      <c r="AG22" s="20">
        <f t="shared" si="2"/>
        <v>9.5</v>
      </c>
      <c r="AH22" s="20">
        <f t="shared" si="3"/>
        <v>14.8</v>
      </c>
      <c r="AI22" s="20">
        <f t="shared" si="4"/>
        <v>7.15</v>
      </c>
      <c r="AJ22" s="20">
        <f t="shared" si="5"/>
        <v>26.400000000000002</v>
      </c>
      <c r="AK22" s="20">
        <f t="shared" si="6"/>
        <v>17.900000000000002</v>
      </c>
      <c r="AL22" s="20">
        <f t="shared" si="7"/>
        <v>12.15</v>
      </c>
      <c r="AM22" s="20">
        <f t="shared" si="8"/>
        <v>19</v>
      </c>
      <c r="AN22" s="20">
        <f t="shared" si="9"/>
        <v>30.95</v>
      </c>
      <c r="AO22" s="20">
        <f t="shared" si="10"/>
        <v>12.85</v>
      </c>
      <c r="AP22" s="20">
        <f t="shared" si="11"/>
        <v>17.55</v>
      </c>
      <c r="AQ22" s="20">
        <f t="shared" si="12"/>
        <v>35.1</v>
      </c>
      <c r="AR22" s="20">
        <f t="shared" si="13"/>
        <v>63.4</v>
      </c>
      <c r="AS22" s="35">
        <f t="shared" si="29"/>
        <v>269.55</v>
      </c>
      <c r="AU22" s="47">
        <v>356770</v>
      </c>
      <c r="AV22" s="37">
        <f t="shared" si="31"/>
        <v>2351</v>
      </c>
      <c r="AW22" s="35">
        <f t="shared" si="30"/>
        <v>4.702</v>
      </c>
    </row>
    <row r="23" spans="1:49" x14ac:dyDescent="0.25">
      <c r="A23" s="23">
        <v>44182</v>
      </c>
      <c r="B23" s="40">
        <v>112</v>
      </c>
      <c r="C23" s="24">
        <v>6499680</v>
      </c>
      <c r="D23" s="24">
        <v>15008320</v>
      </c>
      <c r="E23" s="24">
        <v>2230610</v>
      </c>
      <c r="F23" s="24">
        <v>3205810</v>
      </c>
      <c r="G23" s="24">
        <v>9620350</v>
      </c>
      <c r="H23" s="24">
        <v>4967010</v>
      </c>
      <c r="I23" s="24">
        <v>4675990</v>
      </c>
      <c r="J23" s="24">
        <v>5330070</v>
      </c>
      <c r="K23" s="24">
        <v>8352040</v>
      </c>
      <c r="L23" s="24">
        <v>3405210</v>
      </c>
      <c r="M23" s="24">
        <v>7330150</v>
      </c>
      <c r="N23" s="24">
        <v>10866610</v>
      </c>
      <c r="O23" s="24">
        <v>14809770</v>
      </c>
      <c r="Q23" s="37">
        <f t="shared" si="16"/>
        <v>550</v>
      </c>
      <c r="R23" s="37">
        <f t="shared" si="17"/>
        <v>1890</v>
      </c>
      <c r="S23" s="37">
        <f t="shared" si="15"/>
        <v>3070</v>
      </c>
      <c r="T23" s="37">
        <f t="shared" si="18"/>
        <v>1460</v>
      </c>
      <c r="U23" s="37">
        <f t="shared" si="19"/>
        <v>4840</v>
      </c>
      <c r="V23" s="37">
        <f t="shared" si="20"/>
        <v>3570</v>
      </c>
      <c r="W23" s="37">
        <f t="shared" si="21"/>
        <v>2420</v>
      </c>
      <c r="X23" s="37">
        <f t="shared" si="22"/>
        <v>3840</v>
      </c>
      <c r="Y23" s="37">
        <f t="shared" si="23"/>
        <v>5960</v>
      </c>
      <c r="Z23" s="37">
        <f t="shared" si="24"/>
        <v>2570</v>
      </c>
      <c r="AA23" s="37">
        <f t="shared" si="25"/>
        <v>3270</v>
      </c>
      <c r="AB23" s="37">
        <f t="shared" si="26"/>
        <v>7000</v>
      </c>
      <c r="AC23" s="37">
        <f t="shared" si="27"/>
        <v>12480</v>
      </c>
      <c r="AD23" s="35">
        <f t="shared" si="28"/>
        <v>52920</v>
      </c>
      <c r="AF23" s="20">
        <f t="shared" si="1"/>
        <v>2.75</v>
      </c>
      <c r="AG23" s="20">
        <f t="shared" si="2"/>
        <v>9.4500000000000011</v>
      </c>
      <c r="AH23" s="20">
        <f t="shared" si="3"/>
        <v>15.35</v>
      </c>
      <c r="AI23" s="20">
        <f t="shared" si="4"/>
        <v>7.3</v>
      </c>
      <c r="AJ23" s="20">
        <f t="shared" si="5"/>
        <v>24.2</v>
      </c>
      <c r="AK23" s="20">
        <f t="shared" si="6"/>
        <v>17.850000000000001</v>
      </c>
      <c r="AL23" s="20">
        <f t="shared" si="7"/>
        <v>12.1</v>
      </c>
      <c r="AM23" s="20">
        <f t="shared" si="8"/>
        <v>19.2</v>
      </c>
      <c r="AN23" s="20">
        <f t="shared" si="9"/>
        <v>29.8</v>
      </c>
      <c r="AO23" s="20">
        <f t="shared" si="10"/>
        <v>12.85</v>
      </c>
      <c r="AP23" s="20">
        <f t="shared" si="11"/>
        <v>16.350000000000001</v>
      </c>
      <c r="AQ23" s="20">
        <f t="shared" si="12"/>
        <v>35</v>
      </c>
      <c r="AR23" s="20">
        <f t="shared" si="13"/>
        <v>62.4</v>
      </c>
      <c r="AS23" s="35">
        <f t="shared" si="29"/>
        <v>264.59999999999997</v>
      </c>
      <c r="AU23" s="47">
        <v>358110</v>
      </c>
      <c r="AV23" s="37">
        <f t="shared" si="31"/>
        <v>1340</v>
      </c>
      <c r="AW23" s="35">
        <f t="shared" si="30"/>
        <v>2.68</v>
      </c>
    </row>
    <row r="24" spans="1:49" x14ac:dyDescent="0.25">
      <c r="A24" s="23">
        <v>44183</v>
      </c>
      <c r="B24" s="40">
        <v>121</v>
      </c>
      <c r="C24" s="24">
        <v>6500220</v>
      </c>
      <c r="D24" s="24">
        <v>15010130</v>
      </c>
      <c r="E24" s="24">
        <v>2233490</v>
      </c>
      <c r="F24" s="24">
        <v>3207220</v>
      </c>
      <c r="G24" s="24">
        <v>9625210</v>
      </c>
      <c r="H24" s="24">
        <v>4970610</v>
      </c>
      <c r="I24" s="24">
        <v>4678350</v>
      </c>
      <c r="J24" s="24">
        <v>5333840</v>
      </c>
      <c r="K24" s="24">
        <v>8358220</v>
      </c>
      <c r="L24" s="24">
        <v>3407830</v>
      </c>
      <c r="M24" s="24">
        <v>7333420</v>
      </c>
      <c r="N24" s="24">
        <v>10873590</v>
      </c>
      <c r="O24" s="24">
        <v>14821810</v>
      </c>
      <c r="Q24" s="37">
        <f t="shared" si="16"/>
        <v>540</v>
      </c>
      <c r="R24" s="37">
        <f t="shared" si="17"/>
        <v>1810</v>
      </c>
      <c r="S24" s="37">
        <f t="shared" si="15"/>
        <v>2880</v>
      </c>
      <c r="T24" s="37">
        <f t="shared" si="18"/>
        <v>1410</v>
      </c>
      <c r="U24" s="37">
        <f t="shared" si="19"/>
        <v>4860</v>
      </c>
      <c r="V24" s="37">
        <f t="shared" si="20"/>
        <v>3600</v>
      </c>
      <c r="W24" s="37">
        <f t="shared" si="21"/>
        <v>2360</v>
      </c>
      <c r="X24" s="37">
        <f t="shared" si="22"/>
        <v>3770</v>
      </c>
      <c r="Y24" s="37">
        <f t="shared" si="23"/>
        <v>6180</v>
      </c>
      <c r="Z24" s="37">
        <f t="shared" si="24"/>
        <v>2620</v>
      </c>
      <c r="AA24" s="37">
        <f t="shared" si="25"/>
        <v>3270</v>
      </c>
      <c r="AB24" s="37">
        <f t="shared" si="26"/>
        <v>6980</v>
      </c>
      <c r="AC24" s="37">
        <f t="shared" si="27"/>
        <v>12040</v>
      </c>
      <c r="AD24" s="35">
        <f t="shared" si="28"/>
        <v>52320</v>
      </c>
      <c r="AF24" s="20">
        <f t="shared" si="1"/>
        <v>2.7</v>
      </c>
      <c r="AG24" s="20">
        <f t="shared" si="2"/>
        <v>9.0500000000000007</v>
      </c>
      <c r="AH24" s="20">
        <f t="shared" si="3"/>
        <v>14.4</v>
      </c>
      <c r="AI24" s="20">
        <f t="shared" si="4"/>
        <v>7.05</v>
      </c>
      <c r="AJ24" s="20">
        <f t="shared" si="5"/>
        <v>24.3</v>
      </c>
      <c r="AK24" s="20">
        <f t="shared" si="6"/>
        <v>18</v>
      </c>
      <c r="AL24" s="20">
        <f t="shared" si="7"/>
        <v>11.8</v>
      </c>
      <c r="AM24" s="20">
        <f t="shared" si="8"/>
        <v>18.850000000000001</v>
      </c>
      <c r="AN24" s="20">
        <f t="shared" si="9"/>
        <v>30.900000000000002</v>
      </c>
      <c r="AO24" s="20">
        <f t="shared" si="10"/>
        <v>13.1</v>
      </c>
      <c r="AP24" s="20">
        <f t="shared" si="11"/>
        <v>16.350000000000001</v>
      </c>
      <c r="AQ24" s="20">
        <f t="shared" si="12"/>
        <v>34.9</v>
      </c>
      <c r="AR24" s="20">
        <f t="shared" si="13"/>
        <v>60.2</v>
      </c>
      <c r="AS24" s="35">
        <f t="shared" si="29"/>
        <v>261.60000000000002</v>
      </c>
      <c r="AU24" s="47">
        <v>359950</v>
      </c>
      <c r="AV24" s="37">
        <f t="shared" si="31"/>
        <v>1840</v>
      </c>
      <c r="AW24" s="35">
        <f t="shared" si="30"/>
        <v>3.68</v>
      </c>
    </row>
    <row r="25" spans="1:49" x14ac:dyDescent="0.25">
      <c r="A25" s="23">
        <v>44184</v>
      </c>
      <c r="B25" s="40">
        <v>73</v>
      </c>
      <c r="C25" s="24">
        <v>6500820</v>
      </c>
      <c r="D25" s="24">
        <v>15012180</v>
      </c>
      <c r="E25" s="24">
        <v>2236600</v>
      </c>
      <c r="F25" s="24">
        <v>3208800</v>
      </c>
      <c r="G25" s="24">
        <v>9630710</v>
      </c>
      <c r="H25" s="24">
        <v>4974392</v>
      </c>
      <c r="I25" s="24">
        <v>4680990</v>
      </c>
      <c r="J25" s="24">
        <v>5338000</v>
      </c>
      <c r="K25" s="24">
        <v>8364960</v>
      </c>
      <c r="L25" s="24">
        <v>3410620</v>
      </c>
      <c r="M25" s="24">
        <v>7337160</v>
      </c>
      <c r="N25" s="24">
        <v>10881340</v>
      </c>
      <c r="O25" s="24">
        <v>14835380</v>
      </c>
      <c r="Q25" s="37">
        <f t="shared" ref="Q25:AC29" si="33">IF((C25-C24&lt;0), "0",C25-C24)</f>
        <v>600</v>
      </c>
      <c r="R25" s="37">
        <f t="shared" si="33"/>
        <v>2050</v>
      </c>
      <c r="S25" s="37">
        <f t="shared" si="33"/>
        <v>3110</v>
      </c>
      <c r="T25" s="37">
        <f t="shared" si="33"/>
        <v>1580</v>
      </c>
      <c r="U25" s="37">
        <f t="shared" si="33"/>
        <v>5500</v>
      </c>
      <c r="V25" s="37">
        <f t="shared" si="33"/>
        <v>3782</v>
      </c>
      <c r="W25" s="37">
        <f t="shared" si="33"/>
        <v>2640</v>
      </c>
      <c r="X25" s="37">
        <f t="shared" si="33"/>
        <v>4160</v>
      </c>
      <c r="Y25" s="37">
        <f t="shared" si="33"/>
        <v>6740</v>
      </c>
      <c r="Z25" s="37">
        <f t="shared" si="33"/>
        <v>2790</v>
      </c>
      <c r="AA25" s="37">
        <f t="shared" si="33"/>
        <v>3740</v>
      </c>
      <c r="AB25" s="37">
        <f t="shared" si="33"/>
        <v>7750</v>
      </c>
      <c r="AC25" s="37">
        <f t="shared" si="33"/>
        <v>13570</v>
      </c>
      <c r="AD25" s="35">
        <f t="shared" si="28"/>
        <v>58012</v>
      </c>
      <c r="AF25" s="20">
        <f t="shared" si="1"/>
        <v>3</v>
      </c>
      <c r="AG25" s="20">
        <f t="shared" si="2"/>
        <v>10.25</v>
      </c>
      <c r="AH25" s="20">
        <f t="shared" si="3"/>
        <v>15.55</v>
      </c>
      <c r="AI25" s="20">
        <f t="shared" si="4"/>
        <v>7.9</v>
      </c>
      <c r="AJ25" s="20">
        <f t="shared" si="5"/>
        <v>27.5</v>
      </c>
      <c r="AK25" s="20">
        <f t="shared" si="6"/>
        <v>18.91</v>
      </c>
      <c r="AL25" s="20">
        <f t="shared" si="7"/>
        <v>13.200000000000001</v>
      </c>
      <c r="AM25" s="20">
        <f t="shared" si="8"/>
        <v>20.8</v>
      </c>
      <c r="AN25" s="20">
        <f t="shared" si="9"/>
        <v>33.700000000000003</v>
      </c>
      <c r="AO25" s="20">
        <f t="shared" si="10"/>
        <v>13.950000000000001</v>
      </c>
      <c r="AP25" s="20">
        <f t="shared" si="11"/>
        <v>18.7</v>
      </c>
      <c r="AQ25" s="20">
        <f t="shared" si="12"/>
        <v>38.75</v>
      </c>
      <c r="AR25" s="20">
        <f t="shared" si="13"/>
        <v>67.849999999999994</v>
      </c>
      <c r="AS25" s="35">
        <f t="shared" si="29"/>
        <v>290.05999999999995</v>
      </c>
      <c r="AU25" s="47">
        <v>362339</v>
      </c>
      <c r="AV25" s="37">
        <f t="shared" si="31"/>
        <v>2389</v>
      </c>
      <c r="AW25" s="35">
        <f t="shared" si="30"/>
        <v>4.7780000000000005</v>
      </c>
    </row>
    <row r="26" spans="1:49" x14ac:dyDescent="0.25">
      <c r="A26" s="23">
        <v>44185</v>
      </c>
      <c r="B26" s="40">
        <v>71</v>
      </c>
      <c r="C26" s="24">
        <v>6501350</v>
      </c>
      <c r="D26" s="24">
        <v>15013990</v>
      </c>
      <c r="E26" s="24">
        <v>2239180</v>
      </c>
      <c r="F26" s="24">
        <v>3210200</v>
      </c>
      <c r="G26" s="24">
        <v>9635300</v>
      </c>
      <c r="H26" s="24">
        <v>4977740</v>
      </c>
      <c r="I26" s="24">
        <v>4683350</v>
      </c>
      <c r="J26" s="24">
        <v>5341420</v>
      </c>
      <c r="K26" s="24">
        <v>8370480</v>
      </c>
      <c r="L26" s="24">
        <v>3413000</v>
      </c>
      <c r="M26" s="24">
        <v>7340130</v>
      </c>
      <c r="N26" s="24">
        <v>10888130</v>
      </c>
      <c r="O26" s="24">
        <v>14849032</v>
      </c>
      <c r="Q26" s="37">
        <f t="shared" si="33"/>
        <v>530</v>
      </c>
      <c r="R26" s="37">
        <f t="shared" si="33"/>
        <v>1810</v>
      </c>
      <c r="S26" s="37">
        <f t="shared" si="33"/>
        <v>2580</v>
      </c>
      <c r="T26" s="37">
        <f t="shared" si="33"/>
        <v>1400</v>
      </c>
      <c r="U26" s="37">
        <f t="shared" si="33"/>
        <v>4590</v>
      </c>
      <c r="V26" s="37">
        <f t="shared" si="33"/>
        <v>3348</v>
      </c>
      <c r="W26" s="37">
        <f t="shared" si="33"/>
        <v>2360</v>
      </c>
      <c r="X26" s="37">
        <f t="shared" si="33"/>
        <v>3420</v>
      </c>
      <c r="Y26" s="37">
        <f t="shared" si="33"/>
        <v>5520</v>
      </c>
      <c r="Z26" s="37">
        <f t="shared" si="33"/>
        <v>2380</v>
      </c>
      <c r="AA26" s="37">
        <f t="shared" si="33"/>
        <v>2970</v>
      </c>
      <c r="AB26" s="37">
        <f t="shared" si="33"/>
        <v>6790</v>
      </c>
      <c r="AC26" s="37">
        <f t="shared" si="33"/>
        <v>13652</v>
      </c>
      <c r="AD26" s="35">
        <f t="shared" si="28"/>
        <v>51350</v>
      </c>
      <c r="AF26" s="20">
        <f t="shared" si="1"/>
        <v>2.65</v>
      </c>
      <c r="AG26" s="20">
        <f t="shared" si="2"/>
        <v>9.0500000000000007</v>
      </c>
      <c r="AH26" s="20">
        <f t="shared" si="3"/>
        <v>12.9</v>
      </c>
      <c r="AI26" s="20">
        <f t="shared" si="4"/>
        <v>7</v>
      </c>
      <c r="AJ26" s="20">
        <f t="shared" si="5"/>
        <v>22.95</v>
      </c>
      <c r="AK26" s="20">
        <f t="shared" si="6"/>
        <v>16.740000000000002</v>
      </c>
      <c r="AL26" s="20">
        <f t="shared" si="7"/>
        <v>11.8</v>
      </c>
      <c r="AM26" s="20">
        <f t="shared" si="8"/>
        <v>17.100000000000001</v>
      </c>
      <c r="AN26" s="20">
        <f t="shared" si="9"/>
        <v>27.6</v>
      </c>
      <c r="AO26" s="20">
        <f t="shared" si="10"/>
        <v>11.9</v>
      </c>
      <c r="AP26" s="20">
        <f t="shared" si="11"/>
        <v>14.85</v>
      </c>
      <c r="AQ26" s="20">
        <f t="shared" si="12"/>
        <v>33.950000000000003</v>
      </c>
      <c r="AR26" s="20">
        <f t="shared" si="13"/>
        <v>68.260000000000005</v>
      </c>
      <c r="AS26" s="35">
        <f t="shared" si="29"/>
        <v>256.75</v>
      </c>
      <c r="AU26" s="47">
        <v>363265</v>
      </c>
      <c r="AV26" s="37">
        <f t="shared" si="31"/>
        <v>926</v>
      </c>
      <c r="AW26" s="35">
        <f t="shared" si="30"/>
        <v>1.8520000000000001</v>
      </c>
    </row>
    <row r="27" spans="1:49" x14ac:dyDescent="0.25">
      <c r="A27" s="23">
        <v>44186</v>
      </c>
      <c r="B27" s="40">
        <v>70</v>
      </c>
      <c r="C27" s="24">
        <v>6501910</v>
      </c>
      <c r="D27" s="24">
        <v>15015910</v>
      </c>
      <c r="E27" s="24">
        <v>2241840</v>
      </c>
      <c r="F27" s="24">
        <v>3211670</v>
      </c>
      <c r="G27" s="24">
        <v>9640400</v>
      </c>
      <c r="H27" s="24">
        <v>4981280</v>
      </c>
      <c r="I27" s="24">
        <v>4685850</v>
      </c>
      <c r="J27" s="24">
        <v>5345380</v>
      </c>
      <c r="K27" s="24">
        <v>8376600</v>
      </c>
      <c r="L27" s="24">
        <v>3415400</v>
      </c>
      <c r="M27" s="24">
        <v>7343540</v>
      </c>
      <c r="N27" s="24">
        <v>10895150</v>
      </c>
      <c r="O27" s="24">
        <v>14862030</v>
      </c>
      <c r="Q27" s="37">
        <f t="shared" si="33"/>
        <v>560</v>
      </c>
      <c r="R27" s="37">
        <f t="shared" si="33"/>
        <v>1920</v>
      </c>
      <c r="S27" s="37">
        <f t="shared" si="33"/>
        <v>2660</v>
      </c>
      <c r="T27" s="37">
        <f t="shared" si="33"/>
        <v>1470</v>
      </c>
      <c r="U27" s="37">
        <f t="shared" si="33"/>
        <v>5100</v>
      </c>
      <c r="V27" s="37">
        <f t="shared" si="33"/>
        <v>3540</v>
      </c>
      <c r="W27" s="37">
        <f t="shared" si="33"/>
        <v>2500</v>
      </c>
      <c r="X27" s="37">
        <f t="shared" si="33"/>
        <v>3960</v>
      </c>
      <c r="Y27" s="37">
        <f t="shared" si="33"/>
        <v>6120</v>
      </c>
      <c r="Z27" s="37">
        <f t="shared" si="33"/>
        <v>2400</v>
      </c>
      <c r="AA27" s="37">
        <f t="shared" si="33"/>
        <v>3410</v>
      </c>
      <c r="AB27" s="37">
        <f t="shared" si="33"/>
        <v>7020</v>
      </c>
      <c r="AC27" s="37">
        <f t="shared" si="33"/>
        <v>12998</v>
      </c>
      <c r="AD27" s="35">
        <f t="shared" si="28"/>
        <v>53658</v>
      </c>
      <c r="AF27" s="20">
        <f t="shared" si="1"/>
        <v>2.8000000000000003</v>
      </c>
      <c r="AG27" s="20">
        <f t="shared" si="2"/>
        <v>9.6</v>
      </c>
      <c r="AH27" s="20">
        <f t="shared" si="3"/>
        <v>13.3</v>
      </c>
      <c r="AI27" s="20">
        <f t="shared" si="4"/>
        <v>7.3500000000000005</v>
      </c>
      <c r="AJ27" s="20">
        <f t="shared" si="5"/>
        <v>25.5</v>
      </c>
      <c r="AK27" s="20">
        <f t="shared" si="6"/>
        <v>17.7</v>
      </c>
      <c r="AL27" s="20">
        <f t="shared" si="7"/>
        <v>12.5</v>
      </c>
      <c r="AM27" s="20">
        <f t="shared" si="8"/>
        <v>19.8</v>
      </c>
      <c r="AN27" s="20">
        <f t="shared" si="9"/>
        <v>30.6</v>
      </c>
      <c r="AO27" s="20">
        <f t="shared" si="10"/>
        <v>12</v>
      </c>
      <c r="AP27" s="20">
        <f t="shared" si="11"/>
        <v>17.05</v>
      </c>
      <c r="AQ27" s="20">
        <f t="shared" si="12"/>
        <v>35.1</v>
      </c>
      <c r="AR27" s="20">
        <f t="shared" si="13"/>
        <v>64.989999999999995</v>
      </c>
      <c r="AS27" s="35">
        <f t="shared" si="29"/>
        <v>268.29000000000002</v>
      </c>
      <c r="AU27" s="47">
        <v>365016</v>
      </c>
      <c r="AV27" s="37">
        <f>IF((AU27-AU26&lt;0),"0",AU27-AU26)</f>
        <v>1751</v>
      </c>
      <c r="AW27" s="35">
        <f t="shared" si="30"/>
        <v>3.5020000000000002</v>
      </c>
    </row>
    <row r="28" spans="1:49" x14ac:dyDescent="0.25">
      <c r="A28" s="23">
        <v>44187</v>
      </c>
      <c r="B28" s="40">
        <v>82</v>
      </c>
      <c r="C28" s="24">
        <v>6502460</v>
      </c>
      <c r="D28" s="24">
        <v>15017770</v>
      </c>
      <c r="E28" s="24">
        <v>2244430</v>
      </c>
      <c r="F28" s="24">
        <v>3213100</v>
      </c>
      <c r="G28" s="24">
        <v>9645700</v>
      </c>
      <c r="H28" s="24">
        <v>4984740</v>
      </c>
      <c r="I28" s="24">
        <v>4688310</v>
      </c>
      <c r="J28" s="24">
        <v>5349220</v>
      </c>
      <c r="K28" s="24">
        <v>8382770</v>
      </c>
      <c r="L28" s="24">
        <v>3417930</v>
      </c>
      <c r="M28" s="24">
        <v>7346660</v>
      </c>
      <c r="N28" s="24">
        <v>10901860</v>
      </c>
      <c r="O28" s="24">
        <v>14874820</v>
      </c>
      <c r="Q28" s="37">
        <f t="shared" si="16"/>
        <v>550</v>
      </c>
      <c r="R28" s="37">
        <f t="shared" si="17"/>
        <v>1860</v>
      </c>
      <c r="S28" s="37">
        <f t="shared" si="15"/>
        <v>2590</v>
      </c>
      <c r="T28" s="37">
        <f t="shared" si="18"/>
        <v>1430</v>
      </c>
      <c r="U28" s="37">
        <f t="shared" si="19"/>
        <v>5300</v>
      </c>
      <c r="V28" s="37">
        <f t="shared" si="20"/>
        <v>3460</v>
      </c>
      <c r="W28" s="37">
        <f t="shared" si="21"/>
        <v>2460</v>
      </c>
      <c r="X28" s="37">
        <f t="shared" si="22"/>
        <v>3840</v>
      </c>
      <c r="Y28" s="37">
        <f t="shared" si="23"/>
        <v>6170</v>
      </c>
      <c r="Z28" s="37">
        <f t="shared" si="24"/>
        <v>2530</v>
      </c>
      <c r="AA28" s="37">
        <f t="shared" si="25"/>
        <v>3120</v>
      </c>
      <c r="AB28" s="37">
        <f t="shared" si="26"/>
        <v>6710</v>
      </c>
      <c r="AC28" s="37">
        <f t="shared" si="27"/>
        <v>12790</v>
      </c>
      <c r="AD28" s="35">
        <f t="shared" si="28"/>
        <v>52810</v>
      </c>
      <c r="AF28" s="20">
        <f t="shared" si="1"/>
        <v>2.75</v>
      </c>
      <c r="AG28" s="20">
        <f t="shared" si="2"/>
        <v>9.3000000000000007</v>
      </c>
      <c r="AH28" s="20">
        <f t="shared" si="3"/>
        <v>12.950000000000001</v>
      </c>
      <c r="AI28" s="20">
        <f t="shared" si="4"/>
        <v>7.15</v>
      </c>
      <c r="AJ28" s="20">
        <f t="shared" si="5"/>
        <v>26.5</v>
      </c>
      <c r="AK28" s="20">
        <f t="shared" si="6"/>
        <v>17.3</v>
      </c>
      <c r="AL28" s="20">
        <f t="shared" si="7"/>
        <v>12.3</v>
      </c>
      <c r="AM28" s="20">
        <f t="shared" si="8"/>
        <v>19.2</v>
      </c>
      <c r="AN28" s="20">
        <f t="shared" si="9"/>
        <v>30.85</v>
      </c>
      <c r="AO28" s="20">
        <f t="shared" si="10"/>
        <v>12.65</v>
      </c>
      <c r="AP28" s="20">
        <f t="shared" si="11"/>
        <v>15.6</v>
      </c>
      <c r="AQ28" s="20">
        <f t="shared" si="12"/>
        <v>33.549999999999997</v>
      </c>
      <c r="AR28" s="20">
        <f t="shared" si="13"/>
        <v>63.95</v>
      </c>
      <c r="AS28" s="35">
        <f t="shared" si="29"/>
        <v>264.05</v>
      </c>
      <c r="AU28" s="47">
        <v>366830</v>
      </c>
      <c r="AV28" s="37">
        <f>IF((AU28-AU27&lt;0),"0",AU28-AU27)</f>
        <v>1814</v>
      </c>
      <c r="AW28" s="35">
        <f t="shared" si="30"/>
        <v>3.6280000000000001</v>
      </c>
    </row>
    <row r="29" spans="1:49" x14ac:dyDescent="0.25">
      <c r="A29" s="23">
        <v>44188</v>
      </c>
      <c r="B29" s="40"/>
      <c r="C29" s="24">
        <v>6503020</v>
      </c>
      <c r="D29" s="24">
        <v>15019690</v>
      </c>
      <c r="E29" s="24">
        <v>2247160</v>
      </c>
      <c r="F29" s="24">
        <v>3214580</v>
      </c>
      <c r="G29" s="24">
        <v>9651100</v>
      </c>
      <c r="H29" s="24">
        <v>4988340</v>
      </c>
      <c r="I29" s="24">
        <v>4690820</v>
      </c>
      <c r="J29" s="24">
        <v>5352980</v>
      </c>
      <c r="K29" s="24">
        <v>8389030</v>
      </c>
      <c r="L29" s="24">
        <v>3420470</v>
      </c>
      <c r="M29" s="24">
        <v>7350040</v>
      </c>
      <c r="N29" s="24">
        <v>10908890</v>
      </c>
      <c r="O29" s="24">
        <v>14887120</v>
      </c>
      <c r="Q29" s="37">
        <f t="shared" si="33"/>
        <v>560</v>
      </c>
      <c r="R29" s="37">
        <v>1920</v>
      </c>
      <c r="S29" s="37">
        <v>2730</v>
      </c>
      <c r="T29" s="37">
        <v>1480</v>
      </c>
      <c r="U29" s="37">
        <v>5400</v>
      </c>
      <c r="V29" s="37">
        <v>3600</v>
      </c>
      <c r="W29" s="37">
        <v>2510</v>
      </c>
      <c r="X29" s="37">
        <v>3760</v>
      </c>
      <c r="Y29" s="37">
        <v>6260</v>
      </c>
      <c r="Z29" s="37">
        <v>2540</v>
      </c>
      <c r="AA29" s="37">
        <v>3380</v>
      </c>
      <c r="AB29" s="37">
        <v>7030</v>
      </c>
      <c r="AC29" s="37">
        <v>12300</v>
      </c>
      <c r="AD29" s="35">
        <v>53470</v>
      </c>
      <c r="AF29" s="20">
        <f t="shared" si="1"/>
        <v>2.8000000000000003</v>
      </c>
      <c r="AG29" s="20">
        <f t="shared" si="2"/>
        <v>9.6</v>
      </c>
      <c r="AH29" s="20">
        <f t="shared" si="3"/>
        <v>13.65</v>
      </c>
      <c r="AI29" s="20">
        <f t="shared" si="4"/>
        <v>7.4</v>
      </c>
      <c r="AJ29" s="20">
        <f t="shared" si="5"/>
        <v>27</v>
      </c>
      <c r="AK29" s="20">
        <f t="shared" si="6"/>
        <v>18</v>
      </c>
      <c r="AL29" s="20">
        <f t="shared" si="7"/>
        <v>12.55</v>
      </c>
      <c r="AM29" s="20">
        <f t="shared" si="8"/>
        <v>18.8</v>
      </c>
      <c r="AN29" s="20">
        <f t="shared" si="9"/>
        <v>31.3</v>
      </c>
      <c r="AO29" s="20">
        <f t="shared" si="10"/>
        <v>12.700000000000001</v>
      </c>
      <c r="AP29" s="20">
        <f t="shared" si="11"/>
        <v>16.899999999999999</v>
      </c>
      <c r="AQ29" s="20">
        <f t="shared" si="12"/>
        <v>35.15</v>
      </c>
      <c r="AR29" s="20">
        <f t="shared" si="13"/>
        <v>61.5</v>
      </c>
      <c r="AS29" s="35">
        <f t="shared" si="29"/>
        <v>267.35000000000002</v>
      </c>
      <c r="AU29" s="47">
        <v>3685502</v>
      </c>
      <c r="AV29" s="37">
        <f t="shared" ref="AV29:AV35" si="34">IF((AU29-AU28&lt;0),"0",AU29-AU28)</f>
        <v>3318672</v>
      </c>
      <c r="AW29" s="35">
        <f t="shared" si="30"/>
        <v>6637.3440000000001</v>
      </c>
    </row>
    <row r="30" spans="1:49" x14ac:dyDescent="0.25">
      <c r="A30" s="23">
        <v>44189</v>
      </c>
      <c r="B30" s="40"/>
      <c r="C30" s="24">
        <v>6503570</v>
      </c>
      <c r="D30" s="24">
        <v>15021560</v>
      </c>
      <c r="E30" s="24">
        <v>2249870</v>
      </c>
      <c r="F30" s="24">
        <v>3216020</v>
      </c>
      <c r="G30" s="24">
        <v>9656580</v>
      </c>
      <c r="H30" s="24">
        <v>4991920</v>
      </c>
      <c r="I30" s="24">
        <v>4693260</v>
      </c>
      <c r="J30" s="24">
        <v>5356670</v>
      </c>
      <c r="K30" s="24">
        <v>8395200</v>
      </c>
      <c r="L30" s="24">
        <v>3423050</v>
      </c>
      <c r="M30" s="24">
        <v>7353460</v>
      </c>
      <c r="N30" s="24">
        <v>10915720</v>
      </c>
      <c r="O30" s="24">
        <v>14899850</v>
      </c>
      <c r="Q30" s="37">
        <f t="shared" si="16"/>
        <v>550</v>
      </c>
      <c r="R30" s="37">
        <f t="shared" si="17"/>
        <v>1870</v>
      </c>
      <c r="S30" s="37">
        <f t="shared" si="15"/>
        <v>2710</v>
      </c>
      <c r="T30" s="37">
        <f t="shared" si="18"/>
        <v>1440</v>
      </c>
      <c r="U30" s="37">
        <f t="shared" si="19"/>
        <v>5480</v>
      </c>
      <c r="V30" s="37">
        <f t="shared" si="20"/>
        <v>3580</v>
      </c>
      <c r="W30" s="37">
        <f t="shared" si="21"/>
        <v>2440</v>
      </c>
      <c r="X30" s="37">
        <f t="shared" si="22"/>
        <v>3690</v>
      </c>
      <c r="Y30" s="37">
        <f t="shared" si="23"/>
        <v>6170</v>
      </c>
      <c r="Z30" s="37">
        <f t="shared" si="24"/>
        <v>2580</v>
      </c>
      <c r="AA30" s="37">
        <f t="shared" si="25"/>
        <v>3420</v>
      </c>
      <c r="AB30" s="37">
        <f t="shared" si="26"/>
        <v>6830</v>
      </c>
      <c r="AC30" s="37">
        <f t="shared" si="27"/>
        <v>12730</v>
      </c>
      <c r="AD30" s="35">
        <f t="shared" si="28"/>
        <v>53490</v>
      </c>
      <c r="AF30" s="20">
        <f t="shared" si="1"/>
        <v>2.75</v>
      </c>
      <c r="AG30" s="20">
        <f t="shared" si="2"/>
        <v>9.35</v>
      </c>
      <c r="AH30" s="20">
        <f t="shared" si="3"/>
        <v>13.55</v>
      </c>
      <c r="AI30" s="20">
        <f t="shared" si="4"/>
        <v>7.2</v>
      </c>
      <c r="AJ30" s="20">
        <f t="shared" si="5"/>
        <v>27.400000000000002</v>
      </c>
      <c r="AK30" s="20">
        <f t="shared" si="6"/>
        <v>17.900000000000002</v>
      </c>
      <c r="AL30" s="20">
        <f t="shared" si="7"/>
        <v>12.200000000000001</v>
      </c>
      <c r="AM30" s="20">
        <f t="shared" si="8"/>
        <v>18.45</v>
      </c>
      <c r="AN30" s="20">
        <f t="shared" si="9"/>
        <v>30.85</v>
      </c>
      <c r="AO30" s="20">
        <f t="shared" si="10"/>
        <v>12.9</v>
      </c>
      <c r="AP30" s="20">
        <f t="shared" si="11"/>
        <v>17.100000000000001</v>
      </c>
      <c r="AQ30" s="20">
        <f t="shared" si="12"/>
        <v>34.15</v>
      </c>
      <c r="AR30" s="20">
        <f t="shared" si="13"/>
        <v>63.65</v>
      </c>
      <c r="AS30" s="35">
        <f t="shared" si="29"/>
        <v>267.45</v>
      </c>
      <c r="AU30" s="47">
        <v>369987</v>
      </c>
      <c r="AV30" s="37" t="str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 t="str">
        <f>IF((C31-C30&lt;0), "0",C31-C30)</f>
        <v>0</v>
      </c>
      <c r="R31" s="37" t="str">
        <f t="shared" si="17"/>
        <v>0</v>
      </c>
      <c r="S31" s="37" t="str">
        <f t="shared" si="15"/>
        <v>0</v>
      </c>
      <c r="T31" s="37" t="str">
        <f t="shared" si="18"/>
        <v>0</v>
      </c>
      <c r="U31" s="37" t="str">
        <f t="shared" si="19"/>
        <v>0</v>
      </c>
      <c r="V31" s="37" t="str">
        <f t="shared" si="20"/>
        <v>0</v>
      </c>
      <c r="W31" s="37" t="str">
        <f t="shared" si="21"/>
        <v>0</v>
      </c>
      <c r="X31" s="37" t="str">
        <f t="shared" si="22"/>
        <v>0</v>
      </c>
      <c r="Y31" s="37" t="str">
        <f t="shared" si="23"/>
        <v>0</v>
      </c>
      <c r="Z31" s="37" t="str">
        <f t="shared" si="24"/>
        <v>0</v>
      </c>
      <c r="AA31" s="37" t="str">
        <f t="shared" si="25"/>
        <v>0</v>
      </c>
      <c r="AB31" s="37" t="str">
        <f t="shared" si="26"/>
        <v>0</v>
      </c>
      <c r="AC31" s="37" t="str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 t="str">
        <f t="shared" si="34"/>
        <v>0</v>
      </c>
      <c r="AW31" s="35">
        <f t="shared" si="30"/>
        <v>0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13320</v>
      </c>
      <c r="R38" s="30">
        <f t="shared" si="62"/>
        <v>45540</v>
      </c>
      <c r="S38" s="30">
        <f t="shared" si="62"/>
        <v>41170</v>
      </c>
      <c r="T38" s="30">
        <f t="shared" si="62"/>
        <v>64350</v>
      </c>
      <c r="U38" s="30">
        <f t="shared" si="62"/>
        <v>120810</v>
      </c>
      <c r="V38" s="30">
        <f t="shared" si="62"/>
        <v>84610</v>
      </c>
      <c r="W38" s="30">
        <f t="shared" si="62"/>
        <v>58290</v>
      </c>
      <c r="X38" s="30">
        <f t="shared" si="62"/>
        <v>91660</v>
      </c>
      <c r="Y38" s="30">
        <f t="shared" si="62"/>
        <v>146500</v>
      </c>
      <c r="Z38" s="30">
        <f t="shared" si="62"/>
        <v>61290</v>
      </c>
      <c r="AA38" s="30">
        <f t="shared" si="62"/>
        <v>79870</v>
      </c>
      <c r="AB38" s="30">
        <f t="shared" si="62"/>
        <v>170100</v>
      </c>
      <c r="AC38" s="30">
        <f t="shared" si="62"/>
        <v>285680</v>
      </c>
      <c r="AD38" s="35">
        <f t="shared" si="62"/>
        <v>1263190</v>
      </c>
      <c r="AF38" s="35">
        <f t="shared" ref="AF38:AS38" si="63">SUM(AF7:AF34)</f>
        <v>66.599999999999994</v>
      </c>
      <c r="AG38" s="35">
        <f t="shared" si="63"/>
        <v>227.70000000000002</v>
      </c>
      <c r="AH38" s="35">
        <f t="shared" si="63"/>
        <v>205.85000000000002</v>
      </c>
      <c r="AI38" s="35">
        <f t="shared" si="63"/>
        <v>321.74999999999994</v>
      </c>
      <c r="AJ38" s="35">
        <f t="shared" si="63"/>
        <v>604.05000000000007</v>
      </c>
      <c r="AK38" s="35">
        <f t="shared" si="63"/>
        <v>423.05</v>
      </c>
      <c r="AL38" s="35">
        <f t="shared" si="63"/>
        <v>291.45</v>
      </c>
      <c r="AM38" s="35">
        <f t="shared" si="63"/>
        <v>458.30000000000007</v>
      </c>
      <c r="AN38" s="35">
        <f t="shared" si="63"/>
        <v>732.5</v>
      </c>
      <c r="AO38" s="35">
        <f t="shared" si="63"/>
        <v>306.44999999999987</v>
      </c>
      <c r="AP38" s="35">
        <f t="shared" si="63"/>
        <v>399.35000000000014</v>
      </c>
      <c r="AQ38" s="35">
        <f t="shared" si="63"/>
        <v>850.5</v>
      </c>
      <c r="AR38" s="35">
        <f t="shared" si="63"/>
        <v>1428.4</v>
      </c>
      <c r="AS38" s="35">
        <f t="shared" si="63"/>
        <v>6315.9500000000016</v>
      </c>
      <c r="AU38" s="48"/>
      <c r="AV38" s="35">
        <f>SUM(AV7:AV34)</f>
        <v>3355065</v>
      </c>
      <c r="AW38" s="35">
        <f>SUM(AW7:AW34)</f>
        <v>6704.1040000000003</v>
      </c>
    </row>
    <row r="39" spans="1:49" x14ac:dyDescent="0.25">
      <c r="D39">
        <v>5.0000000000000001E-3</v>
      </c>
      <c r="AV39" s="36">
        <f>AV38*0.00378541*1000</f>
        <v>12700296.60165</v>
      </c>
    </row>
    <row r="40" spans="1:49" x14ac:dyDescent="0.25">
      <c r="D40">
        <v>2E-3</v>
      </c>
      <c r="AV40">
        <f>AV39/31</f>
        <v>409686.98715</v>
      </c>
    </row>
    <row r="41" spans="1:49" x14ac:dyDescent="0.25">
      <c r="AV41">
        <f>AV38*0.00378541</f>
        <v>12700.29660165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disablePrompts="1"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Mahmoud Shawky</cp:lastModifiedBy>
  <cp:lastPrinted>2019-07-02T08:10:14Z</cp:lastPrinted>
  <dcterms:created xsi:type="dcterms:W3CDTF">2017-05-22T13:08:25Z</dcterms:created>
  <dcterms:modified xsi:type="dcterms:W3CDTF">2020-12-25T07:47:45Z</dcterms:modified>
</cp:coreProperties>
</file>