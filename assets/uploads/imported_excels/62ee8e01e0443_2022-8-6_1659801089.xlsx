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67F4DE6-D807-434A-BFB3-B55A7FC571A4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8" i="2" l="1"/>
  <c r="C33" i="2"/>
  <c r="E33" i="2"/>
  <c r="G24" i="2"/>
  <c r="G25" i="2"/>
  <c r="G26" i="2"/>
  <c r="G31" i="2"/>
  <c r="G32" i="2"/>
  <c r="G33" i="2"/>
  <c r="G34" i="2"/>
  <c r="G35" i="2"/>
  <c r="G36" i="2"/>
  <c r="G37" i="2"/>
  <c r="G27" i="2"/>
  <c r="G28" i="2"/>
  <c r="G29" i="2"/>
  <c r="G30" i="2"/>
  <c r="E21" i="2"/>
  <c r="E22" i="2"/>
  <c r="E23" i="2"/>
  <c r="E24" i="2"/>
  <c r="E25" i="2"/>
  <c r="E26" i="2"/>
  <c r="E27" i="2"/>
  <c r="E28" i="2"/>
  <c r="E29" i="2"/>
  <c r="E30" i="2"/>
  <c r="E31" i="2"/>
  <c r="E32" i="2"/>
  <c r="E34" i="2"/>
  <c r="E35" i="2"/>
  <c r="E36" i="2"/>
  <c r="E37" i="2"/>
  <c r="E20" i="2"/>
  <c r="C30" i="2"/>
  <c r="C31" i="2"/>
  <c r="C32" i="2"/>
  <c r="C34" i="2"/>
  <c r="C35" i="2"/>
  <c r="H35" i="2" s="1"/>
  <c r="C36" i="2"/>
  <c r="C37" i="2"/>
  <c r="C26" i="2"/>
  <c r="C27" i="2"/>
  <c r="C28" i="2"/>
  <c r="C29" i="2"/>
  <c r="E9" i="2"/>
  <c r="C7" i="2"/>
  <c r="H36" i="2" l="1"/>
  <c r="H37" i="2"/>
  <c r="H26" i="2"/>
  <c r="H27" i="2"/>
  <c r="H34" i="2"/>
  <c r="H33" i="2"/>
  <c r="H32" i="2"/>
  <c r="H31" i="2"/>
  <c r="H30" i="2"/>
  <c r="H29" i="2"/>
  <c r="H28" i="2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9" i="2"/>
  <c r="E10" i="2"/>
  <c r="E11" i="2"/>
  <c r="E12" i="2"/>
  <c r="E13" i="2"/>
  <c r="E14" i="2"/>
  <c r="E15" i="2"/>
  <c r="E16" i="2"/>
  <c r="E17" i="2"/>
  <c r="E18" i="2"/>
  <c r="C22" i="2"/>
  <c r="C23" i="2"/>
  <c r="C24" i="2"/>
  <c r="C25" i="2"/>
  <c r="H25" i="2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V39" i="2" s="1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 s="1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P24" i="9"/>
  <c r="I25" i="9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 s="1"/>
  <c r="G15" i="12"/>
  <c r="V38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I26" i="13"/>
  <c r="G18" i="12"/>
  <c r="AT28" i="9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Z37" i="2" s="1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I32" i="9"/>
  <c r="AI27" i="12"/>
  <c r="I30" i="9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C38" i="6"/>
  <c r="W30" i="2"/>
  <c r="BN28" i="9" s="1"/>
  <c r="H18" i="2"/>
  <c r="H15" i="2"/>
  <c r="AJ28" i="12"/>
  <c r="AI4" i="12"/>
  <c r="I28" i="9"/>
  <c r="AH26" i="9"/>
  <c r="C38" i="2"/>
  <c r="I33" i="9" s="1"/>
  <c r="AM8" i="12"/>
  <c r="AH30" i="9"/>
  <c r="H25" i="6"/>
  <c r="H34" i="4"/>
  <c r="G14" i="12"/>
  <c r="J35" i="6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15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10" i="1"/>
  <c r="J19" i="4"/>
  <c r="J22" i="4"/>
  <c r="I40" i="4"/>
  <c r="BS6" i="1"/>
  <c r="J21" i="4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X35" i="2"/>
  <c r="Q35" i="2"/>
  <c r="I30" i="13"/>
  <c r="Q18" i="2"/>
  <c r="X16" i="9"/>
  <c r="AH33" i="9"/>
  <c r="E27" i="11"/>
  <c r="F27" i="11"/>
  <c r="I20" i="4"/>
  <c r="I17" i="4"/>
  <c r="I29" i="4"/>
  <c r="J33" i="4"/>
  <c r="I27" i="13"/>
  <c r="P30" i="9"/>
  <c r="X32" i="2"/>
  <c r="Z32" i="2" s="1"/>
  <c r="BQ30" i="9" s="1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X36" i="2"/>
  <c r="Y36" i="2" s="1"/>
  <c r="I31" i="13"/>
  <c r="P13" i="9"/>
  <c r="Q30" i="2"/>
  <c r="X28" i="9" s="1"/>
  <c r="P28" i="9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BS14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Z15" i="2"/>
  <c r="BQ1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Y37" i="2" l="1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U7" i="2"/>
  <c r="BM5" i="9" s="1"/>
  <c r="Q7" i="2"/>
  <c r="X5" i="9" s="1"/>
  <c r="X7" i="2"/>
  <c r="I2" i="13"/>
  <c r="W7" i="2"/>
  <c r="BN5" i="9" s="1"/>
  <c r="P5" i="9"/>
  <c r="K5" i="9"/>
  <c r="H8" i="2"/>
  <c r="H38" i="2" s="1"/>
  <c r="AJ2" i="12"/>
  <c r="AJ3" i="12"/>
  <c r="E38" i="2"/>
  <c r="E39" i="2" s="1"/>
  <c r="K33" i="9" s="1"/>
  <c r="Y32" i="2"/>
  <c r="BP30" i="9" s="1"/>
  <c r="BO30" i="9"/>
  <c r="X30" i="2"/>
  <c r="I25" i="13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J7" i="1" l="1"/>
  <c r="BJ37" i="1" s="1"/>
  <c r="BI37" i="1"/>
  <c r="F13" i="11" s="1"/>
  <c r="BS7" i="1"/>
  <c r="P6" i="9"/>
  <c r="X8" i="2"/>
  <c r="X38" i="2" s="1"/>
  <c r="W8" i="2"/>
  <c r="BN6" i="9" s="1"/>
  <c r="U8" i="2"/>
  <c r="BM6" i="9" s="1"/>
  <c r="I3" i="13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E3" i="13" l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M13" i="11" l="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Y37" i="1" l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<sst xmlns="http://schemas.openxmlformats.org/spreadsheetml/2006/main" count="887" uniqueCount="415">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</sst>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6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4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23" workbookViewId="0">
      <selection activeCell="C2" sqref="C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7</v>
      </c>
      <c r="D2" s="751">
        <v>2022</v>
      </c>
      <c r="E2" s="746">
        <f>Elect!BS6</f>
        <v>35119.362499999996</v>
      </c>
      <c r="F2" s="744">
        <f>'Utility Consnsumption'!K13/'Utility Consnsumption'!J13</f>
        <v>1.3205473147172078</v>
      </c>
      <c r="G2" s="745">
        <f>Gas!K7</f>
        <v>119.30290909181348</v>
      </c>
      <c r="H2" s="744">
        <v>3.8</v>
      </c>
      <c r="I2" s="745">
        <f>Water!H7</f>
        <v>126.92961038948567</v>
      </c>
      <c r="J2" s="744">
        <v>10</v>
      </c>
      <c r="K2" s="745">
        <f>Elect!BT6</f>
        <v>157</v>
      </c>
    </row>
    <row r="3" spans="1:12">
      <c r="A3" s="752" t="s">
        <v>11</v>
      </c>
      <c r="B3" s="729">
        <f>B2+1</f>
        <v>2</v>
      </c>
      <c r="C3" s="771">
        <v>7</v>
      </c>
      <c r="D3" s="751">
        <v>2022</v>
      </c>
      <c r="E3" s="746">
        <f>Elect!BS7</f>
        <v>33642.817500000005</v>
      </c>
      <c r="F3" s="744">
        <f>F2</f>
        <v>1.3205473147172078</v>
      </c>
      <c r="G3" s="745">
        <f>Gas!K8</f>
        <v>119.30290909181348</v>
      </c>
      <c r="H3" s="744">
        <v>3.8</v>
      </c>
      <c r="I3" s="745">
        <f>Water!H8</f>
        <v>177.48</v>
      </c>
      <c r="J3" s="744">
        <v>10</v>
      </c>
      <c r="K3" s="745">
        <f>Elect!BT7</f>
        <v>135</v>
      </c>
    </row>
    <row r="4" spans="1:12">
      <c r="A4" s="752" t="s">
        <v>11</v>
      </c>
      <c r="B4" s="729">
        <f t="shared" ref="B4:B32" si="0">B3+1</f>
        <v>3</v>
      </c>
      <c r="C4" s="771">
        <v>7</v>
      </c>
      <c r="D4" s="751">
        <v>2022</v>
      </c>
      <c r="E4" s="746">
        <f>Elect!BS8</f>
        <v>35136.58</v>
      </c>
      <c r="F4" s="744">
        <f t="shared" ref="F4:F32" si="1">F3</f>
        <v>1.3205473147172078</v>
      </c>
      <c r="G4" s="745">
        <f>Gas!K9</f>
        <v>94.897090908186499</v>
      </c>
      <c r="H4" s="744">
        <v>3.8</v>
      </c>
      <c r="I4" s="745">
        <f>Water!H9</f>
        <v>344.52</v>
      </c>
      <c r="J4" s="744">
        <v>10</v>
      </c>
      <c r="K4" s="745">
        <f>Elect!BT8</f>
        <v>120</v>
      </c>
    </row>
    <row r="5" spans="1:12">
      <c r="A5" s="752" t="s">
        <v>11</v>
      </c>
      <c r="B5" s="729">
        <f t="shared" si="0"/>
        <v>4</v>
      </c>
      <c r="C5" s="771">
        <v>7</v>
      </c>
      <c r="D5" s="751">
        <v>2022</v>
      </c>
      <c r="E5" s="746">
        <f>Elect!BS9</f>
        <v>32062.252500000002</v>
      </c>
      <c r="F5" s="744">
        <f t="shared" si="1"/>
        <v>1.3205473147172078</v>
      </c>
      <c r="G5" s="745">
        <f>Gas!K10</f>
        <v>242.89999999999998</v>
      </c>
      <c r="H5" s="744">
        <v>3.8</v>
      </c>
      <c r="I5" s="745">
        <f>Water!H10</f>
        <v>416.43999999999994</v>
      </c>
      <c r="J5" s="744">
        <v>10</v>
      </c>
      <c r="K5" s="745">
        <f>Elect!BT9</f>
        <v>121</v>
      </c>
    </row>
    <row r="6" spans="1:12">
      <c r="A6" s="752" t="s">
        <v>11</v>
      </c>
      <c r="B6" s="729">
        <f t="shared" si="0"/>
        <v>5</v>
      </c>
      <c r="C6" s="771">
        <v>7</v>
      </c>
      <c r="D6" s="751">
        <v>2022</v>
      </c>
      <c r="E6" s="746">
        <f>Elect!BS10</f>
        <v>37272.764999999999</v>
      </c>
      <c r="F6" s="744">
        <f t="shared" si="1"/>
        <v>1.3205473147172078</v>
      </c>
      <c r="G6" s="745">
        <f>Gas!K11</f>
        <v>291.2</v>
      </c>
      <c r="H6" s="744">
        <v>3.8</v>
      </c>
      <c r="I6" s="745">
        <f>Water!H11</f>
        <v>383.95999999999992</v>
      </c>
      <c r="J6" s="744">
        <v>10</v>
      </c>
      <c r="K6" s="745">
        <f>Elect!BT10</f>
        <v>130</v>
      </c>
    </row>
    <row r="7" spans="1:12">
      <c r="A7" s="752" t="s">
        <v>11</v>
      </c>
      <c r="B7" s="729">
        <f t="shared" si="0"/>
        <v>6</v>
      </c>
      <c r="C7" s="771">
        <v>7</v>
      </c>
      <c r="D7" s="751">
        <v>2022</v>
      </c>
      <c r="E7" s="746">
        <f>Elect!BS11</f>
        <v>33558.75</v>
      </c>
      <c r="F7" s="744">
        <f t="shared" si="1"/>
        <v>1.3205473147172078</v>
      </c>
      <c r="G7" s="745">
        <f>Gas!K12</f>
        <v>288.39999999999998</v>
      </c>
      <c r="H7" s="744">
        <v>3.8</v>
      </c>
      <c r="I7" s="745">
        <f>Water!H12</f>
        <v>376.99999999999994</v>
      </c>
      <c r="J7" s="744">
        <v>10</v>
      </c>
      <c r="K7" s="745">
        <f>Elect!BT11</f>
        <v>129</v>
      </c>
    </row>
    <row r="8" spans="1:12">
      <c r="A8" s="752" t="s">
        <v>11</v>
      </c>
      <c r="B8" s="729">
        <f t="shared" si="0"/>
        <v>7</v>
      </c>
      <c r="C8" s="771">
        <v>7</v>
      </c>
      <c r="D8" s="751">
        <v>2022</v>
      </c>
      <c r="E8" s="746">
        <f>Elect!BS12</f>
        <v>33436.022499999999</v>
      </c>
      <c r="F8" s="744">
        <f t="shared" si="1"/>
        <v>1.3205473147172078</v>
      </c>
      <c r="G8" s="745">
        <f>Gas!K13</f>
        <v>263.89999999999998</v>
      </c>
      <c r="H8" s="744">
        <v>3.8</v>
      </c>
      <c r="I8" s="745">
        <f>Water!H13</f>
        <v>388.59999999999997</v>
      </c>
      <c r="J8" s="744">
        <v>10</v>
      </c>
      <c r="K8" s="745">
        <f>Elect!BT12</f>
        <v>137</v>
      </c>
    </row>
    <row r="9" spans="1:12">
      <c r="A9" s="752" t="s">
        <v>11</v>
      </c>
      <c r="B9" s="729">
        <f t="shared" si="0"/>
        <v>8</v>
      </c>
      <c r="C9" s="771">
        <v>7</v>
      </c>
      <c r="D9" s="751">
        <v>2022</v>
      </c>
      <c r="E9" s="746">
        <f>Elect!BS13</f>
        <v>33550.25</v>
      </c>
      <c r="F9" s="744">
        <f t="shared" si="1"/>
        <v>1.3205473147172078</v>
      </c>
      <c r="G9" s="745">
        <f>Gas!K14</f>
        <v>273.7</v>
      </c>
      <c r="H9" s="744">
        <v>3.8</v>
      </c>
      <c r="I9" s="745">
        <f>Water!H14</f>
        <v>359.59999999999997</v>
      </c>
      <c r="J9" s="744">
        <v>10</v>
      </c>
      <c r="K9" s="745">
        <f>Elect!BT13</f>
        <v>145</v>
      </c>
    </row>
    <row r="10" spans="1:12">
      <c r="A10" s="752" t="s">
        <v>11</v>
      </c>
      <c r="B10" s="729">
        <f t="shared" si="0"/>
        <v>9</v>
      </c>
      <c r="C10" s="771">
        <v>7</v>
      </c>
      <c r="D10" s="751">
        <v>2022</v>
      </c>
      <c r="E10" s="746">
        <f>Elect!BS14</f>
        <v>33561.740000000005</v>
      </c>
      <c r="F10" s="744">
        <f t="shared" si="1"/>
        <v>1.3205473147172078</v>
      </c>
      <c r="G10" s="745">
        <f>Gas!K15</f>
        <v>266.7</v>
      </c>
      <c r="H10" s="744">
        <v>3.8</v>
      </c>
      <c r="I10" s="745">
        <f>Water!H15</f>
        <v>365.97999999999996</v>
      </c>
      <c r="J10" s="744">
        <v>10</v>
      </c>
      <c r="K10" s="745">
        <f>Elect!BT14</f>
        <v>168</v>
      </c>
    </row>
    <row r="11" spans="1:12">
      <c r="A11" s="752" t="s">
        <v>11</v>
      </c>
      <c r="B11" s="729">
        <f t="shared" si="0"/>
        <v>10</v>
      </c>
      <c r="C11" s="771">
        <v>7</v>
      </c>
      <c r="D11" s="751">
        <v>2022</v>
      </c>
      <c r="E11" s="746">
        <f>Elect!BS15</f>
        <v>35282.449999999997</v>
      </c>
      <c r="F11" s="744">
        <f t="shared" si="1"/>
        <v>1.3205473147172078</v>
      </c>
      <c r="G11" s="745">
        <f>Gas!K16</f>
        <v>284.2</v>
      </c>
      <c r="H11" s="744">
        <v>3.8</v>
      </c>
      <c r="I11" s="745">
        <f>Water!H16</f>
        <v>342.19999999999993</v>
      </c>
      <c r="J11" s="744">
        <v>10</v>
      </c>
      <c r="K11" s="745">
        <f>Elect!BT15</f>
        <v>177</v>
      </c>
    </row>
    <row r="12" spans="1:12">
      <c r="A12" s="752" t="s">
        <v>11</v>
      </c>
      <c r="B12" s="729">
        <f t="shared" si="0"/>
        <v>11</v>
      </c>
      <c r="C12" s="771">
        <v>7</v>
      </c>
      <c r="D12" s="751">
        <v>2022</v>
      </c>
      <c r="E12" s="746">
        <f>Elect!BS16</f>
        <v>30620.185000000001</v>
      </c>
      <c r="F12" s="744">
        <f t="shared" si="1"/>
        <v>1.3205473147172078</v>
      </c>
      <c r="G12" s="745">
        <f>Gas!K17</f>
        <v>263.2</v>
      </c>
      <c r="H12" s="744">
        <v>3.8</v>
      </c>
      <c r="I12" s="745">
        <f>Water!H17</f>
        <v>382.79999999999995</v>
      </c>
      <c r="J12" s="744">
        <v>10</v>
      </c>
      <c r="K12" s="745">
        <f>Elect!BT16</f>
        <v>177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7</v>
      </c>
      <c r="D13" s="751">
        <v>2022</v>
      </c>
      <c r="E13" s="746">
        <f>Elect!BS17</f>
        <v>34742.950000000004</v>
      </c>
      <c r="F13" s="744">
        <f t="shared" si="1"/>
        <v>1.3205473147172078</v>
      </c>
      <c r="G13" s="745">
        <f>Gas!K18</f>
        <v>266.7</v>
      </c>
      <c r="H13" s="744">
        <v>3.8</v>
      </c>
      <c r="I13" s="745">
        <f>Water!H18</f>
        <v>394.4</v>
      </c>
      <c r="J13" s="744">
        <v>10</v>
      </c>
      <c r="K13" s="745">
        <f>Elect!BT17</f>
        <v>204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7</v>
      </c>
      <c r="D14" s="751">
        <v>2022</v>
      </c>
      <c r="E14" s="746">
        <f>Elect!BS18</f>
        <v>35532.477500000001</v>
      </c>
      <c r="F14" s="744">
        <f t="shared" si="1"/>
        <v>1.3205473147172078</v>
      </c>
      <c r="G14" s="745">
        <f>Gas!K19</f>
        <v>266</v>
      </c>
      <c r="H14" s="744">
        <v>3.8</v>
      </c>
      <c r="I14" s="745">
        <f>Water!H19</f>
        <v>353.79999999999995</v>
      </c>
      <c r="J14" s="744">
        <v>10</v>
      </c>
      <c r="K14" s="745">
        <f>Elect!BT18</f>
        <v>182</v>
      </c>
    </row>
    <row r="15" spans="1:12">
      <c r="A15" s="752" t="s">
        <v>11</v>
      </c>
      <c r="B15" s="729">
        <f t="shared" si="0"/>
        <v>14</v>
      </c>
      <c r="C15" s="771">
        <v>7</v>
      </c>
      <c r="D15" s="751">
        <v>2022</v>
      </c>
      <c r="E15" s="746">
        <f>Elect!BS19</f>
        <v>31095.899999999998</v>
      </c>
      <c r="F15" s="744">
        <f t="shared" si="1"/>
        <v>1.3205473147172078</v>
      </c>
      <c r="G15" s="745">
        <f>Gas!K20</f>
        <v>308</v>
      </c>
      <c r="H15" s="744">
        <v>3.8</v>
      </c>
      <c r="I15" s="745">
        <f>Water!H20</f>
        <v>429.2</v>
      </c>
      <c r="J15" s="744">
        <v>10</v>
      </c>
      <c r="K15" s="745">
        <f>Elect!BT19</f>
        <v>251</v>
      </c>
    </row>
    <row r="16" spans="1:12">
      <c r="A16" s="752" t="s">
        <v>11</v>
      </c>
      <c r="B16" s="729">
        <f t="shared" si="0"/>
        <v>15</v>
      </c>
      <c r="C16" s="771">
        <v>7</v>
      </c>
      <c r="D16" s="751">
        <v>2022</v>
      </c>
      <c r="E16" s="746">
        <f>Elect!BS20</f>
        <v>33638.967499999999</v>
      </c>
      <c r="F16" s="744">
        <f t="shared" si="1"/>
        <v>1.3205473147172078</v>
      </c>
      <c r="G16" s="745">
        <f>Gas!K21</f>
        <v>388.5</v>
      </c>
      <c r="H16" s="744">
        <v>3.8</v>
      </c>
      <c r="I16" s="745">
        <f>Water!H21</f>
        <v>446.59999999999997</v>
      </c>
      <c r="J16" s="744">
        <v>10</v>
      </c>
      <c r="K16" s="745">
        <f>Elect!BT20</f>
        <v>230</v>
      </c>
    </row>
    <row r="17" spans="1:11">
      <c r="A17" s="752" t="s">
        <v>11</v>
      </c>
      <c r="B17" s="729">
        <f t="shared" si="0"/>
        <v>16</v>
      </c>
      <c r="C17" s="771">
        <v>7</v>
      </c>
      <c r="D17" s="751">
        <v>2022</v>
      </c>
      <c r="E17" s="746">
        <f>Elect!BS21</f>
        <v>31770.959999999999</v>
      </c>
      <c r="F17" s="744">
        <f t="shared" si="1"/>
        <v>1.3205473147172078</v>
      </c>
      <c r="G17" s="745">
        <f>Gas!K22</f>
        <v>144.89999999999998</v>
      </c>
      <c r="H17" s="744">
        <v>3.8</v>
      </c>
      <c r="I17" s="745">
        <f>Water!H22</f>
        <v>365.4</v>
      </c>
      <c r="J17" s="744">
        <v>10</v>
      </c>
      <c r="K17" s="745">
        <f>Elect!BT21</f>
        <v>192</v>
      </c>
    </row>
    <row r="18" spans="1:11">
      <c r="A18" s="752" t="s">
        <v>11</v>
      </c>
      <c r="B18" s="729">
        <f t="shared" si="0"/>
        <v>17</v>
      </c>
      <c r="C18" s="771">
        <v>7</v>
      </c>
      <c r="D18" s="751">
        <v>2022</v>
      </c>
      <c r="E18" s="746">
        <f>Elect!BS22</f>
        <v>33520.557500000003</v>
      </c>
      <c r="F18" s="744">
        <f t="shared" si="1"/>
        <v>1.3205473147172078</v>
      </c>
      <c r="G18" s="745">
        <f>Gas!K23</f>
        <v>285.59999999999997</v>
      </c>
      <c r="H18" s="744">
        <v>3.8</v>
      </c>
      <c r="I18" s="745">
        <f>Water!H23</f>
        <v>388.6</v>
      </c>
      <c r="J18" s="744">
        <v>10</v>
      </c>
      <c r="K18" s="745">
        <f>Elect!BT22</f>
        <v>178</v>
      </c>
    </row>
    <row r="19" spans="1:11">
      <c r="A19" s="752" t="s">
        <v>11</v>
      </c>
      <c r="B19" s="729">
        <f t="shared" si="0"/>
        <v>18</v>
      </c>
      <c r="C19" s="771">
        <v>7</v>
      </c>
      <c r="D19" s="751">
        <v>2022</v>
      </c>
      <c r="E19" s="746">
        <f>Elect!BS23</f>
        <v>33062.815000000002</v>
      </c>
      <c r="F19" s="744">
        <f t="shared" si="1"/>
        <v>1.3205473147172078</v>
      </c>
      <c r="G19" s="745">
        <f>Gas!K24</f>
        <v>303.09999999999997</v>
      </c>
      <c r="H19" s="744">
        <v>3.8</v>
      </c>
      <c r="I19" s="745">
        <f>Water!H24</f>
        <v>444.85999999999996</v>
      </c>
      <c r="J19" s="744">
        <v>10</v>
      </c>
      <c r="K19" s="745">
        <f>Elect!BT23</f>
        <v>184</v>
      </c>
    </row>
    <row r="20" spans="1:11">
      <c r="A20" s="752" t="s">
        <v>11</v>
      </c>
      <c r="B20" s="729">
        <f t="shared" si="0"/>
        <v>19</v>
      </c>
      <c r="C20" s="771">
        <v>7</v>
      </c>
      <c r="D20" s="751">
        <v>2022</v>
      </c>
      <c r="E20" s="746">
        <f>Elect!BS24</f>
        <v>30143.482499999998</v>
      </c>
      <c r="F20" s="744">
        <f t="shared" si="1"/>
        <v>1.3205473147172078</v>
      </c>
      <c r="G20" s="745">
        <f>Gas!K25</f>
        <v>279.29999999999995</v>
      </c>
      <c r="H20" s="744">
        <v>3.8</v>
      </c>
      <c r="I20" s="745">
        <f>Water!H25</f>
        <v>377.57999999999993</v>
      </c>
      <c r="J20" s="744">
        <v>10</v>
      </c>
      <c r="K20" s="745">
        <f>Elect!BT24</f>
        <v>167</v>
      </c>
    </row>
    <row r="21" spans="1:11">
      <c r="A21" s="752" t="s">
        <v>11</v>
      </c>
      <c r="B21" s="729">
        <f t="shared" si="0"/>
        <v>20</v>
      </c>
      <c r="C21" s="771">
        <v>7</v>
      </c>
      <c r="D21" s="751">
        <v>2022</v>
      </c>
      <c r="E21" s="746">
        <f>Elect!BS25</f>
        <v>37718.921666666705</v>
      </c>
      <c r="F21" s="744">
        <f t="shared" si="1"/>
        <v>1.3205473147172078</v>
      </c>
      <c r="G21" s="745">
        <f>Gas!K26</f>
        <v>285.59999999999997</v>
      </c>
      <c r="H21" s="744">
        <v>3.8</v>
      </c>
      <c r="I21" s="745">
        <f>Water!H26</f>
        <v>385.69999999999993</v>
      </c>
      <c r="J21" s="744">
        <v>10</v>
      </c>
      <c r="K21" s="745">
        <f>Elect!BT25</f>
        <v>156</v>
      </c>
    </row>
    <row r="22" spans="1:11">
      <c r="A22" s="752" t="s">
        <v>11</v>
      </c>
      <c r="B22" s="729">
        <f t="shared" si="0"/>
        <v>21</v>
      </c>
      <c r="C22" s="771">
        <v>7</v>
      </c>
      <c r="D22" s="751">
        <v>2022</v>
      </c>
      <c r="E22" s="746">
        <f>Elect!BS26</f>
        <v>34519.868333333303</v>
      </c>
      <c r="F22" s="744">
        <f t="shared" si="1"/>
        <v>1.3205473147172078</v>
      </c>
      <c r="G22" s="745">
        <f>Gas!K27</f>
        <v>281.39999999999998</v>
      </c>
      <c r="H22" s="744">
        <v>3.8</v>
      </c>
      <c r="I22" s="745">
        <f>Water!H27</f>
        <v>384.15333333331358</v>
      </c>
      <c r="J22" s="744">
        <v>10</v>
      </c>
      <c r="K22" s="745">
        <f>Elect!BT26</f>
        <v>190</v>
      </c>
    </row>
    <row r="23" spans="1:11">
      <c r="A23" s="752" t="s">
        <v>11</v>
      </c>
      <c r="B23" s="729">
        <f t="shared" si="0"/>
        <v>22</v>
      </c>
      <c r="C23" s="771">
        <v>7</v>
      </c>
      <c r="D23" s="751">
        <v>2022</v>
      </c>
      <c r="E23" s="746">
        <f>Elect!BS27</f>
        <v>32230.426666666979</v>
      </c>
      <c r="F23" s="744">
        <f t="shared" si="1"/>
        <v>1.3205473147172078</v>
      </c>
      <c r="G23" s="745">
        <f>Gas!K28</f>
        <v>0</v>
      </c>
      <c r="H23" s="744">
        <v>3.8</v>
      </c>
      <c r="I23" s="745">
        <f>Water!H28</f>
        <v>437.70666666668637</v>
      </c>
      <c r="J23" s="744">
        <v>10</v>
      </c>
      <c r="K23" s="745">
        <f>Elect!BT27</f>
        <v>205</v>
      </c>
    </row>
    <row r="24" spans="1:11">
      <c r="A24" s="752" t="s">
        <v>11</v>
      </c>
      <c r="B24" s="729">
        <f t="shared" si="0"/>
        <v>23</v>
      </c>
      <c r="C24" s="771">
        <v>7</v>
      </c>
      <c r="D24" s="751">
        <v>2022</v>
      </c>
      <c r="E24" s="746">
        <f>Elect!BS28</f>
        <v>34837.370833333021</v>
      </c>
      <c r="F24" s="744">
        <f t="shared" si="1"/>
        <v>1.3205473147172078</v>
      </c>
      <c r="G24" s="745">
        <f>Gas!K29</f>
        <v>289.09999999999997</v>
      </c>
      <c r="H24" s="744">
        <v>3.8</v>
      </c>
      <c r="I24" s="745">
        <f>Water!H29</f>
        <v>392.65999999999997</v>
      </c>
      <c r="J24" s="744">
        <v>10</v>
      </c>
      <c r="K24" s="745">
        <f>Elect!BT28</f>
        <v>221</v>
      </c>
    </row>
    <row r="25" spans="1:11">
      <c r="A25" s="752" t="s">
        <v>11</v>
      </c>
      <c r="B25" s="729">
        <f t="shared" si="0"/>
        <v>24</v>
      </c>
      <c r="C25" s="771">
        <v>7</v>
      </c>
      <c r="D25" s="751">
        <v>2022</v>
      </c>
      <c r="E25" s="746">
        <f>Elect!BS29</f>
        <v>31149.3675</v>
      </c>
      <c r="F25" s="744">
        <f t="shared" si="1"/>
        <v>1.3205473147172078</v>
      </c>
      <c r="G25" s="745">
        <f>Gas!K30</f>
        <v>264.59999999999997</v>
      </c>
      <c r="H25" s="744">
        <v>3.8</v>
      </c>
      <c r="I25" s="745">
        <f>Water!H30</f>
        <v>419.91999999999996</v>
      </c>
      <c r="J25" s="744">
        <v>10</v>
      </c>
      <c r="K25" s="745">
        <f>Elect!BT29</f>
        <v>225</v>
      </c>
    </row>
    <row r="26" spans="1:11">
      <c r="A26" s="752" t="s">
        <v>11</v>
      </c>
      <c r="B26" s="729">
        <f>B25+1</f>
        <v>25</v>
      </c>
      <c r="C26" s="771">
        <v>7</v>
      </c>
      <c r="D26" s="751">
        <v>2022</v>
      </c>
      <c r="E26" s="746">
        <f>Elect!BS30</f>
        <v>33283.897500000006</v>
      </c>
      <c r="F26" s="744">
        <f t="shared" si="1"/>
        <v>1.3205473147172078</v>
      </c>
      <c r="G26" s="745">
        <f>Gas!K31</f>
        <v>294.7</v>
      </c>
      <c r="H26" s="744">
        <v>3.8</v>
      </c>
      <c r="I26" s="745">
        <f>Water!H31</f>
        <v>437.32</v>
      </c>
      <c r="J26" s="744">
        <v>10</v>
      </c>
      <c r="K26" s="745">
        <f>Elect!BT30</f>
        <v>203</v>
      </c>
    </row>
    <row r="27" spans="1:11">
      <c r="A27" s="752" t="s">
        <v>11</v>
      </c>
      <c r="B27" s="729">
        <f t="shared" si="0"/>
        <v>26</v>
      </c>
      <c r="C27" s="771">
        <v>7</v>
      </c>
      <c r="D27" s="751">
        <v>2022</v>
      </c>
      <c r="E27" s="746">
        <f>Elect!BS31</f>
        <v>33473.044999999998</v>
      </c>
      <c r="F27" s="744">
        <f t="shared" si="1"/>
        <v>1.3205473147172078</v>
      </c>
      <c r="G27" s="745">
        <f>Gas!K32</f>
        <v>306.59999999999997</v>
      </c>
      <c r="H27" s="744">
        <v>3.8</v>
      </c>
      <c r="I27" s="745">
        <f>Water!H32</f>
        <v>421.65999999999997</v>
      </c>
      <c r="J27" s="744">
        <v>10</v>
      </c>
      <c r="K27" s="745">
        <f>Elect!BT31</f>
        <v>232</v>
      </c>
    </row>
    <row r="28" spans="1:11">
      <c r="A28" s="752" t="s">
        <v>11</v>
      </c>
      <c r="B28" s="729">
        <f t="shared" si="0"/>
        <v>27</v>
      </c>
      <c r="C28" s="771">
        <v>7</v>
      </c>
      <c r="D28" s="751">
        <v>2022</v>
      </c>
      <c r="E28" s="746">
        <f>Elect!BS32</f>
        <v>31917.162500000002</v>
      </c>
      <c r="F28" s="744">
        <f t="shared" si="1"/>
        <v>1.3205473147172078</v>
      </c>
      <c r="G28" s="745">
        <f>Gas!K33</f>
        <v>296.79999999999995</v>
      </c>
      <c r="H28" s="744">
        <v>3.8</v>
      </c>
      <c r="I28" s="745">
        <f>Water!H33</f>
        <v>421.46666666686355</v>
      </c>
      <c r="J28" s="744">
        <v>10</v>
      </c>
      <c r="K28" s="745">
        <f>Elect!BT32</f>
        <v>250</v>
      </c>
    </row>
    <row r="29" spans="1:11">
      <c r="A29" s="752" t="s">
        <v>11</v>
      </c>
      <c r="B29" s="729">
        <f t="shared" si="0"/>
        <v>28</v>
      </c>
      <c r="C29" s="771">
        <v>7</v>
      </c>
      <c r="D29" s="751">
        <v>2022</v>
      </c>
      <c r="E29" s="746">
        <f>Elect!BS33</f>
        <v>33917.737500000003</v>
      </c>
      <c r="F29" s="744">
        <f t="shared" si="1"/>
        <v>1.3205473147172078</v>
      </c>
      <c r="G29" s="745">
        <f>Gas!K34</f>
        <v>300.64999999999998</v>
      </c>
      <c r="H29" s="744">
        <v>3.8</v>
      </c>
      <c r="I29" s="745">
        <f>Water!H34</f>
        <v>423.20666666668632</v>
      </c>
      <c r="J29" s="744">
        <v>10</v>
      </c>
      <c r="K29" s="745">
        <f>Elect!BT33</f>
        <v>257</v>
      </c>
    </row>
    <row r="30" spans="1:11">
      <c r="A30" s="752" t="s">
        <v>11</v>
      </c>
      <c r="B30" s="729">
        <f t="shared" si="0"/>
        <v>29</v>
      </c>
      <c r="C30" s="771">
        <v>7</v>
      </c>
      <c r="D30" s="751">
        <v>2022</v>
      </c>
      <c r="E30" s="746">
        <f>Elect!BS34</f>
        <v>33235.487500000003</v>
      </c>
      <c r="F30" s="744">
        <f t="shared" si="1"/>
        <v>1.3205473147172078</v>
      </c>
      <c r="G30" s="745">
        <f>Gas!K35</f>
        <v>274.04999999999995</v>
      </c>
      <c r="H30" s="744">
        <v>3.8</v>
      </c>
      <c r="I30" s="745">
        <f>Water!H35</f>
        <v>409.86666666645004</v>
      </c>
      <c r="J30" s="744">
        <v>10</v>
      </c>
      <c r="K30" s="745">
        <f>Elect!BT34</f>
        <v>226</v>
      </c>
    </row>
    <row r="31" spans="1:11">
      <c r="A31" s="752" t="s">
        <v>11</v>
      </c>
      <c r="B31" s="729">
        <f t="shared" si="0"/>
        <v>30</v>
      </c>
      <c r="C31" s="771">
        <v>7</v>
      </c>
      <c r="D31" s="751">
        <v>2022</v>
      </c>
      <c r="E31" s="746">
        <f>Elect!BS35</f>
        <v>33415.495000000003</v>
      </c>
      <c r="F31" s="744">
        <f t="shared" si="1"/>
        <v>1.3205473147172078</v>
      </c>
      <c r="G31" s="745">
        <f>Gas!K36</f>
        <v>313.59999999999997</v>
      </c>
      <c r="H31" s="744">
        <v>3.8</v>
      </c>
      <c r="I31" s="745">
        <f>Water!H36</f>
        <v>418.76</v>
      </c>
      <c r="J31" s="744">
        <v>10</v>
      </c>
      <c r="K31" s="745">
        <f>Elect!BT35</f>
        <v>229</v>
      </c>
    </row>
    <row r="32" spans="1:11">
      <c r="A32" s="753" t="s">
        <v>11</v>
      </c>
      <c r="B32" s="754">
        <f t="shared" si="0"/>
        <v>31</v>
      </c>
      <c r="C32" s="771">
        <v>7</v>
      </c>
      <c r="D32" s="751">
        <v>2022</v>
      </c>
      <c r="E32" s="746">
        <f>Elect!BS36</f>
        <v>33084.918555601369</v>
      </c>
      <c r="F32" s="744">
        <f t="shared" si="1"/>
        <v>1.3205473147172078</v>
      </c>
      <c r="G32" s="745">
        <f>Gas!K37</f>
        <v>288.53999999996739</v>
      </c>
      <c r="H32" s="744">
        <v>3.8</v>
      </c>
      <c r="I32" s="745">
        <f>Water!H37</f>
        <v>422.81999999999994</v>
      </c>
      <c r="J32" s="744">
        <v>10</v>
      </c>
      <c r="K32" s="745">
        <f>Elect!BT36</f>
        <v>198</v>
      </c>
    </row>
  </sheetData>
  <sheetProtection algorithmName="SHA-512" hashValue="UQIwWiWVp2JEsB7waj55r5XPDyGIp88UphYljxGQ/kSUWPdLnOCNZ3l9MkccxFV+uu4gGy0XtMrruCnR9SDoFg==" saltValue="GzSJufGtSTZedKq6mrLde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23" workbookViewId="0">
      <selection activeCell="C2" sqref="C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09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809" t="s">
        <v>43</v>
      </c>
      <c r="AI1" s="755" t="s">
        <v>44</v>
      </c>
      <c r="AJ1" s="755" t="s">
        <v>45</v>
      </c>
      <c r="AK1" s="755" t="s">
        <v>46</v>
      </c>
      <c r="AL1" s="809" t="s">
        <v>47</v>
      </c>
      <c r="AM1" s="755" t="s">
        <v>48</v>
      </c>
      <c r="AN1" s="755" t="s">
        <v>49</v>
      </c>
      <c r="AO1" s="755" t="s">
        <v>50</v>
      </c>
      <c r="AP1" s="742" t="s">
        <v>10</v>
      </c>
    </row>
    <row r="2" spans="1:42" ht="19.5" customHeight="1">
      <c r="A2" s="749" t="s">
        <v>11</v>
      </c>
      <c r="B2" s="750">
        <v>1</v>
      </c>
      <c r="C2" s="771">
        <v>7</v>
      </c>
      <c r="D2" s="751">
        <v>2022</v>
      </c>
      <c r="E2" s="810"/>
      <c r="F2" s="738">
        <f>Elect!J6</f>
        <v>6310</v>
      </c>
      <c r="G2" s="738">
        <f>Elect!K6</f>
        <v>0</v>
      </c>
      <c r="H2" s="738">
        <f>Elect!Q6</f>
        <v>540</v>
      </c>
      <c r="I2" s="738">
        <f>Elect!S6</f>
        <v>147</v>
      </c>
      <c r="J2" s="738">
        <f>Elect!U6</f>
        <v>239</v>
      </c>
      <c r="K2" s="738">
        <f>Elect!W6</f>
        <v>4492.8100000000004</v>
      </c>
      <c r="L2" s="738">
        <f>Elect!Y6</f>
        <v>0</v>
      </c>
      <c r="M2" s="738">
        <f>Elect!AA6</f>
        <v>986.33</v>
      </c>
      <c r="N2" s="738">
        <f>Elect!AC6</f>
        <v>3075.06</v>
      </c>
      <c r="O2" s="738">
        <f>Elect!AE6</f>
        <v>11.13</v>
      </c>
      <c r="P2" s="738">
        <f>Elect!AG6</f>
        <v>1513.15</v>
      </c>
      <c r="Q2" s="738">
        <f>Elect!AI6</f>
        <v>1156.46</v>
      </c>
      <c r="R2" s="738">
        <f>Elect!AK6</f>
        <v>3623.61</v>
      </c>
      <c r="S2" s="738">
        <f>Elect!AM6</f>
        <v>108.65</v>
      </c>
      <c r="T2" s="738">
        <f>Elect!AP6</f>
        <v>338.51249999999999</v>
      </c>
      <c r="U2" s="738">
        <f>Elect!AR6</f>
        <v>148</v>
      </c>
      <c r="V2" s="738">
        <f>Elect!AT6</f>
        <v>208</v>
      </c>
      <c r="W2" s="738">
        <f>Elect!AV6</f>
        <v>62</v>
      </c>
      <c r="X2" s="738">
        <f>Elect!AX6</f>
        <v>974</v>
      </c>
      <c r="Y2" s="738">
        <f>Elect!AZ6</f>
        <v>0</v>
      </c>
      <c r="Z2" s="738">
        <f>Elect!BB6</f>
        <v>4988</v>
      </c>
      <c r="AA2" s="738">
        <f>Elect!BD6</f>
        <v>103</v>
      </c>
      <c r="AB2" s="738">
        <f>Elect!BF6</f>
        <v>38</v>
      </c>
      <c r="AC2" s="738">
        <f>Elect!BH6</f>
        <v>6442.6500000000005</v>
      </c>
      <c r="AD2" s="738">
        <f>Elect!BL6</f>
        <v>299</v>
      </c>
      <c r="AE2" s="738">
        <f>Elect!BN6</f>
        <v>1507</v>
      </c>
      <c r="AF2" s="738">
        <f>Elect!BP6</f>
        <v>116</v>
      </c>
      <c r="AG2" s="738">
        <f>Elect!BR6</f>
        <v>147</v>
      </c>
      <c r="AH2" s="810"/>
      <c r="AI2" s="738">
        <f>Water!C7</f>
        <v>16.613610389485256</v>
      </c>
      <c r="AJ2" s="738">
        <f>Water!E7</f>
        <v>0</v>
      </c>
      <c r="AK2" s="738">
        <f>Water!G7</f>
        <v>110.31600000000041</v>
      </c>
      <c r="AL2" s="810"/>
      <c r="AM2" s="738">
        <f>Gas!C7</f>
        <v>0</v>
      </c>
      <c r="AN2" s="738">
        <f>Gas!E7</f>
        <v>119.30290909181348</v>
      </c>
      <c r="AO2" s="738">
        <f>Gas!G7</f>
        <v>121.50606060598511</v>
      </c>
      <c r="AP2" s="745">
        <f>Elect!BT6</f>
        <v>157</v>
      </c>
    </row>
    <row r="3" spans="1:42" ht="12.75" customHeight="1">
      <c r="A3" s="752" t="s">
        <v>11</v>
      </c>
      <c r="B3" s="729">
        <f>B2+1</f>
        <v>2</v>
      </c>
      <c r="C3" s="771">
        <v>7</v>
      </c>
      <c r="D3" s="751">
        <v>2022</v>
      </c>
      <c r="E3" s="810"/>
      <c r="F3" s="738">
        <f>Elect!J7</f>
        <v>5360</v>
      </c>
      <c r="G3" s="738">
        <f>Elect!K7</f>
        <v>2615.0214285714974</v>
      </c>
      <c r="H3" s="738">
        <f>Elect!Q7</f>
        <v>480</v>
      </c>
      <c r="I3" s="738">
        <f>Elect!S7</f>
        <v>174</v>
      </c>
      <c r="J3" s="738">
        <f>Elect!U7</f>
        <v>273</v>
      </c>
      <c r="K3" s="738">
        <f>Elect!W7</f>
        <v>1750.0600000000002</v>
      </c>
      <c r="L3" s="738">
        <f>Elect!Y7</f>
        <v>1941.92</v>
      </c>
      <c r="M3" s="738">
        <f>Elect!AA7</f>
        <v>242.74</v>
      </c>
      <c r="N3" s="738">
        <f>Elect!AC7</f>
        <v>3785.26</v>
      </c>
      <c r="O3" s="738">
        <f>Elect!AE7</f>
        <v>11.13</v>
      </c>
      <c r="P3" s="738">
        <f>Elect!AG7</f>
        <v>1636.64</v>
      </c>
      <c r="Q3" s="738">
        <f>Elect!AI7</f>
        <v>1173.42</v>
      </c>
      <c r="R3" s="738">
        <f>Elect!AK7</f>
        <v>3756.11</v>
      </c>
      <c r="S3" s="738">
        <f>Elect!AM7</f>
        <v>113.95</v>
      </c>
      <c r="T3" s="738">
        <f>Elect!AP7</f>
        <v>276.63749999999999</v>
      </c>
      <c r="U3" s="738">
        <f>Elect!AR7</f>
        <v>155</v>
      </c>
      <c r="V3" s="738">
        <f>Elect!AT7</f>
        <v>194</v>
      </c>
      <c r="W3" s="738">
        <f>Elect!AV7</f>
        <v>54</v>
      </c>
      <c r="X3" s="738">
        <f>Elect!AX7</f>
        <v>1113</v>
      </c>
      <c r="Y3" s="738">
        <f>Elect!AZ7</f>
        <v>0</v>
      </c>
      <c r="Z3" s="738">
        <f>Elect!BB7</f>
        <v>5052</v>
      </c>
      <c r="AA3" s="738">
        <f>Elect!BD7</f>
        <v>179</v>
      </c>
      <c r="AB3" s="738">
        <f>Elect!BF7</f>
        <v>70</v>
      </c>
      <c r="AC3" s="738">
        <f>Elect!BH7</f>
        <v>6297.9500000000007</v>
      </c>
      <c r="AD3" s="738">
        <f>Elect!BL7</f>
        <v>274</v>
      </c>
      <c r="AE3" s="738">
        <f>Elect!BN7</f>
        <v>1452</v>
      </c>
      <c r="AF3" s="738">
        <f>Elect!BP7</f>
        <v>117</v>
      </c>
      <c r="AG3" s="738">
        <f>Elect!BR7</f>
        <v>188</v>
      </c>
      <c r="AH3" s="810"/>
      <c r="AI3" s="738">
        <f>Water!C8</f>
        <v>46.4</v>
      </c>
      <c r="AJ3" s="738">
        <f>Water!E8</f>
        <v>46.4</v>
      </c>
      <c r="AK3" s="738">
        <f>Water!G8</f>
        <v>84.679999999999993</v>
      </c>
      <c r="AL3" s="810"/>
      <c r="AM3" s="738">
        <f>Gas!C8</f>
        <v>0</v>
      </c>
      <c r="AN3" s="738">
        <f>Gas!E8</f>
        <v>119.30290909181348</v>
      </c>
      <c r="AO3" s="738">
        <f>Gas!G8</f>
        <v>121.50606060598511</v>
      </c>
      <c r="AP3" s="745">
        <f>Elect!BT7</f>
        <v>135</v>
      </c>
    </row>
    <row r="4" spans="1:42" ht="12.75" customHeight="1">
      <c r="A4" s="752" t="s">
        <v>11</v>
      </c>
      <c r="B4" s="729">
        <f t="shared" ref="B4:B31" si="0">B3+1</f>
        <v>3</v>
      </c>
      <c r="C4" s="771">
        <v>7</v>
      </c>
      <c r="D4" s="751">
        <v>2022</v>
      </c>
      <c r="E4" s="810"/>
      <c r="F4" s="738">
        <f>Elect!J8</f>
        <v>5499</v>
      </c>
      <c r="G4" s="738">
        <f>Elect!K8</f>
        <v>2346.0214285714028</v>
      </c>
      <c r="H4" s="738">
        <f>Elect!Q8</f>
        <v>570</v>
      </c>
      <c r="I4" s="738">
        <f>Elect!S8</f>
        <v>231</v>
      </c>
      <c r="J4" s="738">
        <f>Elect!U8</f>
        <v>256</v>
      </c>
      <c r="K4" s="738">
        <f>Elect!W8</f>
        <v>236.91000000000003</v>
      </c>
      <c r="L4" s="738">
        <f>Elect!Y8</f>
        <v>1199.92</v>
      </c>
      <c r="M4" s="738">
        <f>Elect!AA8</f>
        <v>4046.02</v>
      </c>
      <c r="N4" s="738">
        <f>Elect!AC8</f>
        <v>2585.8700000000003</v>
      </c>
      <c r="O4" s="738">
        <f>Elect!AE8</f>
        <v>216.77</v>
      </c>
      <c r="P4" s="738">
        <f>Elect!AG8</f>
        <v>1527.46</v>
      </c>
      <c r="Q4" s="738">
        <f>Elect!AI8</f>
        <v>1199.3900000000001</v>
      </c>
      <c r="R4" s="738">
        <f>Elect!AK8</f>
        <v>3839.32</v>
      </c>
      <c r="S4" s="738">
        <f>Elect!AM8</f>
        <v>113.42</v>
      </c>
      <c r="T4" s="738">
        <f>Elect!AP8</f>
        <v>254.25</v>
      </c>
      <c r="U4" s="738">
        <f>Elect!AR8</f>
        <v>181</v>
      </c>
      <c r="V4" s="738">
        <f>Elect!AT8</f>
        <v>196</v>
      </c>
      <c r="W4" s="738">
        <f>Elect!AV8</f>
        <v>67</v>
      </c>
      <c r="X4" s="738">
        <f>Elect!AX8</f>
        <v>1082</v>
      </c>
      <c r="Y4" s="738">
        <f>Elect!AZ8</f>
        <v>0</v>
      </c>
      <c r="Z4" s="738">
        <f>Elect!BB8</f>
        <v>5597</v>
      </c>
      <c r="AA4" s="738">
        <f>Elect!BD8</f>
        <v>202</v>
      </c>
      <c r="AB4" s="738">
        <f>Elect!BF8</f>
        <v>69</v>
      </c>
      <c r="AC4" s="738">
        <f>Elect!BH8</f>
        <v>6454.25</v>
      </c>
      <c r="AD4" s="738">
        <f>Elect!BL8</f>
        <v>283</v>
      </c>
      <c r="AE4" s="738">
        <f>Elect!BN8</f>
        <v>1519</v>
      </c>
      <c r="AF4" s="738">
        <f>Elect!BP8</f>
        <v>116</v>
      </c>
      <c r="AG4" s="738">
        <f>Elect!BR8</f>
        <v>177</v>
      </c>
      <c r="AH4" s="810"/>
      <c r="AI4" s="738">
        <f>Water!C9</f>
        <v>127.6</v>
      </c>
      <c r="AJ4" s="738">
        <f>Water!E9</f>
        <v>104.39999999999999</v>
      </c>
      <c r="AK4" s="738">
        <f>Water!G9</f>
        <v>112.52</v>
      </c>
      <c r="AL4" s="810"/>
      <c r="AM4" s="738">
        <f>Gas!C9</f>
        <v>0</v>
      </c>
      <c r="AN4" s="738">
        <f>Gas!E9</f>
        <v>94.897090908186499</v>
      </c>
      <c r="AO4" s="738">
        <f>Gas!G9</f>
        <v>45.493939394014888</v>
      </c>
      <c r="AP4" s="745">
        <f>Elect!BT8</f>
        <v>120</v>
      </c>
    </row>
    <row r="5" spans="1:42" ht="12.75" customHeight="1">
      <c r="A5" s="752" t="s">
        <v>11</v>
      </c>
      <c r="B5" s="729">
        <f t="shared" si="0"/>
        <v>4</v>
      </c>
      <c r="C5" s="771">
        <v>7</v>
      </c>
      <c r="D5" s="751">
        <v>2022</v>
      </c>
      <c r="E5" s="810"/>
      <c r="F5" s="738">
        <f>Elect!J9</f>
        <v>5457</v>
      </c>
      <c r="G5" s="738">
        <f>Elect!K9</f>
        <v>2466.0214285713992</v>
      </c>
      <c r="H5" s="738">
        <f>Elect!Q9</f>
        <v>240</v>
      </c>
      <c r="I5" s="738">
        <f>Elect!S9</f>
        <v>227</v>
      </c>
      <c r="J5" s="738">
        <f>Elect!U9</f>
        <v>256</v>
      </c>
      <c r="K5" s="738">
        <f>Elect!W9</f>
        <v>1559.26</v>
      </c>
      <c r="L5" s="738">
        <f>Elect!Y9</f>
        <v>537.42000000000007</v>
      </c>
      <c r="M5" s="738">
        <f>Elect!AA9</f>
        <v>3944.26</v>
      </c>
      <c r="N5" s="738">
        <f>Elect!AC9</f>
        <v>251.75</v>
      </c>
      <c r="O5" s="738">
        <f>Elect!AE9</f>
        <v>1711.9</v>
      </c>
      <c r="P5" s="738">
        <f>Elect!AG9</f>
        <v>10.600000000000001</v>
      </c>
      <c r="Q5" s="738">
        <f>Elect!AI9</f>
        <v>1160.17</v>
      </c>
      <c r="R5" s="738">
        <f>Elect!AK9</f>
        <v>3727.4900000000002</v>
      </c>
      <c r="S5" s="738">
        <f>Elect!AM9</f>
        <v>107.59</v>
      </c>
      <c r="T5" s="738">
        <f>Elect!AP9</f>
        <v>264.71250000000003</v>
      </c>
      <c r="U5" s="738">
        <f>Elect!AR9</f>
        <v>176</v>
      </c>
      <c r="V5" s="738">
        <f>Elect!AT9</f>
        <v>172</v>
      </c>
      <c r="W5" s="738">
        <f>Elect!AV9</f>
        <v>64</v>
      </c>
      <c r="X5" s="738">
        <f>Elect!AX9</f>
        <v>1003</v>
      </c>
      <c r="Y5" s="738">
        <f>Elect!AZ9</f>
        <v>0</v>
      </c>
      <c r="Z5" s="738">
        <f>Elect!BB9</f>
        <v>4952</v>
      </c>
      <c r="AA5" s="738">
        <f>Elect!BD9</f>
        <v>219</v>
      </c>
      <c r="AB5" s="738">
        <f>Elect!BF9</f>
        <v>45</v>
      </c>
      <c r="AC5" s="738">
        <f>Elect!BH9</f>
        <v>6459.0999999999995</v>
      </c>
      <c r="AD5" s="738">
        <f>Elect!BL9</f>
        <v>276</v>
      </c>
      <c r="AE5" s="738">
        <f>Elect!BN9</f>
        <v>1503</v>
      </c>
      <c r="AF5" s="738">
        <f>Elect!BP9</f>
        <v>119</v>
      </c>
      <c r="AG5" s="738">
        <f>Elect!BR9</f>
        <v>171</v>
      </c>
      <c r="AH5" s="810"/>
      <c r="AI5" s="738">
        <f>Water!C10</f>
        <v>115.99999999999999</v>
      </c>
      <c r="AJ5" s="738">
        <f>Water!E10</f>
        <v>179.79999999999998</v>
      </c>
      <c r="AK5" s="738">
        <f>Water!G10</f>
        <v>120.63999999999999</v>
      </c>
      <c r="AL5" s="810"/>
      <c r="AM5" s="738">
        <f>Gas!C10</f>
        <v>0</v>
      </c>
      <c r="AN5" s="738">
        <f>Gas!E10</f>
        <v>242.89999999999998</v>
      </c>
      <c r="AO5" s="738">
        <f>Gas!G10</f>
        <v>73</v>
      </c>
      <c r="AP5" s="745">
        <f>Elect!BT9</f>
        <v>121</v>
      </c>
    </row>
    <row r="6" spans="1:42" ht="12.75" customHeight="1">
      <c r="A6" s="752" t="s">
        <v>11</v>
      </c>
      <c r="B6" s="729">
        <f t="shared" si="0"/>
        <v>5</v>
      </c>
      <c r="C6" s="771">
        <v>7</v>
      </c>
      <c r="D6" s="751">
        <v>2022</v>
      </c>
      <c r="E6" s="810"/>
      <c r="F6" s="738">
        <f>Elect!J10</f>
        <v>5485</v>
      </c>
      <c r="G6" s="738">
        <f>Elect!K10</f>
        <v>2406.0214285713992</v>
      </c>
      <c r="H6" s="738">
        <f>Elect!Q10</f>
        <v>750</v>
      </c>
      <c r="I6" s="738">
        <f>Elect!S10</f>
        <v>241</v>
      </c>
      <c r="J6" s="738">
        <f>Elect!U10</f>
        <v>278</v>
      </c>
      <c r="K6" s="738">
        <f>Elect!W10</f>
        <v>2982.31</v>
      </c>
      <c r="L6" s="738">
        <f>Elect!Y10</f>
        <v>2812.71</v>
      </c>
      <c r="M6" s="738">
        <f>Elect!AA10</f>
        <v>4071.46</v>
      </c>
      <c r="N6" s="738">
        <f>Elect!AC10</f>
        <v>0</v>
      </c>
      <c r="O6" s="738">
        <f>Elect!AE10</f>
        <v>1884.68</v>
      </c>
      <c r="P6" s="738">
        <f>Elect!AG10</f>
        <v>10.600000000000001</v>
      </c>
      <c r="Q6" s="738">
        <f>Elect!AI10</f>
        <v>1195.68</v>
      </c>
      <c r="R6" s="738">
        <f>Elect!AK10</f>
        <v>3810.17</v>
      </c>
      <c r="S6" s="738">
        <f>Elect!AM10</f>
        <v>111.83000000000001</v>
      </c>
      <c r="T6" s="738">
        <f>Elect!AP10</f>
        <v>278.32499999999999</v>
      </c>
      <c r="U6" s="738">
        <f>Elect!AR10</f>
        <v>179</v>
      </c>
      <c r="V6" s="738">
        <f>Elect!AT10</f>
        <v>194</v>
      </c>
      <c r="W6" s="738">
        <f>Elect!AV10</f>
        <v>66</v>
      </c>
      <c r="X6" s="738">
        <f>Elect!AX10</f>
        <v>1001</v>
      </c>
      <c r="Y6" s="738">
        <f>Elect!AZ10</f>
        <v>0</v>
      </c>
      <c r="Z6" s="738">
        <f>Elect!BB10</f>
        <v>5468</v>
      </c>
      <c r="AA6" s="738">
        <f>Elect!BD10</f>
        <v>228</v>
      </c>
      <c r="AB6" s="738">
        <f>Elect!BF10</f>
        <v>74</v>
      </c>
      <c r="AC6" s="738">
        <f>Elect!BH10</f>
        <v>6670</v>
      </c>
      <c r="AD6" s="738">
        <f>Elect!BL10</f>
        <v>291</v>
      </c>
      <c r="AE6" s="738">
        <f>Elect!BN10</f>
        <v>1512</v>
      </c>
      <c r="AF6" s="738">
        <f>Elect!BP10</f>
        <v>128</v>
      </c>
      <c r="AG6" s="738">
        <f>Elect!BR10</f>
        <v>155</v>
      </c>
      <c r="AH6" s="810"/>
      <c r="AI6" s="738">
        <f>Water!C11</f>
        <v>115.99999999999999</v>
      </c>
      <c r="AJ6" s="738">
        <f>Water!E11</f>
        <v>150.79999999999998</v>
      </c>
      <c r="AK6" s="738">
        <f>Water!G11</f>
        <v>117.16</v>
      </c>
      <c r="AL6" s="810"/>
      <c r="AM6" s="738">
        <f>Gas!C11</f>
        <v>0</v>
      </c>
      <c r="AN6" s="738">
        <f>Gas!E11</f>
        <v>291.2</v>
      </c>
      <c r="AO6" s="738">
        <f>Gas!G11</f>
        <v>73</v>
      </c>
      <c r="AP6" s="745">
        <f>Elect!BT10</f>
        <v>130</v>
      </c>
    </row>
    <row r="7" spans="1:42" ht="12.75" customHeight="1">
      <c r="A7" s="752" t="s">
        <v>11</v>
      </c>
      <c r="B7" s="729">
        <f t="shared" si="0"/>
        <v>6</v>
      </c>
      <c r="C7" s="771">
        <v>7</v>
      </c>
      <c r="D7" s="751">
        <v>2022</v>
      </c>
      <c r="E7" s="810"/>
      <c r="F7" s="738">
        <f>Elect!J11</f>
        <v>5478</v>
      </c>
      <c r="G7" s="738">
        <f>Elect!K11</f>
        <v>2385.0214285714992</v>
      </c>
      <c r="H7" s="738">
        <f>Elect!Q11</f>
        <v>450</v>
      </c>
      <c r="I7" s="738">
        <f>Elect!S11</f>
        <v>224</v>
      </c>
      <c r="J7" s="738">
        <f>Elect!U11</f>
        <v>253</v>
      </c>
      <c r="K7" s="738">
        <f>Elect!W11</f>
        <v>3230.3500000000004</v>
      </c>
      <c r="L7" s="738">
        <f>Elect!Y11</f>
        <v>0</v>
      </c>
      <c r="M7" s="738">
        <f>Elect!AA11</f>
        <v>4011.57</v>
      </c>
      <c r="N7" s="738">
        <f>Elect!AC11</f>
        <v>0</v>
      </c>
      <c r="O7" s="738">
        <f>Elect!AE11</f>
        <v>1574.63</v>
      </c>
      <c r="P7" s="738">
        <f>Elect!AG11</f>
        <v>9.5400000000000009</v>
      </c>
      <c r="Q7" s="738">
        <f>Elect!AI11</f>
        <v>1180.8400000000001</v>
      </c>
      <c r="R7" s="738">
        <f>Elect!AK11</f>
        <v>3745.51</v>
      </c>
      <c r="S7" s="738">
        <f>Elect!AM11</f>
        <v>112.36</v>
      </c>
      <c r="T7" s="738">
        <f>Elect!AP11</f>
        <v>279.90000000000003</v>
      </c>
      <c r="U7" s="738">
        <f>Elect!AR11</f>
        <v>168</v>
      </c>
      <c r="V7" s="738">
        <f>Elect!AT11</f>
        <v>193</v>
      </c>
      <c r="W7" s="738">
        <f>Elect!AV11</f>
        <v>65</v>
      </c>
      <c r="X7" s="738">
        <f>Elect!AX11</f>
        <v>999</v>
      </c>
      <c r="Y7" s="738">
        <f>Elect!AZ11</f>
        <v>0</v>
      </c>
      <c r="Z7" s="738">
        <f>Elect!BB11</f>
        <v>5227</v>
      </c>
      <c r="AA7" s="738">
        <f>Elect!BD11</f>
        <v>218</v>
      </c>
      <c r="AB7" s="738">
        <f>Elect!BF11</f>
        <v>50</v>
      </c>
      <c r="AC7" s="738">
        <f>Elect!BH11</f>
        <v>6566.05</v>
      </c>
      <c r="AD7" s="738">
        <f>Elect!BL11</f>
        <v>273</v>
      </c>
      <c r="AE7" s="738">
        <f>Elect!BN11</f>
        <v>1511</v>
      </c>
      <c r="AF7" s="738">
        <f>Elect!BP11</f>
        <v>120</v>
      </c>
      <c r="AG7" s="738">
        <f>Elect!BR11</f>
        <v>144</v>
      </c>
      <c r="AH7" s="810"/>
      <c r="AI7" s="738">
        <f>Water!C12</f>
        <v>115.99999999999999</v>
      </c>
      <c r="AJ7" s="738">
        <f>Water!E12</f>
        <v>150.79999999999998</v>
      </c>
      <c r="AK7" s="738">
        <f>Water!G12</f>
        <v>110.19999999999999</v>
      </c>
      <c r="AL7" s="810"/>
      <c r="AM7" s="738">
        <f>Gas!C12</f>
        <v>0</v>
      </c>
      <c r="AN7" s="738">
        <f>Gas!E12</f>
        <v>288.39999999999998</v>
      </c>
      <c r="AO7" s="738">
        <f>Gas!G12</f>
        <v>77</v>
      </c>
      <c r="AP7" s="745">
        <f>Elect!BT11</f>
        <v>129</v>
      </c>
    </row>
    <row r="8" spans="1:42" ht="12.75" customHeight="1">
      <c r="A8" s="752" t="s">
        <v>11</v>
      </c>
      <c r="B8" s="729">
        <f t="shared" si="0"/>
        <v>7</v>
      </c>
      <c r="C8" s="771">
        <v>7</v>
      </c>
      <c r="D8" s="751">
        <v>2022</v>
      </c>
      <c r="E8" s="810"/>
      <c r="F8" s="738">
        <f>Elect!J12</f>
        <v>5478</v>
      </c>
      <c r="G8" s="738">
        <f>Elect!K12</f>
        <v>2352.021428571401</v>
      </c>
      <c r="H8" s="738">
        <f>Elect!Q12</f>
        <v>540</v>
      </c>
      <c r="I8" s="738">
        <f>Elect!S12</f>
        <v>232</v>
      </c>
      <c r="J8" s="738">
        <f>Elect!U12</f>
        <v>246</v>
      </c>
      <c r="K8" s="738">
        <f>Elect!W12</f>
        <v>1336.13</v>
      </c>
      <c r="L8" s="738">
        <f>Elect!Y12</f>
        <v>933.33</v>
      </c>
      <c r="M8" s="738">
        <f>Elect!AA12</f>
        <v>3918.2900000000004</v>
      </c>
      <c r="N8" s="738">
        <f>Elect!AC12</f>
        <v>746.24</v>
      </c>
      <c r="O8" s="738">
        <f>Elect!AE12</f>
        <v>1165.47</v>
      </c>
      <c r="P8" s="738">
        <f>Elect!AG12</f>
        <v>339.20000000000005</v>
      </c>
      <c r="Q8" s="738">
        <f>Elect!AI12</f>
        <v>1160.7</v>
      </c>
      <c r="R8" s="738">
        <f>Elect!AK12</f>
        <v>3741.27</v>
      </c>
      <c r="S8" s="738">
        <f>Elect!AM12</f>
        <v>109.18</v>
      </c>
      <c r="T8" s="738">
        <f>Elect!AP12</f>
        <v>241.76250000000002</v>
      </c>
      <c r="U8" s="738">
        <f>Elect!AR12</f>
        <v>218</v>
      </c>
      <c r="V8" s="738">
        <f>Elect!AT12</f>
        <v>201</v>
      </c>
      <c r="W8" s="738">
        <f>Elect!AV12</f>
        <v>58</v>
      </c>
      <c r="X8" s="738">
        <f>Elect!AX12</f>
        <v>987</v>
      </c>
      <c r="Y8" s="738">
        <f>Elect!AZ12</f>
        <v>0</v>
      </c>
      <c r="Z8" s="738">
        <f>Elect!BB12</f>
        <v>5441</v>
      </c>
      <c r="AA8" s="738">
        <f>Elect!BD12</f>
        <v>257</v>
      </c>
      <c r="AB8" s="738">
        <f>Elect!BF12</f>
        <v>65</v>
      </c>
      <c r="AC8" s="738">
        <f>Elect!BH12</f>
        <v>6499.45</v>
      </c>
      <c r="AD8" s="738">
        <f>Elect!BL12</f>
        <v>259</v>
      </c>
      <c r="AE8" s="738">
        <f>Elect!BN12</f>
        <v>1500</v>
      </c>
      <c r="AF8" s="738">
        <f>Elect!BP12</f>
        <v>119</v>
      </c>
      <c r="AG8" s="738">
        <f>Elect!BR12</f>
        <v>143</v>
      </c>
      <c r="AH8" s="810"/>
      <c r="AI8" s="738">
        <f>Water!C13</f>
        <v>115.99999999999999</v>
      </c>
      <c r="AJ8" s="738">
        <f>Water!E13</f>
        <v>150.79999999999998</v>
      </c>
      <c r="AK8" s="738">
        <f>Water!G13</f>
        <v>121.8</v>
      </c>
      <c r="AL8" s="810"/>
      <c r="AM8" s="738">
        <f>Gas!C13</f>
        <v>0</v>
      </c>
      <c r="AN8" s="738">
        <f>Gas!E13</f>
        <v>263.89999999999998</v>
      </c>
      <c r="AO8" s="738">
        <f>Gas!G13</f>
        <v>127</v>
      </c>
      <c r="AP8" s="745">
        <f>Elect!BT12</f>
        <v>137</v>
      </c>
    </row>
    <row r="9" spans="1:42" ht="12.75" customHeight="1">
      <c r="A9" s="752" t="s">
        <v>11</v>
      </c>
      <c r="B9" s="729">
        <f t="shared" si="0"/>
        <v>8</v>
      </c>
      <c r="C9" s="771">
        <v>7</v>
      </c>
      <c r="D9" s="751">
        <v>2022</v>
      </c>
      <c r="E9" s="810"/>
      <c r="F9" s="738">
        <f>Elect!J13</f>
        <v>5087</v>
      </c>
      <c r="G9" s="738">
        <f>Elect!K13</f>
        <v>2491.0214285713992</v>
      </c>
      <c r="H9" s="738">
        <f>Elect!Q13</f>
        <v>360</v>
      </c>
      <c r="I9" s="738">
        <f>Elect!S13</f>
        <v>229</v>
      </c>
      <c r="J9" s="738">
        <f>Elect!U13</f>
        <v>239</v>
      </c>
      <c r="K9" s="738">
        <f>Elect!W13</f>
        <v>0</v>
      </c>
      <c r="L9" s="738">
        <f>Elect!Y13</f>
        <v>3746.57</v>
      </c>
      <c r="M9" s="738">
        <f>Elect!AA13</f>
        <v>4048.67</v>
      </c>
      <c r="N9" s="738">
        <f>Elect!AC13</f>
        <v>0</v>
      </c>
      <c r="O9" s="738">
        <f>Elect!AE13</f>
        <v>1729.39</v>
      </c>
      <c r="P9" s="738">
        <f>Elect!AG13</f>
        <v>11.66</v>
      </c>
      <c r="Q9" s="738">
        <f>Elect!AI13</f>
        <v>1173.95</v>
      </c>
      <c r="R9" s="738">
        <f>Elect!AK13</f>
        <v>3791.09</v>
      </c>
      <c r="S9" s="738">
        <f>Elect!AM13</f>
        <v>105.47</v>
      </c>
      <c r="T9" s="738">
        <f>Elect!AP13</f>
        <v>247.95000000000002</v>
      </c>
      <c r="U9" s="738">
        <f>Elect!AR13</f>
        <v>233</v>
      </c>
      <c r="V9" s="738">
        <f>Elect!AT13</f>
        <v>164</v>
      </c>
      <c r="W9" s="738">
        <f>Elect!AV13</f>
        <v>53</v>
      </c>
      <c r="X9" s="738">
        <f>Elect!AX13</f>
        <v>973</v>
      </c>
      <c r="Y9" s="738">
        <f>Elect!AZ13</f>
        <v>0</v>
      </c>
      <c r="Z9" s="738">
        <f>Elect!BB13</f>
        <v>5216</v>
      </c>
      <c r="AA9" s="738">
        <f>Elect!BD13</f>
        <v>269</v>
      </c>
      <c r="AB9" s="738">
        <f>Elect!BF13</f>
        <v>65</v>
      </c>
      <c r="AC9" s="738">
        <f>Elect!BH13</f>
        <v>6275.5</v>
      </c>
      <c r="AD9" s="738">
        <f>Elect!BL13</f>
        <v>275</v>
      </c>
      <c r="AE9" s="738">
        <f>Elect!BN13</f>
        <v>1402</v>
      </c>
      <c r="AF9" s="738">
        <f>Elect!BP13</f>
        <v>108</v>
      </c>
      <c r="AG9" s="738">
        <f>Elect!BR13</f>
        <v>156</v>
      </c>
      <c r="AH9" s="810"/>
      <c r="AI9" s="738">
        <f>Water!C14</f>
        <v>104.39999999999999</v>
      </c>
      <c r="AJ9" s="738">
        <f>Water!E14</f>
        <v>139.19999999999999</v>
      </c>
      <c r="AK9" s="738">
        <f>Water!G14</f>
        <v>115.99999999999999</v>
      </c>
      <c r="AL9" s="810"/>
      <c r="AM9" s="738">
        <f>Gas!C14</f>
        <v>0</v>
      </c>
      <c r="AN9" s="738">
        <f>Gas!E14</f>
        <v>273.7</v>
      </c>
      <c r="AO9" s="738">
        <f>Gas!G14</f>
        <v>49</v>
      </c>
      <c r="AP9" s="745">
        <f>Elect!BT13</f>
        <v>145</v>
      </c>
    </row>
    <row r="10" spans="1:42" ht="12.75" customHeight="1">
      <c r="A10" s="752" t="s">
        <v>11</v>
      </c>
      <c r="B10" s="729">
        <f t="shared" si="0"/>
        <v>9</v>
      </c>
      <c r="C10" s="771">
        <v>7</v>
      </c>
      <c r="D10" s="751">
        <v>2022</v>
      </c>
      <c r="E10" s="810"/>
      <c r="F10" s="738">
        <f>Elect!J14</f>
        <v>5222</v>
      </c>
      <c r="G10" s="738">
        <f>Elect!K14</f>
        <v>3660.0214285714901</v>
      </c>
      <c r="H10" s="738">
        <f>Elect!Q14</f>
        <v>600</v>
      </c>
      <c r="I10" s="738">
        <f>Elect!S14</f>
        <v>227</v>
      </c>
      <c r="J10" s="738">
        <f>Elect!U14</f>
        <v>237</v>
      </c>
      <c r="K10" s="738">
        <f>Elect!W14</f>
        <v>0</v>
      </c>
      <c r="L10" s="738">
        <f>Elect!Y14</f>
        <v>3683.5</v>
      </c>
      <c r="M10" s="738">
        <f>Elect!AA14</f>
        <v>3998.8500000000004</v>
      </c>
      <c r="N10" s="738">
        <f>Elect!AC14</f>
        <v>0</v>
      </c>
      <c r="O10" s="738">
        <f>Elect!AE14</f>
        <v>1515.27</v>
      </c>
      <c r="P10" s="738">
        <f>Elect!AG14</f>
        <v>9.5400000000000009</v>
      </c>
      <c r="Q10" s="738">
        <f>Elect!AI14</f>
        <v>1164.94</v>
      </c>
      <c r="R10" s="738">
        <f>Elect!AK14</f>
        <v>3769.36</v>
      </c>
      <c r="S10" s="738">
        <f>Elect!AM14</f>
        <v>103.88000000000001</v>
      </c>
      <c r="T10" s="738">
        <f>Elect!AP14</f>
        <v>247.95000000000002</v>
      </c>
      <c r="U10" s="738">
        <f>Elect!AR14</f>
        <v>139</v>
      </c>
      <c r="V10" s="738">
        <f>Elect!AT14</f>
        <v>208</v>
      </c>
      <c r="W10" s="738">
        <f>Elect!AV14</f>
        <v>50</v>
      </c>
      <c r="X10" s="738">
        <f>Elect!AX14</f>
        <v>976</v>
      </c>
      <c r="Y10" s="738">
        <f>Elect!AZ14</f>
        <v>0</v>
      </c>
      <c r="Z10" s="738">
        <f>Elect!BB14</f>
        <v>5216</v>
      </c>
      <c r="AA10" s="738">
        <f>Elect!BD14</f>
        <v>256</v>
      </c>
      <c r="AB10" s="738">
        <f>Elect!BF14</f>
        <v>65</v>
      </c>
      <c r="AC10" s="738">
        <f>Elect!BH14</f>
        <v>6336.45</v>
      </c>
      <c r="AD10" s="738">
        <f>Elect!BL14</f>
        <v>314</v>
      </c>
      <c r="AE10" s="738">
        <f>Elect!BN14</f>
        <v>1425</v>
      </c>
      <c r="AF10" s="738">
        <f>Elect!BP14</f>
        <v>134</v>
      </c>
      <c r="AG10" s="738">
        <f>Elect!BR14</f>
        <v>141</v>
      </c>
      <c r="AH10" s="810"/>
      <c r="AI10" s="738">
        <f>Water!C15</f>
        <v>115.99999999999999</v>
      </c>
      <c r="AJ10" s="738">
        <f>Water!E15</f>
        <v>150.79999999999998</v>
      </c>
      <c r="AK10" s="738">
        <f>Water!G15</f>
        <v>99.179999999999993</v>
      </c>
      <c r="AL10" s="810"/>
      <c r="AM10" s="738">
        <f>Gas!C15</f>
        <v>0</v>
      </c>
      <c r="AN10" s="738">
        <f>Gas!E15</f>
        <v>266.7</v>
      </c>
      <c r="AO10" s="738">
        <f>Gas!G15</f>
        <v>80</v>
      </c>
      <c r="AP10" s="745">
        <f>Elect!BT14</f>
        <v>168</v>
      </c>
    </row>
    <row r="11" spans="1:42" ht="12.75" customHeight="1">
      <c r="A11" s="752" t="s">
        <v>11</v>
      </c>
      <c r="B11" s="729">
        <f t="shared" si="0"/>
        <v>10</v>
      </c>
      <c r="C11" s="771">
        <v>7</v>
      </c>
      <c r="D11" s="751">
        <v>2022</v>
      </c>
      <c r="E11" s="810"/>
      <c r="F11" s="738">
        <f>Elect!J15</f>
        <v>5900</v>
      </c>
      <c r="G11" s="738">
        <f>Elect!K15</f>
        <v>2880.021428571431</v>
      </c>
      <c r="H11" s="738">
        <f>Elect!Q15</f>
        <v>300</v>
      </c>
      <c r="I11" s="738">
        <f>Elect!S15</f>
        <v>227</v>
      </c>
      <c r="J11" s="738">
        <f>Elect!U15</f>
        <v>253</v>
      </c>
      <c r="K11" s="738">
        <f>Elect!W15</f>
        <v>0</v>
      </c>
      <c r="L11" s="738">
        <f>Elect!Y15</f>
        <v>4012.63</v>
      </c>
      <c r="M11" s="738">
        <f>Elect!AA15</f>
        <v>4313.1400000000003</v>
      </c>
      <c r="N11" s="738">
        <f>Elect!AC15</f>
        <v>0</v>
      </c>
      <c r="O11" s="738">
        <f>Elect!AE15</f>
        <v>1796.7</v>
      </c>
      <c r="P11" s="738">
        <f>Elect!AG15</f>
        <v>11.66</v>
      </c>
      <c r="Q11" s="738">
        <f>Elect!AI15</f>
        <v>1270.94</v>
      </c>
      <c r="R11" s="738">
        <f>Elect!AK15</f>
        <v>4106.97</v>
      </c>
      <c r="S11" s="738">
        <f>Elect!AM15</f>
        <v>112.36</v>
      </c>
      <c r="T11" s="738">
        <f>Elect!AP15</f>
        <v>114.75</v>
      </c>
      <c r="U11" s="738">
        <f>Elect!AR15</f>
        <v>171</v>
      </c>
      <c r="V11" s="738">
        <f>Elect!AT15</f>
        <v>197</v>
      </c>
      <c r="W11" s="738">
        <f>Elect!AV15</f>
        <v>57</v>
      </c>
      <c r="X11" s="738">
        <f>Elect!AX15</f>
        <v>1046</v>
      </c>
      <c r="Y11" s="738">
        <f>Elect!AZ15</f>
        <v>0</v>
      </c>
      <c r="Z11" s="738">
        <f>Elect!BB15</f>
        <v>5670</v>
      </c>
      <c r="AA11" s="738">
        <f>Elect!BD15</f>
        <v>234</v>
      </c>
      <c r="AB11" s="738">
        <f>Elect!BF15</f>
        <v>65</v>
      </c>
      <c r="AC11" s="738">
        <f>Elect!BH15</f>
        <v>5903.3</v>
      </c>
      <c r="AD11" s="738">
        <f>Elect!BL15</f>
        <v>302</v>
      </c>
      <c r="AE11" s="738">
        <f>Elect!BN15</f>
        <v>1425</v>
      </c>
      <c r="AF11" s="738">
        <f>Elect!BP15</f>
        <v>121</v>
      </c>
      <c r="AG11" s="738">
        <f>Elect!BR15</f>
        <v>159</v>
      </c>
      <c r="AH11" s="810"/>
      <c r="AI11" s="738">
        <f>Water!C16</f>
        <v>150.79999999999998</v>
      </c>
      <c r="AJ11" s="738">
        <f>Water!E16</f>
        <v>191.39999999999998</v>
      </c>
      <c r="AK11" s="738">
        <f>Water!G16</f>
        <v>0</v>
      </c>
      <c r="AL11" s="810"/>
      <c r="AM11" s="738">
        <f>Gas!C16</f>
        <v>0</v>
      </c>
      <c r="AN11" s="738">
        <f>Gas!E16</f>
        <v>284.2</v>
      </c>
      <c r="AO11" s="738">
        <f>Gas!G16</f>
        <v>94</v>
      </c>
      <c r="AP11" s="745">
        <f>Elect!BT15</f>
        <v>177</v>
      </c>
    </row>
    <row r="12" spans="1:42" ht="12.75" customHeight="1">
      <c r="A12" s="752" t="s">
        <v>11</v>
      </c>
      <c r="B12" s="729">
        <f t="shared" si="0"/>
        <v>11</v>
      </c>
      <c r="C12" s="771">
        <v>7</v>
      </c>
      <c r="D12" s="751">
        <v>2022</v>
      </c>
      <c r="E12" s="810"/>
      <c r="F12" s="738">
        <f>Elect!J16</f>
        <v>4309</v>
      </c>
      <c r="G12" s="738">
        <f>Elect!K16</f>
        <v>3076.0214285714201</v>
      </c>
      <c r="H12" s="738">
        <f>Elect!Q16</f>
        <v>600</v>
      </c>
      <c r="I12" s="738">
        <f>Elect!S16</f>
        <v>227</v>
      </c>
      <c r="J12" s="738">
        <f>Elect!U16</f>
        <v>260</v>
      </c>
      <c r="K12" s="738">
        <f>Elect!W16</f>
        <v>0</v>
      </c>
      <c r="L12" s="738">
        <f>Elect!Y16</f>
        <v>3243.07</v>
      </c>
      <c r="M12" s="738">
        <f>Elect!AA16</f>
        <v>3560.01</v>
      </c>
      <c r="N12" s="738">
        <f>Elect!AC16</f>
        <v>0</v>
      </c>
      <c r="O12" s="738">
        <f>Elect!AE16</f>
        <v>1339.3100000000002</v>
      </c>
      <c r="P12" s="738">
        <f>Elect!AG16</f>
        <v>8.48</v>
      </c>
      <c r="Q12" s="738">
        <f>Elect!AI16</f>
        <v>1053.6400000000001</v>
      </c>
      <c r="R12" s="738">
        <f>Elect!AK16</f>
        <v>3408.4300000000003</v>
      </c>
      <c r="S12" s="738">
        <f>Elect!AM16</f>
        <v>94.87</v>
      </c>
      <c r="T12" s="738">
        <f>Elect!AP16</f>
        <v>209.02500000000001</v>
      </c>
      <c r="U12" s="738">
        <f>Elect!AR16</f>
        <v>173</v>
      </c>
      <c r="V12" s="738">
        <f>Elect!AT16</f>
        <v>196</v>
      </c>
      <c r="W12" s="738">
        <f>Elect!AV16</f>
        <v>44</v>
      </c>
      <c r="X12" s="738">
        <f>Elect!AX16</f>
        <v>1046</v>
      </c>
      <c r="Y12" s="738">
        <f>Elect!AZ16</f>
        <v>0</v>
      </c>
      <c r="Z12" s="738">
        <f>Elect!BB16</f>
        <v>4940</v>
      </c>
      <c r="AA12" s="738">
        <f>Elect!BD16</f>
        <v>237</v>
      </c>
      <c r="AB12" s="738">
        <f>Elect!BF16</f>
        <v>112</v>
      </c>
      <c r="AC12" s="738">
        <f>Elect!BH16</f>
        <v>6046.35</v>
      </c>
      <c r="AD12" s="738">
        <f>Elect!BL16</f>
        <v>306</v>
      </c>
      <c r="AE12" s="738">
        <f>Elect!BN16</f>
        <v>1240</v>
      </c>
      <c r="AF12" s="738">
        <f>Elect!BP16</f>
        <v>117</v>
      </c>
      <c r="AG12" s="738">
        <f>Elect!BR16</f>
        <v>160</v>
      </c>
      <c r="AH12" s="810"/>
      <c r="AI12" s="738">
        <f>Water!C17</f>
        <v>168.2</v>
      </c>
      <c r="AJ12" s="738">
        <f>Water!E17</f>
        <v>214.6</v>
      </c>
      <c r="AK12" s="738">
        <f>Water!G17</f>
        <v>0</v>
      </c>
      <c r="AL12" s="810"/>
      <c r="AM12" s="738">
        <f>Gas!C17</f>
        <v>0</v>
      </c>
      <c r="AN12" s="738">
        <f>Gas!E17</f>
        <v>263.2</v>
      </c>
      <c r="AO12" s="738">
        <f>Gas!G17</f>
        <v>112</v>
      </c>
      <c r="AP12" s="745">
        <f>Elect!BT16</f>
        <v>177</v>
      </c>
    </row>
    <row r="13" spans="1:42" ht="12.75" customHeight="1">
      <c r="A13" s="752" t="s">
        <v>11</v>
      </c>
      <c r="B13" s="729">
        <f t="shared" si="0"/>
        <v>12</v>
      </c>
      <c r="C13" s="771">
        <v>7</v>
      </c>
      <c r="D13" s="751">
        <v>2022</v>
      </c>
      <c r="E13" s="810"/>
      <c r="F13" s="738">
        <f>Elect!J17</f>
        <v>5805</v>
      </c>
      <c r="G13" s="738">
        <f>Elect!K17</f>
        <v>3075.0214285714296</v>
      </c>
      <c r="H13" s="738">
        <f>Elect!Q17</f>
        <v>600</v>
      </c>
      <c r="I13" s="738">
        <f>Elect!S17</f>
        <v>234</v>
      </c>
      <c r="J13" s="738">
        <f>Elect!U17</f>
        <v>276</v>
      </c>
      <c r="K13" s="738">
        <f>Elect!W17</f>
        <v>0</v>
      </c>
      <c r="L13" s="738">
        <f>Elect!Y17</f>
        <v>3874.3</v>
      </c>
      <c r="M13" s="738">
        <f>Elect!AA17</f>
        <v>4063.51</v>
      </c>
      <c r="N13" s="738">
        <f>Elect!AC17</f>
        <v>0</v>
      </c>
      <c r="O13" s="738">
        <f>Elect!AE17</f>
        <v>1583.64</v>
      </c>
      <c r="P13" s="738">
        <f>Elect!AG17</f>
        <v>10.600000000000001</v>
      </c>
      <c r="Q13" s="738">
        <f>Elect!AI17</f>
        <v>1211.05</v>
      </c>
      <c r="R13" s="738">
        <f>Elect!AK17</f>
        <v>3881.19</v>
      </c>
      <c r="S13" s="738">
        <f>Elect!AM17</f>
        <v>115.01</v>
      </c>
      <c r="T13" s="738">
        <f>Elect!AP17</f>
        <v>255.6</v>
      </c>
      <c r="U13" s="738">
        <f>Elect!AR17</f>
        <v>180</v>
      </c>
      <c r="V13" s="738">
        <f>Elect!AT17</f>
        <v>185</v>
      </c>
      <c r="W13" s="738">
        <f>Elect!AV17</f>
        <v>56</v>
      </c>
      <c r="X13" s="738">
        <f>Elect!AX17</f>
        <v>931</v>
      </c>
      <c r="Y13" s="738">
        <f>Elect!AZ17</f>
        <v>0</v>
      </c>
      <c r="Z13" s="738">
        <f>Elect!BB17</f>
        <v>5440</v>
      </c>
      <c r="AA13" s="738">
        <f>Elect!BD17</f>
        <v>217</v>
      </c>
      <c r="AB13" s="738">
        <f>Elect!BF17</f>
        <v>65</v>
      </c>
      <c r="AC13" s="738">
        <f>Elect!BH17</f>
        <v>6269.05</v>
      </c>
      <c r="AD13" s="738">
        <f>Elect!BL17</f>
        <v>310</v>
      </c>
      <c r="AE13" s="738">
        <f>Elect!BN17</f>
        <v>1387</v>
      </c>
      <c r="AF13" s="738">
        <f>Elect!BP17</f>
        <v>124</v>
      </c>
      <c r="AG13" s="738">
        <f>Elect!BR17</f>
        <v>144</v>
      </c>
      <c r="AH13" s="810"/>
      <c r="AI13" s="738">
        <f>Water!C18</f>
        <v>174</v>
      </c>
      <c r="AJ13" s="738">
        <f>Water!E18</f>
        <v>220.39999999999998</v>
      </c>
      <c r="AK13" s="738">
        <f>Water!G18</f>
        <v>0</v>
      </c>
      <c r="AL13" s="810"/>
      <c r="AM13" s="738">
        <f>Gas!C18</f>
        <v>0</v>
      </c>
      <c r="AN13" s="738">
        <f>Gas!E18</f>
        <v>266.7</v>
      </c>
      <c r="AO13" s="738">
        <f>Gas!G18</f>
        <v>63</v>
      </c>
      <c r="AP13" s="745">
        <f>Elect!BT17</f>
        <v>204</v>
      </c>
    </row>
    <row r="14" spans="1:42" ht="12.75" customHeight="1">
      <c r="A14" s="752" t="s">
        <v>11</v>
      </c>
      <c r="B14" s="729">
        <f t="shared" si="0"/>
        <v>13</v>
      </c>
      <c r="C14" s="771">
        <v>7</v>
      </c>
      <c r="D14" s="751">
        <v>2022</v>
      </c>
      <c r="E14" s="810"/>
      <c r="F14" s="738">
        <f>Elect!J18</f>
        <v>5655</v>
      </c>
      <c r="G14" s="738">
        <f>Elect!K18</f>
        <v>3076.0214285714337</v>
      </c>
      <c r="H14" s="738">
        <f>Elect!Q18</f>
        <v>300</v>
      </c>
      <c r="I14" s="738">
        <f>Elect!S18</f>
        <v>229</v>
      </c>
      <c r="J14" s="738">
        <f>Elect!U18</f>
        <v>260</v>
      </c>
      <c r="K14" s="738">
        <f>Elect!W18</f>
        <v>2520.15</v>
      </c>
      <c r="L14" s="738">
        <f>Elect!Y18</f>
        <v>3696.2200000000003</v>
      </c>
      <c r="M14" s="738">
        <f>Elect!AA18</f>
        <v>858.6</v>
      </c>
      <c r="N14" s="738">
        <f>Elect!AC18</f>
        <v>36.57</v>
      </c>
      <c r="O14" s="738">
        <f>Elect!AE18</f>
        <v>416.05</v>
      </c>
      <c r="P14" s="738">
        <f>Elect!AG18</f>
        <v>3847.27</v>
      </c>
      <c r="Q14" s="738">
        <f>Elect!AI18</f>
        <v>1165.47</v>
      </c>
      <c r="R14" s="738">
        <f>Elect!AK18</f>
        <v>3767.2400000000002</v>
      </c>
      <c r="S14" s="738">
        <f>Elect!AM18</f>
        <v>105.47</v>
      </c>
      <c r="T14" s="738">
        <f>Elect!AP18</f>
        <v>219.9375</v>
      </c>
      <c r="U14" s="738">
        <f>Elect!AR18</f>
        <v>192</v>
      </c>
      <c r="V14" s="738">
        <f>Elect!AT18</f>
        <v>175</v>
      </c>
      <c r="W14" s="738">
        <f>Elect!AV18</f>
        <v>61</v>
      </c>
      <c r="X14" s="738">
        <f>Elect!AX18</f>
        <v>976</v>
      </c>
      <c r="Y14" s="738">
        <f>Elect!AZ18</f>
        <v>0</v>
      </c>
      <c r="Z14" s="738">
        <f>Elect!BB18</f>
        <v>5210</v>
      </c>
      <c r="AA14" s="738">
        <f>Elect!BD18</f>
        <v>199</v>
      </c>
      <c r="AB14" s="738">
        <f>Elect!BF18</f>
        <v>65</v>
      </c>
      <c r="AC14" s="738">
        <f>Elect!BH18</f>
        <v>6066.5</v>
      </c>
      <c r="AD14" s="738">
        <f>Elect!BL18</f>
        <v>306</v>
      </c>
      <c r="AE14" s="738">
        <f>Elect!BN18</f>
        <v>1469</v>
      </c>
      <c r="AF14" s="738">
        <f>Elect!BP18</f>
        <v>121</v>
      </c>
      <c r="AG14" s="738">
        <f>Elect!BR18</f>
        <v>158</v>
      </c>
      <c r="AH14" s="810"/>
      <c r="AI14" s="738">
        <f>Water!C19</f>
        <v>156.6</v>
      </c>
      <c r="AJ14" s="738">
        <f>Water!E19</f>
        <v>197.2</v>
      </c>
      <c r="AK14" s="738">
        <f>Water!G19</f>
        <v>0</v>
      </c>
      <c r="AL14" s="810"/>
      <c r="AM14" s="738">
        <f>Gas!C19</f>
        <v>0</v>
      </c>
      <c r="AN14" s="738">
        <f>Gas!E19</f>
        <v>266</v>
      </c>
      <c r="AO14" s="738">
        <f>Gas!G19</f>
        <v>73</v>
      </c>
      <c r="AP14" s="745">
        <f>Elect!BT18</f>
        <v>182</v>
      </c>
    </row>
    <row r="15" spans="1:42" ht="12.75" customHeight="1">
      <c r="A15" s="752" t="s">
        <v>11</v>
      </c>
      <c r="B15" s="729">
        <f t="shared" si="0"/>
        <v>14</v>
      </c>
      <c r="C15" s="771">
        <v>7</v>
      </c>
      <c r="D15" s="751">
        <v>2022</v>
      </c>
      <c r="E15" s="810"/>
      <c r="F15" s="738">
        <f>Elect!J19</f>
        <v>5954</v>
      </c>
      <c r="G15" s="738">
        <f>Elect!K19</f>
        <v>1831.838095238096</v>
      </c>
      <c r="H15" s="738">
        <f>Elect!Q19</f>
        <v>600</v>
      </c>
      <c r="I15" s="738">
        <f>Elect!S19</f>
        <v>224</v>
      </c>
      <c r="J15" s="738">
        <f>Elect!U19</f>
        <v>248</v>
      </c>
      <c r="K15" s="738">
        <f>Elect!W19</f>
        <v>2931.96</v>
      </c>
      <c r="L15" s="738">
        <f>Elect!Y19</f>
        <v>760.55000000000007</v>
      </c>
      <c r="M15" s="738">
        <f>Elect!AA19</f>
        <v>0</v>
      </c>
      <c r="N15" s="738">
        <f>Elect!AC19</f>
        <v>2732.15</v>
      </c>
      <c r="O15" s="738">
        <f>Elect!AE19</f>
        <v>12.190000000000001</v>
      </c>
      <c r="P15" s="738">
        <f>Elect!AG19</f>
        <v>0</v>
      </c>
      <c r="Q15" s="738">
        <f>Elect!AI19</f>
        <v>1136.3200000000002</v>
      </c>
      <c r="R15" s="738">
        <f>Elect!AK19</f>
        <v>3662.8300000000004</v>
      </c>
      <c r="S15" s="738">
        <f>Elect!AM19</f>
        <v>103.35000000000001</v>
      </c>
      <c r="T15" s="738">
        <f>Elect!AP19</f>
        <v>202.05</v>
      </c>
      <c r="U15" s="738">
        <f>Elect!AR19</f>
        <v>148</v>
      </c>
      <c r="V15" s="738">
        <f>Elect!AT19</f>
        <v>197</v>
      </c>
      <c r="W15" s="738">
        <f>Elect!AV19</f>
        <v>49</v>
      </c>
      <c r="X15" s="738">
        <f>Elect!AX19</f>
        <v>938</v>
      </c>
      <c r="Y15" s="738">
        <f>Elect!AZ19</f>
        <v>0</v>
      </c>
      <c r="Z15" s="738">
        <f>Elect!BB19</f>
        <v>5233</v>
      </c>
      <c r="AA15" s="738">
        <f>Elect!BD19</f>
        <v>197</v>
      </c>
      <c r="AB15" s="738">
        <f>Elect!BF19</f>
        <v>65</v>
      </c>
      <c r="AC15" s="738">
        <f>Elect!BH19</f>
        <v>6173.5</v>
      </c>
      <c r="AD15" s="738">
        <f>Elect!BL19</f>
        <v>302</v>
      </c>
      <c r="AE15" s="738">
        <f>Elect!BN19</f>
        <v>1176</v>
      </c>
      <c r="AF15" s="738">
        <f>Elect!BP19</f>
        <v>114</v>
      </c>
      <c r="AG15" s="738">
        <f>Elect!BR19</f>
        <v>126</v>
      </c>
      <c r="AH15" s="810"/>
      <c r="AI15" s="738">
        <f>Water!C20</f>
        <v>185.6</v>
      </c>
      <c r="AJ15" s="738">
        <f>Water!E20</f>
        <v>243.6</v>
      </c>
      <c r="AK15" s="738">
        <f>Water!G20</f>
        <v>0</v>
      </c>
      <c r="AL15" s="810"/>
      <c r="AM15" s="738">
        <f>Gas!C20</f>
        <v>0</v>
      </c>
      <c r="AN15" s="738">
        <f>Gas!E20</f>
        <v>308</v>
      </c>
      <c r="AO15" s="738">
        <f>Gas!G20</f>
        <v>86</v>
      </c>
      <c r="AP15" s="745">
        <f>Elect!BT19</f>
        <v>251</v>
      </c>
    </row>
    <row r="16" spans="1:42" ht="12.75" customHeight="1">
      <c r="A16" s="752" t="s">
        <v>11</v>
      </c>
      <c r="B16" s="729">
        <f t="shared" si="0"/>
        <v>15</v>
      </c>
      <c r="C16" s="771">
        <v>7</v>
      </c>
      <c r="D16" s="751">
        <v>2022</v>
      </c>
      <c r="E16" s="810"/>
      <c r="F16" s="738">
        <f>Elect!J20</f>
        <v>6408</v>
      </c>
      <c r="G16" s="738">
        <f>Elect!K20</f>
        <v>5605</v>
      </c>
      <c r="H16" s="738">
        <f>Elect!Q20</f>
        <v>600</v>
      </c>
      <c r="I16" s="738">
        <f>Elect!S20</f>
        <v>232</v>
      </c>
      <c r="J16" s="738">
        <f>Elect!U20</f>
        <v>263</v>
      </c>
      <c r="K16" s="738">
        <f>Elect!W20</f>
        <v>3045.38</v>
      </c>
      <c r="L16" s="738">
        <f>Elect!Y20</f>
        <v>0</v>
      </c>
      <c r="M16" s="738">
        <f>Elect!AA20</f>
        <v>0</v>
      </c>
      <c r="N16" s="738">
        <f>Elect!AC20</f>
        <v>3611.9500000000003</v>
      </c>
      <c r="O16" s="738">
        <f>Elect!AE20</f>
        <v>12.72</v>
      </c>
      <c r="P16" s="738">
        <f>Elect!AG20</f>
        <v>1427.29</v>
      </c>
      <c r="Q16" s="738">
        <f>Elect!AI20</f>
        <v>1186.67</v>
      </c>
      <c r="R16" s="738">
        <f>Elect!AK20</f>
        <v>3814.4100000000003</v>
      </c>
      <c r="S16" s="738">
        <f>Elect!AM20</f>
        <v>107.06</v>
      </c>
      <c r="T16" s="738">
        <f>Elect!AP20</f>
        <v>228.03749999999999</v>
      </c>
      <c r="U16" s="738">
        <f>Elect!AR20</f>
        <v>161</v>
      </c>
      <c r="V16" s="738">
        <f>Elect!AT20</f>
        <v>200</v>
      </c>
      <c r="W16" s="738">
        <f>Elect!AV20</f>
        <v>50</v>
      </c>
      <c r="X16" s="738">
        <f>Elect!AX20</f>
        <v>970</v>
      </c>
      <c r="Y16" s="738">
        <f>Elect!AZ20</f>
        <v>0</v>
      </c>
      <c r="Z16" s="738">
        <f>Elect!BB20</f>
        <v>5434</v>
      </c>
      <c r="AA16" s="738">
        <f>Elect!BD20</f>
        <v>210</v>
      </c>
      <c r="AB16" s="738">
        <f>Elect!BF20</f>
        <v>63</v>
      </c>
      <c r="AC16" s="738">
        <f>Elect!BH20</f>
        <v>6109.45</v>
      </c>
      <c r="AD16" s="738">
        <f>Elect!BL20</f>
        <v>315</v>
      </c>
      <c r="AE16" s="738">
        <f>Elect!BN20</f>
        <v>1805</v>
      </c>
      <c r="AF16" s="738">
        <f>Elect!BP20</f>
        <v>114</v>
      </c>
      <c r="AG16" s="738">
        <f>Elect!BR20</f>
        <v>163</v>
      </c>
      <c r="AH16" s="810"/>
      <c r="AI16" s="738">
        <f>Water!C21</f>
        <v>197.2</v>
      </c>
      <c r="AJ16" s="738">
        <f>Water!E21</f>
        <v>249.39999999999998</v>
      </c>
      <c r="AK16" s="738">
        <f>Water!G21</f>
        <v>0</v>
      </c>
      <c r="AL16" s="810"/>
      <c r="AM16" s="738">
        <f>Gas!C21</f>
        <v>0</v>
      </c>
      <c r="AN16" s="738">
        <f>Gas!E21</f>
        <v>388.5</v>
      </c>
      <c r="AO16" s="738">
        <f>Gas!G21</f>
        <v>50</v>
      </c>
      <c r="AP16" s="745">
        <f>Elect!BT20</f>
        <v>230</v>
      </c>
    </row>
    <row r="17" spans="1:42" ht="12.75" customHeight="1">
      <c r="A17" s="752" t="s">
        <v>11</v>
      </c>
      <c r="B17" s="729">
        <f t="shared" si="0"/>
        <v>16</v>
      </c>
      <c r="C17" s="771">
        <v>7</v>
      </c>
      <c r="D17" s="751">
        <v>2022</v>
      </c>
      <c r="E17" s="810"/>
      <c r="F17" s="738">
        <f>Elect!J21</f>
        <v>5533</v>
      </c>
      <c r="G17" s="738">
        <f>Elect!K21</f>
        <v>5066</v>
      </c>
      <c r="H17" s="738">
        <f>Elect!Q21</f>
        <v>300</v>
      </c>
      <c r="I17" s="738">
        <f>Elect!S21</f>
        <v>197</v>
      </c>
      <c r="J17" s="738">
        <f>Elect!U21</f>
        <v>263</v>
      </c>
      <c r="K17" s="738">
        <f>Elect!W21</f>
        <v>1896.8700000000001</v>
      </c>
      <c r="L17" s="738">
        <f>Elect!Y21</f>
        <v>1144.27</v>
      </c>
      <c r="M17" s="738">
        <f>Elect!AA21</f>
        <v>78.44</v>
      </c>
      <c r="N17" s="738">
        <f>Elect!AC21</f>
        <v>3390.4100000000003</v>
      </c>
      <c r="O17" s="738">
        <f>Elect!AE21</f>
        <v>11.66</v>
      </c>
      <c r="P17" s="738">
        <f>Elect!AG21</f>
        <v>1262.99</v>
      </c>
      <c r="Q17" s="738">
        <f>Elect!AI21</f>
        <v>1145.8600000000001</v>
      </c>
      <c r="R17" s="738">
        <f>Elect!AK21</f>
        <v>3678.2000000000003</v>
      </c>
      <c r="S17" s="738">
        <f>Elect!AM21</f>
        <v>104.41000000000001</v>
      </c>
      <c r="T17" s="738">
        <f>Elect!AP21</f>
        <v>261.45</v>
      </c>
      <c r="U17" s="738">
        <f>Elect!AR21</f>
        <v>156</v>
      </c>
      <c r="V17" s="738">
        <f>Elect!AT21</f>
        <v>185</v>
      </c>
      <c r="W17" s="738">
        <f>Elect!AV21</f>
        <v>50</v>
      </c>
      <c r="X17" s="738">
        <f>Elect!AX21</f>
        <v>967</v>
      </c>
      <c r="Y17" s="738">
        <f>Elect!AZ21</f>
        <v>0</v>
      </c>
      <c r="Z17" s="738">
        <f>Elect!BB21</f>
        <v>5249</v>
      </c>
      <c r="AA17" s="738">
        <f>Elect!BD21</f>
        <v>383</v>
      </c>
      <c r="AB17" s="738">
        <f>Elect!BF21</f>
        <v>65</v>
      </c>
      <c r="AC17" s="738">
        <f>Elect!BH21</f>
        <v>5908.4000000000005</v>
      </c>
      <c r="AD17" s="738">
        <f>Elect!BL21</f>
        <v>207</v>
      </c>
      <c r="AE17" s="738">
        <f>Elect!BN21</f>
        <v>1456</v>
      </c>
      <c r="AF17" s="738">
        <f>Elect!BP21</f>
        <v>112</v>
      </c>
      <c r="AG17" s="738">
        <f>Elect!BR21</f>
        <v>104</v>
      </c>
      <c r="AH17" s="810"/>
      <c r="AI17" s="738">
        <f>Water!C22</f>
        <v>162.39999999999998</v>
      </c>
      <c r="AJ17" s="738">
        <f>Water!E22</f>
        <v>203</v>
      </c>
      <c r="AK17" s="738">
        <f>Water!G22</f>
        <v>0</v>
      </c>
      <c r="AL17" s="810"/>
      <c r="AM17" s="738">
        <f>Gas!C22</f>
        <v>0</v>
      </c>
      <c r="AN17" s="738">
        <f>Gas!E22</f>
        <v>144.89999999999998</v>
      </c>
      <c r="AO17" s="738">
        <f>Gas!G22</f>
        <v>25</v>
      </c>
      <c r="AP17" s="745">
        <f>Elect!BT21</f>
        <v>192</v>
      </c>
    </row>
    <row r="18" spans="1:42" ht="12.75" customHeight="1">
      <c r="A18" s="752" t="s">
        <v>11</v>
      </c>
      <c r="B18" s="729">
        <f t="shared" si="0"/>
        <v>17</v>
      </c>
      <c r="C18" s="771">
        <v>7</v>
      </c>
      <c r="D18" s="751">
        <v>2022</v>
      </c>
      <c r="E18" s="810"/>
      <c r="F18" s="738">
        <f>Elect!J22</f>
        <v>5659</v>
      </c>
      <c r="G18" s="738">
        <f>Elect!K22</f>
        <v>5067</v>
      </c>
      <c r="H18" s="738">
        <f>Elect!Q22</f>
        <v>780</v>
      </c>
      <c r="I18" s="738">
        <f>Elect!S22</f>
        <v>137</v>
      </c>
      <c r="J18" s="738">
        <f>Elect!U22</f>
        <v>281</v>
      </c>
      <c r="K18" s="738">
        <f>Elect!W22</f>
        <v>0</v>
      </c>
      <c r="L18" s="738">
        <f>Elect!Y22</f>
        <v>4035.42</v>
      </c>
      <c r="M18" s="738">
        <f>Elect!AA22</f>
        <v>0</v>
      </c>
      <c r="N18" s="738">
        <f>Elect!AC22</f>
        <v>3312.5</v>
      </c>
      <c r="O18" s="738">
        <f>Elect!AE22</f>
        <v>13.25</v>
      </c>
      <c r="P18" s="738">
        <f>Elect!AG22</f>
        <v>1633.46</v>
      </c>
      <c r="Q18" s="738">
        <f>Elect!AI22</f>
        <v>1179.25</v>
      </c>
      <c r="R18" s="738">
        <f>Elect!AK22</f>
        <v>3874.8300000000004</v>
      </c>
      <c r="S18" s="738">
        <f>Elect!AM22</f>
        <v>115.01</v>
      </c>
      <c r="T18" s="738">
        <f>Elect!AP22</f>
        <v>264.48750000000001</v>
      </c>
      <c r="U18" s="738">
        <f>Elect!AR22</f>
        <v>178</v>
      </c>
      <c r="V18" s="738">
        <f>Elect!AT22</f>
        <v>198</v>
      </c>
      <c r="W18" s="738">
        <f>Elect!AV22</f>
        <v>53</v>
      </c>
      <c r="X18" s="738">
        <f>Elect!AX22</f>
        <v>964</v>
      </c>
      <c r="Y18" s="738">
        <f>Elect!AZ22</f>
        <v>0</v>
      </c>
      <c r="Z18" s="738">
        <f>Elect!BB22</f>
        <v>5152</v>
      </c>
      <c r="AA18" s="738">
        <f>Elect!BD22</f>
        <v>42</v>
      </c>
      <c r="AB18" s="738">
        <f>Elect!BF22</f>
        <v>117</v>
      </c>
      <c r="AC18" s="738">
        <f>Elect!BH22</f>
        <v>5949.3499999999995</v>
      </c>
      <c r="AD18" s="738">
        <f>Elect!BL22</f>
        <v>176</v>
      </c>
      <c r="AE18" s="738">
        <f>Elect!BN22</f>
        <v>1478</v>
      </c>
      <c r="AF18" s="738">
        <f>Elect!BP22</f>
        <v>99</v>
      </c>
      <c r="AG18" s="738">
        <f>Elect!BR22</f>
        <v>207</v>
      </c>
      <c r="AH18" s="810"/>
      <c r="AI18" s="738">
        <f>Water!C23</f>
        <v>174</v>
      </c>
      <c r="AJ18" s="738">
        <f>Water!E23</f>
        <v>214.6</v>
      </c>
      <c r="AK18" s="738">
        <f>Water!G23</f>
        <v>0</v>
      </c>
      <c r="AL18" s="810"/>
      <c r="AM18" s="738">
        <f>Gas!C23</f>
        <v>0</v>
      </c>
      <c r="AN18" s="738">
        <f>Gas!E23</f>
        <v>285.59999999999997</v>
      </c>
      <c r="AO18" s="738">
        <f>Gas!G23</f>
        <v>187</v>
      </c>
      <c r="AP18" s="745">
        <f>Elect!BT22</f>
        <v>178</v>
      </c>
    </row>
    <row r="19" spans="1:42" ht="12.75" customHeight="1">
      <c r="A19" s="752" t="s">
        <v>11</v>
      </c>
      <c r="B19" s="729">
        <f t="shared" si="0"/>
        <v>18</v>
      </c>
      <c r="C19" s="771">
        <v>7</v>
      </c>
      <c r="D19" s="751">
        <v>2022</v>
      </c>
      <c r="E19" s="810"/>
      <c r="F19" s="738">
        <f>Elect!J23</f>
        <v>5198</v>
      </c>
      <c r="G19" s="738">
        <f>Elect!K23</f>
        <v>4917</v>
      </c>
      <c r="H19" s="738">
        <f>Elect!Q23</f>
        <v>510</v>
      </c>
      <c r="I19" s="738">
        <f>Elect!S23</f>
        <v>140</v>
      </c>
      <c r="J19" s="738">
        <f>Elect!U23</f>
        <v>296</v>
      </c>
      <c r="K19" s="738">
        <f>Elect!W23</f>
        <v>2.12</v>
      </c>
      <c r="L19" s="738">
        <f>Elect!Y23</f>
        <v>3896.5600000000004</v>
      </c>
      <c r="M19" s="738">
        <f>Elect!AA23</f>
        <v>102.82000000000001</v>
      </c>
      <c r="N19" s="738">
        <f>Elect!AC23</f>
        <v>3396.2400000000002</v>
      </c>
      <c r="O19" s="738">
        <f>Elect!AE23</f>
        <v>12.72</v>
      </c>
      <c r="P19" s="738">
        <f>Elect!AG23</f>
        <v>1672.68</v>
      </c>
      <c r="Q19" s="738">
        <f>Elect!AI23</f>
        <v>1135.26</v>
      </c>
      <c r="R19" s="738">
        <f>Elect!AK23</f>
        <v>3760.3500000000004</v>
      </c>
      <c r="S19" s="738">
        <f>Elect!AM23</f>
        <v>126.14</v>
      </c>
      <c r="T19" s="738">
        <f>Elect!AP23</f>
        <v>288.67500000000001</v>
      </c>
      <c r="U19" s="738">
        <f>Elect!AR23</f>
        <v>149</v>
      </c>
      <c r="V19" s="738">
        <f>Elect!AT23</f>
        <v>191</v>
      </c>
      <c r="W19" s="738">
        <f>Elect!AV23</f>
        <v>62</v>
      </c>
      <c r="X19" s="738">
        <f>Elect!AX23</f>
        <v>952</v>
      </c>
      <c r="Y19" s="738">
        <f>Elect!AZ23</f>
        <v>0</v>
      </c>
      <c r="Z19" s="738">
        <f>Elect!BB23</f>
        <v>5067</v>
      </c>
      <c r="AA19" s="738">
        <f>Elect!BD23</f>
        <v>236</v>
      </c>
      <c r="AB19" s="738">
        <f>Elect!BF23</f>
        <v>60</v>
      </c>
      <c r="AC19" s="738">
        <f>Elect!BH23</f>
        <v>6244.25</v>
      </c>
      <c r="AD19" s="738">
        <f>Elect!BL23</f>
        <v>305</v>
      </c>
      <c r="AE19" s="738">
        <f>Elect!BN23</f>
        <v>1506</v>
      </c>
      <c r="AF19" s="738">
        <f>Elect!BP23</f>
        <v>109</v>
      </c>
      <c r="AG19" s="738">
        <f>Elect!BR23</f>
        <v>165</v>
      </c>
      <c r="AH19" s="810"/>
      <c r="AI19" s="738">
        <f>Water!C24</f>
        <v>145</v>
      </c>
      <c r="AJ19" s="738">
        <f>Water!E24</f>
        <v>191.39999999999998</v>
      </c>
      <c r="AK19" s="738">
        <f>Water!G24</f>
        <v>108.46</v>
      </c>
      <c r="AL19" s="810"/>
      <c r="AM19" s="738">
        <f>Gas!C24</f>
        <v>0</v>
      </c>
      <c r="AN19" s="738">
        <f>Gas!E24</f>
        <v>303.09999999999997</v>
      </c>
      <c r="AO19" s="738">
        <f>Gas!G24</f>
        <v>117</v>
      </c>
      <c r="AP19" s="745">
        <f>Elect!BT23</f>
        <v>184</v>
      </c>
    </row>
    <row r="20" spans="1:42" ht="12.75" customHeight="1">
      <c r="A20" s="752" t="s">
        <v>11</v>
      </c>
      <c r="B20" s="729">
        <f t="shared" si="0"/>
        <v>19</v>
      </c>
      <c r="C20" s="771">
        <v>7</v>
      </c>
      <c r="D20" s="751">
        <v>2022</v>
      </c>
      <c r="E20" s="810"/>
      <c r="F20" s="738">
        <f>Elect!J24</f>
        <v>5240</v>
      </c>
      <c r="G20" s="738">
        <f>Elect!K24</f>
        <v>4582</v>
      </c>
      <c r="H20" s="738">
        <f>Elect!Q24</f>
        <v>510</v>
      </c>
      <c r="I20" s="738">
        <f>Elect!S24</f>
        <v>125</v>
      </c>
      <c r="J20" s="738">
        <f>Elect!U24</f>
        <v>270</v>
      </c>
      <c r="K20" s="738">
        <f>Elect!W24</f>
        <v>3023.1200000000003</v>
      </c>
      <c r="L20" s="738">
        <f>Elect!Y24</f>
        <v>58.830000000000005</v>
      </c>
      <c r="M20" s="738">
        <f>Elect!AA24</f>
        <v>651.9</v>
      </c>
      <c r="N20" s="738">
        <f>Elect!AC24</f>
        <v>2707.2400000000002</v>
      </c>
      <c r="O20" s="738">
        <f>Elect!AE24</f>
        <v>1482.94</v>
      </c>
      <c r="P20" s="738">
        <f>Elect!AG24</f>
        <v>19.61</v>
      </c>
      <c r="Q20" s="738">
        <f>Elect!AI24</f>
        <v>1003.2900000000001</v>
      </c>
      <c r="R20" s="738">
        <f>Elect!AK24</f>
        <v>3319.3900000000003</v>
      </c>
      <c r="S20" s="738">
        <f>Elect!AM24</f>
        <v>103.35000000000001</v>
      </c>
      <c r="T20" s="738">
        <f>Elect!AP24</f>
        <v>236.36250000000001</v>
      </c>
      <c r="U20" s="738">
        <f>Elect!AR24</f>
        <v>139</v>
      </c>
      <c r="V20" s="738">
        <f>Elect!AT24</f>
        <v>164</v>
      </c>
      <c r="W20" s="738">
        <f>Elect!AV24</f>
        <v>58</v>
      </c>
      <c r="X20" s="738">
        <f>Elect!AX24</f>
        <v>960</v>
      </c>
      <c r="Y20" s="738">
        <f>Elect!AZ24</f>
        <v>0</v>
      </c>
      <c r="Z20" s="738">
        <f>Elect!BB24</f>
        <v>4547</v>
      </c>
      <c r="AA20" s="738">
        <f>Elect!BD24</f>
        <v>213</v>
      </c>
      <c r="AB20" s="738">
        <f>Elect!BF24</f>
        <v>65</v>
      </c>
      <c r="AC20" s="738">
        <f>Elect!BH24</f>
        <v>5641.45</v>
      </c>
      <c r="AD20" s="738">
        <f>Elect!BL24</f>
        <v>204</v>
      </c>
      <c r="AE20" s="738">
        <f>Elect!BN24</f>
        <v>1285</v>
      </c>
      <c r="AF20" s="738">
        <f>Elect!BP24</f>
        <v>94</v>
      </c>
      <c r="AG20" s="738">
        <f>Elect!BR24</f>
        <v>154</v>
      </c>
      <c r="AH20" s="810"/>
      <c r="AI20" s="738">
        <f>Water!C25</f>
        <v>115.99999999999999</v>
      </c>
      <c r="AJ20" s="738">
        <f>Water!E25</f>
        <v>150.79999999999998</v>
      </c>
      <c r="AK20" s="738">
        <f>Water!G25</f>
        <v>110.77999999999999</v>
      </c>
      <c r="AL20" s="810"/>
      <c r="AM20" s="738">
        <f>Gas!C25</f>
        <v>0</v>
      </c>
      <c r="AN20" s="738">
        <f>Gas!E25</f>
        <v>279.29999999999995</v>
      </c>
      <c r="AO20" s="738">
        <f>Gas!G25</f>
        <v>85</v>
      </c>
      <c r="AP20" s="745">
        <f>Elect!BT24</f>
        <v>167</v>
      </c>
    </row>
    <row r="21" spans="1:42" ht="12.75" customHeight="1">
      <c r="A21" s="752" t="s">
        <v>11</v>
      </c>
      <c r="B21" s="729">
        <f t="shared" si="0"/>
        <v>20</v>
      </c>
      <c r="C21" s="771">
        <v>7</v>
      </c>
      <c r="D21" s="751">
        <v>2022</v>
      </c>
      <c r="E21" s="810"/>
      <c r="F21" s="738">
        <f>Elect!J25</f>
        <v>6539</v>
      </c>
      <c r="G21" s="738">
        <f>Elect!K25</f>
        <v>5321</v>
      </c>
      <c r="H21" s="738">
        <f>Elect!Q25</f>
        <v>510</v>
      </c>
      <c r="I21" s="738">
        <f>Elect!S25</f>
        <v>149</v>
      </c>
      <c r="J21" s="738">
        <f>Elect!U25</f>
        <v>320</v>
      </c>
      <c r="K21" s="738">
        <f>Elect!W25</f>
        <v>4140.8900000000003</v>
      </c>
      <c r="L21" s="738">
        <f>Elect!Y25</f>
        <v>0</v>
      </c>
      <c r="M21" s="738">
        <f>Elect!AA25</f>
        <v>4309.43</v>
      </c>
      <c r="N21" s="738">
        <f>Elect!AC25</f>
        <v>0</v>
      </c>
      <c r="O21" s="738">
        <f>Elect!AE25</f>
        <v>1867.19</v>
      </c>
      <c r="P21" s="738">
        <f>Elect!AG25</f>
        <v>11.66</v>
      </c>
      <c r="Q21" s="738">
        <f>Elect!AI25</f>
        <v>1247.0900000000001</v>
      </c>
      <c r="R21" s="738">
        <f>Elect!AK25</f>
        <v>4077.2900000000004</v>
      </c>
      <c r="S21" s="738">
        <f>Elect!AM25</f>
        <v>125.08000000000001</v>
      </c>
      <c r="T21" s="738">
        <f>Elect!AP25</f>
        <v>283.72500000000002</v>
      </c>
      <c r="U21" s="738">
        <f>Elect!AR25</f>
        <v>176</v>
      </c>
      <c r="V21" s="738">
        <f>Elect!AT25</f>
        <v>188</v>
      </c>
      <c r="W21" s="738">
        <f>Elect!AV25</f>
        <v>64</v>
      </c>
      <c r="X21" s="738">
        <f>Elect!AX25</f>
        <v>1018</v>
      </c>
      <c r="Y21" s="738">
        <f>Elect!AZ25</f>
        <v>0</v>
      </c>
      <c r="Z21" s="738">
        <f>Elect!BB25</f>
        <v>5714</v>
      </c>
      <c r="AA21" s="738">
        <f>Elect!BD25</f>
        <v>245</v>
      </c>
      <c r="AB21" s="738">
        <f>Elect!BF25</f>
        <v>61.666666666700621</v>
      </c>
      <c r="AC21" s="738">
        <f>Elect!BH25</f>
        <v>7140.9000000000005</v>
      </c>
      <c r="AD21" s="738">
        <f>Elect!BL25</f>
        <v>268</v>
      </c>
      <c r="AE21" s="738">
        <f>Elect!BN25</f>
        <v>1646</v>
      </c>
      <c r="AF21" s="738">
        <f>Elect!BP25</f>
        <v>112</v>
      </c>
      <c r="AG21" s="738">
        <f>Elect!BR25</f>
        <v>188</v>
      </c>
      <c r="AH21" s="810"/>
      <c r="AI21" s="738">
        <f>Water!C26</f>
        <v>115.99999999999999</v>
      </c>
      <c r="AJ21" s="738">
        <f>Water!E26</f>
        <v>156.6</v>
      </c>
      <c r="AK21" s="738">
        <f>Water!G26</f>
        <v>113.1</v>
      </c>
      <c r="AL21" s="810"/>
      <c r="AM21" s="738">
        <f>Gas!C26</f>
        <v>0</v>
      </c>
      <c r="AN21" s="738">
        <f>Gas!E26</f>
        <v>285.59999999999997</v>
      </c>
      <c r="AO21" s="738">
        <f>Gas!G26</f>
        <v>97</v>
      </c>
      <c r="AP21" s="745">
        <f>Elect!BT25</f>
        <v>156</v>
      </c>
    </row>
    <row r="22" spans="1:42" ht="12.75" customHeight="1">
      <c r="A22" s="752" t="s">
        <v>11</v>
      </c>
      <c r="B22" s="729">
        <f t="shared" si="0"/>
        <v>21</v>
      </c>
      <c r="C22" s="771">
        <v>7</v>
      </c>
      <c r="D22" s="751">
        <v>2022</v>
      </c>
      <c r="E22" s="810"/>
      <c r="F22" s="738">
        <f>Elect!J26</f>
        <v>5926</v>
      </c>
      <c r="G22" s="738">
        <f>Elect!K26</f>
        <v>5037</v>
      </c>
      <c r="H22" s="738">
        <f>Elect!Q26</f>
        <v>480</v>
      </c>
      <c r="I22" s="738">
        <f>Elect!S26</f>
        <v>141</v>
      </c>
      <c r="J22" s="738">
        <f>Elect!U26</f>
        <v>294</v>
      </c>
      <c r="K22" s="738">
        <f>Elect!W26</f>
        <v>3563.19</v>
      </c>
      <c r="L22" s="738">
        <f>Elect!Y26</f>
        <v>0</v>
      </c>
      <c r="M22" s="738">
        <f>Elect!AA26</f>
        <v>3968.11</v>
      </c>
      <c r="N22" s="738">
        <f>Elect!AC26</f>
        <v>0</v>
      </c>
      <c r="O22" s="738">
        <f>Elect!AE26</f>
        <v>1593.18</v>
      </c>
      <c r="P22" s="738">
        <f>Elect!AG26</f>
        <v>11.13</v>
      </c>
      <c r="Q22" s="738">
        <f>Elect!AI26</f>
        <v>1175.01</v>
      </c>
      <c r="R22" s="738">
        <f>Elect!AK26</f>
        <v>3852.0400000000004</v>
      </c>
      <c r="S22" s="738">
        <f>Elect!AM26</f>
        <v>111.30000000000001</v>
      </c>
      <c r="T22" s="738">
        <f>Elect!AP26</f>
        <v>270.67500000000001</v>
      </c>
      <c r="U22" s="738">
        <f>Elect!AR26</f>
        <v>159</v>
      </c>
      <c r="V22" s="738">
        <f>Elect!AT26</f>
        <v>182</v>
      </c>
      <c r="W22" s="738">
        <f>Elect!AV26</f>
        <v>75</v>
      </c>
      <c r="X22" s="738">
        <f>Elect!AX26</f>
        <v>959</v>
      </c>
      <c r="Y22" s="738">
        <f>Elect!AZ26</f>
        <v>0</v>
      </c>
      <c r="Z22" s="738">
        <f>Elect!BB26</f>
        <v>5311</v>
      </c>
      <c r="AA22" s="738">
        <f>Elect!BD26</f>
        <v>220</v>
      </c>
      <c r="AB22" s="738">
        <f>Elect!BF26</f>
        <v>95.333333333299379</v>
      </c>
      <c r="AC22" s="738">
        <f>Elect!BH26</f>
        <v>6567.9</v>
      </c>
      <c r="AD22" s="738">
        <f>Elect!BL26</f>
        <v>244</v>
      </c>
      <c r="AE22" s="738">
        <f>Elect!BN26</f>
        <v>1535</v>
      </c>
      <c r="AF22" s="738">
        <f>Elect!BP26</f>
        <v>103</v>
      </c>
      <c r="AG22" s="738">
        <f>Elect!BR26</f>
        <v>168</v>
      </c>
      <c r="AH22" s="810"/>
      <c r="AI22" s="738">
        <f>Water!C27</f>
        <v>115.99999999999999</v>
      </c>
      <c r="AJ22" s="738">
        <f>Water!E27</f>
        <v>156.6</v>
      </c>
      <c r="AK22" s="738">
        <f>Water!G27</f>
        <v>111.55333333331363</v>
      </c>
      <c r="AL22" s="810"/>
      <c r="AM22" s="738">
        <f>Gas!C27</f>
        <v>0</v>
      </c>
      <c r="AN22" s="738">
        <f>Gas!E27</f>
        <v>281.39999999999998</v>
      </c>
      <c r="AO22" s="738">
        <f>Gas!G27</f>
        <v>89</v>
      </c>
      <c r="AP22" s="745">
        <f>Elect!BT26</f>
        <v>190</v>
      </c>
    </row>
    <row r="23" spans="1:42" ht="12.75" customHeight="1">
      <c r="A23" s="752" t="s">
        <v>11</v>
      </c>
      <c r="B23" s="729">
        <f t="shared" si="0"/>
        <v>22</v>
      </c>
      <c r="C23" s="771">
        <v>7</v>
      </c>
      <c r="D23" s="751">
        <v>2022</v>
      </c>
      <c r="E23" s="810"/>
      <c r="F23" s="738">
        <f>Elect!J27</f>
        <v>5644</v>
      </c>
      <c r="G23" s="738">
        <f>Elect!K27</f>
        <v>4830</v>
      </c>
      <c r="H23" s="738">
        <f>Elect!Q27</f>
        <v>510</v>
      </c>
      <c r="I23" s="738">
        <f>Elect!S27</f>
        <v>133</v>
      </c>
      <c r="J23" s="738">
        <f>Elect!U27</f>
        <v>278</v>
      </c>
      <c r="K23" s="738">
        <f>Elect!W27</f>
        <v>3251.55</v>
      </c>
      <c r="L23" s="738">
        <f>Elect!Y27</f>
        <v>3134.42</v>
      </c>
      <c r="M23" s="738">
        <f>Elect!AA27</f>
        <v>639.18000000000006</v>
      </c>
      <c r="N23" s="738">
        <f>Elect!AC27</f>
        <v>1.06</v>
      </c>
      <c r="O23" s="738">
        <f>Elect!AE27</f>
        <v>1485.0600000000002</v>
      </c>
      <c r="P23" s="738">
        <f>Elect!AG27</f>
        <v>10.600000000000001</v>
      </c>
      <c r="Q23" s="738">
        <f>Elect!AI27</f>
        <v>1118.3</v>
      </c>
      <c r="R23" s="738">
        <f>Elect!AK27</f>
        <v>3680.8500000000004</v>
      </c>
      <c r="S23" s="738">
        <f>Elect!AM27</f>
        <v>102.29</v>
      </c>
      <c r="T23" s="738">
        <f>Elect!AP27</f>
        <v>248.4</v>
      </c>
      <c r="U23" s="738">
        <f>Elect!AR27</f>
        <v>181</v>
      </c>
      <c r="V23" s="738">
        <f>Elect!AT27</f>
        <v>171</v>
      </c>
      <c r="W23" s="738">
        <f>Elect!AV27</f>
        <v>59</v>
      </c>
      <c r="X23" s="738">
        <f>Elect!AX27</f>
        <v>929</v>
      </c>
      <c r="Y23" s="738">
        <f>Elect!AZ27</f>
        <v>0</v>
      </c>
      <c r="Z23" s="738">
        <f>Elect!BB27</f>
        <v>4771</v>
      </c>
      <c r="AA23" s="738">
        <f>Elect!BD27</f>
        <v>212</v>
      </c>
      <c r="AB23" s="738">
        <f>Elect!BF27</f>
        <v>72</v>
      </c>
      <c r="AC23" s="738">
        <f>Elect!BH27</f>
        <v>6009.7166666669773</v>
      </c>
      <c r="AD23" s="738">
        <f>Elect!BL27</f>
        <v>238</v>
      </c>
      <c r="AE23" s="738">
        <f>Elect!BN27</f>
        <v>1391</v>
      </c>
      <c r="AF23" s="738">
        <f>Elect!BP27</f>
        <v>100</v>
      </c>
      <c r="AG23" s="738">
        <f>Elect!BR27</f>
        <v>181.33333333302289</v>
      </c>
      <c r="AH23" s="810"/>
      <c r="AI23" s="738">
        <f>Water!C28</f>
        <v>139.19999999999999</v>
      </c>
      <c r="AJ23" s="738">
        <f>Water!E28</f>
        <v>174</v>
      </c>
      <c r="AK23" s="738">
        <f>Water!G28</f>
        <v>124.50666666668636</v>
      </c>
      <c r="AL23" s="810"/>
      <c r="AM23" s="738">
        <f>Gas!C28</f>
        <v>0</v>
      </c>
      <c r="AN23" s="738">
        <f>Gas!E28</f>
        <v>303.79999999999995</v>
      </c>
      <c r="AO23" s="738">
        <f>Gas!G28</f>
        <v>101</v>
      </c>
      <c r="AP23" s="745">
        <f>Elect!BT27</f>
        <v>205</v>
      </c>
    </row>
    <row r="24" spans="1:42" ht="12.75" customHeight="1">
      <c r="A24" s="752" t="s">
        <v>11</v>
      </c>
      <c r="B24" s="729">
        <f t="shared" si="0"/>
        <v>23</v>
      </c>
      <c r="C24" s="771">
        <v>7</v>
      </c>
      <c r="D24" s="751">
        <v>2022</v>
      </c>
      <c r="E24" s="810"/>
      <c r="F24" s="738">
        <f>Elect!J28</f>
        <v>5690</v>
      </c>
      <c r="G24" s="738">
        <f>Elect!K28</f>
        <v>5282</v>
      </c>
      <c r="H24" s="738">
        <f>Elect!Q28</f>
        <v>540</v>
      </c>
      <c r="I24" s="738">
        <f>Elect!S28</f>
        <v>143</v>
      </c>
      <c r="J24" s="738">
        <f>Elect!U28</f>
        <v>294</v>
      </c>
      <c r="K24" s="738">
        <f>Elect!W28</f>
        <v>3492.17</v>
      </c>
      <c r="L24" s="738">
        <f>Elect!Y28</f>
        <v>4028.53</v>
      </c>
      <c r="M24" s="738">
        <f>Elect!AA28</f>
        <v>0</v>
      </c>
      <c r="N24" s="738">
        <f>Elect!AC28</f>
        <v>0</v>
      </c>
      <c r="O24" s="738">
        <f>Elect!AE28</f>
        <v>1631.3400000000001</v>
      </c>
      <c r="P24" s="738">
        <f>Elect!AG28</f>
        <v>10.600000000000001</v>
      </c>
      <c r="Q24" s="738">
        <f>Elect!AI28</f>
        <v>1189.3200000000002</v>
      </c>
      <c r="R24" s="738">
        <f>Elect!AK28</f>
        <v>3966.52</v>
      </c>
      <c r="S24" s="738">
        <f>Elect!AM28</f>
        <v>105.47</v>
      </c>
      <c r="T24" s="738">
        <f>Elect!AP28</f>
        <v>273.48750000000001</v>
      </c>
      <c r="U24" s="738">
        <f>Elect!AR28</f>
        <v>180</v>
      </c>
      <c r="V24" s="738">
        <f>Elect!AT28</f>
        <v>199</v>
      </c>
      <c r="W24" s="738">
        <f>Elect!AV28</f>
        <v>66</v>
      </c>
      <c r="X24" s="738">
        <f>Elect!AX28</f>
        <v>977</v>
      </c>
      <c r="Y24" s="738">
        <f>Elect!AZ28</f>
        <v>0</v>
      </c>
      <c r="Z24" s="738">
        <f>Elect!BB28</f>
        <v>5569</v>
      </c>
      <c r="AA24" s="738">
        <f>Elect!BD28</f>
        <v>220</v>
      </c>
      <c r="AB24" s="738">
        <f>Elect!BF28</f>
        <v>73</v>
      </c>
      <c r="AC24" s="738">
        <f>Elect!BH28</f>
        <v>6625.9333333330223</v>
      </c>
      <c r="AD24" s="738">
        <f>Elect!BL28</f>
        <v>253</v>
      </c>
      <c r="AE24" s="738">
        <f>Elect!BN28</f>
        <v>1528</v>
      </c>
      <c r="AF24" s="738">
        <f>Elect!BP28</f>
        <v>104</v>
      </c>
      <c r="AG24" s="738">
        <f>Elect!BR28</f>
        <v>100.66666666697711</v>
      </c>
      <c r="AH24" s="810"/>
      <c r="AI24" s="738">
        <f>Water!C29</f>
        <v>121.8</v>
      </c>
      <c r="AJ24" s="738">
        <f>Water!E29</f>
        <v>150.79999999999998</v>
      </c>
      <c r="AK24" s="738">
        <f>Water!G29</f>
        <v>120.05999999999999</v>
      </c>
      <c r="AL24" s="810"/>
      <c r="AM24" s="738">
        <f>Gas!C29</f>
        <v>0</v>
      </c>
      <c r="AN24" s="738">
        <f>Gas!E29</f>
        <v>289.09999999999997</v>
      </c>
      <c r="AO24" s="738">
        <f>Gas!G29</f>
        <v>93</v>
      </c>
      <c r="AP24" s="745">
        <f>Elect!BT28</f>
        <v>221</v>
      </c>
    </row>
    <row r="25" spans="1:42" ht="12.75" customHeight="1">
      <c r="A25" s="752" t="s">
        <v>11</v>
      </c>
      <c r="B25" s="729">
        <f t="shared" si="0"/>
        <v>24</v>
      </c>
      <c r="C25" s="771">
        <v>7</v>
      </c>
      <c r="D25" s="751">
        <v>2022</v>
      </c>
      <c r="E25" s="810"/>
      <c r="F25" s="738">
        <f>Elect!J29</f>
        <v>5085</v>
      </c>
      <c r="G25" s="738">
        <f>Elect!K29</f>
        <v>4602</v>
      </c>
      <c r="H25" s="738">
        <f>Elect!Q29</f>
        <v>540</v>
      </c>
      <c r="I25" s="738">
        <f>Elect!S29</f>
        <v>186</v>
      </c>
      <c r="J25" s="738">
        <f>Elect!U29</f>
        <v>267</v>
      </c>
      <c r="K25" s="738">
        <f>Elect!W29</f>
        <v>3225.05</v>
      </c>
      <c r="L25" s="738">
        <f>Elect!Y29</f>
        <v>743.06000000000006</v>
      </c>
      <c r="M25" s="738">
        <f>Elect!AA29</f>
        <v>0</v>
      </c>
      <c r="N25" s="738">
        <f>Elect!AC29</f>
        <v>2843.4500000000003</v>
      </c>
      <c r="O25" s="738">
        <f>Elect!AE29</f>
        <v>1602.19</v>
      </c>
      <c r="P25" s="738">
        <f>Elect!AG29</f>
        <v>10.07</v>
      </c>
      <c r="Q25" s="738">
        <f>Elect!AI29</f>
        <v>1014.95</v>
      </c>
      <c r="R25" s="738">
        <f>Elect!AK29</f>
        <v>3395.1800000000003</v>
      </c>
      <c r="S25" s="738">
        <f>Elect!AM29</f>
        <v>98.58</v>
      </c>
      <c r="T25" s="738">
        <f>Elect!AP29</f>
        <v>267.1875</v>
      </c>
      <c r="U25" s="738">
        <f>Elect!AR29</f>
        <v>156</v>
      </c>
      <c r="V25" s="738">
        <f>Elect!AT29</f>
        <v>169</v>
      </c>
      <c r="W25" s="738">
        <f>Elect!AV29</f>
        <v>63</v>
      </c>
      <c r="X25" s="738">
        <f>Elect!AX29</f>
        <v>885</v>
      </c>
      <c r="Y25" s="738">
        <f>Elect!AZ29</f>
        <v>0</v>
      </c>
      <c r="Z25" s="738">
        <f>Elect!BB29</f>
        <v>4683</v>
      </c>
      <c r="AA25" s="738">
        <f>Elect!BD29</f>
        <v>198</v>
      </c>
      <c r="AB25" s="738">
        <f>Elect!BF29</f>
        <v>72</v>
      </c>
      <c r="AC25" s="738">
        <f>Elect!BH29</f>
        <v>6098.6500000000005</v>
      </c>
      <c r="AD25" s="738">
        <f>Elect!BL29</f>
        <v>230</v>
      </c>
      <c r="AE25" s="738">
        <f>Elect!BN29</f>
        <v>1446</v>
      </c>
      <c r="AF25" s="738">
        <f>Elect!BP29</f>
        <v>97</v>
      </c>
      <c r="AG25" s="738">
        <f>Elect!BR29</f>
        <v>132</v>
      </c>
      <c r="AH25" s="810"/>
      <c r="AI25" s="738">
        <f>Water!C30</f>
        <v>133.39999999999998</v>
      </c>
      <c r="AJ25" s="738">
        <f>Water!E30</f>
        <v>174</v>
      </c>
      <c r="AK25" s="738">
        <f>Water!G30</f>
        <v>112.52</v>
      </c>
      <c r="AL25" s="810"/>
      <c r="AM25" s="738">
        <f>Gas!C30</f>
        <v>0</v>
      </c>
      <c r="AN25" s="738">
        <f>Gas!E30</f>
        <v>264.59999999999997</v>
      </c>
      <c r="AO25" s="738">
        <f>Gas!G30</f>
        <v>80</v>
      </c>
      <c r="AP25" s="745">
        <f>Elect!BT29</f>
        <v>225</v>
      </c>
    </row>
    <row r="26" spans="1:42" ht="12.75" customHeight="1">
      <c r="A26" s="752" t="s">
        <v>11</v>
      </c>
      <c r="B26" s="729">
        <f>B25+1</f>
        <v>25</v>
      </c>
      <c r="C26" s="771">
        <v>7</v>
      </c>
      <c r="D26" s="751">
        <v>2022</v>
      </c>
      <c r="E26" s="810"/>
      <c r="F26" s="738">
        <f>Elect!J30</f>
        <v>5168</v>
      </c>
      <c r="G26" s="738">
        <f>Elect!K30</f>
        <v>5423</v>
      </c>
      <c r="H26" s="738">
        <f>Elect!Q30</f>
        <v>510</v>
      </c>
      <c r="I26" s="738">
        <f>Elect!S30</f>
        <v>82</v>
      </c>
      <c r="J26" s="738">
        <f>Elect!U30</f>
        <v>288</v>
      </c>
      <c r="K26" s="738">
        <f>Elect!W30</f>
        <v>3405.25</v>
      </c>
      <c r="L26" s="738">
        <f>Elect!Y30</f>
        <v>0</v>
      </c>
      <c r="M26" s="738">
        <f>Elect!AA30</f>
        <v>0</v>
      </c>
      <c r="N26" s="738">
        <f>Elect!AC30</f>
        <v>4017.4</v>
      </c>
      <c r="O26" s="738">
        <f>Elect!AE30</f>
        <v>1679.0400000000002</v>
      </c>
      <c r="P26" s="738">
        <f>Elect!AG30</f>
        <v>10.600000000000001</v>
      </c>
      <c r="Q26" s="738">
        <f>Elect!AI30</f>
        <v>1188.79</v>
      </c>
      <c r="R26" s="738">
        <f>Elect!AK30</f>
        <v>3959.1000000000004</v>
      </c>
      <c r="S26" s="738">
        <f>Elect!AM30</f>
        <v>119.78</v>
      </c>
      <c r="T26" s="738">
        <f>Elect!AP30</f>
        <v>282.03750000000002</v>
      </c>
      <c r="U26" s="738">
        <f>Elect!AR30</f>
        <v>159</v>
      </c>
      <c r="V26" s="738">
        <f>Elect!AT30</f>
        <v>189</v>
      </c>
      <c r="W26" s="738">
        <f>Elect!AV30</f>
        <v>85</v>
      </c>
      <c r="X26" s="738">
        <f>Elect!AX30</f>
        <v>980</v>
      </c>
      <c r="Y26" s="738">
        <f>Elect!AZ30</f>
        <v>0</v>
      </c>
      <c r="Z26" s="738">
        <f>Elect!BB30</f>
        <v>4940</v>
      </c>
      <c r="AA26" s="738">
        <f>Elect!BD30</f>
        <v>196</v>
      </c>
      <c r="AB26" s="738">
        <f>Elect!BF30</f>
        <v>73</v>
      </c>
      <c r="AC26" s="738">
        <f>Elect!BH30</f>
        <v>6321.9</v>
      </c>
      <c r="AD26" s="738">
        <f>Elect!BL30</f>
        <v>240</v>
      </c>
      <c r="AE26" s="738">
        <f>Elect!BN30</f>
        <v>1519</v>
      </c>
      <c r="AF26" s="738">
        <f>Elect!BP30</f>
        <v>99</v>
      </c>
      <c r="AG26" s="738">
        <f>Elect!BR30</f>
        <v>162</v>
      </c>
      <c r="AH26" s="810"/>
      <c r="AI26" s="738">
        <f>Water!C31</f>
        <v>139.19999999999999</v>
      </c>
      <c r="AJ26" s="738">
        <f>Water!E31</f>
        <v>179.79999999999998</v>
      </c>
      <c r="AK26" s="738">
        <f>Water!G31</f>
        <v>118.32</v>
      </c>
      <c r="AL26" s="810"/>
      <c r="AM26" s="738">
        <f>Gas!C31</f>
        <v>0</v>
      </c>
      <c r="AN26" s="738">
        <f>Gas!E31</f>
        <v>294.7</v>
      </c>
      <c r="AO26" s="738">
        <f>Gas!G31</f>
        <v>86</v>
      </c>
      <c r="AP26" s="745">
        <f>Elect!BT30</f>
        <v>203</v>
      </c>
    </row>
    <row r="27" spans="1:42" ht="12.75" customHeight="1">
      <c r="A27" s="752" t="s">
        <v>11</v>
      </c>
      <c r="B27" s="729">
        <f t="shared" si="0"/>
        <v>26</v>
      </c>
      <c r="C27" s="771">
        <v>7</v>
      </c>
      <c r="D27" s="751">
        <v>2022</v>
      </c>
      <c r="E27" s="810"/>
      <c r="F27" s="738">
        <f>Elect!J31</f>
        <v>5723</v>
      </c>
      <c r="G27" s="738">
        <f>Elect!K31</f>
        <v>5538</v>
      </c>
      <c r="H27" s="738">
        <f>Elect!Q31</f>
        <v>510</v>
      </c>
      <c r="I27" s="738">
        <f>Elect!S31</f>
        <v>144</v>
      </c>
      <c r="J27" s="738">
        <f>Elect!U31</f>
        <v>309</v>
      </c>
      <c r="K27" s="738">
        <f>Elect!W31</f>
        <v>3105.27</v>
      </c>
      <c r="L27" s="738">
        <f>Elect!Y31</f>
        <v>0</v>
      </c>
      <c r="M27" s="738">
        <f>Elect!AA31</f>
        <v>0</v>
      </c>
      <c r="N27" s="738">
        <f>Elect!AC31</f>
        <v>3747.1000000000004</v>
      </c>
      <c r="O27" s="738">
        <f>Elect!AE31</f>
        <v>1658.9</v>
      </c>
      <c r="P27" s="738">
        <f>Elect!AG31</f>
        <v>10.600000000000001</v>
      </c>
      <c r="Q27" s="738">
        <f>Elect!AI31</f>
        <v>1150.6300000000001</v>
      </c>
      <c r="R27" s="738">
        <f>Elect!AK31</f>
        <v>3866.3500000000004</v>
      </c>
      <c r="S27" s="738">
        <f>Elect!AM31</f>
        <v>110.77000000000001</v>
      </c>
      <c r="T27" s="738">
        <f>Elect!AP31</f>
        <v>309.375</v>
      </c>
      <c r="U27" s="738">
        <f>Elect!AR31</f>
        <v>191</v>
      </c>
      <c r="V27" s="738">
        <f>Elect!AT31</f>
        <v>173</v>
      </c>
      <c r="W27" s="738">
        <f>Elect!AV31</f>
        <v>81</v>
      </c>
      <c r="X27" s="738">
        <f>Elect!AX31</f>
        <v>967</v>
      </c>
      <c r="Y27" s="738">
        <f>Elect!AZ31</f>
        <v>0</v>
      </c>
      <c r="Z27" s="738">
        <f>Elect!BB31</f>
        <v>5015</v>
      </c>
      <c r="AA27" s="738">
        <f>Elect!BD31</f>
        <v>225</v>
      </c>
      <c r="AB27" s="738">
        <f>Elect!BF31</f>
        <v>73</v>
      </c>
      <c r="AC27" s="738">
        <f>Elect!BH31</f>
        <v>6556.05</v>
      </c>
      <c r="AD27" s="738">
        <f>Elect!BL31</f>
        <v>256</v>
      </c>
      <c r="AE27" s="738">
        <f>Elect!BN31</f>
        <v>1585</v>
      </c>
      <c r="AF27" s="738">
        <f>Elect!BP31</f>
        <v>106</v>
      </c>
      <c r="AG27" s="738">
        <f>Elect!BR31</f>
        <v>175</v>
      </c>
      <c r="AH27" s="810"/>
      <c r="AI27" s="738">
        <f>Water!C32</f>
        <v>133.39999999999998</v>
      </c>
      <c r="AJ27" s="738">
        <f>Water!E32</f>
        <v>174</v>
      </c>
      <c r="AK27" s="738">
        <f>Water!G32</f>
        <v>114.25999999999999</v>
      </c>
      <c r="AL27" s="810"/>
      <c r="AM27" s="738">
        <f>Gas!C32</f>
        <v>0</v>
      </c>
      <c r="AN27" s="738">
        <f>Gas!E32</f>
        <v>306.59999999999997</v>
      </c>
      <c r="AO27" s="738">
        <f>Gas!G32</f>
        <v>87</v>
      </c>
      <c r="AP27" s="745">
        <f>Elect!BT31</f>
        <v>232</v>
      </c>
    </row>
    <row r="28" spans="1:42" ht="12.75" customHeight="1">
      <c r="A28" s="752" t="s">
        <v>11</v>
      </c>
      <c r="B28" s="729">
        <f t="shared" si="0"/>
        <v>27</v>
      </c>
      <c r="C28" s="771">
        <v>7</v>
      </c>
      <c r="D28" s="751">
        <v>2022</v>
      </c>
      <c r="E28" s="810"/>
      <c r="F28" s="738">
        <f>Elect!J32</f>
        <v>5017</v>
      </c>
      <c r="G28" s="738">
        <f>Elect!K32</f>
        <v>5052</v>
      </c>
      <c r="H28" s="738">
        <f>Elect!Q32</f>
        <v>450</v>
      </c>
      <c r="I28" s="738">
        <f>Elect!S32</f>
        <v>136</v>
      </c>
      <c r="J28" s="738">
        <f>Elect!U32</f>
        <v>285</v>
      </c>
      <c r="K28" s="738">
        <f>Elect!W32</f>
        <v>3070.29</v>
      </c>
      <c r="L28" s="738">
        <f>Elect!Y32</f>
        <v>0</v>
      </c>
      <c r="M28" s="738">
        <f>Elect!AA32</f>
        <v>0</v>
      </c>
      <c r="N28" s="738">
        <f>Elect!AC32</f>
        <v>3607.1800000000003</v>
      </c>
      <c r="O28" s="738">
        <f>Elect!AE32</f>
        <v>1611.73</v>
      </c>
      <c r="P28" s="738">
        <f>Elect!AG32</f>
        <v>10.07</v>
      </c>
      <c r="Q28" s="738">
        <f>Elect!AI32</f>
        <v>1070.6000000000001</v>
      </c>
      <c r="R28" s="738">
        <f>Elect!AK32</f>
        <v>3557.8900000000003</v>
      </c>
      <c r="S28" s="738">
        <f>Elect!AM32</f>
        <v>99.64</v>
      </c>
      <c r="T28" s="738">
        <f>Elect!AP32</f>
        <v>273.71250000000003</v>
      </c>
      <c r="U28" s="738">
        <f>Elect!AR32</f>
        <v>148</v>
      </c>
      <c r="V28" s="738">
        <f>Elect!AT32</f>
        <v>183</v>
      </c>
      <c r="W28" s="738">
        <f>Elect!AV32</f>
        <v>71</v>
      </c>
      <c r="X28" s="738">
        <f>Elect!AX32</f>
        <v>945</v>
      </c>
      <c r="Y28" s="738">
        <f>Elect!AZ32</f>
        <v>0</v>
      </c>
      <c r="Z28" s="738">
        <f>Elect!BB32</f>
        <v>5176</v>
      </c>
      <c r="AA28" s="738">
        <f>Elect!BD32</f>
        <v>218</v>
      </c>
      <c r="AB28" s="738">
        <f>Elect!BF32</f>
        <v>73</v>
      </c>
      <c r="AC28" s="738">
        <f>Elect!BH32</f>
        <v>6335.05</v>
      </c>
      <c r="AD28" s="738">
        <f>Elect!BL32</f>
        <v>238</v>
      </c>
      <c r="AE28" s="738">
        <f>Elect!BN32</f>
        <v>1407</v>
      </c>
      <c r="AF28" s="738">
        <f>Elect!BP32</f>
        <v>104</v>
      </c>
      <c r="AG28" s="738">
        <f>Elect!BR32</f>
        <v>134</v>
      </c>
      <c r="AH28" s="810"/>
      <c r="AI28" s="738">
        <f>Water!C33</f>
        <v>137.26666666686359</v>
      </c>
      <c r="AJ28" s="738">
        <f>Water!E33</f>
        <v>174</v>
      </c>
      <c r="AK28" s="738">
        <f>Water!G33</f>
        <v>110.19999999999999</v>
      </c>
      <c r="AL28" s="810"/>
      <c r="AM28" s="738">
        <f>Gas!C33</f>
        <v>0</v>
      </c>
      <c r="AN28" s="738">
        <f>Gas!E33</f>
        <v>296.79999999999995</v>
      </c>
      <c r="AO28" s="738">
        <f>Gas!G33</f>
        <v>91.533333332976326</v>
      </c>
      <c r="AP28" s="745">
        <f>Elect!BT32</f>
        <v>250</v>
      </c>
    </row>
    <row r="29" spans="1:42" ht="12.75" customHeight="1">
      <c r="A29" s="752" t="s">
        <v>11</v>
      </c>
      <c r="B29" s="729">
        <f t="shared" si="0"/>
        <v>28</v>
      </c>
      <c r="C29" s="771">
        <v>7</v>
      </c>
      <c r="D29" s="751">
        <v>2022</v>
      </c>
      <c r="E29" s="810"/>
      <c r="F29" s="738">
        <f>Elect!J33</f>
        <v>5674</v>
      </c>
      <c r="G29" s="738">
        <f>Elect!K33</f>
        <v>5154</v>
      </c>
      <c r="H29" s="738">
        <f>Elect!Q33</f>
        <v>510</v>
      </c>
      <c r="I29" s="738">
        <f>Elect!S33</f>
        <v>138</v>
      </c>
      <c r="J29" s="738">
        <f>Elect!U33</f>
        <v>288</v>
      </c>
      <c r="K29" s="738">
        <f>Elect!W33</f>
        <v>3428.04</v>
      </c>
      <c r="L29" s="738">
        <f>Elect!Y33</f>
        <v>0</v>
      </c>
      <c r="M29" s="738">
        <f>Elect!AA33</f>
        <v>0</v>
      </c>
      <c r="N29" s="738">
        <f>Elect!AC33</f>
        <v>3916.17</v>
      </c>
      <c r="O29" s="738">
        <f>Elect!AE33</f>
        <v>1595.8300000000002</v>
      </c>
      <c r="P29" s="738">
        <f>Elect!AG33</f>
        <v>10.600000000000001</v>
      </c>
      <c r="Q29" s="738">
        <f>Elect!AI33</f>
        <v>1141.6200000000001</v>
      </c>
      <c r="R29" s="738">
        <f>Elect!AK33</f>
        <v>3793.7400000000002</v>
      </c>
      <c r="S29" s="738">
        <f>Elect!AM33</f>
        <v>106</v>
      </c>
      <c r="T29" s="738">
        <f>Elect!AP33</f>
        <v>273.48750000000001</v>
      </c>
      <c r="U29" s="738">
        <f>Elect!AR33</f>
        <v>165</v>
      </c>
      <c r="V29" s="738">
        <f>Elect!AT33</f>
        <v>151</v>
      </c>
      <c r="W29" s="738">
        <f>Elect!AV33</f>
        <v>60</v>
      </c>
      <c r="X29" s="738">
        <f>Elect!AX33</f>
        <v>1038</v>
      </c>
      <c r="Y29" s="738">
        <f>Elect!AZ33</f>
        <v>0</v>
      </c>
      <c r="Z29" s="738">
        <f>Elect!BB33</f>
        <v>5333</v>
      </c>
      <c r="AA29" s="738">
        <f>Elect!BD33</f>
        <v>219</v>
      </c>
      <c r="AB29" s="738">
        <f>Elect!BF33</f>
        <v>73</v>
      </c>
      <c r="AC29" s="738">
        <f>Elect!BH33</f>
        <v>6429.25</v>
      </c>
      <c r="AD29" s="738">
        <f>Elect!BL33</f>
        <v>239</v>
      </c>
      <c r="AE29" s="738">
        <f>Elect!BN33</f>
        <v>1435</v>
      </c>
      <c r="AF29" s="738">
        <f>Elect!BP33</f>
        <v>100</v>
      </c>
      <c r="AG29" s="738">
        <f>Elect!BR33</f>
        <v>139</v>
      </c>
      <c r="AH29" s="810"/>
      <c r="AI29" s="738">
        <f>Water!C34</f>
        <v>136.29999999999998</v>
      </c>
      <c r="AJ29" s="738">
        <f>Water!E34</f>
        <v>174</v>
      </c>
      <c r="AK29" s="738">
        <f>Water!G34</f>
        <v>112.90666666668635</v>
      </c>
      <c r="AL29" s="810"/>
      <c r="AM29" s="738">
        <f>Gas!C34</f>
        <v>0</v>
      </c>
      <c r="AN29" s="738">
        <f>Gas!E34</f>
        <v>300.64999999999998</v>
      </c>
      <c r="AO29" s="738">
        <f>Gas!G34</f>
        <v>88.511111111030914</v>
      </c>
      <c r="AP29" s="745">
        <f>Elect!BT33</f>
        <v>257</v>
      </c>
    </row>
    <row r="30" spans="1:42" ht="12.75" customHeight="1">
      <c r="A30" s="752" t="s">
        <v>11</v>
      </c>
      <c r="B30" s="729">
        <f t="shared" si="0"/>
        <v>29</v>
      </c>
      <c r="C30" s="771">
        <v>7</v>
      </c>
      <c r="D30" s="751">
        <v>2022</v>
      </c>
      <c r="E30" s="810"/>
      <c r="F30" s="738">
        <f>Elect!J34</f>
        <v>5946</v>
      </c>
      <c r="G30" s="738">
        <f>Elect!K34</f>
        <v>5231</v>
      </c>
      <c r="H30" s="738">
        <f>Elect!Q34</f>
        <v>480</v>
      </c>
      <c r="I30" s="738">
        <f>Elect!S34</f>
        <v>139</v>
      </c>
      <c r="J30" s="738">
        <f>Elect!U34</f>
        <v>295</v>
      </c>
      <c r="K30" s="738">
        <f>Elect!W34</f>
        <v>3239.36</v>
      </c>
      <c r="L30" s="738">
        <f>Elect!Y34</f>
        <v>0</v>
      </c>
      <c r="M30" s="738">
        <f>Elect!AA34</f>
        <v>0</v>
      </c>
      <c r="N30" s="738">
        <f>Elect!AC34</f>
        <v>3575.38</v>
      </c>
      <c r="O30" s="738">
        <f>Elect!AE34</f>
        <v>1516.3300000000002</v>
      </c>
      <c r="P30" s="738">
        <f>Elect!AG34</f>
        <v>10.07</v>
      </c>
      <c r="Q30" s="738">
        <f>Elect!AI34</f>
        <v>1081.2</v>
      </c>
      <c r="R30" s="738">
        <f>Elect!AK34</f>
        <v>3606.1200000000003</v>
      </c>
      <c r="S30" s="738">
        <f>Elect!AM34</f>
        <v>99.64</v>
      </c>
      <c r="T30" s="738">
        <f>Elect!AP34</f>
        <v>281.13749999999999</v>
      </c>
      <c r="U30" s="738">
        <f>Elect!AR34</f>
        <v>177</v>
      </c>
      <c r="V30" s="738">
        <f>Elect!AT34</f>
        <v>165</v>
      </c>
      <c r="W30" s="738">
        <f>Elect!AV34</f>
        <v>51</v>
      </c>
      <c r="X30" s="738">
        <f>Elect!AX34</f>
        <v>989</v>
      </c>
      <c r="Y30" s="738">
        <f>Elect!AZ34</f>
        <v>0</v>
      </c>
      <c r="Z30" s="738">
        <f>Elect!BB34</f>
        <v>5218</v>
      </c>
      <c r="AA30" s="738">
        <f>Elect!BD34</f>
        <v>257</v>
      </c>
      <c r="AB30" s="738">
        <f>Elect!BF34</f>
        <v>64</v>
      </c>
      <c r="AC30" s="738">
        <f>Elect!BH34</f>
        <v>6479.25</v>
      </c>
      <c r="AD30" s="738">
        <f>Elect!BL34</f>
        <v>242</v>
      </c>
      <c r="AE30" s="738">
        <f>Elect!BN34</f>
        <v>1495</v>
      </c>
      <c r="AF30" s="738">
        <f>Elect!BP34</f>
        <v>100</v>
      </c>
      <c r="AG30" s="738">
        <f>Elect!BR34</f>
        <v>148</v>
      </c>
      <c r="AH30" s="810"/>
      <c r="AI30" s="738">
        <f>Water!C35</f>
        <v>120.83333333313639</v>
      </c>
      <c r="AJ30" s="738">
        <f>Water!E35</f>
        <v>168.2</v>
      </c>
      <c r="AK30" s="738">
        <f>Water!G35</f>
        <v>120.83333333331363</v>
      </c>
      <c r="AL30" s="810"/>
      <c r="AM30" s="738">
        <f>Gas!C35</f>
        <v>0</v>
      </c>
      <c r="AN30" s="738">
        <f>Gas!E35</f>
        <v>274.04999999999995</v>
      </c>
      <c r="AO30" s="738">
        <f>Gas!G35</f>
        <v>60.95555555599276</v>
      </c>
      <c r="AP30" s="745">
        <f>Elect!BT34</f>
        <v>226</v>
      </c>
    </row>
    <row r="31" spans="1:42" ht="12.75" customHeight="1">
      <c r="A31" s="752" t="s">
        <v>11</v>
      </c>
      <c r="B31" s="729">
        <f t="shared" si="0"/>
        <v>30</v>
      </c>
      <c r="C31" s="771">
        <v>7</v>
      </c>
      <c r="D31" s="751">
        <v>2022</v>
      </c>
      <c r="E31" s="810"/>
      <c r="F31" s="738">
        <f>Elect!J35</f>
        <v>5729</v>
      </c>
      <c r="G31" s="738">
        <f>Elect!K35</f>
        <v>5370</v>
      </c>
      <c r="H31" s="738">
        <f>Elect!Q35</f>
        <v>480</v>
      </c>
      <c r="I31" s="738">
        <f>Elect!S35</f>
        <v>140</v>
      </c>
      <c r="J31" s="738">
        <f>Elect!U35</f>
        <v>294</v>
      </c>
      <c r="K31" s="738">
        <f>Elect!W35</f>
        <v>3473.09</v>
      </c>
      <c r="L31" s="738">
        <f>Elect!Y35</f>
        <v>959.83</v>
      </c>
      <c r="M31" s="738">
        <f>Elect!AA35</f>
        <v>0</v>
      </c>
      <c r="N31" s="738">
        <f>Elect!AC35</f>
        <v>2783.03</v>
      </c>
      <c r="O31" s="738">
        <f>Elect!AE35</f>
        <v>1515.27</v>
      </c>
      <c r="P31" s="738">
        <f>Elect!AG35</f>
        <v>10.07</v>
      </c>
      <c r="Q31" s="738">
        <f>Elect!AI35</f>
        <v>1125.19</v>
      </c>
      <c r="R31" s="738">
        <f>Elect!AK35</f>
        <v>3744.98</v>
      </c>
      <c r="S31" s="738">
        <f>Elect!AM35</f>
        <v>107.06</v>
      </c>
      <c r="T31" s="738">
        <f>Elect!AP35</f>
        <v>276.97500000000002</v>
      </c>
      <c r="U31" s="738">
        <f>Elect!AR35</f>
        <v>168</v>
      </c>
      <c r="V31" s="738">
        <f>Elect!AT35</f>
        <v>152</v>
      </c>
      <c r="W31" s="738">
        <f>Elect!AV35</f>
        <v>50</v>
      </c>
      <c r="X31" s="738">
        <f>Elect!AX35</f>
        <v>1021</v>
      </c>
      <c r="Y31" s="738">
        <f>Elect!AZ35</f>
        <v>0</v>
      </c>
      <c r="Z31" s="738">
        <f>Elect!BB35</f>
        <v>4985</v>
      </c>
      <c r="AA31" s="738">
        <f>Elect!BD35</f>
        <v>251</v>
      </c>
      <c r="AB31" s="738">
        <f>Elect!BF35</f>
        <v>55</v>
      </c>
      <c r="AC31" s="738">
        <f>Elect!BH35</f>
        <v>6529</v>
      </c>
      <c r="AD31" s="738">
        <f>Elect!BL35</f>
        <v>302</v>
      </c>
      <c r="AE31" s="738">
        <f>Elect!BN35</f>
        <v>1471</v>
      </c>
      <c r="AF31" s="738">
        <f>Elect!BP35</f>
        <v>109</v>
      </c>
      <c r="AG31" s="738">
        <f>Elect!BR35</f>
        <v>135</v>
      </c>
      <c r="AH31" s="810"/>
      <c r="AI31" s="738">
        <f>Water!C36</f>
        <v>139.19999999999999</v>
      </c>
      <c r="AJ31" s="738">
        <f>Water!E36</f>
        <v>168.2</v>
      </c>
      <c r="AK31" s="738">
        <f>Water!G36</f>
        <v>111.35999999999999</v>
      </c>
      <c r="AL31" s="810"/>
      <c r="AM31" s="738">
        <f>Gas!C36</f>
        <v>0</v>
      </c>
      <c r="AN31" s="738">
        <f>Gas!E36</f>
        <v>313.59999999999997</v>
      </c>
      <c r="AO31" s="738">
        <f>Gas!G36</f>
        <v>86</v>
      </c>
      <c r="AP31" s="745">
        <f>Elect!BT35</f>
        <v>229</v>
      </c>
    </row>
    <row r="32" spans="1:42" ht="12.75" customHeight="1">
      <c r="A32" s="753" t="s">
        <v>11</v>
      </c>
      <c r="B32" s="754">
        <f>B31+1</f>
        <v>31</v>
      </c>
      <c r="C32" s="771">
        <v>7</v>
      </c>
      <c r="D32" s="751">
        <v>2022</v>
      </c>
      <c r="E32" s="811"/>
      <c r="F32" s="738">
        <f>Elect!J36</f>
        <v>5401.666666701436</v>
      </c>
      <c r="G32" s="738">
        <f>Elect!K36</f>
        <v>5172.6666666665988</v>
      </c>
      <c r="H32" s="738">
        <f>Elect!Q36</f>
        <v>488.00000001036096</v>
      </c>
      <c r="I32" s="738">
        <f>Elect!S36</f>
        <v>138.5</v>
      </c>
      <c r="J32" s="738">
        <f>Elect!U36</f>
        <v>291.5</v>
      </c>
      <c r="K32" s="738">
        <f>Elect!W36</f>
        <v>3219.3260000000064</v>
      </c>
      <c r="L32" s="738">
        <f>Elect!Y36</f>
        <v>0</v>
      </c>
      <c r="M32" s="738">
        <f>Elect!AA36</f>
        <v>0</v>
      </c>
      <c r="N32" s="738">
        <f>Elect!AC36</f>
        <v>3745.7750000000001</v>
      </c>
      <c r="O32" s="738">
        <f>Elect!AE36</f>
        <v>1556.0800000000002</v>
      </c>
      <c r="P32" s="738">
        <f>Elect!AG36</f>
        <v>10.335000000000001</v>
      </c>
      <c r="Q32" s="738">
        <f>Elect!AI36</f>
        <v>1108.9013333335165</v>
      </c>
      <c r="R32" s="738">
        <f>Elect!AK36</f>
        <v>3699.9300000000003</v>
      </c>
      <c r="S32" s="738">
        <f>Elect!AM36</f>
        <v>103.42066666646512</v>
      </c>
      <c r="T32" s="738">
        <f>Elect!AP36</f>
        <v>275.17500000000001</v>
      </c>
      <c r="U32" s="738">
        <f>Elect!AR36</f>
        <v>171</v>
      </c>
      <c r="V32" s="738">
        <f>Elect!AT36</f>
        <v>167.80000000004657</v>
      </c>
      <c r="W32" s="738">
        <f>Elect!AV36</f>
        <v>63.699999999953434</v>
      </c>
      <c r="X32" s="738">
        <f>Elect!AX36</f>
        <v>989.5</v>
      </c>
      <c r="Y32" s="738">
        <f>Elect!AZ36</f>
        <v>0</v>
      </c>
      <c r="Z32" s="738">
        <f>Elect!BB36</f>
        <v>5305.3000000007451</v>
      </c>
      <c r="AA32" s="738">
        <f>Elect!BD36</f>
        <v>223.59999999997672</v>
      </c>
      <c r="AB32" s="738">
        <f>Elect!BF36</f>
        <v>84.388888888897782</v>
      </c>
      <c r="AC32" s="738">
        <f>Elect!BH36</f>
        <v>6471.0199999999641</v>
      </c>
      <c r="AD32" s="738">
        <f>Elect!BL36</f>
        <v>226.89999999990687</v>
      </c>
      <c r="AE32" s="738">
        <f>Elect!BN36</f>
        <v>1434.6000000000931</v>
      </c>
      <c r="AF32" s="738">
        <f>Elect!BP36</f>
        <v>99.799999999988358</v>
      </c>
      <c r="AG32" s="738">
        <f>Elect!BR36</f>
        <v>140.5</v>
      </c>
      <c r="AH32" s="811"/>
      <c r="AI32" s="738">
        <f>Water!C37</f>
        <v>133.39999999999998</v>
      </c>
      <c r="AJ32" s="738">
        <f>Water!E37</f>
        <v>174</v>
      </c>
      <c r="AK32" s="738">
        <f>Water!G37</f>
        <v>115.41999999999999</v>
      </c>
      <c r="AL32" s="811"/>
      <c r="AM32" s="738">
        <f>Gas!C37</f>
        <v>0</v>
      </c>
      <c r="AN32" s="738">
        <f>Gas!E37</f>
        <v>288.53999999996739</v>
      </c>
      <c r="AO32" s="738">
        <f>Gas!G37</f>
        <v>81.955555554945022</v>
      </c>
      <c r="AP32" s="745">
        <f>Elect!BT36</f>
        <v>198</v>
      </c>
    </row>
    <row r="33" spans="39:41">
      <c r="AM33" s="735"/>
      <c r="AN33" s="735"/>
      <c r="AO33" s="735"/>
    </row>
  </sheetData>
  <sheetProtection algorithmName="SHA-512" hashValue="Qh0bN9jF/E6SwBKz+4GmEPYDekKgPXq8WIPVywdVSfY3F6hKedHwazzAoD9PKU11gNrLWfdBVlf/vWFF0ujtkg==" saltValue="HjL5dN/jvtGYrafCtbTRF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I19" activePane="bottomRight" state="frozen"/>
      <selection pane="topRight" activeCell="I1" sqref="I1"/>
      <selection pane="bottomLeft" activeCell="A5" sqref="A5"/>
      <selection pane="bottomRight" activeCell="T36" sqref="T36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4">
        <v>44743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6" t="s">
        <v>14</v>
      </c>
      <c r="N1" s="836"/>
      <c r="O1" s="836"/>
      <c r="Q1" s="836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12" t="s">
        <v>51</v>
      </c>
      <c r="BQ1" s="813"/>
      <c r="BR1" s="565">
        <v>1.6</v>
      </c>
      <c r="BS1" s="562" t="s">
        <v>52</v>
      </c>
      <c r="BT1" s="563"/>
      <c r="BU1" s="814" t="s">
        <v>53</v>
      </c>
      <c r="BV1" s="815"/>
      <c r="BW1" s="565">
        <v>500</v>
      </c>
      <c r="BX1" s="812" t="s">
        <v>54</v>
      </c>
      <c r="BY1" s="813"/>
      <c r="BZ1" s="565">
        <v>1.1499999999999999</v>
      </c>
    </row>
    <row r="2" spans="1:78" ht="28.5" hidden="1" customHeight="1" thickBot="1">
      <c r="A2" s="835"/>
      <c r="B2" s="114"/>
      <c r="C2" s="28"/>
      <c r="D2" s="28"/>
      <c r="E2" s="189"/>
      <c r="F2" s="189"/>
      <c r="I2" s="190"/>
      <c r="M2" s="837"/>
      <c r="N2" s="837"/>
      <c r="O2" s="837"/>
      <c r="Q2" s="837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12"/>
      <c r="BQ2" s="813"/>
      <c r="BR2" s="565"/>
      <c r="BS2" s="567" t="s">
        <v>55</v>
      </c>
      <c r="BT2" s="568"/>
      <c r="BU2" s="814" t="s">
        <v>56</v>
      </c>
      <c r="BV2" s="815"/>
      <c r="BW2" s="569"/>
      <c r="BX2" s="812" t="s">
        <v>57</v>
      </c>
      <c r="BY2" s="813"/>
      <c r="BZ2" s="565">
        <v>30</v>
      </c>
    </row>
    <row r="3" spans="1:78" s="205" customFormat="1" ht="37.5" customHeight="1">
      <c r="A3" s="819" t="s">
        <v>58</v>
      </c>
      <c r="B3" s="821" t="s">
        <v>59</v>
      </c>
      <c r="C3" s="822"/>
      <c r="D3" s="816" t="s">
        <v>60</v>
      </c>
      <c r="E3" s="816"/>
      <c r="F3" s="816" t="s">
        <v>61</v>
      </c>
      <c r="G3" s="816"/>
      <c r="H3" s="838" t="s">
        <v>62</v>
      </c>
      <c r="I3" s="570" t="s">
        <v>63</v>
      </c>
      <c r="J3" s="536"/>
      <c r="K3" s="789"/>
      <c r="L3" s="816"/>
      <c r="M3" s="816"/>
      <c r="N3" s="816"/>
      <c r="O3" s="816"/>
      <c r="P3" s="816"/>
      <c r="Q3" s="816"/>
      <c r="R3" s="825" t="s">
        <v>64</v>
      </c>
      <c r="S3" s="825"/>
      <c r="T3" s="825"/>
      <c r="U3" s="826"/>
      <c r="V3" s="827" t="s">
        <v>65</v>
      </c>
      <c r="W3" s="828"/>
      <c r="X3" s="828"/>
      <c r="Y3" s="828"/>
      <c r="Z3" s="828"/>
      <c r="AA3" s="828"/>
      <c r="AB3" s="828"/>
      <c r="AC3" s="828"/>
      <c r="AD3" s="828"/>
      <c r="AE3" s="828"/>
      <c r="AF3" s="828"/>
      <c r="AG3" s="828"/>
      <c r="AH3" s="828"/>
      <c r="AI3" s="828"/>
      <c r="AJ3" s="828"/>
      <c r="AK3" s="828"/>
      <c r="AL3" s="828"/>
      <c r="AM3" s="828"/>
      <c r="AN3" s="829"/>
      <c r="AO3" s="833" t="s">
        <v>66</v>
      </c>
      <c r="AP3" s="825"/>
      <c r="AQ3" s="825"/>
      <c r="AR3" s="825"/>
      <c r="AS3" s="825"/>
      <c r="AT3" s="825"/>
      <c r="AU3" s="825"/>
      <c r="AV3" s="825"/>
      <c r="AW3" s="825"/>
      <c r="AX3" s="825"/>
      <c r="AY3" s="825"/>
      <c r="AZ3" s="825"/>
      <c r="BA3" s="825"/>
      <c r="BB3" s="825"/>
      <c r="BC3" s="825"/>
      <c r="BD3" s="825"/>
      <c r="BE3" s="825"/>
      <c r="BF3" s="825"/>
      <c r="BG3" s="825"/>
      <c r="BH3" s="825"/>
      <c r="BI3" s="825"/>
      <c r="BJ3" s="826"/>
      <c r="BK3" s="830" t="s">
        <v>67</v>
      </c>
      <c r="BL3" s="831"/>
      <c r="BM3" s="831"/>
      <c r="BN3" s="831"/>
      <c r="BO3" s="831"/>
      <c r="BP3" s="831"/>
      <c r="BQ3" s="831"/>
      <c r="BR3" s="832"/>
      <c r="BS3" s="823" t="s">
        <v>68</v>
      </c>
      <c r="BT3" s="790" t="s">
        <v>69</v>
      </c>
      <c r="BU3" s="790" t="s">
        <v>70</v>
      </c>
      <c r="BV3" s="790" t="s">
        <v>69</v>
      </c>
      <c r="BW3" s="790" t="s">
        <v>70</v>
      </c>
      <c r="BX3" s="816" t="s">
        <v>71</v>
      </c>
      <c r="BY3" s="571" t="s">
        <v>72</v>
      </c>
      <c r="BZ3" s="572" t="s">
        <v>72</v>
      </c>
    </row>
    <row r="4" spans="1:78" s="205" customFormat="1" ht="55.5" customHeight="1" thickBot="1">
      <c r="A4" s="820"/>
      <c r="B4" s="573" t="s">
        <v>73</v>
      </c>
      <c r="C4" s="574" t="s">
        <v>74</v>
      </c>
      <c r="D4" s="537" t="s">
        <v>73</v>
      </c>
      <c r="E4" s="574" t="s">
        <v>75</v>
      </c>
      <c r="F4" s="537" t="s">
        <v>76</v>
      </c>
      <c r="G4" s="574" t="s">
        <v>77</v>
      </c>
      <c r="H4" s="839"/>
      <c r="I4" s="575" t="s">
        <v>78</v>
      </c>
      <c r="J4" s="537" t="s">
        <v>79</v>
      </c>
      <c r="K4" s="537" t="s">
        <v>80</v>
      </c>
      <c r="L4" s="788" t="s">
        <v>81</v>
      </c>
      <c r="M4" s="537" t="s">
        <v>79</v>
      </c>
      <c r="N4" s="537" t="s">
        <v>82</v>
      </c>
      <c r="O4" s="537" t="s">
        <v>79</v>
      </c>
      <c r="P4" s="576" t="s">
        <v>83</v>
      </c>
      <c r="Q4" s="788" t="s">
        <v>84</v>
      </c>
      <c r="R4" s="686" t="s">
        <v>85</v>
      </c>
      <c r="S4" s="537" t="s">
        <v>79</v>
      </c>
      <c r="T4" s="686" t="s">
        <v>86</v>
      </c>
      <c r="U4" s="537" t="s">
        <v>79</v>
      </c>
      <c r="V4" s="548" t="s">
        <v>87</v>
      </c>
      <c r="W4" s="788" t="s">
        <v>88</v>
      </c>
      <c r="X4" s="548" t="s">
        <v>89</v>
      </c>
      <c r="Y4" s="788" t="s">
        <v>88</v>
      </c>
      <c r="Z4" s="713" t="s">
        <v>90</v>
      </c>
      <c r="AA4" s="788" t="s">
        <v>88</v>
      </c>
      <c r="AB4" s="548" t="s">
        <v>91</v>
      </c>
      <c r="AC4" s="788" t="s">
        <v>88</v>
      </c>
      <c r="AD4" s="548" t="s">
        <v>92</v>
      </c>
      <c r="AE4" s="788" t="s">
        <v>88</v>
      </c>
      <c r="AF4" s="548" t="s">
        <v>93</v>
      </c>
      <c r="AG4" s="788" t="s">
        <v>88</v>
      </c>
      <c r="AH4" s="548" t="s">
        <v>94</v>
      </c>
      <c r="AI4" s="788" t="s">
        <v>88</v>
      </c>
      <c r="AJ4" s="548" t="s">
        <v>95</v>
      </c>
      <c r="AK4" s="788" t="s">
        <v>88</v>
      </c>
      <c r="AL4" s="686" t="s">
        <v>96</v>
      </c>
      <c r="AM4" s="788" t="s">
        <v>88</v>
      </c>
      <c r="AN4" s="576" t="s">
        <v>97</v>
      </c>
      <c r="AO4" s="788" t="s">
        <v>98</v>
      </c>
      <c r="AP4" s="537" t="s">
        <v>79</v>
      </c>
      <c r="AQ4" s="788" t="s">
        <v>99</v>
      </c>
      <c r="AR4" s="537" t="s">
        <v>79</v>
      </c>
      <c r="AS4" s="788" t="s">
        <v>100</v>
      </c>
      <c r="AT4" s="537" t="s">
        <v>79</v>
      </c>
      <c r="AU4" s="788" t="s">
        <v>101</v>
      </c>
      <c r="AV4" s="537" t="s">
        <v>79</v>
      </c>
      <c r="AW4" s="537" t="s">
        <v>102</v>
      </c>
      <c r="AX4" s="537" t="s">
        <v>79</v>
      </c>
      <c r="AY4" s="788" t="s">
        <v>103</v>
      </c>
      <c r="AZ4" s="537" t="s">
        <v>79</v>
      </c>
      <c r="BA4" s="537" t="s">
        <v>104</v>
      </c>
      <c r="BB4" s="537" t="s">
        <v>79</v>
      </c>
      <c r="BC4" s="788" t="s">
        <v>105</v>
      </c>
      <c r="BD4" s="537" t="s">
        <v>79</v>
      </c>
      <c r="BE4" s="537" t="s">
        <v>106</v>
      </c>
      <c r="BF4" s="537" t="s">
        <v>79</v>
      </c>
      <c r="BG4" s="537" t="s">
        <v>107</v>
      </c>
      <c r="BH4" s="537" t="s">
        <v>79</v>
      </c>
      <c r="BI4" s="576" t="s">
        <v>108</v>
      </c>
      <c r="BJ4" s="576" t="s">
        <v>109</v>
      </c>
      <c r="BK4" s="788" t="s">
        <v>110</v>
      </c>
      <c r="BL4" s="537" t="s">
        <v>79</v>
      </c>
      <c r="BM4" s="537" t="s">
        <v>111</v>
      </c>
      <c r="BN4" s="537" t="s">
        <v>79</v>
      </c>
      <c r="BO4" s="537" t="s">
        <v>112</v>
      </c>
      <c r="BP4" s="537" t="s">
        <v>79</v>
      </c>
      <c r="BQ4" s="537" t="s">
        <v>113</v>
      </c>
      <c r="BR4" s="537" t="s">
        <v>79</v>
      </c>
      <c r="BS4" s="824"/>
      <c r="BT4" s="537" t="s">
        <v>114</v>
      </c>
      <c r="BU4" s="537" t="s">
        <v>115</v>
      </c>
      <c r="BV4" s="537" t="s">
        <v>116</v>
      </c>
      <c r="BW4" s="537" t="s">
        <v>116</v>
      </c>
      <c r="BX4" s="817"/>
      <c r="BY4" s="577" t="s">
        <v>117</v>
      </c>
      <c r="BZ4" s="578" t="s">
        <v>118</v>
      </c>
    </row>
    <row r="5" spans="1:78" s="385" customFormat="1" ht="39" customHeight="1">
      <c r="A5" s="525" t="s">
        <v>119</v>
      </c>
      <c r="B5" s="431"/>
      <c r="C5" s="432"/>
      <c r="D5" s="432"/>
      <c r="E5" s="432"/>
      <c r="F5" s="432"/>
      <c r="G5" s="432"/>
      <c r="H5" s="433"/>
      <c r="I5" s="769">
        <v>24864175</v>
      </c>
      <c r="J5" s="636">
        <f>IF(I5&gt;=I4,I5-I4,0)</f>
        <v>0</v>
      </c>
      <c r="K5" s="636">
        <f>M5+O5</f>
        <v>0</v>
      </c>
      <c r="L5" s="769">
        <v>2168</v>
      </c>
      <c r="M5" s="636">
        <f>IF(L5&gt;=L4,L5-L4,0)</f>
        <v>0</v>
      </c>
      <c r="N5" s="769">
        <v>823897</v>
      </c>
      <c r="O5" s="636">
        <f t="shared" ref="O5:O36" si="0">IF(N5&gt;=N4,N5-N4,0)</f>
        <v>0</v>
      </c>
      <c r="P5" s="769">
        <v>224329</v>
      </c>
      <c r="Q5" s="636">
        <f>IF(P5&gt;=P4,P5-P4,0)*30</f>
        <v>0</v>
      </c>
      <c r="R5" s="768">
        <v>203308</v>
      </c>
      <c r="S5" s="636">
        <f>IF(R5&gt;=R4,R5-R4,0)</f>
        <v>0</v>
      </c>
      <c r="T5" s="768">
        <v>372364</v>
      </c>
      <c r="U5" s="636">
        <f t="shared" ref="U5:U27" si="1">IF(T5&gt;=T4,T5-T4,0)</f>
        <v>0</v>
      </c>
      <c r="V5" s="768">
        <v>170459</v>
      </c>
      <c r="W5" s="636">
        <f t="shared" ref="W5:W36" si="2">IF(V5&gt;=V4,V5-V4,0)*0.53</f>
        <v>0</v>
      </c>
      <c r="X5" s="769">
        <v>368053</v>
      </c>
      <c r="Y5" s="636">
        <f t="shared" ref="Y5:Y36" si="3">IF(X5&gt;=X4,X5-X4,0)*0.53</f>
        <v>0</v>
      </c>
      <c r="Z5" s="768">
        <v>404391</v>
      </c>
      <c r="AA5" s="636">
        <f t="shared" ref="AA5:AA36" si="4">IF(Z5&gt;=Z4,Z5-Z4,0)*0.53</f>
        <v>0</v>
      </c>
      <c r="AB5" s="768">
        <v>709124</v>
      </c>
      <c r="AC5" s="636">
        <f>IF(AB5&gt;=AB4,AB5-AB4,0)*0.53</f>
        <v>0</v>
      </c>
      <c r="AD5" s="768">
        <v>696639</v>
      </c>
      <c r="AE5" s="636">
        <f>IF(AD5&gt;=AD4,AD5-AD4,0)*0.53</f>
        <v>0</v>
      </c>
      <c r="AF5" s="768">
        <v>872855</v>
      </c>
      <c r="AG5" s="636">
        <f t="shared" ref="AG5:AG12" si="5">IF(AF5&gt;=AF4,AF5-AF4,0)*0.53</f>
        <v>0</v>
      </c>
      <c r="AH5" s="768">
        <v>167871</v>
      </c>
      <c r="AI5" s="636">
        <f t="shared" ref="AI5:AI36" si="6">IF(AH5&gt;=AH4,AH5-AH4,0)*0.53</f>
        <v>0</v>
      </c>
      <c r="AJ5" s="768">
        <v>523393</v>
      </c>
      <c r="AK5" s="636">
        <f t="shared" ref="AK5:AK12" si="7">IF(AJ5&gt;=AJ4,AJ5-AJ4,0)*0.53</f>
        <v>0</v>
      </c>
      <c r="AL5" s="768">
        <v>535047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7818230</v>
      </c>
      <c r="AP5" s="636">
        <f>IF(AO5&gt;=AO4,AO5-AO4,0)*0.1125</f>
        <v>0</v>
      </c>
      <c r="AQ5" s="768">
        <v>722438</v>
      </c>
      <c r="AR5" s="636">
        <f t="shared" ref="AR5:AR36" si="9">IF(AQ5&gt;=AQ4,AQ5-AQ4,0)</f>
        <v>0</v>
      </c>
      <c r="AS5" s="768">
        <v>989332</v>
      </c>
      <c r="AT5" s="636">
        <f>IF(AS5&gt;=AS4,AS5-AS4,0)</f>
        <v>0</v>
      </c>
      <c r="AU5" s="768">
        <v>817531</v>
      </c>
      <c r="AV5" s="636">
        <f t="shared" ref="AV5:AV36" si="10">IF(AU5&gt;=AU4,AU5-AU4,0)</f>
        <v>0</v>
      </c>
      <c r="AW5" s="768">
        <v>2735135</v>
      </c>
      <c r="AX5" s="636">
        <f t="shared" ref="AX5:AX36" si="11">IF(AW5&gt;=AW4,AW5-AW4,0)</f>
        <v>0</v>
      </c>
      <c r="AY5" s="768">
        <v>229733</v>
      </c>
      <c r="AZ5" s="636">
        <f t="shared" ref="AZ5:AZ18" si="12">IF(AY5&gt;=AY4,AY5-AY4,0)</f>
        <v>0</v>
      </c>
      <c r="BA5" s="768">
        <v>20012243</v>
      </c>
      <c r="BB5" s="636">
        <f t="shared" ref="BB5:BF36" si="13">IF(BA5&gt;=BA4,BA5-BA4,0)</f>
        <v>0</v>
      </c>
      <c r="BC5" s="768">
        <v>602362</v>
      </c>
      <c r="BD5" s="636">
        <f t="shared" si="13"/>
        <v>0</v>
      </c>
      <c r="BE5" s="768">
        <v>35021</v>
      </c>
      <c r="BF5" s="636">
        <f t="shared" si="13"/>
        <v>0</v>
      </c>
      <c r="BG5" s="769">
        <v>25051475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1455942</v>
      </c>
      <c r="BL5" s="636">
        <f t="shared" ref="BL5:BL36" si="14">IF(BK5&gt;=BK4,BK5-BK4,0)</f>
        <v>0</v>
      </c>
      <c r="BM5" s="768">
        <v>4094272</v>
      </c>
      <c r="BN5" s="636">
        <f t="shared" ref="BN5:BN36" si="15">IF(BM5&gt;=BM4,BM5-BM4,0)</f>
        <v>0</v>
      </c>
      <c r="BO5" s="807">
        <v>432585</v>
      </c>
      <c r="BP5" s="636">
        <f t="shared" ref="BP5:BP36" si="16">IF(BO5&gt;=BO4,BO5-BO4,0)</f>
        <v>0</v>
      </c>
      <c r="BQ5" s="769">
        <v>540013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24870485</v>
      </c>
      <c r="J6" s="636">
        <f t="shared" ref="J6:J36" si="18">IF(I6&gt;=I5,I6-I5,0)</f>
        <v>6310</v>
      </c>
      <c r="K6" s="636">
        <f t="shared" ref="K6:K36" si="19">M6+O6</f>
        <v>0</v>
      </c>
      <c r="L6" s="769">
        <v>-24643.095238095299</v>
      </c>
      <c r="M6" s="636">
        <f>IF(L6&gt;=L5,L6-L5,0)</f>
        <v>0</v>
      </c>
      <c r="N6" s="769">
        <v>822201</v>
      </c>
      <c r="O6" s="636">
        <f>IF(N6&gt;=N5,N6-N5,0)</f>
        <v>0</v>
      </c>
      <c r="P6" s="769">
        <v>224347</v>
      </c>
      <c r="Q6" s="636">
        <f>IF(P6&gt;=P5,P6-P5,0)*30</f>
        <v>540</v>
      </c>
      <c r="R6" s="768">
        <v>203455</v>
      </c>
      <c r="S6" s="636">
        <f>IF(R6&gt;=R5,R6-R5,0)</f>
        <v>147</v>
      </c>
      <c r="T6" s="768">
        <v>372603</v>
      </c>
      <c r="U6" s="636">
        <f t="shared" si="1"/>
        <v>239</v>
      </c>
      <c r="V6" s="768">
        <v>178936</v>
      </c>
      <c r="W6" s="636">
        <f t="shared" si="2"/>
        <v>4492.8100000000004</v>
      </c>
      <c r="X6" s="769">
        <v>368053</v>
      </c>
      <c r="Y6" s="636">
        <f t="shared" si="3"/>
        <v>0</v>
      </c>
      <c r="Z6" s="768">
        <v>406252</v>
      </c>
      <c r="AA6" s="636">
        <f t="shared" si="4"/>
        <v>986.33</v>
      </c>
      <c r="AB6" s="768">
        <v>714926</v>
      </c>
      <c r="AC6" s="636">
        <f>IF(AB6&gt;=AB5,AB6-AB5,0)*0.53</f>
        <v>3075.06</v>
      </c>
      <c r="AD6" s="768">
        <v>696660</v>
      </c>
      <c r="AE6" s="636">
        <f t="shared" ref="AE6:AE36" si="20">IF(AD6&gt;=AD5,AD6-AD5,0)*0.53</f>
        <v>11.13</v>
      </c>
      <c r="AF6" s="768">
        <v>875710</v>
      </c>
      <c r="AG6" s="636">
        <f t="shared" si="5"/>
        <v>1513.15</v>
      </c>
      <c r="AH6" s="769">
        <v>170053</v>
      </c>
      <c r="AI6" s="636">
        <f t="shared" si="6"/>
        <v>1156.46</v>
      </c>
      <c r="AJ6" s="769">
        <v>530230</v>
      </c>
      <c r="AK6" s="636">
        <f t="shared" si="7"/>
        <v>3623.61</v>
      </c>
      <c r="AL6" s="768">
        <v>535252</v>
      </c>
      <c r="AM6" s="636">
        <f t="shared" si="8"/>
        <v>108.65</v>
      </c>
      <c r="AN6" s="636">
        <f t="shared" ref="AN6:AN36" si="21">W6+Y6+AA6+AC6+AE6+AG6+AI6+AK6+AM6</f>
        <v>14967.199999999999</v>
      </c>
      <c r="AO6" s="768">
        <v>7821239</v>
      </c>
      <c r="AP6" s="636">
        <f t="shared" ref="AP6:AP36" si="22">IF(AO6&gt;=AO5,AO6-AO5,0)*0.1125</f>
        <v>338.51249999999999</v>
      </c>
      <c r="AQ6" s="768">
        <v>722586</v>
      </c>
      <c r="AR6" s="636">
        <f t="shared" si="9"/>
        <v>148</v>
      </c>
      <c r="AS6" s="768">
        <v>989540</v>
      </c>
      <c r="AT6" s="636">
        <f t="shared" ref="AT6:AT34" si="23">IF(AS6&gt;=AS5,AS6-AS5,0)</f>
        <v>208</v>
      </c>
      <c r="AU6" s="710">
        <v>817593</v>
      </c>
      <c r="AV6" s="636">
        <f t="shared" si="10"/>
        <v>62</v>
      </c>
      <c r="AW6" s="769">
        <v>2736109</v>
      </c>
      <c r="AX6" s="636">
        <f t="shared" si="11"/>
        <v>974</v>
      </c>
      <c r="AY6" s="768">
        <v>229733</v>
      </c>
      <c r="AZ6" s="636">
        <f t="shared" si="12"/>
        <v>0</v>
      </c>
      <c r="BA6" s="769">
        <v>20017231</v>
      </c>
      <c r="BB6" s="636">
        <f t="shared" si="13"/>
        <v>4988</v>
      </c>
      <c r="BC6" s="768">
        <v>602465</v>
      </c>
      <c r="BD6" s="636">
        <f t="shared" si="13"/>
        <v>103</v>
      </c>
      <c r="BE6" s="768">
        <v>35059</v>
      </c>
      <c r="BF6" s="636">
        <f t="shared" si="13"/>
        <v>38</v>
      </c>
      <c r="BG6" s="768">
        <v>25058795</v>
      </c>
      <c r="BH6" s="636">
        <f t="shared" ref="BH6:BH36" si="24">IF(BG6&gt;=BG5,BG6-BG5,0)-(0.45*BN6)-(0.45*BP6)-BR6</f>
        <v>6442.6500000000005</v>
      </c>
      <c r="BI6" s="636">
        <f t="shared" ref="BI6:BI36" si="25">AP6+AR6+AT6+AV6+AX6+AZ6+BB6+BD6+BF6+BH6</f>
        <v>13302.1625</v>
      </c>
      <c r="BJ6" s="636">
        <f t="shared" ref="BJ6:BJ36" si="26">BI6+AN6</f>
        <v>28269.362499999999</v>
      </c>
      <c r="BK6" s="769">
        <v>1456241</v>
      </c>
      <c r="BL6" s="636">
        <f t="shared" si="14"/>
        <v>299</v>
      </c>
      <c r="BM6" s="769">
        <v>4095779</v>
      </c>
      <c r="BN6" s="636">
        <f t="shared" si="15"/>
        <v>1507</v>
      </c>
      <c r="BO6" s="769">
        <v>432701</v>
      </c>
      <c r="BP6" s="636">
        <f t="shared" si="16"/>
        <v>116</v>
      </c>
      <c r="BQ6" s="768">
        <v>540160</v>
      </c>
      <c r="BR6" s="636">
        <f t="shared" si="17"/>
        <v>147</v>
      </c>
      <c r="BS6" s="692">
        <f t="shared" ref="BS6:BS36" si="27">J6+Q6+AN6+BI6</f>
        <v>35119.362499999996</v>
      </c>
      <c r="BT6" s="693">
        <v>157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40630.266874999994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24875845</v>
      </c>
      <c r="J7" s="636">
        <f t="shared" si="18"/>
        <v>5360</v>
      </c>
      <c r="K7" s="636">
        <f t="shared" si="19"/>
        <v>2615.0214285714974</v>
      </c>
      <c r="L7" s="769">
        <v>-22659.073809523801</v>
      </c>
      <c r="M7" s="636">
        <f>IF(L7&gt;=L6,L7-L6,0)</f>
        <v>1984.0214285714974</v>
      </c>
      <c r="N7" s="769">
        <v>822832</v>
      </c>
      <c r="O7" s="636">
        <f>IF(N7&gt;=N6,N7-N6,0)</f>
        <v>631</v>
      </c>
      <c r="P7" s="769">
        <v>224363</v>
      </c>
      <c r="Q7" s="636">
        <f t="shared" ref="Q7:Q18" si="31">IF(P7&gt;=P6,P7-P6,0)*30</f>
        <v>480</v>
      </c>
      <c r="R7" s="768">
        <v>203629</v>
      </c>
      <c r="S7" s="636">
        <f t="shared" ref="S7:S20" si="32">IF(R7&gt;=R6,R7-R6,0)</f>
        <v>174</v>
      </c>
      <c r="T7" s="768">
        <v>372876</v>
      </c>
      <c r="U7" s="636">
        <f t="shared" si="1"/>
        <v>273</v>
      </c>
      <c r="V7" s="768">
        <v>182238</v>
      </c>
      <c r="W7" s="636">
        <f t="shared" si="2"/>
        <v>1750.0600000000002</v>
      </c>
      <c r="X7" s="769">
        <v>371717</v>
      </c>
      <c r="Y7" s="636">
        <f t="shared" si="3"/>
        <v>1941.92</v>
      </c>
      <c r="Z7" s="768">
        <v>406710</v>
      </c>
      <c r="AA7" s="636">
        <f t="shared" si="4"/>
        <v>242.74</v>
      </c>
      <c r="AB7" s="768">
        <v>722068</v>
      </c>
      <c r="AC7" s="636">
        <f t="shared" ref="AC7:AC36" si="33">IF(AB7&gt;=AB6,AB7-AB6,0)*0.53</f>
        <v>3785.26</v>
      </c>
      <c r="AD7" s="768">
        <v>696681</v>
      </c>
      <c r="AE7" s="636">
        <f t="shared" si="20"/>
        <v>11.13</v>
      </c>
      <c r="AF7" s="768">
        <v>878798</v>
      </c>
      <c r="AG7" s="636">
        <f t="shared" si="5"/>
        <v>1636.64</v>
      </c>
      <c r="AH7" s="769">
        <v>172267</v>
      </c>
      <c r="AI7" s="636">
        <f t="shared" si="6"/>
        <v>1173.42</v>
      </c>
      <c r="AJ7" s="769">
        <v>537317</v>
      </c>
      <c r="AK7" s="636">
        <f t="shared" si="7"/>
        <v>3756.11</v>
      </c>
      <c r="AL7" s="768">
        <v>535467</v>
      </c>
      <c r="AM7" s="636">
        <f t="shared" si="8"/>
        <v>113.95</v>
      </c>
      <c r="AN7" s="636">
        <f t="shared" si="21"/>
        <v>14411.230000000001</v>
      </c>
      <c r="AO7" s="768">
        <v>7823698</v>
      </c>
      <c r="AP7" s="636">
        <f t="shared" si="22"/>
        <v>276.63749999999999</v>
      </c>
      <c r="AQ7" s="768">
        <v>722741</v>
      </c>
      <c r="AR7" s="636">
        <f t="shared" si="9"/>
        <v>155</v>
      </c>
      <c r="AS7" s="768">
        <v>989734</v>
      </c>
      <c r="AT7" s="636">
        <f t="shared" si="23"/>
        <v>194</v>
      </c>
      <c r="AU7" s="710">
        <v>817647</v>
      </c>
      <c r="AV7" s="636">
        <f t="shared" si="10"/>
        <v>54</v>
      </c>
      <c r="AW7" s="769">
        <v>2737222</v>
      </c>
      <c r="AX7" s="636">
        <f t="shared" si="11"/>
        <v>1113</v>
      </c>
      <c r="AY7" s="768">
        <v>229733</v>
      </c>
      <c r="AZ7" s="636">
        <f t="shared" si="12"/>
        <v>0</v>
      </c>
      <c r="BA7" s="769">
        <v>20022283</v>
      </c>
      <c r="BB7" s="636">
        <f t="shared" si="13"/>
        <v>5052</v>
      </c>
      <c r="BC7" s="768">
        <v>602644</v>
      </c>
      <c r="BD7" s="636">
        <f t="shared" si="13"/>
        <v>179</v>
      </c>
      <c r="BE7" s="768">
        <v>35129</v>
      </c>
      <c r="BF7" s="636">
        <f t="shared" si="13"/>
        <v>70</v>
      </c>
      <c r="BG7" s="769">
        <v>25065987</v>
      </c>
      <c r="BH7" s="636">
        <f t="shared" si="24"/>
        <v>6297.9500000000007</v>
      </c>
      <c r="BI7" s="636">
        <f t="shared" si="25"/>
        <v>13391.587500000001</v>
      </c>
      <c r="BJ7" s="636">
        <f t="shared" si="26"/>
        <v>27802.817500000005</v>
      </c>
      <c r="BK7" s="769">
        <v>1456515</v>
      </c>
      <c r="BL7" s="636">
        <f t="shared" si="14"/>
        <v>274</v>
      </c>
      <c r="BM7" s="769">
        <v>4097231</v>
      </c>
      <c r="BN7" s="636">
        <f t="shared" si="15"/>
        <v>1452</v>
      </c>
      <c r="BO7" s="769">
        <v>432818</v>
      </c>
      <c r="BP7" s="636">
        <f t="shared" si="16"/>
        <v>117</v>
      </c>
      <c r="BQ7" s="768">
        <v>540348</v>
      </c>
      <c r="BR7" s="636">
        <f t="shared" si="17"/>
        <v>188</v>
      </c>
      <c r="BS7" s="692">
        <f t="shared" si="27"/>
        <v>33642.817500000005</v>
      </c>
      <c r="BT7" s="693">
        <v>135</v>
      </c>
      <c r="BU7" s="692">
        <f t="shared" si="28"/>
        <v>214.28546178343953</v>
      </c>
      <c r="BV7" s="693"/>
      <c r="BW7" s="692" t="e">
        <f t="shared" si="29"/>
        <v>#DIV/0!</v>
      </c>
      <c r="BX7" s="692">
        <f t="shared" ref="BX7:BX36" si="34">((BS7-Q7)*$BZ$1)+(Q7*$BR$1)</f>
        <v>38905.240125000004</v>
      </c>
      <c r="BY7" s="692">
        <f t="shared" si="30"/>
        <v>247.80407722929939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24881344</v>
      </c>
      <c r="J8" s="636">
        <f t="shared" si="18"/>
        <v>5499</v>
      </c>
      <c r="K8" s="636">
        <f t="shared" si="19"/>
        <v>2346.0214285714028</v>
      </c>
      <c r="L8" s="769">
        <v>-20675.052380952398</v>
      </c>
      <c r="M8" s="636">
        <f>IF(L8&gt;=L7,L8-L7,0)</f>
        <v>1984.0214285714028</v>
      </c>
      <c r="N8" s="769">
        <v>823194</v>
      </c>
      <c r="O8" s="636">
        <f t="shared" ref="O8:O27" si="39">IF(N8&gt;=N7,N8-N7,0)</f>
        <v>362</v>
      </c>
      <c r="P8" s="769">
        <v>224382</v>
      </c>
      <c r="Q8" s="636">
        <f t="shared" si="31"/>
        <v>570</v>
      </c>
      <c r="R8" s="769">
        <v>203860</v>
      </c>
      <c r="S8" s="636">
        <f t="shared" si="32"/>
        <v>231</v>
      </c>
      <c r="T8" s="768">
        <v>373132</v>
      </c>
      <c r="U8" s="636">
        <f t="shared" si="1"/>
        <v>256</v>
      </c>
      <c r="V8" s="768">
        <v>182685</v>
      </c>
      <c r="W8" s="636">
        <f t="shared" si="2"/>
        <v>236.91000000000003</v>
      </c>
      <c r="X8" s="769">
        <v>373981</v>
      </c>
      <c r="Y8" s="636">
        <f t="shared" si="3"/>
        <v>1199.92</v>
      </c>
      <c r="Z8" s="768">
        <v>414344</v>
      </c>
      <c r="AA8" s="636">
        <f t="shared" si="4"/>
        <v>4046.02</v>
      </c>
      <c r="AB8" s="768">
        <v>726947</v>
      </c>
      <c r="AC8" s="636">
        <f t="shared" si="33"/>
        <v>2585.8700000000003</v>
      </c>
      <c r="AD8" s="768">
        <v>697090</v>
      </c>
      <c r="AE8" s="636">
        <f t="shared" si="20"/>
        <v>216.77</v>
      </c>
      <c r="AF8" s="768">
        <v>881680</v>
      </c>
      <c r="AG8" s="636">
        <f t="shared" si="5"/>
        <v>1527.46</v>
      </c>
      <c r="AH8" s="768">
        <v>174530</v>
      </c>
      <c r="AI8" s="636">
        <f t="shared" si="6"/>
        <v>1199.3900000000001</v>
      </c>
      <c r="AJ8" s="768">
        <v>544561</v>
      </c>
      <c r="AK8" s="636">
        <f t="shared" si="7"/>
        <v>3839.32</v>
      </c>
      <c r="AL8" s="768">
        <v>535681</v>
      </c>
      <c r="AM8" s="636">
        <f t="shared" si="8"/>
        <v>113.42</v>
      </c>
      <c r="AN8" s="636">
        <f t="shared" si="21"/>
        <v>14965.08</v>
      </c>
      <c r="AO8" s="768">
        <v>7825958</v>
      </c>
      <c r="AP8" s="636">
        <f t="shared" si="22"/>
        <v>254.25</v>
      </c>
      <c r="AQ8" s="769">
        <v>722922</v>
      </c>
      <c r="AR8" s="636">
        <f t="shared" si="9"/>
        <v>181</v>
      </c>
      <c r="AS8" s="769">
        <v>989930</v>
      </c>
      <c r="AT8" s="636">
        <f t="shared" si="23"/>
        <v>196</v>
      </c>
      <c r="AU8" s="768">
        <v>817714</v>
      </c>
      <c r="AV8" s="636">
        <f>IF(AU8&gt;=AU7,AU8-AU7,0)</f>
        <v>67</v>
      </c>
      <c r="AW8" s="768">
        <v>2738304</v>
      </c>
      <c r="AX8" s="636">
        <f t="shared" si="11"/>
        <v>1082</v>
      </c>
      <c r="AY8" s="768">
        <v>229733</v>
      </c>
      <c r="AZ8" s="636">
        <f t="shared" si="12"/>
        <v>0</v>
      </c>
      <c r="BA8" s="768">
        <v>20027880</v>
      </c>
      <c r="BB8" s="636">
        <f t="shared" si="13"/>
        <v>5597</v>
      </c>
      <c r="BC8" s="768">
        <v>602846</v>
      </c>
      <c r="BD8" s="636">
        <f t="shared" si="13"/>
        <v>202</v>
      </c>
      <c r="BE8" s="768">
        <v>35198</v>
      </c>
      <c r="BF8" s="636">
        <f t="shared" si="13"/>
        <v>69</v>
      </c>
      <c r="BG8" s="769">
        <v>25073354</v>
      </c>
      <c r="BH8" s="636">
        <f t="shared" si="24"/>
        <v>6454.25</v>
      </c>
      <c r="BI8" s="636">
        <f t="shared" si="25"/>
        <v>14102.5</v>
      </c>
      <c r="BJ8" s="636">
        <f t="shared" si="26"/>
        <v>29067.58</v>
      </c>
      <c r="BK8" s="769">
        <v>1456798</v>
      </c>
      <c r="BL8" s="636">
        <f t="shared" si="14"/>
        <v>283</v>
      </c>
      <c r="BM8" s="768">
        <v>4098750</v>
      </c>
      <c r="BN8" s="636">
        <f t="shared" si="15"/>
        <v>1519</v>
      </c>
      <c r="BO8" s="768">
        <v>432934</v>
      </c>
      <c r="BP8" s="636">
        <f t="shared" si="16"/>
        <v>116</v>
      </c>
      <c r="BQ8" s="768">
        <v>540525</v>
      </c>
      <c r="BR8" s="636">
        <f t="shared" si="17"/>
        <v>177</v>
      </c>
      <c r="BS8" s="692">
        <f t="shared" si="27"/>
        <v>35136.58</v>
      </c>
      <c r="BT8" s="693">
        <v>120</v>
      </c>
      <c r="BU8" s="692">
        <f t="shared" si="28"/>
        <v>260.27096296296298</v>
      </c>
      <c r="BV8" s="693"/>
      <c r="BW8" s="692" t="e">
        <f t="shared" si="29"/>
        <v>#DIV/0!</v>
      </c>
      <c r="BX8" s="692">
        <f t="shared" si="34"/>
        <v>40663.566999999995</v>
      </c>
      <c r="BY8" s="692">
        <f t="shared" si="30"/>
        <v>301.21160740740737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24886801</v>
      </c>
      <c r="J9" s="636">
        <f>IF(I9&gt;=I8,I9-I8,0)</f>
        <v>5457</v>
      </c>
      <c r="K9" s="636">
        <f t="shared" si="19"/>
        <v>2466.0214285713992</v>
      </c>
      <c r="L9" s="769">
        <v>-18691.030952380999</v>
      </c>
      <c r="M9" s="636">
        <f t="shared" ref="M9:M28" si="40">IF(L9&gt;=L8,L9-L8,0)</f>
        <v>1984.0214285713992</v>
      </c>
      <c r="N9" s="769">
        <v>823676</v>
      </c>
      <c r="O9" s="636">
        <f t="shared" si="39"/>
        <v>482</v>
      </c>
      <c r="P9" s="769">
        <v>224390</v>
      </c>
      <c r="Q9" s="636">
        <f t="shared" si="31"/>
        <v>240</v>
      </c>
      <c r="R9" s="768">
        <v>204087</v>
      </c>
      <c r="S9" s="636">
        <f t="shared" si="32"/>
        <v>227</v>
      </c>
      <c r="T9" s="768">
        <v>373388</v>
      </c>
      <c r="U9" s="636">
        <f t="shared" si="1"/>
        <v>256</v>
      </c>
      <c r="V9" s="768">
        <v>185627</v>
      </c>
      <c r="W9" s="636">
        <f t="shared" si="2"/>
        <v>1559.26</v>
      </c>
      <c r="X9" s="769">
        <v>374995</v>
      </c>
      <c r="Y9" s="636">
        <f t="shared" si="3"/>
        <v>537.42000000000007</v>
      </c>
      <c r="Z9" s="768">
        <v>421786</v>
      </c>
      <c r="AA9" s="636">
        <f t="shared" si="4"/>
        <v>3944.26</v>
      </c>
      <c r="AB9" s="768">
        <v>727422</v>
      </c>
      <c r="AC9" s="636">
        <f t="shared" si="33"/>
        <v>251.75</v>
      </c>
      <c r="AD9" s="768">
        <v>700320</v>
      </c>
      <c r="AE9" s="636">
        <f t="shared" si="20"/>
        <v>1711.9</v>
      </c>
      <c r="AF9" s="768">
        <v>881700</v>
      </c>
      <c r="AG9" s="636">
        <f t="shared" si="5"/>
        <v>10.600000000000001</v>
      </c>
      <c r="AH9" s="769">
        <v>176719</v>
      </c>
      <c r="AI9" s="636">
        <f t="shared" si="6"/>
        <v>1160.17</v>
      </c>
      <c r="AJ9" s="769">
        <v>551594</v>
      </c>
      <c r="AK9" s="636">
        <f t="shared" si="7"/>
        <v>3727.4900000000002</v>
      </c>
      <c r="AL9" s="768">
        <v>535884</v>
      </c>
      <c r="AM9" s="636">
        <f t="shared" si="8"/>
        <v>107.59</v>
      </c>
      <c r="AN9" s="636">
        <f t="shared" si="21"/>
        <v>13010.44</v>
      </c>
      <c r="AO9" s="768">
        <v>7828311</v>
      </c>
      <c r="AP9" s="636">
        <f t="shared" si="22"/>
        <v>264.71250000000003</v>
      </c>
      <c r="AQ9" s="768">
        <v>723098</v>
      </c>
      <c r="AR9" s="636">
        <f t="shared" si="9"/>
        <v>176</v>
      </c>
      <c r="AS9" s="769">
        <v>990102</v>
      </c>
      <c r="AT9" s="636">
        <f t="shared" si="23"/>
        <v>172</v>
      </c>
      <c r="AU9" s="710">
        <v>817778</v>
      </c>
      <c r="AV9" s="636">
        <f>IF(AU9&gt;=AU8,AU9-AU8,0)</f>
        <v>64</v>
      </c>
      <c r="AW9" s="769">
        <v>2739307</v>
      </c>
      <c r="AX9" s="636">
        <f t="shared" si="11"/>
        <v>1003</v>
      </c>
      <c r="AY9" s="768">
        <v>229733</v>
      </c>
      <c r="AZ9" s="636">
        <f t="shared" si="12"/>
        <v>0</v>
      </c>
      <c r="BA9" s="769">
        <v>20032832</v>
      </c>
      <c r="BB9" s="636">
        <f t="shared" si="13"/>
        <v>4952</v>
      </c>
      <c r="BC9" s="768">
        <v>603065</v>
      </c>
      <c r="BD9" s="636">
        <f t="shared" si="13"/>
        <v>219</v>
      </c>
      <c r="BE9" s="768">
        <v>35243</v>
      </c>
      <c r="BF9" s="636">
        <f t="shared" si="13"/>
        <v>45</v>
      </c>
      <c r="BG9" s="769">
        <v>25080714</v>
      </c>
      <c r="BH9" s="636">
        <f t="shared" si="24"/>
        <v>6459.0999999999995</v>
      </c>
      <c r="BI9" s="636">
        <f t="shared" si="25"/>
        <v>13354.8125</v>
      </c>
      <c r="BJ9" s="636">
        <f t="shared" si="26"/>
        <v>26365.252500000002</v>
      </c>
      <c r="BK9" s="769">
        <v>1457074</v>
      </c>
      <c r="BL9" s="636">
        <f t="shared" si="14"/>
        <v>276</v>
      </c>
      <c r="BM9" s="769">
        <v>4100253</v>
      </c>
      <c r="BN9" s="636">
        <f t="shared" si="15"/>
        <v>1503</v>
      </c>
      <c r="BO9" s="769">
        <v>433053</v>
      </c>
      <c r="BP9" s="636">
        <f t="shared" si="16"/>
        <v>119</v>
      </c>
      <c r="BQ9" s="768">
        <v>540696</v>
      </c>
      <c r="BR9" s="636">
        <f t="shared" si="17"/>
        <v>171</v>
      </c>
      <c r="BS9" s="692">
        <f t="shared" si="27"/>
        <v>32062.252500000002</v>
      </c>
      <c r="BT9" s="693">
        <v>121</v>
      </c>
      <c r="BU9" s="692">
        <f t="shared" si="28"/>
        <v>267.18543750000003</v>
      </c>
      <c r="BV9" s="693"/>
      <c r="BW9" s="692" t="e">
        <f t="shared" si="29"/>
        <v>#DIV/0!</v>
      </c>
      <c r="BX9" s="692">
        <f t="shared" si="34"/>
        <v>36979.590375</v>
      </c>
      <c r="BY9" s="692">
        <f t="shared" si="30"/>
        <v>308.16325312499998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24892286</v>
      </c>
      <c r="J10" s="636">
        <f>IF(I10&gt;=I9,I10-I9,0)</f>
        <v>5485</v>
      </c>
      <c r="K10" s="636">
        <f t="shared" si="19"/>
        <v>2406.0214285713992</v>
      </c>
      <c r="L10" s="769">
        <v>-16707.0095238096</v>
      </c>
      <c r="M10" s="636">
        <f t="shared" si="40"/>
        <v>1984.0214285713992</v>
      </c>
      <c r="N10" s="769">
        <v>824098</v>
      </c>
      <c r="O10" s="636">
        <f t="shared" si="39"/>
        <v>422</v>
      </c>
      <c r="P10" s="769">
        <v>224415</v>
      </c>
      <c r="Q10" s="636">
        <f t="shared" si="31"/>
        <v>750</v>
      </c>
      <c r="R10" s="768">
        <v>204328</v>
      </c>
      <c r="S10" s="636">
        <f t="shared" si="32"/>
        <v>241</v>
      </c>
      <c r="T10" s="768">
        <v>373666</v>
      </c>
      <c r="U10" s="636">
        <f t="shared" si="1"/>
        <v>278</v>
      </c>
      <c r="V10" s="768">
        <v>191254</v>
      </c>
      <c r="W10" s="636">
        <f t="shared" si="2"/>
        <v>2982.31</v>
      </c>
      <c r="X10" s="769">
        <v>380302</v>
      </c>
      <c r="Y10" s="636">
        <f t="shared" si="3"/>
        <v>2812.71</v>
      </c>
      <c r="Z10" s="768">
        <v>429468</v>
      </c>
      <c r="AA10" s="636">
        <f t="shared" si="4"/>
        <v>4071.46</v>
      </c>
      <c r="AB10" s="768">
        <v>727422</v>
      </c>
      <c r="AC10" s="636">
        <f t="shared" si="33"/>
        <v>0</v>
      </c>
      <c r="AD10" s="768">
        <v>703876</v>
      </c>
      <c r="AE10" s="636">
        <f t="shared" si="20"/>
        <v>1884.68</v>
      </c>
      <c r="AF10" s="768">
        <v>881720</v>
      </c>
      <c r="AG10" s="636">
        <f t="shared" si="5"/>
        <v>10.600000000000001</v>
      </c>
      <c r="AH10" s="769">
        <v>178975</v>
      </c>
      <c r="AI10" s="636">
        <f t="shared" si="6"/>
        <v>1195.68</v>
      </c>
      <c r="AJ10" s="769">
        <v>558783</v>
      </c>
      <c r="AK10" s="636">
        <f t="shared" si="7"/>
        <v>3810.17</v>
      </c>
      <c r="AL10" s="768">
        <v>536095</v>
      </c>
      <c r="AM10" s="636">
        <f t="shared" si="8"/>
        <v>111.83000000000001</v>
      </c>
      <c r="AN10" s="636">
        <f t="shared" si="21"/>
        <v>16879.440000000002</v>
      </c>
      <c r="AO10" s="768">
        <v>7830785</v>
      </c>
      <c r="AP10" s="636">
        <f t="shared" si="22"/>
        <v>278.32499999999999</v>
      </c>
      <c r="AQ10" s="768">
        <v>723277</v>
      </c>
      <c r="AR10" s="636">
        <f t="shared" si="9"/>
        <v>179</v>
      </c>
      <c r="AS10" s="768">
        <v>990296</v>
      </c>
      <c r="AT10" s="636">
        <f t="shared" si="23"/>
        <v>194</v>
      </c>
      <c r="AU10" s="710">
        <v>817844</v>
      </c>
      <c r="AV10" s="636">
        <f>IF(AU10&gt;=AU9,AU10-AU9,0)</f>
        <v>66</v>
      </c>
      <c r="AW10" s="769">
        <v>2740308</v>
      </c>
      <c r="AX10" s="636">
        <f t="shared" si="11"/>
        <v>1001</v>
      </c>
      <c r="AY10" s="769">
        <v>229733</v>
      </c>
      <c r="AZ10" s="636">
        <f t="shared" si="12"/>
        <v>0</v>
      </c>
      <c r="BA10" s="768">
        <v>20038300</v>
      </c>
      <c r="BB10" s="636">
        <f t="shared" si="13"/>
        <v>5468</v>
      </c>
      <c r="BC10" s="768">
        <v>603293</v>
      </c>
      <c r="BD10" s="636">
        <f t="shared" si="13"/>
        <v>228</v>
      </c>
      <c r="BE10" s="768">
        <v>35317</v>
      </c>
      <c r="BF10" s="636">
        <f t="shared" si="13"/>
        <v>74</v>
      </c>
      <c r="BG10" s="769">
        <v>25088277</v>
      </c>
      <c r="BH10" s="636">
        <f t="shared" si="24"/>
        <v>6670</v>
      </c>
      <c r="BI10" s="636">
        <f t="shared" si="25"/>
        <v>14158.325000000001</v>
      </c>
      <c r="BJ10" s="636">
        <f t="shared" si="26"/>
        <v>31037.765000000003</v>
      </c>
      <c r="BK10" s="769">
        <v>1457365</v>
      </c>
      <c r="BL10" s="636">
        <f t="shared" si="14"/>
        <v>291</v>
      </c>
      <c r="BM10" s="769">
        <v>4101765</v>
      </c>
      <c r="BN10" s="636">
        <f t="shared" si="15"/>
        <v>1512</v>
      </c>
      <c r="BO10" s="707">
        <v>433181</v>
      </c>
      <c r="BP10" s="636">
        <f t="shared" si="16"/>
        <v>128</v>
      </c>
      <c r="BQ10" s="768">
        <v>540851</v>
      </c>
      <c r="BR10" s="636">
        <f t="shared" si="17"/>
        <v>155</v>
      </c>
      <c r="BS10" s="692">
        <f t="shared" si="27"/>
        <v>37272.764999999999</v>
      </c>
      <c r="BT10" s="693">
        <v>130</v>
      </c>
      <c r="BU10" s="692">
        <f t="shared" si="28"/>
        <v>308.03938016528923</v>
      </c>
      <c r="BV10" s="693"/>
      <c r="BW10" s="692" t="e">
        <f t="shared" si="29"/>
        <v>#DIV/0!</v>
      </c>
      <c r="BX10" s="692">
        <f t="shared" si="34"/>
        <v>43201.179749999996</v>
      </c>
      <c r="BY10" s="692">
        <f t="shared" si="30"/>
        <v>357.03454338842971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24897764</v>
      </c>
      <c r="J11" s="636">
        <f>IF(I11&gt;=I10,I11-I10,0)</f>
        <v>5478</v>
      </c>
      <c r="K11" s="636">
        <f t="shared" si="19"/>
        <v>2385.0214285714992</v>
      </c>
      <c r="L11" s="769">
        <v>-14722.988095238101</v>
      </c>
      <c r="M11" s="636">
        <f t="shared" si="40"/>
        <v>1984.0214285714992</v>
      </c>
      <c r="N11" s="768">
        <v>824499</v>
      </c>
      <c r="O11" s="636">
        <f t="shared" si="39"/>
        <v>401</v>
      </c>
      <c r="P11" s="769">
        <v>224430</v>
      </c>
      <c r="Q11" s="636">
        <f t="shared" si="31"/>
        <v>450</v>
      </c>
      <c r="R11" s="768">
        <v>204552</v>
      </c>
      <c r="S11" s="636">
        <f t="shared" si="32"/>
        <v>224</v>
      </c>
      <c r="T11" s="768">
        <v>373919</v>
      </c>
      <c r="U11" s="636">
        <f t="shared" si="1"/>
        <v>253</v>
      </c>
      <c r="V11" s="768">
        <v>197349</v>
      </c>
      <c r="W11" s="636">
        <f t="shared" si="2"/>
        <v>3230.3500000000004</v>
      </c>
      <c r="X11" s="769">
        <v>380302</v>
      </c>
      <c r="Y11" s="636">
        <f t="shared" si="3"/>
        <v>0</v>
      </c>
      <c r="Z11" s="768">
        <v>437037</v>
      </c>
      <c r="AA11" s="636">
        <f t="shared" si="4"/>
        <v>4011.57</v>
      </c>
      <c r="AB11" s="768">
        <v>727422</v>
      </c>
      <c r="AC11" s="636">
        <f>IF(AB11&gt;=AB10,AB11-AB10,0)*0.53</f>
        <v>0</v>
      </c>
      <c r="AD11" s="768">
        <v>706847</v>
      </c>
      <c r="AE11" s="636">
        <f t="shared" si="20"/>
        <v>1574.63</v>
      </c>
      <c r="AF11" s="768">
        <v>881738</v>
      </c>
      <c r="AG11" s="636">
        <f t="shared" si="5"/>
        <v>9.5400000000000009</v>
      </c>
      <c r="AH11" s="768">
        <v>181203</v>
      </c>
      <c r="AI11" s="636">
        <f t="shared" si="6"/>
        <v>1180.8400000000001</v>
      </c>
      <c r="AJ11" s="768">
        <v>565850</v>
      </c>
      <c r="AK11" s="636">
        <f t="shared" si="7"/>
        <v>3745.51</v>
      </c>
      <c r="AL11" s="768">
        <v>536307</v>
      </c>
      <c r="AM11" s="636">
        <f t="shared" si="8"/>
        <v>112.36</v>
      </c>
      <c r="AN11" s="636">
        <f t="shared" si="21"/>
        <v>13864.800000000001</v>
      </c>
      <c r="AO11" s="707">
        <v>7833273</v>
      </c>
      <c r="AP11" s="636">
        <f t="shared" si="22"/>
        <v>279.90000000000003</v>
      </c>
      <c r="AQ11" s="768">
        <v>723445</v>
      </c>
      <c r="AR11" s="636">
        <f t="shared" si="9"/>
        <v>168</v>
      </c>
      <c r="AS11" s="769">
        <v>990489</v>
      </c>
      <c r="AT11" s="636">
        <f t="shared" si="23"/>
        <v>193</v>
      </c>
      <c r="AU11" s="769">
        <v>817909</v>
      </c>
      <c r="AV11" s="636">
        <f t="shared" si="10"/>
        <v>65</v>
      </c>
      <c r="AW11" s="768">
        <v>2741307</v>
      </c>
      <c r="AX11" s="636">
        <f t="shared" si="11"/>
        <v>999</v>
      </c>
      <c r="AY11" s="769">
        <v>229733</v>
      </c>
      <c r="AZ11" s="636">
        <f t="shared" si="12"/>
        <v>0</v>
      </c>
      <c r="BA11" s="769">
        <v>20043527</v>
      </c>
      <c r="BB11" s="636">
        <f t="shared" si="13"/>
        <v>5227</v>
      </c>
      <c r="BC11" s="768">
        <v>603511</v>
      </c>
      <c r="BD11" s="636">
        <f t="shared" si="13"/>
        <v>218</v>
      </c>
      <c r="BE11" s="768">
        <v>35367</v>
      </c>
      <c r="BF11" s="636">
        <f t="shared" si="13"/>
        <v>50</v>
      </c>
      <c r="BG11" s="769">
        <v>25095721</v>
      </c>
      <c r="BH11" s="636">
        <f t="shared" si="24"/>
        <v>6566.05</v>
      </c>
      <c r="BI11" s="636">
        <f t="shared" si="25"/>
        <v>13765.95</v>
      </c>
      <c r="BJ11" s="636">
        <f t="shared" si="26"/>
        <v>27630.75</v>
      </c>
      <c r="BK11" s="769">
        <v>1457638</v>
      </c>
      <c r="BL11" s="636">
        <f t="shared" si="14"/>
        <v>273</v>
      </c>
      <c r="BM11" s="769">
        <v>4103276</v>
      </c>
      <c r="BN11" s="636">
        <f t="shared" si="15"/>
        <v>1511</v>
      </c>
      <c r="BO11" s="768">
        <v>433301</v>
      </c>
      <c r="BP11" s="636">
        <f t="shared" si="16"/>
        <v>120</v>
      </c>
      <c r="BQ11" s="769">
        <v>540995</v>
      </c>
      <c r="BR11" s="636">
        <f t="shared" si="17"/>
        <v>144</v>
      </c>
      <c r="BS11" s="692">
        <f t="shared" si="27"/>
        <v>33558.75</v>
      </c>
      <c r="BT11" s="693">
        <v>129</v>
      </c>
      <c r="BU11" s="692">
        <f t="shared" si="28"/>
        <v>258.14423076923077</v>
      </c>
      <c r="BV11" s="693"/>
      <c r="BW11" s="692" t="e">
        <f t="shared" si="29"/>
        <v>#DIV/0!</v>
      </c>
      <c r="BX11" s="692">
        <f t="shared" si="34"/>
        <v>38795.0625</v>
      </c>
      <c r="BY11" s="692">
        <f t="shared" si="30"/>
        <v>298.42355769230767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24903242</v>
      </c>
      <c r="J12" s="636">
        <f>IF(I12&gt;=I11,I12-I11,0)</f>
        <v>5478</v>
      </c>
      <c r="K12" s="636">
        <f t="shared" si="19"/>
        <v>2352.021428571401</v>
      </c>
      <c r="L12" s="769">
        <v>-12738.9666666667</v>
      </c>
      <c r="M12" s="636">
        <f t="shared" si="40"/>
        <v>1984.021428571401</v>
      </c>
      <c r="N12" s="769">
        <v>824867</v>
      </c>
      <c r="O12" s="636">
        <f t="shared" si="39"/>
        <v>368</v>
      </c>
      <c r="P12" s="769">
        <v>224448</v>
      </c>
      <c r="Q12" s="636">
        <f t="shared" si="31"/>
        <v>540</v>
      </c>
      <c r="R12" s="768">
        <v>204784</v>
      </c>
      <c r="S12" s="636">
        <f t="shared" si="32"/>
        <v>232</v>
      </c>
      <c r="T12" s="768">
        <v>374165</v>
      </c>
      <c r="U12" s="636">
        <f t="shared" si="1"/>
        <v>246</v>
      </c>
      <c r="V12" s="768">
        <v>199870</v>
      </c>
      <c r="W12" s="636">
        <f t="shared" si="2"/>
        <v>1336.13</v>
      </c>
      <c r="X12" s="769">
        <v>382063</v>
      </c>
      <c r="Y12" s="636">
        <f t="shared" si="3"/>
        <v>933.33</v>
      </c>
      <c r="Z12" s="768">
        <v>444430</v>
      </c>
      <c r="AA12" s="636">
        <f t="shared" si="4"/>
        <v>3918.2900000000004</v>
      </c>
      <c r="AB12" s="768">
        <v>728830</v>
      </c>
      <c r="AC12" s="636">
        <f t="shared" si="33"/>
        <v>746.24</v>
      </c>
      <c r="AD12" s="768">
        <v>709046</v>
      </c>
      <c r="AE12" s="636">
        <f t="shared" si="20"/>
        <v>1165.47</v>
      </c>
      <c r="AF12" s="768">
        <v>882378</v>
      </c>
      <c r="AG12" s="636">
        <f t="shared" si="5"/>
        <v>339.20000000000005</v>
      </c>
      <c r="AH12" s="768">
        <v>183393</v>
      </c>
      <c r="AI12" s="636">
        <f t="shared" si="6"/>
        <v>1160.7</v>
      </c>
      <c r="AJ12" s="769">
        <v>572909</v>
      </c>
      <c r="AK12" s="636">
        <f t="shared" si="7"/>
        <v>3741.27</v>
      </c>
      <c r="AL12" s="768">
        <v>536513</v>
      </c>
      <c r="AM12" s="636">
        <f t="shared" si="8"/>
        <v>109.18</v>
      </c>
      <c r="AN12" s="636">
        <f t="shared" si="21"/>
        <v>13449.810000000001</v>
      </c>
      <c r="AO12" s="768">
        <v>7835422</v>
      </c>
      <c r="AP12" s="636">
        <f t="shared" si="22"/>
        <v>241.76250000000002</v>
      </c>
      <c r="AQ12" s="769">
        <v>723663</v>
      </c>
      <c r="AR12" s="636">
        <f t="shared" si="9"/>
        <v>218</v>
      </c>
      <c r="AS12" s="768">
        <v>990690</v>
      </c>
      <c r="AT12" s="636">
        <f t="shared" si="23"/>
        <v>201</v>
      </c>
      <c r="AU12" s="710">
        <v>817967</v>
      </c>
      <c r="AV12" s="636">
        <f t="shared" si="10"/>
        <v>58</v>
      </c>
      <c r="AW12" s="769">
        <v>2742294</v>
      </c>
      <c r="AX12" s="636">
        <f t="shared" si="11"/>
        <v>987</v>
      </c>
      <c r="AY12" s="768">
        <v>229733</v>
      </c>
      <c r="AZ12" s="636">
        <f t="shared" si="12"/>
        <v>0</v>
      </c>
      <c r="BA12" s="769">
        <v>20048968</v>
      </c>
      <c r="BB12" s="636">
        <f t="shared" si="13"/>
        <v>5441</v>
      </c>
      <c r="BC12" s="768">
        <v>603768</v>
      </c>
      <c r="BD12" s="636">
        <f t="shared" si="13"/>
        <v>257</v>
      </c>
      <c r="BE12" s="768">
        <v>35432</v>
      </c>
      <c r="BF12" s="636">
        <f t="shared" si="13"/>
        <v>65</v>
      </c>
      <c r="BG12" s="769">
        <v>25103092</v>
      </c>
      <c r="BH12" s="636">
        <f t="shared" si="24"/>
        <v>6499.45</v>
      </c>
      <c r="BI12" s="636">
        <f t="shared" si="25"/>
        <v>13968.2125</v>
      </c>
      <c r="BJ12" s="636">
        <f t="shared" si="26"/>
        <v>27418.022499999999</v>
      </c>
      <c r="BK12" s="769">
        <v>1457897</v>
      </c>
      <c r="BL12" s="636">
        <f t="shared" si="14"/>
        <v>259</v>
      </c>
      <c r="BM12" s="769">
        <v>4104776</v>
      </c>
      <c r="BN12" s="636">
        <f t="shared" si="15"/>
        <v>1500</v>
      </c>
      <c r="BO12" s="769">
        <v>433420</v>
      </c>
      <c r="BP12" s="636">
        <f t="shared" si="16"/>
        <v>119</v>
      </c>
      <c r="BQ12" s="768">
        <v>541138</v>
      </c>
      <c r="BR12" s="636">
        <f t="shared" ref="BR12:BR36" si="41">IF(BQ12&gt;=BQ11,BQ12-BQ11,0)</f>
        <v>143</v>
      </c>
      <c r="BS12" s="692">
        <f t="shared" si="27"/>
        <v>33436.022499999999</v>
      </c>
      <c r="BT12" s="693">
        <v>137</v>
      </c>
      <c r="BU12" s="692">
        <f t="shared" si="28"/>
        <v>259.19397286821703</v>
      </c>
      <c r="BV12" s="693"/>
      <c r="BW12" s="692" t="e">
        <f t="shared" si="29"/>
        <v>#DIV/0!</v>
      </c>
      <c r="BX12" s="692">
        <f t="shared" si="34"/>
        <v>38694.425874999994</v>
      </c>
      <c r="BY12" s="692">
        <f t="shared" si="30"/>
        <v>299.95678972868211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24908329</v>
      </c>
      <c r="J13" s="636">
        <f t="shared" si="18"/>
        <v>5087</v>
      </c>
      <c r="K13" s="636">
        <f t="shared" si="19"/>
        <v>2491.0214285713992</v>
      </c>
      <c r="L13" s="769">
        <v>-10754.945238095301</v>
      </c>
      <c r="M13" s="636">
        <f t="shared" si="40"/>
        <v>1984.0214285713992</v>
      </c>
      <c r="N13" s="769">
        <v>825374</v>
      </c>
      <c r="O13" s="636">
        <f t="shared" si="39"/>
        <v>507</v>
      </c>
      <c r="P13" s="769">
        <v>224460</v>
      </c>
      <c r="Q13" s="636">
        <f t="shared" si="31"/>
        <v>360</v>
      </c>
      <c r="R13" s="768">
        <v>205013</v>
      </c>
      <c r="S13" s="636">
        <f t="shared" si="32"/>
        <v>229</v>
      </c>
      <c r="T13" s="768">
        <v>374404</v>
      </c>
      <c r="U13" s="636">
        <f t="shared" si="1"/>
        <v>239</v>
      </c>
      <c r="V13" s="768">
        <v>199870</v>
      </c>
      <c r="W13" s="636">
        <f t="shared" si="2"/>
        <v>0</v>
      </c>
      <c r="X13" s="769">
        <v>389132</v>
      </c>
      <c r="Y13" s="636">
        <f t="shared" si="3"/>
        <v>3746.57</v>
      </c>
      <c r="Z13" s="768">
        <v>452069</v>
      </c>
      <c r="AA13" s="636">
        <f t="shared" si="4"/>
        <v>4048.67</v>
      </c>
      <c r="AB13" s="768">
        <v>728830</v>
      </c>
      <c r="AC13" s="636">
        <f t="shared" si="33"/>
        <v>0</v>
      </c>
      <c r="AD13" s="768">
        <v>712309</v>
      </c>
      <c r="AE13" s="636">
        <f t="shared" si="20"/>
        <v>1729.39</v>
      </c>
      <c r="AF13" s="768">
        <v>882400</v>
      </c>
      <c r="AG13" s="636">
        <f t="shared" ref="AG13:AG36" si="42">IF(AF13&gt;=AF12,AF13-AF12,0)*0.53</f>
        <v>11.66</v>
      </c>
      <c r="AH13" s="769">
        <v>185608</v>
      </c>
      <c r="AI13" s="636">
        <f t="shared" si="6"/>
        <v>1173.95</v>
      </c>
      <c r="AJ13" s="769">
        <v>580062</v>
      </c>
      <c r="AK13" s="636">
        <f t="shared" ref="AK13" si="43">IF(AJ13&gt;=AJ12,AJ13-AJ12,0)*0.53</f>
        <v>3791.09</v>
      </c>
      <c r="AL13" s="768">
        <v>536712</v>
      </c>
      <c r="AM13" s="636">
        <f t="shared" si="8"/>
        <v>105.47</v>
      </c>
      <c r="AN13" s="636">
        <f t="shared" si="21"/>
        <v>14606.8</v>
      </c>
      <c r="AO13" s="768">
        <v>7837626</v>
      </c>
      <c r="AP13" s="636">
        <f t="shared" si="22"/>
        <v>247.95000000000002</v>
      </c>
      <c r="AQ13" s="768">
        <v>723896</v>
      </c>
      <c r="AR13" s="636">
        <f t="shared" si="9"/>
        <v>233</v>
      </c>
      <c r="AS13" s="769">
        <v>990854</v>
      </c>
      <c r="AT13" s="636">
        <f t="shared" si="23"/>
        <v>164</v>
      </c>
      <c r="AU13" s="769">
        <v>818020</v>
      </c>
      <c r="AV13" s="636">
        <f t="shared" si="10"/>
        <v>53</v>
      </c>
      <c r="AW13" s="769">
        <v>2743267</v>
      </c>
      <c r="AX13" s="636">
        <f t="shared" si="11"/>
        <v>973</v>
      </c>
      <c r="AY13" s="769">
        <v>229733</v>
      </c>
      <c r="AZ13" s="636">
        <f t="shared" si="12"/>
        <v>0</v>
      </c>
      <c r="BA13" s="769">
        <v>20054184</v>
      </c>
      <c r="BB13" s="636">
        <f t="shared" si="13"/>
        <v>5216</v>
      </c>
      <c r="BC13" s="768">
        <v>604037</v>
      </c>
      <c r="BD13" s="636">
        <f t="shared" si="13"/>
        <v>269</v>
      </c>
      <c r="BE13" s="768">
        <v>35497</v>
      </c>
      <c r="BF13" s="636">
        <f t="shared" si="13"/>
        <v>65</v>
      </c>
      <c r="BG13" s="769">
        <v>25110203</v>
      </c>
      <c r="BH13" s="636">
        <f t="shared" si="24"/>
        <v>6275.5</v>
      </c>
      <c r="BI13" s="636">
        <f t="shared" si="25"/>
        <v>13496.45</v>
      </c>
      <c r="BJ13" s="636">
        <f t="shared" si="26"/>
        <v>28103.25</v>
      </c>
      <c r="BK13" s="769">
        <v>1458172</v>
      </c>
      <c r="BL13" s="636">
        <f t="shared" si="14"/>
        <v>275</v>
      </c>
      <c r="BM13" s="769">
        <v>4106178</v>
      </c>
      <c r="BN13" s="636">
        <f t="shared" si="15"/>
        <v>1402</v>
      </c>
      <c r="BO13" s="769">
        <v>433528</v>
      </c>
      <c r="BP13" s="636">
        <f t="shared" si="16"/>
        <v>108</v>
      </c>
      <c r="BQ13" s="769">
        <v>541294</v>
      </c>
      <c r="BR13" s="636">
        <f t="shared" si="41"/>
        <v>156</v>
      </c>
      <c r="BS13" s="692">
        <f t="shared" si="27"/>
        <v>33550.25</v>
      </c>
      <c r="BT13" s="693">
        <v>145</v>
      </c>
      <c r="BU13" s="692">
        <f t="shared" ref="BU13:BU19" si="44">IF(BS13&gt;0,BS13/BT12,0)</f>
        <v>244.89233576642334</v>
      </c>
      <c r="BV13" s="693"/>
      <c r="BW13" s="692" t="e">
        <f t="shared" si="29"/>
        <v>#DIV/0!</v>
      </c>
      <c r="BX13" s="692">
        <f t="shared" si="34"/>
        <v>38744.787499999999</v>
      </c>
      <c r="BY13" s="692">
        <f t="shared" si="30"/>
        <v>282.80866788321168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24913551</v>
      </c>
      <c r="J14" s="636">
        <f t="shared" si="18"/>
        <v>5222</v>
      </c>
      <c r="K14" s="636">
        <f t="shared" si="19"/>
        <v>3660.0214285714901</v>
      </c>
      <c r="L14" s="769">
        <v>-8770.9238095238106</v>
      </c>
      <c r="M14" s="636">
        <f t="shared" si="40"/>
        <v>1984.0214285714901</v>
      </c>
      <c r="N14" s="769">
        <v>827050</v>
      </c>
      <c r="O14" s="636">
        <f t="shared" si="39"/>
        <v>1676</v>
      </c>
      <c r="P14" s="769">
        <v>224480</v>
      </c>
      <c r="Q14" s="636">
        <f t="shared" si="31"/>
        <v>600</v>
      </c>
      <c r="R14" s="768">
        <v>205240</v>
      </c>
      <c r="S14" s="636">
        <f t="shared" si="32"/>
        <v>227</v>
      </c>
      <c r="T14" s="768">
        <v>374641</v>
      </c>
      <c r="U14" s="636">
        <f t="shared" si="1"/>
        <v>237</v>
      </c>
      <c r="V14" s="768">
        <v>199870</v>
      </c>
      <c r="W14" s="636">
        <f t="shared" si="2"/>
        <v>0</v>
      </c>
      <c r="X14" s="769">
        <v>396082</v>
      </c>
      <c r="Y14" s="636">
        <f t="shared" si="3"/>
        <v>3683.5</v>
      </c>
      <c r="Z14" s="769">
        <v>459614</v>
      </c>
      <c r="AA14" s="636">
        <f t="shared" si="4"/>
        <v>3998.8500000000004</v>
      </c>
      <c r="AB14" s="768">
        <v>728830</v>
      </c>
      <c r="AC14" s="636">
        <f t="shared" si="33"/>
        <v>0</v>
      </c>
      <c r="AD14" s="768">
        <v>715168</v>
      </c>
      <c r="AE14" s="636">
        <f t="shared" si="20"/>
        <v>1515.27</v>
      </c>
      <c r="AF14" s="768">
        <v>882418</v>
      </c>
      <c r="AG14" s="636">
        <f t="shared" si="42"/>
        <v>9.5400000000000009</v>
      </c>
      <c r="AH14" s="768">
        <v>187806</v>
      </c>
      <c r="AI14" s="636">
        <f t="shared" si="6"/>
        <v>1164.94</v>
      </c>
      <c r="AJ14" s="768">
        <v>587174</v>
      </c>
      <c r="AK14" s="636">
        <f t="shared" ref="AK14:AK36" si="45">IF(AJ14&gt;=AJ13,AJ14-AJ13,0)*0.53</f>
        <v>3769.36</v>
      </c>
      <c r="AL14" s="768">
        <v>536908</v>
      </c>
      <c r="AM14" s="636">
        <f t="shared" si="8"/>
        <v>103.88000000000001</v>
      </c>
      <c r="AN14" s="636">
        <f t="shared" si="21"/>
        <v>14245.340000000002</v>
      </c>
      <c r="AO14" s="768">
        <v>7839830</v>
      </c>
      <c r="AP14" s="636">
        <f t="shared" si="22"/>
        <v>247.95000000000002</v>
      </c>
      <c r="AQ14" s="769">
        <v>724035</v>
      </c>
      <c r="AR14" s="636">
        <f t="shared" si="9"/>
        <v>139</v>
      </c>
      <c r="AS14" s="769">
        <v>991062</v>
      </c>
      <c r="AT14" s="636">
        <f t="shared" si="23"/>
        <v>208</v>
      </c>
      <c r="AU14" s="769">
        <v>818070</v>
      </c>
      <c r="AV14" s="636">
        <f t="shared" si="10"/>
        <v>50</v>
      </c>
      <c r="AW14" s="768">
        <v>2744243</v>
      </c>
      <c r="AX14" s="636">
        <f t="shared" si="11"/>
        <v>976</v>
      </c>
      <c r="AY14" s="769">
        <v>229733</v>
      </c>
      <c r="AZ14" s="636">
        <f t="shared" si="12"/>
        <v>0</v>
      </c>
      <c r="BA14" s="769">
        <v>20059400</v>
      </c>
      <c r="BB14" s="636">
        <f t="shared" si="13"/>
        <v>5216</v>
      </c>
      <c r="BC14" s="768">
        <v>604293</v>
      </c>
      <c r="BD14" s="636">
        <f t="shared" si="13"/>
        <v>256</v>
      </c>
      <c r="BE14" s="768">
        <v>35562</v>
      </c>
      <c r="BF14" s="636">
        <f t="shared" si="13"/>
        <v>65</v>
      </c>
      <c r="BG14" s="769">
        <v>25117382</v>
      </c>
      <c r="BH14" s="636">
        <f t="shared" si="24"/>
        <v>6336.45</v>
      </c>
      <c r="BI14" s="636">
        <f t="shared" si="25"/>
        <v>13494.4</v>
      </c>
      <c r="BJ14" s="636">
        <f t="shared" si="26"/>
        <v>27739.74</v>
      </c>
      <c r="BK14" s="769">
        <v>1458486</v>
      </c>
      <c r="BL14" s="636">
        <f t="shared" si="14"/>
        <v>314</v>
      </c>
      <c r="BM14" s="769">
        <v>4107603</v>
      </c>
      <c r="BN14" s="636">
        <f t="shared" si="15"/>
        <v>1425</v>
      </c>
      <c r="BO14" s="769">
        <v>433662</v>
      </c>
      <c r="BP14" s="636">
        <f t="shared" si="16"/>
        <v>134</v>
      </c>
      <c r="BQ14" s="769">
        <v>541435</v>
      </c>
      <c r="BR14" s="636">
        <f t="shared" si="41"/>
        <v>141</v>
      </c>
      <c r="BS14" s="692">
        <f t="shared" si="27"/>
        <v>33561.740000000005</v>
      </c>
      <c r="BT14" s="693">
        <v>168</v>
      </c>
      <c r="BU14" s="692">
        <f t="shared" si="44"/>
        <v>231.46027586206901</v>
      </c>
      <c r="BV14" s="693"/>
      <c r="BW14" s="692" t="e">
        <f t="shared" si="29"/>
        <v>#DIV/0!</v>
      </c>
      <c r="BX14" s="692">
        <f t="shared" si="34"/>
        <v>38866.001000000004</v>
      </c>
      <c r="BY14" s="692">
        <f t="shared" si="30"/>
        <v>268.04138620689656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24919451</v>
      </c>
      <c r="J15" s="636">
        <f t="shared" si="18"/>
        <v>5900</v>
      </c>
      <c r="K15" s="636">
        <f t="shared" si="19"/>
        <v>2880.021428571431</v>
      </c>
      <c r="L15" s="769">
        <v>-6786.9023809523796</v>
      </c>
      <c r="M15" s="636">
        <f t="shared" si="40"/>
        <v>1984.021428571431</v>
      </c>
      <c r="N15" s="769">
        <v>827946</v>
      </c>
      <c r="O15" s="636">
        <f t="shared" si="39"/>
        <v>896</v>
      </c>
      <c r="P15" s="769">
        <v>224490</v>
      </c>
      <c r="Q15" s="636">
        <f t="shared" si="31"/>
        <v>300</v>
      </c>
      <c r="R15" s="768">
        <v>205467</v>
      </c>
      <c r="S15" s="636">
        <f t="shared" si="32"/>
        <v>227</v>
      </c>
      <c r="T15" s="768">
        <v>374894</v>
      </c>
      <c r="U15" s="636">
        <f t="shared" si="1"/>
        <v>253</v>
      </c>
      <c r="V15" s="768">
        <v>199870</v>
      </c>
      <c r="W15" s="636">
        <f t="shared" si="2"/>
        <v>0</v>
      </c>
      <c r="X15" s="769">
        <v>403653</v>
      </c>
      <c r="Y15" s="636">
        <f t="shared" si="3"/>
        <v>4012.63</v>
      </c>
      <c r="Z15" s="769">
        <v>467752</v>
      </c>
      <c r="AA15" s="636">
        <f t="shared" si="4"/>
        <v>4313.1400000000003</v>
      </c>
      <c r="AB15" s="768">
        <v>728830</v>
      </c>
      <c r="AC15" s="636">
        <f t="shared" si="33"/>
        <v>0</v>
      </c>
      <c r="AD15" s="768">
        <v>718558</v>
      </c>
      <c r="AE15" s="636">
        <f t="shared" si="20"/>
        <v>1796.7</v>
      </c>
      <c r="AF15" s="768">
        <v>882440</v>
      </c>
      <c r="AG15" s="636">
        <f t="shared" si="42"/>
        <v>11.66</v>
      </c>
      <c r="AH15" s="769">
        <v>190204</v>
      </c>
      <c r="AI15" s="636">
        <f t="shared" si="6"/>
        <v>1270.94</v>
      </c>
      <c r="AJ15" s="769">
        <v>594923</v>
      </c>
      <c r="AK15" s="636">
        <f t="shared" si="45"/>
        <v>4106.97</v>
      </c>
      <c r="AL15" s="768">
        <v>537120</v>
      </c>
      <c r="AM15" s="636">
        <f t="shared" si="8"/>
        <v>112.36</v>
      </c>
      <c r="AN15" s="636">
        <f t="shared" si="21"/>
        <v>15624.400000000001</v>
      </c>
      <c r="AO15" s="768">
        <v>7840850</v>
      </c>
      <c r="AP15" s="636">
        <f t="shared" si="22"/>
        <v>114.75</v>
      </c>
      <c r="AQ15" s="768">
        <v>724206</v>
      </c>
      <c r="AR15" s="636">
        <f t="shared" si="9"/>
        <v>171</v>
      </c>
      <c r="AS15" s="769">
        <v>991259</v>
      </c>
      <c r="AT15" s="636">
        <f t="shared" si="23"/>
        <v>197</v>
      </c>
      <c r="AU15" s="768">
        <v>818127</v>
      </c>
      <c r="AV15" s="636">
        <f t="shared" si="10"/>
        <v>57</v>
      </c>
      <c r="AW15" s="769">
        <v>2745289</v>
      </c>
      <c r="AX15" s="636">
        <f t="shared" si="11"/>
        <v>1046</v>
      </c>
      <c r="AY15" s="769">
        <v>229733</v>
      </c>
      <c r="AZ15" s="636">
        <f t="shared" si="12"/>
        <v>0</v>
      </c>
      <c r="BA15" s="769">
        <v>20065070</v>
      </c>
      <c r="BB15" s="636">
        <f t="shared" si="13"/>
        <v>5670</v>
      </c>
      <c r="BC15" s="768">
        <v>604527</v>
      </c>
      <c r="BD15" s="636">
        <f t="shared" si="13"/>
        <v>234</v>
      </c>
      <c r="BE15" s="768">
        <v>35627</v>
      </c>
      <c r="BF15" s="636">
        <f t="shared" si="13"/>
        <v>65</v>
      </c>
      <c r="BG15" s="769">
        <v>25124140</v>
      </c>
      <c r="BH15" s="636">
        <f t="shared" si="24"/>
        <v>5903.3</v>
      </c>
      <c r="BI15" s="636">
        <f t="shared" si="25"/>
        <v>13458.05</v>
      </c>
      <c r="BJ15" s="636">
        <f t="shared" si="26"/>
        <v>29082.45</v>
      </c>
      <c r="BK15" s="769">
        <v>1458788</v>
      </c>
      <c r="BL15" s="636">
        <f t="shared" si="14"/>
        <v>302</v>
      </c>
      <c r="BM15" s="769">
        <v>4109028</v>
      </c>
      <c r="BN15" s="636">
        <f t="shared" si="15"/>
        <v>1425</v>
      </c>
      <c r="BO15" s="769">
        <v>433783</v>
      </c>
      <c r="BP15" s="636">
        <f t="shared" si="16"/>
        <v>121</v>
      </c>
      <c r="BQ15" s="769">
        <v>541594</v>
      </c>
      <c r="BR15" s="636">
        <f t="shared" si="41"/>
        <v>159</v>
      </c>
      <c r="BS15" s="692">
        <f t="shared" si="27"/>
        <v>35282.449999999997</v>
      </c>
      <c r="BT15" s="693">
        <v>177</v>
      </c>
      <c r="BU15" s="692">
        <f t="shared" si="44"/>
        <v>210.01458333333332</v>
      </c>
      <c r="BV15" s="693"/>
      <c r="BW15" s="692" t="e">
        <f t="shared" si="29"/>
        <v>#DIV/0!</v>
      </c>
      <c r="BX15" s="692">
        <f t="shared" si="34"/>
        <v>40709.81749999999</v>
      </c>
      <c r="BY15" s="692">
        <f t="shared" si="30"/>
        <v>242.3203422619047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24923760</v>
      </c>
      <c r="J16" s="636">
        <f t="shared" si="18"/>
        <v>4309</v>
      </c>
      <c r="K16" s="636">
        <f t="shared" si="19"/>
        <v>3076.0214285714201</v>
      </c>
      <c r="L16" s="769">
        <v>-4802.8809523809596</v>
      </c>
      <c r="M16" s="636">
        <f t="shared" si="40"/>
        <v>1984.0214285714201</v>
      </c>
      <c r="N16" s="769">
        <v>829038</v>
      </c>
      <c r="O16" s="636">
        <f t="shared" si="39"/>
        <v>1092</v>
      </c>
      <c r="P16" s="769">
        <v>224510</v>
      </c>
      <c r="Q16" s="636">
        <f t="shared" si="31"/>
        <v>600</v>
      </c>
      <c r="R16" s="768">
        <v>205694</v>
      </c>
      <c r="S16" s="636">
        <f t="shared" si="32"/>
        <v>227</v>
      </c>
      <c r="T16" s="768">
        <v>375154</v>
      </c>
      <c r="U16" s="636">
        <f t="shared" si="1"/>
        <v>260</v>
      </c>
      <c r="V16" s="768">
        <v>199870</v>
      </c>
      <c r="W16" s="636">
        <f t="shared" si="2"/>
        <v>0</v>
      </c>
      <c r="X16" s="769">
        <v>409772</v>
      </c>
      <c r="Y16" s="636">
        <f t="shared" si="3"/>
        <v>3243.07</v>
      </c>
      <c r="Z16" s="769">
        <v>474469</v>
      </c>
      <c r="AA16" s="636">
        <f t="shared" si="4"/>
        <v>3560.01</v>
      </c>
      <c r="AB16" s="768">
        <v>728830</v>
      </c>
      <c r="AC16" s="636">
        <f t="shared" si="33"/>
        <v>0</v>
      </c>
      <c r="AD16" s="768">
        <v>721085</v>
      </c>
      <c r="AE16" s="636">
        <f t="shared" si="20"/>
        <v>1339.3100000000002</v>
      </c>
      <c r="AF16" s="768">
        <v>882456</v>
      </c>
      <c r="AG16" s="636">
        <f t="shared" si="42"/>
        <v>8.48</v>
      </c>
      <c r="AH16" s="768">
        <v>192192</v>
      </c>
      <c r="AI16" s="636">
        <f t="shared" si="6"/>
        <v>1053.6400000000001</v>
      </c>
      <c r="AJ16" s="768">
        <v>601354</v>
      </c>
      <c r="AK16" s="636">
        <f t="shared" si="45"/>
        <v>3408.4300000000003</v>
      </c>
      <c r="AL16" s="768">
        <v>537299</v>
      </c>
      <c r="AM16" s="636">
        <f t="shared" si="8"/>
        <v>94.87</v>
      </c>
      <c r="AN16" s="636">
        <f t="shared" si="21"/>
        <v>12707.810000000001</v>
      </c>
      <c r="AO16" s="768">
        <v>7842708</v>
      </c>
      <c r="AP16" s="636">
        <f t="shared" si="22"/>
        <v>209.02500000000001</v>
      </c>
      <c r="AQ16" s="768">
        <v>724379</v>
      </c>
      <c r="AR16" s="636">
        <f t="shared" si="9"/>
        <v>173</v>
      </c>
      <c r="AS16" s="768">
        <v>991455</v>
      </c>
      <c r="AT16" s="636">
        <f t="shared" si="23"/>
        <v>196</v>
      </c>
      <c r="AU16" s="768">
        <v>818171</v>
      </c>
      <c r="AV16" s="636">
        <f t="shared" si="10"/>
        <v>44</v>
      </c>
      <c r="AW16" s="768">
        <v>2746335</v>
      </c>
      <c r="AX16" s="636">
        <f t="shared" si="11"/>
        <v>1046</v>
      </c>
      <c r="AY16" s="768">
        <v>229733</v>
      </c>
      <c r="AZ16" s="636">
        <f t="shared" si="12"/>
        <v>0</v>
      </c>
      <c r="BA16" s="768">
        <v>20070010</v>
      </c>
      <c r="BB16" s="636">
        <f t="shared" si="13"/>
        <v>4940</v>
      </c>
      <c r="BC16" s="768">
        <v>604764</v>
      </c>
      <c r="BD16" s="636">
        <f t="shared" si="13"/>
        <v>237</v>
      </c>
      <c r="BE16" s="768">
        <v>35739</v>
      </c>
      <c r="BF16" s="636">
        <f t="shared" si="13"/>
        <v>112</v>
      </c>
      <c r="BG16" s="769">
        <v>25130957</v>
      </c>
      <c r="BH16" s="636">
        <f t="shared" si="24"/>
        <v>6046.35</v>
      </c>
      <c r="BI16" s="636">
        <f t="shared" si="25"/>
        <v>13003.375</v>
      </c>
      <c r="BJ16" s="636">
        <f t="shared" si="26"/>
        <v>25711.185000000001</v>
      </c>
      <c r="BK16" s="769">
        <v>1459094</v>
      </c>
      <c r="BL16" s="636">
        <f t="shared" si="14"/>
        <v>306</v>
      </c>
      <c r="BM16" s="769">
        <v>4110268</v>
      </c>
      <c r="BN16" s="636">
        <f t="shared" si="15"/>
        <v>1240</v>
      </c>
      <c r="BO16" s="768">
        <v>433900</v>
      </c>
      <c r="BP16" s="636">
        <f t="shared" si="16"/>
        <v>117</v>
      </c>
      <c r="BQ16" s="768">
        <v>541754</v>
      </c>
      <c r="BR16" s="636">
        <f t="shared" si="41"/>
        <v>160</v>
      </c>
      <c r="BS16" s="692">
        <f t="shared" si="27"/>
        <v>30620.185000000001</v>
      </c>
      <c r="BT16" s="693">
        <v>177</v>
      </c>
      <c r="BU16" s="692">
        <f t="shared" si="44"/>
        <v>172.99539548022599</v>
      </c>
      <c r="BV16" s="693"/>
      <c r="BW16" s="692" t="e">
        <f t="shared" si="29"/>
        <v>#DIV/0!</v>
      </c>
      <c r="BX16" s="692">
        <f t="shared" si="34"/>
        <v>35483.212749999999</v>
      </c>
      <c r="BY16" s="692">
        <f>IF(BX16&gt;0,BX16/BT15,0)</f>
        <v>200.47012853107344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24929565</v>
      </c>
      <c r="J17" s="636">
        <f>IF(I17&gt;=I16,I17-I16,0)</f>
        <v>5805</v>
      </c>
      <c r="K17" s="636">
        <f t="shared" si="19"/>
        <v>3075.0214285714296</v>
      </c>
      <c r="L17" s="769">
        <v>-2818.8595238095299</v>
      </c>
      <c r="M17" s="636">
        <f t="shared" si="40"/>
        <v>1984.0214285714296</v>
      </c>
      <c r="N17" s="769">
        <v>830129</v>
      </c>
      <c r="O17" s="636">
        <f t="shared" si="39"/>
        <v>1091</v>
      </c>
      <c r="P17" s="769">
        <v>224530</v>
      </c>
      <c r="Q17" s="636">
        <f t="shared" si="31"/>
        <v>600</v>
      </c>
      <c r="R17" s="768">
        <v>205928</v>
      </c>
      <c r="S17" s="636">
        <f t="shared" si="32"/>
        <v>234</v>
      </c>
      <c r="T17" s="768">
        <v>375430</v>
      </c>
      <c r="U17" s="636">
        <f t="shared" si="1"/>
        <v>276</v>
      </c>
      <c r="V17" s="768">
        <v>199870</v>
      </c>
      <c r="W17" s="636">
        <f t="shared" si="2"/>
        <v>0</v>
      </c>
      <c r="X17" s="769">
        <v>417082</v>
      </c>
      <c r="Y17" s="636">
        <f t="shared" si="3"/>
        <v>3874.3</v>
      </c>
      <c r="Z17" s="772">
        <v>482136</v>
      </c>
      <c r="AA17" s="636">
        <f t="shared" si="4"/>
        <v>4063.51</v>
      </c>
      <c r="AB17" s="768">
        <v>728830</v>
      </c>
      <c r="AC17" s="636">
        <f t="shared" si="33"/>
        <v>0</v>
      </c>
      <c r="AD17" s="768">
        <v>724073</v>
      </c>
      <c r="AE17" s="636">
        <f t="shared" si="20"/>
        <v>1583.64</v>
      </c>
      <c r="AF17" s="768">
        <v>882476</v>
      </c>
      <c r="AG17" s="636">
        <f t="shared" si="42"/>
        <v>10.600000000000001</v>
      </c>
      <c r="AH17" s="768">
        <v>194477</v>
      </c>
      <c r="AI17" s="636">
        <f t="shared" si="6"/>
        <v>1211.05</v>
      </c>
      <c r="AJ17" s="768">
        <v>608677</v>
      </c>
      <c r="AK17" s="636">
        <f t="shared" si="45"/>
        <v>3881.19</v>
      </c>
      <c r="AL17" s="768">
        <v>537516</v>
      </c>
      <c r="AM17" s="636">
        <f t="shared" si="8"/>
        <v>115.01</v>
      </c>
      <c r="AN17" s="636">
        <f t="shared" si="21"/>
        <v>14739.300000000001</v>
      </c>
      <c r="AO17" s="707">
        <v>7844980</v>
      </c>
      <c r="AP17" s="636">
        <f t="shared" si="22"/>
        <v>255.6</v>
      </c>
      <c r="AQ17" s="768">
        <v>724559</v>
      </c>
      <c r="AR17" s="636">
        <f t="shared" si="9"/>
        <v>180</v>
      </c>
      <c r="AS17" s="768">
        <v>991640</v>
      </c>
      <c r="AT17" s="636">
        <f t="shared" si="23"/>
        <v>185</v>
      </c>
      <c r="AU17" s="768">
        <v>818227</v>
      </c>
      <c r="AV17" s="636">
        <f t="shared" si="10"/>
        <v>56</v>
      </c>
      <c r="AW17" s="768">
        <v>2747266</v>
      </c>
      <c r="AX17" s="636">
        <f t="shared" si="11"/>
        <v>931</v>
      </c>
      <c r="AY17" s="768">
        <v>229733</v>
      </c>
      <c r="AZ17" s="636">
        <f t="shared" si="12"/>
        <v>0</v>
      </c>
      <c r="BA17" s="768">
        <v>20075450</v>
      </c>
      <c r="BB17" s="636">
        <f t="shared" si="13"/>
        <v>5440</v>
      </c>
      <c r="BC17" s="768">
        <v>604981</v>
      </c>
      <c r="BD17" s="636">
        <f t="shared" si="13"/>
        <v>217</v>
      </c>
      <c r="BE17" s="768">
        <v>35804</v>
      </c>
      <c r="BF17" s="636">
        <f t="shared" si="13"/>
        <v>65</v>
      </c>
      <c r="BG17" s="769">
        <v>25138050</v>
      </c>
      <c r="BH17" s="636">
        <f t="shared" si="24"/>
        <v>6269.05</v>
      </c>
      <c r="BI17" s="636">
        <f t="shared" si="25"/>
        <v>13598.650000000001</v>
      </c>
      <c r="BJ17" s="636">
        <f t="shared" si="26"/>
        <v>28337.950000000004</v>
      </c>
      <c r="BK17" s="769">
        <v>1459404</v>
      </c>
      <c r="BL17" s="636">
        <f t="shared" si="14"/>
        <v>310</v>
      </c>
      <c r="BM17" s="768">
        <v>4111655</v>
      </c>
      <c r="BN17" s="636">
        <f t="shared" si="15"/>
        <v>1387</v>
      </c>
      <c r="BO17" s="707">
        <v>434024</v>
      </c>
      <c r="BP17" s="636">
        <f t="shared" si="16"/>
        <v>124</v>
      </c>
      <c r="BQ17" s="768">
        <v>541898</v>
      </c>
      <c r="BR17" s="636">
        <f t="shared" si="41"/>
        <v>144</v>
      </c>
      <c r="BS17" s="692">
        <f t="shared" si="27"/>
        <v>34742.950000000004</v>
      </c>
      <c r="BT17" s="693">
        <v>204</v>
      </c>
      <c r="BU17" s="692">
        <f t="shared" si="44"/>
        <v>196.28785310734466</v>
      </c>
      <c r="BV17" s="693"/>
      <c r="BW17" s="692" t="e">
        <f t="shared" si="29"/>
        <v>#DIV/0!</v>
      </c>
      <c r="BX17" s="692">
        <f t="shared" si="34"/>
        <v>40224.392500000002</v>
      </c>
      <c r="BY17" s="692">
        <f>IF(BX17&gt;0,BX17/BT16,0)</f>
        <v>227.2564548022599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24935220</v>
      </c>
      <c r="J18" s="636">
        <f t="shared" si="18"/>
        <v>5655</v>
      </c>
      <c r="K18" s="636">
        <f t="shared" si="19"/>
        <v>3076.0214285714337</v>
      </c>
      <c r="L18" s="769">
        <v>-834.838095238096</v>
      </c>
      <c r="M18" s="636">
        <f t="shared" si="40"/>
        <v>1984.0214285714339</v>
      </c>
      <c r="N18" s="769">
        <v>831221</v>
      </c>
      <c r="O18" s="636">
        <f t="shared" si="39"/>
        <v>1092</v>
      </c>
      <c r="P18" s="769">
        <v>224540</v>
      </c>
      <c r="Q18" s="636">
        <f t="shared" si="31"/>
        <v>300</v>
      </c>
      <c r="R18" s="768">
        <v>206157</v>
      </c>
      <c r="S18" s="636">
        <f t="shared" si="32"/>
        <v>229</v>
      </c>
      <c r="T18" s="768">
        <v>375690</v>
      </c>
      <c r="U18" s="636">
        <f t="shared" si="1"/>
        <v>260</v>
      </c>
      <c r="V18" s="768">
        <v>204625</v>
      </c>
      <c r="W18" s="636">
        <f t="shared" si="2"/>
        <v>2520.15</v>
      </c>
      <c r="X18" s="769">
        <v>424056</v>
      </c>
      <c r="Y18" s="636">
        <f t="shared" si="3"/>
        <v>3696.2200000000003</v>
      </c>
      <c r="Z18" s="768">
        <v>483756</v>
      </c>
      <c r="AA18" s="636">
        <f t="shared" si="4"/>
        <v>858.6</v>
      </c>
      <c r="AB18" s="768">
        <v>728899</v>
      </c>
      <c r="AC18" s="636">
        <f t="shared" si="33"/>
        <v>36.57</v>
      </c>
      <c r="AD18" s="768">
        <v>724858</v>
      </c>
      <c r="AE18" s="636">
        <f t="shared" si="20"/>
        <v>416.05</v>
      </c>
      <c r="AF18" s="768">
        <v>889735</v>
      </c>
      <c r="AG18" s="636">
        <f t="shared" si="42"/>
        <v>3847.27</v>
      </c>
      <c r="AH18" s="768">
        <v>196676</v>
      </c>
      <c r="AI18" s="636">
        <f t="shared" si="6"/>
        <v>1165.47</v>
      </c>
      <c r="AJ18" s="768">
        <v>615785</v>
      </c>
      <c r="AK18" s="636">
        <f t="shared" si="45"/>
        <v>3767.2400000000002</v>
      </c>
      <c r="AL18" s="768">
        <v>537715</v>
      </c>
      <c r="AM18" s="636">
        <f t="shared" si="8"/>
        <v>105.47</v>
      </c>
      <c r="AN18" s="636">
        <f t="shared" si="21"/>
        <v>16413.04</v>
      </c>
      <c r="AO18" s="768">
        <v>7846935</v>
      </c>
      <c r="AP18" s="636">
        <f t="shared" si="22"/>
        <v>219.9375</v>
      </c>
      <c r="AQ18" s="769">
        <v>724751</v>
      </c>
      <c r="AR18" s="636">
        <f t="shared" si="9"/>
        <v>192</v>
      </c>
      <c r="AS18" s="769">
        <v>991815</v>
      </c>
      <c r="AT18" s="636">
        <f t="shared" si="23"/>
        <v>175</v>
      </c>
      <c r="AU18" s="769">
        <v>818288</v>
      </c>
      <c r="AV18" s="636">
        <f t="shared" si="10"/>
        <v>61</v>
      </c>
      <c r="AW18" s="769">
        <v>2748242</v>
      </c>
      <c r="AX18" s="636">
        <f t="shared" si="11"/>
        <v>976</v>
      </c>
      <c r="AY18" s="768">
        <v>229733</v>
      </c>
      <c r="AZ18" s="636">
        <f t="shared" si="12"/>
        <v>0</v>
      </c>
      <c r="BA18" s="768">
        <v>20080660</v>
      </c>
      <c r="BB18" s="636">
        <f t="shared" si="13"/>
        <v>5210</v>
      </c>
      <c r="BC18" s="768">
        <v>605180</v>
      </c>
      <c r="BD18" s="636">
        <f t="shared" si="13"/>
        <v>199</v>
      </c>
      <c r="BE18" s="768">
        <v>35869</v>
      </c>
      <c r="BF18" s="636">
        <f t="shared" si="13"/>
        <v>65</v>
      </c>
      <c r="BG18" s="769">
        <v>25144990</v>
      </c>
      <c r="BH18" s="636">
        <f t="shared" si="24"/>
        <v>6066.5</v>
      </c>
      <c r="BI18" s="636">
        <f t="shared" si="25"/>
        <v>13164.4375</v>
      </c>
      <c r="BJ18" s="636">
        <f t="shared" si="26"/>
        <v>29577.477500000001</v>
      </c>
      <c r="BK18" s="769">
        <v>1459710</v>
      </c>
      <c r="BL18" s="636">
        <f t="shared" si="14"/>
        <v>306</v>
      </c>
      <c r="BM18" s="768">
        <v>4113124</v>
      </c>
      <c r="BN18" s="636">
        <f t="shared" si="15"/>
        <v>1469</v>
      </c>
      <c r="BO18" s="768">
        <v>434145</v>
      </c>
      <c r="BP18" s="636">
        <f t="shared" si="16"/>
        <v>121</v>
      </c>
      <c r="BQ18" s="768">
        <v>542056</v>
      </c>
      <c r="BR18" s="636">
        <f t="shared" si="41"/>
        <v>158</v>
      </c>
      <c r="BS18" s="692">
        <f t="shared" si="27"/>
        <v>35532.477500000001</v>
      </c>
      <c r="BT18" s="693">
        <v>182</v>
      </c>
      <c r="BU18" s="692">
        <f t="shared" si="44"/>
        <v>174.1788112745098</v>
      </c>
      <c r="BV18" s="693"/>
      <c r="BW18" s="692" t="e">
        <f t="shared" si="29"/>
        <v>#DIV/0!</v>
      </c>
      <c r="BX18" s="692">
        <f t="shared" si="34"/>
        <v>40997.349125000001</v>
      </c>
      <c r="BY18" s="692">
        <f>IF(BX18&gt;0,BX18/BT17,0)</f>
        <v>200.96739767156862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24941174</v>
      </c>
      <c r="J19" s="636">
        <f t="shared" si="18"/>
        <v>5954</v>
      </c>
      <c r="K19" s="636">
        <f t="shared" si="19"/>
        <v>1831.838095238096</v>
      </c>
      <c r="L19" s="769">
        <v>997</v>
      </c>
      <c r="M19" s="636">
        <f t="shared" si="40"/>
        <v>1831.838095238096</v>
      </c>
      <c r="N19" s="769">
        <v>1682</v>
      </c>
      <c r="O19" s="636">
        <f t="shared" si="39"/>
        <v>0</v>
      </c>
      <c r="P19" s="769">
        <v>224560</v>
      </c>
      <c r="Q19" s="636">
        <f t="shared" ref="Q19:Q35" si="46">IF(P19&gt;=P18,P19-P18,0)*30</f>
        <v>600</v>
      </c>
      <c r="R19" s="768">
        <v>206381</v>
      </c>
      <c r="S19" s="636">
        <f t="shared" si="32"/>
        <v>224</v>
      </c>
      <c r="T19" s="768">
        <v>375938</v>
      </c>
      <c r="U19" s="636">
        <f t="shared" si="1"/>
        <v>248</v>
      </c>
      <c r="V19" s="768">
        <v>210157</v>
      </c>
      <c r="W19" s="636">
        <f t="shared" si="2"/>
        <v>2931.96</v>
      </c>
      <c r="X19" s="769">
        <v>425491</v>
      </c>
      <c r="Y19" s="636">
        <f t="shared" si="3"/>
        <v>760.55000000000007</v>
      </c>
      <c r="Z19" s="768">
        <v>483756</v>
      </c>
      <c r="AA19" s="636">
        <f t="shared" si="4"/>
        <v>0</v>
      </c>
      <c r="AB19" s="768">
        <v>734054</v>
      </c>
      <c r="AC19" s="636">
        <f t="shared" si="33"/>
        <v>2732.15</v>
      </c>
      <c r="AD19" s="768">
        <v>724881</v>
      </c>
      <c r="AE19" s="636">
        <f t="shared" si="20"/>
        <v>12.190000000000001</v>
      </c>
      <c r="AF19" s="768">
        <v>887421</v>
      </c>
      <c r="AG19" s="636">
        <f t="shared" si="42"/>
        <v>0</v>
      </c>
      <c r="AH19" s="769">
        <v>198820</v>
      </c>
      <c r="AI19" s="636">
        <f t="shared" si="6"/>
        <v>1136.3200000000002</v>
      </c>
      <c r="AJ19" s="769">
        <v>622696</v>
      </c>
      <c r="AK19" s="636">
        <f t="shared" si="45"/>
        <v>3662.8300000000004</v>
      </c>
      <c r="AL19" s="768">
        <v>537910</v>
      </c>
      <c r="AM19" s="636">
        <f t="shared" si="8"/>
        <v>103.35000000000001</v>
      </c>
      <c r="AN19" s="636">
        <f t="shared" si="21"/>
        <v>11339.35</v>
      </c>
      <c r="AO19" s="768">
        <v>7848731</v>
      </c>
      <c r="AP19" s="636">
        <f t="shared" si="22"/>
        <v>202.05</v>
      </c>
      <c r="AQ19" s="768">
        <v>724899</v>
      </c>
      <c r="AR19" s="636">
        <f t="shared" si="9"/>
        <v>148</v>
      </c>
      <c r="AS19" s="769">
        <v>992012</v>
      </c>
      <c r="AT19" s="636">
        <f t="shared" si="23"/>
        <v>197</v>
      </c>
      <c r="AU19" s="768">
        <v>818337</v>
      </c>
      <c r="AV19" s="636">
        <f t="shared" si="10"/>
        <v>49</v>
      </c>
      <c r="AW19" s="769">
        <v>2749180</v>
      </c>
      <c r="AX19" s="636">
        <f t="shared" si="11"/>
        <v>938</v>
      </c>
      <c r="AY19" s="768">
        <v>229733</v>
      </c>
      <c r="AZ19" s="636">
        <f t="shared" ref="AZ19:AZ36" si="47">IF(AY19&gt;=AY18,AY19-AY18,0)</f>
        <v>0</v>
      </c>
      <c r="BA19" s="769">
        <v>20085893</v>
      </c>
      <c r="BB19" s="636">
        <f t="shared" si="13"/>
        <v>5233</v>
      </c>
      <c r="BC19" s="768">
        <v>605377</v>
      </c>
      <c r="BD19" s="636">
        <f t="shared" si="13"/>
        <v>197</v>
      </c>
      <c r="BE19" s="768">
        <v>35934</v>
      </c>
      <c r="BF19" s="636">
        <f t="shared" si="13"/>
        <v>65</v>
      </c>
      <c r="BG19" s="769">
        <v>25151870</v>
      </c>
      <c r="BH19" s="636">
        <f t="shared" si="24"/>
        <v>6173.5</v>
      </c>
      <c r="BI19" s="636">
        <f t="shared" si="25"/>
        <v>13202.55</v>
      </c>
      <c r="BJ19" s="636">
        <f t="shared" si="26"/>
        <v>24541.9</v>
      </c>
      <c r="BK19" s="769">
        <v>1460012</v>
      </c>
      <c r="BL19" s="636">
        <f t="shared" si="14"/>
        <v>302</v>
      </c>
      <c r="BM19" s="768">
        <v>4114300</v>
      </c>
      <c r="BN19" s="636">
        <f t="shared" si="15"/>
        <v>1176</v>
      </c>
      <c r="BO19" s="707">
        <v>434259</v>
      </c>
      <c r="BP19" s="636">
        <f t="shared" si="16"/>
        <v>114</v>
      </c>
      <c r="BQ19" s="769">
        <v>542182</v>
      </c>
      <c r="BR19" s="636">
        <f t="shared" si="41"/>
        <v>126</v>
      </c>
      <c r="BS19" s="692">
        <f t="shared" si="27"/>
        <v>31095.899999999998</v>
      </c>
      <c r="BT19" s="693">
        <v>251</v>
      </c>
      <c r="BU19" s="692">
        <f t="shared" si="44"/>
        <v>170.85659340659339</v>
      </c>
      <c r="BV19" s="693"/>
      <c r="BW19" s="692" t="e">
        <f t="shared" si="29"/>
        <v>#DIV/0!</v>
      </c>
      <c r="BX19" s="692">
        <f t="shared" si="34"/>
        <v>36030.284999999996</v>
      </c>
      <c r="BY19" s="692">
        <f>IF(BX19&gt;0,BX19/BT18,0)</f>
        <v>197.96859890109889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24947582</v>
      </c>
      <c r="J20" s="636">
        <f>IF(I20&gt;=I19,I20-I19,0)</f>
        <v>6408</v>
      </c>
      <c r="K20" s="636">
        <f t="shared" si="19"/>
        <v>5605</v>
      </c>
      <c r="L20" s="769">
        <v>3110</v>
      </c>
      <c r="M20" s="636">
        <f t="shared" si="40"/>
        <v>2113</v>
      </c>
      <c r="N20" s="769">
        <v>5174</v>
      </c>
      <c r="O20" s="636">
        <f t="shared" si="39"/>
        <v>3492</v>
      </c>
      <c r="P20" s="769">
        <v>224580</v>
      </c>
      <c r="Q20" s="636">
        <f t="shared" si="46"/>
        <v>600</v>
      </c>
      <c r="R20" s="768">
        <v>206613</v>
      </c>
      <c r="S20" s="636">
        <f t="shared" si="32"/>
        <v>232</v>
      </c>
      <c r="T20" s="768">
        <v>376201</v>
      </c>
      <c r="U20" s="636">
        <f t="shared" si="1"/>
        <v>263</v>
      </c>
      <c r="V20" s="768">
        <v>215903</v>
      </c>
      <c r="W20" s="636">
        <f t="shared" si="2"/>
        <v>3045.38</v>
      </c>
      <c r="X20" s="769">
        <v>425491</v>
      </c>
      <c r="Y20" s="636">
        <f t="shared" si="3"/>
        <v>0</v>
      </c>
      <c r="Z20" s="769">
        <v>483756</v>
      </c>
      <c r="AA20" s="636">
        <f t="shared" si="4"/>
        <v>0</v>
      </c>
      <c r="AB20" s="768">
        <v>740869</v>
      </c>
      <c r="AC20" s="636">
        <f t="shared" si="33"/>
        <v>3611.9500000000003</v>
      </c>
      <c r="AD20" s="768">
        <v>724905</v>
      </c>
      <c r="AE20" s="636">
        <f t="shared" si="20"/>
        <v>12.72</v>
      </c>
      <c r="AF20" s="768">
        <v>890114</v>
      </c>
      <c r="AG20" s="636">
        <f t="shared" si="42"/>
        <v>1427.29</v>
      </c>
      <c r="AH20" s="768">
        <v>201059</v>
      </c>
      <c r="AI20" s="636">
        <f t="shared" si="6"/>
        <v>1186.67</v>
      </c>
      <c r="AJ20" s="768">
        <v>629893</v>
      </c>
      <c r="AK20" s="636">
        <f t="shared" si="45"/>
        <v>3814.4100000000003</v>
      </c>
      <c r="AL20" s="768">
        <v>538112</v>
      </c>
      <c r="AM20" s="636">
        <f t="shared" si="8"/>
        <v>107.06</v>
      </c>
      <c r="AN20" s="636">
        <f t="shared" si="21"/>
        <v>13205.48</v>
      </c>
      <c r="AO20" s="768">
        <v>7850758</v>
      </c>
      <c r="AP20" s="636">
        <f t="shared" si="22"/>
        <v>228.03749999999999</v>
      </c>
      <c r="AQ20" s="769">
        <v>725060</v>
      </c>
      <c r="AR20" s="636">
        <f t="shared" si="9"/>
        <v>161</v>
      </c>
      <c r="AS20" s="769">
        <v>992212</v>
      </c>
      <c r="AT20" s="636">
        <f>IF(AS20&gt;=AS19,AS20-AS19,0)</f>
        <v>200</v>
      </c>
      <c r="AU20" s="768">
        <v>818387</v>
      </c>
      <c r="AV20" s="636">
        <f>IF(AU20&gt;=AU19,AU20-AU19,0)</f>
        <v>50</v>
      </c>
      <c r="AW20" s="768">
        <v>2750150</v>
      </c>
      <c r="AX20" s="636">
        <f t="shared" si="11"/>
        <v>970</v>
      </c>
      <c r="AY20" s="768">
        <v>229733</v>
      </c>
      <c r="AZ20" s="636">
        <f t="shared" si="47"/>
        <v>0</v>
      </c>
      <c r="BA20" s="768">
        <v>20091327</v>
      </c>
      <c r="BB20" s="636">
        <f t="shared" si="13"/>
        <v>5434</v>
      </c>
      <c r="BC20" s="768">
        <v>605587</v>
      </c>
      <c r="BD20" s="636">
        <f t="shared" si="13"/>
        <v>210</v>
      </c>
      <c r="BE20" s="768">
        <v>35997</v>
      </c>
      <c r="BF20" s="636">
        <f t="shared" si="13"/>
        <v>63</v>
      </c>
      <c r="BG20" s="769">
        <v>25159006</v>
      </c>
      <c r="BH20" s="636">
        <f t="shared" si="24"/>
        <v>6109.45</v>
      </c>
      <c r="BI20" s="636">
        <f t="shared" si="25"/>
        <v>13425.487499999999</v>
      </c>
      <c r="BJ20" s="636">
        <f t="shared" si="26"/>
        <v>26630.967499999999</v>
      </c>
      <c r="BK20" s="769">
        <v>1460327</v>
      </c>
      <c r="BL20" s="636">
        <f t="shared" si="14"/>
        <v>315</v>
      </c>
      <c r="BM20" s="768">
        <v>4116105</v>
      </c>
      <c r="BN20" s="636">
        <f t="shared" si="15"/>
        <v>1805</v>
      </c>
      <c r="BO20" s="768">
        <v>434373</v>
      </c>
      <c r="BP20" s="636">
        <f t="shared" si="16"/>
        <v>114</v>
      </c>
      <c r="BQ20" s="768">
        <v>542345</v>
      </c>
      <c r="BR20" s="636">
        <f t="shared" si="41"/>
        <v>163</v>
      </c>
      <c r="BS20" s="692">
        <f t="shared" si="27"/>
        <v>33638.967499999999</v>
      </c>
      <c r="BT20" s="693">
        <v>230</v>
      </c>
      <c r="BU20" s="692">
        <f>IF(BS20&gt;0,BS20/BT20,0)</f>
        <v>146.25638043478261</v>
      </c>
      <c r="BV20" s="693"/>
      <c r="BW20" s="692" t="e">
        <f t="shared" si="29"/>
        <v>#DIV/0!</v>
      </c>
      <c r="BX20" s="692">
        <f t="shared" si="34"/>
        <v>38954.812624999999</v>
      </c>
      <c r="BY20" s="692">
        <f t="shared" ref="BY20:BY36" si="48">IF(BX20&gt;0,BX20/BT20,0)</f>
        <v>169.36875054347826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24953115</v>
      </c>
      <c r="J21" s="636">
        <f>IF(I21&gt;=I20,I21-I20,0)</f>
        <v>5533</v>
      </c>
      <c r="K21" s="636">
        <f t="shared" si="19"/>
        <v>5066</v>
      </c>
      <c r="L21" s="769">
        <v>5139</v>
      </c>
      <c r="M21" s="636">
        <f t="shared" si="40"/>
        <v>2029</v>
      </c>
      <c r="N21" s="769">
        <v>8211</v>
      </c>
      <c r="O21" s="636">
        <f t="shared" si="39"/>
        <v>3037</v>
      </c>
      <c r="P21" s="769">
        <v>224590</v>
      </c>
      <c r="Q21" s="636">
        <f t="shared" si="46"/>
        <v>300</v>
      </c>
      <c r="R21" s="768">
        <v>206810</v>
      </c>
      <c r="S21" s="636">
        <f t="shared" ref="S21:S35" si="49">IF(R21&gt;=R20,R21-R20,0)</f>
        <v>197</v>
      </c>
      <c r="T21" s="768">
        <v>376464</v>
      </c>
      <c r="U21" s="636">
        <f t="shared" si="1"/>
        <v>263</v>
      </c>
      <c r="V21" s="768">
        <v>219482</v>
      </c>
      <c r="W21" s="636">
        <f t="shared" si="2"/>
        <v>1896.8700000000001</v>
      </c>
      <c r="X21" s="769">
        <v>427650</v>
      </c>
      <c r="Y21" s="636">
        <f t="shared" si="3"/>
        <v>1144.27</v>
      </c>
      <c r="Z21" s="769">
        <v>483904</v>
      </c>
      <c r="AA21" s="636">
        <f t="shared" si="4"/>
        <v>78.44</v>
      </c>
      <c r="AB21" s="768">
        <v>747266</v>
      </c>
      <c r="AC21" s="636">
        <f t="shared" si="33"/>
        <v>3390.4100000000003</v>
      </c>
      <c r="AD21" s="768">
        <v>724927</v>
      </c>
      <c r="AE21" s="636">
        <f t="shared" si="20"/>
        <v>11.66</v>
      </c>
      <c r="AF21" s="768">
        <v>892497</v>
      </c>
      <c r="AG21" s="636">
        <f t="shared" si="42"/>
        <v>1262.99</v>
      </c>
      <c r="AH21" s="769">
        <v>203221</v>
      </c>
      <c r="AI21" s="636">
        <f t="shared" si="6"/>
        <v>1145.8600000000001</v>
      </c>
      <c r="AJ21" s="769">
        <v>636833</v>
      </c>
      <c r="AK21" s="636">
        <f t="shared" si="45"/>
        <v>3678.2000000000003</v>
      </c>
      <c r="AL21" s="768">
        <v>538309</v>
      </c>
      <c r="AM21" s="636">
        <f t="shared" si="8"/>
        <v>104.41000000000001</v>
      </c>
      <c r="AN21" s="636">
        <f t="shared" si="21"/>
        <v>12713.11</v>
      </c>
      <c r="AO21" s="768">
        <v>7853082</v>
      </c>
      <c r="AP21" s="636">
        <f t="shared" si="22"/>
        <v>261.45</v>
      </c>
      <c r="AQ21" s="768">
        <v>725216</v>
      </c>
      <c r="AR21" s="636">
        <f t="shared" si="9"/>
        <v>156</v>
      </c>
      <c r="AS21" s="769">
        <v>992397</v>
      </c>
      <c r="AT21" s="636">
        <f>IF(AS21&gt;=AS20,AS21-AS20,0)</f>
        <v>185</v>
      </c>
      <c r="AU21" s="768">
        <v>818437</v>
      </c>
      <c r="AV21" s="636">
        <f>IF(AU21&gt;=AU20,AU21-AU20,0)</f>
        <v>50</v>
      </c>
      <c r="AW21" s="768">
        <v>2751117</v>
      </c>
      <c r="AX21" s="636">
        <f t="shared" si="11"/>
        <v>967</v>
      </c>
      <c r="AY21" s="769">
        <v>229733</v>
      </c>
      <c r="AZ21" s="636">
        <f t="shared" si="47"/>
        <v>0</v>
      </c>
      <c r="BA21" s="769">
        <v>20096576</v>
      </c>
      <c r="BB21" s="636">
        <f t="shared" si="13"/>
        <v>5249</v>
      </c>
      <c r="BC21" s="768">
        <v>605970</v>
      </c>
      <c r="BD21" s="636">
        <f t="shared" si="13"/>
        <v>383</v>
      </c>
      <c r="BE21" s="768">
        <v>36062</v>
      </c>
      <c r="BF21" s="636">
        <f t="shared" si="13"/>
        <v>65</v>
      </c>
      <c r="BG21" s="769">
        <v>25165724</v>
      </c>
      <c r="BH21" s="636">
        <f t="shared" si="24"/>
        <v>5908.4000000000005</v>
      </c>
      <c r="BI21" s="636">
        <f t="shared" si="25"/>
        <v>13224.85</v>
      </c>
      <c r="BJ21" s="636">
        <f t="shared" si="26"/>
        <v>25937.96</v>
      </c>
      <c r="BK21" s="769">
        <v>1460534</v>
      </c>
      <c r="BL21" s="636">
        <f t="shared" si="14"/>
        <v>207</v>
      </c>
      <c r="BM21" s="768">
        <v>4117561</v>
      </c>
      <c r="BN21" s="636">
        <f t="shared" si="15"/>
        <v>1456</v>
      </c>
      <c r="BO21" s="768">
        <v>434485</v>
      </c>
      <c r="BP21" s="636">
        <f t="shared" si="16"/>
        <v>112</v>
      </c>
      <c r="BQ21" s="768">
        <v>542449</v>
      </c>
      <c r="BR21" s="636">
        <f t="shared" si="41"/>
        <v>104</v>
      </c>
      <c r="BS21" s="692">
        <f t="shared" si="27"/>
        <v>31770.959999999999</v>
      </c>
      <c r="BT21" s="693">
        <v>192</v>
      </c>
      <c r="BU21" s="692">
        <f t="shared" ref="BU21:BU36" si="50">IF(BS21&gt;0,BS21/BT21,0)</f>
        <v>165.47375</v>
      </c>
      <c r="BV21" s="693"/>
      <c r="BW21" s="692" t="e">
        <f t="shared" si="29"/>
        <v>#DIV/0!</v>
      </c>
      <c r="BX21" s="692">
        <f t="shared" si="34"/>
        <v>36671.603999999999</v>
      </c>
      <c r="BY21" s="692">
        <f t="shared" si="48"/>
        <v>190.99793750000001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24958774</v>
      </c>
      <c r="J22" s="636">
        <f t="shared" ref="J22:J31" si="51">IF(I22&gt;=I21,I22-I21,0)</f>
        <v>5659</v>
      </c>
      <c r="K22" s="636">
        <f t="shared" si="19"/>
        <v>5067</v>
      </c>
      <c r="L22" s="769">
        <v>7170</v>
      </c>
      <c r="M22" s="636">
        <f t="shared" si="40"/>
        <v>2031</v>
      </c>
      <c r="N22" s="769">
        <v>11247</v>
      </c>
      <c r="O22" s="636">
        <f t="shared" si="39"/>
        <v>3036</v>
      </c>
      <c r="P22" s="769">
        <v>224616</v>
      </c>
      <c r="Q22" s="636">
        <f t="shared" si="46"/>
        <v>780</v>
      </c>
      <c r="R22" s="768">
        <v>206947</v>
      </c>
      <c r="S22" s="636">
        <f t="shared" si="49"/>
        <v>137</v>
      </c>
      <c r="T22" s="768">
        <v>376745</v>
      </c>
      <c r="U22" s="636">
        <f t="shared" si="1"/>
        <v>281</v>
      </c>
      <c r="V22" s="768">
        <v>219482</v>
      </c>
      <c r="W22" s="636">
        <f t="shared" ref="W22:W28" si="52">IF(V22&gt;=V21,V22-V21,0)*0.53</f>
        <v>0</v>
      </c>
      <c r="X22" s="769">
        <v>435264</v>
      </c>
      <c r="Y22" s="636">
        <f t="shared" si="3"/>
        <v>4035.42</v>
      </c>
      <c r="Z22" s="769">
        <v>483904</v>
      </c>
      <c r="AA22" s="636">
        <f t="shared" si="4"/>
        <v>0</v>
      </c>
      <c r="AB22" s="768">
        <v>753516</v>
      </c>
      <c r="AC22" s="636">
        <f t="shared" si="33"/>
        <v>3312.5</v>
      </c>
      <c r="AD22" s="768">
        <v>724952</v>
      </c>
      <c r="AE22" s="636">
        <f t="shared" si="20"/>
        <v>13.25</v>
      </c>
      <c r="AF22" s="768">
        <v>895579</v>
      </c>
      <c r="AG22" s="636">
        <f t="shared" si="42"/>
        <v>1633.46</v>
      </c>
      <c r="AH22" s="768">
        <v>205446</v>
      </c>
      <c r="AI22" s="636">
        <f t="shared" si="6"/>
        <v>1179.25</v>
      </c>
      <c r="AJ22" s="768">
        <v>644144</v>
      </c>
      <c r="AK22" s="636">
        <f t="shared" si="45"/>
        <v>3874.8300000000004</v>
      </c>
      <c r="AL22" s="768">
        <v>538526</v>
      </c>
      <c r="AM22" s="636">
        <f t="shared" si="8"/>
        <v>115.01</v>
      </c>
      <c r="AN22" s="636">
        <f t="shared" si="21"/>
        <v>14163.720000000001</v>
      </c>
      <c r="AO22" s="768">
        <v>7855433</v>
      </c>
      <c r="AP22" s="636">
        <f t="shared" si="22"/>
        <v>264.48750000000001</v>
      </c>
      <c r="AQ22" s="769">
        <v>725394</v>
      </c>
      <c r="AR22" s="636">
        <f t="shared" si="9"/>
        <v>178</v>
      </c>
      <c r="AS22" s="768">
        <v>992595</v>
      </c>
      <c r="AT22" s="636">
        <f t="shared" si="23"/>
        <v>198</v>
      </c>
      <c r="AU22" s="768">
        <v>818490</v>
      </c>
      <c r="AV22" s="636">
        <f t="shared" si="10"/>
        <v>53</v>
      </c>
      <c r="AW22" s="768">
        <v>2752081</v>
      </c>
      <c r="AX22" s="636">
        <f t="shared" si="11"/>
        <v>964</v>
      </c>
      <c r="AY22" s="768">
        <v>229733</v>
      </c>
      <c r="AZ22" s="636">
        <f t="shared" si="47"/>
        <v>0</v>
      </c>
      <c r="BA22" s="768">
        <v>20101728</v>
      </c>
      <c r="BB22" s="636">
        <f t="shared" si="13"/>
        <v>5152</v>
      </c>
      <c r="BC22" s="768">
        <v>606012</v>
      </c>
      <c r="BD22" s="636">
        <f t="shared" si="13"/>
        <v>42</v>
      </c>
      <c r="BE22" s="768">
        <v>36179</v>
      </c>
      <c r="BF22" s="636">
        <f t="shared" si="13"/>
        <v>117</v>
      </c>
      <c r="BG22" s="769">
        <v>25172590</v>
      </c>
      <c r="BH22" s="636">
        <f t="shared" si="24"/>
        <v>5949.3499999999995</v>
      </c>
      <c r="BI22" s="636">
        <f t="shared" si="25"/>
        <v>12917.8375</v>
      </c>
      <c r="BJ22" s="636">
        <f t="shared" si="26"/>
        <v>27081.557500000003</v>
      </c>
      <c r="BK22" s="769">
        <v>1460710</v>
      </c>
      <c r="BL22" s="636">
        <f t="shared" si="14"/>
        <v>176</v>
      </c>
      <c r="BM22" s="769">
        <v>4119039</v>
      </c>
      <c r="BN22" s="636">
        <f t="shared" si="15"/>
        <v>1478</v>
      </c>
      <c r="BO22" s="768">
        <v>434584</v>
      </c>
      <c r="BP22" s="636">
        <f t="shared" si="16"/>
        <v>99</v>
      </c>
      <c r="BQ22" s="768">
        <v>542656</v>
      </c>
      <c r="BR22" s="636">
        <f t="shared" si="41"/>
        <v>207</v>
      </c>
      <c r="BS22" s="692">
        <f t="shared" si="27"/>
        <v>33520.557500000003</v>
      </c>
      <c r="BT22" s="693">
        <v>178</v>
      </c>
      <c r="BU22" s="692">
        <f t="shared" si="50"/>
        <v>188.31773876404495</v>
      </c>
      <c r="BV22" s="693"/>
      <c r="BW22" s="692" t="e">
        <f t="shared" si="29"/>
        <v>#DIV/0!</v>
      </c>
      <c r="BX22" s="692">
        <f t="shared" si="34"/>
        <v>38899.641125000002</v>
      </c>
      <c r="BY22" s="692">
        <f t="shared" si="48"/>
        <v>218.53730969101125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24963972</v>
      </c>
      <c r="J23" s="636">
        <f t="shared" si="51"/>
        <v>5198</v>
      </c>
      <c r="K23" s="636">
        <f t="shared" si="19"/>
        <v>4917</v>
      </c>
      <c r="L23" s="769">
        <v>9113</v>
      </c>
      <c r="M23" s="636">
        <f t="shared" si="40"/>
        <v>1943</v>
      </c>
      <c r="N23" s="769">
        <v>14221</v>
      </c>
      <c r="O23" s="636">
        <f t="shared" si="39"/>
        <v>2974</v>
      </c>
      <c r="P23" s="769">
        <v>224633</v>
      </c>
      <c r="Q23" s="636">
        <f t="shared" si="46"/>
        <v>510</v>
      </c>
      <c r="R23" s="768">
        <v>207087</v>
      </c>
      <c r="S23" s="636">
        <f t="shared" si="49"/>
        <v>140</v>
      </c>
      <c r="T23" s="768">
        <v>377041</v>
      </c>
      <c r="U23" s="636">
        <f t="shared" si="1"/>
        <v>296</v>
      </c>
      <c r="V23" s="768">
        <v>219486</v>
      </c>
      <c r="W23" s="636">
        <f t="shared" si="52"/>
        <v>2.12</v>
      </c>
      <c r="X23" s="769">
        <v>442616</v>
      </c>
      <c r="Y23" s="636">
        <f t="shared" si="3"/>
        <v>3896.5600000000004</v>
      </c>
      <c r="Z23" s="772">
        <v>484098</v>
      </c>
      <c r="AA23" s="636">
        <f t="shared" si="4"/>
        <v>102.82000000000001</v>
      </c>
      <c r="AB23" s="768">
        <v>759924</v>
      </c>
      <c r="AC23" s="636">
        <f t="shared" si="33"/>
        <v>3396.2400000000002</v>
      </c>
      <c r="AD23" s="768">
        <v>724976</v>
      </c>
      <c r="AE23" s="636">
        <f t="shared" si="20"/>
        <v>12.72</v>
      </c>
      <c r="AF23" s="768">
        <v>898735</v>
      </c>
      <c r="AG23" s="636">
        <f t="shared" si="42"/>
        <v>1672.68</v>
      </c>
      <c r="AH23" s="768">
        <v>207588</v>
      </c>
      <c r="AI23" s="636">
        <f t="shared" si="6"/>
        <v>1135.26</v>
      </c>
      <c r="AJ23" s="768">
        <v>651239</v>
      </c>
      <c r="AK23" s="636">
        <f t="shared" si="45"/>
        <v>3760.3500000000004</v>
      </c>
      <c r="AL23" s="768">
        <v>538764</v>
      </c>
      <c r="AM23" s="636">
        <f t="shared" si="8"/>
        <v>126.14</v>
      </c>
      <c r="AN23" s="636">
        <f t="shared" si="21"/>
        <v>14104.890000000001</v>
      </c>
      <c r="AO23" s="707">
        <v>7857999</v>
      </c>
      <c r="AP23" s="636">
        <f t="shared" si="22"/>
        <v>288.67500000000001</v>
      </c>
      <c r="AQ23" s="768">
        <v>725543</v>
      </c>
      <c r="AR23" s="636">
        <f t="shared" si="9"/>
        <v>149</v>
      </c>
      <c r="AS23" s="768">
        <v>992786</v>
      </c>
      <c r="AT23" s="636">
        <f t="shared" si="23"/>
        <v>191</v>
      </c>
      <c r="AU23" s="768">
        <v>818552</v>
      </c>
      <c r="AV23" s="636">
        <f t="shared" si="10"/>
        <v>62</v>
      </c>
      <c r="AW23" s="768">
        <v>2753033</v>
      </c>
      <c r="AX23" s="636">
        <f t="shared" si="11"/>
        <v>952</v>
      </c>
      <c r="AY23" s="769">
        <v>229733</v>
      </c>
      <c r="AZ23" s="636">
        <f t="shared" si="47"/>
        <v>0</v>
      </c>
      <c r="BA23" s="769">
        <v>20106795</v>
      </c>
      <c r="BB23" s="636">
        <f t="shared" si="13"/>
        <v>5067</v>
      </c>
      <c r="BC23" s="768">
        <v>606248</v>
      </c>
      <c r="BD23" s="636">
        <f t="shared" si="13"/>
        <v>236</v>
      </c>
      <c r="BE23" s="768">
        <v>36239</v>
      </c>
      <c r="BF23" s="636">
        <f t="shared" si="13"/>
        <v>60</v>
      </c>
      <c r="BG23" s="769">
        <v>25179726</v>
      </c>
      <c r="BH23" s="636">
        <f t="shared" si="24"/>
        <v>6244.25</v>
      </c>
      <c r="BI23" s="636">
        <f t="shared" si="25"/>
        <v>13249.924999999999</v>
      </c>
      <c r="BJ23" s="636">
        <f t="shared" si="26"/>
        <v>27354.815000000002</v>
      </c>
      <c r="BK23" s="769">
        <v>1461015</v>
      </c>
      <c r="BL23" s="636">
        <f t="shared" si="14"/>
        <v>305</v>
      </c>
      <c r="BM23" s="768">
        <v>4120545</v>
      </c>
      <c r="BN23" s="636">
        <f t="shared" si="15"/>
        <v>1506</v>
      </c>
      <c r="BO23" s="768">
        <v>434693</v>
      </c>
      <c r="BP23" s="636">
        <f t="shared" si="16"/>
        <v>109</v>
      </c>
      <c r="BQ23" s="769">
        <v>542821</v>
      </c>
      <c r="BR23" s="636">
        <f t="shared" si="41"/>
        <v>165</v>
      </c>
      <c r="BS23" s="692">
        <f t="shared" si="27"/>
        <v>33062.815000000002</v>
      </c>
      <c r="BT23" s="693">
        <v>184</v>
      </c>
      <c r="BU23" s="692">
        <f t="shared" si="50"/>
        <v>179.68921195652175</v>
      </c>
      <c r="BV23" s="693"/>
      <c r="BW23" s="692" t="e">
        <f t="shared" si="29"/>
        <v>#DIV/0!</v>
      </c>
      <c r="BX23" s="692">
        <f t="shared" si="34"/>
        <v>38251.737249999998</v>
      </c>
      <c r="BY23" s="692">
        <f t="shared" si="48"/>
        <v>207.88987635869563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24969212</v>
      </c>
      <c r="J24" s="636">
        <f t="shared" si="51"/>
        <v>5240</v>
      </c>
      <c r="K24" s="636">
        <f t="shared" si="19"/>
        <v>4582</v>
      </c>
      <c r="L24" s="769">
        <v>11056</v>
      </c>
      <c r="M24" s="636">
        <f t="shared" si="40"/>
        <v>1943</v>
      </c>
      <c r="N24" s="769">
        <v>16860</v>
      </c>
      <c r="O24" s="636">
        <f t="shared" si="39"/>
        <v>2639</v>
      </c>
      <c r="P24" s="769">
        <v>224650</v>
      </c>
      <c r="Q24" s="636">
        <f>IF(P24&gt;=P23,P24-P23,0)*30</f>
        <v>510</v>
      </c>
      <c r="R24" s="768">
        <v>207212</v>
      </c>
      <c r="S24" s="636">
        <f t="shared" si="49"/>
        <v>125</v>
      </c>
      <c r="T24" s="768">
        <v>377311</v>
      </c>
      <c r="U24" s="636">
        <f t="shared" si="1"/>
        <v>270</v>
      </c>
      <c r="V24" s="768">
        <v>225190</v>
      </c>
      <c r="W24" s="636">
        <f t="shared" si="52"/>
        <v>3023.1200000000003</v>
      </c>
      <c r="X24" s="769">
        <v>442727</v>
      </c>
      <c r="Y24" s="636">
        <f t="shared" si="3"/>
        <v>58.830000000000005</v>
      </c>
      <c r="Z24" s="768">
        <v>485328</v>
      </c>
      <c r="AA24" s="636">
        <f t="shared" si="4"/>
        <v>651.9</v>
      </c>
      <c r="AB24" s="768">
        <v>765032</v>
      </c>
      <c r="AC24" s="636">
        <f t="shared" si="33"/>
        <v>2707.2400000000002</v>
      </c>
      <c r="AD24" s="768">
        <v>727774</v>
      </c>
      <c r="AE24" s="636">
        <f t="shared" si="20"/>
        <v>1482.94</v>
      </c>
      <c r="AF24" s="768">
        <v>898772</v>
      </c>
      <c r="AG24" s="636">
        <f t="shared" si="42"/>
        <v>19.61</v>
      </c>
      <c r="AH24" s="768">
        <v>209481</v>
      </c>
      <c r="AI24" s="636">
        <f t="shared" si="6"/>
        <v>1003.2900000000001</v>
      </c>
      <c r="AJ24" s="768">
        <v>657502</v>
      </c>
      <c r="AK24" s="636">
        <f t="shared" si="45"/>
        <v>3319.3900000000003</v>
      </c>
      <c r="AL24" s="768">
        <v>538959</v>
      </c>
      <c r="AM24" s="636">
        <f t="shared" si="8"/>
        <v>103.35000000000001</v>
      </c>
      <c r="AN24" s="636">
        <f t="shared" si="21"/>
        <v>12369.67</v>
      </c>
      <c r="AO24" s="768">
        <v>7860100</v>
      </c>
      <c r="AP24" s="636">
        <f t="shared" si="22"/>
        <v>236.36250000000001</v>
      </c>
      <c r="AQ24" s="769">
        <v>725682</v>
      </c>
      <c r="AR24" s="636">
        <f t="shared" si="9"/>
        <v>139</v>
      </c>
      <c r="AS24" s="769">
        <v>992950</v>
      </c>
      <c r="AT24" s="636">
        <f t="shared" si="23"/>
        <v>164</v>
      </c>
      <c r="AU24" s="768">
        <v>818610</v>
      </c>
      <c r="AV24" s="636">
        <f t="shared" si="10"/>
        <v>58</v>
      </c>
      <c r="AW24" s="768">
        <v>2753993</v>
      </c>
      <c r="AX24" s="636">
        <f t="shared" si="11"/>
        <v>960</v>
      </c>
      <c r="AY24" s="769">
        <v>229733</v>
      </c>
      <c r="AZ24" s="636">
        <f t="shared" si="47"/>
        <v>0</v>
      </c>
      <c r="BA24" s="768">
        <v>20111342</v>
      </c>
      <c r="BB24" s="636">
        <f t="shared" si="13"/>
        <v>4547</v>
      </c>
      <c r="BC24" s="768">
        <v>606461</v>
      </c>
      <c r="BD24" s="636">
        <f t="shared" si="13"/>
        <v>213</v>
      </c>
      <c r="BE24" s="768">
        <v>36304</v>
      </c>
      <c r="BF24" s="636">
        <f t="shared" si="13"/>
        <v>65</v>
      </c>
      <c r="BG24" s="769">
        <v>25186142</v>
      </c>
      <c r="BH24" s="636">
        <f t="shared" si="24"/>
        <v>5641.45</v>
      </c>
      <c r="BI24" s="636">
        <f t="shared" si="25"/>
        <v>12023.8125</v>
      </c>
      <c r="BJ24" s="636">
        <f t="shared" si="26"/>
        <v>24393.482499999998</v>
      </c>
      <c r="BK24" s="769">
        <v>1461219</v>
      </c>
      <c r="BL24" s="636">
        <f t="shared" si="14"/>
        <v>204</v>
      </c>
      <c r="BM24" s="769">
        <v>4121830</v>
      </c>
      <c r="BN24" s="636">
        <f t="shared" si="15"/>
        <v>1285</v>
      </c>
      <c r="BO24" s="768">
        <v>434787</v>
      </c>
      <c r="BP24" s="636">
        <f t="shared" si="16"/>
        <v>94</v>
      </c>
      <c r="BQ24" s="769">
        <v>542975</v>
      </c>
      <c r="BR24" s="636">
        <f t="shared" si="41"/>
        <v>154</v>
      </c>
      <c r="BS24" s="692">
        <f t="shared" si="27"/>
        <v>30143.482499999998</v>
      </c>
      <c r="BT24" s="693">
        <v>167</v>
      </c>
      <c r="BU24" s="692">
        <f t="shared" si="50"/>
        <v>180.49989520958084</v>
      </c>
      <c r="BV24" s="693"/>
      <c r="BW24" s="692" t="e">
        <f t="shared" si="29"/>
        <v>#DIV/0!</v>
      </c>
      <c r="BX24" s="692">
        <f t="shared" si="34"/>
        <v>34894.504874999999</v>
      </c>
      <c r="BY24" s="692">
        <f t="shared" si="48"/>
        <v>208.94913098802394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24975751</v>
      </c>
      <c r="J25" s="636">
        <f t="shared" si="51"/>
        <v>6539</v>
      </c>
      <c r="K25" s="636">
        <f t="shared" si="19"/>
        <v>5321</v>
      </c>
      <c r="L25" s="769">
        <v>13038</v>
      </c>
      <c r="M25" s="636">
        <f t="shared" si="40"/>
        <v>1982</v>
      </c>
      <c r="N25" s="769">
        <v>20199</v>
      </c>
      <c r="O25" s="636">
        <f t="shared" si="39"/>
        <v>3339</v>
      </c>
      <c r="P25" s="769">
        <v>224667</v>
      </c>
      <c r="Q25" s="636">
        <f t="shared" si="46"/>
        <v>510</v>
      </c>
      <c r="R25" s="768">
        <v>207361</v>
      </c>
      <c r="S25" s="636">
        <f t="shared" si="49"/>
        <v>149</v>
      </c>
      <c r="T25" s="768">
        <v>377631</v>
      </c>
      <c r="U25" s="636">
        <f t="shared" si="1"/>
        <v>320</v>
      </c>
      <c r="V25" s="768">
        <v>233003</v>
      </c>
      <c r="W25" s="636">
        <f t="shared" si="52"/>
        <v>4140.8900000000003</v>
      </c>
      <c r="X25" s="769">
        <v>442727</v>
      </c>
      <c r="Y25" s="636">
        <f t="shared" si="3"/>
        <v>0</v>
      </c>
      <c r="Z25" s="772">
        <v>493459</v>
      </c>
      <c r="AA25" s="636">
        <f t="shared" si="4"/>
        <v>4309.43</v>
      </c>
      <c r="AB25" s="768">
        <v>765032</v>
      </c>
      <c r="AC25" s="636">
        <f t="shared" si="33"/>
        <v>0</v>
      </c>
      <c r="AD25" s="768">
        <v>731297</v>
      </c>
      <c r="AE25" s="636">
        <f t="shared" si="20"/>
        <v>1867.19</v>
      </c>
      <c r="AF25" s="768">
        <v>898794</v>
      </c>
      <c r="AG25" s="636">
        <f t="shared" si="42"/>
        <v>11.66</v>
      </c>
      <c r="AH25" s="768">
        <v>211834</v>
      </c>
      <c r="AI25" s="636">
        <f t="shared" si="6"/>
        <v>1247.0900000000001</v>
      </c>
      <c r="AJ25" s="768">
        <v>665195</v>
      </c>
      <c r="AK25" s="636">
        <f t="shared" si="45"/>
        <v>4077.2900000000004</v>
      </c>
      <c r="AL25" s="768">
        <v>539195</v>
      </c>
      <c r="AM25" s="636">
        <f t="shared" si="8"/>
        <v>125.08000000000001</v>
      </c>
      <c r="AN25" s="636">
        <f t="shared" si="21"/>
        <v>15778.630000000001</v>
      </c>
      <c r="AO25" s="768">
        <v>7862622</v>
      </c>
      <c r="AP25" s="636">
        <f t="shared" si="22"/>
        <v>283.72500000000002</v>
      </c>
      <c r="AQ25" s="768">
        <v>725858</v>
      </c>
      <c r="AR25" s="636">
        <f>IF(AQ25&gt;=AQ24,AQ25-AQ24,0)</f>
        <v>176</v>
      </c>
      <c r="AS25" s="769">
        <v>993138</v>
      </c>
      <c r="AT25" s="636">
        <f t="shared" si="23"/>
        <v>188</v>
      </c>
      <c r="AU25" s="768">
        <v>818674</v>
      </c>
      <c r="AV25" s="636">
        <f t="shared" si="10"/>
        <v>64</v>
      </c>
      <c r="AW25" s="768">
        <v>2755011</v>
      </c>
      <c r="AX25" s="636">
        <f t="shared" si="11"/>
        <v>1018</v>
      </c>
      <c r="AY25" s="769">
        <v>229733</v>
      </c>
      <c r="AZ25" s="636">
        <f t="shared" si="47"/>
        <v>0</v>
      </c>
      <c r="BA25" s="768">
        <v>20117056</v>
      </c>
      <c r="BB25" s="636">
        <f t="shared" si="13"/>
        <v>5714</v>
      </c>
      <c r="BC25" s="768">
        <v>606706</v>
      </c>
      <c r="BD25" s="636">
        <f t="shared" si="13"/>
        <v>245</v>
      </c>
      <c r="BE25" s="768">
        <v>36365.666666666701</v>
      </c>
      <c r="BF25" s="636">
        <f t="shared" si="13"/>
        <v>61.666666666700621</v>
      </c>
      <c r="BG25" s="769">
        <v>25194262</v>
      </c>
      <c r="BH25" s="636">
        <f t="shared" si="24"/>
        <v>7140.9000000000005</v>
      </c>
      <c r="BI25" s="636">
        <f t="shared" si="25"/>
        <v>14891.291666666701</v>
      </c>
      <c r="BJ25" s="636">
        <f t="shared" si="26"/>
        <v>30669.921666666702</v>
      </c>
      <c r="BK25" s="769">
        <v>1461487</v>
      </c>
      <c r="BL25" s="636">
        <f t="shared" si="14"/>
        <v>268</v>
      </c>
      <c r="BM25" s="769">
        <v>4123476</v>
      </c>
      <c r="BN25" s="636">
        <f t="shared" si="15"/>
        <v>1646</v>
      </c>
      <c r="BO25" s="707">
        <v>434899</v>
      </c>
      <c r="BP25" s="636">
        <f t="shared" si="16"/>
        <v>112</v>
      </c>
      <c r="BQ25" s="768">
        <v>543163</v>
      </c>
      <c r="BR25" s="636">
        <f t="shared" si="41"/>
        <v>188</v>
      </c>
      <c r="BS25" s="692">
        <f t="shared" si="27"/>
        <v>37718.921666666705</v>
      </c>
      <c r="BT25" s="693">
        <v>156</v>
      </c>
      <c r="BU25" s="692">
        <f t="shared" si="50"/>
        <v>241.78795940170966</v>
      </c>
      <c r="BV25" s="693"/>
      <c r="BW25" s="692" t="e">
        <f t="shared" si="29"/>
        <v>#DIV/0!</v>
      </c>
      <c r="BX25" s="692">
        <f t="shared" si="34"/>
        <v>43606.259916666706</v>
      </c>
      <c r="BY25" s="692">
        <f t="shared" si="48"/>
        <v>279.52730715811992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24981677</v>
      </c>
      <c r="J26" s="636">
        <f t="shared" si="51"/>
        <v>5926</v>
      </c>
      <c r="K26" s="636">
        <f t="shared" si="19"/>
        <v>5037</v>
      </c>
      <c r="L26" s="769">
        <v>15098</v>
      </c>
      <c r="M26" s="636">
        <f t="shared" si="40"/>
        <v>2060</v>
      </c>
      <c r="N26" s="769">
        <v>23176</v>
      </c>
      <c r="O26" s="636">
        <f t="shared" si="39"/>
        <v>2977</v>
      </c>
      <c r="P26" s="769">
        <v>224683</v>
      </c>
      <c r="Q26" s="636">
        <f t="shared" si="46"/>
        <v>480</v>
      </c>
      <c r="R26" s="768">
        <v>207502</v>
      </c>
      <c r="S26" s="636">
        <f t="shared" si="49"/>
        <v>141</v>
      </c>
      <c r="T26" s="768">
        <v>377925</v>
      </c>
      <c r="U26" s="636">
        <f t="shared" si="1"/>
        <v>294</v>
      </c>
      <c r="V26" s="768">
        <v>239726</v>
      </c>
      <c r="W26" s="636">
        <f t="shared" si="52"/>
        <v>3563.19</v>
      </c>
      <c r="X26" s="769">
        <v>442727</v>
      </c>
      <c r="Y26" s="636">
        <f t="shared" si="3"/>
        <v>0</v>
      </c>
      <c r="Z26" s="768">
        <v>500946</v>
      </c>
      <c r="AA26" s="636">
        <f t="shared" si="4"/>
        <v>3968.11</v>
      </c>
      <c r="AB26" s="768">
        <v>765032</v>
      </c>
      <c r="AC26" s="636">
        <f t="shared" si="33"/>
        <v>0</v>
      </c>
      <c r="AD26" s="768">
        <v>734303</v>
      </c>
      <c r="AE26" s="636">
        <f t="shared" si="20"/>
        <v>1593.18</v>
      </c>
      <c r="AF26" s="768">
        <v>898815</v>
      </c>
      <c r="AG26" s="636">
        <f t="shared" si="42"/>
        <v>11.13</v>
      </c>
      <c r="AH26" s="768">
        <v>214051</v>
      </c>
      <c r="AI26" s="636">
        <f t="shared" si="6"/>
        <v>1175.01</v>
      </c>
      <c r="AJ26" s="768">
        <v>672463</v>
      </c>
      <c r="AK26" s="636">
        <f t="shared" si="45"/>
        <v>3852.0400000000004</v>
      </c>
      <c r="AL26" s="768">
        <v>539405</v>
      </c>
      <c r="AM26" s="636">
        <f t="shared" si="8"/>
        <v>111.30000000000001</v>
      </c>
      <c r="AN26" s="636">
        <f t="shared" si="21"/>
        <v>14273.96</v>
      </c>
      <c r="AO26" s="768">
        <v>7865028</v>
      </c>
      <c r="AP26" s="636">
        <f t="shared" si="22"/>
        <v>270.67500000000001</v>
      </c>
      <c r="AQ26" s="769">
        <v>726017</v>
      </c>
      <c r="AR26" s="636">
        <f>IF(AQ26&gt;=AQ25,AQ26-AQ25,0)</f>
        <v>159</v>
      </c>
      <c r="AS26" s="769">
        <v>993320</v>
      </c>
      <c r="AT26" s="636">
        <f t="shared" si="23"/>
        <v>182</v>
      </c>
      <c r="AU26" s="768">
        <v>818749</v>
      </c>
      <c r="AV26" s="636">
        <f t="shared" si="10"/>
        <v>75</v>
      </c>
      <c r="AW26" s="768">
        <v>2755970</v>
      </c>
      <c r="AX26" s="636">
        <f t="shared" si="11"/>
        <v>959</v>
      </c>
      <c r="AY26" s="769">
        <v>229733</v>
      </c>
      <c r="AZ26" s="636">
        <f t="shared" si="47"/>
        <v>0</v>
      </c>
      <c r="BA26" s="768">
        <v>20122367</v>
      </c>
      <c r="BB26" s="636">
        <f t="shared" si="13"/>
        <v>5311</v>
      </c>
      <c r="BC26" s="768">
        <v>606926</v>
      </c>
      <c r="BD26" s="636">
        <f t="shared" si="13"/>
        <v>220</v>
      </c>
      <c r="BE26" s="768">
        <v>36461</v>
      </c>
      <c r="BF26" s="636">
        <f t="shared" si="13"/>
        <v>95.333333333299379</v>
      </c>
      <c r="BG26" s="769">
        <v>25201735</v>
      </c>
      <c r="BH26" s="636">
        <f t="shared" si="24"/>
        <v>6567.9</v>
      </c>
      <c r="BI26" s="636">
        <f t="shared" si="25"/>
        <v>13839.9083333333</v>
      </c>
      <c r="BJ26" s="636">
        <f t="shared" si="26"/>
        <v>28113.868333333299</v>
      </c>
      <c r="BK26" s="769">
        <v>1461731</v>
      </c>
      <c r="BL26" s="636">
        <f t="shared" si="14"/>
        <v>244</v>
      </c>
      <c r="BM26" s="768">
        <v>4125011</v>
      </c>
      <c r="BN26" s="636">
        <f t="shared" si="15"/>
        <v>1535</v>
      </c>
      <c r="BO26" s="768">
        <v>435002</v>
      </c>
      <c r="BP26" s="636">
        <f t="shared" si="16"/>
        <v>103</v>
      </c>
      <c r="BQ26" s="768">
        <v>543331</v>
      </c>
      <c r="BR26" s="636">
        <f t="shared" si="41"/>
        <v>168</v>
      </c>
      <c r="BS26" s="692">
        <f t="shared" si="27"/>
        <v>34519.868333333303</v>
      </c>
      <c r="BT26" s="693">
        <v>190</v>
      </c>
      <c r="BU26" s="692">
        <f t="shared" si="50"/>
        <v>181.68351754385949</v>
      </c>
      <c r="BV26" s="693"/>
      <c r="BW26" s="692" t="e">
        <f t="shared" si="29"/>
        <v>#DIV/0!</v>
      </c>
      <c r="BX26" s="692">
        <f t="shared" si="34"/>
        <v>39913.848583333296</v>
      </c>
      <c r="BY26" s="692">
        <f t="shared" si="48"/>
        <v>210.07288728070156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24987321</v>
      </c>
      <c r="J27" s="636">
        <f t="shared" si="51"/>
        <v>5644</v>
      </c>
      <c r="K27" s="636">
        <f t="shared" si="19"/>
        <v>4830</v>
      </c>
      <c r="L27" s="769">
        <v>17112</v>
      </c>
      <c r="M27" s="636">
        <f t="shared" si="40"/>
        <v>2014</v>
      </c>
      <c r="N27" s="769">
        <v>25992</v>
      </c>
      <c r="O27" s="636">
        <f t="shared" si="39"/>
        <v>2816</v>
      </c>
      <c r="P27" s="769">
        <v>224700</v>
      </c>
      <c r="Q27" s="636">
        <f>IF(P27&gt;=P26,P27-P26,0)*30</f>
        <v>510</v>
      </c>
      <c r="R27" s="768">
        <v>207635</v>
      </c>
      <c r="S27" s="636">
        <f>IF(R27&gt;=R26,R27-R26,0)</f>
        <v>133</v>
      </c>
      <c r="T27" s="768">
        <v>378203</v>
      </c>
      <c r="U27" s="636">
        <f t="shared" si="1"/>
        <v>278</v>
      </c>
      <c r="V27" s="768">
        <v>245861</v>
      </c>
      <c r="W27" s="636">
        <f t="shared" si="52"/>
        <v>3251.55</v>
      </c>
      <c r="X27" s="769">
        <v>448641</v>
      </c>
      <c r="Y27" s="636">
        <f t="shared" si="3"/>
        <v>3134.42</v>
      </c>
      <c r="Z27" s="768">
        <v>502152</v>
      </c>
      <c r="AA27" s="636">
        <f t="shared" si="4"/>
        <v>639.18000000000006</v>
      </c>
      <c r="AB27" s="768">
        <v>765034</v>
      </c>
      <c r="AC27" s="636">
        <f t="shared" si="33"/>
        <v>1.06</v>
      </c>
      <c r="AD27" s="768">
        <v>737105</v>
      </c>
      <c r="AE27" s="636">
        <f t="shared" si="20"/>
        <v>1485.0600000000002</v>
      </c>
      <c r="AF27" s="768">
        <v>898835</v>
      </c>
      <c r="AG27" s="636">
        <f t="shared" si="42"/>
        <v>10.600000000000001</v>
      </c>
      <c r="AH27" s="768">
        <v>216161</v>
      </c>
      <c r="AI27" s="636">
        <f t="shared" si="6"/>
        <v>1118.3</v>
      </c>
      <c r="AJ27" s="768">
        <v>679408</v>
      </c>
      <c r="AK27" s="636">
        <f t="shared" si="45"/>
        <v>3680.8500000000004</v>
      </c>
      <c r="AL27" s="768">
        <v>539598</v>
      </c>
      <c r="AM27" s="636">
        <f t="shared" si="8"/>
        <v>102.29</v>
      </c>
      <c r="AN27" s="636">
        <f t="shared" si="21"/>
        <v>13423.310000000001</v>
      </c>
      <c r="AO27" s="768">
        <v>7867236</v>
      </c>
      <c r="AP27" s="636">
        <f t="shared" si="22"/>
        <v>248.4</v>
      </c>
      <c r="AQ27" s="768">
        <v>726198</v>
      </c>
      <c r="AR27" s="636">
        <f>IF(AQ27&gt;=AQ26,AQ27-AQ26,0)</f>
        <v>181</v>
      </c>
      <c r="AS27" s="769">
        <v>993491</v>
      </c>
      <c r="AT27" s="636">
        <f t="shared" si="23"/>
        <v>171</v>
      </c>
      <c r="AU27" s="768">
        <v>818808</v>
      </c>
      <c r="AV27" s="636">
        <f t="shared" si="10"/>
        <v>59</v>
      </c>
      <c r="AW27" s="768">
        <v>2756899</v>
      </c>
      <c r="AX27" s="636">
        <f t="shared" si="11"/>
        <v>929</v>
      </c>
      <c r="AY27" s="769">
        <v>229733</v>
      </c>
      <c r="AZ27" s="636">
        <f t="shared" si="47"/>
        <v>0</v>
      </c>
      <c r="BA27" s="768">
        <v>20127138</v>
      </c>
      <c r="BB27" s="636">
        <f t="shared" si="13"/>
        <v>4771</v>
      </c>
      <c r="BC27" s="768">
        <v>607138</v>
      </c>
      <c r="BD27" s="636">
        <f t="shared" si="13"/>
        <v>212</v>
      </c>
      <c r="BE27" s="768">
        <v>36533</v>
      </c>
      <c r="BF27" s="636">
        <f t="shared" si="13"/>
        <v>72</v>
      </c>
      <c r="BG27" s="769">
        <v>25208597</v>
      </c>
      <c r="BH27" s="636">
        <f t="shared" si="24"/>
        <v>6009.7166666669773</v>
      </c>
      <c r="BI27" s="636">
        <f t="shared" si="25"/>
        <v>12653.116666666978</v>
      </c>
      <c r="BJ27" s="636">
        <f t="shared" si="26"/>
        <v>26076.426666666979</v>
      </c>
      <c r="BK27" s="769">
        <v>1461969</v>
      </c>
      <c r="BL27" s="636">
        <f t="shared" si="14"/>
        <v>238</v>
      </c>
      <c r="BM27" s="768">
        <v>4126402</v>
      </c>
      <c r="BN27" s="636">
        <f t="shared" si="15"/>
        <v>1391</v>
      </c>
      <c r="BO27" s="768">
        <v>435102</v>
      </c>
      <c r="BP27" s="636">
        <f t="shared" si="16"/>
        <v>100</v>
      </c>
      <c r="BQ27" s="769">
        <v>543512.33333333302</v>
      </c>
      <c r="BR27" s="636">
        <f t="shared" si="41"/>
        <v>181.33333333302289</v>
      </c>
      <c r="BS27" s="692">
        <f t="shared" si="27"/>
        <v>32230.426666666979</v>
      </c>
      <c r="BT27" s="693">
        <v>205</v>
      </c>
      <c r="BU27" s="692">
        <f t="shared" si="50"/>
        <v>157.22159349593647</v>
      </c>
      <c r="BV27" s="693"/>
      <c r="BW27" s="692" t="e">
        <f t="shared" si="29"/>
        <v>#DIV/0!</v>
      </c>
      <c r="BX27" s="692">
        <f t="shared" si="34"/>
        <v>37294.490666667021</v>
      </c>
      <c r="BY27" s="692">
        <f t="shared" si="48"/>
        <v>181.92434471544888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24993011</v>
      </c>
      <c r="J28" s="636">
        <f t="shared" si="51"/>
        <v>5690</v>
      </c>
      <c r="K28" s="636">
        <f t="shared" si="19"/>
        <v>5282</v>
      </c>
      <c r="L28" s="769">
        <v>19176</v>
      </c>
      <c r="M28" s="636">
        <f t="shared" si="40"/>
        <v>2064</v>
      </c>
      <c r="N28" s="769">
        <v>29210</v>
      </c>
      <c r="O28" s="636">
        <f t="shared" si="0"/>
        <v>3218</v>
      </c>
      <c r="P28" s="769">
        <v>224718</v>
      </c>
      <c r="Q28" s="636">
        <f t="shared" si="46"/>
        <v>540</v>
      </c>
      <c r="R28" s="768">
        <v>207778</v>
      </c>
      <c r="S28" s="636">
        <f>IF(R28&gt;=R27,R28-R27,0)</f>
        <v>143</v>
      </c>
      <c r="T28" s="768">
        <v>378497</v>
      </c>
      <c r="U28" s="636">
        <f>IF(T28&gt;=T27,T28-T27,0)</f>
        <v>294</v>
      </c>
      <c r="V28" s="768">
        <v>252450</v>
      </c>
      <c r="W28" s="636">
        <f t="shared" si="52"/>
        <v>3492.17</v>
      </c>
      <c r="X28" s="769">
        <v>456242</v>
      </c>
      <c r="Y28" s="636">
        <f t="shared" si="3"/>
        <v>4028.53</v>
      </c>
      <c r="Z28" s="768">
        <v>502152</v>
      </c>
      <c r="AA28" s="636">
        <f t="shared" si="4"/>
        <v>0</v>
      </c>
      <c r="AB28" s="768">
        <v>765034</v>
      </c>
      <c r="AC28" s="636">
        <f t="shared" si="33"/>
        <v>0</v>
      </c>
      <c r="AD28" s="768">
        <v>740183</v>
      </c>
      <c r="AE28" s="636">
        <f t="shared" si="20"/>
        <v>1631.3400000000001</v>
      </c>
      <c r="AF28" s="768">
        <v>898855</v>
      </c>
      <c r="AG28" s="636">
        <f t="shared" si="42"/>
        <v>10.600000000000001</v>
      </c>
      <c r="AH28" s="769">
        <v>218405</v>
      </c>
      <c r="AI28" s="636">
        <f t="shared" si="6"/>
        <v>1189.3200000000002</v>
      </c>
      <c r="AJ28" s="769">
        <v>686892</v>
      </c>
      <c r="AK28" s="636">
        <f t="shared" si="45"/>
        <v>3966.52</v>
      </c>
      <c r="AL28" s="768">
        <v>539797</v>
      </c>
      <c r="AM28" s="636">
        <f t="shared" si="8"/>
        <v>105.47</v>
      </c>
      <c r="AN28" s="636">
        <f t="shared" si="21"/>
        <v>14423.95</v>
      </c>
      <c r="AO28" s="768">
        <v>7869667</v>
      </c>
      <c r="AP28" s="636">
        <f t="shared" si="22"/>
        <v>273.48750000000001</v>
      </c>
      <c r="AQ28" s="768">
        <v>726378</v>
      </c>
      <c r="AR28" s="636">
        <f>IF(AQ28&gt;=AQ27,AQ28-AQ27,0)</f>
        <v>180</v>
      </c>
      <c r="AS28" s="769">
        <v>993690</v>
      </c>
      <c r="AT28" s="636">
        <f t="shared" si="23"/>
        <v>199</v>
      </c>
      <c r="AU28" s="768">
        <v>818874</v>
      </c>
      <c r="AV28" s="636">
        <f t="shared" si="10"/>
        <v>66</v>
      </c>
      <c r="AW28" s="768">
        <v>2757876</v>
      </c>
      <c r="AX28" s="636">
        <f t="shared" si="11"/>
        <v>977</v>
      </c>
      <c r="AY28" s="768">
        <v>229733</v>
      </c>
      <c r="AZ28" s="636">
        <f t="shared" si="47"/>
        <v>0</v>
      </c>
      <c r="BA28" s="768">
        <v>20132707</v>
      </c>
      <c r="BB28" s="636">
        <f t="shared" si="13"/>
        <v>5569</v>
      </c>
      <c r="BC28" s="768">
        <v>607358</v>
      </c>
      <c r="BD28" s="636">
        <f t="shared" si="13"/>
        <v>220</v>
      </c>
      <c r="BE28" s="768">
        <v>36606</v>
      </c>
      <c r="BF28" s="636">
        <f t="shared" si="13"/>
        <v>73</v>
      </c>
      <c r="BG28" s="768">
        <v>25216058</v>
      </c>
      <c r="BH28" s="636">
        <f t="shared" si="24"/>
        <v>6625.9333333330223</v>
      </c>
      <c r="BI28" s="636">
        <f t="shared" si="25"/>
        <v>14183.420833333023</v>
      </c>
      <c r="BJ28" s="636">
        <f t="shared" si="26"/>
        <v>28607.370833333021</v>
      </c>
      <c r="BK28" s="769">
        <v>1462222</v>
      </c>
      <c r="BL28" s="636">
        <f t="shared" si="14"/>
        <v>253</v>
      </c>
      <c r="BM28" s="768">
        <v>4127930</v>
      </c>
      <c r="BN28" s="636">
        <f t="shared" si="15"/>
        <v>1528</v>
      </c>
      <c r="BO28" s="768">
        <v>435206</v>
      </c>
      <c r="BP28" s="636">
        <f t="shared" si="16"/>
        <v>104</v>
      </c>
      <c r="BQ28" s="768">
        <v>543613</v>
      </c>
      <c r="BR28" s="636">
        <f t="shared" si="41"/>
        <v>100.66666666697711</v>
      </c>
      <c r="BS28" s="692">
        <f t="shared" si="27"/>
        <v>34837.370833333021</v>
      </c>
      <c r="BT28" s="693">
        <v>221</v>
      </c>
      <c r="BU28" s="692">
        <f t="shared" si="50"/>
        <v>157.63516214177838</v>
      </c>
      <c r="BV28" s="693"/>
      <c r="BW28" s="692" t="e">
        <f t="shared" si="29"/>
        <v>#DIV/0!</v>
      </c>
      <c r="BX28" s="692">
        <f t="shared" si="34"/>
        <v>40305.976458332974</v>
      </c>
      <c r="BY28" s="692">
        <f t="shared" si="48"/>
        <v>182.37998397435734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24998096</v>
      </c>
      <c r="J29" s="636">
        <f t="shared" si="51"/>
        <v>5085</v>
      </c>
      <c r="K29" s="636">
        <f t="shared" si="19"/>
        <v>4602</v>
      </c>
      <c r="L29" s="769">
        <v>20905</v>
      </c>
      <c r="M29" s="636">
        <f t="shared" ref="M29:M36" si="53">IF(L29&gt;=L28,L29-L28,0)</f>
        <v>1729</v>
      </c>
      <c r="N29" s="769">
        <v>32083</v>
      </c>
      <c r="O29" s="636">
        <f t="shared" si="0"/>
        <v>2873</v>
      </c>
      <c r="P29" s="769">
        <v>224736</v>
      </c>
      <c r="Q29" s="636">
        <f t="shared" si="46"/>
        <v>540</v>
      </c>
      <c r="R29" s="768">
        <v>207964</v>
      </c>
      <c r="S29" s="636">
        <f>IF(R29&gt;=R28,R29-R28,0)</f>
        <v>186</v>
      </c>
      <c r="T29" s="768">
        <v>378764</v>
      </c>
      <c r="U29" s="636">
        <f t="shared" ref="U29:U36" si="54">IF(T29&gt;=T28,T29-T28,0)</f>
        <v>267</v>
      </c>
      <c r="V29" s="768">
        <v>258535</v>
      </c>
      <c r="W29" s="636">
        <f t="shared" si="2"/>
        <v>3225.05</v>
      </c>
      <c r="X29" s="769">
        <v>457644</v>
      </c>
      <c r="Y29" s="636">
        <f t="shared" si="3"/>
        <v>743.06000000000006</v>
      </c>
      <c r="Z29" s="768">
        <v>502152</v>
      </c>
      <c r="AA29" s="636">
        <f t="shared" si="4"/>
        <v>0</v>
      </c>
      <c r="AB29" s="768">
        <v>770399</v>
      </c>
      <c r="AC29" s="636">
        <f t="shared" si="33"/>
        <v>2843.4500000000003</v>
      </c>
      <c r="AD29" s="768">
        <v>743206</v>
      </c>
      <c r="AE29" s="636">
        <f t="shared" si="20"/>
        <v>1602.19</v>
      </c>
      <c r="AF29" s="768">
        <v>898874</v>
      </c>
      <c r="AG29" s="636">
        <f t="shared" si="42"/>
        <v>10.07</v>
      </c>
      <c r="AH29" s="768">
        <v>220320</v>
      </c>
      <c r="AI29" s="636">
        <f t="shared" si="6"/>
        <v>1014.95</v>
      </c>
      <c r="AJ29" s="768">
        <v>693298</v>
      </c>
      <c r="AK29" s="636">
        <f t="shared" si="45"/>
        <v>3395.1800000000003</v>
      </c>
      <c r="AL29" s="768">
        <v>539983</v>
      </c>
      <c r="AM29" s="636">
        <f t="shared" si="8"/>
        <v>98.58</v>
      </c>
      <c r="AN29" s="636">
        <f t="shared" si="21"/>
        <v>12932.53</v>
      </c>
      <c r="AO29" s="768">
        <v>7872042</v>
      </c>
      <c r="AP29" s="636">
        <f t="shared" si="22"/>
        <v>267.1875</v>
      </c>
      <c r="AQ29" s="768">
        <v>726534</v>
      </c>
      <c r="AR29" s="636">
        <f t="shared" si="9"/>
        <v>156</v>
      </c>
      <c r="AS29" s="768">
        <v>993859</v>
      </c>
      <c r="AT29" s="636">
        <f t="shared" si="23"/>
        <v>169</v>
      </c>
      <c r="AU29" s="768">
        <v>818937</v>
      </c>
      <c r="AV29" s="636">
        <f t="shared" si="10"/>
        <v>63</v>
      </c>
      <c r="AW29" s="768">
        <v>2758761</v>
      </c>
      <c r="AX29" s="636">
        <f t="shared" si="11"/>
        <v>885</v>
      </c>
      <c r="AY29" s="768">
        <v>229733</v>
      </c>
      <c r="AZ29" s="636">
        <f t="shared" si="47"/>
        <v>0</v>
      </c>
      <c r="BA29" s="768">
        <v>20137390</v>
      </c>
      <c r="BB29" s="636">
        <f t="shared" si="13"/>
        <v>4683</v>
      </c>
      <c r="BC29" s="768">
        <v>607556</v>
      </c>
      <c r="BD29" s="636">
        <f t="shared" si="13"/>
        <v>198</v>
      </c>
      <c r="BE29" s="768">
        <v>36678</v>
      </c>
      <c r="BF29" s="636">
        <f t="shared" si="13"/>
        <v>72</v>
      </c>
      <c r="BG29" s="769">
        <v>25222983</v>
      </c>
      <c r="BH29" s="636">
        <f t="shared" si="24"/>
        <v>6098.6500000000005</v>
      </c>
      <c r="BI29" s="636">
        <f t="shared" si="25"/>
        <v>12591.837500000001</v>
      </c>
      <c r="BJ29" s="636">
        <f t="shared" si="26"/>
        <v>25524.3675</v>
      </c>
      <c r="BK29" s="769">
        <v>1462452</v>
      </c>
      <c r="BL29" s="636">
        <f t="shared" si="14"/>
        <v>230</v>
      </c>
      <c r="BM29" s="768">
        <v>4129376</v>
      </c>
      <c r="BN29" s="636">
        <f t="shared" si="15"/>
        <v>1446</v>
      </c>
      <c r="BO29" s="807">
        <v>435303</v>
      </c>
      <c r="BP29" s="636">
        <f t="shared" si="16"/>
        <v>97</v>
      </c>
      <c r="BQ29" s="769">
        <v>543745</v>
      </c>
      <c r="BR29" s="636">
        <f t="shared" si="41"/>
        <v>132</v>
      </c>
      <c r="BS29" s="692">
        <f t="shared" si="27"/>
        <v>31149.3675</v>
      </c>
      <c r="BT29" s="693">
        <v>225</v>
      </c>
      <c r="BU29" s="692">
        <f t="shared" si="50"/>
        <v>138.44163333333333</v>
      </c>
      <c r="BV29" s="693"/>
      <c r="BW29" s="692" t="e">
        <f t="shared" si="29"/>
        <v>#DIV/0!</v>
      </c>
      <c r="BX29" s="692">
        <f t="shared" si="34"/>
        <v>36064.772624999998</v>
      </c>
      <c r="BY29" s="692">
        <f t="shared" si="48"/>
        <v>160.28787833333331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25003264</v>
      </c>
      <c r="J30" s="636">
        <f t="shared" si="51"/>
        <v>5168</v>
      </c>
      <c r="K30" s="636">
        <f t="shared" si="19"/>
        <v>5423</v>
      </c>
      <c r="L30" s="769">
        <v>22940</v>
      </c>
      <c r="M30" s="636">
        <f t="shared" si="53"/>
        <v>2035</v>
      </c>
      <c r="N30" s="769">
        <v>35471</v>
      </c>
      <c r="O30" s="636">
        <f t="shared" si="0"/>
        <v>3388</v>
      </c>
      <c r="P30" s="769">
        <v>224753</v>
      </c>
      <c r="Q30" s="636">
        <f t="shared" si="46"/>
        <v>510</v>
      </c>
      <c r="R30" s="768">
        <v>208046</v>
      </c>
      <c r="S30" s="636">
        <f>IF(R30&gt;=R29,R30-R29,0)</f>
        <v>82</v>
      </c>
      <c r="T30" s="768">
        <v>379052</v>
      </c>
      <c r="U30" s="636">
        <f t="shared" si="54"/>
        <v>288</v>
      </c>
      <c r="V30" s="768">
        <v>264960</v>
      </c>
      <c r="W30" s="636">
        <f>IF(V30&gt;=V29,V30-V29,0)*0.53</f>
        <v>3405.25</v>
      </c>
      <c r="X30" s="769">
        <v>457644</v>
      </c>
      <c r="Y30" s="636">
        <f t="shared" si="3"/>
        <v>0</v>
      </c>
      <c r="Z30" s="768">
        <v>502152</v>
      </c>
      <c r="AA30" s="636">
        <f t="shared" si="4"/>
        <v>0</v>
      </c>
      <c r="AB30" s="768">
        <v>777979</v>
      </c>
      <c r="AC30" s="636">
        <f t="shared" si="33"/>
        <v>4017.4</v>
      </c>
      <c r="AD30" s="768">
        <v>746374</v>
      </c>
      <c r="AE30" s="636">
        <f t="shared" si="20"/>
        <v>1679.0400000000002</v>
      </c>
      <c r="AF30" s="768">
        <v>898894</v>
      </c>
      <c r="AG30" s="636">
        <f t="shared" si="42"/>
        <v>10.600000000000001</v>
      </c>
      <c r="AH30" s="768">
        <v>222563</v>
      </c>
      <c r="AI30" s="636">
        <f t="shared" si="6"/>
        <v>1188.79</v>
      </c>
      <c r="AJ30" s="768">
        <v>700768</v>
      </c>
      <c r="AK30" s="636">
        <f t="shared" si="45"/>
        <v>3959.1000000000004</v>
      </c>
      <c r="AL30" s="768">
        <v>540209</v>
      </c>
      <c r="AM30" s="636">
        <f t="shared" si="8"/>
        <v>119.78</v>
      </c>
      <c r="AN30" s="636">
        <f t="shared" si="21"/>
        <v>14379.960000000003</v>
      </c>
      <c r="AO30" s="707">
        <v>7874549</v>
      </c>
      <c r="AP30" s="636">
        <f t="shared" si="22"/>
        <v>282.03750000000002</v>
      </c>
      <c r="AQ30" s="769">
        <v>726693</v>
      </c>
      <c r="AR30" s="636">
        <f t="shared" si="9"/>
        <v>159</v>
      </c>
      <c r="AS30" s="768">
        <v>994048</v>
      </c>
      <c r="AT30" s="636">
        <f t="shared" si="23"/>
        <v>189</v>
      </c>
      <c r="AU30" s="768">
        <v>819022</v>
      </c>
      <c r="AV30" s="636">
        <f t="shared" si="10"/>
        <v>85</v>
      </c>
      <c r="AW30" s="768">
        <v>2759741</v>
      </c>
      <c r="AX30" s="636">
        <f t="shared" si="11"/>
        <v>980</v>
      </c>
      <c r="AY30" s="768">
        <v>229733</v>
      </c>
      <c r="AZ30" s="636">
        <f t="shared" si="47"/>
        <v>0</v>
      </c>
      <c r="BA30" s="768">
        <v>20142330</v>
      </c>
      <c r="BB30" s="636">
        <f t="shared" si="13"/>
        <v>4940</v>
      </c>
      <c r="BC30" s="768">
        <v>607752</v>
      </c>
      <c r="BD30" s="636">
        <f t="shared" si="13"/>
        <v>196</v>
      </c>
      <c r="BE30" s="768">
        <v>36751</v>
      </c>
      <c r="BF30" s="636">
        <f t="shared" si="13"/>
        <v>73</v>
      </c>
      <c r="BG30" s="769">
        <v>25230195</v>
      </c>
      <c r="BH30" s="636">
        <f t="shared" si="24"/>
        <v>6321.9</v>
      </c>
      <c r="BI30" s="636">
        <f t="shared" si="25"/>
        <v>13225.9375</v>
      </c>
      <c r="BJ30" s="636">
        <f t="shared" si="26"/>
        <v>27605.897500000003</v>
      </c>
      <c r="BK30" s="769">
        <v>1462692</v>
      </c>
      <c r="BL30" s="636">
        <f t="shared" si="14"/>
        <v>240</v>
      </c>
      <c r="BM30" s="768">
        <v>4130895</v>
      </c>
      <c r="BN30" s="805">
        <f t="shared" si="15"/>
        <v>1519</v>
      </c>
      <c r="BO30" s="803">
        <v>435402</v>
      </c>
      <c r="BP30" s="806">
        <f t="shared" si="16"/>
        <v>99</v>
      </c>
      <c r="BQ30" s="768">
        <v>543907</v>
      </c>
      <c r="BR30" s="636">
        <f t="shared" si="41"/>
        <v>162</v>
      </c>
      <c r="BS30" s="692">
        <f t="shared" si="27"/>
        <v>33283.897500000006</v>
      </c>
      <c r="BT30" s="693">
        <v>203</v>
      </c>
      <c r="BU30" s="692">
        <f t="shared" si="50"/>
        <v>163.96008620689659</v>
      </c>
      <c r="BV30" s="693"/>
      <c r="BW30" s="692" t="e">
        <f t="shared" si="29"/>
        <v>#DIV/0!</v>
      </c>
      <c r="BX30" s="692">
        <f t="shared" si="34"/>
        <v>38505.982125000002</v>
      </c>
      <c r="BY30" s="692">
        <f t="shared" si="48"/>
        <v>189.68464100985221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25008987</v>
      </c>
      <c r="J31" s="636">
        <f t="shared" si="51"/>
        <v>5723</v>
      </c>
      <c r="K31" s="636">
        <f t="shared" si="19"/>
        <v>5538</v>
      </c>
      <c r="L31" s="769">
        <v>24996</v>
      </c>
      <c r="M31" s="636">
        <f t="shared" si="53"/>
        <v>2056</v>
      </c>
      <c r="N31" s="769">
        <v>38953</v>
      </c>
      <c r="O31" s="636">
        <f t="shared" si="0"/>
        <v>3482</v>
      </c>
      <c r="P31" s="769">
        <v>224770</v>
      </c>
      <c r="Q31" s="636">
        <f t="shared" si="46"/>
        <v>510</v>
      </c>
      <c r="R31" s="768">
        <v>208190</v>
      </c>
      <c r="S31" s="636">
        <f t="shared" si="49"/>
        <v>144</v>
      </c>
      <c r="T31" s="768">
        <v>379361</v>
      </c>
      <c r="U31" s="636">
        <f t="shared" si="54"/>
        <v>309</v>
      </c>
      <c r="V31" s="768">
        <v>270819</v>
      </c>
      <c r="W31" s="636">
        <f>IF(V31&gt;=V30,V31-V30,0)*0.53</f>
        <v>3105.27</v>
      </c>
      <c r="X31" s="769">
        <v>457644</v>
      </c>
      <c r="Y31" s="636">
        <f t="shared" si="3"/>
        <v>0</v>
      </c>
      <c r="Z31" s="768">
        <v>502152</v>
      </c>
      <c r="AA31" s="636">
        <f t="shared" si="4"/>
        <v>0</v>
      </c>
      <c r="AB31" s="768">
        <v>785049</v>
      </c>
      <c r="AC31" s="636">
        <f t="shared" si="33"/>
        <v>3747.1000000000004</v>
      </c>
      <c r="AD31" s="768">
        <v>749504</v>
      </c>
      <c r="AE31" s="636">
        <f t="shared" si="20"/>
        <v>1658.9</v>
      </c>
      <c r="AF31" s="768">
        <v>898914</v>
      </c>
      <c r="AG31" s="636">
        <f t="shared" si="42"/>
        <v>10.600000000000001</v>
      </c>
      <c r="AH31" s="769">
        <v>224734</v>
      </c>
      <c r="AI31" s="636">
        <f t="shared" si="6"/>
        <v>1150.6300000000001</v>
      </c>
      <c r="AJ31" s="769">
        <v>708063</v>
      </c>
      <c r="AK31" s="636">
        <f t="shared" si="45"/>
        <v>3866.3500000000004</v>
      </c>
      <c r="AL31" s="768">
        <v>540418</v>
      </c>
      <c r="AM31" s="636">
        <f t="shared" si="8"/>
        <v>110.77000000000001</v>
      </c>
      <c r="AN31" s="636">
        <f t="shared" si="21"/>
        <v>13649.62</v>
      </c>
      <c r="AO31" s="768">
        <v>7877299</v>
      </c>
      <c r="AP31" s="636">
        <f t="shared" si="22"/>
        <v>309.375</v>
      </c>
      <c r="AQ31" s="768">
        <v>726884</v>
      </c>
      <c r="AR31" s="636">
        <f t="shared" si="9"/>
        <v>191</v>
      </c>
      <c r="AS31" s="768">
        <v>994221</v>
      </c>
      <c r="AT31" s="636">
        <f t="shared" si="23"/>
        <v>173</v>
      </c>
      <c r="AU31" s="768">
        <v>819103</v>
      </c>
      <c r="AV31" s="636">
        <f t="shared" si="10"/>
        <v>81</v>
      </c>
      <c r="AW31" s="768">
        <v>2760708</v>
      </c>
      <c r="AX31" s="636">
        <f t="shared" si="11"/>
        <v>967</v>
      </c>
      <c r="AY31" s="769">
        <v>229733</v>
      </c>
      <c r="AZ31" s="636">
        <f t="shared" si="47"/>
        <v>0</v>
      </c>
      <c r="BA31" s="768">
        <v>20147345</v>
      </c>
      <c r="BB31" s="636">
        <f t="shared" si="13"/>
        <v>5015</v>
      </c>
      <c r="BC31" s="768">
        <v>607977</v>
      </c>
      <c r="BD31" s="636">
        <f t="shared" si="13"/>
        <v>225</v>
      </c>
      <c r="BE31" s="768">
        <v>36824</v>
      </c>
      <c r="BF31" s="636">
        <f t="shared" si="13"/>
        <v>73</v>
      </c>
      <c r="BG31" s="768">
        <v>25237687</v>
      </c>
      <c r="BH31" s="636">
        <f t="shared" si="24"/>
        <v>6556.05</v>
      </c>
      <c r="BI31" s="636">
        <f t="shared" si="25"/>
        <v>13590.424999999999</v>
      </c>
      <c r="BJ31" s="636">
        <f t="shared" si="26"/>
        <v>27240.044999999998</v>
      </c>
      <c r="BK31" s="769">
        <v>1462948</v>
      </c>
      <c r="BL31" s="636">
        <f t="shared" si="14"/>
        <v>256</v>
      </c>
      <c r="BM31" s="769">
        <v>4132480</v>
      </c>
      <c r="BN31" s="805">
        <f t="shared" si="15"/>
        <v>1585</v>
      </c>
      <c r="BO31" s="804">
        <v>435508</v>
      </c>
      <c r="BP31" s="806">
        <f t="shared" si="16"/>
        <v>106</v>
      </c>
      <c r="BQ31" s="768">
        <v>544082</v>
      </c>
      <c r="BR31" s="636">
        <f t="shared" si="41"/>
        <v>175</v>
      </c>
      <c r="BS31" s="692">
        <f t="shared" si="27"/>
        <v>33473.044999999998</v>
      </c>
      <c r="BT31" s="693">
        <v>232</v>
      </c>
      <c r="BU31" s="692">
        <f t="shared" si="50"/>
        <v>144.28036637931035</v>
      </c>
      <c r="BV31" s="693"/>
      <c r="BW31" s="692" t="e">
        <f t="shared" si="29"/>
        <v>#DIV/0!</v>
      </c>
      <c r="BX31" s="692">
        <f t="shared" si="34"/>
        <v>38723.501749999996</v>
      </c>
      <c r="BY31" s="692">
        <f t="shared" si="48"/>
        <v>166.91164547413791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25014004</v>
      </c>
      <c r="J32" s="636">
        <f t="shared" si="18"/>
        <v>5017</v>
      </c>
      <c r="K32" s="636">
        <f t="shared" si="19"/>
        <v>5052</v>
      </c>
      <c r="L32" s="769">
        <v>26860</v>
      </c>
      <c r="M32" s="636">
        <f t="shared" si="53"/>
        <v>1864</v>
      </c>
      <c r="N32" s="769">
        <v>42141</v>
      </c>
      <c r="O32" s="636">
        <f t="shared" si="0"/>
        <v>3188</v>
      </c>
      <c r="P32" s="769">
        <v>224785</v>
      </c>
      <c r="Q32" s="636">
        <f t="shared" si="46"/>
        <v>450</v>
      </c>
      <c r="R32" s="768">
        <v>208326</v>
      </c>
      <c r="S32" s="636">
        <f t="shared" si="49"/>
        <v>136</v>
      </c>
      <c r="T32" s="768">
        <v>379646</v>
      </c>
      <c r="U32" s="636">
        <f t="shared" si="54"/>
        <v>285</v>
      </c>
      <c r="V32" s="768">
        <v>276612</v>
      </c>
      <c r="W32" s="636">
        <f>IF(V32&gt;=V31,V32-V31,0)*0.53</f>
        <v>3070.29</v>
      </c>
      <c r="X32" s="769">
        <v>457644</v>
      </c>
      <c r="Y32" s="636">
        <f t="shared" si="3"/>
        <v>0</v>
      </c>
      <c r="Z32" s="768">
        <v>502152</v>
      </c>
      <c r="AA32" s="636">
        <f t="shared" si="4"/>
        <v>0</v>
      </c>
      <c r="AB32" s="768">
        <v>791855</v>
      </c>
      <c r="AC32" s="636">
        <f t="shared" si="33"/>
        <v>3607.1800000000003</v>
      </c>
      <c r="AD32" s="768">
        <v>752545</v>
      </c>
      <c r="AE32" s="636">
        <f t="shared" si="20"/>
        <v>1611.73</v>
      </c>
      <c r="AF32" s="768">
        <v>898933</v>
      </c>
      <c r="AG32" s="636">
        <f t="shared" si="42"/>
        <v>10.07</v>
      </c>
      <c r="AH32" s="768">
        <v>226754</v>
      </c>
      <c r="AI32" s="636">
        <f t="shared" si="6"/>
        <v>1070.6000000000001</v>
      </c>
      <c r="AJ32" s="768">
        <v>714776</v>
      </c>
      <c r="AK32" s="636">
        <f t="shared" si="45"/>
        <v>3557.8900000000003</v>
      </c>
      <c r="AL32" s="768">
        <v>540606</v>
      </c>
      <c r="AM32" s="636">
        <f t="shared" si="8"/>
        <v>99.64</v>
      </c>
      <c r="AN32" s="636">
        <f t="shared" si="21"/>
        <v>13027.400000000001</v>
      </c>
      <c r="AO32" s="768">
        <v>7879732</v>
      </c>
      <c r="AP32" s="636">
        <f t="shared" si="22"/>
        <v>273.71250000000003</v>
      </c>
      <c r="AQ32" s="769">
        <v>727032</v>
      </c>
      <c r="AR32" s="636">
        <f t="shared" si="9"/>
        <v>148</v>
      </c>
      <c r="AS32" s="768">
        <v>994404</v>
      </c>
      <c r="AT32" s="636">
        <f t="shared" si="23"/>
        <v>183</v>
      </c>
      <c r="AU32" s="768">
        <v>819174</v>
      </c>
      <c r="AV32" s="636">
        <f t="shared" si="10"/>
        <v>71</v>
      </c>
      <c r="AW32" s="768">
        <v>2761653</v>
      </c>
      <c r="AX32" s="636">
        <f t="shared" si="11"/>
        <v>945</v>
      </c>
      <c r="AY32" s="769">
        <v>229733</v>
      </c>
      <c r="AZ32" s="636">
        <f t="shared" si="47"/>
        <v>0</v>
      </c>
      <c r="BA32" s="768">
        <v>20152521</v>
      </c>
      <c r="BB32" s="636">
        <f t="shared" si="13"/>
        <v>5176</v>
      </c>
      <c r="BC32" s="768">
        <v>608195</v>
      </c>
      <c r="BD32" s="636">
        <f t="shared" si="13"/>
        <v>218</v>
      </c>
      <c r="BE32" s="768">
        <v>36897</v>
      </c>
      <c r="BF32" s="636">
        <f t="shared" si="13"/>
        <v>73</v>
      </c>
      <c r="BG32" s="769">
        <v>25244836</v>
      </c>
      <c r="BH32" s="636">
        <f t="shared" si="24"/>
        <v>6335.05</v>
      </c>
      <c r="BI32" s="636">
        <f t="shared" si="25"/>
        <v>13422.762500000001</v>
      </c>
      <c r="BJ32" s="636">
        <f t="shared" si="26"/>
        <v>26450.162500000002</v>
      </c>
      <c r="BK32" s="769">
        <v>1463186</v>
      </c>
      <c r="BL32" s="636">
        <f t="shared" si="14"/>
        <v>238</v>
      </c>
      <c r="BM32" s="769">
        <v>4133887</v>
      </c>
      <c r="BN32" s="805">
        <f t="shared" si="15"/>
        <v>1407</v>
      </c>
      <c r="BO32" s="804">
        <v>435612</v>
      </c>
      <c r="BP32" s="806">
        <f t="shared" si="16"/>
        <v>104</v>
      </c>
      <c r="BQ32" s="768">
        <v>544216</v>
      </c>
      <c r="BR32" s="636">
        <f t="shared" si="41"/>
        <v>134</v>
      </c>
      <c r="BS32" s="692">
        <f t="shared" si="27"/>
        <v>31917.162500000002</v>
      </c>
      <c r="BT32" s="693">
        <v>250</v>
      </c>
      <c r="BU32" s="692">
        <f t="shared" si="50"/>
        <v>127.66865000000001</v>
      </c>
      <c r="BV32" s="695"/>
      <c r="BW32" s="692" t="e">
        <f t="shared" si="29"/>
        <v>#DIV/0!</v>
      </c>
      <c r="BX32" s="692">
        <f t="shared" si="34"/>
        <v>36907.236875000002</v>
      </c>
      <c r="BY32" s="692">
        <f t="shared" si="48"/>
        <v>147.62894750000001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25019678</v>
      </c>
      <c r="J33" s="636">
        <f t="shared" si="18"/>
        <v>5674</v>
      </c>
      <c r="K33" s="636">
        <f t="shared" si="19"/>
        <v>5154</v>
      </c>
      <c r="L33" s="769">
        <v>28850</v>
      </c>
      <c r="M33" s="636">
        <f t="shared" si="53"/>
        <v>1990</v>
      </c>
      <c r="N33" s="769">
        <v>45305</v>
      </c>
      <c r="O33" s="636">
        <f t="shared" si="0"/>
        <v>3164</v>
      </c>
      <c r="P33" s="769">
        <v>224802</v>
      </c>
      <c r="Q33" s="636">
        <f t="shared" si="46"/>
        <v>510</v>
      </c>
      <c r="R33" s="768">
        <v>208464</v>
      </c>
      <c r="S33" s="636">
        <f t="shared" si="49"/>
        <v>138</v>
      </c>
      <c r="T33" s="768">
        <v>379934</v>
      </c>
      <c r="U33" s="636">
        <f t="shared" si="54"/>
        <v>288</v>
      </c>
      <c r="V33" s="768">
        <v>283080</v>
      </c>
      <c r="W33" s="636">
        <f t="shared" si="2"/>
        <v>3428.04</v>
      </c>
      <c r="X33" s="769">
        <v>457644</v>
      </c>
      <c r="Y33" s="636">
        <f t="shared" si="3"/>
        <v>0</v>
      </c>
      <c r="Z33" s="768">
        <v>502152</v>
      </c>
      <c r="AA33" s="636">
        <f t="shared" si="4"/>
        <v>0</v>
      </c>
      <c r="AB33" s="768">
        <v>799244</v>
      </c>
      <c r="AC33" s="636">
        <f t="shared" si="33"/>
        <v>3916.17</v>
      </c>
      <c r="AD33" s="768">
        <v>755556</v>
      </c>
      <c r="AE33" s="636">
        <f t="shared" si="20"/>
        <v>1595.8300000000002</v>
      </c>
      <c r="AF33" s="768">
        <v>898953</v>
      </c>
      <c r="AG33" s="636">
        <f t="shared" si="42"/>
        <v>10.600000000000001</v>
      </c>
      <c r="AH33" s="768">
        <v>228908</v>
      </c>
      <c r="AI33" s="636">
        <f t="shared" si="6"/>
        <v>1141.6200000000001</v>
      </c>
      <c r="AJ33" s="768">
        <v>721934</v>
      </c>
      <c r="AK33" s="636">
        <f t="shared" si="45"/>
        <v>3793.7400000000002</v>
      </c>
      <c r="AL33" s="768">
        <v>540806</v>
      </c>
      <c r="AM33" s="636">
        <f t="shared" si="8"/>
        <v>106</v>
      </c>
      <c r="AN33" s="636">
        <f t="shared" si="21"/>
        <v>13992.000000000002</v>
      </c>
      <c r="AO33" s="768">
        <v>7882163</v>
      </c>
      <c r="AP33" s="636">
        <f t="shared" si="22"/>
        <v>273.48750000000001</v>
      </c>
      <c r="AQ33" s="768">
        <v>727197</v>
      </c>
      <c r="AR33" s="636">
        <f t="shared" si="9"/>
        <v>165</v>
      </c>
      <c r="AS33" s="769">
        <v>994555</v>
      </c>
      <c r="AT33" s="636">
        <f t="shared" si="23"/>
        <v>151</v>
      </c>
      <c r="AU33" s="768">
        <v>819234</v>
      </c>
      <c r="AV33" s="636">
        <f t="shared" si="10"/>
        <v>60</v>
      </c>
      <c r="AW33" s="768">
        <v>2762691</v>
      </c>
      <c r="AX33" s="636">
        <f t="shared" si="11"/>
        <v>1038</v>
      </c>
      <c r="AY33" s="769">
        <v>229733</v>
      </c>
      <c r="AZ33" s="636">
        <f t="shared" si="47"/>
        <v>0</v>
      </c>
      <c r="BA33" s="768">
        <v>20157854</v>
      </c>
      <c r="BB33" s="636">
        <f t="shared" si="13"/>
        <v>5333</v>
      </c>
      <c r="BC33" s="768">
        <v>608414</v>
      </c>
      <c r="BD33" s="636">
        <f t="shared" si="13"/>
        <v>219</v>
      </c>
      <c r="BE33" s="768">
        <v>36970</v>
      </c>
      <c r="BF33" s="636">
        <f t="shared" si="13"/>
        <v>73</v>
      </c>
      <c r="BG33" s="769">
        <v>25252095</v>
      </c>
      <c r="BH33" s="636">
        <f t="shared" si="24"/>
        <v>6429.25</v>
      </c>
      <c r="BI33" s="636">
        <f t="shared" si="25"/>
        <v>13741.737499999999</v>
      </c>
      <c r="BJ33" s="636">
        <f t="shared" si="26"/>
        <v>27733.737500000003</v>
      </c>
      <c r="BK33" s="769">
        <v>1463425</v>
      </c>
      <c r="BL33" s="636">
        <f t="shared" si="14"/>
        <v>239</v>
      </c>
      <c r="BM33" s="768">
        <v>4135322</v>
      </c>
      <c r="BN33" s="805">
        <f t="shared" si="15"/>
        <v>1435</v>
      </c>
      <c r="BO33" s="768">
        <v>435712</v>
      </c>
      <c r="BP33" s="806">
        <f t="shared" si="16"/>
        <v>100</v>
      </c>
      <c r="BQ33" s="768">
        <v>544355</v>
      </c>
      <c r="BR33" s="636">
        <f t="shared" si="41"/>
        <v>139</v>
      </c>
      <c r="BS33" s="692">
        <f t="shared" si="27"/>
        <v>33917.737500000003</v>
      </c>
      <c r="BT33" s="693">
        <v>257</v>
      </c>
      <c r="BU33" s="692">
        <f t="shared" si="50"/>
        <v>131.97563229571986</v>
      </c>
      <c r="BV33" s="693"/>
      <c r="BW33" s="692" t="e">
        <f t="shared" si="29"/>
        <v>#DIV/0!</v>
      </c>
      <c r="BX33" s="692">
        <f t="shared" si="34"/>
        <v>39234.898125</v>
      </c>
      <c r="BY33" s="692">
        <f t="shared" si="48"/>
        <v>152.66497324902724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25025624</v>
      </c>
      <c r="J34" s="636">
        <f t="shared" si="18"/>
        <v>5946</v>
      </c>
      <c r="K34" s="636">
        <f t="shared" si="19"/>
        <v>5231</v>
      </c>
      <c r="L34" s="769">
        <v>30736</v>
      </c>
      <c r="M34" s="636">
        <f t="shared" si="53"/>
        <v>1886</v>
      </c>
      <c r="N34" s="769">
        <v>48650</v>
      </c>
      <c r="O34" s="636">
        <f t="shared" si="0"/>
        <v>3345</v>
      </c>
      <c r="P34" s="769">
        <v>224818</v>
      </c>
      <c r="Q34" s="636">
        <f t="shared" si="46"/>
        <v>480</v>
      </c>
      <c r="R34" s="768">
        <v>208603</v>
      </c>
      <c r="S34" s="636">
        <f t="shared" si="49"/>
        <v>139</v>
      </c>
      <c r="T34" s="768">
        <v>380229</v>
      </c>
      <c r="U34" s="636">
        <f t="shared" si="54"/>
        <v>295</v>
      </c>
      <c r="V34" s="768">
        <v>289192</v>
      </c>
      <c r="W34" s="636">
        <f t="shared" si="2"/>
        <v>3239.36</v>
      </c>
      <c r="X34" s="769">
        <v>457644</v>
      </c>
      <c r="Y34" s="636">
        <f t="shared" si="3"/>
        <v>0</v>
      </c>
      <c r="Z34" s="768">
        <v>502152</v>
      </c>
      <c r="AA34" s="636">
        <f t="shared" si="4"/>
        <v>0</v>
      </c>
      <c r="AB34" s="768">
        <v>805990</v>
      </c>
      <c r="AC34" s="636">
        <f t="shared" si="33"/>
        <v>3575.38</v>
      </c>
      <c r="AD34" s="768">
        <v>758417</v>
      </c>
      <c r="AE34" s="636">
        <f t="shared" si="20"/>
        <v>1516.3300000000002</v>
      </c>
      <c r="AF34" s="768">
        <v>898972</v>
      </c>
      <c r="AG34" s="636">
        <f t="shared" si="42"/>
        <v>10.07</v>
      </c>
      <c r="AH34" s="769">
        <v>230948</v>
      </c>
      <c r="AI34" s="636">
        <f t="shared" si="6"/>
        <v>1081.2</v>
      </c>
      <c r="AJ34" s="768">
        <v>728738</v>
      </c>
      <c r="AK34" s="636">
        <f t="shared" si="45"/>
        <v>3606.1200000000003</v>
      </c>
      <c r="AL34" s="768">
        <v>540994</v>
      </c>
      <c r="AM34" s="636">
        <f t="shared" si="8"/>
        <v>99.64</v>
      </c>
      <c r="AN34" s="636">
        <f t="shared" si="21"/>
        <v>13128.1</v>
      </c>
      <c r="AO34" s="768">
        <v>7884662</v>
      </c>
      <c r="AP34" s="636">
        <f t="shared" si="22"/>
        <v>281.13749999999999</v>
      </c>
      <c r="AQ34" s="769">
        <v>727374</v>
      </c>
      <c r="AR34" s="636">
        <f t="shared" si="9"/>
        <v>177</v>
      </c>
      <c r="AS34" s="769">
        <v>994720</v>
      </c>
      <c r="AT34" s="636">
        <f t="shared" si="23"/>
        <v>165</v>
      </c>
      <c r="AU34" s="768">
        <v>819285</v>
      </c>
      <c r="AV34" s="636">
        <f t="shared" si="10"/>
        <v>51</v>
      </c>
      <c r="AW34" s="768">
        <v>2763680</v>
      </c>
      <c r="AX34" s="636">
        <f t="shared" si="11"/>
        <v>989</v>
      </c>
      <c r="AY34" s="769">
        <v>229733</v>
      </c>
      <c r="AZ34" s="636">
        <f t="shared" si="47"/>
        <v>0</v>
      </c>
      <c r="BA34" s="768">
        <v>20163072</v>
      </c>
      <c r="BB34" s="636">
        <f t="shared" si="13"/>
        <v>5218</v>
      </c>
      <c r="BC34" s="768">
        <v>608671</v>
      </c>
      <c r="BD34" s="636">
        <f t="shared" si="13"/>
        <v>257</v>
      </c>
      <c r="BE34" s="768">
        <v>37034</v>
      </c>
      <c r="BF34" s="636">
        <f t="shared" si="13"/>
        <v>64</v>
      </c>
      <c r="BG34" s="768">
        <v>25259440</v>
      </c>
      <c r="BH34" s="636">
        <f t="shared" si="24"/>
        <v>6479.25</v>
      </c>
      <c r="BI34" s="636">
        <f t="shared" si="25"/>
        <v>13681.387500000001</v>
      </c>
      <c r="BJ34" s="636">
        <f t="shared" si="26"/>
        <v>26809.487500000003</v>
      </c>
      <c r="BK34" s="769">
        <v>1463667</v>
      </c>
      <c r="BL34" s="636">
        <f t="shared" si="14"/>
        <v>242</v>
      </c>
      <c r="BM34" s="768">
        <v>4136817</v>
      </c>
      <c r="BN34" s="805">
        <f t="shared" si="15"/>
        <v>1495</v>
      </c>
      <c r="BO34" s="768">
        <v>435812</v>
      </c>
      <c r="BP34" s="806">
        <f t="shared" si="16"/>
        <v>100</v>
      </c>
      <c r="BQ34" s="768">
        <v>544503</v>
      </c>
      <c r="BR34" s="636">
        <f t="shared" si="41"/>
        <v>148</v>
      </c>
      <c r="BS34" s="692">
        <f t="shared" si="27"/>
        <v>33235.487500000003</v>
      </c>
      <c r="BT34" s="693">
        <v>226</v>
      </c>
      <c r="BU34" s="692">
        <f t="shared" si="50"/>
        <v>147.05967920353984</v>
      </c>
      <c r="BV34" s="693"/>
      <c r="BW34" s="692" t="e">
        <f t="shared" si="29"/>
        <v>#DIV/0!</v>
      </c>
      <c r="BX34" s="692">
        <f t="shared" si="34"/>
        <v>38436.810624999998</v>
      </c>
      <c r="BY34" s="692">
        <f t="shared" si="48"/>
        <v>170.07438329646016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25031353</v>
      </c>
      <c r="J35" s="636">
        <f t="shared" si="18"/>
        <v>5729</v>
      </c>
      <c r="K35" s="636">
        <f t="shared" si="19"/>
        <v>5370</v>
      </c>
      <c r="L35" s="769">
        <v>32808</v>
      </c>
      <c r="M35" s="636">
        <f t="shared" si="53"/>
        <v>2072</v>
      </c>
      <c r="N35" s="769">
        <v>51948</v>
      </c>
      <c r="O35" s="636">
        <f t="shared" si="0"/>
        <v>3298</v>
      </c>
      <c r="P35" s="769">
        <v>224834</v>
      </c>
      <c r="Q35" s="636">
        <f t="shared" si="46"/>
        <v>480</v>
      </c>
      <c r="R35" s="768">
        <v>208743</v>
      </c>
      <c r="S35" s="636">
        <f t="shared" si="49"/>
        <v>140</v>
      </c>
      <c r="T35" s="768">
        <v>380523</v>
      </c>
      <c r="U35" s="636">
        <f t="shared" si="54"/>
        <v>294</v>
      </c>
      <c r="V35" s="768">
        <v>295745</v>
      </c>
      <c r="W35" s="636">
        <f t="shared" si="2"/>
        <v>3473.09</v>
      </c>
      <c r="X35" s="769">
        <v>459455</v>
      </c>
      <c r="Y35" s="636">
        <f t="shared" si="3"/>
        <v>959.83</v>
      </c>
      <c r="Z35" s="768">
        <v>502152</v>
      </c>
      <c r="AA35" s="636">
        <f t="shared" si="4"/>
        <v>0</v>
      </c>
      <c r="AB35" s="768">
        <v>811241</v>
      </c>
      <c r="AC35" s="636">
        <f t="shared" si="33"/>
        <v>2783.03</v>
      </c>
      <c r="AD35" s="768">
        <v>761276</v>
      </c>
      <c r="AE35" s="636">
        <f t="shared" si="20"/>
        <v>1515.27</v>
      </c>
      <c r="AF35" s="768">
        <v>898991</v>
      </c>
      <c r="AG35" s="636">
        <f t="shared" si="42"/>
        <v>10.07</v>
      </c>
      <c r="AH35" s="768">
        <v>233071</v>
      </c>
      <c r="AI35" s="636">
        <f t="shared" si="6"/>
        <v>1125.19</v>
      </c>
      <c r="AJ35" s="768">
        <v>735804</v>
      </c>
      <c r="AK35" s="636">
        <f t="shared" si="45"/>
        <v>3744.98</v>
      </c>
      <c r="AL35" s="768">
        <v>541196</v>
      </c>
      <c r="AM35" s="636">
        <f t="shared" si="8"/>
        <v>107.06</v>
      </c>
      <c r="AN35" s="636">
        <f t="shared" si="21"/>
        <v>13718.52</v>
      </c>
      <c r="AO35" s="768">
        <v>7887124</v>
      </c>
      <c r="AP35" s="636">
        <f t="shared" si="22"/>
        <v>276.97500000000002</v>
      </c>
      <c r="AQ35" s="768">
        <v>727542</v>
      </c>
      <c r="AR35" s="636">
        <f t="shared" si="9"/>
        <v>168</v>
      </c>
      <c r="AS35" s="768">
        <v>994872</v>
      </c>
      <c r="AT35" s="636">
        <f>IF(AS35&gt;=AS34,AS35-AS34,0)</f>
        <v>152</v>
      </c>
      <c r="AU35" s="768">
        <v>819335</v>
      </c>
      <c r="AV35" s="636">
        <f t="shared" si="10"/>
        <v>50</v>
      </c>
      <c r="AW35" s="768">
        <v>2764701</v>
      </c>
      <c r="AX35" s="636">
        <f t="shared" si="11"/>
        <v>1021</v>
      </c>
      <c r="AY35" s="769">
        <v>229733</v>
      </c>
      <c r="AZ35" s="636">
        <f t="shared" si="47"/>
        <v>0</v>
      </c>
      <c r="BA35" s="768">
        <v>20168057</v>
      </c>
      <c r="BB35" s="636">
        <f t="shared" si="13"/>
        <v>4985</v>
      </c>
      <c r="BC35" s="768">
        <v>608922</v>
      </c>
      <c r="BD35" s="636">
        <f t="shared" si="13"/>
        <v>251</v>
      </c>
      <c r="BE35" s="768">
        <v>37089</v>
      </c>
      <c r="BF35" s="636">
        <f t="shared" si="13"/>
        <v>55</v>
      </c>
      <c r="BG35" s="769">
        <v>25266815</v>
      </c>
      <c r="BH35" s="636">
        <f t="shared" si="24"/>
        <v>6529</v>
      </c>
      <c r="BI35" s="636">
        <f t="shared" si="25"/>
        <v>13487.975</v>
      </c>
      <c r="BJ35" s="636">
        <f t="shared" si="26"/>
        <v>27206.495000000003</v>
      </c>
      <c r="BK35" s="769">
        <v>1463969</v>
      </c>
      <c r="BL35" s="636">
        <f t="shared" si="14"/>
        <v>302</v>
      </c>
      <c r="BM35" s="768">
        <v>4138288</v>
      </c>
      <c r="BN35" s="805">
        <f t="shared" si="15"/>
        <v>1471</v>
      </c>
      <c r="BO35" s="768">
        <v>435921</v>
      </c>
      <c r="BP35" s="806">
        <f t="shared" si="16"/>
        <v>109</v>
      </c>
      <c r="BQ35" s="769">
        <v>544638</v>
      </c>
      <c r="BR35" s="636">
        <f t="shared" si="41"/>
        <v>135</v>
      </c>
      <c r="BS35" s="692">
        <f t="shared" si="27"/>
        <v>33415.495000000003</v>
      </c>
      <c r="BT35" s="693">
        <v>229</v>
      </c>
      <c r="BU35" s="692">
        <f t="shared" si="50"/>
        <v>145.91919213973802</v>
      </c>
      <c r="BV35" s="693"/>
      <c r="BW35" s="692" t="e">
        <f t="shared" si="29"/>
        <v>#DIV/0!</v>
      </c>
      <c r="BX35" s="692">
        <f t="shared" si="34"/>
        <v>38643.81925</v>
      </c>
      <c r="BY35" s="692">
        <f t="shared" si="48"/>
        <v>168.75030240174672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25036754.666666701</v>
      </c>
      <c r="J36" s="636">
        <f t="shared" si="18"/>
        <v>5401.666666701436</v>
      </c>
      <c r="K36" s="636">
        <f t="shared" si="19"/>
        <v>5172.6666666665988</v>
      </c>
      <c r="L36" s="769">
        <v>34720</v>
      </c>
      <c r="M36" s="636">
        <f t="shared" si="53"/>
        <v>1912</v>
      </c>
      <c r="N36" s="769">
        <v>55208.666666666599</v>
      </c>
      <c r="O36" s="636">
        <f t="shared" si="0"/>
        <v>3260.6666666665988</v>
      </c>
      <c r="P36" s="769">
        <v>224850.26666666701</v>
      </c>
      <c r="Q36" s="636">
        <f>IF(P36&gt;=P35,P36-P35,0)*30</f>
        <v>488.00000001036096</v>
      </c>
      <c r="R36" s="768">
        <v>208881.5</v>
      </c>
      <c r="S36" s="636">
        <f>IF(R36&gt;=R35,R36-R35,0)</f>
        <v>138.5</v>
      </c>
      <c r="T36" s="768">
        <v>380814.5</v>
      </c>
      <c r="U36" s="636">
        <f t="shared" si="54"/>
        <v>291.5</v>
      </c>
      <c r="V36" s="768">
        <v>301819.2</v>
      </c>
      <c r="W36" s="636">
        <f t="shared" si="2"/>
        <v>3219.3260000000064</v>
      </c>
      <c r="X36" s="769">
        <v>459455</v>
      </c>
      <c r="Y36" s="636">
        <f t="shared" si="3"/>
        <v>0</v>
      </c>
      <c r="Z36" s="768">
        <v>502152</v>
      </c>
      <c r="AA36" s="636">
        <f t="shared" si="4"/>
        <v>0</v>
      </c>
      <c r="AB36" s="768">
        <v>818308.5</v>
      </c>
      <c r="AC36" s="636">
        <f t="shared" si="33"/>
        <v>3745.7750000000001</v>
      </c>
      <c r="AD36" s="768">
        <v>764212</v>
      </c>
      <c r="AE36" s="636">
        <f t="shared" si="20"/>
        <v>1556.0800000000002</v>
      </c>
      <c r="AF36" s="768">
        <v>899010.5</v>
      </c>
      <c r="AG36" s="636">
        <f t="shared" si="42"/>
        <v>10.335000000000001</v>
      </c>
      <c r="AH36" s="768">
        <v>235163.26666666701</v>
      </c>
      <c r="AI36" s="636">
        <f t="shared" si="6"/>
        <v>1108.9013333335165</v>
      </c>
      <c r="AJ36" s="768">
        <v>742785</v>
      </c>
      <c r="AK36" s="636">
        <f t="shared" si="45"/>
        <v>3699.9300000000003</v>
      </c>
      <c r="AL36" s="768">
        <v>541391.13333333295</v>
      </c>
      <c r="AM36" s="636">
        <f t="shared" si="8"/>
        <v>103.42066666646512</v>
      </c>
      <c r="AN36" s="636">
        <f t="shared" si="21"/>
        <v>13443.767999999987</v>
      </c>
      <c r="AO36" s="768">
        <v>7889570</v>
      </c>
      <c r="AP36" s="636">
        <f t="shared" si="22"/>
        <v>275.17500000000001</v>
      </c>
      <c r="AQ36" s="769">
        <v>727713</v>
      </c>
      <c r="AR36" s="636">
        <f t="shared" si="9"/>
        <v>171</v>
      </c>
      <c r="AS36" s="768">
        <v>995039.8</v>
      </c>
      <c r="AT36" s="636">
        <f>IF(AS36&gt;=AS35,AS36-AS35,0)</f>
        <v>167.80000000004657</v>
      </c>
      <c r="AU36" s="768">
        <v>819398.7</v>
      </c>
      <c r="AV36" s="636">
        <f t="shared" si="10"/>
        <v>63.699999999953434</v>
      </c>
      <c r="AW36" s="768">
        <v>2765690.5</v>
      </c>
      <c r="AX36" s="636">
        <f t="shared" si="11"/>
        <v>989.5</v>
      </c>
      <c r="AY36" s="769">
        <v>229733</v>
      </c>
      <c r="AZ36" s="636">
        <f t="shared" si="47"/>
        <v>0</v>
      </c>
      <c r="BA36" s="768">
        <v>20173362.300000001</v>
      </c>
      <c r="BB36" s="636">
        <f t="shared" si="13"/>
        <v>5305.3000000007451</v>
      </c>
      <c r="BC36" s="768">
        <v>609145.59999999998</v>
      </c>
      <c r="BD36" s="636">
        <f t="shared" si="13"/>
        <v>223.59999999997672</v>
      </c>
      <c r="BE36" s="768">
        <v>37173.388888888898</v>
      </c>
      <c r="BF36" s="636">
        <f t="shared" si="13"/>
        <v>84.388888888897782</v>
      </c>
      <c r="BG36" s="769">
        <v>25274117</v>
      </c>
      <c r="BH36" s="636">
        <f t="shared" si="24"/>
        <v>6471.0199999999641</v>
      </c>
      <c r="BI36" s="636">
        <f t="shared" si="25"/>
        <v>13751.483888889583</v>
      </c>
      <c r="BJ36" s="636">
        <f t="shared" si="26"/>
        <v>27195.251888889572</v>
      </c>
      <c r="BK36" s="769">
        <v>1464195.9</v>
      </c>
      <c r="BL36" s="636">
        <f t="shared" si="14"/>
        <v>226.89999999990687</v>
      </c>
      <c r="BM36" s="769">
        <v>4139722.6</v>
      </c>
      <c r="BN36" s="805">
        <f t="shared" si="15"/>
        <v>1434.6000000000931</v>
      </c>
      <c r="BO36" s="804">
        <v>436020.8</v>
      </c>
      <c r="BP36" s="806">
        <f t="shared" si="16"/>
        <v>99.799999999988358</v>
      </c>
      <c r="BQ36" s="768">
        <v>544778.5</v>
      </c>
      <c r="BR36" s="636">
        <f t="shared" si="41"/>
        <v>140.5</v>
      </c>
      <c r="BS36" s="692">
        <f t="shared" si="27"/>
        <v>33084.918555601369</v>
      </c>
      <c r="BT36" s="693">
        <v>198</v>
      </c>
      <c r="BU36" s="692">
        <f t="shared" si="50"/>
        <v>167.09554826061299</v>
      </c>
      <c r="BV36" s="720"/>
      <c r="BW36" s="692" t="e">
        <f t="shared" si="29"/>
        <v>#DIV/0!</v>
      </c>
      <c r="BX36" s="692">
        <f t="shared" si="34"/>
        <v>38267.256338946238</v>
      </c>
      <c r="BY36" s="692">
        <f t="shared" si="48"/>
        <v>193.26897140881937</v>
      </c>
      <c r="BZ36" s="694" t="e">
        <f t="shared" si="35"/>
        <v>#DIV/0!</v>
      </c>
    </row>
    <row r="37" spans="1:78" s="3" customFormat="1" ht="36.75" customHeight="1">
      <c r="A37" s="541" t="s">
        <v>120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172579.66666670144</v>
      </c>
      <c r="K37" s="711">
        <f>SUM(K6:K36)</f>
        <v>121909.76190476189</v>
      </c>
      <c r="L37" s="696"/>
      <c r="M37" s="552">
        <f>SUM(M6:M36)</f>
        <v>59363.095238095302</v>
      </c>
      <c r="N37" s="696"/>
      <c r="O37" s="552">
        <f>SUM(O6:O36)</f>
        <v>62546.666666666599</v>
      </c>
      <c r="P37" s="696"/>
      <c r="Q37" s="552">
        <f>SUM(Q6:Q36)</f>
        <v>15638.000000010361</v>
      </c>
      <c r="R37" s="715"/>
      <c r="S37" s="552">
        <f>SUM(S6:S36)</f>
        <v>5573.5</v>
      </c>
      <c r="T37" s="715"/>
      <c r="U37" s="552">
        <f>SUM(U6:U36)</f>
        <v>8450.5</v>
      </c>
      <c r="V37" s="696"/>
      <c r="W37" s="552">
        <f>SUM(W6:W36)</f>
        <v>69620.906000000003</v>
      </c>
      <c r="X37" s="768"/>
      <c r="Y37" s="552">
        <f>SUM(Y5:Y36)</f>
        <v>48443.06</v>
      </c>
      <c r="Z37" s="712"/>
      <c r="AA37" s="711">
        <f>SUM(AA6:AA36)</f>
        <v>51813.330000000009</v>
      </c>
      <c r="AB37" s="696"/>
      <c r="AC37" s="552">
        <f>SUM(AC6:AC36)</f>
        <v>57867.784999999996</v>
      </c>
      <c r="AD37" s="784"/>
      <c r="AE37" s="711">
        <f>SUM(AE6:AE36)</f>
        <v>35813.69</v>
      </c>
      <c r="AF37" s="784"/>
      <c r="AG37" s="711">
        <f>SUM(AG6:AG36)</f>
        <v>15088.834999999999</v>
      </c>
      <c r="AH37" s="697"/>
      <c r="AI37" s="552">
        <f>SUM(AI6:AI36)</f>
        <v>35664.901333333517</v>
      </c>
      <c r="AJ37" s="697"/>
      <c r="AK37" s="552">
        <f>SUM(AK6:AK36)</f>
        <v>116277.76000000001</v>
      </c>
      <c r="AL37" s="711"/>
      <c r="AM37" s="552">
        <f>SUM(AM6:AM36)</f>
        <v>3362.3906666664648</v>
      </c>
      <c r="AN37" s="711">
        <f>SUM(AN6:AN36)</f>
        <v>433952.65800000011</v>
      </c>
      <c r="AO37" s="773"/>
      <c r="AP37" s="552">
        <f>SUM(AP6:AP36)</f>
        <v>8025.7500000000009</v>
      </c>
      <c r="AQ37" s="697"/>
      <c r="AR37" s="552">
        <f>SUM(AR6:AR36)</f>
        <v>5275</v>
      </c>
      <c r="AS37" s="697"/>
      <c r="AT37" s="552">
        <f>SUM(AT6:AT36)</f>
        <v>5707.8000000000466</v>
      </c>
      <c r="AU37" s="697"/>
      <c r="AV37" s="552">
        <f>SUM(AV6:AV36)</f>
        <v>1867.6999999999534</v>
      </c>
      <c r="AW37" s="697"/>
      <c r="AX37" s="552">
        <f>SUM(AX6:AX36)</f>
        <v>30555.5</v>
      </c>
      <c r="AY37" s="697"/>
      <c r="AZ37" s="552">
        <f>SUM(AZ6:AZ36)</f>
        <v>0</v>
      </c>
      <c r="BA37" s="697"/>
      <c r="BB37" s="552">
        <f>SUM(BB6:BB36)</f>
        <v>161119.30000000075</v>
      </c>
      <c r="BC37" s="784"/>
      <c r="BD37" s="552">
        <f>SUM(BD6:BD36)</f>
        <v>6783.5999999999767</v>
      </c>
      <c r="BE37" s="784"/>
      <c r="BF37" s="552">
        <f>SUM(BF6:BF36)</f>
        <v>2152.3888888888978</v>
      </c>
      <c r="BG37" s="697"/>
      <c r="BH37" s="711">
        <f>SUM(BH6:BH36)</f>
        <v>195877.61999999991</v>
      </c>
      <c r="BI37" s="711">
        <f>SUM(BI6:BI36)</f>
        <v>417364.65888888959</v>
      </c>
      <c r="BJ37" s="711">
        <f>SUM(BJ6:BJ36)</f>
        <v>851317.31688888965</v>
      </c>
      <c r="BK37" s="696"/>
      <c r="BL37" s="552">
        <f>SUM(BL6:BL36)</f>
        <v>8253.8999999999069</v>
      </c>
      <c r="BM37" s="697"/>
      <c r="BN37" s="552">
        <f>SUM(BN6:BN36)</f>
        <v>45450.600000000093</v>
      </c>
      <c r="BO37" s="773"/>
      <c r="BP37" s="552">
        <f>SUM(BP6:BP36)</f>
        <v>3435.7999999999884</v>
      </c>
      <c r="BQ37" s="697"/>
      <c r="BR37" s="552">
        <f>SUM(BR6:BR36)</f>
        <v>4765.5</v>
      </c>
      <c r="BS37" s="552">
        <f>SUM(BS6:BS36)</f>
        <v>1039534.9835556016</v>
      </c>
      <c r="BT37" s="698">
        <f>SUM(BT6:BT36)</f>
        <v>5776</v>
      </c>
      <c r="BU37" s="699">
        <f>IF(BS37&gt;0,BS37/BT37,0)</f>
        <v>179.97489327486176</v>
      </c>
      <c r="BV37" s="698">
        <f>SUM(BV6:BV35)</f>
        <v>0</v>
      </c>
      <c r="BW37" s="699" t="e">
        <f>IF(BS37&gt;0,BS37/BV37,0)</f>
        <v>#DIV/0!</v>
      </c>
      <c r="BX37" s="544">
        <f>SUM(BX6:BX35)</f>
        <v>1164235.0747499999</v>
      </c>
      <c r="BY37" s="699">
        <f>IF(BX37&gt;0,BX37/BT37,0)</f>
        <v>201.56424424342103</v>
      </c>
      <c r="BZ37" s="700" t="e">
        <f>IF(BX37&gt;0,BX37/BV37,0)</f>
        <v>#DIV/0!</v>
      </c>
    </row>
    <row r="38" spans="1:78" s="3" customFormat="1" ht="36.75" customHeight="1">
      <c r="A38" s="545" t="s">
        <v>121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5752.6555555567147</v>
      </c>
      <c r="K38" s="701">
        <f>K37/J39</f>
        <v>4063.6587301587297</v>
      </c>
      <c r="L38" s="702"/>
      <c r="M38" s="701">
        <f>M37/J39</f>
        <v>1978.7698412698435</v>
      </c>
      <c r="N38" s="702"/>
      <c r="O38" s="701">
        <f>O37/J39</f>
        <v>2084.8888888888864</v>
      </c>
      <c r="P38" s="702"/>
      <c r="Q38" s="701">
        <f>Q37/J39</f>
        <v>521.26666666701203</v>
      </c>
      <c r="R38" s="716"/>
      <c r="S38" s="701">
        <f>S37/J39</f>
        <v>185.78333333333333</v>
      </c>
      <c r="T38" s="716"/>
      <c r="U38" s="701">
        <f>U37/J39</f>
        <v>281.68333333333334</v>
      </c>
      <c r="V38" s="702"/>
      <c r="W38" s="701">
        <f>W37/J39</f>
        <v>2320.6968666666667</v>
      </c>
      <c r="X38" s="702"/>
      <c r="Y38" s="701">
        <f>Y37/J39</f>
        <v>1614.7686666666666</v>
      </c>
      <c r="Z38" s="703"/>
      <c r="AA38" s="701">
        <f>AA37/J39</f>
        <v>1727.1110000000003</v>
      </c>
      <c r="AB38" s="702"/>
      <c r="AC38" s="701">
        <f>AC37/J39</f>
        <v>1928.9261666666666</v>
      </c>
      <c r="AD38" s="783"/>
      <c r="AE38" s="701">
        <f>AE37/J39</f>
        <v>1193.7896666666668</v>
      </c>
      <c r="AF38" s="783"/>
      <c r="AG38" s="701">
        <f>AG37/J39</f>
        <v>502.96116666666666</v>
      </c>
      <c r="AH38" s="704"/>
      <c r="AI38" s="701">
        <f>AI37/J39</f>
        <v>1188.8300444444506</v>
      </c>
      <c r="AJ38" s="704"/>
      <c r="AK38" s="701">
        <f>AK37/J39</f>
        <v>3875.9253333333336</v>
      </c>
      <c r="AL38" s="701"/>
      <c r="AM38" s="701">
        <f>AM37/J39</f>
        <v>112.07968888888216</v>
      </c>
      <c r="AN38" s="701">
        <f>AN37/J39</f>
        <v>14465.088600000005</v>
      </c>
      <c r="AO38" s="704"/>
      <c r="AP38" s="701">
        <f>AP37/J39</f>
        <v>267.52500000000003</v>
      </c>
      <c r="AQ38" s="704"/>
      <c r="AR38" s="701">
        <f>AR37/J39</f>
        <v>175.83333333333334</v>
      </c>
      <c r="AS38" s="704"/>
      <c r="AT38" s="701">
        <f>AT37/J39</f>
        <v>190.26000000000155</v>
      </c>
      <c r="AU38" s="704"/>
      <c r="AV38" s="701">
        <f>AV37/J39</f>
        <v>62.256666666665112</v>
      </c>
      <c r="AW38" s="704"/>
      <c r="AX38" s="701">
        <f>AX37/J39</f>
        <v>1018.5166666666667</v>
      </c>
      <c r="AY38" s="704"/>
      <c r="AZ38" s="701">
        <f>AZ37/J39</f>
        <v>0</v>
      </c>
      <c r="BA38" s="704"/>
      <c r="BB38" s="701">
        <f>BB37/J39</f>
        <v>5370.643333333358</v>
      </c>
      <c r="BC38" s="783"/>
      <c r="BD38" s="701">
        <f>BD37/J39</f>
        <v>226.11999999999924</v>
      </c>
      <c r="BE38" s="783"/>
      <c r="BF38" s="701">
        <f>BF37/J39</f>
        <v>71.746296296296592</v>
      </c>
      <c r="BG38" s="704"/>
      <c r="BH38" s="701">
        <f>BH37/J39</f>
        <v>6529.2539999999972</v>
      </c>
      <c r="BI38" s="701"/>
      <c r="BJ38" s="701"/>
      <c r="BK38" s="702"/>
      <c r="BL38" s="701">
        <f>BL37/J39</f>
        <v>275.12999999999687</v>
      </c>
      <c r="BM38" s="704"/>
      <c r="BN38" s="701">
        <f>BN37/J39</f>
        <v>1515.0200000000032</v>
      </c>
      <c r="BO38" s="704"/>
      <c r="BP38" s="701">
        <f>BP37/J39</f>
        <v>114.52666666666627</v>
      </c>
      <c r="BQ38" s="704"/>
      <c r="BR38" s="701">
        <f>BR37/J39</f>
        <v>158.85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122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8"/>
      <c r="B45" s="818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6" activePane="bottomRight" state="frozen"/>
      <selection pane="topRight" activeCell="G39" sqref="G39"/>
      <selection pane="bottomLeft" activeCell="G39" sqref="G39"/>
      <selection pane="bottomRight" activeCell="F38" sqref="F3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1">
        <f>Elect!A1</f>
        <v>44743</v>
      </c>
      <c r="B1" s="579"/>
      <c r="C1" s="580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581"/>
      <c r="P1" s="853"/>
      <c r="Q1" s="853"/>
      <c r="R1" s="853"/>
      <c r="S1" s="2"/>
      <c r="T1" s="582" t="s">
        <v>124</v>
      </c>
      <c r="U1" s="566"/>
      <c r="V1" s="565">
        <v>4</v>
      </c>
      <c r="W1" s="564" t="s">
        <v>125</v>
      </c>
      <c r="X1" s="583"/>
      <c r="Y1" s="584"/>
      <c r="Z1" s="566"/>
    </row>
    <row r="2" spans="1:26" ht="39.75" customHeight="1" thickBot="1">
      <c r="A2" s="852"/>
      <c r="B2" s="586"/>
      <c r="C2" s="580"/>
      <c r="O2" s="581"/>
      <c r="P2" s="854"/>
      <c r="Q2" s="854"/>
      <c r="R2" s="854"/>
    </row>
    <row r="3" spans="1:26" s="3" customFormat="1" ht="42" customHeight="1" thickBot="1">
      <c r="A3" s="843" t="s">
        <v>1</v>
      </c>
      <c r="B3" s="587"/>
      <c r="C3" s="588"/>
      <c r="D3" s="588"/>
      <c r="E3" s="589" t="s">
        <v>126</v>
      </c>
      <c r="F3" s="588"/>
      <c r="G3" s="588"/>
      <c r="H3" s="590"/>
      <c r="I3" s="873" t="s">
        <v>127</v>
      </c>
      <c r="J3" s="874"/>
      <c r="K3" s="874"/>
      <c r="L3" s="874"/>
      <c r="M3" s="875"/>
      <c r="N3" s="865" t="s">
        <v>128</v>
      </c>
      <c r="O3" s="866"/>
      <c r="P3" s="846" t="s">
        <v>129</v>
      </c>
      <c r="Q3" s="846"/>
      <c r="R3" s="846" t="s">
        <v>130</v>
      </c>
      <c r="S3" s="846"/>
      <c r="T3" s="861" t="s">
        <v>131</v>
      </c>
      <c r="U3" s="857" t="s">
        <v>132</v>
      </c>
      <c r="V3" s="857" t="s">
        <v>133</v>
      </c>
      <c r="W3" s="857" t="s">
        <v>134</v>
      </c>
      <c r="X3" s="858" t="s">
        <v>135</v>
      </c>
      <c r="Y3" s="591" t="s">
        <v>72</v>
      </c>
      <c r="Z3" s="592" t="s">
        <v>72</v>
      </c>
    </row>
    <row r="4" spans="1:26" s="3" customFormat="1" ht="45" customHeight="1" thickBot="1">
      <c r="A4" s="844"/>
      <c r="B4" s="867" t="s">
        <v>136</v>
      </c>
      <c r="C4" s="868"/>
      <c r="D4" s="869" t="s">
        <v>137</v>
      </c>
      <c r="E4" s="870"/>
      <c r="F4" s="869" t="s">
        <v>138</v>
      </c>
      <c r="G4" s="870"/>
      <c r="H4" s="849" t="s">
        <v>139</v>
      </c>
      <c r="I4" s="871" t="s">
        <v>140</v>
      </c>
      <c r="J4" s="872"/>
      <c r="K4" s="871" t="s">
        <v>141</v>
      </c>
      <c r="L4" s="872"/>
      <c r="M4" s="792"/>
      <c r="N4" s="849" t="s">
        <v>142</v>
      </c>
      <c r="O4" s="849" t="s">
        <v>143</v>
      </c>
      <c r="P4" s="847" t="s">
        <v>144</v>
      </c>
      <c r="Q4" s="847" t="s">
        <v>145</v>
      </c>
      <c r="R4" s="847" t="s">
        <v>144</v>
      </c>
      <c r="S4" s="847" t="s">
        <v>145</v>
      </c>
      <c r="T4" s="862"/>
      <c r="U4" s="847"/>
      <c r="V4" s="847"/>
      <c r="W4" s="847"/>
      <c r="X4" s="859"/>
      <c r="Y4" s="855" t="s">
        <v>117</v>
      </c>
      <c r="Z4" s="840" t="s">
        <v>118</v>
      </c>
    </row>
    <row r="5" spans="1:26" s="3" customFormat="1" ht="48.75" customHeight="1" thickBot="1">
      <c r="A5" s="845"/>
      <c r="B5" s="593" t="s">
        <v>146</v>
      </c>
      <c r="C5" s="791" t="s">
        <v>147</v>
      </c>
      <c r="D5" s="594" t="s">
        <v>146</v>
      </c>
      <c r="E5" s="791" t="s">
        <v>147</v>
      </c>
      <c r="F5" s="594" t="s">
        <v>146</v>
      </c>
      <c r="G5" s="791" t="s">
        <v>147</v>
      </c>
      <c r="H5" s="850"/>
      <c r="I5" s="725" t="s">
        <v>146</v>
      </c>
      <c r="J5" s="726"/>
      <c r="K5" s="725" t="s">
        <v>146</v>
      </c>
      <c r="L5" s="726"/>
      <c r="M5" s="724"/>
      <c r="N5" s="848"/>
      <c r="O5" s="848"/>
      <c r="P5" s="848"/>
      <c r="Q5" s="848"/>
      <c r="R5" s="848"/>
      <c r="S5" s="848"/>
      <c r="T5" s="863"/>
      <c r="U5" s="848"/>
      <c r="V5" s="848"/>
      <c r="W5" s="848"/>
      <c r="X5" s="860"/>
      <c r="Y5" s="856"/>
      <c r="Z5" s="841"/>
    </row>
    <row r="6" spans="1:26" s="3" customFormat="1" ht="36.75" customHeight="1">
      <c r="A6" s="595"/>
      <c r="B6" s="767">
        <v>86822.135584415606</v>
      </c>
      <c r="C6" s="636">
        <f t="shared" ref="C6:C37" si="0">IF(B6&gt;=B5,B6-B5,0)*10*0.58</f>
        <v>0</v>
      </c>
      <c r="D6" s="770">
        <v>9084</v>
      </c>
      <c r="E6" s="636">
        <f t="shared" ref="E6:E37" si="1">IF(D6&gt;=D5,D6-D5,0)*10*0.58</f>
        <v>0</v>
      </c>
      <c r="F6" s="766">
        <v>31571.8</v>
      </c>
      <c r="G6" s="636">
        <f>IF(F6&gt;=F5,F6-F5,0)*0.58</f>
        <v>0</v>
      </c>
      <c r="H6" s="708"/>
      <c r="I6" s="766">
        <v>274</v>
      </c>
      <c r="J6" s="723"/>
      <c r="K6" s="766">
        <v>4894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86825</v>
      </c>
      <c r="C7" s="636">
        <f t="shared" si="0"/>
        <v>16.613610389485256</v>
      </c>
      <c r="D7" s="770">
        <v>9084</v>
      </c>
      <c r="E7" s="636">
        <f t="shared" si="1"/>
        <v>0</v>
      </c>
      <c r="F7" s="766">
        <v>31762</v>
      </c>
      <c r="G7" s="636">
        <f t="shared" ref="G7:G31" si="2">IF(F7&gt;=F6,F7-F6,0)*0.58</f>
        <v>110.31600000000041</v>
      </c>
      <c r="H7" s="636">
        <f t="shared" ref="H7:H37" si="3">C7+E7+G7</f>
        <v>126.92961038948567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73.619174025901685</v>
      </c>
      <c r="R7" s="109"/>
      <c r="S7" s="436">
        <f>IF(R7-R6&gt;0,R7-R6,0)</f>
        <v>0</v>
      </c>
      <c r="T7" s="706">
        <f>Elect!BT6</f>
        <v>157</v>
      </c>
      <c r="U7" s="604">
        <f>H7/T7</f>
        <v>0.80846885598398521</v>
      </c>
      <c r="V7" s="706">
        <f>Elect!BV6</f>
        <v>0</v>
      </c>
      <c r="W7" s="604" t="e">
        <f>H7/V7</f>
        <v>#DIV/0!</v>
      </c>
      <c r="X7" s="429">
        <f>H7*V1</f>
        <v>507.7184415579427</v>
      </c>
      <c r="Y7" s="604">
        <f>IF(X7&gt;0,X7/T7,0)</f>
        <v>3.2338754239359409</v>
      </c>
      <c r="Z7" s="607">
        <v>0</v>
      </c>
    </row>
    <row r="8" spans="1:26" s="3" customFormat="1" ht="36.75" customHeight="1">
      <c r="A8" s="595">
        <v>2</v>
      </c>
      <c r="B8" s="767">
        <v>86833</v>
      </c>
      <c r="C8" s="636">
        <f t="shared" si="0"/>
        <v>46.4</v>
      </c>
      <c r="D8" s="770">
        <v>9092</v>
      </c>
      <c r="E8" s="636">
        <f t="shared" si="1"/>
        <v>46.4</v>
      </c>
      <c r="F8" s="766">
        <v>31908</v>
      </c>
      <c r="G8" s="636">
        <f t="shared" si="2"/>
        <v>84.679999999999993</v>
      </c>
      <c r="H8" s="636">
        <f t="shared" si="3"/>
        <v>177.48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102.93839999999999</v>
      </c>
      <c r="R8" s="109"/>
      <c r="S8" s="436">
        <f t="shared" ref="S8:S37" si="6">IF(R8-R7&gt;0,R8-R7,0)</f>
        <v>0</v>
      </c>
      <c r="T8" s="706">
        <f>Elect!BT7</f>
        <v>135</v>
      </c>
      <c r="U8" s="604">
        <f t="shared" ref="U8:U37" si="7">H8/T8</f>
        <v>1.3146666666666667</v>
      </c>
      <c r="V8" s="706">
        <f>Elect!BV7</f>
        <v>0</v>
      </c>
      <c r="W8" s="604" t="e">
        <f t="shared" ref="W8:W37" si="8">H8/V8</f>
        <v>#DIV/0!</v>
      </c>
      <c r="X8" s="429">
        <f>H8*V1</f>
        <v>709.92</v>
      </c>
      <c r="Y8" s="604">
        <f>IF(X8&gt;0,X8/T8,0)</f>
        <v>5.2586666666666666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86855</v>
      </c>
      <c r="C9" s="636">
        <f t="shared" si="0"/>
        <v>127.6</v>
      </c>
      <c r="D9" s="770">
        <v>9110</v>
      </c>
      <c r="E9" s="636">
        <f t="shared" si="1"/>
        <v>104.39999999999999</v>
      </c>
      <c r="F9" s="766">
        <v>32102</v>
      </c>
      <c r="G9" s="636">
        <f t="shared" si="2"/>
        <v>112.52</v>
      </c>
      <c r="H9" s="636">
        <f t="shared" si="3"/>
        <v>344.52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199.82159999999999</v>
      </c>
      <c r="R9" s="109"/>
      <c r="S9" s="436">
        <f t="shared" si="6"/>
        <v>0</v>
      </c>
      <c r="T9" s="706">
        <f>Elect!BT8</f>
        <v>120</v>
      </c>
      <c r="U9" s="604">
        <f t="shared" si="7"/>
        <v>2.871</v>
      </c>
      <c r="V9" s="706">
        <f>Elect!BV8</f>
        <v>0</v>
      </c>
      <c r="W9" s="604" t="e">
        <f t="shared" si="8"/>
        <v>#DIV/0!</v>
      </c>
      <c r="X9" s="429">
        <f>H9*V1</f>
        <v>1378.08</v>
      </c>
      <c r="Y9" s="604">
        <f t="shared" ref="Y9:Y37" si="9">IF(X9&gt;0,X9/T9,0)</f>
        <v>11.484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86875</v>
      </c>
      <c r="C10" s="636">
        <f t="shared" si="0"/>
        <v>115.99999999999999</v>
      </c>
      <c r="D10" s="770">
        <v>9141</v>
      </c>
      <c r="E10" s="636">
        <f t="shared" si="1"/>
        <v>179.79999999999998</v>
      </c>
      <c r="F10" s="766">
        <v>32310</v>
      </c>
      <c r="G10" s="636">
        <f t="shared" si="2"/>
        <v>120.63999999999999</v>
      </c>
      <c r="H10" s="636">
        <f t="shared" si="3"/>
        <v>416.43999999999994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241.53519999999995</v>
      </c>
      <c r="R10" s="109"/>
      <c r="S10" s="436">
        <f t="shared" si="6"/>
        <v>0</v>
      </c>
      <c r="T10" s="706">
        <f>Elect!BT9</f>
        <v>121</v>
      </c>
      <c r="U10" s="604">
        <f t="shared" si="7"/>
        <v>3.4416528925619829</v>
      </c>
      <c r="V10" s="706">
        <f>Elect!BV9</f>
        <v>0</v>
      </c>
      <c r="W10" s="604" t="e">
        <f t="shared" si="8"/>
        <v>#DIV/0!</v>
      </c>
      <c r="X10" s="429">
        <f>H10*V1</f>
        <v>1665.7599999999998</v>
      </c>
      <c r="Y10" s="604">
        <f t="shared" si="9"/>
        <v>13.766611570247932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86895</v>
      </c>
      <c r="C11" s="636">
        <f t="shared" si="0"/>
        <v>115.99999999999999</v>
      </c>
      <c r="D11" s="770">
        <v>9167</v>
      </c>
      <c r="E11" s="636">
        <f t="shared" si="1"/>
        <v>150.79999999999998</v>
      </c>
      <c r="F11" s="766">
        <v>32512</v>
      </c>
      <c r="G11" s="636">
        <f t="shared" si="2"/>
        <v>117.16</v>
      </c>
      <c r="H11" s="636">
        <f t="shared" si="3"/>
        <v>383.95999999999992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222.69679999999994</v>
      </c>
      <c r="R11" s="109"/>
      <c r="S11" s="436">
        <f t="shared" si="6"/>
        <v>0</v>
      </c>
      <c r="T11" s="706">
        <f>Elect!BT10</f>
        <v>130</v>
      </c>
      <c r="U11" s="604">
        <f t="shared" si="7"/>
        <v>2.9535384615384608</v>
      </c>
      <c r="V11" s="706">
        <f>Elect!BV10</f>
        <v>0</v>
      </c>
      <c r="W11" s="604" t="e">
        <f t="shared" si="8"/>
        <v>#DIV/0!</v>
      </c>
      <c r="X11" s="429">
        <f>H11*V1</f>
        <v>1535.8399999999997</v>
      </c>
      <c r="Y11" s="604">
        <f t="shared" si="9"/>
        <v>11.814153846153843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86915</v>
      </c>
      <c r="C12" s="636">
        <f t="shared" si="0"/>
        <v>115.99999999999999</v>
      </c>
      <c r="D12" s="770">
        <v>9193</v>
      </c>
      <c r="E12" s="636">
        <f t="shared" si="1"/>
        <v>150.79999999999998</v>
      </c>
      <c r="F12" s="766">
        <v>32702</v>
      </c>
      <c r="G12" s="636">
        <f t="shared" si="2"/>
        <v>110.19999999999999</v>
      </c>
      <c r="H12" s="636">
        <f t="shared" si="3"/>
        <v>376.99999999999994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218.65999999999994</v>
      </c>
      <c r="R12" s="109"/>
      <c r="S12" s="436">
        <f t="shared" si="6"/>
        <v>0</v>
      </c>
      <c r="T12" s="706">
        <f>Elect!BT11</f>
        <v>129</v>
      </c>
      <c r="U12" s="604">
        <f t="shared" si="7"/>
        <v>2.9224806201550382</v>
      </c>
      <c r="V12" s="706">
        <f>Elect!BV11</f>
        <v>0</v>
      </c>
      <c r="W12" s="604" t="e">
        <f t="shared" si="8"/>
        <v>#DIV/0!</v>
      </c>
      <c r="X12" s="429">
        <f>H12*V1</f>
        <v>1507.9999999999998</v>
      </c>
      <c r="Y12" s="604">
        <f t="shared" si="9"/>
        <v>11.689922480620153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86935</v>
      </c>
      <c r="C13" s="636">
        <f t="shared" si="0"/>
        <v>115.99999999999999</v>
      </c>
      <c r="D13" s="770">
        <v>9219</v>
      </c>
      <c r="E13" s="636">
        <f t="shared" si="1"/>
        <v>150.79999999999998</v>
      </c>
      <c r="F13" s="766">
        <v>32912</v>
      </c>
      <c r="G13" s="636">
        <f t="shared" si="2"/>
        <v>121.8</v>
      </c>
      <c r="H13" s="636">
        <f t="shared" si="3"/>
        <v>388.59999999999997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225.38799999999998</v>
      </c>
      <c r="R13" s="109"/>
      <c r="S13" s="436">
        <f t="shared" si="6"/>
        <v>0</v>
      </c>
      <c r="T13" s="706">
        <f>Elect!BT12</f>
        <v>137</v>
      </c>
      <c r="U13" s="604">
        <f t="shared" si="7"/>
        <v>2.8364963503649632</v>
      </c>
      <c r="V13" s="706">
        <f>Elect!BV12</f>
        <v>0</v>
      </c>
      <c r="W13" s="604" t="e">
        <f t="shared" si="8"/>
        <v>#DIV/0!</v>
      </c>
      <c r="X13" s="429">
        <f>H13*V1</f>
        <v>1554.3999999999999</v>
      </c>
      <c r="Y13" s="604">
        <f t="shared" si="9"/>
        <v>11.345985401459853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86953</v>
      </c>
      <c r="C14" s="636">
        <f>IF(B14&gt;=B13,B14-B13,0)*10*0.58</f>
        <v>104.39999999999999</v>
      </c>
      <c r="D14" s="770">
        <v>9243</v>
      </c>
      <c r="E14" s="636">
        <f t="shared" si="1"/>
        <v>139.19999999999999</v>
      </c>
      <c r="F14" s="766">
        <v>33112</v>
      </c>
      <c r="G14" s="636">
        <f t="shared" si="2"/>
        <v>115.99999999999999</v>
      </c>
      <c r="H14" s="636">
        <f t="shared" si="3"/>
        <v>359.59999999999997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208.56799999999996</v>
      </c>
      <c r="R14" s="109"/>
      <c r="S14" s="436">
        <f t="shared" si="6"/>
        <v>0</v>
      </c>
      <c r="T14" s="706">
        <f>Elect!BT13</f>
        <v>145</v>
      </c>
      <c r="U14" s="604">
        <f t="shared" si="7"/>
        <v>2.48</v>
      </c>
      <c r="V14" s="706">
        <f>Elect!BV13</f>
        <v>0</v>
      </c>
      <c r="W14" s="604" t="e">
        <f t="shared" si="8"/>
        <v>#DIV/0!</v>
      </c>
      <c r="X14" s="429">
        <f>H14*V1</f>
        <v>1438.3999999999999</v>
      </c>
      <c r="Y14" s="604">
        <f t="shared" si="9"/>
        <v>9.92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86973</v>
      </c>
      <c r="C15" s="636">
        <f>IF(B15&gt;=B14,B15-B14,0)*10*0.58</f>
        <v>115.99999999999999</v>
      </c>
      <c r="D15" s="770">
        <v>9269</v>
      </c>
      <c r="E15" s="636">
        <f t="shared" si="1"/>
        <v>150.79999999999998</v>
      </c>
      <c r="F15" s="766">
        <v>33283</v>
      </c>
      <c r="G15" s="636">
        <f t="shared" si="2"/>
        <v>99.179999999999993</v>
      </c>
      <c r="H15" s="636">
        <f t="shared" si="3"/>
        <v>365.97999999999996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212.26839999999996</v>
      </c>
      <c r="R15" s="109"/>
      <c r="S15" s="436">
        <f t="shared" si="6"/>
        <v>0</v>
      </c>
      <c r="T15" s="706">
        <f>Elect!BT14</f>
        <v>168</v>
      </c>
      <c r="U15" s="604">
        <f t="shared" si="7"/>
        <v>2.1784523809523808</v>
      </c>
      <c r="V15" s="706">
        <f>Elect!BV14</f>
        <v>0</v>
      </c>
      <c r="W15" s="604" t="e">
        <f t="shared" si="8"/>
        <v>#DIV/0!</v>
      </c>
      <c r="X15" s="429">
        <f>H15*V1</f>
        <v>1463.9199999999998</v>
      </c>
      <c r="Y15" s="604">
        <f t="shared" si="9"/>
        <v>8.7138095238095232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86999</v>
      </c>
      <c r="C16" s="636">
        <f>IF(B16&gt;=B15,B16-B15,0)*10*0.58</f>
        <v>150.79999999999998</v>
      </c>
      <c r="D16" s="770">
        <v>9302</v>
      </c>
      <c r="E16" s="636">
        <f t="shared" si="1"/>
        <v>191.39999999999998</v>
      </c>
      <c r="F16" s="766">
        <v>33283</v>
      </c>
      <c r="G16" s="636">
        <f t="shared" si="2"/>
        <v>0</v>
      </c>
      <c r="H16" s="636">
        <f t="shared" si="3"/>
        <v>342.19999999999993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198.47599999999994</v>
      </c>
      <c r="R16" s="109"/>
      <c r="S16" s="436">
        <f t="shared" si="6"/>
        <v>0</v>
      </c>
      <c r="T16" s="706">
        <f>Elect!BT15</f>
        <v>177</v>
      </c>
      <c r="U16" s="604">
        <f t="shared" si="7"/>
        <v>1.9333333333333329</v>
      </c>
      <c r="V16" s="706">
        <f>Elect!BV15</f>
        <v>0</v>
      </c>
      <c r="W16" s="604" t="e">
        <f t="shared" si="8"/>
        <v>#DIV/0!</v>
      </c>
      <c r="X16" s="429">
        <f>H16*V1</f>
        <v>1368.7999999999997</v>
      </c>
      <c r="Y16" s="604">
        <f t="shared" si="9"/>
        <v>7.7333333333333316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87028</v>
      </c>
      <c r="C17" s="636">
        <f t="shared" si="0"/>
        <v>168.2</v>
      </c>
      <c r="D17" s="770">
        <v>9339</v>
      </c>
      <c r="E17" s="636">
        <f t="shared" si="1"/>
        <v>214.6</v>
      </c>
      <c r="F17" s="766">
        <v>33283</v>
      </c>
      <c r="G17" s="636">
        <f t="shared" si="2"/>
        <v>0</v>
      </c>
      <c r="H17" s="636">
        <f t="shared" si="3"/>
        <v>382.79999999999995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177</v>
      </c>
      <c r="U17" s="604">
        <f t="shared" si="7"/>
        <v>2.1627118644067793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8.6508474576271173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87058</v>
      </c>
      <c r="C18" s="636">
        <f t="shared" si="0"/>
        <v>174</v>
      </c>
      <c r="D18" s="770">
        <v>9377</v>
      </c>
      <c r="E18" s="636">
        <f t="shared" si="1"/>
        <v>220.39999999999998</v>
      </c>
      <c r="F18" s="766">
        <v>33283</v>
      </c>
      <c r="G18" s="636">
        <f t="shared" si="2"/>
        <v>0</v>
      </c>
      <c r="H18" s="636">
        <f t="shared" si="3"/>
        <v>394.4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228.75199999999998</v>
      </c>
      <c r="R18" s="109"/>
      <c r="S18" s="436">
        <f t="shared" si="6"/>
        <v>0</v>
      </c>
      <c r="T18" s="706">
        <f>Elect!BT17</f>
        <v>204</v>
      </c>
      <c r="U18" s="604">
        <f t="shared" si="7"/>
        <v>1.9333333333333331</v>
      </c>
      <c r="V18" s="706">
        <f>Elect!BV17</f>
        <v>0</v>
      </c>
      <c r="W18" s="604" t="e">
        <f t="shared" si="8"/>
        <v>#DIV/0!</v>
      </c>
      <c r="X18" s="429">
        <f>H18*V1</f>
        <v>1577.6</v>
      </c>
      <c r="Y18" s="604">
        <f t="shared" si="9"/>
        <v>7.7333333333333325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87085</v>
      </c>
      <c r="C19" s="636">
        <f t="shared" si="0"/>
        <v>156.6</v>
      </c>
      <c r="D19" s="770">
        <v>9411</v>
      </c>
      <c r="E19" s="636">
        <f t="shared" si="1"/>
        <v>197.2</v>
      </c>
      <c r="F19" s="766">
        <v>33283</v>
      </c>
      <c r="G19" s="636">
        <f t="shared" si="2"/>
        <v>0</v>
      </c>
      <c r="H19" s="636">
        <f t="shared" si="3"/>
        <v>353.79999999999995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205.20399999999995</v>
      </c>
      <c r="R19" s="109"/>
      <c r="S19" s="436">
        <f t="shared" si="6"/>
        <v>0</v>
      </c>
      <c r="T19" s="706">
        <f>Elect!BT18</f>
        <v>182</v>
      </c>
      <c r="U19" s="604">
        <f t="shared" si="7"/>
        <v>1.9439560439560437</v>
      </c>
      <c r="V19" s="706">
        <f>Elect!BV18</f>
        <v>0</v>
      </c>
      <c r="W19" s="604" t="e">
        <f t="shared" si="8"/>
        <v>#DIV/0!</v>
      </c>
      <c r="X19" s="429">
        <f>H19*V1</f>
        <v>1415.1999999999998</v>
      </c>
      <c r="Y19" s="604">
        <f t="shared" si="9"/>
        <v>7.7758241758241748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87117</v>
      </c>
      <c r="C20" s="636">
        <f t="shared" si="0"/>
        <v>185.6</v>
      </c>
      <c r="D20" s="770">
        <v>9453</v>
      </c>
      <c r="E20" s="636">
        <f t="shared" si="1"/>
        <v>243.6</v>
      </c>
      <c r="F20" s="766">
        <v>33283</v>
      </c>
      <c r="G20" s="636">
        <f t="shared" si="2"/>
        <v>0</v>
      </c>
      <c r="H20" s="636">
        <f t="shared" si="3"/>
        <v>429.2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248.93599999999998</v>
      </c>
      <c r="R20" s="109"/>
      <c r="S20" s="436">
        <f t="shared" si="6"/>
        <v>0</v>
      </c>
      <c r="T20" s="706">
        <f>Elect!BT19</f>
        <v>251</v>
      </c>
      <c r="U20" s="604">
        <f t="shared" si="7"/>
        <v>1.7099601593625497</v>
      </c>
      <c r="V20" s="706">
        <f>Elect!BV19</f>
        <v>0</v>
      </c>
      <c r="W20" s="604" t="e">
        <f t="shared" si="8"/>
        <v>#DIV/0!</v>
      </c>
      <c r="X20" s="429">
        <f>H20*V1</f>
        <v>1716.8</v>
      </c>
      <c r="Y20" s="604">
        <f t="shared" si="9"/>
        <v>6.839840637450199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87151</v>
      </c>
      <c r="C21" s="636">
        <f t="shared" si="0"/>
        <v>197.2</v>
      </c>
      <c r="D21" s="770">
        <v>9496</v>
      </c>
      <c r="E21" s="636">
        <f t="shared" si="1"/>
        <v>249.39999999999998</v>
      </c>
      <c r="F21" s="766">
        <v>33283</v>
      </c>
      <c r="G21" s="636">
        <f t="shared" si="2"/>
        <v>0</v>
      </c>
      <c r="H21" s="636">
        <f t="shared" si="3"/>
        <v>446.59999999999997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259.02799999999996</v>
      </c>
      <c r="R21" s="109"/>
      <c r="S21" s="436">
        <f t="shared" si="6"/>
        <v>0</v>
      </c>
      <c r="T21" s="706">
        <f>Elect!BT20</f>
        <v>230</v>
      </c>
      <c r="U21" s="604">
        <f t="shared" si="7"/>
        <v>1.9417391304347824</v>
      </c>
      <c r="V21" s="706">
        <f>Elect!BV20</f>
        <v>0</v>
      </c>
      <c r="W21" s="604" t="e">
        <f t="shared" si="8"/>
        <v>#DIV/0!</v>
      </c>
      <c r="X21" s="429">
        <f>H21*V1</f>
        <v>1786.3999999999999</v>
      </c>
      <c r="Y21" s="604">
        <f t="shared" si="9"/>
        <v>7.7669565217391296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87179</v>
      </c>
      <c r="C22" s="636">
        <f>IF(B22&gt;=B21,B22-B21,0)*10*0.58</f>
        <v>162.39999999999998</v>
      </c>
      <c r="D22" s="770">
        <v>9531</v>
      </c>
      <c r="E22" s="636">
        <f t="shared" si="1"/>
        <v>203</v>
      </c>
      <c r="F22" s="766">
        <v>33283</v>
      </c>
      <c r="G22" s="636">
        <f t="shared" si="2"/>
        <v>0</v>
      </c>
      <c r="H22" s="636">
        <f t="shared" si="3"/>
        <v>365.4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211.93199999999996</v>
      </c>
      <c r="R22" s="109"/>
      <c r="S22" s="436">
        <f t="shared" si="6"/>
        <v>0</v>
      </c>
      <c r="T22" s="706">
        <f>Elect!BT21</f>
        <v>192</v>
      </c>
      <c r="U22" s="604">
        <f t="shared" si="7"/>
        <v>1.903125</v>
      </c>
      <c r="V22" s="706">
        <f>Elect!BV21</f>
        <v>0</v>
      </c>
      <c r="W22" s="604" t="e">
        <f t="shared" si="8"/>
        <v>#DIV/0!</v>
      </c>
      <c r="X22" s="429">
        <f>H22*V1</f>
        <v>1461.6</v>
      </c>
      <c r="Y22" s="604">
        <f t="shared" si="9"/>
        <v>7.6124999999999998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87209</v>
      </c>
      <c r="C23" s="636">
        <f>IF(B23&gt;=B22,B23-B22,0)*10*0.58</f>
        <v>174</v>
      </c>
      <c r="D23" s="770">
        <v>9568</v>
      </c>
      <c r="E23" s="636">
        <f t="shared" si="1"/>
        <v>214.6</v>
      </c>
      <c r="F23" s="766">
        <v>33283</v>
      </c>
      <c r="G23" s="636">
        <f t="shared" si="2"/>
        <v>0</v>
      </c>
      <c r="H23" s="636">
        <f t="shared" si="3"/>
        <v>388.6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225.38800000000001</v>
      </c>
      <c r="R23" s="109"/>
      <c r="S23" s="436">
        <f t="shared" si="6"/>
        <v>0</v>
      </c>
      <c r="T23" s="706">
        <f>Elect!BT22</f>
        <v>178</v>
      </c>
      <c r="U23" s="604">
        <f t="shared" si="7"/>
        <v>2.1831460674157306</v>
      </c>
      <c r="V23" s="706">
        <f>Elect!BV22</f>
        <v>0</v>
      </c>
      <c r="W23" s="604" t="e">
        <f t="shared" si="8"/>
        <v>#DIV/0!</v>
      </c>
      <c r="X23" s="429">
        <f>H23*V1</f>
        <v>1554.4</v>
      </c>
      <c r="Y23" s="604">
        <f t="shared" si="9"/>
        <v>8.7325842696629223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87234</v>
      </c>
      <c r="C24" s="636">
        <f>IF(B24&gt;=B23,B24-B23,0)*10*0.58</f>
        <v>145</v>
      </c>
      <c r="D24" s="770">
        <v>9601</v>
      </c>
      <c r="E24" s="636">
        <f t="shared" si="1"/>
        <v>191.39999999999998</v>
      </c>
      <c r="F24" s="766">
        <v>33470</v>
      </c>
      <c r="G24" s="636">
        <f t="shared" si="2"/>
        <v>108.46</v>
      </c>
      <c r="H24" s="636">
        <f t="shared" si="3"/>
        <v>444.85999999999996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258.01879999999994</v>
      </c>
      <c r="R24" s="109"/>
      <c r="S24" s="436">
        <f t="shared" si="6"/>
        <v>0</v>
      </c>
      <c r="T24" s="706">
        <f>Elect!BT23</f>
        <v>184</v>
      </c>
      <c r="U24" s="604">
        <f t="shared" si="7"/>
        <v>2.4177173913043477</v>
      </c>
      <c r="V24" s="706">
        <f>Elect!BV23</f>
        <v>0</v>
      </c>
      <c r="W24" s="604" t="e">
        <f t="shared" si="8"/>
        <v>#DIV/0!</v>
      </c>
      <c r="X24" s="429">
        <f>H24*V1</f>
        <v>1779.4399999999998</v>
      </c>
      <c r="Y24" s="604">
        <f t="shared" si="9"/>
        <v>9.6708695652173908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87254</v>
      </c>
      <c r="C25" s="636">
        <f>IF(B25&gt;=B24,B25-B24,0)*10*0.58</f>
        <v>115.99999999999999</v>
      </c>
      <c r="D25" s="770">
        <v>9627</v>
      </c>
      <c r="E25" s="636">
        <f t="shared" si="1"/>
        <v>150.79999999999998</v>
      </c>
      <c r="F25" s="766">
        <v>33661</v>
      </c>
      <c r="G25" s="636">
        <f t="shared" si="2"/>
        <v>110.77999999999999</v>
      </c>
      <c r="H25" s="636">
        <f t="shared" si="3"/>
        <v>377.57999999999993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218.99639999999994</v>
      </c>
      <c r="R25" s="109"/>
      <c r="S25" s="436">
        <f t="shared" si="6"/>
        <v>0</v>
      </c>
      <c r="T25" s="706">
        <f>Elect!BT24</f>
        <v>167</v>
      </c>
      <c r="U25" s="604">
        <f t="shared" si="7"/>
        <v>2.2609580838323349</v>
      </c>
      <c r="V25" s="706">
        <f>Elect!BV24</f>
        <v>0</v>
      </c>
      <c r="W25" s="604" t="e">
        <f t="shared" si="8"/>
        <v>#DIV/0!</v>
      </c>
      <c r="X25" s="429">
        <f>H25*V1</f>
        <v>1510.3199999999997</v>
      </c>
      <c r="Y25" s="604">
        <f t="shared" si="9"/>
        <v>9.0438323353293395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87274</v>
      </c>
      <c r="C26" s="636">
        <f t="shared" si="0"/>
        <v>115.99999999999999</v>
      </c>
      <c r="D26" s="770">
        <v>9654</v>
      </c>
      <c r="E26" s="636">
        <f t="shared" si="1"/>
        <v>156.6</v>
      </c>
      <c r="F26" s="766">
        <v>33856</v>
      </c>
      <c r="G26" s="636">
        <f t="shared" si="2"/>
        <v>113.1</v>
      </c>
      <c r="H26" s="636">
        <f t="shared" si="3"/>
        <v>385.69999999999993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223.70599999999993</v>
      </c>
      <c r="R26" s="109"/>
      <c r="S26" s="436">
        <f t="shared" si="6"/>
        <v>0</v>
      </c>
      <c r="T26" s="706">
        <f>Elect!BT25</f>
        <v>156</v>
      </c>
      <c r="U26" s="604">
        <f t="shared" si="7"/>
        <v>2.4724358974358971</v>
      </c>
      <c r="V26" s="706">
        <f>Elect!BV25</f>
        <v>0</v>
      </c>
      <c r="W26" s="604" t="e">
        <f t="shared" si="8"/>
        <v>#DIV/0!</v>
      </c>
      <c r="X26" s="429">
        <f>H26*V1</f>
        <v>1542.7999999999997</v>
      </c>
      <c r="Y26" s="604">
        <f t="shared" si="9"/>
        <v>9.8897435897435884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87294</v>
      </c>
      <c r="C27" s="636">
        <f t="shared" si="0"/>
        <v>115.99999999999999</v>
      </c>
      <c r="D27" s="770">
        <v>9681</v>
      </c>
      <c r="E27" s="636">
        <f t="shared" si="1"/>
        <v>156.6</v>
      </c>
      <c r="F27" s="766">
        <v>34048.333333333299</v>
      </c>
      <c r="G27" s="636">
        <f t="shared" si="2"/>
        <v>111.55333333331363</v>
      </c>
      <c r="H27" s="636">
        <f t="shared" si="3"/>
        <v>384.15333333331358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222.80893333332187</v>
      </c>
      <c r="R27" s="109"/>
      <c r="S27" s="436">
        <f t="shared" si="6"/>
        <v>0</v>
      </c>
      <c r="T27" s="706">
        <f>Elect!BT26</f>
        <v>190</v>
      </c>
      <c r="U27" s="604">
        <f t="shared" si="7"/>
        <v>2.0218596491227032</v>
      </c>
      <c r="V27" s="706">
        <f>Elect!BV26</f>
        <v>0</v>
      </c>
      <c r="W27" s="604" t="e">
        <f t="shared" si="8"/>
        <v>#DIV/0!</v>
      </c>
      <c r="X27" s="429">
        <f>H27*V1</f>
        <v>1536.6133333332543</v>
      </c>
      <c r="Y27" s="604">
        <f t="shared" si="9"/>
        <v>8.0874385964908129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87318</v>
      </c>
      <c r="C28" s="636">
        <f>IF(B28&gt;=B27,B28-B27,0)*10*0.58</f>
        <v>139.19999999999999</v>
      </c>
      <c r="D28" s="770">
        <v>9711</v>
      </c>
      <c r="E28" s="636">
        <f t="shared" si="1"/>
        <v>174</v>
      </c>
      <c r="F28" s="766">
        <v>34263</v>
      </c>
      <c r="G28" s="636">
        <f t="shared" si="2"/>
        <v>124.50666666668636</v>
      </c>
      <c r="H28" s="636">
        <f t="shared" si="3"/>
        <v>437.70666666668637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253.86986666667809</v>
      </c>
      <c r="R28" s="109"/>
      <c r="S28" s="436">
        <f t="shared" si="6"/>
        <v>0</v>
      </c>
      <c r="T28" s="706">
        <f>Elect!BT27</f>
        <v>205</v>
      </c>
      <c r="U28" s="604">
        <f t="shared" si="7"/>
        <v>2.1351544715448116</v>
      </c>
      <c r="V28" s="706">
        <f>Elect!BV27</f>
        <v>0</v>
      </c>
      <c r="W28" s="604" t="e">
        <f t="shared" si="8"/>
        <v>#DIV/0!</v>
      </c>
      <c r="X28" s="429">
        <f>H28*V1</f>
        <v>1750.8266666667455</v>
      </c>
      <c r="Y28" s="604">
        <f t="shared" si="9"/>
        <v>8.5406178861792466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87339</v>
      </c>
      <c r="C29" s="636">
        <f>IF(B29&gt;=B28,B29-B28,0)*10*0.58</f>
        <v>121.8</v>
      </c>
      <c r="D29" s="770">
        <v>9737</v>
      </c>
      <c r="E29" s="636">
        <f t="shared" si="1"/>
        <v>150.79999999999998</v>
      </c>
      <c r="F29" s="766">
        <v>34470</v>
      </c>
      <c r="G29" s="636">
        <f t="shared" si="2"/>
        <v>120.05999999999999</v>
      </c>
      <c r="H29" s="636">
        <f t="shared" si="3"/>
        <v>392.65999999999997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227.74279999999996</v>
      </c>
      <c r="R29" s="458"/>
      <c r="S29" s="436">
        <f t="shared" si="6"/>
        <v>0</v>
      </c>
      <c r="T29" s="706">
        <f>Elect!BT28</f>
        <v>221</v>
      </c>
      <c r="U29" s="604">
        <f t="shared" si="7"/>
        <v>1.7767420814479638</v>
      </c>
      <c r="V29" s="706">
        <f>Elect!BV28</f>
        <v>0</v>
      </c>
      <c r="W29" s="604" t="e">
        <f t="shared" si="8"/>
        <v>#DIV/0!</v>
      </c>
      <c r="X29" s="429">
        <f>H29*V1</f>
        <v>1570.6399999999999</v>
      </c>
      <c r="Y29" s="604">
        <f t="shared" si="9"/>
        <v>7.106968325791855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87362</v>
      </c>
      <c r="C30" s="636">
        <f t="shared" si="0"/>
        <v>133.39999999999998</v>
      </c>
      <c r="D30" s="770">
        <v>9767</v>
      </c>
      <c r="E30" s="636">
        <f t="shared" si="1"/>
        <v>174</v>
      </c>
      <c r="F30" s="766">
        <v>34664</v>
      </c>
      <c r="G30" s="636">
        <f t="shared" si="2"/>
        <v>112.52</v>
      </c>
      <c r="H30" s="636">
        <f t="shared" si="3"/>
        <v>419.91999999999996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243.55359999999996</v>
      </c>
      <c r="R30" s="458"/>
      <c r="S30" s="436">
        <f t="shared" si="6"/>
        <v>0</v>
      </c>
      <c r="T30" s="706">
        <f>Elect!BT29</f>
        <v>225</v>
      </c>
      <c r="U30" s="604">
        <f t="shared" si="7"/>
        <v>1.866311111111111</v>
      </c>
      <c r="V30" s="706">
        <f>Elect!BV29</f>
        <v>0</v>
      </c>
      <c r="W30" s="604" t="e">
        <f t="shared" si="8"/>
        <v>#DIV/0!</v>
      </c>
      <c r="X30" s="429">
        <f>H30*V1</f>
        <v>1679.6799999999998</v>
      </c>
      <c r="Y30" s="604">
        <f t="shared" si="9"/>
        <v>7.4652444444444441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87386</v>
      </c>
      <c r="C31" s="636">
        <f t="shared" si="0"/>
        <v>139.19999999999999</v>
      </c>
      <c r="D31" s="770">
        <v>9798</v>
      </c>
      <c r="E31" s="636">
        <f t="shared" si="1"/>
        <v>179.79999999999998</v>
      </c>
      <c r="F31" s="766">
        <v>34868</v>
      </c>
      <c r="G31" s="636">
        <f t="shared" si="2"/>
        <v>118.32</v>
      </c>
      <c r="H31" s="636">
        <f t="shared" si="3"/>
        <v>437.32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253.64559999999997</v>
      </c>
      <c r="R31" s="458"/>
      <c r="S31" s="436">
        <f t="shared" si="6"/>
        <v>0</v>
      </c>
      <c r="T31" s="706">
        <f>Elect!BT30</f>
        <v>203</v>
      </c>
      <c r="U31" s="604">
        <f t="shared" si="7"/>
        <v>2.1542857142857144</v>
      </c>
      <c r="V31" s="706">
        <f>Elect!BV30</f>
        <v>0</v>
      </c>
      <c r="W31" s="604" t="e">
        <f t="shared" si="8"/>
        <v>#DIV/0!</v>
      </c>
      <c r="X31" s="429">
        <f>H31*V1</f>
        <v>1749.28</v>
      </c>
      <c r="Y31" s="604">
        <f t="shared" si="9"/>
        <v>8.6171428571428574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87409</v>
      </c>
      <c r="C32" s="636">
        <f>IF(B32&gt;=B31,B32-B31,0)*10*0.58</f>
        <v>133.39999999999998</v>
      </c>
      <c r="D32" s="770">
        <v>9828</v>
      </c>
      <c r="E32" s="636">
        <f t="shared" si="1"/>
        <v>174</v>
      </c>
      <c r="F32" s="766">
        <v>35065</v>
      </c>
      <c r="G32" s="636">
        <f t="shared" ref="G32:G37" si="12">IF(F32&gt;=F31,F32-F31,0)*0.58</f>
        <v>114.25999999999999</v>
      </c>
      <c r="H32" s="636">
        <f t="shared" si="3"/>
        <v>421.65999999999997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244.56279999999995</v>
      </c>
      <c r="R32" s="458"/>
      <c r="S32" s="436">
        <f t="shared" si="6"/>
        <v>0</v>
      </c>
      <c r="T32" s="706">
        <f>Elect!BT31</f>
        <v>232</v>
      </c>
      <c r="U32" s="604">
        <f t="shared" si="7"/>
        <v>1.8174999999999999</v>
      </c>
      <c r="V32" s="706">
        <f>Elect!BV31</f>
        <v>0</v>
      </c>
      <c r="W32" s="604" t="e">
        <f t="shared" si="8"/>
        <v>#DIV/0!</v>
      </c>
      <c r="X32" s="429">
        <f>H32*V1</f>
        <v>1686.6399999999999</v>
      </c>
      <c r="Y32" s="604">
        <f t="shared" si="9"/>
        <v>7.27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87432.666666666701</v>
      </c>
      <c r="C33" s="636">
        <f>IF(B33&gt;=B32,B33-B32,0)*10*0.58</f>
        <v>137.26666666686359</v>
      </c>
      <c r="D33" s="770">
        <v>9858</v>
      </c>
      <c r="E33" s="636">
        <f t="shared" si="1"/>
        <v>174</v>
      </c>
      <c r="F33" s="766">
        <v>35255</v>
      </c>
      <c r="G33" s="636">
        <f t="shared" si="12"/>
        <v>110.19999999999999</v>
      </c>
      <c r="H33" s="636">
        <f t="shared" si="3"/>
        <v>421.46666666686355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244.45066666678085</v>
      </c>
      <c r="R33" s="458"/>
      <c r="S33" s="436">
        <f t="shared" si="6"/>
        <v>0</v>
      </c>
      <c r="T33" s="706">
        <f>Elect!BT32</f>
        <v>250</v>
      </c>
      <c r="U33" s="604">
        <f t="shared" si="7"/>
        <v>1.6858666666674542</v>
      </c>
      <c r="V33" s="706">
        <f>Elect!BV32</f>
        <v>0</v>
      </c>
      <c r="W33" s="604" t="e">
        <f t="shared" si="8"/>
        <v>#DIV/0!</v>
      </c>
      <c r="X33" s="429">
        <f>H33*V1</f>
        <v>1685.8666666674542</v>
      </c>
      <c r="Y33" s="604">
        <f t="shared" si="9"/>
        <v>6.7434666666698169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87456.166666666701</v>
      </c>
      <c r="C34" s="636">
        <f>IF(B34&gt;=B33,B34-B33,0)*10*0.58</f>
        <v>136.29999999999998</v>
      </c>
      <c r="D34" s="770">
        <v>9888</v>
      </c>
      <c r="E34" s="636">
        <f t="shared" si="1"/>
        <v>174</v>
      </c>
      <c r="F34" s="766">
        <v>35449.666666666701</v>
      </c>
      <c r="G34" s="636">
        <f t="shared" si="12"/>
        <v>112.90666666668635</v>
      </c>
      <c r="H34" s="636">
        <f t="shared" si="3"/>
        <v>423.20666666668632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245.45986666667804</v>
      </c>
      <c r="R34" s="458"/>
      <c r="S34" s="436">
        <f t="shared" si="6"/>
        <v>0</v>
      </c>
      <c r="T34" s="706">
        <f>Elect!BT33</f>
        <v>257</v>
      </c>
      <c r="U34" s="604">
        <f t="shared" si="7"/>
        <v>1.6467185473411918</v>
      </c>
      <c r="V34" s="706">
        <f>Elect!BV33</f>
        <v>0</v>
      </c>
      <c r="W34" s="604" t="e">
        <f t="shared" si="8"/>
        <v>#DIV/0!</v>
      </c>
      <c r="X34" s="429">
        <f>H34*V1</f>
        <v>1692.8266666667453</v>
      </c>
      <c r="Y34" s="604">
        <f t="shared" si="9"/>
        <v>6.5868741893647673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87477</v>
      </c>
      <c r="C35" s="636">
        <f>IF(B35&gt;=B34,B35-B34,0)*10*0.58</f>
        <v>120.83333333313639</v>
      </c>
      <c r="D35" s="770">
        <v>9917</v>
      </c>
      <c r="E35" s="636">
        <f t="shared" si="1"/>
        <v>168.2</v>
      </c>
      <c r="F35" s="766">
        <v>35658</v>
      </c>
      <c r="G35" s="636">
        <f t="shared" si="12"/>
        <v>120.83333333331363</v>
      </c>
      <c r="H35" s="636">
        <f t="shared" si="3"/>
        <v>409.86666666645004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237.72266666654102</v>
      </c>
      <c r="R35" s="458"/>
      <c r="S35" s="436">
        <f t="shared" si="6"/>
        <v>0</v>
      </c>
      <c r="T35" s="706">
        <f>Elect!BT34</f>
        <v>226</v>
      </c>
      <c r="U35" s="604">
        <f t="shared" si="7"/>
        <v>1.8135693215329649</v>
      </c>
      <c r="V35" s="706">
        <f>Elect!BV34</f>
        <v>0</v>
      </c>
      <c r="W35" s="604" t="e">
        <f t="shared" si="8"/>
        <v>#DIV/0!</v>
      </c>
      <c r="X35" s="429">
        <f>H35*V1</f>
        <v>1639.4666666658002</v>
      </c>
      <c r="Y35" s="604">
        <f t="shared" si="9"/>
        <v>7.2542772861318596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87501</v>
      </c>
      <c r="C36" s="636">
        <f t="shared" si="0"/>
        <v>139.19999999999999</v>
      </c>
      <c r="D36" s="770">
        <v>9946</v>
      </c>
      <c r="E36" s="636">
        <f t="shared" si="1"/>
        <v>168.2</v>
      </c>
      <c r="F36" s="766">
        <v>35850</v>
      </c>
      <c r="G36" s="636">
        <f t="shared" si="12"/>
        <v>111.35999999999999</v>
      </c>
      <c r="H36" s="636">
        <f t="shared" si="3"/>
        <v>418.76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242.88079999999997</v>
      </c>
      <c r="R36" s="458"/>
      <c r="S36" s="436">
        <f t="shared" si="6"/>
        <v>0</v>
      </c>
      <c r="T36" s="706">
        <f>Elect!BT35</f>
        <v>229</v>
      </c>
      <c r="U36" s="604">
        <f t="shared" si="7"/>
        <v>1.8286462882096068</v>
      </c>
      <c r="V36" s="706">
        <f>Elect!BV35</f>
        <v>0</v>
      </c>
      <c r="W36" s="604" t="e">
        <f t="shared" si="8"/>
        <v>#DIV/0!</v>
      </c>
      <c r="X36" s="429">
        <f>H36*V1</f>
        <v>1675.04</v>
      </c>
      <c r="Y36" s="604">
        <f t="shared" si="9"/>
        <v>7.3145851528384274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87524</v>
      </c>
      <c r="C37" s="636">
        <f t="shared" si="0"/>
        <v>133.39999999999998</v>
      </c>
      <c r="D37" s="770">
        <v>9976</v>
      </c>
      <c r="E37" s="636">
        <f t="shared" si="1"/>
        <v>174</v>
      </c>
      <c r="F37" s="766">
        <v>36049</v>
      </c>
      <c r="G37" s="636">
        <f t="shared" si="12"/>
        <v>115.41999999999999</v>
      </c>
      <c r="H37" s="636">
        <f t="shared" si="3"/>
        <v>422.81999999999994</v>
      </c>
      <c r="I37" s="766">
        <v>283</v>
      </c>
      <c r="J37" s="722"/>
      <c r="K37" s="808">
        <v>5019</v>
      </c>
      <c r="L37" s="722"/>
      <c r="M37" s="722"/>
      <c r="N37" s="526"/>
      <c r="O37" s="535">
        <f t="shared" si="4"/>
        <v>0</v>
      </c>
      <c r="P37" s="526"/>
      <c r="Q37" s="436">
        <f t="shared" si="5"/>
        <v>245.23559999999995</v>
      </c>
      <c r="R37" s="721"/>
      <c r="S37" s="436">
        <f t="shared" si="6"/>
        <v>0</v>
      </c>
      <c r="T37" s="706">
        <f>Elect!BT36</f>
        <v>198</v>
      </c>
      <c r="U37" s="604">
        <f t="shared" si="7"/>
        <v>2.1354545454545453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120</v>
      </c>
      <c r="B38" s="800"/>
      <c r="C38" s="727">
        <f>SUM(C7:C37)</f>
        <v>4070.8136103894853</v>
      </c>
      <c r="D38" s="538"/>
      <c r="E38" s="727">
        <f>SUM(E7:E37)</f>
        <v>5173.5999999999995</v>
      </c>
      <c r="F38" s="538"/>
      <c r="G38" s="727">
        <f>SUM(G7:G37)</f>
        <v>2596.7759999999998</v>
      </c>
      <c r="H38" s="727">
        <f>SUM(H7:H37)</f>
        <v>11841.189610389485</v>
      </c>
      <c r="I38" s="727">
        <f>I37-I6</f>
        <v>9</v>
      </c>
      <c r="J38" s="542"/>
      <c r="K38" s="727">
        <f>K37-K6</f>
        <v>125</v>
      </c>
      <c r="L38" s="542"/>
      <c r="M38" s="542"/>
      <c r="N38" s="538"/>
      <c r="O38" s="542">
        <f>SUM(O7:O36)</f>
        <v>0</v>
      </c>
      <c r="P38" s="538"/>
      <c r="Q38" s="542">
        <f>SUM(Q7:Q34)</f>
        <v>6142.0509073593594</v>
      </c>
      <c r="R38" s="538"/>
      <c r="S38" s="542">
        <f>SUM(S7:S34)</f>
        <v>0</v>
      </c>
      <c r="T38" s="543">
        <f>SUM(T7:T36)</f>
        <v>5578</v>
      </c>
      <c r="U38" s="605">
        <f>IF(H38&gt;0,H38/T38,0)</f>
        <v>2.1228378648959279</v>
      </c>
      <c r="V38" s="659">
        <f>SUM(V7:V36)</f>
        <v>0</v>
      </c>
      <c r="W38" s="605" t="e">
        <f>IF(H38&gt;0,H38/V38,0)</f>
        <v>#DIV/0!</v>
      </c>
      <c r="X38" s="608">
        <f>SUM(X7:X36)</f>
        <v>45673.478441557942</v>
      </c>
      <c r="Y38" s="605">
        <f t="shared" ref="Y38:Y44" si="13">IF(X38&gt;0,X38/T38,0)</f>
        <v>8.1881460096016383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121</v>
      </c>
      <c r="B39" s="800"/>
      <c r="C39" s="547">
        <f>C38/B48</f>
        <v>135.69378701298285</v>
      </c>
      <c r="D39" s="539"/>
      <c r="E39" s="547">
        <f>E38/B48</f>
        <v>172.45333333333332</v>
      </c>
      <c r="F39" s="539"/>
      <c r="G39" s="547">
        <f>G38/B48</f>
        <v>86.55919999999999</v>
      </c>
      <c r="H39" s="547">
        <f>H38/B48</f>
        <v>394.70632034631615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204.73503024531198</v>
      </c>
      <c r="R39" s="539"/>
      <c r="S39" s="547" t="e">
        <f>S38/C48</f>
        <v>#DIV/0!</v>
      </c>
      <c r="T39" s="548">
        <f>T38/B48</f>
        <v>185.93333333333334</v>
      </c>
      <c r="U39" s="606">
        <f>IF(H39&gt;0,H39/T39,0)</f>
        <v>2.1228378648959274</v>
      </c>
      <c r="V39" s="619">
        <f>V38/B48</f>
        <v>0</v>
      </c>
      <c r="W39" s="605" t="e">
        <f>IF(H39&gt;0,H39/V39,0)</f>
        <v>#DIV/0!</v>
      </c>
      <c r="X39" s="610">
        <f>X38/B48</f>
        <v>1522.4492813852646</v>
      </c>
      <c r="Y39" s="606">
        <f t="shared" si="13"/>
        <v>8.1881460096016383</v>
      </c>
      <c r="Z39" s="611" t="e">
        <f t="shared" si="14"/>
        <v>#DIV/0!</v>
      </c>
    </row>
    <row r="40" spans="1:26" s="3" customFormat="1" ht="36.75" customHeight="1">
      <c r="A40" s="597" t="s">
        <v>148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149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150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151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152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153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154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155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122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4" t="s">
        <v>126</v>
      </c>
      <c r="B136" s="864"/>
      <c r="C136" s="864"/>
      <c r="D136" s="864"/>
      <c r="E136" s="864"/>
      <c r="F136" s="864"/>
      <c r="G136" s="864"/>
      <c r="H136" s="864"/>
      <c r="I136" s="864"/>
      <c r="J136" s="864"/>
      <c r="K136" s="864"/>
      <c r="L136" s="864"/>
      <c r="M136" s="864"/>
      <c r="N136" s="86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0" activePane="bottomRight" state="frozen"/>
      <selection pane="topRight" activeCell="D22" sqref="D22"/>
      <selection pane="bottomLeft" activeCell="D22" sqref="D22"/>
      <selection pane="bottomRight" activeCell="Q47" sqref="Q4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6">
        <f>Elect!A1</f>
        <v>44743</v>
      </c>
      <c r="E1" s="836" t="s">
        <v>47</v>
      </c>
      <c r="H1" s="564" t="s">
        <v>156</v>
      </c>
      <c r="I1" s="667"/>
      <c r="J1" s="565">
        <v>3.9</v>
      </c>
    </row>
    <row r="2" spans="1:13" ht="23.25" customHeight="1">
      <c r="A2" s="876"/>
      <c r="C2" s="27"/>
      <c r="E2" s="836"/>
      <c r="G2" s="27"/>
      <c r="H2" s="27"/>
      <c r="I2" s="27"/>
      <c r="K2" s="529"/>
      <c r="L2" s="528"/>
      <c r="M2" s="385"/>
    </row>
    <row r="3" spans="1:13" ht="21" customHeight="1" thickBot="1">
      <c r="A3" s="877"/>
      <c r="B3" s="27"/>
      <c r="C3" s="27"/>
      <c r="D3" s="27"/>
      <c r="E3" s="837"/>
      <c r="F3" s="27"/>
      <c r="G3" s="27"/>
      <c r="H3" s="27"/>
      <c r="I3" s="27"/>
    </row>
    <row r="4" spans="1:13" ht="53.25" customHeight="1">
      <c r="A4" s="660" t="s">
        <v>157</v>
      </c>
      <c r="B4" s="878" t="s">
        <v>158</v>
      </c>
      <c r="C4" s="879"/>
      <c r="D4" s="878" t="s">
        <v>159</v>
      </c>
      <c r="E4" s="879"/>
      <c r="F4" s="878" t="s">
        <v>160</v>
      </c>
      <c r="G4" s="879"/>
      <c r="H4" s="534" t="s">
        <v>161</v>
      </c>
      <c r="I4" s="534" t="s">
        <v>162</v>
      </c>
      <c r="J4" s="533" t="s">
        <v>163</v>
      </c>
      <c r="K4" s="733" t="s">
        <v>164</v>
      </c>
      <c r="L4" s="23"/>
      <c r="M4" s="23"/>
    </row>
    <row r="5" spans="1:13" ht="26.25" customHeight="1" thickBot="1">
      <c r="A5" s="661"/>
      <c r="B5" s="137" t="s">
        <v>165</v>
      </c>
      <c r="C5" s="138" t="s">
        <v>166</v>
      </c>
      <c r="D5" s="137" t="s">
        <v>165</v>
      </c>
      <c r="E5" s="138" t="s">
        <v>166</v>
      </c>
      <c r="F5" s="137" t="s">
        <v>165</v>
      </c>
      <c r="G5" s="138" t="s">
        <v>166</v>
      </c>
      <c r="H5" s="25" t="s">
        <v>167</v>
      </c>
      <c r="I5" s="25" t="s">
        <v>167</v>
      </c>
      <c r="J5" s="25" t="s">
        <v>167</v>
      </c>
      <c r="K5" s="138" t="s">
        <v>166</v>
      </c>
      <c r="L5" s="23"/>
      <c r="M5" s="23"/>
    </row>
    <row r="6" spans="1:13" s="3" customFormat="1" ht="41.25" customHeight="1">
      <c r="A6" s="662"/>
      <c r="B6" s="763"/>
      <c r="C6" s="636">
        <f t="shared" ref="C6:C14" si="0">IF(B6&gt;=B5,B6-B5,0)*1.06</f>
        <v>0</v>
      </c>
      <c r="D6" s="770">
        <v>534497.56727272598</v>
      </c>
      <c r="E6" s="636">
        <f>IF(D6&gt;=D5,D6-D5,0)*0.7</f>
        <v>0</v>
      </c>
      <c r="F6" s="770">
        <v>615954.49393939401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/>
      <c r="C7" s="636">
        <f t="shared" si="0"/>
        <v>0</v>
      </c>
      <c r="D7" s="770">
        <v>534668</v>
      </c>
      <c r="E7" s="636">
        <f t="shared" ref="E7:E35" si="2">IF(D7&gt;=D6,D7-D6,0)*0.7</f>
        <v>119.30290909181348</v>
      </c>
      <c r="F7" s="770">
        <v>616076</v>
      </c>
      <c r="G7" s="636">
        <f t="shared" si="1"/>
        <v>121.50606060598511</v>
      </c>
      <c r="H7" s="636">
        <f>(E7*0.55)*1.61</f>
        <v>105.64272600080085</v>
      </c>
      <c r="I7" s="636">
        <f>C7*J1</f>
        <v>0</v>
      </c>
      <c r="J7" s="636">
        <f>G7*J1</f>
        <v>473.87363636334192</v>
      </c>
      <c r="K7" s="692">
        <f t="shared" ref="K7:K37" si="3">C7+E7</f>
        <v>119.30290909181348</v>
      </c>
    </row>
    <row r="8" spans="1:13" s="3" customFormat="1" ht="41.25" customHeight="1">
      <c r="A8" s="662">
        <v>2</v>
      </c>
      <c r="B8" s="763"/>
      <c r="C8" s="636">
        <f t="shared" si="0"/>
        <v>0</v>
      </c>
      <c r="D8" s="770">
        <v>534838.43272727402</v>
      </c>
      <c r="E8" s="636">
        <f t="shared" si="2"/>
        <v>119.30290909181348</v>
      </c>
      <c r="F8" s="770">
        <v>616197.50606060599</v>
      </c>
      <c r="G8" s="636">
        <f t="shared" si="1"/>
        <v>121.50606060598511</v>
      </c>
      <c r="H8" s="636">
        <f t="shared" ref="H8:H37" si="4">(E8*0.55)*1.61</f>
        <v>105.64272600080085</v>
      </c>
      <c r="I8" s="636">
        <f>C8*J1</f>
        <v>0</v>
      </c>
      <c r="J8" s="636">
        <f>G8*J1</f>
        <v>473.87363636334192</v>
      </c>
      <c r="K8" s="692">
        <f t="shared" si="3"/>
        <v>119.30290909181348</v>
      </c>
    </row>
    <row r="9" spans="1:13" s="3" customFormat="1" ht="41.25" customHeight="1">
      <c r="A9" s="662">
        <v>3</v>
      </c>
      <c r="B9" s="763"/>
      <c r="C9" s="636">
        <f t="shared" si="0"/>
        <v>0</v>
      </c>
      <c r="D9" s="770">
        <v>534974</v>
      </c>
      <c r="E9" s="636">
        <f t="shared" si="2"/>
        <v>94.897090908186499</v>
      </c>
      <c r="F9" s="770">
        <v>616243</v>
      </c>
      <c r="G9" s="636">
        <f t="shared" si="1"/>
        <v>45.493939394014888</v>
      </c>
      <c r="H9" s="636">
        <f>(E9*0.55)*1.61</f>
        <v>84.031373999199161</v>
      </c>
      <c r="I9" s="636">
        <f>C9*J1</f>
        <v>0</v>
      </c>
      <c r="J9" s="636">
        <f>G9*J1</f>
        <v>177.42636363665807</v>
      </c>
      <c r="K9" s="692">
        <f>C9+E9</f>
        <v>94.897090908186499</v>
      </c>
    </row>
    <row r="10" spans="1:13" s="3" customFormat="1" ht="41.25" customHeight="1">
      <c r="A10" s="662">
        <v>4</v>
      </c>
      <c r="B10" s="763"/>
      <c r="C10" s="636">
        <f>IF(B10&gt;=B9,B10-B9,0)*1.06</f>
        <v>0</v>
      </c>
      <c r="D10" s="770">
        <v>535321</v>
      </c>
      <c r="E10" s="636">
        <f t="shared" si="2"/>
        <v>242.89999999999998</v>
      </c>
      <c r="F10" s="770">
        <v>616316</v>
      </c>
      <c r="G10" s="636">
        <f t="shared" si="1"/>
        <v>73</v>
      </c>
      <c r="H10" s="636">
        <f>(E10*0.55)*1.61</f>
        <v>215.08795000000001</v>
      </c>
      <c r="I10" s="636">
        <f>C10*J1</f>
        <v>0</v>
      </c>
      <c r="J10" s="636">
        <f>G10*J1</f>
        <v>284.7</v>
      </c>
      <c r="K10" s="692">
        <f t="shared" si="3"/>
        <v>242.89999999999998</v>
      </c>
    </row>
    <row r="11" spans="1:13" s="3" customFormat="1" ht="41.25" customHeight="1">
      <c r="A11" s="662">
        <v>5</v>
      </c>
      <c r="B11" s="763"/>
      <c r="C11" s="636">
        <f>IF(B11&gt;=B10,B11-B10,0)*1.06</f>
        <v>0</v>
      </c>
      <c r="D11" s="770">
        <v>535737</v>
      </c>
      <c r="E11" s="636">
        <f t="shared" si="2"/>
        <v>291.2</v>
      </c>
      <c r="F11" s="770">
        <v>616389</v>
      </c>
      <c r="G11" s="636">
        <f t="shared" si="1"/>
        <v>73</v>
      </c>
      <c r="H11" s="636">
        <f t="shared" si="4"/>
        <v>257.85759999999999</v>
      </c>
      <c r="I11" s="636">
        <f>C11*J1</f>
        <v>0</v>
      </c>
      <c r="J11" s="636">
        <f>G11*J1</f>
        <v>284.7</v>
      </c>
      <c r="K11" s="692">
        <f t="shared" si="3"/>
        <v>291.2</v>
      </c>
    </row>
    <row r="12" spans="1:13" s="3" customFormat="1" ht="41.25" customHeight="1">
      <c r="A12" s="662">
        <v>6</v>
      </c>
      <c r="B12" s="763"/>
      <c r="C12" s="636">
        <f>IF(B12&gt;=B11,B12-B11,0)*1.06</f>
        <v>0</v>
      </c>
      <c r="D12" s="770">
        <v>536149</v>
      </c>
      <c r="E12" s="636">
        <f t="shared" si="2"/>
        <v>288.39999999999998</v>
      </c>
      <c r="F12" s="770">
        <v>616466</v>
      </c>
      <c r="G12" s="636">
        <f t="shared" si="1"/>
        <v>77</v>
      </c>
      <c r="H12" s="636">
        <f t="shared" si="4"/>
        <v>255.37820000000002</v>
      </c>
      <c r="I12" s="636">
        <f>C12*J1</f>
        <v>0</v>
      </c>
      <c r="J12" s="636">
        <f>G12*J1</f>
        <v>300.3</v>
      </c>
      <c r="K12" s="692">
        <f t="shared" si="3"/>
        <v>288.39999999999998</v>
      </c>
    </row>
    <row r="13" spans="1:13" s="3" customFormat="1" ht="41.25" customHeight="1">
      <c r="A13" s="662">
        <v>7</v>
      </c>
      <c r="B13" s="763"/>
      <c r="C13" s="636">
        <f>IF(B13&gt;=B12,B13-B12,0)*1.06</f>
        <v>0</v>
      </c>
      <c r="D13" s="770">
        <v>536526</v>
      </c>
      <c r="E13" s="636">
        <f t="shared" si="2"/>
        <v>263.89999999999998</v>
      </c>
      <c r="F13" s="770">
        <v>616593</v>
      </c>
      <c r="G13" s="636">
        <f t="shared" si="1"/>
        <v>127</v>
      </c>
      <c r="H13" s="636">
        <f t="shared" si="4"/>
        <v>233.68345000000002</v>
      </c>
      <c r="I13" s="636">
        <f>C13*J1</f>
        <v>0</v>
      </c>
      <c r="J13" s="636">
        <f>G13*J1</f>
        <v>495.3</v>
      </c>
      <c r="K13" s="692">
        <f t="shared" si="3"/>
        <v>263.89999999999998</v>
      </c>
    </row>
    <row r="14" spans="1:13" s="3" customFormat="1" ht="41.25" customHeight="1">
      <c r="A14" s="662">
        <v>8</v>
      </c>
      <c r="B14" s="763"/>
      <c r="C14" s="636">
        <f t="shared" si="0"/>
        <v>0</v>
      </c>
      <c r="D14" s="770">
        <v>536917</v>
      </c>
      <c r="E14" s="636">
        <f t="shared" si="2"/>
        <v>273.7</v>
      </c>
      <c r="F14" s="770">
        <v>616642</v>
      </c>
      <c r="G14" s="636">
        <f t="shared" si="1"/>
        <v>49</v>
      </c>
      <c r="H14" s="636">
        <f t="shared" si="4"/>
        <v>242.36135000000002</v>
      </c>
      <c r="I14" s="636">
        <f>C14*J1</f>
        <v>0</v>
      </c>
      <c r="J14" s="636">
        <f>G14*J1</f>
        <v>191.1</v>
      </c>
      <c r="K14" s="692">
        <f t="shared" si="3"/>
        <v>273.7</v>
      </c>
    </row>
    <row r="15" spans="1:13" s="3" customFormat="1" ht="41.25" customHeight="1">
      <c r="A15" s="662">
        <v>9</v>
      </c>
      <c r="B15" s="763"/>
      <c r="C15" s="636">
        <f t="shared" ref="C15:C27" si="5">IF(B15&gt;=B14,B15-B14,0)*1.06</f>
        <v>0</v>
      </c>
      <c r="D15" s="770">
        <v>537298</v>
      </c>
      <c r="E15" s="636">
        <f t="shared" si="2"/>
        <v>266.7</v>
      </c>
      <c r="F15" s="770">
        <v>616722</v>
      </c>
      <c r="G15" s="636">
        <f t="shared" si="1"/>
        <v>80</v>
      </c>
      <c r="H15" s="636">
        <f t="shared" si="4"/>
        <v>236.16285000000002</v>
      </c>
      <c r="I15" s="636">
        <f>C15*J1</f>
        <v>0</v>
      </c>
      <c r="J15" s="636">
        <f>G15*J1</f>
        <v>312</v>
      </c>
      <c r="K15" s="692">
        <f t="shared" si="3"/>
        <v>266.7</v>
      </c>
    </row>
    <row r="16" spans="1:13" s="3" customFormat="1" ht="41.25" customHeight="1">
      <c r="A16" s="662">
        <v>10</v>
      </c>
      <c r="B16" s="763"/>
      <c r="C16" s="636">
        <f t="shared" si="5"/>
        <v>0</v>
      </c>
      <c r="D16" s="770">
        <v>537704</v>
      </c>
      <c r="E16" s="636">
        <f t="shared" si="2"/>
        <v>284.2</v>
      </c>
      <c r="F16" s="770">
        <v>616816</v>
      </c>
      <c r="G16" s="636">
        <f t="shared" si="1"/>
        <v>94</v>
      </c>
      <c r="H16" s="636">
        <f t="shared" si="4"/>
        <v>251.65910000000002</v>
      </c>
      <c r="I16" s="636">
        <f>C16*J1</f>
        <v>0</v>
      </c>
      <c r="J16" s="636">
        <f>G16*J1</f>
        <v>366.59999999999997</v>
      </c>
      <c r="K16" s="692">
        <f t="shared" si="3"/>
        <v>284.2</v>
      </c>
    </row>
    <row r="17" spans="1:11" s="3" customFormat="1" ht="41.25" customHeight="1">
      <c r="A17" s="662">
        <v>11</v>
      </c>
      <c r="B17" s="763"/>
      <c r="C17" s="636">
        <f t="shared" si="5"/>
        <v>0</v>
      </c>
      <c r="D17" s="770">
        <v>538080</v>
      </c>
      <c r="E17" s="636">
        <f t="shared" si="2"/>
        <v>263.2</v>
      </c>
      <c r="F17" s="770">
        <v>616928</v>
      </c>
      <c r="G17" s="636">
        <f t="shared" si="1"/>
        <v>112</v>
      </c>
      <c r="H17" s="636">
        <f t="shared" si="4"/>
        <v>233.06360000000004</v>
      </c>
      <c r="I17" s="636">
        <f>C17*J1</f>
        <v>0</v>
      </c>
      <c r="J17" s="636">
        <f>G17*J1</f>
        <v>436.8</v>
      </c>
      <c r="K17" s="692">
        <f t="shared" si="3"/>
        <v>263.2</v>
      </c>
    </row>
    <row r="18" spans="1:11" s="3" customFormat="1" ht="41.25" customHeight="1">
      <c r="A18" s="662">
        <v>12</v>
      </c>
      <c r="B18" s="763"/>
      <c r="C18" s="636">
        <f t="shared" si="5"/>
        <v>0</v>
      </c>
      <c r="D18" s="770">
        <v>538461</v>
      </c>
      <c r="E18" s="636">
        <f t="shared" si="2"/>
        <v>266.7</v>
      </c>
      <c r="F18" s="770">
        <v>616991</v>
      </c>
      <c r="G18" s="636">
        <f t="shared" ref="G18:G20" si="6">IF(F18&gt;=F17,F18-F17,0)</f>
        <v>63</v>
      </c>
      <c r="H18" s="636">
        <f t="shared" si="4"/>
        <v>236.16285000000002</v>
      </c>
      <c r="I18" s="636">
        <f>C18*J1</f>
        <v>0</v>
      </c>
      <c r="J18" s="636">
        <f>G18*J1</f>
        <v>245.7</v>
      </c>
      <c r="K18" s="692">
        <f t="shared" si="3"/>
        <v>266.7</v>
      </c>
    </row>
    <row r="19" spans="1:11" s="3" customFormat="1" ht="41.25" customHeight="1">
      <c r="A19" s="662">
        <v>13</v>
      </c>
      <c r="B19" s="763"/>
      <c r="C19" s="636">
        <f>IF(B19&gt;=B18,B19-B18,0)*1.06</f>
        <v>0</v>
      </c>
      <c r="D19" s="770">
        <v>538841</v>
      </c>
      <c r="E19" s="636">
        <f>IF(D19&gt;=D18,D19-D18,0)*0.7</f>
        <v>266</v>
      </c>
      <c r="F19" s="770">
        <v>617064</v>
      </c>
      <c r="G19" s="636">
        <f t="shared" si="6"/>
        <v>73</v>
      </c>
      <c r="H19" s="636">
        <f t="shared" si="4"/>
        <v>235.54300000000003</v>
      </c>
      <c r="I19" s="636">
        <f>C19*J1</f>
        <v>0</v>
      </c>
      <c r="J19" s="636">
        <f>G19*J1</f>
        <v>284.7</v>
      </c>
      <c r="K19" s="692">
        <f t="shared" si="3"/>
        <v>266</v>
      </c>
    </row>
    <row r="20" spans="1:11" s="3" customFormat="1" ht="41.25" customHeight="1">
      <c r="A20" s="662">
        <v>14</v>
      </c>
      <c r="B20" s="763"/>
      <c r="C20" s="636">
        <f>IF(B20&gt;=B19,B20-B19,0)*1.06</f>
        <v>0</v>
      </c>
      <c r="D20" s="770">
        <v>539281</v>
      </c>
      <c r="E20" s="636">
        <f>IF(D20&gt;=D19,D20-D19,0)*0.7</f>
        <v>308</v>
      </c>
      <c r="F20" s="770">
        <v>617150</v>
      </c>
      <c r="G20" s="636">
        <f t="shared" si="6"/>
        <v>86</v>
      </c>
      <c r="H20" s="636">
        <f t="shared" si="4"/>
        <v>272.73400000000004</v>
      </c>
      <c r="I20" s="636">
        <f>C20*J1</f>
        <v>0</v>
      </c>
      <c r="J20" s="636">
        <f>G20*J1</f>
        <v>335.4</v>
      </c>
      <c r="K20" s="692">
        <f t="shared" si="3"/>
        <v>308</v>
      </c>
    </row>
    <row r="21" spans="1:11" s="3" customFormat="1" ht="41.25" customHeight="1">
      <c r="A21" s="662">
        <v>15</v>
      </c>
      <c r="B21" s="763"/>
      <c r="C21" s="636">
        <f>IF(B21&gt;=B20,B21-B20,0)*1.06</f>
        <v>0</v>
      </c>
      <c r="D21" s="770">
        <v>539836</v>
      </c>
      <c r="E21" s="636">
        <f>IF(D21&gt;=D20,D21-D20,0)*0.7</f>
        <v>388.5</v>
      </c>
      <c r="F21" s="770">
        <v>617200</v>
      </c>
      <c r="G21" s="636">
        <f t="shared" ref="G21:G37" si="7">IF(F21&gt;=F20,F21-F20,0)</f>
        <v>50</v>
      </c>
      <c r="H21" s="636">
        <f t="shared" si="4"/>
        <v>344.01675000000006</v>
      </c>
      <c r="I21" s="636">
        <f>C21*J1</f>
        <v>0</v>
      </c>
      <c r="J21" s="636">
        <f>G21*J1</f>
        <v>195</v>
      </c>
      <c r="K21" s="692">
        <f t="shared" si="3"/>
        <v>388.5</v>
      </c>
    </row>
    <row r="22" spans="1:11" s="3" customFormat="1" ht="41.25" customHeight="1">
      <c r="A22" s="662">
        <v>16</v>
      </c>
      <c r="B22" s="763"/>
      <c r="C22" s="636">
        <f t="shared" si="5"/>
        <v>0</v>
      </c>
      <c r="D22" s="770">
        <v>540043</v>
      </c>
      <c r="E22" s="636">
        <f t="shared" si="2"/>
        <v>144.89999999999998</v>
      </c>
      <c r="F22" s="770">
        <v>617225</v>
      </c>
      <c r="G22" s="636">
        <f t="shared" si="7"/>
        <v>25</v>
      </c>
      <c r="H22" s="636">
        <f t="shared" si="4"/>
        <v>128.30895000000001</v>
      </c>
      <c r="I22" s="636">
        <f>C22*J1</f>
        <v>0</v>
      </c>
      <c r="J22" s="636">
        <f>G22*J1</f>
        <v>97.5</v>
      </c>
      <c r="K22" s="692">
        <f t="shared" si="3"/>
        <v>144.89999999999998</v>
      </c>
    </row>
    <row r="23" spans="1:11" s="3" customFormat="1" ht="41.25" customHeight="1">
      <c r="A23" s="662">
        <v>17</v>
      </c>
      <c r="B23" s="763"/>
      <c r="C23" s="636">
        <f t="shared" si="5"/>
        <v>0</v>
      </c>
      <c r="D23" s="770">
        <v>540451</v>
      </c>
      <c r="E23" s="636">
        <f t="shared" si="2"/>
        <v>285.59999999999997</v>
      </c>
      <c r="F23" s="770">
        <v>617412</v>
      </c>
      <c r="G23" s="636">
        <f t="shared" si="7"/>
        <v>187</v>
      </c>
      <c r="H23" s="636">
        <f t="shared" si="4"/>
        <v>252.89879999999999</v>
      </c>
      <c r="I23" s="636">
        <f>C23*J1</f>
        <v>0</v>
      </c>
      <c r="J23" s="636">
        <f>G23*J1</f>
        <v>729.3</v>
      </c>
      <c r="K23" s="692">
        <f t="shared" si="3"/>
        <v>285.59999999999997</v>
      </c>
    </row>
    <row r="24" spans="1:11" s="3" customFormat="1" ht="41.25" customHeight="1">
      <c r="A24" s="662">
        <v>18</v>
      </c>
      <c r="B24" s="763"/>
      <c r="C24" s="636">
        <f t="shared" si="5"/>
        <v>0</v>
      </c>
      <c r="D24" s="770">
        <v>540884</v>
      </c>
      <c r="E24" s="636">
        <f t="shared" si="2"/>
        <v>303.09999999999997</v>
      </c>
      <c r="F24" s="770">
        <v>617529</v>
      </c>
      <c r="G24" s="636">
        <f t="shared" si="7"/>
        <v>117</v>
      </c>
      <c r="H24" s="636">
        <f t="shared" si="4"/>
        <v>268.39504999999997</v>
      </c>
      <c r="I24" s="636">
        <f>C24*J1</f>
        <v>0</v>
      </c>
      <c r="J24" s="636">
        <f>G24*J1</f>
        <v>456.3</v>
      </c>
      <c r="K24" s="692">
        <f t="shared" si="3"/>
        <v>303.09999999999997</v>
      </c>
    </row>
    <row r="25" spans="1:11" s="3" customFormat="1" ht="41.25" customHeight="1">
      <c r="A25" s="662">
        <v>19</v>
      </c>
      <c r="B25" s="763"/>
      <c r="C25" s="636">
        <f t="shared" si="5"/>
        <v>0</v>
      </c>
      <c r="D25" s="770">
        <v>541283</v>
      </c>
      <c r="E25" s="636">
        <f t="shared" si="2"/>
        <v>279.29999999999995</v>
      </c>
      <c r="F25" s="770">
        <v>617614</v>
      </c>
      <c r="G25" s="636">
        <f t="shared" si="7"/>
        <v>85</v>
      </c>
      <c r="H25" s="636">
        <f t="shared" si="4"/>
        <v>247.32014999999998</v>
      </c>
      <c r="I25" s="636">
        <f>C25*J1</f>
        <v>0</v>
      </c>
      <c r="J25" s="636">
        <f>G25*J1</f>
        <v>331.5</v>
      </c>
      <c r="K25" s="692">
        <f t="shared" si="3"/>
        <v>279.29999999999995</v>
      </c>
    </row>
    <row r="26" spans="1:11" s="3" customFormat="1" ht="41.25" customHeight="1">
      <c r="A26" s="662">
        <v>20</v>
      </c>
      <c r="B26" s="763"/>
      <c r="C26" s="636">
        <f t="shared" si="5"/>
        <v>0</v>
      </c>
      <c r="D26" s="770">
        <v>541691</v>
      </c>
      <c r="E26" s="636">
        <f t="shared" si="2"/>
        <v>285.59999999999997</v>
      </c>
      <c r="F26" s="770">
        <v>617711</v>
      </c>
      <c r="G26" s="636">
        <f t="shared" si="7"/>
        <v>97</v>
      </c>
      <c r="H26" s="636">
        <f t="shared" si="4"/>
        <v>252.89879999999999</v>
      </c>
      <c r="I26" s="636">
        <f>C26*J1</f>
        <v>0</v>
      </c>
      <c r="J26" s="636">
        <f>G26*J1</f>
        <v>378.3</v>
      </c>
      <c r="K26" s="692">
        <f t="shared" si="3"/>
        <v>285.59999999999997</v>
      </c>
    </row>
    <row r="27" spans="1:11" s="3" customFormat="1" ht="41.25" customHeight="1">
      <c r="A27" s="662">
        <v>21</v>
      </c>
      <c r="B27" s="763"/>
      <c r="C27" s="636">
        <f t="shared" si="5"/>
        <v>0</v>
      </c>
      <c r="D27" s="770">
        <v>542093</v>
      </c>
      <c r="E27" s="636">
        <f t="shared" si="2"/>
        <v>281.39999999999998</v>
      </c>
      <c r="F27" s="770">
        <v>617800</v>
      </c>
      <c r="G27" s="636">
        <f t="shared" si="7"/>
        <v>89</v>
      </c>
      <c r="H27" s="636">
        <f t="shared" si="4"/>
        <v>249.17970000000003</v>
      </c>
      <c r="I27" s="636">
        <f>C27*J1</f>
        <v>0</v>
      </c>
      <c r="J27" s="636">
        <f>G27*J1</f>
        <v>347.09999999999997</v>
      </c>
      <c r="K27" s="692">
        <f t="shared" si="3"/>
        <v>281.39999999999998</v>
      </c>
    </row>
    <row r="28" spans="1:11" s="3" customFormat="1" ht="41.25" customHeight="1">
      <c r="A28" s="662">
        <v>22</v>
      </c>
      <c r="B28" s="763"/>
      <c r="C28" s="636">
        <f t="shared" ref="C28:C37" si="8">IF(B28&gt;=B27,B28-B27,0)*1.06</f>
        <v>0</v>
      </c>
      <c r="D28" s="770">
        <v>542527</v>
      </c>
      <c r="E28" s="636">
        <f t="shared" si="2"/>
        <v>303.79999999999995</v>
      </c>
      <c r="F28" s="770">
        <v>617901</v>
      </c>
      <c r="G28" s="636">
        <f t="shared" si="7"/>
        <v>101</v>
      </c>
      <c r="H28" s="636">
        <f>(E28*0.55)*1.61</f>
        <v>269.01489999999995</v>
      </c>
      <c r="I28" s="636">
        <f>C28*J1</f>
        <v>0</v>
      </c>
      <c r="J28" s="636">
        <f>G28*J1</f>
        <v>393.9</v>
      </c>
      <c r="K28" s="692"/>
    </row>
    <row r="29" spans="1:11" s="3" customFormat="1" ht="41.25" customHeight="1">
      <c r="A29" s="662">
        <v>23</v>
      </c>
      <c r="B29" s="763"/>
      <c r="C29" s="636">
        <f t="shared" si="8"/>
        <v>0</v>
      </c>
      <c r="D29" s="770">
        <v>542940</v>
      </c>
      <c r="E29" s="636">
        <f t="shared" si="2"/>
        <v>289.09999999999997</v>
      </c>
      <c r="F29" s="770">
        <v>617994</v>
      </c>
      <c r="G29" s="636">
        <f t="shared" si="7"/>
        <v>93</v>
      </c>
      <c r="H29" s="636">
        <f>(E29*0.55)*1.61</f>
        <v>255.99805000000001</v>
      </c>
      <c r="I29" s="636">
        <f>C29*J1</f>
        <v>0</v>
      </c>
      <c r="J29" s="636">
        <f>G29*J1</f>
        <v>362.7</v>
      </c>
      <c r="K29" s="692">
        <f t="shared" si="3"/>
        <v>289.09999999999997</v>
      </c>
    </row>
    <row r="30" spans="1:11" s="3" customFormat="1" ht="41.25" customHeight="1">
      <c r="A30" s="662">
        <v>24</v>
      </c>
      <c r="B30" s="763"/>
      <c r="C30" s="636">
        <f t="shared" si="8"/>
        <v>0</v>
      </c>
      <c r="D30" s="770">
        <v>543318</v>
      </c>
      <c r="E30" s="636">
        <f t="shared" si="2"/>
        <v>264.59999999999997</v>
      </c>
      <c r="F30" s="770">
        <v>618074</v>
      </c>
      <c r="G30" s="636">
        <f t="shared" si="7"/>
        <v>80</v>
      </c>
      <c r="H30" s="636">
        <f>(E30*0.55)*1.61</f>
        <v>234.30330000000001</v>
      </c>
      <c r="I30" s="636">
        <f>C30*J1</f>
        <v>0</v>
      </c>
      <c r="J30" s="636">
        <f>G30*J1</f>
        <v>312</v>
      </c>
      <c r="K30" s="692">
        <f t="shared" si="3"/>
        <v>264.59999999999997</v>
      </c>
    </row>
    <row r="31" spans="1:11" s="3" customFormat="1" ht="41.25" customHeight="1">
      <c r="A31" s="662">
        <v>25</v>
      </c>
      <c r="B31" s="763"/>
      <c r="C31" s="636">
        <f t="shared" si="8"/>
        <v>0</v>
      </c>
      <c r="D31" s="770">
        <v>543739</v>
      </c>
      <c r="E31" s="636">
        <f t="shared" si="2"/>
        <v>294.7</v>
      </c>
      <c r="F31" s="770">
        <v>618160</v>
      </c>
      <c r="G31" s="636">
        <f t="shared" si="7"/>
        <v>86</v>
      </c>
      <c r="H31" s="636">
        <f t="shared" si="4"/>
        <v>260.95685000000003</v>
      </c>
      <c r="I31" s="636">
        <f>C31*J3</f>
        <v>0</v>
      </c>
      <c r="J31" s="636">
        <f>G31*J1</f>
        <v>335.4</v>
      </c>
      <c r="K31" s="692">
        <f t="shared" si="3"/>
        <v>294.7</v>
      </c>
    </row>
    <row r="32" spans="1:11" s="3" customFormat="1" ht="41.25" customHeight="1">
      <c r="A32" s="662">
        <v>26</v>
      </c>
      <c r="B32" s="763"/>
      <c r="C32" s="636">
        <f t="shared" si="8"/>
        <v>0</v>
      </c>
      <c r="D32" s="770">
        <v>544177</v>
      </c>
      <c r="E32" s="636">
        <f t="shared" si="2"/>
        <v>306.59999999999997</v>
      </c>
      <c r="F32" s="770">
        <v>618247</v>
      </c>
      <c r="G32" s="636">
        <f t="shared" si="7"/>
        <v>87</v>
      </c>
      <c r="H32" s="636">
        <f t="shared" si="4"/>
        <v>271.49430000000001</v>
      </c>
      <c r="I32" s="636">
        <f>C32*J1</f>
        <v>0</v>
      </c>
      <c r="J32" s="636">
        <f>G32*J1</f>
        <v>339.3</v>
      </c>
      <c r="K32" s="692">
        <f t="shared" si="3"/>
        <v>306.59999999999997</v>
      </c>
    </row>
    <row r="33" spans="1:13" s="205" customFormat="1" ht="41.25" customHeight="1">
      <c r="A33" s="663">
        <v>27</v>
      </c>
      <c r="B33" s="763"/>
      <c r="C33" s="636">
        <f t="shared" si="8"/>
        <v>0</v>
      </c>
      <c r="D33" s="770">
        <v>544601</v>
      </c>
      <c r="E33" s="636">
        <f t="shared" si="2"/>
        <v>296.79999999999995</v>
      </c>
      <c r="F33" s="770">
        <v>618338.53333333298</v>
      </c>
      <c r="G33" s="636">
        <f t="shared" si="7"/>
        <v>91.533333332976326</v>
      </c>
      <c r="H33" s="636">
        <f t="shared" si="4"/>
        <v>262.81639999999999</v>
      </c>
      <c r="I33" s="636">
        <f>C33*J1</f>
        <v>0</v>
      </c>
      <c r="J33" s="636">
        <f>G33*J1</f>
        <v>356.97999999860764</v>
      </c>
      <c r="K33" s="692">
        <f t="shared" si="3"/>
        <v>296.79999999999995</v>
      </c>
    </row>
    <row r="34" spans="1:13" s="205" customFormat="1" ht="41.25" customHeight="1">
      <c r="A34" s="663">
        <v>28</v>
      </c>
      <c r="B34" s="763"/>
      <c r="C34" s="636">
        <f t="shared" si="8"/>
        <v>0</v>
      </c>
      <c r="D34" s="770">
        <v>545030.5</v>
      </c>
      <c r="E34" s="636">
        <f t="shared" si="2"/>
        <v>300.64999999999998</v>
      </c>
      <c r="F34" s="770">
        <v>618427.04444444401</v>
      </c>
      <c r="G34" s="636">
        <f t="shared" si="7"/>
        <v>88.511111111030914</v>
      </c>
      <c r="H34" s="636">
        <f t="shared" si="4"/>
        <v>266.22557499999999</v>
      </c>
      <c r="I34" s="636">
        <f>C34*J1</f>
        <v>0</v>
      </c>
      <c r="J34" s="636">
        <f>G34*J1</f>
        <v>345.19333333302058</v>
      </c>
      <c r="K34" s="692">
        <f t="shared" si="3"/>
        <v>300.64999999999998</v>
      </c>
    </row>
    <row r="35" spans="1:13" s="205" customFormat="1" ht="41.25" customHeight="1">
      <c r="A35" s="662">
        <v>29</v>
      </c>
      <c r="B35" s="763"/>
      <c r="C35" s="636">
        <f t="shared" si="8"/>
        <v>0</v>
      </c>
      <c r="D35" s="770">
        <v>545422</v>
      </c>
      <c r="E35" s="636">
        <f t="shared" si="2"/>
        <v>274.04999999999995</v>
      </c>
      <c r="F35" s="770">
        <v>618488</v>
      </c>
      <c r="G35" s="636">
        <f t="shared" si="7"/>
        <v>60.95555555599276</v>
      </c>
      <c r="H35" s="636">
        <f t="shared" si="4"/>
        <v>242.67127500000001</v>
      </c>
      <c r="I35" s="636">
        <f>C35*J1</f>
        <v>0</v>
      </c>
      <c r="J35" s="636">
        <f>G35*J1</f>
        <v>237.72666666837176</v>
      </c>
      <c r="K35" s="692">
        <f t="shared" si="3"/>
        <v>274.04999999999995</v>
      </c>
    </row>
    <row r="36" spans="1:13" s="205" customFormat="1" ht="41.25" customHeight="1">
      <c r="A36" s="663">
        <v>30</v>
      </c>
      <c r="B36" s="763"/>
      <c r="C36" s="636">
        <f t="shared" si="8"/>
        <v>0</v>
      </c>
      <c r="D36" s="770">
        <v>545870</v>
      </c>
      <c r="E36" s="636">
        <f>IF(D36&gt;=D35,D36-D35,0)*0.7</f>
        <v>313.59999999999997</v>
      </c>
      <c r="F36" s="770">
        <v>618574</v>
      </c>
      <c r="G36" s="636">
        <f t="shared" si="7"/>
        <v>86</v>
      </c>
      <c r="H36" s="636">
        <f t="shared" si="4"/>
        <v>277.69279999999998</v>
      </c>
      <c r="I36" s="636">
        <f>C36*J1</f>
        <v>0</v>
      </c>
      <c r="J36" s="636">
        <f>G36*J1</f>
        <v>335.4</v>
      </c>
      <c r="K36" s="692">
        <f t="shared" si="3"/>
        <v>313.59999999999997</v>
      </c>
    </row>
    <row r="37" spans="1:13" s="205" customFormat="1" ht="41.25" customHeight="1">
      <c r="A37" s="663">
        <v>31</v>
      </c>
      <c r="B37" s="763"/>
      <c r="C37" s="636">
        <f t="shared" si="8"/>
        <v>0</v>
      </c>
      <c r="D37" s="770">
        <v>546282.19999999995</v>
      </c>
      <c r="E37" s="636">
        <f>IF(D37&gt;=D36,D37-D36,0)*0.7</f>
        <v>288.53999999996739</v>
      </c>
      <c r="F37" s="770">
        <v>618655.95555555495</v>
      </c>
      <c r="G37" s="636">
        <f t="shared" si="7"/>
        <v>81.955555554945022</v>
      </c>
      <c r="H37" s="636">
        <f t="shared" si="4"/>
        <v>255.50216999997116</v>
      </c>
      <c r="I37" s="636">
        <f>C37*J1</f>
        <v>0</v>
      </c>
      <c r="J37" s="636">
        <f>G37*J1</f>
        <v>319.62666666428555</v>
      </c>
      <c r="K37" s="692">
        <f t="shared" si="3"/>
        <v>288.53999999996739</v>
      </c>
    </row>
    <row r="38" spans="1:13" s="205" customFormat="1" ht="41.25" customHeight="1">
      <c r="A38" s="664" t="s">
        <v>120</v>
      </c>
      <c r="B38" s="687"/>
      <c r="C38" s="688">
        <f>SUM(C7:C37)</f>
        <v>0</v>
      </c>
      <c r="D38" s="687"/>
      <c r="E38" s="688">
        <f>SUM(E7:E37)</f>
        <v>8249.2429090917831</v>
      </c>
      <c r="F38" s="687"/>
      <c r="G38" s="688">
        <f>SUM(G7:G37)</f>
        <v>2701.4616161609301</v>
      </c>
      <c r="H38" s="689">
        <f>SUM(H6:H37)</f>
        <v>7304.7045960007717</v>
      </c>
      <c r="I38" s="689">
        <f>SUM(I6:I37)</f>
        <v>0</v>
      </c>
      <c r="J38" s="689">
        <f>SUM(J6:J37)</f>
        <v>10535.700303027626</v>
      </c>
      <c r="K38" s="734">
        <f>SUM(K6:K37)</f>
        <v>7945.442909091782</v>
      </c>
    </row>
    <row r="39" spans="1:13" s="205" customFormat="1" ht="41.25" customHeight="1" thickBot="1">
      <c r="A39" s="665" t="s">
        <v>168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122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8">
        <f>Elect!A1</f>
        <v>44743</v>
      </c>
      <c r="B1" s="168"/>
      <c r="C1" s="168"/>
      <c r="H1" s="139"/>
      <c r="I1" s="140"/>
      <c r="J1" s="141"/>
      <c r="K1" s="141"/>
      <c r="L1" s="910" t="s">
        <v>169</v>
      </c>
      <c r="M1" s="910"/>
      <c r="N1" s="910"/>
      <c r="P1" s="911">
        <f>Elect!A1</f>
        <v>44743</v>
      </c>
      <c r="Q1" s="911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9"/>
      <c r="B2" s="894" t="s">
        <v>170</v>
      </c>
      <c r="C2" s="895"/>
      <c r="D2" s="895"/>
      <c r="E2" s="895"/>
      <c r="F2" s="895"/>
      <c r="G2" s="912"/>
      <c r="H2" s="894" t="s">
        <v>126</v>
      </c>
      <c r="I2" s="895"/>
      <c r="J2" s="895"/>
      <c r="K2" s="895"/>
      <c r="L2" s="895"/>
      <c r="M2" s="895"/>
      <c r="N2" s="895"/>
      <c r="O2" s="895"/>
      <c r="P2" s="912"/>
      <c r="Q2" s="147"/>
      <c r="R2" s="793"/>
      <c r="S2" s="148"/>
      <c r="T2" s="149"/>
      <c r="U2" s="150" t="s">
        <v>171</v>
      </c>
      <c r="V2" s="149"/>
      <c r="W2" s="149"/>
      <c r="X2" s="149"/>
      <c r="Y2" s="149"/>
      <c r="Z2" s="796"/>
      <c r="AA2" s="795"/>
      <c r="AB2" s="151"/>
      <c r="AC2" s="169" t="s">
        <v>172</v>
      </c>
      <c r="AD2" s="794"/>
      <c r="AE2" s="797"/>
      <c r="AF2" s="152"/>
      <c r="AG2" s="882" t="s">
        <v>47</v>
      </c>
      <c r="AH2" s="883"/>
      <c r="AI2" s="883"/>
      <c r="AJ2" s="354" t="s">
        <v>173</v>
      </c>
      <c r="AK2" s="888" t="s">
        <v>174</v>
      </c>
      <c r="AL2" s="890" t="s">
        <v>175</v>
      </c>
      <c r="AM2" s="890" t="s">
        <v>176</v>
      </c>
      <c r="AN2" s="880" t="s">
        <v>177</v>
      </c>
      <c r="AO2" s="898" t="s">
        <v>178</v>
      </c>
      <c r="AP2" s="900" t="s">
        <v>179</v>
      </c>
      <c r="AQ2" s="902" t="s">
        <v>180</v>
      </c>
      <c r="AR2" s="904" t="s">
        <v>181</v>
      </c>
      <c r="AS2" s="906" t="s">
        <v>179</v>
      </c>
      <c r="AT2" s="896" t="s">
        <v>182</v>
      </c>
      <c r="AU2" s="897"/>
      <c r="AV2" s="894" t="s">
        <v>183</v>
      </c>
      <c r="AW2" s="895"/>
      <c r="AX2" s="172"/>
      <c r="AY2" s="173"/>
      <c r="AZ2" s="174" t="s">
        <v>184</v>
      </c>
      <c r="BA2" s="174"/>
      <c r="BB2" s="175"/>
      <c r="BC2" s="155"/>
      <c r="BD2" s="153"/>
      <c r="BE2" s="793" t="s">
        <v>185</v>
      </c>
      <c r="BF2" s="793"/>
      <c r="BG2" s="154"/>
      <c r="BH2" s="174"/>
      <c r="BI2" s="174"/>
      <c r="BJ2" s="174" t="s">
        <v>186</v>
      </c>
      <c r="BK2" s="174"/>
      <c r="BL2" s="175"/>
      <c r="BM2" s="793"/>
      <c r="BN2" s="793"/>
      <c r="BO2" s="793" t="s">
        <v>187</v>
      </c>
      <c r="BP2" s="793"/>
      <c r="BQ2" s="154"/>
    </row>
    <row r="3" spans="1:69" ht="174.75" customHeight="1" thickBot="1">
      <c r="A3" s="156" t="s">
        <v>58</v>
      </c>
      <c r="B3" s="913" t="s">
        <v>188</v>
      </c>
      <c r="C3" s="914"/>
      <c r="D3" s="915" t="s">
        <v>60</v>
      </c>
      <c r="E3" s="916"/>
      <c r="F3" s="917" t="s">
        <v>61</v>
      </c>
      <c r="G3" s="918"/>
      <c r="H3" s="917" t="s">
        <v>189</v>
      </c>
      <c r="I3" s="918"/>
      <c r="J3" s="919" t="s">
        <v>190</v>
      </c>
      <c r="K3" s="920"/>
      <c r="L3" s="921" t="s">
        <v>191</v>
      </c>
      <c r="M3" s="922"/>
      <c r="N3" s="152" t="s">
        <v>192</v>
      </c>
      <c r="O3" s="884" t="s">
        <v>139</v>
      </c>
      <c r="P3" s="885"/>
      <c r="Q3" s="884" t="s">
        <v>193</v>
      </c>
      <c r="R3" s="885"/>
      <c r="S3" s="886" t="s">
        <v>194</v>
      </c>
      <c r="T3" s="887"/>
      <c r="U3" s="886" t="s">
        <v>195</v>
      </c>
      <c r="V3" s="887"/>
      <c r="W3" s="892" t="s">
        <v>196</v>
      </c>
      <c r="X3" s="893"/>
      <c r="Y3" s="886" t="s">
        <v>197</v>
      </c>
      <c r="Z3" s="887"/>
      <c r="AA3" s="892" t="s">
        <v>198</v>
      </c>
      <c r="AB3" s="893"/>
      <c r="AC3" s="886" t="s">
        <v>199</v>
      </c>
      <c r="AD3" s="887"/>
      <c r="AE3" s="157" t="s">
        <v>200</v>
      </c>
      <c r="AF3" s="386" t="s">
        <v>201</v>
      </c>
      <c r="AG3" s="181" t="s">
        <v>202</v>
      </c>
      <c r="AH3" s="158" t="s">
        <v>203</v>
      </c>
      <c r="AI3" s="159" t="s">
        <v>145</v>
      </c>
      <c r="AJ3" s="355">
        <v>0</v>
      </c>
      <c r="AK3" s="889"/>
      <c r="AL3" s="891"/>
      <c r="AM3" s="891"/>
      <c r="AN3" s="881"/>
      <c r="AO3" s="899"/>
      <c r="AP3" s="901"/>
      <c r="AQ3" s="903"/>
      <c r="AR3" s="905"/>
      <c r="AS3" s="907"/>
      <c r="AT3" s="161" t="s">
        <v>204</v>
      </c>
      <c r="AU3" s="161" t="s">
        <v>205</v>
      </c>
      <c r="AV3" s="160" t="s">
        <v>131</v>
      </c>
      <c r="AW3" s="162" t="s">
        <v>133</v>
      </c>
      <c r="AX3" s="176" t="s">
        <v>132</v>
      </c>
      <c r="AY3" s="177" t="s">
        <v>134</v>
      </c>
      <c r="AZ3" s="356" t="s">
        <v>135</v>
      </c>
      <c r="BA3" s="178" t="s">
        <v>206</v>
      </c>
      <c r="BB3" s="179" t="s">
        <v>207</v>
      </c>
      <c r="BC3" s="387" t="s">
        <v>132</v>
      </c>
      <c r="BD3" s="388" t="s">
        <v>134</v>
      </c>
      <c r="BE3" s="357" t="s">
        <v>135</v>
      </c>
      <c r="BF3" s="164" t="s">
        <v>206</v>
      </c>
      <c r="BG3" s="165" t="s">
        <v>207</v>
      </c>
      <c r="BH3" s="177" t="s">
        <v>132</v>
      </c>
      <c r="BI3" s="177" t="s">
        <v>134</v>
      </c>
      <c r="BJ3" s="356" t="s">
        <v>135</v>
      </c>
      <c r="BK3" s="178" t="s">
        <v>206</v>
      </c>
      <c r="BL3" s="179" t="s">
        <v>207</v>
      </c>
      <c r="BM3" s="163" t="s">
        <v>132</v>
      </c>
      <c r="BN3" s="163" t="s">
        <v>134</v>
      </c>
      <c r="BO3" s="357" t="s">
        <v>135</v>
      </c>
      <c r="BP3" s="164" t="s">
        <v>206</v>
      </c>
      <c r="BQ3" s="165" t="s">
        <v>207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6310</v>
      </c>
      <c r="D5" s="461">
        <v>0</v>
      </c>
      <c r="E5" s="460">
        <f>Elect!M6</f>
        <v>0</v>
      </c>
      <c r="F5" s="461">
        <v>20</v>
      </c>
      <c r="G5" s="460">
        <f>Elect!O6</f>
        <v>0</v>
      </c>
      <c r="H5" s="461">
        <v>800</v>
      </c>
      <c r="I5" s="460">
        <f>Water!C7</f>
        <v>16.613610389485256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126.92961038948567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73.619174025901685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473.87363636334192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147</v>
      </c>
      <c r="AU5" s="460">
        <f>Elect!BP6</f>
        <v>116</v>
      </c>
      <c r="AV5" s="460" t="e">
        <f>Elect!#REF!</f>
        <v>#REF!</v>
      </c>
      <c r="AW5" s="460">
        <f>Elect!BR6</f>
        <v>147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0.80846885598398521</v>
      </c>
      <c r="BN5" s="477" t="e">
        <f>Water!W7</f>
        <v>#DIV/0!</v>
      </c>
      <c r="BO5" s="472">
        <f>Water!X7</f>
        <v>507.7184415579427</v>
      </c>
      <c r="BP5" s="477">
        <f>Water!Y7</f>
        <v>3.2338754239359409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5360</v>
      </c>
      <c r="D6" s="461">
        <v>0</v>
      </c>
      <c r="E6" s="460">
        <f>Elect!M7</f>
        <v>1984.0214285714974</v>
      </c>
      <c r="F6" s="461">
        <v>20</v>
      </c>
      <c r="G6" s="460">
        <f>Elect!O7</f>
        <v>631</v>
      </c>
      <c r="H6" s="461">
        <v>936</v>
      </c>
      <c r="I6" s="460">
        <f>Water!C8</f>
        <v>46.4</v>
      </c>
      <c r="J6" s="461">
        <v>0</v>
      </c>
      <c r="K6" s="460">
        <f>Water!E8</f>
        <v>46.4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177.48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102.93839999999999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473.87363636334192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188</v>
      </c>
      <c r="AU6" s="460">
        <f>Elect!BP7</f>
        <v>117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540348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1.3146666666666667</v>
      </c>
      <c r="BN6" s="477" t="e">
        <f>Water!W8</f>
        <v>#DIV/0!</v>
      </c>
      <c r="BO6" s="472">
        <f>Water!X8</f>
        <v>709.92</v>
      </c>
      <c r="BP6" s="477">
        <f>Water!Y8</f>
        <v>5.2586666666666666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5499</v>
      </c>
      <c r="D7" s="461">
        <v>0</v>
      </c>
      <c r="E7" s="460">
        <f>Elect!M8</f>
        <v>1984.0214285714028</v>
      </c>
      <c r="F7" s="461">
        <v>20</v>
      </c>
      <c r="G7" s="460">
        <f>Elect!O8</f>
        <v>362</v>
      </c>
      <c r="H7" s="461">
        <v>685</v>
      </c>
      <c r="I7" s="460">
        <f>Water!C9</f>
        <v>127.6</v>
      </c>
      <c r="J7" s="461">
        <v>0</v>
      </c>
      <c r="K7" s="460">
        <f>Water!E9</f>
        <v>104.39999999999999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344.52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199.82159999999999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177.42636363665807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177</v>
      </c>
      <c r="AU7" s="460">
        <f>Elect!BP8</f>
        <v>116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540525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2.871</v>
      </c>
      <c r="BN7" s="477" t="e">
        <f>Water!W9</f>
        <v>#DIV/0!</v>
      </c>
      <c r="BO7" s="472">
        <f>Water!X9</f>
        <v>1378.08</v>
      </c>
      <c r="BP7" s="477">
        <f>Water!Y9</f>
        <v>11.484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5457</v>
      </c>
      <c r="D8" s="461">
        <v>0</v>
      </c>
      <c r="E8" s="460">
        <f>Elect!M9</f>
        <v>1984.0214285713992</v>
      </c>
      <c r="F8" s="461">
        <v>20</v>
      </c>
      <c r="G8" s="460">
        <f>Elect!O9</f>
        <v>482</v>
      </c>
      <c r="H8" s="461">
        <v>786</v>
      </c>
      <c r="I8" s="460">
        <f>Water!C10</f>
        <v>115.99999999999999</v>
      </c>
      <c r="J8" s="461">
        <v>0</v>
      </c>
      <c r="K8" s="460">
        <f>Water!E10</f>
        <v>179.79999999999998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416.43999999999994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241.53519999999995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284.7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171</v>
      </c>
      <c r="AU8" s="460">
        <f>Elect!BP9</f>
        <v>119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540696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3.4416528925619829</v>
      </c>
      <c r="BN8" s="477" t="e">
        <f>Water!W10</f>
        <v>#DIV/0!</v>
      </c>
      <c r="BO8" s="472">
        <f>Water!X10</f>
        <v>1665.7599999999998</v>
      </c>
      <c r="BP8" s="477">
        <f>Water!Y10</f>
        <v>13.766611570247932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5485</v>
      </c>
      <c r="D9" s="461">
        <v>0</v>
      </c>
      <c r="E9" s="460">
        <f>Elect!M10</f>
        <v>1984.0214285713992</v>
      </c>
      <c r="F9" s="461">
        <v>20</v>
      </c>
      <c r="G9" s="460">
        <f>Elect!O10</f>
        <v>422</v>
      </c>
      <c r="H9" s="461">
        <v>789</v>
      </c>
      <c r="I9" s="460">
        <f>Water!C11</f>
        <v>115.99999999999999</v>
      </c>
      <c r="J9" s="461">
        <v>0</v>
      </c>
      <c r="K9" s="460">
        <f>Water!E11</f>
        <v>150.79999999999998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383.95999999999992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222.69679999999994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284.7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155</v>
      </c>
      <c r="AU9" s="460">
        <f>Elect!BP10</f>
        <v>128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540851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2.9535384615384608</v>
      </c>
      <c r="BN9" s="477" t="e">
        <f>Water!W11</f>
        <v>#DIV/0!</v>
      </c>
      <c r="BO9" s="472">
        <f>Water!X11</f>
        <v>1535.8399999999997</v>
      </c>
      <c r="BP9" s="477">
        <f>Water!Y11</f>
        <v>11.814153846153843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5478</v>
      </c>
      <c r="D10" s="461">
        <v>0</v>
      </c>
      <c r="E10" s="460">
        <f>Elect!M11</f>
        <v>1984.0214285714992</v>
      </c>
      <c r="F10" s="461">
        <v>20</v>
      </c>
      <c r="G10" s="460">
        <f>Elect!O11</f>
        <v>401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150.79999999999998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376.99999999999994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218.65999999999994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300.3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144</v>
      </c>
      <c r="AU10" s="460">
        <f>Elect!BP11</f>
        <v>120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540995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2.9224806201550382</v>
      </c>
      <c r="BN10" s="477" t="e">
        <f>Water!W12</f>
        <v>#DIV/0!</v>
      </c>
      <c r="BO10" s="472">
        <f>Water!X12</f>
        <v>1507.9999999999998</v>
      </c>
      <c r="BP10" s="477">
        <f>Water!Y12</f>
        <v>11.689922480620153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5478</v>
      </c>
      <c r="D11" s="461">
        <v>0</v>
      </c>
      <c r="E11" s="460">
        <f>Elect!M12</f>
        <v>1984.021428571401</v>
      </c>
      <c r="F11" s="461">
        <v>20</v>
      </c>
      <c r="G11" s="460">
        <f>Elect!O12</f>
        <v>368</v>
      </c>
      <c r="H11" s="461">
        <v>871</v>
      </c>
      <c r="I11" s="460">
        <f>Water!C13</f>
        <v>115.99999999999999</v>
      </c>
      <c r="J11" s="461">
        <v>0</v>
      </c>
      <c r="K11" s="460">
        <f>Water!E13</f>
        <v>150.79999999999998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388.59999999999997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225.38799999999998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495.3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143</v>
      </c>
      <c r="AU11" s="460">
        <f>Elect!BP12</f>
        <v>119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541138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2.8364963503649632</v>
      </c>
      <c r="BN11" s="477" t="e">
        <f>Water!W13</f>
        <v>#DIV/0!</v>
      </c>
      <c r="BO11" s="472">
        <f>Water!X13</f>
        <v>1554.3999999999999</v>
      </c>
      <c r="BP11" s="477">
        <f>Water!Y13</f>
        <v>11.345985401459853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5087</v>
      </c>
      <c r="D12" s="461">
        <v>0</v>
      </c>
      <c r="E12" s="460">
        <f>Elect!M13</f>
        <v>1984.0214285713992</v>
      </c>
      <c r="F12" s="461">
        <v>20</v>
      </c>
      <c r="G12" s="460">
        <f>Elect!O13</f>
        <v>507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139.19999999999999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359.59999999999997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208.56799999999996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191.1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156</v>
      </c>
      <c r="AU12" s="460">
        <f>Elect!BP13</f>
        <v>108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541294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2.48</v>
      </c>
      <c r="BN12" s="477" t="e">
        <f>Water!W14</f>
        <v>#DIV/0!</v>
      </c>
      <c r="BO12" s="472">
        <f>Water!X14</f>
        <v>1438.3999999999999</v>
      </c>
      <c r="BP12" s="477">
        <f>Water!Y14</f>
        <v>9.92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5222</v>
      </c>
      <c r="D13" s="461">
        <v>0</v>
      </c>
      <c r="E13" s="460">
        <f>Elect!M14</f>
        <v>1984.0214285714901</v>
      </c>
      <c r="F13" s="461">
        <v>20</v>
      </c>
      <c r="G13" s="460">
        <f>Elect!O14</f>
        <v>1676</v>
      </c>
      <c r="H13" s="461">
        <v>790</v>
      </c>
      <c r="I13" s="460">
        <f>Water!C15</f>
        <v>115.99999999999999</v>
      </c>
      <c r="J13" s="461">
        <v>0</v>
      </c>
      <c r="K13" s="460">
        <f>Water!E15</f>
        <v>150.79999999999998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365.97999999999996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212.26839999999996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312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141</v>
      </c>
      <c r="AU13" s="460">
        <f>Elect!BP14</f>
        <v>134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541435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2.1784523809523808</v>
      </c>
      <c r="BN13" s="477" t="e">
        <f>Water!W15</f>
        <v>#DIV/0!</v>
      </c>
      <c r="BO13" s="472">
        <f>Water!X15</f>
        <v>1463.9199999999998</v>
      </c>
      <c r="BP13" s="477">
        <f>Water!Y15</f>
        <v>8.7138095238095232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5900</v>
      </c>
      <c r="D14" s="461">
        <v>0</v>
      </c>
      <c r="E14" s="460">
        <f>Elect!M15</f>
        <v>1984.021428571431</v>
      </c>
      <c r="F14" s="461">
        <v>20</v>
      </c>
      <c r="G14" s="460">
        <f>Elect!O15</f>
        <v>896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191.39999999999998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342.19999999999993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198.47599999999994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366.59999999999997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159</v>
      </c>
      <c r="AU14" s="460">
        <f>Elect!BP15</f>
        <v>121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541594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1.9333333333333329</v>
      </c>
      <c r="BN14" s="477" t="e">
        <f>Water!W16</f>
        <v>#DIV/0!</v>
      </c>
      <c r="BO14" s="472">
        <f>Water!X16</f>
        <v>1368.7999999999997</v>
      </c>
      <c r="BP14" s="477">
        <f>Water!Y16</f>
        <v>7.7333333333333316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4309</v>
      </c>
      <c r="D15" s="461">
        <v>0</v>
      </c>
      <c r="E15" s="460">
        <f>Elect!M16</f>
        <v>1984.0214285714201</v>
      </c>
      <c r="F15" s="461">
        <v>20</v>
      </c>
      <c r="G15" s="460">
        <f>Elect!O16</f>
        <v>1092</v>
      </c>
      <c r="H15" s="461">
        <v>817</v>
      </c>
      <c r="I15" s="460">
        <f>Water!C17</f>
        <v>168.2</v>
      </c>
      <c r="J15" s="461">
        <v>0</v>
      </c>
      <c r="K15" s="460">
        <f>Water!E17</f>
        <v>214.6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436.8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160</v>
      </c>
      <c r="AU15" s="460">
        <f>Elect!BP16</f>
        <v>117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541754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2.1627118644067793</v>
      </c>
      <c r="BN15" s="477" t="e">
        <f>Water!W17</f>
        <v>#DIV/0!</v>
      </c>
      <c r="BO15" s="472">
        <f>Water!X17</f>
        <v>1531.1999999999998</v>
      </c>
      <c r="BP15" s="477">
        <f>Water!Y17</f>
        <v>8.6508474576271173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5805</v>
      </c>
      <c r="D16" s="461">
        <v>0</v>
      </c>
      <c r="E16" s="460">
        <f>Elect!M17</f>
        <v>1984.0214285714296</v>
      </c>
      <c r="F16" s="461">
        <v>20</v>
      </c>
      <c r="G16" s="460">
        <f>Elect!O17</f>
        <v>1091</v>
      </c>
      <c r="H16" s="461">
        <v>907</v>
      </c>
      <c r="I16" s="460">
        <f>Water!C18</f>
        <v>174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394.4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228.75199999999998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245.7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144</v>
      </c>
      <c r="AU16" s="460">
        <f>Elect!BP17</f>
        <v>124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541898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1.9333333333333331</v>
      </c>
      <c r="BN16" s="477" t="e">
        <f>Water!W18</f>
        <v>#DIV/0!</v>
      </c>
      <c r="BO16" s="472">
        <f>Water!X18</f>
        <v>1577.6</v>
      </c>
      <c r="BP16" s="477">
        <f>Water!Y18</f>
        <v>7.7333333333333325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5655</v>
      </c>
      <c r="D17" s="461">
        <v>0</v>
      </c>
      <c r="E17" s="460">
        <f>Elect!M18</f>
        <v>1984.0214285714339</v>
      </c>
      <c r="F17" s="461">
        <v>20</v>
      </c>
      <c r="G17" s="460">
        <f>Elect!O18</f>
        <v>1092</v>
      </c>
      <c r="H17" s="461">
        <v>812</v>
      </c>
      <c r="I17" s="460">
        <f>Water!C19</f>
        <v>156.6</v>
      </c>
      <c r="J17" s="461">
        <v>0</v>
      </c>
      <c r="K17" s="460">
        <f>Water!E19</f>
        <v>197.2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353.79999999999995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205.20399999999995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284.7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158</v>
      </c>
      <c r="AU17" s="460">
        <f>Elect!BP18</f>
        <v>121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542056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1.9439560439560437</v>
      </c>
      <c r="BN17" s="477" t="e">
        <f>Water!W19</f>
        <v>#DIV/0!</v>
      </c>
      <c r="BO17" s="472">
        <f>Water!X19</f>
        <v>1415.1999999999998</v>
      </c>
      <c r="BP17" s="477">
        <f>Water!Y19</f>
        <v>7.7758241758241748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5954</v>
      </c>
      <c r="D18" s="461">
        <v>0</v>
      </c>
      <c r="E18" s="460">
        <f>Elect!M19</f>
        <v>1831.838095238096</v>
      </c>
      <c r="F18" s="461">
        <v>30</v>
      </c>
      <c r="G18" s="460">
        <f>Elect!O19</f>
        <v>0</v>
      </c>
      <c r="H18" s="461">
        <v>810</v>
      </c>
      <c r="I18" s="460">
        <f>Water!C20</f>
        <v>185.6</v>
      </c>
      <c r="J18" s="461">
        <v>0</v>
      </c>
      <c r="K18" s="460">
        <f>Water!E20</f>
        <v>243.6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429.2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248.93599999999998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335.4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126</v>
      </c>
      <c r="AU18" s="460">
        <f>Elect!BP19</f>
        <v>114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540160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1.7099601593625497</v>
      </c>
      <c r="BN18" s="477" t="e">
        <f>Water!W20</f>
        <v>#DIV/0!</v>
      </c>
      <c r="BO18" s="472">
        <f>Water!X20</f>
        <v>1716.8</v>
      </c>
      <c r="BP18" s="477">
        <f>Water!Y20</f>
        <v>6.839840637450199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6408</v>
      </c>
      <c r="D19" s="461">
        <v>0</v>
      </c>
      <c r="E19" s="460">
        <f>Elect!M20</f>
        <v>2113</v>
      </c>
      <c r="F19" s="461">
        <v>20</v>
      </c>
      <c r="G19" s="460">
        <f>Elect!O20</f>
        <v>3492</v>
      </c>
      <c r="H19" s="461">
        <v>841</v>
      </c>
      <c r="I19" s="460">
        <f>Water!C21</f>
        <v>197.2</v>
      </c>
      <c r="J19" s="461">
        <v>0</v>
      </c>
      <c r="K19" s="460">
        <f>Water!E21</f>
        <v>249.39999999999998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446.59999999999997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259.02799999999996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195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163</v>
      </c>
      <c r="AU19" s="460">
        <f>Elect!BP20</f>
        <v>114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542345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1.9417391304347824</v>
      </c>
      <c r="BN19" s="477" t="e">
        <f>Water!W21</f>
        <v>#DIV/0!</v>
      </c>
      <c r="BO19" s="472">
        <f>Water!X21</f>
        <v>1786.3999999999999</v>
      </c>
      <c r="BP19" s="477">
        <f>Water!Y21</f>
        <v>7.7669565217391296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5533</v>
      </c>
      <c r="D20" s="461">
        <v>0</v>
      </c>
      <c r="E20" s="460">
        <f>Elect!M21</f>
        <v>2029</v>
      </c>
      <c r="F20" s="461">
        <v>20</v>
      </c>
      <c r="G20" s="460">
        <f>Elect!O21</f>
        <v>3037</v>
      </c>
      <c r="H20" s="461">
        <v>932</v>
      </c>
      <c r="I20" s="460">
        <f>Water!C22</f>
        <v>162.39999999999998</v>
      </c>
      <c r="J20" s="461">
        <v>0</v>
      </c>
      <c r="K20" s="460">
        <f>Water!E22</f>
        <v>203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365.4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211.93199999999996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97.5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104</v>
      </c>
      <c r="AU20" s="460">
        <f>Elect!BP21</f>
        <v>112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542449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1.903125</v>
      </c>
      <c r="BN20" s="477" t="e">
        <f>Water!W22</f>
        <v>#DIV/0!</v>
      </c>
      <c r="BO20" s="472">
        <f>Water!X22</f>
        <v>1461.6</v>
      </c>
      <c r="BP20" s="477">
        <f>Water!Y22</f>
        <v>7.6124999999999998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5659</v>
      </c>
      <c r="D21" s="461">
        <v>0</v>
      </c>
      <c r="E21" s="460">
        <f>Elect!M22</f>
        <v>2031</v>
      </c>
      <c r="F21" s="461">
        <v>20</v>
      </c>
      <c r="G21" s="460">
        <f>Elect!O22</f>
        <v>3036</v>
      </c>
      <c r="H21" s="461">
        <v>972</v>
      </c>
      <c r="I21" s="460">
        <f>Water!C23</f>
        <v>174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388.6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225.38800000000001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729.3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207</v>
      </c>
      <c r="AU21" s="460">
        <f>Elect!BP22</f>
        <v>99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2.1831460674157306</v>
      </c>
      <c r="BN21" s="477" t="e">
        <f>Water!W23</f>
        <v>#DIV/0!</v>
      </c>
      <c r="BO21" s="472">
        <f>Water!X23</f>
        <v>1554.4</v>
      </c>
      <c r="BP21" s="477">
        <f>Water!Y23</f>
        <v>8.7325842696629223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5198</v>
      </c>
      <c r="D22" s="461">
        <v>0</v>
      </c>
      <c r="E22" s="460">
        <f>Elect!M23</f>
        <v>1943</v>
      </c>
      <c r="F22" s="461">
        <v>20</v>
      </c>
      <c r="G22" s="460">
        <f>Elect!O23</f>
        <v>2974</v>
      </c>
      <c r="H22" s="461">
        <v>864</v>
      </c>
      <c r="I22" s="460">
        <f>Water!C24</f>
        <v>145</v>
      </c>
      <c r="J22" s="461">
        <v>0</v>
      </c>
      <c r="K22" s="460">
        <f>Water!E24</f>
        <v>191.39999999999998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444.85999999999996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258.01879999999994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456.3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165</v>
      </c>
      <c r="AU22" s="460">
        <f>Elect!BP23</f>
        <v>109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542821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2.4177173913043477</v>
      </c>
      <c r="BN22" s="477" t="e">
        <f>Water!W24</f>
        <v>#DIV/0!</v>
      </c>
      <c r="BO22" s="472">
        <f>Water!X24</f>
        <v>1779.4399999999998</v>
      </c>
      <c r="BP22" s="477">
        <f>Water!Y24</f>
        <v>9.6708695652173908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5240</v>
      </c>
      <c r="D23" s="461">
        <v>0</v>
      </c>
      <c r="E23" s="460">
        <f>Elect!M24</f>
        <v>1943</v>
      </c>
      <c r="F23" s="461">
        <v>30</v>
      </c>
      <c r="G23" s="460">
        <f>Elect!O24</f>
        <v>2639</v>
      </c>
      <c r="H23" s="461">
        <v>894</v>
      </c>
      <c r="I23" s="460">
        <f>Water!C25</f>
        <v>115.99999999999999</v>
      </c>
      <c r="J23" s="461">
        <v>0</v>
      </c>
      <c r="K23" s="460">
        <f>Water!E25</f>
        <v>150.79999999999998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377.57999999999993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218.99639999999994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331.5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154</v>
      </c>
      <c r="AU23" s="460">
        <f>Elect!BP24</f>
        <v>94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542975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2.2609580838323349</v>
      </c>
      <c r="BN23" s="477" t="e">
        <f>Water!W25</f>
        <v>#DIV/0!</v>
      </c>
      <c r="BO23" s="472">
        <f>Water!X25</f>
        <v>1510.3199999999997</v>
      </c>
      <c r="BP23" s="477">
        <f>Water!Y25</f>
        <v>9.0438323353293395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6539</v>
      </c>
      <c r="D24" s="461">
        <v>0</v>
      </c>
      <c r="E24" s="460">
        <f>Elect!M25</f>
        <v>1982</v>
      </c>
      <c r="F24" s="461">
        <v>20</v>
      </c>
      <c r="G24" s="460">
        <f>Elect!O25</f>
        <v>3339</v>
      </c>
      <c r="H24" s="461">
        <v>944</v>
      </c>
      <c r="I24" s="460">
        <f>Water!C26</f>
        <v>115.99999999999999</v>
      </c>
      <c r="J24" s="461">
        <v>0</v>
      </c>
      <c r="K24" s="460">
        <f>Water!E26</f>
        <v>156.6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385.69999999999993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223.70599999999993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378.3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188</v>
      </c>
      <c r="AU24" s="460">
        <f>Elect!BP25</f>
        <v>112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543163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2.4724358974358971</v>
      </c>
      <c r="BN24" s="477" t="e">
        <f>Water!W26</f>
        <v>#DIV/0!</v>
      </c>
      <c r="BO24" s="472">
        <f>Water!X26</f>
        <v>1542.7999999999997</v>
      </c>
      <c r="BP24" s="477">
        <f>Water!Y26</f>
        <v>9.8897435897435884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5926</v>
      </c>
      <c r="D25" s="461">
        <v>0</v>
      </c>
      <c r="E25" s="460">
        <f>Elect!M26</f>
        <v>2060</v>
      </c>
      <c r="F25" s="461">
        <v>20</v>
      </c>
      <c r="G25" s="460">
        <f>Elect!O26</f>
        <v>2977</v>
      </c>
      <c r="H25" s="461">
        <v>916</v>
      </c>
      <c r="I25" s="460">
        <f>Water!C27</f>
        <v>115.99999999999999</v>
      </c>
      <c r="J25" s="461">
        <v>0</v>
      </c>
      <c r="K25" s="460">
        <f>Water!E27</f>
        <v>156.6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384.15333333331358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222.80893333332187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347.09999999999997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168</v>
      </c>
      <c r="AU25" s="460">
        <f>Elect!BP26</f>
        <v>103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543331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2.0218596491227032</v>
      </c>
      <c r="BN25" s="477" t="e">
        <f>Water!W27</f>
        <v>#DIV/0!</v>
      </c>
      <c r="BO25" s="472">
        <f>Water!X27</f>
        <v>1536.6133333332543</v>
      </c>
      <c r="BP25" s="477">
        <f>Water!Y27</f>
        <v>8.0874385964908129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5644</v>
      </c>
      <c r="D26" s="461">
        <v>0</v>
      </c>
      <c r="E26" s="460">
        <f>Elect!M27</f>
        <v>2014</v>
      </c>
      <c r="F26" s="461">
        <v>20</v>
      </c>
      <c r="G26" s="460">
        <f>Elect!O27</f>
        <v>2816</v>
      </c>
      <c r="H26" s="461">
        <v>931</v>
      </c>
      <c r="I26" s="460">
        <f>Water!C28</f>
        <v>139.19999999999999</v>
      </c>
      <c r="J26" s="461">
        <v>0</v>
      </c>
      <c r="K26" s="460">
        <f>Water!E28</f>
        <v>174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437.70666666668637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253.86986666667809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393.9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181.33333333302289</v>
      </c>
      <c r="AU26" s="460">
        <f>Elect!BP27</f>
        <v>100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543512.33333333302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2.1351544715448116</v>
      </c>
      <c r="BN26" s="477" t="e">
        <f>Water!W28</f>
        <v>#DIV/0!</v>
      </c>
      <c r="BO26" s="472">
        <f>Water!X28</f>
        <v>1750.8266666667455</v>
      </c>
      <c r="BP26" s="477">
        <f>Water!Y28</f>
        <v>8.5406178861792466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5690</v>
      </c>
      <c r="D27" s="461">
        <v>0</v>
      </c>
      <c r="E27" s="460">
        <f>Elect!M28</f>
        <v>2064</v>
      </c>
      <c r="F27" s="461">
        <v>30</v>
      </c>
      <c r="G27" s="460">
        <f>Elect!O28</f>
        <v>3218</v>
      </c>
      <c r="H27" s="461">
        <v>1009</v>
      </c>
      <c r="I27" s="460">
        <f>Water!C29</f>
        <v>121.8</v>
      </c>
      <c r="J27" s="461">
        <v>0</v>
      </c>
      <c r="K27" s="460">
        <f>Water!E29</f>
        <v>150.79999999999998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392.65999999999997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227.74279999999996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362.7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100.66666666697711</v>
      </c>
      <c r="AU27" s="460">
        <f>Elect!BP28</f>
        <v>104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543613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1.7767420814479638</v>
      </c>
      <c r="BN27" s="477" t="e">
        <f>Water!W29</f>
        <v>#DIV/0!</v>
      </c>
      <c r="BO27" s="472">
        <f>Water!X29</f>
        <v>1570.6399999999999</v>
      </c>
      <c r="BP27" s="477">
        <f>Water!Y29</f>
        <v>7.106968325791855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5085</v>
      </c>
      <c r="D28" s="461">
        <v>0</v>
      </c>
      <c r="E28" s="460">
        <f>Elect!M29</f>
        <v>1729</v>
      </c>
      <c r="F28" s="461">
        <v>20</v>
      </c>
      <c r="G28" s="460">
        <f>Elect!O29</f>
        <v>2873</v>
      </c>
      <c r="H28" s="461">
        <v>891</v>
      </c>
      <c r="I28" s="460">
        <f>Water!C30</f>
        <v>133.39999999999998</v>
      </c>
      <c r="J28" s="461">
        <v>0</v>
      </c>
      <c r="K28" s="460">
        <f>Water!E30</f>
        <v>174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419.91999999999996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243.55359999999996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312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132</v>
      </c>
      <c r="AU28" s="460">
        <f>Elect!BP29</f>
        <v>97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543745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1.866311111111111</v>
      </c>
      <c r="BN28" s="477" t="e">
        <f>Water!W30</f>
        <v>#DIV/0!</v>
      </c>
      <c r="BO28" s="472">
        <f>Water!X30</f>
        <v>1679.6799999999998</v>
      </c>
      <c r="BP28" s="477">
        <f>Water!Y30</f>
        <v>7.4652444444444441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5168</v>
      </c>
      <c r="D29" s="461">
        <v>0</v>
      </c>
      <c r="E29" s="460">
        <f>Elect!M30</f>
        <v>2035</v>
      </c>
      <c r="F29" s="461">
        <v>20</v>
      </c>
      <c r="G29" s="460">
        <f>Elect!O30</f>
        <v>3388</v>
      </c>
      <c r="H29" s="461">
        <v>1008</v>
      </c>
      <c r="I29" s="460">
        <f>Water!C31</f>
        <v>139.19999999999999</v>
      </c>
      <c r="J29" s="461">
        <v>0</v>
      </c>
      <c r="K29" s="460">
        <f>Water!E31</f>
        <v>179.79999999999998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437.32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253.64559999999997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335.4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162</v>
      </c>
      <c r="AU29" s="460">
        <f>Elect!BP30</f>
        <v>99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543907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2.1542857142857144</v>
      </c>
      <c r="BN29" s="477" t="e">
        <f>Water!W31</f>
        <v>#DIV/0!</v>
      </c>
      <c r="BO29" s="472">
        <f>Water!X31</f>
        <v>1749.28</v>
      </c>
      <c r="BP29" s="477">
        <f>Water!Y31</f>
        <v>8.6171428571428574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5723</v>
      </c>
      <c r="D30" s="461">
        <v>0</v>
      </c>
      <c r="E30" s="460">
        <f>Elect!M31</f>
        <v>2056</v>
      </c>
      <c r="F30" s="461">
        <v>20</v>
      </c>
      <c r="G30" s="460">
        <f>Elect!O31</f>
        <v>3482</v>
      </c>
      <c r="H30" s="461">
        <v>760</v>
      </c>
      <c r="I30" s="460">
        <f>Water!C32</f>
        <v>133.39999999999998</v>
      </c>
      <c r="J30" s="461">
        <v>0</v>
      </c>
      <c r="K30" s="460">
        <f>Water!E32</f>
        <v>174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421.65999999999997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244.56279999999995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339.3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175</v>
      </c>
      <c r="AU30" s="460">
        <f>Elect!BP31</f>
        <v>106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544082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1.8174999999999999</v>
      </c>
      <c r="BN30" s="477" t="e">
        <f>Water!W32</f>
        <v>#DIV/0!</v>
      </c>
      <c r="BO30" s="472">
        <f>Water!X32</f>
        <v>1686.6399999999999</v>
      </c>
      <c r="BP30" s="477">
        <f>Water!Y32</f>
        <v>7.27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5017</v>
      </c>
      <c r="D31" s="461">
        <v>0</v>
      </c>
      <c r="E31" s="460">
        <f>Elect!M32</f>
        <v>1864</v>
      </c>
      <c r="F31" s="461">
        <v>30</v>
      </c>
      <c r="G31" s="460">
        <f>Elect!O32</f>
        <v>3188</v>
      </c>
      <c r="H31" s="461">
        <v>1010</v>
      </c>
      <c r="I31" s="460">
        <f>Water!C33</f>
        <v>137.26666666686359</v>
      </c>
      <c r="J31" s="461">
        <v>0</v>
      </c>
      <c r="K31" s="460">
        <f>Water!E33</f>
        <v>174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421.46666666686355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244.45066666678085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356.97999999860764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134</v>
      </c>
      <c r="AU31" s="460">
        <f>Elect!BP32</f>
        <v>104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544216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1.6858666666674542</v>
      </c>
      <c r="BN31" s="477" t="e">
        <f>Water!W33</f>
        <v>#DIV/0!</v>
      </c>
      <c r="BO31" s="472">
        <f>Water!X33</f>
        <v>1685.8666666674542</v>
      </c>
      <c r="BP31" s="477">
        <f>Water!Y33</f>
        <v>6.7434666666698169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5674</v>
      </c>
      <c r="D32" s="482">
        <v>0</v>
      </c>
      <c r="E32" s="481">
        <f>Elect!M33</f>
        <v>1990</v>
      </c>
      <c r="F32" s="482">
        <v>20</v>
      </c>
      <c r="G32" s="481">
        <f>Elect!O33</f>
        <v>3164</v>
      </c>
      <c r="H32" s="482">
        <v>1008</v>
      </c>
      <c r="I32" s="481">
        <f>Water!C34</f>
        <v>136.29999999999998</v>
      </c>
      <c r="J32" s="482">
        <v>0</v>
      </c>
      <c r="K32" s="481">
        <f>Water!E34</f>
        <v>174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423.20666666668632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245.45986666667804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345.19333333302058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100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544355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1.6467185473411918</v>
      </c>
      <c r="BN32" s="498" t="e">
        <f>Water!W34</f>
        <v>#DIV/0!</v>
      </c>
      <c r="BO32" s="493">
        <f>Water!X34</f>
        <v>1692.8266666667453</v>
      </c>
      <c r="BP32" s="498">
        <f>Water!Y34</f>
        <v>6.5868741893647673</v>
      </c>
      <c r="BQ32" s="499" t="e">
        <f>Water!Z34</f>
        <v>#DIV/0!</v>
      </c>
    </row>
    <row r="33" spans="1:98" s="521" customFormat="1" ht="72" customHeight="1">
      <c r="A33" s="443" t="s">
        <v>120</v>
      </c>
      <c r="B33" s="500">
        <v>931200</v>
      </c>
      <c r="C33" s="501">
        <f>Elect!J34</f>
        <v>5946</v>
      </c>
      <c r="D33" s="502">
        <v>0</v>
      </c>
      <c r="E33" s="501">
        <f>Elect!M34</f>
        <v>1886</v>
      </c>
      <c r="F33" s="502">
        <v>600</v>
      </c>
      <c r="G33" s="501">
        <f>Elect!O34</f>
        <v>3345</v>
      </c>
      <c r="H33" s="502">
        <v>24543</v>
      </c>
      <c r="I33" s="501">
        <f>Water!C38</f>
        <v>4070.8136103894853</v>
      </c>
      <c r="J33" s="502">
        <v>0</v>
      </c>
      <c r="K33" s="501">
        <f>Water!E39</f>
        <v>172.45333333333332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11841.189610389485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6142.0509073593594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10535.700303027626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148</v>
      </c>
      <c r="AU33" s="506">
        <f>Elect!BP34</f>
        <v>100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544503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2.1228378648959279</v>
      </c>
      <c r="BN33" s="518" t="e">
        <f>Water!W38</f>
        <v>#DIV/0!</v>
      </c>
      <c r="BO33" s="513">
        <f>Water!X38</f>
        <v>45673.478441557942</v>
      </c>
      <c r="BP33" s="518">
        <f>Water!Y38</f>
        <v>8.1881460096016383</v>
      </c>
      <c r="BQ33" s="519" t="e">
        <f>Water!Z38</f>
        <v>#DIV/0!</v>
      </c>
    </row>
    <row r="34" spans="1:98" s="523" customFormat="1" ht="72" customHeight="1" thickBot="1">
      <c r="A34" s="444" t="s">
        <v>121</v>
      </c>
      <c r="B34" s="500">
        <v>33257.142857142855</v>
      </c>
      <c r="C34" s="501">
        <f>Elect!J35</f>
        <v>5729</v>
      </c>
      <c r="D34" s="502">
        <v>0</v>
      </c>
      <c r="E34" s="501">
        <f>Elect!M35</f>
        <v>2072</v>
      </c>
      <c r="F34" s="502">
        <v>21.428571428571427</v>
      </c>
      <c r="G34" s="501">
        <f>Elect!O35</f>
        <v>3298</v>
      </c>
      <c r="H34" s="502">
        <v>876.53571428571433</v>
      </c>
      <c r="I34" s="501">
        <f>Water!C39</f>
        <v>135.69378701298285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394.70632034631615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204.73503024531198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135</v>
      </c>
      <c r="AU34" s="506">
        <f>Elect!BP35</f>
        <v>109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544638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2.1228378648959274</v>
      </c>
      <c r="BN34" s="518" t="e">
        <f>Water!W39</f>
        <v>#DIV/0!</v>
      </c>
      <c r="BO34" s="513">
        <f>Water!X39</f>
        <v>1522.4492813852646</v>
      </c>
      <c r="BP34" s="518">
        <f>Water!Y39</f>
        <v>8.1881460096016383</v>
      </c>
      <c r="BQ34" s="519" t="e">
        <f>Water!Z39</f>
        <v>#DIV/0!</v>
      </c>
    </row>
    <row r="35" spans="1:98" s="523" customFormat="1" ht="72" customHeight="1">
      <c r="A35" s="445" t="s">
        <v>148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540013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149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150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151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152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153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3" t="s">
        <v>210</v>
      </c>
      <c r="B4" s="923"/>
      <c r="C4" s="923"/>
      <c r="D4" s="923"/>
      <c r="E4" s="923"/>
      <c r="F4" s="923"/>
      <c r="G4" s="108">
        <f>Elect!A1</f>
        <v>44743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211</v>
      </c>
      <c r="B7" s="99" t="s">
        <v>212</v>
      </c>
      <c r="C7" s="99" t="s">
        <v>213</v>
      </c>
      <c r="D7" s="99" t="s">
        <v>212</v>
      </c>
      <c r="E7" s="99" t="s">
        <v>213</v>
      </c>
      <c r="F7" s="99" t="s">
        <v>214</v>
      </c>
      <c r="G7" s="100" t="s">
        <v>215</v>
      </c>
      <c r="H7" s="100" t="s">
        <v>216</v>
      </c>
      <c r="I7" s="99" t="s">
        <v>120</v>
      </c>
      <c r="J7" s="101" t="s">
        <v>120</v>
      </c>
    </row>
    <row r="8" spans="1:10" ht="13.5" thickBot="1">
      <c r="A8" s="102"/>
      <c r="B8" s="103" t="s">
        <v>217</v>
      </c>
      <c r="C8" s="103" t="s">
        <v>217</v>
      </c>
      <c r="D8" s="103" t="s">
        <v>218</v>
      </c>
      <c r="E8" s="103" t="s">
        <v>218</v>
      </c>
      <c r="F8" s="104" t="s">
        <v>219</v>
      </c>
      <c r="G8" s="103" t="s">
        <v>12</v>
      </c>
      <c r="H8" s="103"/>
      <c r="I8" s="104" t="s">
        <v>220</v>
      </c>
      <c r="J8" s="105" t="s">
        <v>221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222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222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4"/>
      <c r="B3" s="926">
        <f>Elect!A1</f>
        <v>44743</v>
      </c>
      <c r="C3" s="927"/>
      <c r="D3" s="927"/>
      <c r="E3" s="928"/>
    </row>
    <row r="4" spans="1:5" ht="14.25" customHeight="1" thickBot="1">
      <c r="A4" s="925"/>
      <c r="B4" s="929" t="s">
        <v>12</v>
      </c>
      <c r="C4" s="930"/>
      <c r="D4" s="931" t="s">
        <v>223</v>
      </c>
      <c r="E4" s="932"/>
    </row>
    <row r="5" spans="1:5" ht="13.5" thickBot="1">
      <c r="A5" s="34" t="s">
        <v>224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225</v>
      </c>
      <c r="B6" s="38"/>
      <c r="C6" s="39"/>
      <c r="D6" s="40"/>
      <c r="E6" s="41"/>
    </row>
    <row r="7" spans="1:5" ht="13.5" thickBot="1">
      <c r="A7" s="117" t="s">
        <v>226</v>
      </c>
      <c r="B7" s="42"/>
      <c r="C7" s="43" t="s">
        <v>227</v>
      </c>
      <c r="D7" s="42" t="s">
        <v>227</v>
      </c>
      <c r="E7" s="43" t="s">
        <v>227</v>
      </c>
    </row>
    <row r="8" spans="1:5">
      <c r="A8" s="118" t="s">
        <v>228</v>
      </c>
      <c r="B8" s="42"/>
      <c r="C8" s="43" t="s">
        <v>227</v>
      </c>
      <c r="D8" s="44" t="s">
        <v>227</v>
      </c>
      <c r="E8" s="45" t="s">
        <v>227</v>
      </c>
    </row>
    <row r="9" spans="1:5" ht="13.5" thickBot="1">
      <c r="A9" s="118" t="s">
        <v>229</v>
      </c>
      <c r="B9" s="359"/>
      <c r="C9" s="360" t="s">
        <v>227</v>
      </c>
      <c r="D9" s="44" t="s">
        <v>227</v>
      </c>
      <c r="E9" s="45" t="s">
        <v>227</v>
      </c>
    </row>
    <row r="10" spans="1:5" ht="13.5" thickBot="1">
      <c r="A10" s="119" t="s">
        <v>230</v>
      </c>
      <c r="B10" s="76"/>
      <c r="C10" s="361"/>
      <c r="D10" s="48"/>
      <c r="E10" s="47"/>
    </row>
    <row r="11" spans="1:5" ht="13.5" thickBot="1">
      <c r="A11" s="362" t="s">
        <v>231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232</v>
      </c>
      <c r="B12" s="366"/>
      <c r="C12" s="366" t="s">
        <v>227</v>
      </c>
      <c r="D12" s="52">
        <v>0</v>
      </c>
      <c r="E12" s="53" t="e">
        <v>#REF!</v>
      </c>
    </row>
    <row r="13" spans="1:5" ht="13.5" thickBot="1">
      <c r="A13" s="120" t="s">
        <v>233</v>
      </c>
      <c r="B13" s="76"/>
      <c r="C13" s="77"/>
      <c r="D13" s="42" t="s">
        <v>227</v>
      </c>
      <c r="E13" s="43" t="s">
        <v>227</v>
      </c>
    </row>
    <row r="14" spans="1:5">
      <c r="A14" s="117" t="s">
        <v>234</v>
      </c>
      <c r="B14" s="42"/>
      <c r="C14" s="63" t="s">
        <v>227</v>
      </c>
      <c r="D14" s="55"/>
      <c r="E14" s="56"/>
    </row>
    <row r="15" spans="1:5" ht="13.5" thickBot="1">
      <c r="A15" s="118" t="s">
        <v>235</v>
      </c>
      <c r="B15" s="44"/>
      <c r="C15" s="54" t="s">
        <v>227</v>
      </c>
      <c r="D15" s="58"/>
      <c r="E15" s="59"/>
    </row>
    <row r="16" spans="1:5" ht="13.5" thickBot="1">
      <c r="A16" s="118" t="s">
        <v>236</v>
      </c>
      <c r="B16" s="44"/>
      <c r="C16" s="54" t="s">
        <v>227</v>
      </c>
      <c r="D16" s="61"/>
      <c r="E16" s="62"/>
    </row>
    <row r="17" spans="1:5">
      <c r="A17" s="118" t="s">
        <v>237</v>
      </c>
      <c r="B17" s="44"/>
      <c r="C17" s="54" t="s">
        <v>227</v>
      </c>
      <c r="D17" s="44" t="s">
        <v>227</v>
      </c>
      <c r="E17" s="54" t="s">
        <v>227</v>
      </c>
    </row>
    <row r="18" spans="1:5">
      <c r="A18" s="118" t="s">
        <v>238</v>
      </c>
      <c r="B18" s="44"/>
      <c r="C18" s="54" t="s">
        <v>227</v>
      </c>
      <c r="D18" s="44" t="s">
        <v>227</v>
      </c>
      <c r="E18" s="54" t="s">
        <v>227</v>
      </c>
    </row>
    <row r="19" spans="1:5">
      <c r="A19" s="118" t="s">
        <v>239</v>
      </c>
      <c r="B19" s="44"/>
      <c r="C19" s="54" t="s">
        <v>227</v>
      </c>
      <c r="D19" s="44" t="s">
        <v>227</v>
      </c>
      <c r="E19" s="54" t="s">
        <v>227</v>
      </c>
    </row>
    <row r="20" spans="1:5">
      <c r="A20" s="118" t="s">
        <v>240</v>
      </c>
      <c r="B20" s="44"/>
      <c r="C20" s="64" t="e">
        <f>#REF!</f>
        <v>#REF!</v>
      </c>
      <c r="D20" s="44" t="s">
        <v>227</v>
      </c>
      <c r="E20" s="54" t="s">
        <v>227</v>
      </c>
    </row>
    <row r="21" spans="1:5">
      <c r="A21" s="118" t="s">
        <v>241</v>
      </c>
      <c r="B21" s="44"/>
      <c r="C21" s="54" t="s">
        <v>227</v>
      </c>
      <c r="D21" s="44" t="s">
        <v>227</v>
      </c>
      <c r="E21" s="54" t="s">
        <v>227</v>
      </c>
    </row>
    <row r="22" spans="1:5">
      <c r="A22" s="118" t="s">
        <v>242</v>
      </c>
      <c r="B22" s="44"/>
      <c r="C22" s="54">
        <f>Water!S38</f>
        <v>0</v>
      </c>
      <c r="D22" s="44" t="s">
        <v>227</v>
      </c>
      <c r="E22" s="54" t="s">
        <v>227</v>
      </c>
    </row>
    <row r="23" spans="1:5" ht="13.5" thickBot="1">
      <c r="A23" s="121" t="s">
        <v>243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244</v>
      </c>
      <c r="B24" s="49"/>
      <c r="C24" s="60"/>
      <c r="D24" s="55" t="s">
        <v>227</v>
      </c>
      <c r="E24" s="56" t="s">
        <v>227</v>
      </c>
    </row>
    <row r="25" spans="1:5">
      <c r="A25" s="123" t="s">
        <v>245</v>
      </c>
      <c r="B25" s="42"/>
      <c r="C25" s="67">
        <f>Elect!J34</f>
        <v>5946</v>
      </c>
      <c r="D25" s="55">
        <v>12266</v>
      </c>
      <c r="E25" s="66">
        <v>814</v>
      </c>
    </row>
    <row r="26" spans="1:5" ht="13.5" thickBot="1">
      <c r="A26" s="128" t="s">
        <v>246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247</v>
      </c>
      <c r="B27" s="44"/>
      <c r="C27" s="69">
        <f>Water!H38</f>
        <v>11841.189610389485</v>
      </c>
      <c r="D27" s="61"/>
      <c r="E27" s="62"/>
    </row>
    <row r="28" spans="1:5">
      <c r="A28" s="124" t="s">
        <v>248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249</v>
      </c>
      <c r="B29" s="44"/>
      <c r="C29" s="45" t="s">
        <v>227</v>
      </c>
      <c r="D29" s="70">
        <v>28880</v>
      </c>
      <c r="E29" s="66">
        <v>32980</v>
      </c>
    </row>
    <row r="30" spans="1:5" ht="13.5" thickBot="1">
      <c r="A30" s="125" t="s">
        <v>250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251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252</v>
      </c>
      <c r="B32" s="76"/>
      <c r="C32" s="77"/>
      <c r="D32" s="71" t="e">
        <v>#REF!</v>
      </c>
      <c r="E32" s="56" t="s">
        <v>227</v>
      </c>
    </row>
    <row r="33" spans="1:6" ht="13.5" thickBot="1">
      <c r="A33" s="123" t="s">
        <v>253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254</v>
      </c>
      <c r="B34" s="44"/>
      <c r="C34" s="69">
        <f>YTD!Q5</f>
        <v>0</v>
      </c>
      <c r="D34" s="74"/>
      <c r="E34" s="75"/>
    </row>
    <row r="35" spans="1:6" ht="13.5" thickBot="1">
      <c r="A35" s="124" t="s">
        <v>255</v>
      </c>
      <c r="B35" s="44"/>
      <c r="C35" s="69">
        <f>YTD!Q6</f>
        <v>0</v>
      </c>
      <c r="D35" s="61"/>
      <c r="E35" s="62"/>
    </row>
    <row r="36" spans="1:6">
      <c r="A36" s="128" t="s">
        <v>256</v>
      </c>
      <c r="B36" s="44"/>
      <c r="C36" s="82"/>
      <c r="D36" s="78" t="e">
        <v>#REF!</v>
      </c>
      <c r="E36" s="66" t="e">
        <v>#REF!</v>
      </c>
    </row>
    <row r="37" spans="1:6">
      <c r="A37" s="128" t="s">
        <v>257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258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259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260</v>
      </c>
      <c r="B40" s="76"/>
      <c r="C40" s="77"/>
      <c r="D40" s="55">
        <v>1583714</v>
      </c>
      <c r="E40" s="66">
        <v>1940567</v>
      </c>
    </row>
    <row r="41" spans="1:6">
      <c r="A41" s="367" t="s">
        <v>261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262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263</v>
      </c>
      <c r="B43" s="130"/>
      <c r="C43" s="64">
        <f>Water!X38</f>
        <v>45673.478441557942</v>
      </c>
      <c r="D43" s="58">
        <v>112</v>
      </c>
      <c r="E43" s="66">
        <v>97.529999999999944</v>
      </c>
    </row>
    <row r="44" spans="1:6" ht="13.5" thickBot="1">
      <c r="A44" s="129" t="s">
        <v>264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265</v>
      </c>
      <c r="B45" s="131"/>
      <c r="C45" s="54" t="s">
        <v>227</v>
      </c>
      <c r="D45" s="78">
        <v>2138156.84</v>
      </c>
      <c r="E45" s="66" t="e">
        <v>#REF!</v>
      </c>
    </row>
    <row r="46" spans="1:6" ht="13.5" thickBot="1">
      <c r="A46" s="132" t="s">
        <v>266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267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268</v>
      </c>
      <c r="B48" s="197"/>
      <c r="C48" s="89"/>
      <c r="D48" s="65">
        <v>330278</v>
      </c>
      <c r="E48" s="66" t="e">
        <v>#REF!</v>
      </c>
    </row>
    <row r="49" spans="1:6">
      <c r="A49" s="202" t="s">
        <v>269</v>
      </c>
      <c r="B49" s="195"/>
      <c r="C49" s="203">
        <v>6</v>
      </c>
      <c r="D49" s="44" t="s">
        <v>227</v>
      </c>
      <c r="E49" s="54" t="s">
        <v>227</v>
      </c>
    </row>
    <row r="50" spans="1:6" ht="13.5" thickBot="1">
      <c r="A50" s="222" t="s">
        <v>131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270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271</v>
      </c>
      <c r="B52" s="131"/>
      <c r="C52" s="54">
        <v>75064</v>
      </c>
      <c r="D52" s="61"/>
      <c r="E52" s="62"/>
    </row>
    <row r="53" spans="1:6" ht="13.5" thickBot="1">
      <c r="A53" s="204" t="s">
        <v>272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273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274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275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276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44743</v>
      </c>
      <c r="C1" s="774"/>
      <c r="D1" s="774"/>
      <c r="E1" s="774"/>
      <c r="F1" s="774"/>
      <c r="G1" s="774"/>
      <c r="H1" s="211" t="s">
        <v>277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278</v>
      </c>
      <c r="D3" s="227" t="s">
        <v>279</v>
      </c>
      <c r="E3" s="227" t="s">
        <v>280</v>
      </c>
      <c r="F3" s="227" t="s">
        <v>281</v>
      </c>
      <c r="G3" s="227" t="s">
        <v>282</v>
      </c>
      <c r="H3" s="227" t="s">
        <v>283</v>
      </c>
      <c r="I3" s="227" t="s">
        <v>284</v>
      </c>
      <c r="J3" s="227" t="s">
        <v>285</v>
      </c>
      <c r="K3" s="227" t="s">
        <v>286</v>
      </c>
      <c r="L3" s="227" t="s">
        <v>287</v>
      </c>
      <c r="M3" s="227" t="s">
        <v>288</v>
      </c>
      <c r="N3" s="227" t="s">
        <v>289</v>
      </c>
      <c r="O3" s="228" t="s">
        <v>290</v>
      </c>
      <c r="P3" s="229" t="s">
        <v>291</v>
      </c>
      <c r="Q3" s="230" t="s">
        <v>292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293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294</v>
      </c>
      <c r="B5" s="296"/>
      <c r="C5" s="234">
        <v>25072</v>
      </c>
      <c r="D5" s="380">
        <f>Elect!BP34</f>
        <v>100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25172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295</v>
      </c>
      <c r="B6" s="298"/>
      <c r="C6" s="235">
        <v>50662</v>
      </c>
      <c r="D6" s="235">
        <f>Elect!BR34</f>
        <v>148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50810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296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297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298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299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300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301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302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303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304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305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306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307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308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309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310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311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312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313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314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315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316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317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318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319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320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321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322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323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324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325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326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327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328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329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330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331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332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333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334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335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336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337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338</v>
      </c>
      <c r="B51" s="312" t="s">
        <v>339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340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341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342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343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344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345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346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347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348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349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350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351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352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353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354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355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356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357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358</v>
      </c>
      <c r="B77" s="320" t="s">
        <v>359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360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358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360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358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360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361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362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363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303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304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305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306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307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308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309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310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311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312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313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314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315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316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317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318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364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320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321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322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323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324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325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326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327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328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329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330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331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332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333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334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335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336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337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338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340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341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342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343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344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365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346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347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348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352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353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366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363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303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304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305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306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307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308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309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310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311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312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313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314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315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316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317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318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364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320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321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322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323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324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325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326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327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328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329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330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331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332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333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334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335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336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337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338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340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341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342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343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344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365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346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347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348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352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353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367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368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369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370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371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372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373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374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375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376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377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378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379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346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380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309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310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311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312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313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314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315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316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317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318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364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320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321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322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323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324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325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326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327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328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329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330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331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332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333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334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335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336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337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338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340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341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342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343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344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365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346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347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348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349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350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352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381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309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310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311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312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313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314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315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316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317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318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364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320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321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322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323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324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325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326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327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328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329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330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331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332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333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334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335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336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337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338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340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341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342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343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344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365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346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347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348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349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350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352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382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278</v>
      </c>
      <c r="D2340" s="268" t="s">
        <v>279</v>
      </c>
      <c r="E2340" s="268" t="s">
        <v>280</v>
      </c>
      <c r="F2340" s="268" t="s">
        <v>281</v>
      </c>
      <c r="G2340" s="268" t="s">
        <v>282</v>
      </c>
      <c r="H2340" s="268" t="s">
        <v>283</v>
      </c>
      <c r="I2340" s="268" t="s">
        <v>284</v>
      </c>
      <c r="J2340" s="268" t="s">
        <v>285</v>
      </c>
      <c r="K2340" s="268" t="s">
        <v>286</v>
      </c>
      <c r="L2340" s="268" t="s">
        <v>287</v>
      </c>
      <c r="M2340" s="268" t="s">
        <v>288</v>
      </c>
      <c r="N2340" s="269" t="s">
        <v>289</v>
      </c>
      <c r="O2340" s="226" t="s">
        <v>383</v>
      </c>
      <c r="P2340" s="270" t="s">
        <v>291</v>
      </c>
      <c r="Q2340" s="230" t="s">
        <v>384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294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295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302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363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385</v>
      </c>
      <c r="B2345" s="782" t="s">
        <v>386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387</v>
      </c>
      <c r="B2346" s="782" t="s">
        <v>386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388</v>
      </c>
      <c r="B2347" s="782" t="s">
        <v>386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389</v>
      </c>
      <c r="B2348" s="782" t="s">
        <v>386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307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352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353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354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390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278</v>
      </c>
      <c r="D2357" s="268" t="s">
        <v>279</v>
      </c>
      <c r="E2357" s="268" t="s">
        <v>280</v>
      </c>
      <c r="F2357" s="268" t="s">
        <v>281</v>
      </c>
      <c r="G2357" s="268" t="s">
        <v>282</v>
      </c>
      <c r="H2357" s="268" t="s">
        <v>283</v>
      </c>
      <c r="I2357" s="268" t="s">
        <v>284</v>
      </c>
      <c r="J2357" s="268" t="s">
        <v>285</v>
      </c>
      <c r="K2357" s="268" t="s">
        <v>286</v>
      </c>
      <c r="L2357" s="268" t="s">
        <v>287</v>
      </c>
      <c r="M2357" s="268" t="s">
        <v>288</v>
      </c>
      <c r="N2357" s="269" t="s">
        <v>289</v>
      </c>
      <c r="O2357" s="226" t="s">
        <v>383</v>
      </c>
      <c r="P2357" s="270" t="s">
        <v>291</v>
      </c>
      <c r="Q2357" s="230" t="s">
        <v>384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294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295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302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363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385</v>
      </c>
      <c r="B2362" s="782" t="s">
        <v>386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387</v>
      </c>
      <c r="B2363" s="782" t="s">
        <v>386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388</v>
      </c>
      <c r="B2364" s="782" t="s">
        <v>386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389</v>
      </c>
      <c r="B2365" s="782" t="s">
        <v>386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307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352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353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354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tabSelected="1" view="pageBreakPreview" zoomScaleSheetLayoutView="100" workbookViewId="0">
      <selection activeCell="G35" sqref="G35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391</v>
      </c>
      <c r="F6" s="669"/>
      <c r="G6" s="668"/>
      <c r="H6" s="670">
        <f>Elect!A1</f>
        <v>44743</v>
      </c>
      <c r="I6" s="668"/>
      <c r="J6" s="668"/>
      <c r="K6" s="668"/>
    </row>
    <row r="9" spans="2:13" ht="13.5" customHeight="1">
      <c r="B9" s="933" t="s">
        <v>392</v>
      </c>
      <c r="C9" s="934"/>
      <c r="D9" s="934"/>
      <c r="E9" s="934"/>
      <c r="F9" s="934"/>
      <c r="G9" s="934"/>
      <c r="H9" s="934"/>
      <c r="I9" s="934"/>
      <c r="J9" s="934"/>
      <c r="K9" s="934"/>
      <c r="L9" s="934"/>
      <c r="M9" s="934"/>
    </row>
    <row r="10" spans="2:13" ht="13.5" customHeight="1" thickBot="1">
      <c r="B10" s="935"/>
      <c r="C10" s="936"/>
      <c r="D10" s="936"/>
      <c r="E10" s="936"/>
      <c r="F10" s="936"/>
      <c r="G10" s="936"/>
      <c r="H10" s="936"/>
      <c r="I10" s="936"/>
      <c r="J10" s="936"/>
      <c r="K10" s="936"/>
      <c r="L10" s="936"/>
      <c r="M10" s="936"/>
    </row>
    <row r="11" spans="2:13" ht="16.5" thickBot="1">
      <c r="B11" s="946" t="s">
        <v>393</v>
      </c>
      <c r="C11" s="946"/>
      <c r="D11" s="946" t="s">
        <v>394</v>
      </c>
      <c r="E11" s="946"/>
      <c r="F11" s="946" t="s">
        <v>395</v>
      </c>
      <c r="G11" s="946"/>
      <c r="H11" s="944" t="s">
        <v>396</v>
      </c>
      <c r="I11" s="945"/>
      <c r="J11" s="944" t="s">
        <v>397</v>
      </c>
      <c r="K11" s="945"/>
      <c r="L11" s="944" t="s">
        <v>398</v>
      </c>
      <c r="M11" s="945"/>
    </row>
    <row r="12" spans="2:13" ht="16.5" thickBot="1">
      <c r="B12" s="671" t="s">
        <v>399</v>
      </c>
      <c r="C12" s="671" t="s">
        <v>400</v>
      </c>
      <c r="D12" s="671" t="s">
        <v>399</v>
      </c>
      <c r="E12" s="671" t="s">
        <v>400</v>
      </c>
      <c r="F12" s="671" t="s">
        <v>399</v>
      </c>
      <c r="G12" s="671" t="s">
        <v>400</v>
      </c>
      <c r="H12" s="671" t="s">
        <v>399</v>
      </c>
      <c r="I12" s="671" t="s">
        <v>400</v>
      </c>
      <c r="J12" s="671" t="s">
        <v>399</v>
      </c>
      <c r="K12" s="671" t="s">
        <v>400</v>
      </c>
      <c r="L12" s="671" t="s">
        <v>399</v>
      </c>
      <c r="M12" s="671" t="s">
        <v>400</v>
      </c>
    </row>
    <row r="13" spans="2:13" ht="13.5" thickBot="1">
      <c r="B13" s="672">
        <f>Elect!AN37</f>
        <v>433952.65800000011</v>
      </c>
      <c r="C13" s="758">
        <f>(B13*1.15)+(2879*60*0.72)</f>
        <v>623418.35670000012</v>
      </c>
      <c r="D13" s="672">
        <f>Elect!J37</f>
        <v>172579.66666670144</v>
      </c>
      <c r="E13" s="758">
        <f>(D13*1.15)+(573*60)+10000</f>
        <v>242846.61666670663</v>
      </c>
      <c r="F13" s="672">
        <f>Elect!BI37</f>
        <v>417364.65888888959</v>
      </c>
      <c r="G13" s="758">
        <f>(F13*1.15)</f>
        <v>479969.35772222298</v>
      </c>
      <c r="H13" s="672">
        <f>Elect!Q37</f>
        <v>15638.000000010361</v>
      </c>
      <c r="I13" s="758">
        <f>H13*1.6+1500</f>
        <v>26520.800000016578</v>
      </c>
      <c r="J13" s="799">
        <f>B13+D13+F13+H13</f>
        <v>1039534.9835556014</v>
      </c>
      <c r="K13" s="759">
        <f>G13+E13+C13+I13</f>
        <v>1372755.1310889462</v>
      </c>
      <c r="L13" s="799">
        <f>B13+F13</f>
        <v>851317.31688888976</v>
      </c>
      <c r="M13" s="760">
        <f>C13+G13</f>
        <v>1103387.7144222232</v>
      </c>
    </row>
    <row r="16" spans="2:13" ht="0.75" customHeight="1" thickBot="1">
      <c r="K16">
        <f>K18</f>
        <v>1523339.0745382991</v>
      </c>
    </row>
    <row r="17" spans="4:11" ht="13.5" customHeight="1">
      <c r="E17" s="937" t="s">
        <v>401</v>
      </c>
      <c r="F17" s="938"/>
      <c r="J17" s="756" t="s">
        <v>402</v>
      </c>
      <c r="K17" s="757">
        <f>K13/J13</f>
        <v>1.3205473147172078</v>
      </c>
    </row>
    <row r="18" spans="4:11" ht="34.5" customHeight="1" thickBot="1">
      <c r="E18" s="939"/>
      <c r="F18" s="940"/>
      <c r="J18" s="756" t="s">
        <v>403</v>
      </c>
      <c r="K18" s="761">
        <f>K13+F20+F27+G35</f>
        <v>1523339.0745382991</v>
      </c>
    </row>
    <row r="19" spans="4:11" ht="13.5" thickBot="1">
      <c r="E19" s="674" t="s">
        <v>404</v>
      </c>
      <c r="F19" s="674" t="s">
        <v>400</v>
      </c>
    </row>
    <row r="20" spans="4:11" ht="13.5" thickBot="1">
      <c r="E20" s="941">
        <f>Water!H38</f>
        <v>11841.189610389485</v>
      </c>
      <c r="F20" s="943">
        <f>E20*10</f>
        <v>118411.89610389485</v>
      </c>
    </row>
    <row r="21" spans="4:11" ht="13.5" thickBot="1">
      <c r="E21" s="942"/>
      <c r="F21" s="943"/>
    </row>
    <row r="23" spans="4:11" ht="13.5" thickBot="1"/>
    <row r="24" spans="4:11" ht="13.5" thickBot="1">
      <c r="E24" s="947" t="s">
        <v>405</v>
      </c>
      <c r="F24" s="947"/>
    </row>
    <row r="25" spans="4:11" ht="11.25" customHeight="1" thickBot="1">
      <c r="E25" s="947"/>
      <c r="F25" s="947"/>
      <c r="H25" s="83"/>
    </row>
    <row r="26" spans="4:11" ht="13.5" thickBot="1">
      <c r="E26" s="674" t="s">
        <v>404</v>
      </c>
      <c r="F26" s="674" t="s">
        <v>400</v>
      </c>
    </row>
    <row r="27" spans="4:11" ht="13.5" thickBot="1">
      <c r="E27" s="942">
        <f>Gas!C38</f>
        <v>0</v>
      </c>
      <c r="F27" s="943">
        <f>E27*3.9</f>
        <v>0</v>
      </c>
    </row>
    <row r="28" spans="4:11" ht="13.5" thickBot="1">
      <c r="E28" s="942"/>
      <c r="F28" s="943"/>
    </row>
    <row r="30" spans="4:11" ht="13.5" thickBot="1"/>
    <row r="31" spans="4:11" ht="20.25">
      <c r="D31" s="948" t="s">
        <v>406</v>
      </c>
      <c r="E31" s="949"/>
      <c r="F31" s="949"/>
      <c r="G31" s="950"/>
      <c r="H31" s="676"/>
      <c r="I31" s="676"/>
    </row>
    <row r="32" spans="4:11" ht="21" thickBot="1">
      <c r="D32" s="933"/>
      <c r="E32" s="934"/>
      <c r="F32" s="934"/>
      <c r="G32" s="951"/>
      <c r="H32" s="676"/>
      <c r="I32" s="676"/>
    </row>
    <row r="33" spans="3:9" ht="13.5" thickBot="1">
      <c r="D33" s="677" t="s">
        <v>407</v>
      </c>
      <c r="E33" s="677" t="s">
        <v>408</v>
      </c>
      <c r="F33" s="677" t="s">
        <v>409</v>
      </c>
      <c r="G33" s="677" t="s">
        <v>400</v>
      </c>
      <c r="H33" s="678"/>
      <c r="I33" s="678"/>
    </row>
    <row r="34" spans="3:9" ht="13.5" thickBot="1">
      <c r="C34" s="739"/>
      <c r="D34" s="682">
        <f>Gas!D6</f>
        <v>534497.56727272598</v>
      </c>
      <c r="E34" s="682">
        <f>Gas!D36</f>
        <v>545870</v>
      </c>
      <c r="F34" s="714">
        <f>Gas!E38</f>
        <v>8249.2429090917831</v>
      </c>
      <c r="G34" s="798">
        <f>F34*3.9</f>
        <v>32172.047345457951</v>
      </c>
      <c r="H34" s="680"/>
      <c r="I34" s="680"/>
    </row>
    <row r="35" spans="3:9" ht="18.75" thickBot="1">
      <c r="D35" s="955" t="s">
        <v>410</v>
      </c>
      <c r="E35" s="955"/>
      <c r="F35" s="955"/>
      <c r="G35" s="798">
        <f>G34</f>
        <v>32172.047345457951</v>
      </c>
      <c r="H35" s="33"/>
      <c r="I35" s="33"/>
    </row>
    <row r="37" spans="3:9" ht="13.5" thickBot="1"/>
    <row r="38" spans="3:9" ht="20.25">
      <c r="D38" s="948" t="s">
        <v>411</v>
      </c>
      <c r="E38" s="949"/>
      <c r="F38" s="949"/>
      <c r="G38" s="950"/>
      <c r="H38" s="676"/>
      <c r="I38" s="676"/>
    </row>
    <row r="39" spans="3:9" ht="21" thickBot="1">
      <c r="D39" s="933"/>
      <c r="E39" s="934"/>
      <c r="F39" s="934"/>
      <c r="G39" s="951"/>
      <c r="H39" s="676"/>
      <c r="I39" s="676"/>
    </row>
    <row r="40" spans="3:9" ht="18.75" customHeight="1" thickBot="1">
      <c r="D40" s="677" t="s">
        <v>407</v>
      </c>
      <c r="E40" s="677" t="s">
        <v>408</v>
      </c>
      <c r="F40" s="677" t="s">
        <v>399</v>
      </c>
      <c r="G40" s="677" t="s">
        <v>400</v>
      </c>
      <c r="H40" s="678"/>
      <c r="I40" s="678"/>
    </row>
    <row r="41" spans="3:9" ht="13.5" thickBot="1">
      <c r="C41" s="679" t="s">
        <v>85</v>
      </c>
      <c r="D41" s="683">
        <f>Elect!R5</f>
        <v>203308</v>
      </c>
      <c r="E41" s="762">
        <f>Elect!R36</f>
        <v>208881.5</v>
      </c>
      <c r="F41" s="684">
        <f>E41-D41</f>
        <v>5573.5</v>
      </c>
      <c r="G41" s="764">
        <f>F41*1.15</f>
        <v>6409.5249999999996</v>
      </c>
      <c r="H41" s="685"/>
      <c r="I41" s="685"/>
    </row>
    <row r="42" spans="3:9" ht="13.5" thickBot="1">
      <c r="C42" s="679" t="s">
        <v>86</v>
      </c>
      <c r="D42" s="683">
        <f>Elect!T5</f>
        <v>372364</v>
      </c>
      <c r="E42" s="683">
        <f>Elect!T36</f>
        <v>380814.5</v>
      </c>
      <c r="F42" s="684">
        <f>E42-D42</f>
        <v>8450.5</v>
      </c>
      <c r="G42" s="764">
        <f>F42*1.15</f>
        <v>9718.0749999999989</v>
      </c>
      <c r="H42" s="685"/>
      <c r="I42" s="685"/>
    </row>
    <row r="43" spans="3:9" ht="18.75" thickBot="1">
      <c r="D43" s="952" t="s">
        <v>410</v>
      </c>
      <c r="E43" s="953"/>
      <c r="F43" s="954"/>
      <c r="G43" s="765">
        <f>G42+G41</f>
        <v>16127.599999999999</v>
      </c>
      <c r="H43" s="33"/>
      <c r="I43" s="33"/>
    </row>
    <row r="44" spans="3:9">
      <c r="F44" s="225"/>
    </row>
    <row r="48" spans="3:9" ht="13.5" thickBot="1"/>
    <row r="49" spans="3:7">
      <c r="D49" s="948" t="s">
        <v>412</v>
      </c>
      <c r="E49" s="949"/>
      <c r="F49" s="949"/>
      <c r="G49" s="950"/>
    </row>
    <row r="50" spans="3:7" ht="13.5" thickBot="1">
      <c r="D50" s="933"/>
      <c r="E50" s="934"/>
      <c r="F50" s="934"/>
      <c r="G50" s="951"/>
    </row>
    <row r="51" spans="3:7" ht="13.5" thickBot="1">
      <c r="D51" s="677" t="s">
        <v>407</v>
      </c>
      <c r="E51" s="677" t="s">
        <v>408</v>
      </c>
      <c r="F51" s="677" t="s">
        <v>404</v>
      </c>
      <c r="G51" s="677" t="s">
        <v>400</v>
      </c>
    </row>
    <row r="52" spans="3:7" ht="13.5" thickBot="1">
      <c r="C52" s="679" t="s">
        <v>413</v>
      </c>
      <c r="D52" s="682">
        <f>Water!I6</f>
        <v>274</v>
      </c>
      <c r="E52" s="683">
        <f>Water!I37</f>
        <v>283</v>
      </c>
      <c r="F52" s="799">
        <f>E52-D52</f>
        <v>9</v>
      </c>
      <c r="G52" s="675">
        <f>F52*10</f>
        <v>90</v>
      </c>
    </row>
    <row r="53" spans="3:7" ht="13.5" thickBot="1">
      <c r="C53" s="679" t="s">
        <v>414</v>
      </c>
      <c r="D53" s="683">
        <f>Water!K6</f>
        <v>4894</v>
      </c>
      <c r="E53" s="683">
        <f>Water!K37</f>
        <v>5019</v>
      </c>
      <c r="F53" s="684">
        <f>E53-D53</f>
        <v>125</v>
      </c>
      <c r="G53" s="673">
        <f>F53*10</f>
        <v>1250</v>
      </c>
    </row>
    <row r="54" spans="3:7" ht="18.75" thickBot="1">
      <c r="D54" s="952" t="s">
        <v>410</v>
      </c>
      <c r="E54" s="953"/>
      <c r="F54" s="954"/>
      <c r="G54" s="681">
        <f>G52+G53</f>
        <v>1340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customXml/itemProps3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Elect</vt:lpstr>
      <vt:lpstr>Water</vt:lpstr>
      <vt:lpstr>Gas</vt:lpstr>
      <vt:lpstr>Sheet1</vt:lpstr>
      <vt:lpstr>Sheet2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2022-07-31T09:41:54Z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