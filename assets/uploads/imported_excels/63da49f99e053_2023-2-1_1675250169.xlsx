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2023\HEP 2023\"/>
    </mc:Choice>
  </mc:AlternateContent>
  <bookViews>
    <workbookView xWindow="0" yWindow="0" windowWidth="20055" windowHeight="10230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K33" i="3" l="1"/>
  <c r="I33" i="3"/>
  <c r="G33" i="3"/>
  <c r="E33" i="3"/>
  <c r="P18" i="7" l="1"/>
  <c r="P19" i="7"/>
  <c r="P30" i="7"/>
  <c r="P31" i="7"/>
  <c r="P32" i="7"/>
  <c r="BJ27" i="7" l="1"/>
  <c r="BJ28" i="7"/>
  <c r="BJ29" i="7"/>
  <c r="BJ30" i="7"/>
  <c r="BJ31" i="7"/>
  <c r="BJ32" i="7"/>
  <c r="BJ33" i="7"/>
  <c r="BH27" i="7" l="1"/>
  <c r="T20" i="7" l="1"/>
  <c r="T21" i="7"/>
  <c r="T22" i="7"/>
  <c r="BF19" i="7" l="1"/>
  <c r="D18" i="7" l="1"/>
  <c r="D19" i="7"/>
  <c r="CF17" i="7" l="1"/>
  <c r="P16" i="7" l="1"/>
  <c r="BT10" i="7" l="1"/>
  <c r="BT11" i="7"/>
  <c r="L8" i="7"/>
  <c r="L9" i="7"/>
  <c r="L10" i="7"/>
  <c r="L11" i="7"/>
  <c r="J11" i="7"/>
  <c r="J12" i="7"/>
  <c r="H11" i="7"/>
  <c r="H12" i="7"/>
  <c r="F11" i="7"/>
  <c r="F12" i="7"/>
  <c r="D11" i="7"/>
  <c r="D12" i="7"/>
  <c r="D13" i="7"/>
  <c r="CB10" i="7" l="1"/>
  <c r="BX9" i="7"/>
  <c r="BX10" i="7"/>
  <c r="Z9" i="7"/>
  <c r="CM6" i="7" l="1"/>
  <c r="CM7" i="7"/>
  <c r="CS6" i="7" l="1"/>
  <c r="CQ7" i="7"/>
  <c r="CQ8" i="7"/>
  <c r="CQ9" i="7"/>
  <c r="CQ10" i="7"/>
  <c r="CQ11" i="7"/>
  <c r="CQ12" i="7"/>
  <c r="CQ13" i="7"/>
  <c r="CQ14" i="7"/>
  <c r="CQ15" i="7"/>
  <c r="CQ16" i="7"/>
  <c r="CQ17" i="7"/>
  <c r="CQ18" i="7"/>
  <c r="CQ19" i="7"/>
  <c r="CQ20" i="7"/>
  <c r="CQ21" i="7"/>
  <c r="CQ22" i="7"/>
  <c r="CQ23" i="7"/>
  <c r="CQ24" i="7"/>
  <c r="CQ25" i="7"/>
  <c r="CQ26" i="7"/>
  <c r="CQ27" i="7"/>
  <c r="CQ28" i="7"/>
  <c r="CQ29" i="7"/>
  <c r="CQ30" i="7"/>
  <c r="CQ31" i="7"/>
  <c r="CQ32" i="7"/>
  <c r="CQ33" i="7"/>
  <c r="CQ34" i="7"/>
  <c r="CQ6" i="7"/>
  <c r="CY6" i="7" l="1"/>
  <c r="CS4" i="7" l="1"/>
  <c r="CS5" i="7"/>
  <c r="CY3" i="7"/>
  <c r="CW3" i="7"/>
  <c r="CU3" i="7"/>
  <c r="CQ3" i="7"/>
  <c r="CS3" i="7"/>
  <c r="CL3" i="7"/>
  <c r="CJ3" i="7"/>
  <c r="CH3" i="7"/>
  <c r="CF3" i="7"/>
  <c r="CD3" i="7"/>
  <c r="CB3" i="7"/>
  <c r="BZ3" i="7"/>
  <c r="BX3" i="7"/>
  <c r="BV3" i="7"/>
  <c r="BT3" i="7"/>
  <c r="BR3" i="7"/>
  <c r="BP3" i="7"/>
  <c r="BN3" i="7"/>
  <c r="BL4" i="7"/>
  <c r="BL5" i="7"/>
  <c r="BJ4" i="7"/>
  <c r="BJ5" i="7"/>
  <c r="BH4" i="7"/>
  <c r="BH5" i="7"/>
  <c r="BL3" i="7"/>
  <c r="BJ3" i="7"/>
  <c r="BH3" i="7"/>
  <c r="BF3" i="7"/>
  <c r="BD3" i="7"/>
  <c r="BB3" i="7"/>
  <c r="AZ3" i="7"/>
  <c r="AX3" i="7"/>
  <c r="AV3" i="7"/>
  <c r="AT3" i="7"/>
  <c r="AR3" i="7"/>
  <c r="AP3" i="7"/>
  <c r="AN3" i="7"/>
  <c r="AL3" i="7"/>
  <c r="AH3" i="7"/>
  <c r="AF4" i="7"/>
  <c r="AF5" i="7"/>
  <c r="AF3" i="7"/>
  <c r="AD3" i="7"/>
  <c r="AB3" i="7"/>
  <c r="Z3" i="7"/>
  <c r="X3" i="7"/>
  <c r="V3" i="7"/>
  <c r="T3" i="7"/>
  <c r="D4" i="7"/>
  <c r="D5" i="7"/>
  <c r="R3" i="7"/>
  <c r="P3" i="7"/>
  <c r="N3" i="7"/>
  <c r="L3" i="7"/>
  <c r="AJ5" i="7" l="1"/>
  <c r="J4" i="7"/>
  <c r="J3" i="7"/>
  <c r="H4" i="7"/>
  <c r="H3" i="7"/>
  <c r="F3" i="7"/>
  <c r="D3" i="7"/>
  <c r="AJ4" i="7"/>
  <c r="AJ6" i="7"/>
  <c r="AJ3" i="7"/>
  <c r="T5" i="7" l="1"/>
  <c r="T6" i="7"/>
  <c r="T7" i="7"/>
  <c r="T8" i="7"/>
  <c r="T9" i="7"/>
  <c r="T10" i="7"/>
  <c r="T11" i="7"/>
  <c r="T12" i="7"/>
  <c r="T13" i="7"/>
  <c r="T14" i="7"/>
  <c r="T15" i="7"/>
  <c r="T16" i="7"/>
  <c r="T17" i="7"/>
  <c r="T18" i="7"/>
  <c r="T19" i="7"/>
  <c r="T23" i="7"/>
  <c r="T24" i="7"/>
  <c r="T25" i="7"/>
  <c r="T26" i="7"/>
  <c r="T27" i="7"/>
  <c r="T28" i="7"/>
  <c r="T29" i="7"/>
  <c r="T30" i="7"/>
  <c r="T31" i="7"/>
  <c r="T32" i="7"/>
  <c r="T33" i="7"/>
  <c r="T34" i="7"/>
  <c r="T4" i="7"/>
  <c r="AJ7" i="7"/>
  <c r="AJ8" i="7"/>
  <c r="AJ9" i="7"/>
  <c r="AJ10" i="7"/>
  <c r="AJ11" i="7"/>
  <c r="AJ12" i="7"/>
  <c r="AJ13" i="7"/>
  <c r="AJ14" i="7"/>
  <c r="AJ15" i="7"/>
  <c r="AJ16" i="7"/>
  <c r="AJ17" i="7"/>
  <c r="AJ18" i="7"/>
  <c r="AJ19" i="7"/>
  <c r="AJ20" i="7"/>
  <c r="AJ21" i="7"/>
  <c r="AJ22" i="7"/>
  <c r="AJ23" i="7"/>
  <c r="AJ24" i="7"/>
  <c r="AJ25" i="7"/>
  <c r="AJ26" i="7"/>
  <c r="AJ27" i="7"/>
  <c r="AJ28" i="7"/>
  <c r="AJ29" i="7"/>
  <c r="AJ30" i="7"/>
  <c r="AJ31" i="7"/>
  <c r="AJ32" i="7"/>
  <c r="AJ33" i="7"/>
  <c r="AJ34" i="7"/>
  <c r="BJ12" i="7" l="1"/>
  <c r="BJ13" i="7"/>
  <c r="BJ14" i="7"/>
  <c r="BJ15" i="7"/>
  <c r="BJ16" i="7"/>
  <c r="BJ17" i="7"/>
  <c r="BJ18" i="7"/>
  <c r="BJ19" i="7"/>
  <c r="BJ20" i="7"/>
  <c r="BJ21" i="7"/>
  <c r="BJ22" i="7"/>
  <c r="BJ23" i="7"/>
  <c r="BJ24" i="7"/>
  <c r="BJ25" i="7"/>
  <c r="BJ26" i="7"/>
  <c r="BP17" i="7" l="1"/>
  <c r="T7" i="10" l="1"/>
  <c r="N4" i="7" l="1"/>
  <c r="CD23" i="7" l="1"/>
  <c r="CL17" i="7" l="1"/>
  <c r="J16" i="7" l="1"/>
  <c r="R15" i="7" l="1"/>
  <c r="CY34" i="7" l="1"/>
  <c r="CY33" i="7"/>
  <c r="CY32" i="7"/>
  <c r="CY31" i="7"/>
  <c r="CY30" i="7"/>
  <c r="CY29" i="7"/>
  <c r="CY28" i="7"/>
  <c r="CY27" i="7"/>
  <c r="CY26" i="7"/>
  <c r="CY25" i="7"/>
  <c r="CY24" i="7"/>
  <c r="CY23" i="7"/>
  <c r="CY22" i="7"/>
  <c r="CY21" i="7"/>
  <c r="CY20" i="7"/>
  <c r="CY19" i="7"/>
  <c r="CY18" i="7"/>
  <c r="CY17" i="7"/>
  <c r="CY16" i="7"/>
  <c r="CY15" i="7"/>
  <c r="CY14" i="7"/>
  <c r="CY13" i="7"/>
  <c r="CY12" i="7"/>
  <c r="CY11" i="7"/>
  <c r="CY10" i="7"/>
  <c r="CY9" i="7"/>
  <c r="CY8" i="7"/>
  <c r="CY7" i="7"/>
  <c r="CY5" i="7"/>
  <c r="CY4" i="7"/>
  <c r="CS34" i="7" l="1"/>
  <c r="CU34" i="7"/>
  <c r="CW34" i="7"/>
  <c r="CL34" i="7"/>
  <c r="CJ34" i="7"/>
  <c r="CH34" i="7"/>
  <c r="CF34" i="7"/>
  <c r="CD34" i="7"/>
  <c r="CB34" i="7"/>
  <c r="BZ34" i="7"/>
  <c r="BX34" i="7"/>
  <c r="BV34" i="7"/>
  <c r="BT34" i="7"/>
  <c r="BR34" i="7"/>
  <c r="BP34" i="7"/>
  <c r="BN34" i="7"/>
  <c r="BL34" i="7"/>
  <c r="BJ34" i="7"/>
  <c r="BH34" i="7"/>
  <c r="BF34" i="7"/>
  <c r="BD34" i="7"/>
  <c r="BB34" i="7"/>
  <c r="AZ34" i="7"/>
  <c r="AX34" i="7"/>
  <c r="AV34" i="7"/>
  <c r="AT34" i="7"/>
  <c r="AR34" i="7"/>
  <c r="AP34" i="7"/>
  <c r="AN34" i="7"/>
  <c r="AL34" i="7"/>
  <c r="AH34" i="7"/>
  <c r="AF34" i="7"/>
  <c r="AD34" i="7"/>
  <c r="AB34" i="7"/>
  <c r="Z34" i="7"/>
  <c r="X34" i="7"/>
  <c r="V34" i="7"/>
  <c r="R34" i="7"/>
  <c r="P34" i="7"/>
  <c r="N34" i="7"/>
  <c r="L34" i="7"/>
  <c r="J34" i="7"/>
  <c r="H34" i="7"/>
  <c r="F34" i="7"/>
  <c r="D34" i="7"/>
  <c r="CM34" i="7" l="1"/>
  <c r="CH23" i="7"/>
  <c r="BP28" i="7" l="1"/>
  <c r="CS18" i="7" l="1"/>
  <c r="BN17" i="7" l="1"/>
  <c r="CH14" i="7" l="1"/>
  <c r="AX13" i="6" l="1"/>
  <c r="AX14" i="6"/>
  <c r="D6" i="7"/>
  <c r="D7" i="7"/>
  <c r="D8" i="7"/>
  <c r="D9" i="7"/>
  <c r="D10" i="7"/>
  <c r="D14" i="7"/>
  <c r="D15" i="7"/>
  <c r="D16" i="7"/>
  <c r="D17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F4" i="7"/>
  <c r="F5" i="7"/>
  <c r="F6" i="7"/>
  <c r="F7" i="7"/>
  <c r="F8" i="7"/>
  <c r="F9" i="7"/>
  <c r="F10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H5" i="7"/>
  <c r="H6" i="7"/>
  <c r="H7" i="7"/>
  <c r="H8" i="7"/>
  <c r="H9" i="7"/>
  <c r="H10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J5" i="7"/>
  <c r="J6" i="7"/>
  <c r="J7" i="7"/>
  <c r="J8" i="7"/>
  <c r="J9" i="7"/>
  <c r="J10" i="7"/>
  <c r="J13" i="7"/>
  <c r="J14" i="7"/>
  <c r="J15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L4" i="7"/>
  <c r="L5" i="7"/>
  <c r="L6" i="7"/>
  <c r="L7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P4" i="7"/>
  <c r="P5" i="7"/>
  <c r="P6" i="7"/>
  <c r="P7" i="7"/>
  <c r="P8" i="7"/>
  <c r="P9" i="7"/>
  <c r="P10" i="7"/>
  <c r="P11" i="7"/>
  <c r="P12" i="7"/>
  <c r="P13" i="7"/>
  <c r="P14" i="7"/>
  <c r="P15" i="7"/>
  <c r="P17" i="7"/>
  <c r="P20" i="7"/>
  <c r="P21" i="7"/>
  <c r="P22" i="7"/>
  <c r="P23" i="7"/>
  <c r="P24" i="7"/>
  <c r="P25" i="7"/>
  <c r="P26" i="7"/>
  <c r="P27" i="7"/>
  <c r="P28" i="7"/>
  <c r="P29" i="7"/>
  <c r="P33" i="7"/>
  <c r="R4" i="7"/>
  <c r="R5" i="7"/>
  <c r="R6" i="7"/>
  <c r="R7" i="7"/>
  <c r="R8" i="7"/>
  <c r="R9" i="7"/>
  <c r="R10" i="7"/>
  <c r="R11" i="7"/>
  <c r="R12" i="7"/>
  <c r="R13" i="7"/>
  <c r="R14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V4" i="7"/>
  <c r="V5" i="7"/>
  <c r="V6" i="7"/>
  <c r="V7" i="7"/>
  <c r="V8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X4" i="7"/>
  <c r="X5" i="7"/>
  <c r="X6" i="7"/>
  <c r="X7" i="7"/>
  <c r="X8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Z4" i="7"/>
  <c r="Z5" i="7"/>
  <c r="Z6" i="7"/>
  <c r="Z7" i="7"/>
  <c r="Z8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AB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D4" i="7"/>
  <c r="AD5" i="7"/>
  <c r="AD6" i="7"/>
  <c r="AD7" i="7"/>
  <c r="AD8" i="7"/>
  <c r="AD9" i="7"/>
  <c r="AD10" i="7"/>
  <c r="AD11" i="7"/>
  <c r="AD12" i="7"/>
  <c r="AD13" i="7"/>
  <c r="AD14" i="7"/>
  <c r="AD15" i="7"/>
  <c r="AD16" i="7"/>
  <c r="AD17" i="7"/>
  <c r="AD18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F6" i="7"/>
  <c r="AF7" i="7"/>
  <c r="AF8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H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L4" i="7"/>
  <c r="AL5" i="7"/>
  <c r="AL6" i="7"/>
  <c r="AL7" i="7"/>
  <c r="AL8" i="7"/>
  <c r="AL9" i="7"/>
  <c r="AL10" i="7"/>
  <c r="AL11" i="7"/>
  <c r="AL12" i="7"/>
  <c r="AL13" i="7"/>
  <c r="AL14" i="7"/>
  <c r="AL15" i="7"/>
  <c r="AL16" i="7"/>
  <c r="AL17" i="7"/>
  <c r="AL18" i="7"/>
  <c r="AL19" i="7"/>
  <c r="AL20" i="7"/>
  <c r="AL21" i="7"/>
  <c r="AL22" i="7"/>
  <c r="AL23" i="7"/>
  <c r="AL24" i="7"/>
  <c r="AL25" i="7"/>
  <c r="AL26" i="7"/>
  <c r="AL27" i="7"/>
  <c r="AL28" i="7"/>
  <c r="AL29" i="7"/>
  <c r="AL30" i="7"/>
  <c r="AL31" i="7"/>
  <c r="AL32" i="7"/>
  <c r="AL33" i="7"/>
  <c r="AN4" i="7"/>
  <c r="AN5" i="7"/>
  <c r="AN6" i="7"/>
  <c r="AN7" i="7"/>
  <c r="AN8" i="7"/>
  <c r="AN9" i="7"/>
  <c r="AN10" i="7"/>
  <c r="AN11" i="7"/>
  <c r="AN12" i="7"/>
  <c r="AN13" i="7"/>
  <c r="AN14" i="7"/>
  <c r="AN15" i="7"/>
  <c r="AN16" i="7"/>
  <c r="AN17" i="7"/>
  <c r="AN18" i="7"/>
  <c r="AN19" i="7"/>
  <c r="AN20" i="7"/>
  <c r="AN21" i="7"/>
  <c r="AN22" i="7"/>
  <c r="AN23" i="7"/>
  <c r="AN24" i="7"/>
  <c r="AN25" i="7"/>
  <c r="AN26" i="7"/>
  <c r="AN27" i="7"/>
  <c r="AN28" i="7"/>
  <c r="AN29" i="7"/>
  <c r="AN30" i="7"/>
  <c r="AN31" i="7"/>
  <c r="AN32" i="7"/>
  <c r="AN33" i="7"/>
  <c r="AP4" i="7"/>
  <c r="AP5" i="7"/>
  <c r="AP6" i="7"/>
  <c r="AP7" i="7"/>
  <c r="AP8" i="7"/>
  <c r="AP9" i="7"/>
  <c r="AP10" i="7"/>
  <c r="AP11" i="7"/>
  <c r="AP12" i="7"/>
  <c r="AP13" i="7"/>
  <c r="AP14" i="7"/>
  <c r="AP15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R4" i="7"/>
  <c r="AR5" i="7"/>
  <c r="AR6" i="7"/>
  <c r="AR7" i="7"/>
  <c r="AR8" i="7"/>
  <c r="AR9" i="7"/>
  <c r="AR10" i="7"/>
  <c r="AR11" i="7"/>
  <c r="AR12" i="7"/>
  <c r="AR13" i="7"/>
  <c r="AR14" i="7"/>
  <c r="AR15" i="7"/>
  <c r="AR16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T4" i="7"/>
  <c r="AT5" i="7"/>
  <c r="AT6" i="7"/>
  <c r="AT7" i="7"/>
  <c r="AT8" i="7"/>
  <c r="AT9" i="7"/>
  <c r="AT10" i="7"/>
  <c r="AT11" i="7"/>
  <c r="AT12" i="7"/>
  <c r="AT13" i="7"/>
  <c r="AT14" i="7"/>
  <c r="AT15" i="7"/>
  <c r="AT16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V4" i="7"/>
  <c r="AV5" i="7"/>
  <c r="AV6" i="7"/>
  <c r="AV7" i="7"/>
  <c r="AV8" i="7"/>
  <c r="AV9" i="7"/>
  <c r="AV10" i="7"/>
  <c r="AV11" i="7"/>
  <c r="AV12" i="7"/>
  <c r="AV13" i="7"/>
  <c r="AV14" i="7"/>
  <c r="AV15" i="7"/>
  <c r="AV16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X4" i="7"/>
  <c r="AX5" i="7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Z4" i="7"/>
  <c r="AZ5" i="7"/>
  <c r="AZ6" i="7"/>
  <c r="AZ7" i="7"/>
  <c r="AZ8" i="7"/>
  <c r="AZ9" i="7"/>
  <c r="AZ10" i="7"/>
  <c r="AZ11" i="7"/>
  <c r="AZ12" i="7"/>
  <c r="AZ13" i="7"/>
  <c r="AZ14" i="7"/>
  <c r="AZ15" i="7"/>
  <c r="AZ16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BB4" i="7"/>
  <c r="BB5" i="7"/>
  <c r="BB6" i="7"/>
  <c r="BB7" i="7"/>
  <c r="BB8" i="7"/>
  <c r="BB9" i="7"/>
  <c r="BB10" i="7"/>
  <c r="BB11" i="7"/>
  <c r="BB12" i="7"/>
  <c r="BB13" i="7"/>
  <c r="BB14" i="7"/>
  <c r="BB15" i="7"/>
  <c r="BB16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D4" i="7"/>
  <c r="BD5" i="7"/>
  <c r="BD6" i="7"/>
  <c r="BD7" i="7"/>
  <c r="BD8" i="7"/>
  <c r="BD9" i="7"/>
  <c r="BD10" i="7"/>
  <c r="BD11" i="7"/>
  <c r="BD12" i="7"/>
  <c r="BD13" i="7"/>
  <c r="BD14" i="7"/>
  <c r="BD15" i="7"/>
  <c r="BD16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F4" i="7"/>
  <c r="BF5" i="7"/>
  <c r="BF6" i="7"/>
  <c r="BF7" i="7"/>
  <c r="BF8" i="7"/>
  <c r="BF9" i="7"/>
  <c r="BF10" i="7"/>
  <c r="BF11" i="7"/>
  <c r="BF12" i="7"/>
  <c r="BF13" i="7"/>
  <c r="BF14" i="7"/>
  <c r="BF15" i="7"/>
  <c r="BF16" i="7"/>
  <c r="BF17" i="7"/>
  <c r="BF18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H6" i="7"/>
  <c r="BH7" i="7"/>
  <c r="BH8" i="7"/>
  <c r="BH9" i="7"/>
  <c r="BH10" i="7"/>
  <c r="BH11" i="7"/>
  <c r="BH12" i="7"/>
  <c r="BH13" i="7"/>
  <c r="BH14" i="7"/>
  <c r="BH15" i="7"/>
  <c r="BH16" i="7"/>
  <c r="BH17" i="7"/>
  <c r="BH18" i="7"/>
  <c r="BH19" i="7"/>
  <c r="BH20" i="7"/>
  <c r="BH21" i="7"/>
  <c r="BH22" i="7"/>
  <c r="BH23" i="7"/>
  <c r="BH24" i="7"/>
  <c r="BH25" i="7"/>
  <c r="BH26" i="7"/>
  <c r="BH28" i="7"/>
  <c r="BH29" i="7"/>
  <c r="BH30" i="7"/>
  <c r="BH31" i="7"/>
  <c r="BH32" i="7"/>
  <c r="BH33" i="7"/>
  <c r="BJ6" i="7"/>
  <c r="BJ7" i="7"/>
  <c r="BJ8" i="7"/>
  <c r="BJ9" i="7"/>
  <c r="BJ10" i="7"/>
  <c r="BJ11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N4" i="7"/>
  <c r="BN5" i="7"/>
  <c r="BN6" i="7"/>
  <c r="BN7" i="7"/>
  <c r="BN8" i="7"/>
  <c r="BN9" i="7"/>
  <c r="BN10" i="7"/>
  <c r="BN11" i="7"/>
  <c r="BN12" i="7"/>
  <c r="BN13" i="7"/>
  <c r="BN14" i="7"/>
  <c r="BN15" i="7"/>
  <c r="BN16" i="7"/>
  <c r="BN18" i="7"/>
  <c r="BN19" i="7"/>
  <c r="BN20" i="7"/>
  <c r="BN21" i="7"/>
  <c r="BN22" i="7"/>
  <c r="BN23" i="7"/>
  <c r="BN24" i="7"/>
  <c r="BN25" i="7"/>
  <c r="BN26" i="7"/>
  <c r="BN27" i="7"/>
  <c r="BN28" i="7"/>
  <c r="BN29" i="7"/>
  <c r="BN30" i="7"/>
  <c r="BN31" i="7"/>
  <c r="BN32" i="7"/>
  <c r="BN33" i="7"/>
  <c r="BP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8" i="7"/>
  <c r="BP19" i="7"/>
  <c r="BP20" i="7"/>
  <c r="BP21" i="7"/>
  <c r="BP22" i="7"/>
  <c r="BP23" i="7"/>
  <c r="BP24" i="7"/>
  <c r="BP25" i="7"/>
  <c r="BP26" i="7"/>
  <c r="BP27" i="7"/>
  <c r="BP29" i="7"/>
  <c r="BP30" i="7"/>
  <c r="BP31" i="7"/>
  <c r="BP32" i="7"/>
  <c r="BP33" i="7"/>
  <c r="BR4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T4" i="7"/>
  <c r="BT5" i="7"/>
  <c r="BT6" i="7"/>
  <c r="BT7" i="7"/>
  <c r="BT8" i="7"/>
  <c r="BT9" i="7"/>
  <c r="BT12" i="7"/>
  <c r="BT13" i="7"/>
  <c r="BT14" i="7"/>
  <c r="BT15" i="7"/>
  <c r="BT16" i="7"/>
  <c r="BT17" i="7"/>
  <c r="BT18" i="7"/>
  <c r="BT19" i="7"/>
  <c r="BT20" i="7"/>
  <c r="BT21" i="7"/>
  <c r="BT22" i="7"/>
  <c r="BT23" i="7"/>
  <c r="BT24" i="7"/>
  <c r="BT25" i="7"/>
  <c r="BT26" i="7"/>
  <c r="BT27" i="7"/>
  <c r="BT28" i="7"/>
  <c r="BT29" i="7"/>
  <c r="BT30" i="7"/>
  <c r="BT31" i="7"/>
  <c r="BT32" i="7"/>
  <c r="BT33" i="7"/>
  <c r="BV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X4" i="7"/>
  <c r="BX5" i="7"/>
  <c r="BX6" i="7"/>
  <c r="BX7" i="7"/>
  <c r="BX8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Z4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CB4" i="7"/>
  <c r="CB5" i="7"/>
  <c r="CB6" i="7"/>
  <c r="CB7" i="7"/>
  <c r="CB8" i="7"/>
  <c r="CB9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CD4" i="7"/>
  <c r="CD5" i="7"/>
  <c r="CD6" i="7"/>
  <c r="CD7" i="7"/>
  <c r="CD8" i="7"/>
  <c r="CD9" i="7"/>
  <c r="CD10" i="7"/>
  <c r="CD11" i="7"/>
  <c r="CD12" i="7"/>
  <c r="CD13" i="7"/>
  <c r="CD14" i="7"/>
  <c r="CD15" i="7"/>
  <c r="CD16" i="7"/>
  <c r="CD17" i="7"/>
  <c r="CD18" i="7"/>
  <c r="CD19" i="7"/>
  <c r="CD20" i="7"/>
  <c r="CD21" i="7"/>
  <c r="CD22" i="7"/>
  <c r="CD24" i="7"/>
  <c r="CD25" i="7"/>
  <c r="CD26" i="7"/>
  <c r="CD27" i="7"/>
  <c r="CD28" i="7"/>
  <c r="CD29" i="7"/>
  <c r="CD30" i="7"/>
  <c r="CD31" i="7"/>
  <c r="CD32" i="7"/>
  <c r="CD33" i="7"/>
  <c r="CF4" i="7"/>
  <c r="CF5" i="7"/>
  <c r="CF6" i="7"/>
  <c r="CF7" i="7"/>
  <c r="CF8" i="7"/>
  <c r="CF9" i="7"/>
  <c r="CF10" i="7"/>
  <c r="CF11" i="7"/>
  <c r="CF12" i="7"/>
  <c r="CF13" i="7"/>
  <c r="CF14" i="7"/>
  <c r="CF15" i="7"/>
  <c r="CF16" i="7"/>
  <c r="CF18" i="7"/>
  <c r="CF19" i="7"/>
  <c r="CF20" i="7"/>
  <c r="CF21" i="7"/>
  <c r="CF22" i="7"/>
  <c r="CF23" i="7"/>
  <c r="CF24" i="7"/>
  <c r="CF25" i="7"/>
  <c r="CF26" i="7"/>
  <c r="CF27" i="7"/>
  <c r="CF28" i="7"/>
  <c r="CF29" i="7"/>
  <c r="CF30" i="7"/>
  <c r="CF31" i="7"/>
  <c r="CF32" i="7"/>
  <c r="CF33" i="7"/>
  <c r="CH4" i="7"/>
  <c r="CH5" i="7"/>
  <c r="CH6" i="7"/>
  <c r="CH7" i="7"/>
  <c r="CH8" i="7"/>
  <c r="CH9" i="7"/>
  <c r="CH10" i="7"/>
  <c r="CH11" i="7"/>
  <c r="CH12" i="7"/>
  <c r="CH13" i="7"/>
  <c r="CH15" i="7"/>
  <c r="CH16" i="7"/>
  <c r="CH17" i="7"/>
  <c r="CH18" i="7"/>
  <c r="CH19" i="7"/>
  <c r="CH20" i="7"/>
  <c r="CH21" i="7"/>
  <c r="CH22" i="7"/>
  <c r="CH24" i="7"/>
  <c r="CH25" i="7"/>
  <c r="CH26" i="7"/>
  <c r="CH27" i="7"/>
  <c r="CH28" i="7"/>
  <c r="CH29" i="7"/>
  <c r="CH30" i="7"/>
  <c r="CH31" i="7"/>
  <c r="CH32" i="7"/>
  <c r="CH33" i="7"/>
  <c r="CJ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CJ31" i="7"/>
  <c r="CJ32" i="7"/>
  <c r="CJ33" i="7"/>
  <c r="CL4" i="7"/>
  <c r="CL5" i="7"/>
  <c r="CL6" i="7"/>
  <c r="CL7" i="7"/>
  <c r="CL8" i="7"/>
  <c r="CL9" i="7"/>
  <c r="CL10" i="7"/>
  <c r="CL11" i="7"/>
  <c r="CL12" i="7"/>
  <c r="CL13" i="7"/>
  <c r="CL14" i="7"/>
  <c r="CL15" i="7"/>
  <c r="CL16" i="7"/>
  <c r="CL18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Q4" i="7"/>
  <c r="CQ5" i="7"/>
  <c r="CS7" i="7"/>
  <c r="CS8" i="7"/>
  <c r="CS9" i="7"/>
  <c r="CS10" i="7"/>
  <c r="CS11" i="7"/>
  <c r="CS12" i="7"/>
  <c r="CS13" i="7"/>
  <c r="CS14" i="7"/>
  <c r="CS15" i="7"/>
  <c r="CS16" i="7"/>
  <c r="CS17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U4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29" i="7"/>
  <c r="CU30" i="7"/>
  <c r="CU31" i="7"/>
  <c r="CU32" i="7"/>
  <c r="CU33" i="7"/>
  <c r="CW17" i="7"/>
  <c r="CW18" i="7"/>
  <c r="CW19" i="7"/>
  <c r="CW20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4" i="7"/>
  <c r="CW5" i="7"/>
  <c r="CW6" i="7"/>
  <c r="CW7" i="7"/>
  <c r="CW8" i="7"/>
  <c r="CW9" i="7"/>
  <c r="CW10" i="7"/>
  <c r="CW11" i="7"/>
  <c r="CW12" i="7"/>
  <c r="CW13" i="7"/>
  <c r="CW14" i="7"/>
  <c r="CW15" i="7"/>
  <c r="CW16" i="7"/>
  <c r="CM23" i="7" l="1"/>
  <c r="CM24" i="7"/>
  <c r="CM33" i="7"/>
  <c r="CM31" i="7"/>
  <c r="CM28" i="7"/>
  <c r="CM32" i="7"/>
  <c r="CM30" i="7"/>
  <c r="CM29" i="7"/>
  <c r="CM27" i="7"/>
  <c r="CM26" i="7"/>
  <c r="CM25" i="7"/>
  <c r="CM22" i="7"/>
  <c r="CM21" i="7"/>
  <c r="CM20" i="7"/>
  <c r="CM19" i="7"/>
  <c r="CM18" i="7"/>
  <c r="CM17" i="7"/>
  <c r="CM16" i="7"/>
  <c r="CM15" i="7"/>
  <c r="CM14" i="7"/>
  <c r="CM13" i="7"/>
  <c r="CM12" i="7"/>
  <c r="CM11" i="7"/>
  <c r="CM10" i="7"/>
  <c r="CM9" i="7"/>
  <c r="CM8" i="7"/>
  <c r="CM5" i="7"/>
  <c r="CM4" i="7"/>
  <c r="T39" i="10"/>
  <c r="T38" i="10"/>
  <c r="T37" i="10"/>
  <c r="T36" i="10"/>
  <c r="T35" i="10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E5" i="6" l="1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5" i="6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AM4" i="6"/>
  <c r="AM5" i="6"/>
  <c r="AM6" i="6"/>
  <c r="AM7" i="6"/>
  <c r="AM8" i="6"/>
  <c r="AM9" i="6"/>
  <c r="AM10" i="6"/>
  <c r="AM11" i="6"/>
  <c r="AM12" i="6"/>
  <c r="AM13" i="6"/>
  <c r="AM14" i="6"/>
  <c r="AM15" i="6"/>
  <c r="AM16" i="6"/>
  <c r="AM17" i="6"/>
  <c r="AM18" i="6"/>
  <c r="AM19" i="6"/>
  <c r="AM20" i="6"/>
  <c r="AM21" i="6"/>
  <c r="AM22" i="6"/>
  <c r="AM23" i="6"/>
  <c r="AM24" i="6"/>
  <c r="AM25" i="6"/>
  <c r="AM26" i="6"/>
  <c r="AM27" i="6"/>
  <c r="AM28" i="6"/>
  <c r="AM29" i="6"/>
  <c r="AM30" i="6"/>
  <c r="AM31" i="6"/>
  <c r="AM32" i="6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AM3" i="6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AS32" i="6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AQ32" i="6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<sst xmlns="http://schemas.openxmlformats.org/spreadsheetml/2006/main" count="315" uniqueCount="148">
  <si>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</si>
  <si>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</si>
  <si>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</si>
  <si>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</si>
  <si>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</si>
  <si>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</si>
  <si>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</si>
  <si>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</si>
  <si>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</si>
  <si>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</si>
  <si>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</si>
  <si>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</si>
  <si>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</si>
  <si>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</si>
  <si>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</si>
  <si>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</si>
  <si>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</si>
  <si>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</si>
  <si>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</si>
  <si>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</si>
  <si>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</si>
  <si>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</si>
  <si>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</si>
  <si>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</si>
  <si>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</si>
  <si>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</si>
  <si>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</si>
  <si>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</si>
  <si>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</si>
  <si>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</si>
  <si>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</si>
  <si>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</si>
  <si>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</si>
  <si>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</si>
  <si>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</si>
  <si>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</si>
  <si>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</si>
  <si>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</si>
  <si>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</si>
  <si>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</si>
  <si>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</si>
  <si>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</si>
  <si>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</si>
  <si>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</si>
  <si>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</si>
  <si>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</si>
  <si>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</si>
  <si>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</si>
  <si>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</si>
  <si>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</si>
  <si>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</si>
  <si>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</si>
  <si>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</si>
  <si>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</si>
  <si>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</si>
  <si>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</si>
  <si>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</si>
  <si>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</si>
  <si>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</si>
  <si>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</si>
  <si>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</si>
  <si>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</si>
  <si>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</si>
  <si>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</si>
  <si>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</si>
  <si>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</si>
  <si>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</si>
  <si>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</si>
  <si>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</si>
  <si>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</si>
  <si>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</si>
  <si>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</si>
  <si>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</si>
  <si>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</si>
  <si>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</si>
  <si>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</si>
  <si>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</si>
  <si>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</si>
  <si>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</si>
  <si>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</si>
  <si>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</si>
  <si>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</si>
  <si>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</si>
  <si>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</si>
  <si>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</si>
  <si>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</si>
  <si>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</si>
  <si>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</si>
  <si>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</si>
  <si>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</si>
  <si>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</si>
  <si>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</si>
  <si>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</si>
  <si>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</si>
  <si>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</si>
  <si>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</si>
  <si>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</si>
  <si>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</si>
  <si>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</si>
  <si>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</si>
  <si>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</si>
  <si>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</si>
  <si>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</si>
  <si>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</si>
  <si>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</si>
  <si>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</si>
  <si>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</si>
  <si>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</si>
  <si>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</si>
  <si>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</si>
  <si>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</si>
  <si>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</si>
  <si>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</si>
  <si>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</si>
  <si>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</si>
  <si>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</si>
  <si>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</si>
  <si>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</si>
  <si>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</si>
  <si>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</si>
  <si>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</si>
  <si>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</si>
  <si>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</si>
  <si>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</si>
  <si>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</si>
  <si>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</si>
  <si>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</si>
  <si>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</si>
  <si>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</si>
  <si>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</si>
  <si>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</si>
  <si>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</si>
  <si>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</si>
  <si>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</si>
  <si>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</si>
  <si>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</si>
  <si>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</si>
  <si>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</si>
  <si>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</si>
  <si>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</si>
  <si>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</si>
  <si>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</si>
  <si>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</si>
  <si>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</si>
  <si>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Meter 1 (9249527)</t>
  </si>
  <si>
    <t>PVILLA</t>
  </si>
  <si>
    <t>Total Renewable Energy Production  (KWH)
(KWH)</t>
  </si>
  <si>
    <t>VILLA 100
(GWH)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</si>
</sst>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2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1" fontId="19" fillId="0" borderId="0" xfId="0" applyNumberFormat="1" applyFont="1" applyBorder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3"/>
  <sheetViews>
    <sheetView tabSelected="1" workbookViewId="0">
      <selection activeCell="F37" sqref="F37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1</v>
      </c>
      <c r="D2" s="1">
        <v>2023</v>
      </c>
      <c r="E2" s="12">
        <f>Submetering!E2+Submetering!F2+Submetering!G2+Submetering!H2+Submetering!J2-Submetering!AV2</f>
        <v>15500.00000000004</v>
      </c>
      <c r="F2" s="11">
        <v>0.58765030286592534</v>
      </c>
      <c r="G2" s="12">
        <f>(Submetering!AX2+Submetering!AY2+Submetering!AZ2+Submetering!BA2+Submetering!BB2)</f>
        <v>12.820499999999999</v>
      </c>
      <c r="H2" s="11">
        <v>0.99</v>
      </c>
      <c r="I2" s="12">
        <f>'FS Desroches Daily'!CM4</f>
        <v>215</v>
      </c>
      <c r="J2" s="11">
        <v>10.487297712684205</v>
      </c>
      <c r="K2" s="13">
        <f>'FS Desroches Daily'!CN4</f>
        <v>57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0">
        <v>2</v>
      </c>
      <c r="C3" s="11">
        <v>1</v>
      </c>
      <c r="D3" s="1">
        <v>2023</v>
      </c>
      <c r="E3" s="12">
        <f>Submetering!E3+Submetering!F3+Submetering!G3+Submetering!H3+Submetering!J3-Submetering!AV3</f>
        <v>13999.999999999982</v>
      </c>
      <c r="F3" s="11">
        <f>F2</f>
        <v>0.58765030286592534</v>
      </c>
      <c r="G3" s="12">
        <f>(Submetering!AX3+Submetering!AY3+Submetering!AZ3+Submetering!BA3+Submetering!BB3)</f>
        <v>12.820499999999999</v>
      </c>
      <c r="H3" s="11">
        <f>H2</f>
        <v>0.99</v>
      </c>
      <c r="I3" s="12">
        <f>'FS Desroches Daily'!CM5</f>
        <v>146</v>
      </c>
      <c r="J3" s="11">
        <f>J2</f>
        <v>10.487297712684205</v>
      </c>
      <c r="K3" s="13">
        <f>'FS Desroches Daily'!CN5</f>
        <v>60</v>
      </c>
    </row>
    <row r="4" spans="1:13" s="16" customFormat="1" x14ac:dyDescent="0.25">
      <c r="A4" s="1" t="s">
        <v>11</v>
      </c>
      <c r="B4" s="10">
        <v>3</v>
      </c>
      <c r="C4" s="11">
        <v>1</v>
      </c>
      <c r="D4" s="1">
        <v>2023</v>
      </c>
      <c r="E4" s="12">
        <f>Submetering!E4+Submetering!F4+Submetering!G4+Submetering!H4+Submetering!J4-Submetering!AV4</f>
        <v>14400.000000000524</v>
      </c>
      <c r="F4" s="11">
        <f t="shared" ref="F4:F32" si="0">F3</f>
        <v>0.58765030286592534</v>
      </c>
      <c r="G4" s="12">
        <f>(Submetering!AX4+Submetering!AY4+Submetering!AZ4+Submetering!BA4+Submetering!BB4)</f>
        <v>12.820499999999999</v>
      </c>
      <c r="H4" s="11">
        <f t="shared" ref="H4:H32" si="1">H3</f>
        <v>0.99</v>
      </c>
      <c r="I4" s="12">
        <f>'FS Desroches Daily'!CM6</f>
        <v>145</v>
      </c>
      <c r="J4" s="11">
        <f t="shared" ref="J4:J32" si="2">J3</f>
        <v>10.487297712684205</v>
      </c>
      <c r="K4" s="13">
        <f>'FS Desroches Daily'!CN6</f>
        <v>44</v>
      </c>
    </row>
    <row r="5" spans="1:13" s="16" customFormat="1" x14ac:dyDescent="0.25">
      <c r="A5" s="1" t="s">
        <v>11</v>
      </c>
      <c r="B5" s="10">
        <v>4</v>
      </c>
      <c r="C5" s="11">
        <v>1</v>
      </c>
      <c r="D5" s="1">
        <v>2023</v>
      </c>
      <c r="E5" s="12">
        <f>Submetering!E5+Submetering!F5+Submetering!G5+Submetering!H5+Submetering!J5-Submetering!AV5</f>
        <v>14399.999999999125</v>
      </c>
      <c r="F5" s="11">
        <f t="shared" si="0"/>
        <v>0.58765030286592534</v>
      </c>
      <c r="G5" s="12">
        <f>(Submetering!AX5+Submetering!AY5+Submetering!AZ5+Submetering!BA5+Submetering!BB5)</f>
        <v>10.988999999999999</v>
      </c>
      <c r="H5" s="11">
        <f t="shared" si="1"/>
        <v>0.99</v>
      </c>
      <c r="I5" s="12">
        <f>'FS Desroches Daily'!CM7</f>
        <v>148.70000000000073</v>
      </c>
      <c r="J5" s="11">
        <f t="shared" si="2"/>
        <v>10.487297712684205</v>
      </c>
      <c r="K5" s="13">
        <f>'FS Desroches Daily'!CN7</f>
        <v>46</v>
      </c>
    </row>
    <row r="6" spans="1:13" s="16" customFormat="1" x14ac:dyDescent="0.25">
      <c r="A6" s="1" t="s">
        <v>11</v>
      </c>
      <c r="B6" s="10">
        <v>5</v>
      </c>
      <c r="C6" s="11">
        <v>1</v>
      </c>
      <c r="D6" s="1">
        <v>2023</v>
      </c>
      <c r="E6" s="12">
        <f>Submetering!E6+Submetering!F6+Submetering!G6+Submetering!H6+Submetering!J6-Submetering!AV6</f>
        <v>15199.999999999993</v>
      </c>
      <c r="F6" s="11">
        <f t="shared" si="0"/>
        <v>0.58765030286592534</v>
      </c>
      <c r="G6" s="12">
        <f>(Submetering!AX6+Submetering!AY6+Submetering!AZ6+Submetering!BA6+Submetering!BB6)</f>
        <v>9.1574999999999989</v>
      </c>
      <c r="H6" s="11">
        <f t="shared" si="1"/>
        <v>0.99</v>
      </c>
      <c r="I6" s="12">
        <f>'FS Desroches Daily'!CM8</f>
        <v>142.39999999999782</v>
      </c>
      <c r="J6" s="11">
        <f t="shared" si="2"/>
        <v>10.487297712684205</v>
      </c>
      <c r="K6" s="13">
        <f>'FS Desroches Daily'!CN8</f>
        <v>46</v>
      </c>
    </row>
    <row r="7" spans="1:13" s="16" customFormat="1" x14ac:dyDescent="0.25">
      <c r="A7" s="1" t="s">
        <v>11</v>
      </c>
      <c r="B7" s="10">
        <v>6</v>
      </c>
      <c r="C7" s="11">
        <v>1</v>
      </c>
      <c r="D7" s="1">
        <v>2023</v>
      </c>
      <c r="E7" s="12">
        <f>Submetering!E7+Submetering!F7+Submetering!G7+Submetering!H7+Submetering!J7-Submetering!AV7</f>
        <v>13500.000000000477</v>
      </c>
      <c r="F7" s="11">
        <f t="shared" si="0"/>
        <v>0.58765030286592534</v>
      </c>
      <c r="G7" s="12">
        <f>(Submetering!AX7+Submetering!AY7+Submetering!AZ7+Submetering!BA7+Submetering!BB7)</f>
        <v>12.820499999999999</v>
      </c>
      <c r="H7" s="11">
        <f t="shared" si="1"/>
        <v>0.99</v>
      </c>
      <c r="I7" s="12">
        <f>'FS Desroches Daily'!CM9</f>
        <v>133.90000000000146</v>
      </c>
      <c r="J7" s="11">
        <f t="shared" si="2"/>
        <v>10.487297712684205</v>
      </c>
      <c r="K7" s="13">
        <f>'FS Desroches Daily'!CN9</f>
        <v>35</v>
      </c>
    </row>
    <row r="8" spans="1:13" s="16" customFormat="1" x14ac:dyDescent="0.25">
      <c r="A8" s="1" t="s">
        <v>11</v>
      </c>
      <c r="B8" s="10">
        <v>7</v>
      </c>
      <c r="C8" s="11">
        <v>1</v>
      </c>
      <c r="D8" s="1">
        <v>2023</v>
      </c>
      <c r="E8" s="12">
        <f>Submetering!E8+Submetering!F8+Submetering!G8+Submetering!H8+Submetering!J8-Submetering!AV8</f>
        <v>14499.999999999705</v>
      </c>
      <c r="F8" s="11">
        <f t="shared" si="0"/>
        <v>0.58765030286592534</v>
      </c>
      <c r="G8" s="12">
        <f>(Submetering!AX8+Submetering!AY8+Submetering!AZ8+Submetering!BA8+Submetering!BB8)</f>
        <v>14.651999999999997</v>
      </c>
      <c r="H8" s="11">
        <f t="shared" si="1"/>
        <v>0.99</v>
      </c>
      <c r="I8" s="12">
        <f>'FS Desroches Daily'!CM10</f>
        <v>109</v>
      </c>
      <c r="J8" s="11">
        <f t="shared" si="2"/>
        <v>10.487297712684205</v>
      </c>
      <c r="K8" s="13">
        <f>'FS Desroches Daily'!CN10</f>
        <v>33</v>
      </c>
    </row>
    <row r="9" spans="1:13" s="16" customFormat="1" x14ac:dyDescent="0.25">
      <c r="A9" s="1" t="s">
        <v>11</v>
      </c>
      <c r="B9" s="10">
        <v>8</v>
      </c>
      <c r="C9" s="11">
        <v>1</v>
      </c>
      <c r="D9" s="1">
        <v>2023</v>
      </c>
      <c r="E9" s="12">
        <f>Submetering!E9+Submetering!F9+Submetering!G9+Submetering!H9+Submetering!J9-Submetering!AV9</f>
        <v>12200.000000000624</v>
      </c>
      <c r="F9" s="11">
        <f t="shared" si="0"/>
        <v>0.58765030286592534</v>
      </c>
      <c r="G9" s="12">
        <f>(Submetering!AX9+Submetering!AY9+Submetering!AZ9+Submetering!BA9+Submetering!BB9)</f>
        <v>18.314999999999998</v>
      </c>
      <c r="H9" s="11">
        <f t="shared" si="1"/>
        <v>0.99</v>
      </c>
      <c r="I9" s="12">
        <f>'FS Desroches Daily'!CM11</f>
        <v>111</v>
      </c>
      <c r="J9" s="11">
        <f t="shared" si="2"/>
        <v>10.487297712684205</v>
      </c>
      <c r="K9" s="13">
        <f>'FS Desroches Daily'!CN11</f>
        <v>33</v>
      </c>
    </row>
    <row r="10" spans="1:13" s="16" customFormat="1" x14ac:dyDescent="0.25">
      <c r="A10" s="1" t="s">
        <v>11</v>
      </c>
      <c r="B10" s="10">
        <v>9</v>
      </c>
      <c r="C10" s="11">
        <v>1</v>
      </c>
      <c r="D10" s="1">
        <v>2023</v>
      </c>
      <c r="E10" s="12">
        <f>Submetering!E10+Submetering!F10+Submetering!G10+Submetering!H10+Submetering!J10-Submetering!AV10</f>
        <v>13800.000000000589</v>
      </c>
      <c r="F10" s="11">
        <f t="shared" si="0"/>
        <v>0.58765030286592534</v>
      </c>
      <c r="G10" s="12">
        <f>(Submetering!AX10+Submetering!AY10+Submetering!AZ10+Submetering!BA10+Submetering!BB10)</f>
        <v>18.314999999999998</v>
      </c>
      <c r="H10" s="11">
        <f t="shared" si="1"/>
        <v>0.99</v>
      </c>
      <c r="I10" s="12">
        <f>'FS Desroches Daily'!CM12</f>
        <v>109</v>
      </c>
      <c r="J10" s="11">
        <f t="shared" si="2"/>
        <v>10.487297712684205</v>
      </c>
      <c r="K10" s="13">
        <f>'FS Desroches Daily'!CN12</f>
        <v>34</v>
      </c>
    </row>
    <row r="11" spans="1:13" s="16" customFormat="1" x14ac:dyDescent="0.25">
      <c r="A11" s="1" t="s">
        <v>11</v>
      </c>
      <c r="B11" s="10">
        <v>10</v>
      </c>
      <c r="C11" s="11">
        <v>1</v>
      </c>
      <c r="D11" s="1">
        <v>2023</v>
      </c>
      <c r="E11" s="12">
        <f>Submetering!E11+Submetering!F11+Submetering!G11+Submetering!H11+Submetering!J11-Submetering!AV11</f>
        <v>13299.999999999609</v>
      </c>
      <c r="F11" s="11">
        <f t="shared" si="0"/>
        <v>0.58765030286592534</v>
      </c>
      <c r="G11" s="12">
        <f>(Submetering!AX11+Submetering!AY11+Submetering!AZ11+Submetering!BA11+Submetering!BB11)</f>
        <v>9.1574999999999989</v>
      </c>
      <c r="H11" s="11">
        <f t="shared" si="1"/>
        <v>0.99</v>
      </c>
      <c r="I11" s="12">
        <f>'FS Desroches Daily'!CM13</f>
        <v>122</v>
      </c>
      <c r="J11" s="11">
        <f t="shared" si="2"/>
        <v>10.487297712684205</v>
      </c>
      <c r="K11" s="13">
        <f>'FS Desroches Daily'!CN13</f>
        <v>34</v>
      </c>
    </row>
    <row r="12" spans="1:13" s="16" customFormat="1" x14ac:dyDescent="0.25">
      <c r="A12" s="1" t="s">
        <v>11</v>
      </c>
      <c r="B12" s="10">
        <v>11</v>
      </c>
      <c r="C12" s="11">
        <v>1</v>
      </c>
      <c r="D12" s="1">
        <v>2023</v>
      </c>
      <c r="E12" s="12">
        <f>Submetering!E12+Submetering!F12+Submetering!G12+Submetering!H12+Submetering!J12-Submetering!AV12</f>
        <v>13299.999999999534</v>
      </c>
      <c r="F12" s="11">
        <f t="shared" si="0"/>
        <v>0.58765030286592534</v>
      </c>
      <c r="G12" s="12">
        <f>(Submetering!AX12+Submetering!AY12+Submetering!AZ12+Submetering!BA12+Submetering!BB12)</f>
        <v>14.651999999999997</v>
      </c>
      <c r="H12" s="11">
        <f t="shared" si="1"/>
        <v>0.99</v>
      </c>
      <c r="I12" s="12">
        <f>'FS Desroches Daily'!CM14</f>
        <v>161</v>
      </c>
      <c r="J12" s="11">
        <f t="shared" si="2"/>
        <v>10.487297712684205</v>
      </c>
      <c r="K12" s="13">
        <f>'FS Desroches Daily'!CN14</f>
        <v>32</v>
      </c>
    </row>
    <row r="13" spans="1:13" s="16" customFormat="1" x14ac:dyDescent="0.25">
      <c r="A13" s="1" t="s">
        <v>11</v>
      </c>
      <c r="B13" s="10">
        <v>12</v>
      </c>
      <c r="C13" s="11">
        <v>1</v>
      </c>
      <c r="D13" s="1">
        <v>2023</v>
      </c>
      <c r="E13" s="12">
        <f>Submetering!E13+Submetering!F13+Submetering!G13+Submetering!H13+Submetering!J13-Submetering!AV13</f>
        <v>11299.999999999687</v>
      </c>
      <c r="F13" s="11">
        <f t="shared" si="0"/>
        <v>0.58765030286592534</v>
      </c>
      <c r="G13" s="12">
        <f>(Submetering!AX13+Submetering!AY13+Submetering!AZ13+Submetering!BA13+Submetering!BB13)</f>
        <v>7.3259999999999996</v>
      </c>
      <c r="H13" s="11">
        <f t="shared" si="1"/>
        <v>0.99</v>
      </c>
      <c r="I13" s="12">
        <f>'FS Desroches Daily'!CM15</f>
        <v>139</v>
      </c>
      <c r="J13" s="11">
        <f t="shared" si="2"/>
        <v>10.487297712684205</v>
      </c>
      <c r="K13" s="13">
        <f>'FS Desroches Daily'!CN15</f>
        <v>32</v>
      </c>
    </row>
    <row r="14" spans="1:13" s="16" customFormat="1" x14ac:dyDescent="0.25">
      <c r="A14" s="1" t="s">
        <v>11</v>
      </c>
      <c r="B14" s="10">
        <v>13</v>
      </c>
      <c r="C14" s="11">
        <v>1</v>
      </c>
      <c r="D14" s="1">
        <v>2023</v>
      </c>
      <c r="E14" s="12">
        <f>Submetering!E14+Submetering!F14+Submetering!G14+Submetering!H14+Submetering!J14-Submetering!AV14</f>
        <v>11000.000000000009</v>
      </c>
      <c r="F14" s="11">
        <f t="shared" si="0"/>
        <v>0.58765030286592534</v>
      </c>
      <c r="G14" s="12">
        <f>(Submetering!AX14+Submetering!AY14+Submetering!AZ14+Submetering!BA14+Submetering!BB14)</f>
        <v>10.988999999999999</v>
      </c>
      <c r="H14" s="11">
        <f t="shared" si="1"/>
        <v>0.99</v>
      </c>
      <c r="I14" s="12">
        <f>'FS Desroches Daily'!CM16</f>
        <v>154</v>
      </c>
      <c r="J14" s="11">
        <f t="shared" si="2"/>
        <v>10.487297712684205</v>
      </c>
      <c r="K14" s="13">
        <f>'FS Desroches Daily'!CN16</f>
        <v>32</v>
      </c>
    </row>
    <row r="15" spans="1:13" s="16" customFormat="1" x14ac:dyDescent="0.25">
      <c r="A15" s="1" t="s">
        <v>11</v>
      </c>
      <c r="B15" s="10">
        <v>14</v>
      </c>
      <c r="C15" s="11">
        <v>1</v>
      </c>
      <c r="D15" s="1">
        <v>2023</v>
      </c>
      <c r="E15" s="12">
        <f>Submetering!E15+Submetering!F15+Submetering!G15+Submetering!H15+Submetering!J15-Submetering!AV15</f>
        <v>11700.000000000315</v>
      </c>
      <c r="F15" s="11">
        <f t="shared" si="0"/>
        <v>0.58765030286592534</v>
      </c>
      <c r="G15" s="12">
        <f>(Submetering!AX15+Submetering!AY15+Submetering!AZ15+Submetering!BA15+Submetering!BB15)</f>
        <v>9.1574999999999989</v>
      </c>
      <c r="H15" s="11">
        <f t="shared" si="1"/>
        <v>0.99</v>
      </c>
      <c r="I15" s="12">
        <f>'FS Desroches Daily'!CM17</f>
        <v>107</v>
      </c>
      <c r="J15" s="11">
        <f t="shared" si="2"/>
        <v>10.487297712684205</v>
      </c>
      <c r="K15" s="13">
        <f>'FS Desroches Daily'!CN17</f>
        <v>24</v>
      </c>
    </row>
    <row r="16" spans="1:13" s="16" customFormat="1" x14ac:dyDescent="0.25">
      <c r="A16" s="1" t="s">
        <v>11</v>
      </c>
      <c r="B16" s="10">
        <v>15</v>
      </c>
      <c r="C16" s="11">
        <v>1</v>
      </c>
      <c r="D16" s="1">
        <v>2023</v>
      </c>
      <c r="E16" s="12">
        <f>Submetering!E16+Submetering!F16+Submetering!G16+Submetering!H16+Submetering!J16-Submetering!AV16</f>
        <v>11399.999999999522</v>
      </c>
      <c r="F16" s="11">
        <f t="shared" si="0"/>
        <v>0.58765030286592534</v>
      </c>
      <c r="G16" s="12">
        <f>(Submetering!AX16+Submetering!AY16+Submetering!AZ16+Submetering!BA16+Submetering!BB16)</f>
        <v>9.1574999999999989</v>
      </c>
      <c r="H16" s="11">
        <f t="shared" si="1"/>
        <v>0.99</v>
      </c>
      <c r="I16" s="12">
        <f>'FS Desroches Daily'!CM18</f>
        <v>154</v>
      </c>
      <c r="J16" s="11">
        <f t="shared" si="2"/>
        <v>10.487297712684205</v>
      </c>
      <c r="K16" s="13">
        <f>'FS Desroches Daily'!CN18</f>
        <v>24</v>
      </c>
    </row>
    <row r="17" spans="1:11" s="16" customFormat="1" x14ac:dyDescent="0.25">
      <c r="A17" s="1" t="s">
        <v>11</v>
      </c>
      <c r="B17" s="10">
        <v>16</v>
      </c>
      <c r="C17" s="11">
        <v>1</v>
      </c>
      <c r="D17" s="1">
        <v>2023</v>
      </c>
      <c r="E17" s="12">
        <f>Submetering!E17+Submetering!F17+Submetering!G17+Submetering!H17+Submetering!J17-Submetering!AV17</f>
        <v>11199.99999999992</v>
      </c>
      <c r="F17" s="11">
        <f t="shared" si="0"/>
        <v>0.58765030286592534</v>
      </c>
      <c r="G17" s="12">
        <f>(Submetering!AX17+Submetering!AY17+Submetering!AZ17+Submetering!BA17+Submetering!BB17)</f>
        <v>10.988999999999999</v>
      </c>
      <c r="H17" s="11">
        <f t="shared" si="1"/>
        <v>0.99</v>
      </c>
      <c r="I17" s="12">
        <f>'FS Desroches Daily'!CM19</f>
        <v>121.29999999999927</v>
      </c>
      <c r="J17" s="11">
        <f t="shared" si="2"/>
        <v>10.487297712684205</v>
      </c>
      <c r="K17" s="13">
        <f>'FS Desroches Daily'!CN19</f>
        <v>17</v>
      </c>
    </row>
    <row r="18" spans="1:11" s="16" customFormat="1" x14ac:dyDescent="0.25">
      <c r="A18" s="1" t="s">
        <v>11</v>
      </c>
      <c r="B18" s="10">
        <v>17</v>
      </c>
      <c r="C18" s="11">
        <v>1</v>
      </c>
      <c r="D18" s="1">
        <v>2023</v>
      </c>
      <c r="E18" s="12">
        <f>Submetering!E18+Submetering!F18+Submetering!G18+Submetering!H18+Submetering!J18-Submetering!AV18</f>
        <v>11000.000000000453</v>
      </c>
      <c r="F18" s="11">
        <f t="shared" si="0"/>
        <v>0.58765030286592534</v>
      </c>
      <c r="G18" s="12">
        <f>(Submetering!AX18+Submetering!AY18+Submetering!AZ18+Submetering!BA18+Submetering!BB18)</f>
        <v>7.3259999999999996</v>
      </c>
      <c r="H18" s="11">
        <f t="shared" si="1"/>
        <v>0.99</v>
      </c>
      <c r="I18" s="12">
        <f>'FS Desroches Daily'!CM20</f>
        <v>100.79999999999927</v>
      </c>
      <c r="J18" s="11">
        <f t="shared" si="2"/>
        <v>10.487297712684205</v>
      </c>
      <c r="K18" s="13">
        <f>'FS Desroches Daily'!CN20</f>
        <v>17</v>
      </c>
    </row>
    <row r="19" spans="1:11" s="16" customFormat="1" x14ac:dyDescent="0.25">
      <c r="A19" s="1" t="s">
        <v>11</v>
      </c>
      <c r="B19" s="10">
        <v>18</v>
      </c>
      <c r="C19" s="11">
        <v>1</v>
      </c>
      <c r="D19" s="1">
        <v>2023</v>
      </c>
      <c r="E19" s="12">
        <f>Submetering!E19+Submetering!F19+Submetering!G19+Submetering!H19+Submetering!J19-Submetering!AV19</f>
        <v>10999.99999999964</v>
      </c>
      <c r="F19" s="11">
        <f t="shared" si="0"/>
        <v>0.58765030286592534</v>
      </c>
      <c r="G19" s="12">
        <f>(Submetering!AX19+Submetering!AY19+Submetering!AZ19+Submetering!BA19+Submetering!BB19)</f>
        <v>14.651999999999997</v>
      </c>
      <c r="H19" s="11">
        <f t="shared" si="1"/>
        <v>0.99</v>
      </c>
      <c r="I19" s="12">
        <f>'FS Desroches Daily'!CM21</f>
        <v>107.10000000000218</v>
      </c>
      <c r="J19" s="11">
        <f t="shared" si="2"/>
        <v>10.487297712684205</v>
      </c>
      <c r="K19" s="13">
        <f>'FS Desroches Daily'!CN21</f>
        <v>17</v>
      </c>
    </row>
    <row r="20" spans="1:11" s="16" customFormat="1" x14ac:dyDescent="0.25">
      <c r="A20" s="1" t="s">
        <v>11</v>
      </c>
      <c r="B20" s="10">
        <v>19</v>
      </c>
      <c r="C20" s="11">
        <v>1</v>
      </c>
      <c r="D20" s="1">
        <v>2023</v>
      </c>
      <c r="E20" s="12">
        <f>Submetering!E20+Submetering!F20+Submetering!G20+Submetering!H20+Submetering!J20-Submetering!AV20</f>
        <v>12299.999999999947</v>
      </c>
      <c r="F20" s="11">
        <f t="shared" si="0"/>
        <v>0.58765030286592534</v>
      </c>
      <c r="G20" s="12">
        <f>(Submetering!AX20+Submetering!AY20+Submetering!AZ20+Submetering!BA20+Submetering!BB20)</f>
        <v>12.820499999999999</v>
      </c>
      <c r="H20" s="11">
        <f t="shared" si="1"/>
        <v>0.99</v>
      </c>
      <c r="I20" s="12">
        <f>'FS Desroches Daily'!CM22</f>
        <v>104.59999999999854</v>
      </c>
      <c r="J20" s="11">
        <f t="shared" si="2"/>
        <v>10.487297712684205</v>
      </c>
      <c r="K20" s="13">
        <f>'FS Desroches Daily'!CN22</f>
        <v>24</v>
      </c>
    </row>
    <row r="21" spans="1:11" s="16" customFormat="1" x14ac:dyDescent="0.25">
      <c r="A21" s="1" t="s">
        <v>11</v>
      </c>
      <c r="B21" s="10">
        <v>20</v>
      </c>
      <c r="C21" s="11">
        <v>1</v>
      </c>
      <c r="D21" s="1">
        <v>2023</v>
      </c>
      <c r="E21" s="12">
        <f>Submetering!E21+Submetering!F21+Submetering!G21+Submetering!H21+Submetering!J21-Submetering!AV21</f>
        <v>12100.000000000111</v>
      </c>
      <c r="F21" s="11">
        <f t="shared" si="0"/>
        <v>0.58765030286592534</v>
      </c>
      <c r="G21" s="12">
        <f>(Submetering!AX21+Submetering!AY21+Submetering!AZ21+Submetering!BA21+Submetering!BB21)</f>
        <v>12.820499999999999</v>
      </c>
      <c r="H21" s="11">
        <f t="shared" si="1"/>
        <v>0.99</v>
      </c>
      <c r="I21" s="12">
        <f>'FS Desroches Daily'!CM23</f>
        <v>115.40000000000146</v>
      </c>
      <c r="J21" s="11">
        <f t="shared" si="2"/>
        <v>10.487297712684205</v>
      </c>
      <c r="K21" s="13">
        <f>'FS Desroches Daily'!CN23</f>
        <v>21</v>
      </c>
    </row>
    <row r="22" spans="1:11" s="16" customFormat="1" x14ac:dyDescent="0.25">
      <c r="A22" s="1" t="s">
        <v>11</v>
      </c>
      <c r="B22" s="10">
        <v>21</v>
      </c>
      <c r="C22" s="11">
        <v>1</v>
      </c>
      <c r="D22" s="1">
        <v>2023</v>
      </c>
      <c r="E22" s="12">
        <f>Submetering!E22+Submetering!F22+Submetering!G22+Submetering!H22+Submetering!J22-Submetering!AV22</f>
        <v>11500.000000001066</v>
      </c>
      <c r="F22" s="11">
        <f t="shared" si="0"/>
        <v>0.58765030286592534</v>
      </c>
      <c r="G22" s="12">
        <f>(Submetering!AX22+Submetering!AY22+Submetering!AZ22+Submetering!BA22+Submetering!BB22)</f>
        <v>7.3259999999999996</v>
      </c>
      <c r="H22" s="11">
        <f t="shared" si="1"/>
        <v>0.99</v>
      </c>
      <c r="I22" s="12">
        <f>'FS Desroches Daily'!CM24</f>
        <v>102</v>
      </c>
      <c r="J22" s="11">
        <f t="shared" si="2"/>
        <v>10.487297712684205</v>
      </c>
      <c r="K22" s="13">
        <f>'FS Desroches Daily'!CN24</f>
        <v>18</v>
      </c>
    </row>
    <row r="23" spans="1:11" s="16" customFormat="1" x14ac:dyDescent="0.25">
      <c r="A23" s="1" t="s">
        <v>11</v>
      </c>
      <c r="B23" s="10">
        <v>22</v>
      </c>
      <c r="C23" s="11">
        <v>1</v>
      </c>
      <c r="D23" s="1">
        <v>2023</v>
      </c>
      <c r="E23" s="12">
        <f>Submetering!E23+Submetering!F23+Submetering!G23+Submetering!H23+Submetering!J23-Submetering!AV23</f>
        <v>11099.9999999994</v>
      </c>
      <c r="F23" s="11">
        <f t="shared" si="0"/>
        <v>0.58765030286592534</v>
      </c>
      <c r="G23" s="12">
        <f>(Submetering!AX23+Submetering!AY23+Submetering!AZ23+Submetering!BA23+Submetering!BB23)</f>
        <v>7.3259999999999996</v>
      </c>
      <c r="H23" s="11">
        <f t="shared" si="1"/>
        <v>0.99</v>
      </c>
      <c r="I23" s="12">
        <f>'FS Desroches Daily'!CM25</f>
        <v>93.700000000000728</v>
      </c>
      <c r="J23" s="11">
        <f t="shared" si="2"/>
        <v>10.487297712684205</v>
      </c>
      <c r="K23" s="13">
        <f>'FS Desroches Daily'!CN25</f>
        <v>15</v>
      </c>
    </row>
    <row r="24" spans="1:11" s="16" customFormat="1" x14ac:dyDescent="0.25">
      <c r="A24" s="1" t="s">
        <v>11</v>
      </c>
      <c r="B24" s="10">
        <v>23</v>
      </c>
      <c r="C24" s="11">
        <v>1</v>
      </c>
      <c r="D24" s="1">
        <v>2023</v>
      </c>
      <c r="E24" s="12">
        <f>Submetering!E24+Submetering!F24+Submetering!G24+Submetering!H24+Submetering!J24-Submetering!AV24</f>
        <v>11199.999999999687</v>
      </c>
      <c r="F24" s="11">
        <f t="shared" si="0"/>
        <v>0.58765030286592534</v>
      </c>
      <c r="G24" s="12">
        <f>(Submetering!AX24+Submetering!AY24+Submetering!AZ24+Submetering!BA24+Submetering!BB24)</f>
        <v>10.988999999999999</v>
      </c>
      <c r="H24" s="11">
        <f t="shared" si="1"/>
        <v>0.99</v>
      </c>
      <c r="I24" s="12">
        <f>'FS Desroches Daily'!CM26</f>
        <v>88.299999999999272</v>
      </c>
      <c r="J24" s="11">
        <f t="shared" si="2"/>
        <v>10.487297712684205</v>
      </c>
      <c r="K24" s="13">
        <f>'FS Desroches Daily'!CN26</f>
        <v>15</v>
      </c>
    </row>
    <row r="25" spans="1:11" s="16" customFormat="1" x14ac:dyDescent="0.25">
      <c r="A25" s="1" t="s">
        <v>11</v>
      </c>
      <c r="B25" s="10">
        <v>24</v>
      </c>
      <c r="C25" s="11">
        <v>1</v>
      </c>
      <c r="D25" s="1">
        <v>2023</v>
      </c>
      <c r="E25" s="12">
        <f>Submetering!E25+Submetering!F25+Submetering!G25+Submetering!H25+Submetering!J25-Submetering!AV25</f>
        <v>12900.000000000024</v>
      </c>
      <c r="F25" s="11">
        <f t="shared" si="0"/>
        <v>0.58765030286592534</v>
      </c>
      <c r="G25" s="12">
        <f>(Submetering!AX25+Submetering!AY25+Submetering!AZ25+Submetering!BA25+Submetering!BB25)</f>
        <v>10.988999999999999</v>
      </c>
      <c r="H25" s="11">
        <f t="shared" si="1"/>
        <v>0.99</v>
      </c>
      <c r="I25" s="12">
        <f>'FS Desroches Daily'!CM27</f>
        <v>110.79999999999927</v>
      </c>
      <c r="J25" s="11">
        <f t="shared" si="2"/>
        <v>10.487297712684205</v>
      </c>
      <c r="K25" s="13">
        <f>'FS Desroches Daily'!CN27</f>
        <v>15</v>
      </c>
    </row>
    <row r="26" spans="1:11" s="16" customFormat="1" x14ac:dyDescent="0.25">
      <c r="A26" s="1" t="s">
        <v>11</v>
      </c>
      <c r="B26" s="10">
        <v>25</v>
      </c>
      <c r="C26" s="11">
        <v>1</v>
      </c>
      <c r="D26" s="1">
        <v>2023</v>
      </c>
      <c r="E26" s="12">
        <f>Submetering!E26+Submetering!F26+Submetering!G26+Submetering!H26+Submetering!J26-Submetering!AV26</f>
        <v>11999.999999999012</v>
      </c>
      <c r="F26" s="11">
        <f t="shared" si="0"/>
        <v>0.58765030286592534</v>
      </c>
      <c r="G26" s="12">
        <f>(Submetering!AX26+Submetering!AY26+Submetering!AZ26+Submetering!BA26+Submetering!BB26)</f>
        <v>5.4944999999999995</v>
      </c>
      <c r="H26" s="11">
        <f t="shared" si="1"/>
        <v>0.99</v>
      </c>
      <c r="I26" s="12">
        <f>'FS Desroches Daily'!CM28</f>
        <v>107</v>
      </c>
      <c r="J26" s="11">
        <f t="shared" si="2"/>
        <v>10.487297712684205</v>
      </c>
      <c r="K26" s="13">
        <f>'FS Desroches Daily'!CN28</f>
        <v>12</v>
      </c>
    </row>
    <row r="27" spans="1:11" s="16" customFormat="1" x14ac:dyDescent="0.25">
      <c r="A27" s="1" t="s">
        <v>11</v>
      </c>
      <c r="B27" s="10">
        <v>26</v>
      </c>
      <c r="C27" s="11">
        <v>1</v>
      </c>
      <c r="D27" s="1">
        <v>2023</v>
      </c>
      <c r="E27" s="12">
        <f>Submetering!E27+Submetering!F27+Submetering!G27+Submetering!H27+Submetering!J27-Submetering!AV27</f>
        <v>12400.000000001633</v>
      </c>
      <c r="F27" s="11">
        <f t="shared" si="0"/>
        <v>0.58765030286592534</v>
      </c>
      <c r="G27" s="12">
        <f>(Submetering!AX27+Submetering!AY27+Submetering!AZ27+Submetering!BA27+Submetering!BB27)</f>
        <v>16.483499999999999</v>
      </c>
      <c r="H27" s="11">
        <f t="shared" si="1"/>
        <v>0.99</v>
      </c>
      <c r="I27" s="12">
        <f>'FS Desroches Daily'!CM29</f>
        <v>85</v>
      </c>
      <c r="J27" s="11">
        <f t="shared" si="2"/>
        <v>10.487297712684205</v>
      </c>
      <c r="K27" s="13">
        <f>'FS Desroches Daily'!CN29</f>
        <v>11</v>
      </c>
    </row>
    <row r="28" spans="1:11" s="16" customFormat="1" x14ac:dyDescent="0.25">
      <c r="A28" s="1" t="s">
        <v>11</v>
      </c>
      <c r="B28" s="10">
        <v>27</v>
      </c>
      <c r="C28" s="11">
        <v>1</v>
      </c>
      <c r="D28" s="1">
        <v>2023</v>
      </c>
      <c r="E28" s="12">
        <f>Submetering!E28+Submetering!F28+Submetering!G28+Submetering!H28+Submetering!J28-Submetering!AV28</f>
        <v>11499.999999999523</v>
      </c>
      <c r="F28" s="11">
        <f t="shared" si="0"/>
        <v>0.58765030286592534</v>
      </c>
      <c r="G28" s="12">
        <f>(Submetering!AX28+Submetering!AY28+Submetering!AZ28+Submetering!BA28+Submetering!BB28)</f>
        <v>16.483499999999999</v>
      </c>
      <c r="H28" s="11">
        <f t="shared" si="1"/>
        <v>0.99</v>
      </c>
      <c r="I28" s="12">
        <f>'FS Desroches Daily'!CM30</f>
        <v>99.200000000000728</v>
      </c>
      <c r="J28" s="11">
        <f t="shared" si="2"/>
        <v>10.487297712684205</v>
      </c>
      <c r="K28" s="13">
        <f>'FS Desroches Daily'!CN30</f>
        <v>9</v>
      </c>
    </row>
    <row r="29" spans="1:11" s="16" customFormat="1" x14ac:dyDescent="0.25">
      <c r="A29" s="1" t="s">
        <v>11</v>
      </c>
      <c r="B29" s="10">
        <v>28</v>
      </c>
      <c r="C29" s="11">
        <v>1</v>
      </c>
      <c r="D29" s="1">
        <v>2023</v>
      </c>
      <c r="E29" s="12">
        <f>Submetering!E29+Submetering!F29+Submetering!G29+Submetering!H29+Submetering!J29-Submetering!AV29</f>
        <v>11899.999999999825</v>
      </c>
      <c r="F29" s="11">
        <f t="shared" si="0"/>
        <v>0.58765030286592534</v>
      </c>
      <c r="G29" s="12">
        <f>(Submetering!AX29+Submetering!AY29+Submetering!AZ29+Submetering!BA29+Submetering!BB29)</f>
        <v>12.820499999999999</v>
      </c>
      <c r="H29" s="11">
        <f t="shared" si="1"/>
        <v>0.99</v>
      </c>
      <c r="I29" s="12">
        <f>'FS Desroches Daily'!CM31</f>
        <v>99.299999999999272</v>
      </c>
      <c r="J29" s="11">
        <f t="shared" si="2"/>
        <v>10.487297712684205</v>
      </c>
      <c r="K29" s="13">
        <f>'FS Desroches Daily'!CN31</f>
        <v>10</v>
      </c>
    </row>
    <row r="30" spans="1:11" s="16" customFormat="1" x14ac:dyDescent="0.25">
      <c r="A30" s="1" t="s">
        <v>11</v>
      </c>
      <c r="B30" s="10">
        <v>29</v>
      </c>
      <c r="C30" s="11">
        <v>1</v>
      </c>
      <c r="D30" s="1">
        <v>2023</v>
      </c>
      <c r="E30" s="12">
        <f>Submetering!E30+Submetering!F30+Submetering!G30+Submetering!H30+Submetering!J30-Submetering!AV30</f>
        <v>9100.0000000010295</v>
      </c>
      <c r="F30" s="11">
        <f t="shared" si="0"/>
        <v>0.58765030286592534</v>
      </c>
      <c r="G30" s="12">
        <f>(Submetering!AX30+Submetering!AY30+Submetering!AZ30+Submetering!BA30+Submetering!BB30)</f>
        <v>14.651999999999997</v>
      </c>
      <c r="H30" s="11">
        <f t="shared" si="1"/>
        <v>0.99</v>
      </c>
      <c r="I30" s="12">
        <f>'FS Desroches Daily'!CM32</f>
        <v>98.099999999998545</v>
      </c>
      <c r="J30" s="11">
        <f t="shared" si="2"/>
        <v>10.487297712684205</v>
      </c>
      <c r="K30" s="13">
        <f>'FS Desroches Daily'!CN32</f>
        <v>10</v>
      </c>
    </row>
    <row r="31" spans="1:11" s="14" customFormat="1" x14ac:dyDescent="0.25">
      <c r="A31" s="1" t="s">
        <v>11</v>
      </c>
      <c r="B31" s="10">
        <v>30</v>
      </c>
      <c r="C31" s="11">
        <v>1</v>
      </c>
      <c r="D31" s="1">
        <v>2023</v>
      </c>
      <c r="E31" s="12">
        <f>Submetering!E31+Submetering!F31+Submetering!G31+Submetering!H31+Submetering!J31-Submetering!AV31</f>
        <v>8199.9999999994998</v>
      </c>
      <c r="F31" s="11">
        <f t="shared" si="0"/>
        <v>0.58765030286592534</v>
      </c>
      <c r="G31" s="12">
        <f>(Submetering!AX31+Submetering!AY31+Submetering!AZ31+Submetering!BA31+Submetering!BB31)</f>
        <v>5.4944999999999995</v>
      </c>
      <c r="H31" s="11">
        <f t="shared" si="1"/>
        <v>0.99</v>
      </c>
      <c r="I31" s="12">
        <f>'FS Desroches Daily'!CM33</f>
        <v>81.400000000001455</v>
      </c>
      <c r="J31" s="11">
        <f t="shared" si="2"/>
        <v>10.487297712684205</v>
      </c>
      <c r="K31" s="13">
        <f>'FS Desroches Daily'!CN33</f>
        <v>10</v>
      </c>
    </row>
    <row r="32" spans="1:11" x14ac:dyDescent="0.25">
      <c r="A32" s="1" t="s">
        <v>11</v>
      </c>
      <c r="B32" s="10">
        <v>31</v>
      </c>
      <c r="C32" s="11">
        <v>1</v>
      </c>
      <c r="D32" s="1">
        <v>2023</v>
      </c>
      <c r="E32" s="12">
        <f>Submetering!E32+Submetering!F32+Submetering!G32+Submetering!H32+Submetering!J32-Submetering!AV32</f>
        <v>8800.0000000001601</v>
      </c>
      <c r="F32" s="11">
        <f t="shared" si="0"/>
        <v>0.58765030286592534</v>
      </c>
      <c r="G32" s="12">
        <f>(Submetering!AX32+Submetering!AY32+Submetering!AZ32+Submetering!BA32+Submetering!BB32)</f>
        <v>0</v>
      </c>
      <c r="H32" s="11">
        <f t="shared" si="1"/>
        <v>0.99</v>
      </c>
      <c r="I32" s="12">
        <f>'FS Desroches Daily'!CM34</f>
        <v>79.200000000000728</v>
      </c>
      <c r="J32" s="11">
        <f t="shared" si="2"/>
        <v>10.487297712684205</v>
      </c>
      <c r="K32" s="13">
        <f>'FS Desroches Daily'!CN34</f>
        <v>10</v>
      </c>
    </row>
    <row r="33" spans="5:11" x14ac:dyDescent="0.25">
      <c r="E33" s="17">
        <f>SUM(E2:E32)</f>
        <v>377700.00000000076</v>
      </c>
      <c r="G33" s="19">
        <f>SUM(G2:G32)</f>
        <v>349.81649999999991</v>
      </c>
      <c r="I33" s="19">
        <f>SUM(I2:I32)</f>
        <v>3690.2000000000007</v>
      </c>
      <c r="K33" s="19">
        <f>SUM(K2:K32)</f>
        <v>797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E39" sqref="E39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1</v>
      </c>
      <c r="D2" s="27">
        <v>2023</v>
      </c>
      <c r="E2" s="31">
        <f>'FS Desroches Daily'!D4</f>
        <v>4199.9999999999818</v>
      </c>
      <c r="F2" s="32">
        <f>'FS Desroches Daily'!F4</f>
        <v>3800.0000000000255</v>
      </c>
      <c r="G2" s="31">
        <f>'FS Desroches Daily'!H4</f>
        <v>4699.9999999997044</v>
      </c>
      <c r="H2" s="32">
        <f>'FS Desroches Daily'!J4</f>
        <v>1900.0000000000127</v>
      </c>
      <c r="I2" s="31">
        <f>'FS Desroches Daily'!L4</f>
        <v>3600.0000000000477</v>
      </c>
      <c r="J2" s="32">
        <f>'FS Desroches Daily'!N4</f>
        <v>2000.0000000002237</v>
      </c>
      <c r="K2" s="13">
        <f>'FS Desroches Daily'!P4</f>
        <v>36</v>
      </c>
      <c r="L2" s="31">
        <f>'FS Desroches Daily'!R4</f>
        <v>6</v>
      </c>
      <c r="M2" s="31">
        <f>'FS Desroches Daily'!T4</f>
        <v>1799.9999999999545</v>
      </c>
      <c r="N2" s="31">
        <f>'FS Desroches Daily'!V4</f>
        <v>520.09999999997672</v>
      </c>
      <c r="O2" s="31">
        <f>'FS Desroches Daily'!X4</f>
        <v>369.99999999989086</v>
      </c>
      <c r="P2" s="31">
        <f>'FS Desroches Daily'!Z4</f>
        <v>2900.0000000003465</v>
      </c>
      <c r="Q2" s="31">
        <f>'FS Desroches Daily'!AB4</f>
        <v>360.00000000001364</v>
      </c>
      <c r="R2" s="31">
        <f>'FS Desroches Daily'!AD4</f>
        <v>399.99999999997726</v>
      </c>
      <c r="S2" s="31">
        <f>'FS Desroches Daily'!AF4</f>
        <v>819.99999999993634</v>
      </c>
      <c r="T2" s="31">
        <f>'FS Desroches Daily'!AH4</f>
        <v>51</v>
      </c>
      <c r="U2" s="35">
        <f>'FS Desroches Daily'!AJ4</f>
        <v>900.0000000001229</v>
      </c>
      <c r="V2" s="35">
        <f>'FS Desroches Daily'!AL4</f>
        <v>360.00000000001364</v>
      </c>
      <c r="W2" s="35">
        <f>'FS Desroches Daily'!AN4</f>
        <v>199.99999999998863</v>
      </c>
      <c r="X2" s="35">
        <f>'FS Desroches Daily'!AP4</f>
        <v>220.00000000002728</v>
      </c>
      <c r="Y2" s="35">
        <f>'FS Desroches Daily'!AR4</f>
        <v>230.00000000001819</v>
      </c>
      <c r="Z2" s="35">
        <f>'FS Desroches Daily'!AT4</f>
        <v>239.99999999995225</v>
      </c>
      <c r="AA2" s="35">
        <f>'FS Desroches Daily'!AT4</f>
        <v>239.99999999995225</v>
      </c>
      <c r="AB2" s="35">
        <f>'FS Desroches Daily'!AV4</f>
        <v>250</v>
      </c>
      <c r="AC2" s="35">
        <f>'FS Desroches Daily'!AZ4</f>
        <v>159.99999999996817</v>
      </c>
      <c r="AD2" s="35">
        <f>'FS Desroches Daily'!BB4</f>
        <v>250</v>
      </c>
      <c r="AE2" s="35">
        <f>'FS Desroches Daily'!BD4</f>
        <v>199.99999999998863</v>
      </c>
      <c r="AF2" s="31">
        <f>'FS Desroches Daily'!BF4</f>
        <v>45</v>
      </c>
      <c r="AG2" s="32">
        <f>'FS Desroches Daily'!BH4</f>
        <v>50.000000000011369</v>
      </c>
      <c r="AH2" s="32">
        <f>'FS Desroches Daily'!BJ4</f>
        <v>79.999999999984084</v>
      </c>
      <c r="AI2" s="32">
        <f>'FS Desroches Daily'!BL4</f>
        <v>69.999999999993179</v>
      </c>
      <c r="AJ2" s="32">
        <f>'FS Desroches Daily'!BN4</f>
        <v>49.999999999982947</v>
      </c>
      <c r="AK2" s="32">
        <f>'FS Desroches Daily'!BP4</f>
        <v>40.000000000020464</v>
      </c>
      <c r="AL2" s="32">
        <f>'FS Desroches Daily'!BR4</f>
        <v>49</v>
      </c>
      <c r="AM2" s="32">
        <f>'FS Desroches Daily'!BT4</f>
        <v>39.999999999992042</v>
      </c>
      <c r="AN2" s="32">
        <f>'FS Desroches Daily'!BV4</f>
        <v>49</v>
      </c>
      <c r="AO2" s="32">
        <f>'FS Desroches Daily'!BX4</f>
        <v>39.999999999992042</v>
      </c>
      <c r="AP2" s="32">
        <f>'FS Desroches Daily'!BZ4</f>
        <v>58</v>
      </c>
      <c r="AQ2" s="31">
        <f>'FS Desroches Daily'!CB4</f>
        <v>72.799999999995634</v>
      </c>
      <c r="AR2" s="31">
        <f>'FS Desroches Daily'!CD4</f>
        <v>10.200000000000728</v>
      </c>
      <c r="AS2" s="31">
        <f>'FS Desroches Daily'!CF4</f>
        <v>5.1999999999989086</v>
      </c>
      <c r="AT2" s="31">
        <f>'FS Desroches Daily'!CH4</f>
        <v>51</v>
      </c>
      <c r="AU2" s="31">
        <f>'FS Desroches Daily'!CJ4</f>
        <v>286</v>
      </c>
      <c r="AV2" s="31">
        <f>'FS Desroches Daily'!CL4</f>
        <v>1099.9999999999091</v>
      </c>
      <c r="AW2" s="31">
        <f>'FS Desroches Daily'!CM4</f>
        <v>215</v>
      </c>
      <c r="AX2" s="31">
        <f>IF(LPG!F9-LPG!F8&lt;0,"0",(LPG!F9-LPG!F8)*1.8315)</f>
        <v>0</v>
      </c>
      <c r="AY2" s="31">
        <f>IF(LPG!H9-LPG!H8&lt;0,"0",(LPG!H9-LPG!H8)*1.8315)</f>
        <v>5.4944999999999995</v>
      </c>
      <c r="AZ2" s="31">
        <f>IF(LPG!J9-LPG!J8&lt;0,"0",(LPG!J9-LPG!J8)*1.8315)</f>
        <v>0</v>
      </c>
      <c r="BA2" s="31">
        <f>IF(LPG!M9-LPG!M8&lt;0,"0",(LPG!M9-LPG!M8)*1.8315)</f>
        <v>0</v>
      </c>
      <c r="BB2" s="31">
        <f>IF(LPG!Q9-LPG!Q8&lt;0,"0",(LPG!Q9-LPG!Q8)*1.8315)</f>
        <v>7.3259999999999996</v>
      </c>
      <c r="BC2" s="13">
        <f>'FS Desroches Daily'!CN4</f>
        <v>57</v>
      </c>
      <c r="BD2" s="9"/>
    </row>
    <row r="3" spans="1:56" s="16" customFormat="1" x14ac:dyDescent="0.25">
      <c r="A3" s="27" t="s">
        <v>11</v>
      </c>
      <c r="B3" s="15">
        <v>2</v>
      </c>
      <c r="C3" s="18">
        <v>1</v>
      </c>
      <c r="D3" s="27">
        <v>2023</v>
      </c>
      <c r="E3" s="31">
        <f>'FS Desroches Daily'!D5</f>
        <v>3600.0000000000477</v>
      </c>
      <c r="F3" s="32">
        <f>'FS Desroches Daily'!F5</f>
        <v>3499.9999999998367</v>
      </c>
      <c r="G3" s="31">
        <f>'FS Desroches Daily'!H5</f>
        <v>4500.000000000171</v>
      </c>
      <c r="H3" s="32">
        <f>'FS Desroches Daily'!J5</f>
        <v>1700.0000000000348</v>
      </c>
      <c r="I3" s="31">
        <f>'FS Desroches Daily'!L5</f>
        <v>3299.9999999998586</v>
      </c>
      <c r="J3" s="32">
        <f>'FS Desroches Daily'!N5</f>
        <v>1799.9999999998017</v>
      </c>
      <c r="K3" s="13">
        <f>'FS Desroches Daily'!P5</f>
        <v>38</v>
      </c>
      <c r="L3" s="31">
        <f>'FS Desroches Daily'!R5</f>
        <v>5</v>
      </c>
      <c r="M3" s="31">
        <f>'FS Desroches Daily'!T5</f>
        <v>1900.0000000000909</v>
      </c>
      <c r="N3" s="31">
        <f>'FS Desroches Daily'!V5</f>
        <v>581.79999999993015</v>
      </c>
      <c r="O3" s="31">
        <f>'FS Desroches Daily'!X6</f>
        <v>419.99999999995907</v>
      </c>
      <c r="P3" s="31">
        <f>'FS Desroches Daily'!Z5</f>
        <v>3199.9999999996476</v>
      </c>
      <c r="Q3" s="31">
        <f>'FS Desroches Daily'!AB5</f>
        <v>399.99999999997726</v>
      </c>
      <c r="R3" s="31">
        <f>'FS Desroches Daily'!AD5</f>
        <v>420.00000000007276</v>
      </c>
      <c r="S3" s="31">
        <f>'FS Desroches Daily'!AF5</f>
        <v>960.00000000003638</v>
      </c>
      <c r="T3" s="31">
        <f>'FS Desroches Daily'!AH5</f>
        <v>42</v>
      </c>
      <c r="U3" s="35">
        <f>'FS Desroches Daily'!AJ5</f>
        <v>999.99999999988984</v>
      </c>
      <c r="V3" s="35">
        <f>'FS Desroches Daily'!AL5</f>
        <v>370.00000000000455</v>
      </c>
      <c r="W3" s="35">
        <f>'FS Desroches Daily'!AN5</f>
        <v>259.99999999999091</v>
      </c>
      <c r="X3" s="35">
        <f>'FS Desroches Daily'!AP5</f>
        <v>209.99999999997954</v>
      </c>
      <c r="Y3" s="35">
        <f>'FS Desroches Daily'!AR5</f>
        <v>239.99999999995225</v>
      </c>
      <c r="Z3" s="35">
        <f>'FS Desroches Daily'!AT5</f>
        <v>200.00000000004547</v>
      </c>
      <c r="AA3" s="35">
        <f>'FS Desroches Daily'!AT5</f>
        <v>200.00000000004547</v>
      </c>
      <c r="AB3" s="35">
        <f>'FS Desroches Daily'!AV5</f>
        <v>269.99999999998181</v>
      </c>
      <c r="AC3" s="35">
        <f>'FS Desroches Daily'!AZ5</f>
        <v>160.00000000002501</v>
      </c>
      <c r="AD3" s="35">
        <f>'FS Desroches Daily'!BB5</f>
        <v>260.00000000004775</v>
      </c>
      <c r="AE3" s="35">
        <f>'FS Desroches Daily'!BD5</f>
        <v>180.00000000000682</v>
      </c>
      <c r="AF3" s="31">
        <f>'FS Desroches Daily'!BF5</f>
        <v>49</v>
      </c>
      <c r="AG3" s="32">
        <f>'FS Desroches Daily'!BH5</f>
        <v>39.99999999996362</v>
      </c>
      <c r="AH3" s="32">
        <f>'FS Desroches Daily'!BJ5</f>
        <v>40.000000000020464</v>
      </c>
      <c r="AI3" s="32">
        <f>'FS Desroches Daily'!BL5</f>
        <v>69.999999999993179</v>
      </c>
      <c r="AJ3" s="32">
        <f>'FS Desroches Daily'!BN5</f>
        <v>39.999999999992042</v>
      </c>
      <c r="AK3" s="32">
        <f>'FS Desroches Daily'!BP5</f>
        <v>39.99999999996362</v>
      </c>
      <c r="AL3" s="32">
        <f>'FS Desroches Daily'!BR5</f>
        <v>42</v>
      </c>
      <c r="AM3" s="32">
        <f>'FS Desroches Daily'!BT5</f>
        <v>39.999999999992042</v>
      </c>
      <c r="AN3" s="32">
        <f>'FS Desroches Daily'!BV5</f>
        <v>45</v>
      </c>
      <c r="AO3" s="32">
        <f>'FS Desroches Daily'!BX5</f>
        <v>39.999999999992042</v>
      </c>
      <c r="AP3" s="32">
        <f>'FS Desroches Daily'!BZ5</f>
        <v>55</v>
      </c>
      <c r="AQ3" s="31">
        <f>'FS Desroches Daily'!CB5</f>
        <v>76.30000000000291</v>
      </c>
      <c r="AR3" s="31">
        <f>'FS Desroches Daily'!CD5</f>
        <v>12.900000000001455</v>
      </c>
      <c r="AS3" s="31">
        <f>'FS Desroches Daily'!CF5</f>
        <v>6.3999999999996362</v>
      </c>
      <c r="AT3" s="31">
        <f>'FS Desroches Daily'!CH5</f>
        <v>61</v>
      </c>
      <c r="AU3" s="31">
        <f>'FS Desroches Daily'!CJ5</f>
        <v>318</v>
      </c>
      <c r="AV3" s="31">
        <f>'FS Desroches Daily'!CL5</f>
        <v>1099.9999999999091</v>
      </c>
      <c r="AW3" s="31">
        <f>'FS Desroches Daily'!CM5</f>
        <v>146</v>
      </c>
      <c r="AX3" s="31">
        <f>IF(LPG!F10-LPG!F9&lt;0,"0",(LPG!F10-LPG!F9)*1.8315)</f>
        <v>0</v>
      </c>
      <c r="AY3" s="31">
        <f>IF(LPG!H10-LPG!H9&lt;0,"0",(LPG!H10-LPG!H9)*1.8315)</f>
        <v>5.4944999999999995</v>
      </c>
      <c r="AZ3" s="31">
        <f>IF(LPG!J10-LPG!J9&lt;0,"0",(LPG!J10-LPG!J9)*1.8315)</f>
        <v>0</v>
      </c>
      <c r="BA3" s="31">
        <f>IF(LPG!M10-LPG!M9&lt;0,"0",(LPG!M10-LPG!M9)*1.8315)</f>
        <v>0</v>
      </c>
      <c r="BB3" s="31">
        <f>IF(LPG!Q10-LPG!Q9&lt;0,"0",(LPG!Q10-LPG!Q9)*1.8315)</f>
        <v>7.3259999999999996</v>
      </c>
      <c r="BC3" s="13">
        <f>'FS Desroches Daily'!CN5</f>
        <v>60</v>
      </c>
      <c r="BD3" s="9"/>
    </row>
    <row r="4" spans="1:56" s="16" customFormat="1" x14ac:dyDescent="0.25">
      <c r="A4" s="27" t="s">
        <v>11</v>
      </c>
      <c r="B4" s="15">
        <v>3</v>
      </c>
      <c r="C4" s="18">
        <v>1</v>
      </c>
      <c r="D4" s="27">
        <v>2023</v>
      </c>
      <c r="E4" s="31">
        <f>'FS Desroches Daily'!D6</f>
        <v>3699.9999999998145</v>
      </c>
      <c r="F4" s="32">
        <f>'FS Desroches Daily'!F6</f>
        <v>3700.0000000002588</v>
      </c>
      <c r="G4" s="31">
        <f>'FS Desroches Daily'!H6</f>
        <v>4400.0000000004038</v>
      </c>
      <c r="H4" s="32">
        <f>'FS Desroches Daily'!J6</f>
        <v>1700.0000000000348</v>
      </c>
      <c r="I4" s="31">
        <f>'FS Desroches Daily'!L6</f>
        <v>3100.0000000003247</v>
      </c>
      <c r="J4" s="32">
        <f>'FS Desroches Daily'!N6</f>
        <v>1900.0000000000127</v>
      </c>
      <c r="K4" s="13">
        <f>'FS Desroches Daily'!P6</f>
        <v>34</v>
      </c>
      <c r="L4" s="31">
        <f>'FS Desroches Daily'!R6</f>
        <v>5</v>
      </c>
      <c r="M4" s="31">
        <f>'FS Desroches Daily'!T6</f>
        <v>1899.9999999998636</v>
      </c>
      <c r="N4" s="31">
        <f>'FS Desroches Daily'!V6</f>
        <v>564.60000000009313</v>
      </c>
      <c r="O4" s="31">
        <f>'FS Desroches Daily'!X7</f>
        <v>389.99999999998636</v>
      </c>
      <c r="P4" s="31">
        <f>'FS Desroches Daily'!Z6</f>
        <v>3200.0000000005357</v>
      </c>
      <c r="Q4" s="31">
        <f>'FS Desroches Daily'!AB6</f>
        <v>330.00000000004093</v>
      </c>
      <c r="R4" s="31">
        <f>'FS Desroches Daily'!AD6</f>
        <v>459.99999999992269</v>
      </c>
      <c r="S4" s="31">
        <f>'FS Desroches Daily'!AF6</f>
        <v>1000</v>
      </c>
      <c r="T4" s="31">
        <f>'FS Desroches Daily'!AH6</f>
        <v>50</v>
      </c>
      <c r="U4" s="35">
        <f>'FS Desroches Daily'!AJ6</f>
        <v>1000.0000000001119</v>
      </c>
      <c r="V4" s="35">
        <f>'FS Desroches Daily'!AL6</f>
        <v>359.9999999999568</v>
      </c>
      <c r="W4" s="35">
        <f>'FS Desroches Daily'!AN6</f>
        <v>199.99999999998863</v>
      </c>
      <c r="X4" s="35">
        <f>'FS Desroches Daily'!AP6</f>
        <v>210.00000000003638</v>
      </c>
      <c r="Y4" s="35">
        <f>'FS Desroches Daily'!AR6</f>
        <v>230.00000000001819</v>
      </c>
      <c r="Z4" s="35">
        <f>'FS Desroches Daily'!AT6</f>
        <v>209.99999999997954</v>
      </c>
      <c r="AA4" s="35">
        <f>'FS Desroches Daily'!AT6</f>
        <v>209.99999999997954</v>
      </c>
      <c r="AB4" s="35">
        <f>'FS Desroches Daily'!AV6</f>
        <v>250</v>
      </c>
      <c r="AC4" s="35">
        <f>'FS Desroches Daily'!AZ6</f>
        <v>159.99999999996817</v>
      </c>
      <c r="AD4" s="35">
        <f>'FS Desroches Daily'!BB6</f>
        <v>259.99999999999091</v>
      </c>
      <c r="AE4" s="35">
        <f>'FS Desroches Daily'!BD6</f>
        <v>210.00000000003638</v>
      </c>
      <c r="AF4" s="31">
        <f>'FS Desroches Daily'!BF6</f>
        <v>46</v>
      </c>
      <c r="AG4" s="32">
        <f>'FS Desroches Daily'!BH6</f>
        <v>40.000000000020464</v>
      </c>
      <c r="AH4" s="32">
        <f>'FS Desroches Daily'!BJ6</f>
        <v>39.99999999996362</v>
      </c>
      <c r="AI4" s="32">
        <f>'FS Desroches Daily'!BL6</f>
        <v>60.000000000002274</v>
      </c>
      <c r="AJ4" s="32">
        <f>'FS Desroches Daily'!BN6</f>
        <v>40.000000000020464</v>
      </c>
      <c r="AK4" s="32">
        <f>'FS Desroches Daily'!BP6</f>
        <v>40.000000000020464</v>
      </c>
      <c r="AL4" s="32">
        <f>'FS Desroches Daily'!BR6</f>
        <v>46</v>
      </c>
      <c r="AM4" s="32">
        <f>'FS Desroches Daily'!BT6</f>
        <v>50.000000000011369</v>
      </c>
      <c r="AN4" s="32">
        <f>'FS Desroches Daily'!BV6</f>
        <v>51</v>
      </c>
      <c r="AO4" s="32">
        <f>'FS Desroches Daily'!BX6</f>
        <v>50.000000000011369</v>
      </c>
      <c r="AP4" s="32">
        <f>'FS Desroches Daily'!BZ6</f>
        <v>55</v>
      </c>
      <c r="AQ4" s="31">
        <f>'FS Desroches Daily'!CB6</f>
        <v>77.80000000000291</v>
      </c>
      <c r="AR4" s="31">
        <f>'FS Desroches Daily'!CD6</f>
        <v>12.099999999998545</v>
      </c>
      <c r="AS4" s="31">
        <f>'FS Desroches Daily'!CF6</f>
        <v>2.2000000000007276</v>
      </c>
      <c r="AT4" s="31">
        <f>'FS Desroches Daily'!CH6</f>
        <v>62.30000000000291</v>
      </c>
      <c r="AU4" s="31">
        <f>'FS Desroches Daily'!CJ6</f>
        <v>321</v>
      </c>
      <c r="AV4" s="31">
        <f>'FS Desroches Daily'!CL6</f>
        <v>1000</v>
      </c>
      <c r="AW4" s="31">
        <f>'FS Desroches Daily'!CM6</f>
        <v>145</v>
      </c>
      <c r="AX4" s="31">
        <f>IF(LPG!F11-LPG!F10&lt;0,"0",(LPG!F11-LPG!F10)*1.8315)</f>
        <v>0</v>
      </c>
      <c r="AY4" s="31">
        <f>IF(LPG!H11-LPG!H10&lt;0,"0",(LPG!H11-LPG!H10)*1.8315)</f>
        <v>7.3259999999999996</v>
      </c>
      <c r="AZ4" s="31">
        <f>IF(LPG!J13-LPG!J10&lt;0,"0",(LPG!J13-LPG!J10)*1.8315)</f>
        <v>0</v>
      </c>
      <c r="BA4" s="31">
        <f>IF(LPG!M11-LPG!M10&lt;0,"0",(LPG!M11-LPG!M10)*1.8315)</f>
        <v>0</v>
      </c>
      <c r="BB4" s="31">
        <f>IF(LPG!Q11-LPG!Q10&lt;0,"0",(LPG!Q11-LPG!Q10)*1.8315)</f>
        <v>5.4944999999999995</v>
      </c>
      <c r="BC4" s="13">
        <f>'FS Desroches Daily'!CN6</f>
        <v>44</v>
      </c>
      <c r="BD4" s="9"/>
    </row>
    <row r="5" spans="1:56" s="16" customFormat="1" x14ac:dyDescent="0.25">
      <c r="A5" s="27" t="s">
        <v>11</v>
      </c>
      <c r="B5" s="15">
        <v>4</v>
      </c>
      <c r="C5" s="18">
        <v>1</v>
      </c>
      <c r="D5" s="27">
        <v>2023</v>
      </c>
      <c r="E5" s="31">
        <f>'FS Desroches Daily'!D7</f>
        <v>3900.0000000002365</v>
      </c>
      <c r="F5" s="32">
        <f>'FS Desroches Daily'!F7</f>
        <v>3599.9999999996035</v>
      </c>
      <c r="G5" s="31">
        <f>'FS Desroches Daily'!H7</f>
        <v>4399.9999999995152</v>
      </c>
      <c r="H5" s="32">
        <f>'FS Desroches Daily'!J7</f>
        <v>1799.9999999998017</v>
      </c>
      <c r="I5" s="31">
        <f>'FS Desroches Daily'!L7</f>
        <v>2999.9999999996694</v>
      </c>
      <c r="J5" s="32">
        <f>'FS Desroches Daily'!N7</f>
        <v>1900.0000000000127</v>
      </c>
      <c r="K5" s="13">
        <f>'FS Desroches Daily'!P7</f>
        <v>22</v>
      </c>
      <c r="L5" s="31">
        <f>'FS Desroches Daily'!R7</f>
        <v>5</v>
      </c>
      <c r="M5" s="31">
        <f>'FS Desroches Daily'!T7</f>
        <v>1799.9999999999545</v>
      </c>
      <c r="N5" s="31">
        <f>'FS Desroches Daily'!V7</f>
        <v>544</v>
      </c>
      <c r="O5" s="31">
        <f>'FS Desroches Daily'!X8</f>
        <v>380.00000000010914</v>
      </c>
      <c r="P5" s="31">
        <f>'FS Desroches Daily'!Z7</f>
        <v>3299.9999999994143</v>
      </c>
      <c r="Q5" s="31">
        <f>'FS Desroches Daily'!AB7</f>
        <v>419.99999999995907</v>
      </c>
      <c r="R5" s="31">
        <f>'FS Desroches Daily'!AD7</f>
        <v>420.00000000007276</v>
      </c>
      <c r="S5" s="31">
        <f>'FS Desroches Daily'!AF7</f>
        <v>990.00000000000909</v>
      </c>
      <c r="T5" s="31">
        <f>'FS Desroches Daily'!AH7</f>
        <v>46</v>
      </c>
      <c r="U5" s="35">
        <f>'FS Desroches Daily'!AJ7</f>
        <v>999.99999999988984</v>
      </c>
      <c r="V5" s="35">
        <f>'FS Desroches Daily'!AL7</f>
        <v>330.00000000004093</v>
      </c>
      <c r="W5" s="35">
        <f>'FS Desroches Daily'!AN7</f>
        <v>200.00000000004547</v>
      </c>
      <c r="X5" s="35">
        <f>'FS Desroches Daily'!AP7</f>
        <v>250</v>
      </c>
      <c r="Y5" s="35">
        <f>'FS Desroches Daily'!AR7</f>
        <v>250</v>
      </c>
      <c r="Z5" s="35">
        <f>'FS Desroches Daily'!AT7</f>
        <v>339.99999999997499</v>
      </c>
      <c r="AA5" s="35">
        <f>'FS Desroches Daily'!AT7</f>
        <v>339.99999999997499</v>
      </c>
      <c r="AB5" s="35">
        <f>'FS Desroches Daily'!AV7</f>
        <v>300.00000000001137</v>
      </c>
      <c r="AC5" s="35">
        <f>'FS Desroches Daily'!AZ7</f>
        <v>160.00000000002501</v>
      </c>
      <c r="AD5" s="35">
        <f>'FS Desroches Daily'!BB7</f>
        <v>189.99999999999773</v>
      </c>
      <c r="AE5" s="35">
        <f>'FS Desroches Daily'!BD7</f>
        <v>209.99999999997954</v>
      </c>
      <c r="AF5" s="31">
        <f>'FS Desroches Daily'!BF7</f>
        <v>54</v>
      </c>
      <c r="AG5" s="32">
        <f>'FS Desroches Daily'!BH7</f>
        <v>50.000000000011369</v>
      </c>
      <c r="AH5" s="32">
        <f>'FS Desroches Daily'!BJ7</f>
        <v>40.000000000020464</v>
      </c>
      <c r="AI5" s="32">
        <f>'FS Desroches Daily'!BL7</f>
        <v>69.999999999993179</v>
      </c>
      <c r="AJ5" s="32">
        <f>'FS Desroches Daily'!BN7</f>
        <v>49.999999999982947</v>
      </c>
      <c r="AK5" s="32">
        <f>'FS Desroches Daily'!BP7</f>
        <v>39.99999999996362</v>
      </c>
      <c r="AL5" s="32">
        <f>'FS Desroches Daily'!BR7</f>
        <v>42</v>
      </c>
      <c r="AM5" s="32">
        <f>'FS Desroches Daily'!BT7</f>
        <v>50.000000000011369</v>
      </c>
      <c r="AN5" s="32">
        <f>'FS Desroches Daily'!BV7</f>
        <v>47</v>
      </c>
      <c r="AO5" s="32">
        <f>'FS Desroches Daily'!BX7</f>
        <v>39.999999999992042</v>
      </c>
      <c r="AP5" s="32">
        <f>'FS Desroches Daily'!BZ7</f>
        <v>53</v>
      </c>
      <c r="AQ5" s="31">
        <f>'FS Desroches Daily'!CB7</f>
        <v>86.19999999999709</v>
      </c>
      <c r="AR5" s="31">
        <f>'FS Desroches Daily'!CD7</f>
        <v>23.799999999999272</v>
      </c>
      <c r="AS5" s="31">
        <f>'FS Desroches Daily'!CF7</f>
        <v>5.7000000000007276</v>
      </c>
      <c r="AT5" s="31">
        <f>'FS Desroches Daily'!CH7</f>
        <v>62.69999999999709</v>
      </c>
      <c r="AU5" s="31">
        <f>'FS Desroches Daily'!CJ7</f>
        <v>307</v>
      </c>
      <c r="AV5" s="31">
        <f>'FS Desroches Daily'!CL7</f>
        <v>1200.0000000000455</v>
      </c>
      <c r="AW5" s="31">
        <f>'FS Desroches Daily'!CM7</f>
        <v>148.70000000000073</v>
      </c>
      <c r="AX5" s="31">
        <f>IF(LPG!F12-LPG!F11&lt;0,"0",(LPG!F12-LPG!F11)*1.8315)</f>
        <v>0</v>
      </c>
      <c r="AY5" s="31">
        <f>IF(LPG!H12-LPG!H11&lt;0,"0",(LPG!H12-LPG!H11)*1.8315)</f>
        <v>7.3259999999999996</v>
      </c>
      <c r="AZ5" s="31">
        <f>IF(LPG!J12-LPG!J13&lt;0,"0",(LPG!J12-LPG!J13)*1.8315)</f>
        <v>0</v>
      </c>
      <c r="BA5" s="31">
        <f>IF(LPG!M12-LPG!M11&lt;0,"0",(LPG!M12-LPG!M11)*1.8315)</f>
        <v>0</v>
      </c>
      <c r="BB5" s="31">
        <f>IF(LPG!Q12-LPG!Q11&lt;0,"0",(LPG!Q12-LPG!Q11)*1.8315)</f>
        <v>3.6629999999999998</v>
      </c>
      <c r="BC5" s="13">
        <f>'FS Desroches Daily'!CN7</f>
        <v>46</v>
      </c>
      <c r="BD5" s="9"/>
    </row>
    <row r="6" spans="1:56" s="16" customFormat="1" x14ac:dyDescent="0.25">
      <c r="A6" s="27" t="s">
        <v>11</v>
      </c>
      <c r="B6" s="15">
        <v>5</v>
      </c>
      <c r="C6" s="18">
        <v>1</v>
      </c>
      <c r="D6" s="27">
        <v>2023</v>
      </c>
      <c r="E6" s="31">
        <f>'FS Desroches Daily'!D8</f>
        <v>4099.9999999997708</v>
      </c>
      <c r="F6" s="32">
        <f>'FS Desroches Daily'!F8</f>
        <v>3800.0000000000255</v>
      </c>
      <c r="G6" s="31">
        <f>'FS Desroches Daily'!H8</f>
        <v>4199.9999999999818</v>
      </c>
      <c r="H6" s="32">
        <f>'FS Desroches Daily'!J8</f>
        <v>1900.0000000000127</v>
      </c>
      <c r="I6" s="31">
        <f>'FS Desroches Daily'!L8</f>
        <v>3200.0000000000919</v>
      </c>
      <c r="J6" s="32">
        <f>'FS Desroches Daily'!N8</f>
        <v>2200.0000000002019</v>
      </c>
      <c r="K6" s="13">
        <f>'FS Desroches Daily'!P8</f>
        <v>24</v>
      </c>
      <c r="L6" s="31">
        <f>'FS Desroches Daily'!R8</f>
        <v>6</v>
      </c>
      <c r="M6" s="31">
        <f>'FS Desroches Daily'!T8</f>
        <v>1600.0000000001364</v>
      </c>
      <c r="N6" s="31">
        <f>'FS Desroches Daily'!V8</f>
        <v>531.29999999993015</v>
      </c>
      <c r="O6" s="31">
        <f>'FS Desroches Daily'!X8</f>
        <v>380.00000000010914</v>
      </c>
      <c r="P6" s="31">
        <f>'FS Desroches Daily'!Z8</f>
        <v>3400.0000000000696</v>
      </c>
      <c r="Q6" s="31">
        <f>'FS Desroches Daily'!AB8</f>
        <v>419.99999999995907</v>
      </c>
      <c r="R6" s="31">
        <f>'FS Desroches Daily'!AD8</f>
        <v>529.99999999997272</v>
      </c>
      <c r="S6" s="31">
        <f>'FS Desroches Daily'!AF8</f>
        <v>1179.99999999995</v>
      </c>
      <c r="T6" s="31">
        <f>'FS Desroches Daily'!AH8</f>
        <v>46</v>
      </c>
      <c r="U6" s="35">
        <f>'FS Desroches Daily'!AJ8</f>
        <v>1100.000000000101</v>
      </c>
      <c r="V6" s="35">
        <f>'FS Desroches Daily'!AL8</f>
        <v>329.99999999998408</v>
      </c>
      <c r="W6" s="35">
        <f>'FS Desroches Daily'!AN8</f>
        <v>219.99999999997044</v>
      </c>
      <c r="X6" s="35">
        <f>'FS Desroches Daily'!AP8</f>
        <v>379.99999999999545</v>
      </c>
      <c r="Y6" s="35">
        <f>'FS Desroches Daily'!AR8</f>
        <v>300.00000000001137</v>
      </c>
      <c r="Z6" s="35">
        <f>'FS Desroches Daily'!AT8</f>
        <v>290.00000000002046</v>
      </c>
      <c r="AA6" s="35">
        <f>'FS Desroches Daily'!AT8</f>
        <v>290.00000000002046</v>
      </c>
      <c r="AB6" s="35">
        <f>'FS Desroches Daily'!AV8</f>
        <v>310.00000000000227</v>
      </c>
      <c r="AC6" s="35">
        <f>'FS Desroches Daily'!AZ8</f>
        <v>189.99999999999773</v>
      </c>
      <c r="AD6" s="35">
        <f>'FS Desroches Daily'!BB8</f>
        <v>209.99999999997954</v>
      </c>
      <c r="AE6" s="35">
        <f>'FS Desroches Daily'!BD8</f>
        <v>209.99999999997954</v>
      </c>
      <c r="AF6" s="31">
        <f>'FS Desroches Daily'!BF8</f>
        <v>39</v>
      </c>
      <c r="AG6" s="32">
        <f>'FS Desroches Daily'!BH8</f>
        <v>40.000000000020464</v>
      </c>
      <c r="AH6" s="32">
        <f>'FS Desroches Daily'!BJ8</f>
        <v>19.99999999998181</v>
      </c>
      <c r="AI6" s="32">
        <f>'FS Desroches Daily'!BL8</f>
        <v>60.000000000002274</v>
      </c>
      <c r="AJ6" s="32">
        <f>'FS Desroches Daily'!BN8</f>
        <v>50.000000000011369</v>
      </c>
      <c r="AK6" s="32">
        <f>'FS Desroches Daily'!BP8</f>
        <v>30.000000000029559</v>
      </c>
      <c r="AL6" s="32">
        <f>'FS Desroches Daily'!BR8</f>
        <v>48</v>
      </c>
      <c r="AM6" s="32">
        <f>'FS Desroches Daily'!BT8</f>
        <v>49.999999999982947</v>
      </c>
      <c r="AN6" s="32">
        <f>'FS Desroches Daily'!BV8</f>
        <v>46</v>
      </c>
      <c r="AO6" s="32">
        <f>'FS Desroches Daily'!BX8</f>
        <v>50.000000000011369</v>
      </c>
      <c r="AP6" s="32">
        <f>'FS Desroches Daily'!BZ8</f>
        <v>53</v>
      </c>
      <c r="AQ6" s="31">
        <f>'FS Desroches Daily'!CB8</f>
        <v>81.5</v>
      </c>
      <c r="AR6" s="31">
        <f>'FS Desroches Daily'!CD8</f>
        <v>21.900000000001455</v>
      </c>
      <c r="AS6" s="31">
        <f>'FS Desroches Daily'!CF8</f>
        <v>4.7999999999992724</v>
      </c>
      <c r="AT6" s="31">
        <f>'FS Desroches Daily'!CH8</f>
        <v>58.5</v>
      </c>
      <c r="AU6" s="31">
        <f>'FS Desroches Daily'!CJ8</f>
        <v>328</v>
      </c>
      <c r="AV6" s="31">
        <f>'FS Desroches Daily'!CL8</f>
        <v>1000</v>
      </c>
      <c r="AW6" s="31">
        <f>'FS Desroches Daily'!CM8</f>
        <v>142.39999999999782</v>
      </c>
      <c r="AX6" s="31">
        <f>IF(LPG!F13-LPG!F12&lt;0,"0",(LPG!F13-LPG!F12)*1.8315)</f>
        <v>0</v>
      </c>
      <c r="AY6" s="31">
        <f>IF(LPG!H13-LPG!H12&lt;0,"0",(LPG!H13-LPG!H12)*1.8315)</f>
        <v>5.4944999999999995</v>
      </c>
      <c r="AZ6" s="31">
        <v>0</v>
      </c>
      <c r="BA6" s="31">
        <f>IF(LPG!M13-LPG!M12&lt;0,"0",(LPG!M13-LPG!M12)*1.8315)</f>
        <v>0</v>
      </c>
      <c r="BB6" s="31">
        <f>IF(LPG!Q13-LPG!Q12&lt;0,"0",(LPG!Q13-LPG!Q12)*1.8315)</f>
        <v>3.6629999999999998</v>
      </c>
      <c r="BC6" s="13">
        <f>'FS Desroches Daily'!CN8</f>
        <v>46</v>
      </c>
      <c r="BD6" s="9"/>
    </row>
    <row r="7" spans="1:56" s="16" customFormat="1" x14ac:dyDescent="0.25">
      <c r="A7" s="27" t="s">
        <v>11</v>
      </c>
      <c r="B7" s="15">
        <v>6</v>
      </c>
      <c r="C7" s="18">
        <v>1</v>
      </c>
      <c r="D7" s="27">
        <v>2023</v>
      </c>
      <c r="E7" s="31">
        <f>'FS Desroches Daily'!D9</f>
        <v>3400.0000000000696</v>
      </c>
      <c r="F7" s="32">
        <f>'FS Desroches Daily'!F9</f>
        <v>3500.0000000007249</v>
      </c>
      <c r="G7" s="31">
        <f>'FS Desroches Daily'!H9</f>
        <v>4199.9999999999818</v>
      </c>
      <c r="H7" s="32">
        <f>'FS Desroches Daily'!J9</f>
        <v>1700.0000000000348</v>
      </c>
      <c r="I7" s="31">
        <f>'FS Desroches Daily'!L9</f>
        <v>4900.0000000001264</v>
      </c>
      <c r="J7" s="32">
        <f>'FS Desroches Daily'!N9</f>
        <v>1799.9999999998017</v>
      </c>
      <c r="K7" s="13">
        <f>'FS Desroches Daily'!P9</f>
        <v>12</v>
      </c>
      <c r="L7" s="31">
        <f>'FS Desroches Daily'!R9</f>
        <v>4</v>
      </c>
      <c r="M7" s="31">
        <f>'FS Desroches Daily'!T9</f>
        <v>1599.9999999999091</v>
      </c>
      <c r="N7" s="31">
        <f>'FS Desroches Daily'!V9</f>
        <v>517.40000000002328</v>
      </c>
      <c r="O7" s="31">
        <f>'FS Desroches Daily'!X9</f>
        <v>379.99999999999545</v>
      </c>
      <c r="P7" s="31">
        <f>'FS Desroches Daily'!Z9</f>
        <v>3200.0000000005357</v>
      </c>
      <c r="Q7" s="31">
        <f>'FS Desroches Daily'!AB9</f>
        <v>380.00000000010914</v>
      </c>
      <c r="R7" s="31">
        <f>'FS Desroches Daily'!AD9</f>
        <v>360.00000000001364</v>
      </c>
      <c r="S7" s="31">
        <f>'FS Desroches Daily'!AF9</f>
        <v>889.99999999998636</v>
      </c>
      <c r="T7" s="31">
        <f>'FS Desroches Daily'!AH9</f>
        <v>62</v>
      </c>
      <c r="U7" s="35">
        <f>'FS Desroches Daily'!AJ9</f>
        <v>799.99999999991189</v>
      </c>
      <c r="V7" s="35">
        <f>'FS Desroches Daily'!AL9</f>
        <v>290.00000000002046</v>
      </c>
      <c r="W7" s="35">
        <f>'FS Desroches Daily'!AN9</f>
        <v>180.00000000000682</v>
      </c>
      <c r="X7" s="35">
        <f>'FS Desroches Daily'!AP9</f>
        <v>310.00000000000227</v>
      </c>
      <c r="Y7" s="35">
        <f>'FS Desroches Daily'!AR9</f>
        <v>269.99999999998181</v>
      </c>
      <c r="Z7" s="35">
        <f>'FS Desroches Daily'!AT9</f>
        <v>310.00000000000227</v>
      </c>
      <c r="AA7" s="35">
        <f>'FS Desroches Daily'!AT9</f>
        <v>310.00000000000227</v>
      </c>
      <c r="AB7" s="35">
        <f>'FS Desroches Daily'!AV9</f>
        <v>269.99999999998181</v>
      </c>
      <c r="AC7" s="35">
        <f>'FS Desroches Daily'!AZ9</f>
        <v>180.00000000000682</v>
      </c>
      <c r="AD7" s="35">
        <f>'FS Desroches Daily'!BB9</f>
        <v>150.00000000003411</v>
      </c>
      <c r="AE7" s="35">
        <f>'FS Desroches Daily'!BD9</f>
        <v>220.00000000002728</v>
      </c>
      <c r="AF7" s="31">
        <f>'FS Desroches Daily'!BF9</f>
        <v>59</v>
      </c>
      <c r="AG7" s="32">
        <f>'FS Desroches Daily'!BH9</f>
        <v>49.999999999954525</v>
      </c>
      <c r="AH7" s="32">
        <f>'FS Desroches Daily'!BJ9</f>
        <v>69.999999999993179</v>
      </c>
      <c r="AI7" s="32">
        <f>'FS Desroches Daily'!BL9</f>
        <v>69.999999999993179</v>
      </c>
      <c r="AJ7" s="32">
        <f>'FS Desroches Daily'!BN9</f>
        <v>39.999999999992042</v>
      </c>
      <c r="AK7" s="32">
        <f>'FS Desroches Daily'!BP9</f>
        <v>40.000000000020464</v>
      </c>
      <c r="AL7" s="32">
        <f>'FS Desroches Daily'!BR9</f>
        <v>42</v>
      </c>
      <c r="AM7" s="32">
        <f>'FS Desroches Daily'!BT9</f>
        <v>30.000000000001137</v>
      </c>
      <c r="AN7" s="32">
        <f>'FS Desroches Daily'!BV9</f>
        <v>47</v>
      </c>
      <c r="AO7" s="32">
        <f>'FS Desroches Daily'!BX9</f>
        <v>39.999999999992042</v>
      </c>
      <c r="AP7" s="32">
        <f>'FS Desroches Daily'!BZ9</f>
        <v>56</v>
      </c>
      <c r="AQ7" s="31">
        <f>'FS Desroches Daily'!CB9</f>
        <v>85.80000000000291</v>
      </c>
      <c r="AR7" s="31">
        <f>'FS Desroches Daily'!CD9</f>
        <v>12.200000000000728</v>
      </c>
      <c r="AS7" s="31">
        <f>'FS Desroches Daily'!CF9</f>
        <v>4.5</v>
      </c>
      <c r="AT7" s="31">
        <f>'FS Desroches Daily'!CH9</f>
        <v>63.100000000005821</v>
      </c>
      <c r="AU7" s="31">
        <f>'FS Desroches Daily'!CJ9</f>
        <v>343</v>
      </c>
      <c r="AV7" s="31">
        <f>'FS Desroches Daily'!CL9</f>
        <v>1100.0000000001364</v>
      </c>
      <c r="AW7" s="31">
        <f>'FS Desroches Daily'!CM9</f>
        <v>133.90000000000146</v>
      </c>
      <c r="AX7" s="31">
        <f>IF(LPG!F14-LPG!F13&lt;0,"0",(LPG!F14-LPG!F13)*1.8315)</f>
        <v>0</v>
      </c>
      <c r="AY7" s="31">
        <f>IF(LPG!H14-LPG!H13&lt;0,"0",(LPG!H14-LPG!H13)*1.8315)</f>
        <v>7.3259999999999996</v>
      </c>
      <c r="AZ7" s="31">
        <v>0</v>
      </c>
      <c r="BA7" s="31">
        <f>IF(LPG!M14-LPG!M13&lt;0,"0",(LPG!M14-LPG!M13)*1.8315)</f>
        <v>0</v>
      </c>
      <c r="BB7" s="31">
        <f>IF(LPG!Q14-LPG!Q13&lt;0,"0",(LPG!Q14-LPG!Q13)*1.8315)</f>
        <v>5.4944999999999995</v>
      </c>
      <c r="BC7" s="13">
        <f>'FS Desroches Daily'!CN9</f>
        <v>35</v>
      </c>
      <c r="BD7" s="9"/>
    </row>
    <row r="8" spans="1:56" s="16" customFormat="1" x14ac:dyDescent="0.25">
      <c r="A8" s="27" t="s">
        <v>11</v>
      </c>
      <c r="B8" s="15">
        <v>7</v>
      </c>
      <c r="C8" s="18">
        <v>1</v>
      </c>
      <c r="D8" s="27">
        <v>2023</v>
      </c>
      <c r="E8" s="31">
        <f>'FS Desroches Daily'!D10</f>
        <v>4000.0000000000036</v>
      </c>
      <c r="F8" s="32">
        <f>'FS Desroches Daily'!F10</f>
        <v>3599.9999999996035</v>
      </c>
      <c r="G8" s="31">
        <f>'FS Desroches Daily'!H10</f>
        <v>4299.9999999997481</v>
      </c>
      <c r="H8" s="32">
        <f>'FS Desroches Daily'!J10</f>
        <v>1800.0000000002458</v>
      </c>
      <c r="I8" s="31">
        <f>'FS Desroches Daily'!L10</f>
        <v>1100.000000000101</v>
      </c>
      <c r="J8" s="32">
        <f>'FS Desroches Daily'!N10</f>
        <v>1900.0000000000127</v>
      </c>
      <c r="K8" s="13">
        <f>'FS Desroches Daily'!P10</f>
        <v>15</v>
      </c>
      <c r="L8" s="31">
        <f>'FS Desroches Daily'!R10</f>
        <v>5</v>
      </c>
      <c r="M8" s="31">
        <f>'FS Desroches Daily'!T10</f>
        <v>1700.0000000000455</v>
      </c>
      <c r="N8" s="31">
        <f>'FS Desroches Daily'!V10</f>
        <v>537.40000000002328</v>
      </c>
      <c r="O8" s="31">
        <f>'FS Desroches Daily'!X10</f>
        <v>379.99999999999545</v>
      </c>
      <c r="P8" s="31">
        <f>'FS Desroches Daily'!Z10</f>
        <v>3299.9999999994143</v>
      </c>
      <c r="Q8" s="31">
        <f>'FS Desroches Daily'!AB10</f>
        <v>419.99999999995907</v>
      </c>
      <c r="R8" s="31">
        <f>'FS Desroches Daily'!AD10</f>
        <v>439.99999999994088</v>
      </c>
      <c r="S8" s="31">
        <f>'FS Desroches Daily'!AF10</f>
        <v>920.00000000007276</v>
      </c>
      <c r="T8" s="31">
        <f>'FS Desroches Daily'!AH10</f>
        <v>53</v>
      </c>
      <c r="U8" s="35">
        <f>'FS Desroches Daily'!AJ10</f>
        <v>1200.0000000000898</v>
      </c>
      <c r="V8" s="35">
        <f>'FS Desroches Daily'!AL10</f>
        <v>240.00000000000909</v>
      </c>
      <c r="W8" s="35">
        <f>'FS Desroches Daily'!AN10</f>
        <v>219.99999999997044</v>
      </c>
      <c r="X8" s="35">
        <f>'FS Desroches Daily'!AP10</f>
        <v>299.99999999995453</v>
      </c>
      <c r="Y8" s="35">
        <f>'FS Desroches Daily'!AR10</f>
        <v>220.00000000002728</v>
      </c>
      <c r="Z8" s="35">
        <f>'FS Desroches Daily'!AT10</f>
        <v>360.00000000001364</v>
      </c>
      <c r="AA8" s="35">
        <f>'FS Desroches Daily'!AT10</f>
        <v>360.00000000001364</v>
      </c>
      <c r="AB8" s="35">
        <f>'FS Desroches Daily'!AV10</f>
        <v>219.99999999997044</v>
      </c>
      <c r="AC8" s="35">
        <f>'FS Desroches Daily'!AZ10</f>
        <v>229.99999999996135</v>
      </c>
      <c r="AD8" s="35">
        <f>'FS Desroches Daily'!BB10</f>
        <v>179.99999999994998</v>
      </c>
      <c r="AE8" s="35">
        <f>'FS Desroches Daily'!BD10</f>
        <v>219.99999999997044</v>
      </c>
      <c r="AF8" s="31">
        <f>'FS Desroches Daily'!BF10</f>
        <v>43</v>
      </c>
      <c r="AG8" s="32">
        <f>'FS Desroches Daily'!BH10</f>
        <v>40.000000000020464</v>
      </c>
      <c r="AH8" s="32">
        <f>'FS Desroches Daily'!BJ10</f>
        <v>40.000000000020464</v>
      </c>
      <c r="AI8" s="32">
        <f>'FS Desroches Daily'!BL10</f>
        <v>69.999999999993179</v>
      </c>
      <c r="AJ8" s="32">
        <f>'FS Desroches Daily'!BN10</f>
        <v>50.000000000011369</v>
      </c>
      <c r="AK8" s="32">
        <f>'FS Desroches Daily'!BP10</f>
        <v>39.99999999996362</v>
      </c>
      <c r="AL8" s="32">
        <f>'FS Desroches Daily'!BR10</f>
        <v>47</v>
      </c>
      <c r="AM8" s="32">
        <f>'FS Desroches Daily'!BT10</f>
        <v>69.999999999993179</v>
      </c>
      <c r="AN8" s="32">
        <f>'FS Desroches Daily'!BV10</f>
        <v>47</v>
      </c>
      <c r="AO8" s="32">
        <f>'FS Desroches Daily'!BX10</f>
        <v>50.000000000011369</v>
      </c>
      <c r="AP8" s="32">
        <f>'FS Desroches Daily'!BZ10</f>
        <v>54</v>
      </c>
      <c r="AQ8" s="31">
        <f>'FS Desroches Daily'!CB10</f>
        <v>81.899999999994179</v>
      </c>
      <c r="AR8" s="31">
        <f>'FS Desroches Daily'!CD10</f>
        <v>12.5</v>
      </c>
      <c r="AS8" s="31">
        <f>'FS Desroches Daily'!CF10</f>
        <v>1.5</v>
      </c>
      <c r="AT8" s="31">
        <f>'FS Desroches Daily'!CH10</f>
        <v>60.30000000000291</v>
      </c>
      <c r="AU8" s="31">
        <f>'FS Desroches Daily'!CJ10</f>
        <v>326</v>
      </c>
      <c r="AV8" s="31">
        <f>'FS Desroches Daily'!CL10</f>
        <v>1099.9999999999091</v>
      </c>
      <c r="AW8" s="31">
        <f>'FS Desroches Daily'!CM10</f>
        <v>109</v>
      </c>
      <c r="AX8" s="31">
        <f>IF(LPG!F16-LPG!F14&lt;0,"0",(LPG!F16-LPG!F14)*1.8315)</f>
        <v>0</v>
      </c>
      <c r="AY8" s="31">
        <f>IF(LPG!H16-LPG!H14&lt;0,"0",(LPG!H16-LPG!H14)*1.8315)</f>
        <v>9.1574999999999989</v>
      </c>
      <c r="AZ8" s="31">
        <f>IF(LPG!J16-LPG!J14&lt;0,"0",(LPG!J16-LPG!J14)*1.8315)</f>
        <v>0</v>
      </c>
      <c r="BA8" s="31">
        <f>IF(LPG!M16-LPG!M14&lt;0,"0",(LPG!M16-LPG!M14)*1.8315)</f>
        <v>0</v>
      </c>
      <c r="BB8" s="31">
        <f>IF(LPG!Q15-LPG!Q14&lt;0,"0",(LPG!Q15-LPG!Q14)*1.8315)</f>
        <v>5.4944999999999995</v>
      </c>
      <c r="BC8" s="13">
        <f>'FS Desroches Daily'!CN10</f>
        <v>33</v>
      </c>
      <c r="BD8" s="9"/>
    </row>
    <row r="9" spans="1:56" s="16" customFormat="1" x14ac:dyDescent="0.25">
      <c r="A9" s="27" t="s">
        <v>11</v>
      </c>
      <c r="B9" s="15">
        <v>8</v>
      </c>
      <c r="C9" s="18">
        <v>1</v>
      </c>
      <c r="D9" s="27">
        <v>2023</v>
      </c>
      <c r="E9" s="31">
        <f>'FS Desroches Daily'!D11</f>
        <v>3300.0000000003029</v>
      </c>
      <c r="F9" s="32">
        <f>'FS Desroches Daily'!F11</f>
        <v>3300.0000000003029</v>
      </c>
      <c r="G9" s="31">
        <f>'FS Desroches Daily'!H11</f>
        <v>3800.0000000000255</v>
      </c>
      <c r="H9" s="32">
        <f>'FS Desroches Daily'!J11</f>
        <v>1500.0000000000568</v>
      </c>
      <c r="I9" s="31">
        <f>'FS Desroches Daily'!L11</f>
        <v>2499.9999999999468</v>
      </c>
      <c r="J9" s="32">
        <f>'FS Desroches Daily'!N11</f>
        <v>1399.9999999998458</v>
      </c>
      <c r="K9" s="13">
        <f>'FS Desroches Daily'!P11</f>
        <v>8</v>
      </c>
      <c r="L9" s="31">
        <f>'FS Desroches Daily'!R11</f>
        <v>4</v>
      </c>
      <c r="M9" s="31">
        <f>'FS Desroches Daily'!T11</f>
        <v>1500</v>
      </c>
      <c r="N9" s="31">
        <f>'FS Desroches Daily'!V11</f>
        <v>431.69999999995343</v>
      </c>
      <c r="O9" s="31">
        <f>'FS Desroches Daily'!X11</f>
        <v>319.99999999993634</v>
      </c>
      <c r="P9" s="31">
        <f>'FS Desroches Daily'!Z11</f>
        <v>2800.0000000005798</v>
      </c>
      <c r="Q9" s="31">
        <f>'FS Desroches Daily'!AB11</f>
        <v>240.00000000000909</v>
      </c>
      <c r="R9" s="31">
        <f>'FS Desroches Daily'!AD11</f>
        <v>300.00000000006821</v>
      </c>
      <c r="S9" s="31">
        <f>'FS Desroches Daily'!AF11</f>
        <v>799.99999999995453</v>
      </c>
      <c r="T9" s="31">
        <f>'FS Desroches Daily'!AH11</f>
        <v>40</v>
      </c>
      <c r="U9" s="35">
        <f>'FS Desroches Daily'!AJ11</f>
        <v>799.99999999991189</v>
      </c>
      <c r="V9" s="35">
        <f>'FS Desroches Daily'!AL11</f>
        <v>179.99999999994998</v>
      </c>
      <c r="W9" s="35">
        <f>'FS Desroches Daily'!AN11</f>
        <v>150.00000000003411</v>
      </c>
      <c r="X9" s="35">
        <f>'FS Desroches Daily'!AP11</f>
        <v>250</v>
      </c>
      <c r="Y9" s="35">
        <f>'FS Desroches Daily'!AR11</f>
        <v>189.99999999999773</v>
      </c>
      <c r="Z9" s="35">
        <f>'FS Desroches Daily'!AT11</f>
        <v>279.99999999997272</v>
      </c>
      <c r="AA9" s="35">
        <f>'FS Desroches Daily'!AT11</f>
        <v>279.99999999997272</v>
      </c>
      <c r="AB9" s="35">
        <f>'FS Desroches Daily'!AV11</f>
        <v>250</v>
      </c>
      <c r="AC9" s="35">
        <f>'FS Desroches Daily'!AZ11</f>
        <v>180.00000000000682</v>
      </c>
      <c r="AD9" s="35">
        <f>'FS Desroches Daily'!BB11</f>
        <v>140.0000000000432</v>
      </c>
      <c r="AE9" s="35">
        <f>'FS Desroches Daily'!BD11</f>
        <v>170.00000000001592</v>
      </c>
      <c r="AF9" s="31">
        <f>'FS Desroches Daily'!BF11</f>
        <v>34</v>
      </c>
      <c r="AG9" s="32">
        <f>'FS Desroches Daily'!BH11</f>
        <v>40.000000000020464</v>
      </c>
      <c r="AH9" s="32">
        <f>'FS Desroches Daily'!BJ11</f>
        <v>40.000000000020464</v>
      </c>
      <c r="AI9" s="32">
        <f>'FS Desroches Daily'!BL11</f>
        <v>60.000000000002274</v>
      </c>
      <c r="AJ9" s="32">
        <f>'FS Desroches Daily'!BN11</f>
        <v>39.999999999992042</v>
      </c>
      <c r="AK9" s="32">
        <f>'FS Desroches Daily'!BP11</f>
        <v>30.000000000029559</v>
      </c>
      <c r="AL9" s="32">
        <f>'FS Desroches Daily'!BR11</f>
        <v>41</v>
      </c>
      <c r="AM9" s="32">
        <f>'FS Desroches Daily'!BT11</f>
        <v>40.000000000020464</v>
      </c>
      <c r="AN9" s="32">
        <f>'FS Desroches Daily'!BV11</f>
        <v>40</v>
      </c>
      <c r="AO9" s="32">
        <f>'FS Desroches Daily'!BX11</f>
        <v>39.999999999992042</v>
      </c>
      <c r="AP9" s="32">
        <f>'FS Desroches Daily'!BZ11</f>
        <v>47</v>
      </c>
      <c r="AQ9" s="31">
        <f>'FS Desroches Daily'!CB11</f>
        <v>77.5</v>
      </c>
      <c r="AR9" s="31">
        <f>'FS Desroches Daily'!CD11</f>
        <v>10.299999999999272</v>
      </c>
      <c r="AS9" s="31">
        <f>'FS Desroches Daily'!CF11</f>
        <v>5.2999999999992724</v>
      </c>
      <c r="AT9" s="31">
        <f>'FS Desroches Daily'!CH11</f>
        <v>53.599999999991269</v>
      </c>
      <c r="AU9" s="31">
        <f>'FS Desroches Daily'!CJ11</f>
        <v>286</v>
      </c>
      <c r="AV9" s="31">
        <f>'FS Desroches Daily'!CL11</f>
        <v>1099.9999999999091</v>
      </c>
      <c r="AW9" s="31">
        <f>'FS Desroches Daily'!CM11</f>
        <v>111</v>
      </c>
      <c r="AX9" s="31">
        <f>IF(LPG!F17-LPG!F15&lt;0,"0",(LPG!F17-LPG!F15)*1.8315)</f>
        <v>0</v>
      </c>
      <c r="AY9" s="31">
        <f>IF(LPG!H17-LPG!H15&lt;0,"0",(LPG!H17-LPG!H15)*1.8315)</f>
        <v>12.820499999999999</v>
      </c>
      <c r="AZ9" s="31">
        <f>IF(LPG!J17-LPG!J15&lt;0,"0",(LPG!J17-LPG!J15)*1.8315)</f>
        <v>0</v>
      </c>
      <c r="BA9" s="31">
        <f>IF(LPG!M17-LPG!M15&lt;0,"0",(LPG!M17-LPG!M15)*1.8315)</f>
        <v>0</v>
      </c>
      <c r="BB9" s="31">
        <f>IF(LPG!Q16-LPG!Q15&lt;0,"0",(LPG!Q16-LPG!Q15)*1.8315)</f>
        <v>5.4944999999999995</v>
      </c>
      <c r="BC9" s="13">
        <f>'FS Desroches Daily'!CN11</f>
        <v>33</v>
      </c>
      <c r="BD9" s="9"/>
    </row>
    <row r="10" spans="1:56" s="16" customFormat="1" x14ac:dyDescent="0.25">
      <c r="A10" s="27" t="s">
        <v>11</v>
      </c>
      <c r="B10" s="15">
        <v>9</v>
      </c>
      <c r="C10" s="18">
        <v>1</v>
      </c>
      <c r="D10" s="27">
        <v>2023</v>
      </c>
      <c r="E10" s="31">
        <f>'FS Desroches Daily'!D12</f>
        <v>3600.0000000000477</v>
      </c>
      <c r="F10" s="32">
        <f>'FS Desroches Daily'!F12</f>
        <v>3400.0000000000696</v>
      </c>
      <c r="G10" s="31">
        <f>'FS Desroches Daily'!H12</f>
        <v>4000.0000000004475</v>
      </c>
      <c r="H10" s="32">
        <f>'FS Desroches Daily'!J12</f>
        <v>1799.9999999998017</v>
      </c>
      <c r="I10" s="31">
        <f>'FS Desroches Daily'!L12</f>
        <v>2699.9999999999245</v>
      </c>
      <c r="J10" s="32">
        <f>'FS Desroches Daily'!N12</f>
        <v>2000.0000000002237</v>
      </c>
      <c r="K10" s="13">
        <f>'FS Desroches Daily'!P12</f>
        <v>18</v>
      </c>
      <c r="L10" s="31">
        <f>'FS Desroches Daily'!R12</f>
        <v>5</v>
      </c>
      <c r="M10" s="31">
        <f>'FS Desroches Daily'!T12</f>
        <v>1400.0000000000909</v>
      </c>
      <c r="N10" s="31">
        <f>'FS Desroches Daily'!V12</f>
        <v>526.80000000004657</v>
      </c>
      <c r="O10" s="31">
        <f>'FS Desroches Daily'!X12</f>
        <v>350.00000000002274</v>
      </c>
      <c r="P10" s="31">
        <f>'FS Desroches Daily'!Z12</f>
        <v>3099.9999999998809</v>
      </c>
      <c r="Q10" s="31">
        <f>'FS Desroches Daily'!AB12</f>
        <v>389.99999999998636</v>
      </c>
      <c r="R10" s="31">
        <f>'FS Desroches Daily'!AD12</f>
        <v>439.99999999994088</v>
      </c>
      <c r="S10" s="31">
        <f>'FS Desroches Daily'!AF12</f>
        <v>970.00000000002728</v>
      </c>
      <c r="T10" s="31">
        <f>'FS Desroches Daily'!AH12</f>
        <v>48</v>
      </c>
      <c r="U10" s="35">
        <f>'FS Desroches Daily'!AJ12</f>
        <v>1000.0000000001119</v>
      </c>
      <c r="V10" s="35">
        <f>'FS Desroches Daily'!AL12</f>
        <v>270.00000000003865</v>
      </c>
      <c r="W10" s="35">
        <f>'FS Desroches Daily'!AN12</f>
        <v>180.00000000000682</v>
      </c>
      <c r="X10" s="35">
        <f>'FS Desroches Daily'!AP12</f>
        <v>320.00000000005002</v>
      </c>
      <c r="Y10" s="35">
        <f>'FS Desroches Daily'!AR12</f>
        <v>240.00000000000909</v>
      </c>
      <c r="Z10" s="35">
        <f>'FS Desroches Daily'!AT12</f>
        <v>340.00000000003183</v>
      </c>
      <c r="AA10" s="35">
        <f>'FS Desroches Daily'!AT12</f>
        <v>340.00000000003183</v>
      </c>
      <c r="AB10" s="35">
        <f>'FS Desroches Daily'!AV12</f>
        <v>220.00000000002728</v>
      </c>
      <c r="AC10" s="35">
        <f>'FS Desroches Daily'!AZ12</f>
        <v>220.00000000002728</v>
      </c>
      <c r="AD10" s="35">
        <f>'FS Desroches Daily'!BB12</f>
        <v>199.99999999998863</v>
      </c>
      <c r="AE10" s="35">
        <f>'FS Desroches Daily'!BD12</f>
        <v>170.00000000001592</v>
      </c>
      <c r="AF10" s="31">
        <f>'FS Desroches Daily'!BF12</f>
        <v>66</v>
      </c>
      <c r="AG10" s="32">
        <f>'FS Desroches Daily'!BH12</f>
        <v>39.99999999996362</v>
      </c>
      <c r="AH10" s="32">
        <f>'FS Desroches Daily'!BJ12</f>
        <v>39.99999999996362</v>
      </c>
      <c r="AI10" s="32">
        <f>'FS Desroches Daily'!BL12</f>
        <v>69.999999999993179</v>
      </c>
      <c r="AJ10" s="32">
        <f>'FS Desroches Daily'!BN12</f>
        <v>39.999999999992042</v>
      </c>
      <c r="AK10" s="32">
        <f>'FS Desroches Daily'!BP12</f>
        <v>39.99999999996362</v>
      </c>
      <c r="AL10" s="32">
        <f>'FS Desroches Daily'!BR12</f>
        <v>50</v>
      </c>
      <c r="AM10" s="32">
        <f>'FS Desroches Daily'!BT12</f>
        <v>49.999999999982947</v>
      </c>
      <c r="AN10" s="32">
        <f>'FS Desroches Daily'!BV12</f>
        <v>51</v>
      </c>
      <c r="AO10" s="32">
        <f>'FS Desroches Daily'!BX12</f>
        <v>39.999999999992042</v>
      </c>
      <c r="AP10" s="32">
        <f>'FS Desroches Daily'!BZ12</f>
        <v>50</v>
      </c>
      <c r="AQ10" s="31">
        <f>'FS Desroches Daily'!CB12</f>
        <v>82.200000000004366</v>
      </c>
      <c r="AR10" s="31">
        <f>'FS Desroches Daily'!CD12</f>
        <v>11.900000000001455</v>
      </c>
      <c r="AS10" s="31">
        <f>'FS Desroches Daily'!CF12</f>
        <v>1.9000000000014552</v>
      </c>
      <c r="AT10" s="31">
        <f>'FS Desroches Daily'!CH12</f>
        <v>57.30000000000291</v>
      </c>
      <c r="AU10" s="31">
        <f>'FS Desroches Daily'!CJ12</f>
        <v>331</v>
      </c>
      <c r="AV10" s="31">
        <f>'FS Desroches Daily'!CL12</f>
        <v>1000</v>
      </c>
      <c r="AW10" s="31">
        <f>'FS Desroches Daily'!CM12</f>
        <v>109</v>
      </c>
      <c r="AX10" s="31">
        <f>IF(LPG!F18-LPG!F16&lt;0,"0",(LPG!F18-LPG!F16)*1.8315)</f>
        <v>0</v>
      </c>
      <c r="AY10" s="31">
        <f>IF(LPG!H18-LPG!H16&lt;0,"0",(LPG!H18-LPG!H16)*1.8315)</f>
        <v>12.820499999999999</v>
      </c>
      <c r="AZ10" s="31">
        <f>IF(LPG!J18-LPG!J16&lt;0,"0",(LPG!J18-LPG!J16)*1.8315)</f>
        <v>0</v>
      </c>
      <c r="BA10" s="31">
        <f>IF(LPG!M18-LPG!M16&lt;0,"0",(LPG!M18-LPG!M16)*1.8315)</f>
        <v>0</v>
      </c>
      <c r="BB10" s="31">
        <f>IF(LPG!Q17-LPG!Q16&lt;0,"0",(LPG!Q17-LPG!Q16)*1.8315)</f>
        <v>5.4944999999999995</v>
      </c>
      <c r="BC10" s="13">
        <f>'FS Desroches Daily'!CN12</f>
        <v>34</v>
      </c>
      <c r="BD10" s="9"/>
    </row>
    <row r="11" spans="1:56" s="16" customFormat="1" x14ac:dyDescent="0.25">
      <c r="A11" s="27" t="s">
        <v>11</v>
      </c>
      <c r="B11" s="15">
        <v>10</v>
      </c>
      <c r="C11" s="18">
        <v>1</v>
      </c>
      <c r="D11" s="27">
        <v>2023</v>
      </c>
      <c r="E11" s="31">
        <f>'FS Desroches Daily'!D13</f>
        <v>3499.9999999998367</v>
      </c>
      <c r="F11" s="32">
        <f>'FS Desroches Daily'!F13</f>
        <v>3499.9999999998367</v>
      </c>
      <c r="G11" s="31">
        <f>'FS Desroches Daily'!H13</f>
        <v>4100.0000000002146</v>
      </c>
      <c r="H11" s="32">
        <f>'FS Desroches Daily'!J13</f>
        <v>1700.0000000000348</v>
      </c>
      <c r="I11" s="31">
        <f>'FS Desroches Daily'!L13</f>
        <v>2699.9999999999245</v>
      </c>
      <c r="J11" s="32">
        <f>'FS Desroches Daily'!N13</f>
        <v>1599.9999999998238</v>
      </c>
      <c r="K11" s="13">
        <f>'FS Desroches Daily'!P13</f>
        <v>15</v>
      </c>
      <c r="L11" s="31">
        <f>'FS Desroches Daily'!R13</f>
        <v>5</v>
      </c>
      <c r="M11" s="31">
        <f>'FS Desroches Daily'!T13</f>
        <v>1699.9999999998181</v>
      </c>
      <c r="N11" s="31">
        <f>'FS Desroches Daily'!V13</f>
        <v>533.09999999997672</v>
      </c>
      <c r="O11" s="31">
        <f>'FS Desroches Daily'!X13</f>
        <v>340.00000000003183</v>
      </c>
      <c r="P11" s="31">
        <f>'FS Desroches Daily'!Z13</f>
        <v>3099.9999999998809</v>
      </c>
      <c r="Q11" s="31">
        <f>'FS Desroches Daily'!AB13</f>
        <v>259.99999999999091</v>
      </c>
      <c r="R11" s="31">
        <f>'FS Desroches Daily'!AD13</f>
        <v>420.00000000007276</v>
      </c>
      <c r="S11" s="31">
        <f>'FS Desroches Daily'!AF13</f>
        <v>899.99999999997726</v>
      </c>
      <c r="T11" s="31">
        <f>'FS Desroches Daily'!AH13</f>
        <v>48</v>
      </c>
      <c r="U11" s="35">
        <f>'FS Desroches Daily'!AJ13</f>
        <v>1099.9999999998788</v>
      </c>
      <c r="V11" s="35">
        <f>'FS Desroches Daily'!AL13</f>
        <v>240.00000000000909</v>
      </c>
      <c r="W11" s="35">
        <f>'FS Desroches Daily'!AN13</f>
        <v>159.99999999996817</v>
      </c>
      <c r="X11" s="35">
        <f>'FS Desroches Daily'!AP13</f>
        <v>289.99999999996362</v>
      </c>
      <c r="Y11" s="35">
        <f>'FS Desroches Daily'!AR13</f>
        <v>219.99999999997044</v>
      </c>
      <c r="Z11" s="35">
        <f>'FS Desroches Daily'!AT13</f>
        <v>359.9999999999568</v>
      </c>
      <c r="AA11" s="35">
        <f>'FS Desroches Daily'!AT13</f>
        <v>359.9999999999568</v>
      </c>
      <c r="AB11" s="35">
        <f>'FS Desroches Daily'!AV13</f>
        <v>160.00000000002501</v>
      </c>
      <c r="AC11" s="35">
        <f>'FS Desroches Daily'!AZ13</f>
        <v>199.99999999998863</v>
      </c>
      <c r="AD11" s="35">
        <f>'FS Desroches Daily'!BB13</f>
        <v>199.99999999998863</v>
      </c>
      <c r="AE11" s="35">
        <f>'FS Desroches Daily'!BD13</f>
        <v>149.99999999997726</v>
      </c>
      <c r="AF11" s="31">
        <f>'FS Desroches Daily'!BF13</f>
        <v>70</v>
      </c>
      <c r="AG11" s="32">
        <f>'FS Desroches Daily'!BH13</f>
        <v>40.000000000020464</v>
      </c>
      <c r="AH11" s="32">
        <f>'FS Desroches Daily'!BJ13</f>
        <v>40.000000000020464</v>
      </c>
      <c r="AI11" s="32">
        <f>'FS Desroches Daily'!BL13</f>
        <v>80.000000000040927</v>
      </c>
      <c r="AJ11" s="32">
        <f>'FS Desroches Daily'!BN13</f>
        <v>50.000000000011369</v>
      </c>
      <c r="AK11" s="32">
        <f>'FS Desroches Daily'!BP13</f>
        <v>40.000000000020464</v>
      </c>
      <c r="AL11" s="32">
        <f>'FS Desroches Daily'!BR13</f>
        <v>53</v>
      </c>
      <c r="AM11" s="32">
        <f>'FS Desroches Daily'!BT13</f>
        <v>60.000000000002274</v>
      </c>
      <c r="AN11" s="32">
        <f>'FS Desroches Daily'!BV13</f>
        <v>49</v>
      </c>
      <c r="AO11" s="32">
        <f>'FS Desroches Daily'!BX13</f>
        <v>40.000000000020464</v>
      </c>
      <c r="AP11" s="32">
        <f>'FS Desroches Daily'!BZ13</f>
        <v>55</v>
      </c>
      <c r="AQ11" s="31">
        <f>'FS Desroches Daily'!CB13</f>
        <v>56.599999999998545</v>
      </c>
      <c r="AR11" s="31">
        <f>'FS Desroches Daily'!CD13</f>
        <v>12.299999999999272</v>
      </c>
      <c r="AS11" s="31">
        <f>'FS Desroches Daily'!CF13</f>
        <v>3.6999999999989086</v>
      </c>
      <c r="AT11" s="31">
        <f>'FS Desroches Daily'!CH13</f>
        <v>71.19999999999709</v>
      </c>
      <c r="AU11" s="31">
        <f>'FS Desroches Daily'!CJ13</f>
        <v>325</v>
      </c>
      <c r="AV11" s="31">
        <f>'FS Desroches Daily'!CL13</f>
        <v>1100.0000000001364</v>
      </c>
      <c r="AW11" s="31">
        <f>'FS Desroches Daily'!CM13</f>
        <v>122</v>
      </c>
      <c r="AX11" s="31">
        <f>IF(LPG!F18-LPG!F17&lt;0,"0",(LPG!F18-LPG!F17)*1.8315)</f>
        <v>0</v>
      </c>
      <c r="AY11" s="31">
        <f>IF(LPG!H18-LPG!H17&lt;0,"0",(LPG!H18-LPG!H17)*1.8315)</f>
        <v>5.4944999999999995</v>
      </c>
      <c r="AZ11" s="31">
        <f>IF(LPG!J18-LPG!J17&lt;0,"0",(LPG!J18-LPG!J17)*1.8315)</f>
        <v>0</v>
      </c>
      <c r="BA11" s="31">
        <f>IF(LPG!M19-LPG!M17&lt;0,"0",(LPG!M19-LPG!M17)*1.8315)</f>
        <v>0</v>
      </c>
      <c r="BB11" s="31">
        <f>IF(LPG!Q18-LPG!Q17&lt;0,"0",(LPG!Q18-LPG!Q17)*1.8315)</f>
        <v>3.6629999999999998</v>
      </c>
      <c r="BC11" s="13">
        <f>'FS Desroches Daily'!CN13</f>
        <v>34</v>
      </c>
      <c r="BD11" s="9"/>
    </row>
    <row r="12" spans="1:56" s="16" customFormat="1" x14ac:dyDescent="0.25">
      <c r="A12" s="27" t="s">
        <v>11</v>
      </c>
      <c r="B12" s="15">
        <v>11</v>
      </c>
      <c r="C12" s="18">
        <v>1</v>
      </c>
      <c r="D12" s="27">
        <v>2023</v>
      </c>
      <c r="E12" s="31">
        <f>'FS Desroches Daily'!D14</f>
        <v>3400.0000000000696</v>
      </c>
      <c r="F12" s="32">
        <f>'FS Desroches Daily'!F14</f>
        <v>3199.9999999996476</v>
      </c>
      <c r="G12" s="31">
        <f>'FS Desroches Daily'!H14</f>
        <v>4299.9999999997481</v>
      </c>
      <c r="H12" s="32">
        <f>'FS Desroches Daily'!J14</f>
        <v>1599.9999999998238</v>
      </c>
      <c r="I12" s="31">
        <f>'FS Desroches Daily'!L14</f>
        <v>2600.0000000001578</v>
      </c>
      <c r="J12" s="32">
        <f>'FS Desroches Daily'!N14</f>
        <v>1800.0000000002458</v>
      </c>
      <c r="K12" s="13">
        <f>'FS Desroches Daily'!P14</f>
        <v>15</v>
      </c>
      <c r="L12" s="31">
        <f>'FS Desroches Daily'!R14</f>
        <v>6</v>
      </c>
      <c r="M12" s="31">
        <f>'FS Desroches Daily'!T14</f>
        <v>1600.0000000001364</v>
      </c>
      <c r="N12" s="31">
        <f>'FS Desroches Daily'!V14</f>
        <v>540.69999999995343</v>
      </c>
      <c r="O12" s="31">
        <f>'FS Desroches Daily'!X14</f>
        <v>349.99999999990905</v>
      </c>
      <c r="P12" s="31">
        <f>'FS Desroches Daily'!Z14</f>
        <v>2799.9999999996917</v>
      </c>
      <c r="Q12" s="31">
        <f>'FS Desroches Daily'!AB14</f>
        <v>419.99999999995907</v>
      </c>
      <c r="R12" s="31">
        <f>'FS Desroches Daily'!AD14</f>
        <v>419.99999999995907</v>
      </c>
      <c r="S12" s="31">
        <f>'FS Desroches Daily'!AF14</f>
        <v>840.00000000003183</v>
      </c>
      <c r="T12" s="31">
        <f>'FS Desroches Daily'!AH14</f>
        <v>47</v>
      </c>
      <c r="U12" s="35">
        <f>'FS Desroches Daily'!AJ14</f>
        <v>1000.0000000001119</v>
      </c>
      <c r="V12" s="35">
        <f>'FS Desroches Daily'!AL14</f>
        <v>219.99999999997044</v>
      </c>
      <c r="W12" s="35">
        <f>'FS Desroches Daily'!AN14</f>
        <v>129.99999999999545</v>
      </c>
      <c r="X12" s="35">
        <f>'FS Desroches Daily'!AP14</f>
        <v>290.00000000002046</v>
      </c>
      <c r="Y12" s="35">
        <f>'FS Desroches Daily'!AR14</f>
        <v>230.00000000001819</v>
      </c>
      <c r="Z12" s="35">
        <f>'FS Desroches Daily'!AT14</f>
        <v>340.00000000003183</v>
      </c>
      <c r="AA12" s="35">
        <f>'FS Desroches Daily'!AT14</f>
        <v>340.00000000003183</v>
      </c>
      <c r="AB12" s="35">
        <f>'FS Desroches Daily'!AV14</f>
        <v>149.99999999997726</v>
      </c>
      <c r="AC12" s="35">
        <f>'FS Desroches Daily'!AZ14</f>
        <v>220.00000000002728</v>
      </c>
      <c r="AD12" s="35">
        <f>'FS Desroches Daily'!BB14</f>
        <v>180.00000000000682</v>
      </c>
      <c r="AE12" s="35">
        <f>'FS Desroches Daily'!BD14</f>
        <v>140.0000000000432</v>
      </c>
      <c r="AF12" s="31">
        <f>'FS Desroches Daily'!BF14</f>
        <v>37</v>
      </c>
      <c r="AG12" s="32">
        <f>'FS Desroches Daily'!BH14</f>
        <v>40.000000000020464</v>
      </c>
      <c r="AH12" s="32">
        <f>'FS Desroches Daily'!BJ14</f>
        <v>39.99999999996362</v>
      </c>
      <c r="AI12" s="32">
        <f>'FS Desroches Daily'!BL14</f>
        <v>60.000000000002274</v>
      </c>
      <c r="AJ12" s="32">
        <f>'FS Desroches Daily'!BN14</f>
        <v>39.999999999992042</v>
      </c>
      <c r="AK12" s="32">
        <f>'FS Desroches Daily'!BP14</f>
        <v>29.999999999972715</v>
      </c>
      <c r="AL12" s="32">
        <f>'FS Desroches Daily'!BR14</f>
        <v>42</v>
      </c>
      <c r="AM12" s="32">
        <f>'FS Desroches Daily'!BT14</f>
        <v>50.000000000011369</v>
      </c>
      <c r="AN12" s="32">
        <f>'FS Desroches Daily'!BV14</f>
        <v>39</v>
      </c>
      <c r="AO12" s="32">
        <f>'FS Desroches Daily'!BX14</f>
        <v>39.999999999992042</v>
      </c>
      <c r="AP12" s="32">
        <f>'FS Desroches Daily'!BZ14</f>
        <v>51</v>
      </c>
      <c r="AQ12" s="31">
        <f>'FS Desroches Daily'!CB14</f>
        <v>79.900000000001455</v>
      </c>
      <c r="AR12" s="31">
        <f>'FS Desroches Daily'!CD14</f>
        <v>16.5</v>
      </c>
      <c r="AS12" s="31">
        <f>'FS Desroches Daily'!CF14</f>
        <v>2.7000000000007276</v>
      </c>
      <c r="AT12" s="31">
        <f>'FS Desroches Daily'!CH14</f>
        <v>47.19999999999709</v>
      </c>
      <c r="AU12" s="31">
        <f>'FS Desroches Daily'!CJ14</f>
        <v>324</v>
      </c>
      <c r="AV12" s="31">
        <f>'FS Desroches Daily'!CL14</f>
        <v>1000</v>
      </c>
      <c r="AW12" s="31">
        <f>'FS Desroches Daily'!CM14</f>
        <v>161</v>
      </c>
      <c r="AX12" s="31">
        <f>IF(LPG!F19-LPG!F18&lt;0,"0",(LPG!F19-LPG!F18)*1.8315)</f>
        <v>0</v>
      </c>
      <c r="AY12" s="31">
        <f>IF(LPG!H19-LPG!H18&lt;0,"0",(LPG!H19-LPG!H18)*1.8315)</f>
        <v>5.4944999999999995</v>
      </c>
      <c r="AZ12" s="31">
        <f>IF(LPG!J19-LPG!J18&lt;0,"0",(LPG!J19-LPG!J18)*1.8315)</f>
        <v>0</v>
      </c>
      <c r="BA12" s="31">
        <f>IF(LPG!M19-LPG!M18&lt;0,"0",(LPG!M19-LPG!M18)*1.8315)</f>
        <v>0</v>
      </c>
      <c r="BB12" s="31">
        <f>IF(LPG!Q20-LPG!Q18&lt;0,"0",(LPG!Q20-LPG!Q18)*1.8315)</f>
        <v>9.1574999999999989</v>
      </c>
      <c r="BC12" s="13">
        <f>'FS Desroches Daily'!CN14</f>
        <v>32</v>
      </c>
      <c r="BD12" s="9"/>
    </row>
    <row r="13" spans="1:56" s="16" customFormat="1" x14ac:dyDescent="0.25">
      <c r="A13" s="27" t="s">
        <v>11</v>
      </c>
      <c r="B13" s="15">
        <v>12</v>
      </c>
      <c r="C13" s="18">
        <v>1</v>
      </c>
      <c r="D13" s="27">
        <v>2023</v>
      </c>
      <c r="E13" s="31">
        <f>'FS Desroches Daily'!D15</f>
        <v>2799.9999999996917</v>
      </c>
      <c r="F13" s="32">
        <f>'FS Desroches Daily'!F15</f>
        <v>3200.0000000005357</v>
      </c>
      <c r="G13" s="31">
        <f>'FS Desroches Daily'!H15</f>
        <v>3599.9999999996035</v>
      </c>
      <c r="H13" s="32">
        <f>'FS Desroches Daily'!J15</f>
        <v>1500.0000000000568</v>
      </c>
      <c r="I13" s="31">
        <f>'FS Desroches Daily'!L15</f>
        <v>2299.9999999999686</v>
      </c>
      <c r="J13" s="32">
        <f>'FS Desroches Daily'!N15</f>
        <v>1399.9999999998458</v>
      </c>
      <c r="K13" s="13">
        <f>'FS Desroches Daily'!P15</f>
        <v>11</v>
      </c>
      <c r="L13" s="31">
        <f>'FS Desroches Daily'!R15</f>
        <v>4</v>
      </c>
      <c r="M13" s="31">
        <f>'FS Desroches Daily'!T15</f>
        <v>1200.0000000000455</v>
      </c>
      <c r="N13" s="31">
        <f>'FS Desroches Daily'!V15</f>
        <v>395.60000000009313</v>
      </c>
      <c r="O13" s="31">
        <f>'FS Desroches Daily'!X15</f>
        <v>310.00000000005912</v>
      </c>
      <c r="P13" s="31">
        <f>'FS Desroches Daily'!Z15</f>
        <v>2900.0000000003465</v>
      </c>
      <c r="Q13" s="31">
        <f>'FS Desroches Daily'!AB15</f>
        <v>250</v>
      </c>
      <c r="R13" s="31">
        <f>'FS Desroches Daily'!AD15</f>
        <v>309.99999999994543</v>
      </c>
      <c r="S13" s="31">
        <f>'FS Desroches Daily'!AF15</f>
        <v>649.99999999997726</v>
      </c>
      <c r="T13" s="31">
        <f>'FS Desroches Daily'!AH15</f>
        <v>40</v>
      </c>
      <c r="U13" s="35">
        <f>'FS Desroches Daily'!AJ15</f>
        <v>799.99999999991189</v>
      </c>
      <c r="V13" s="35">
        <f>'FS Desroches Daily'!AL15</f>
        <v>180.00000000000682</v>
      </c>
      <c r="W13" s="35">
        <f>'FS Desroches Daily'!AN15</f>
        <v>129.99999999999545</v>
      </c>
      <c r="X13" s="35">
        <f>'FS Desroches Daily'!AP15</f>
        <v>240.00000000000909</v>
      </c>
      <c r="Y13" s="35">
        <f>'FS Desroches Daily'!AR15</f>
        <v>170.00000000001592</v>
      </c>
      <c r="Z13" s="35">
        <f>'FS Desroches Daily'!AT15</f>
        <v>279.99999999997272</v>
      </c>
      <c r="AA13" s="35">
        <f>'FS Desroches Daily'!AT15</f>
        <v>279.99999999997272</v>
      </c>
      <c r="AB13" s="35">
        <f>'FS Desroches Daily'!AV15</f>
        <v>160.00000000002501</v>
      </c>
      <c r="AC13" s="35">
        <f>'FS Desroches Daily'!AZ15</f>
        <v>199.99999999998863</v>
      </c>
      <c r="AD13" s="35">
        <f>'FS Desroches Daily'!BB15</f>
        <v>129.99999999999545</v>
      </c>
      <c r="AE13" s="35">
        <f>'FS Desroches Daily'!BD15</f>
        <v>99.999999999965894</v>
      </c>
      <c r="AF13" s="31">
        <f>'FS Desroches Daily'!BF15</f>
        <v>19</v>
      </c>
      <c r="AG13" s="32">
        <f>'FS Desroches Daily'!BH15</f>
        <v>29.999999999972715</v>
      </c>
      <c r="AH13" s="32">
        <f>'FS Desroches Daily'!BJ15</f>
        <v>40.000000000020464</v>
      </c>
      <c r="AI13" s="32">
        <f>'FS Desroches Daily'!BL15</f>
        <v>49.999999999954525</v>
      </c>
      <c r="AJ13" s="32">
        <f>'FS Desroches Daily'!BN15</f>
        <v>40.000000000020464</v>
      </c>
      <c r="AK13" s="32">
        <f>'FS Desroches Daily'!BP15</f>
        <v>30.000000000029559</v>
      </c>
      <c r="AL13" s="32">
        <f>'FS Desroches Daily'!BR15</f>
        <v>43</v>
      </c>
      <c r="AM13" s="32">
        <f>'FS Desroches Daily'!BT15</f>
        <v>39.999999999992042</v>
      </c>
      <c r="AN13" s="32">
        <f>'FS Desroches Daily'!BV15</f>
        <v>35</v>
      </c>
      <c r="AO13" s="32">
        <f>'FS Desroches Daily'!BX15</f>
        <v>30.000000000001137</v>
      </c>
      <c r="AP13" s="32">
        <f>'FS Desroches Daily'!BZ15</f>
        <v>49</v>
      </c>
      <c r="AQ13" s="31">
        <f>'FS Desroches Daily'!CB15</f>
        <v>88.099999999998545</v>
      </c>
      <c r="AR13" s="31">
        <f>'FS Desroches Daily'!CD15</f>
        <v>27.200000000000728</v>
      </c>
      <c r="AS13" s="31">
        <f>'FS Desroches Daily'!CF15</f>
        <v>2.2999999999992724</v>
      </c>
      <c r="AT13" s="31">
        <f>'FS Desroches Daily'!CH15</f>
        <v>53.200000000011642</v>
      </c>
      <c r="AU13" s="31">
        <f>'FS Desroches Daily'!CJ15</f>
        <v>287</v>
      </c>
      <c r="AV13" s="31">
        <f>'FS Desroches Daily'!CL15</f>
        <v>1200.0000000000455</v>
      </c>
      <c r="AW13" s="31">
        <f>'FS Desroches Daily'!CM15</f>
        <v>139</v>
      </c>
      <c r="AX13" s="31">
        <f>IF(LPG!F20-LPG!F19&lt;0,"0",(LPG!F20-LPG!F19)*1.8315)</f>
        <v>0</v>
      </c>
      <c r="AY13" s="31">
        <f>IF(LPG!H20-LPG!H19&lt;0,"0",(LPG!H20-LPG!H19)*1.8315)</f>
        <v>3.6629999999999998</v>
      </c>
      <c r="AZ13" s="31">
        <f>IF(LPG!J20-LPG!J19&lt;0,"0",(LPG!J20-LPG!J19)*1.8315)</f>
        <v>0</v>
      </c>
      <c r="BA13" s="31">
        <f>IF(LPG!M20-LPG!M19&lt;0,"0",(LPG!M20-LPG!M19)*1.8315)</f>
        <v>0</v>
      </c>
      <c r="BB13" s="31">
        <f>IF(LPG!Q20-LPG!Q19&lt;0,"0",(LPG!Q20-LPG!Q19)*1.8315)</f>
        <v>3.6629999999999998</v>
      </c>
      <c r="BC13" s="13">
        <f>'FS Desroches Daily'!CN15</f>
        <v>32</v>
      </c>
      <c r="BD13" s="9"/>
    </row>
    <row r="14" spans="1:56" s="16" customFormat="1" x14ac:dyDescent="0.25">
      <c r="A14" s="27" t="s">
        <v>11</v>
      </c>
      <c r="B14" s="15">
        <v>13</v>
      </c>
      <c r="C14" s="18">
        <v>1</v>
      </c>
      <c r="D14" s="27">
        <v>2023</v>
      </c>
      <c r="E14" s="31">
        <f>'FS Desroches Daily'!D16</f>
        <v>2500.0000000003906</v>
      </c>
      <c r="F14" s="32">
        <f>'FS Desroches Daily'!F16</f>
        <v>2999.9999999992256</v>
      </c>
      <c r="G14" s="31">
        <f>'FS Desroches Daily'!H16</f>
        <v>3700.0000000002588</v>
      </c>
      <c r="H14" s="32">
        <f>'FS Desroches Daily'!J16</f>
        <v>1400.0000000002899</v>
      </c>
      <c r="I14" s="31">
        <f>'FS Desroches Daily'!L16</f>
        <v>2099.9999999999909</v>
      </c>
      <c r="J14" s="32">
        <f>'FS Desroches Daily'!N16</f>
        <v>1399.9999999998458</v>
      </c>
      <c r="K14" s="13">
        <f>'FS Desroches Daily'!P16</f>
        <v>9</v>
      </c>
      <c r="L14" s="31">
        <f>'FS Desroches Daily'!R16</f>
        <v>2</v>
      </c>
      <c r="M14" s="31">
        <f>'FS Desroches Daily'!T16</f>
        <v>1399.9999999998636</v>
      </c>
      <c r="N14" s="31">
        <f>'FS Desroches Daily'!V16</f>
        <v>411.89999999990687</v>
      </c>
      <c r="O14" s="31">
        <f>'FS Desroches Daily'!X16</f>
        <v>320.00000000005002</v>
      </c>
      <c r="P14" s="31">
        <f>'FS Desroches Daily'!Z16</f>
        <v>2699.9999999999245</v>
      </c>
      <c r="Q14" s="31">
        <f>'FS Desroches Daily'!AB16</f>
        <v>400.00000000009095</v>
      </c>
      <c r="R14" s="31">
        <f>'FS Desroches Daily'!AD16</f>
        <v>290.00000000007731</v>
      </c>
      <c r="S14" s="31">
        <f>'FS Desroches Daily'!AF16</f>
        <v>639.99999999998636</v>
      </c>
      <c r="T14" s="31">
        <f>'FS Desroches Daily'!AH16</f>
        <v>45</v>
      </c>
      <c r="U14" s="35">
        <f>'FS Desroches Daily'!AJ16</f>
        <v>700.00000000014495</v>
      </c>
      <c r="V14" s="35">
        <f>'FS Desroches Daily'!AL16</f>
        <v>149.99999999997726</v>
      </c>
      <c r="W14" s="35">
        <f>'FS Desroches Daily'!AN16</f>
        <v>100.00000000002274</v>
      </c>
      <c r="X14" s="35">
        <f>'FS Desroches Daily'!AP16</f>
        <v>189.99999999999773</v>
      </c>
      <c r="Y14" s="35">
        <f>'FS Desroches Daily'!AR16</f>
        <v>169.99999999995907</v>
      </c>
      <c r="Z14" s="35">
        <f>'FS Desroches Daily'!AT16</f>
        <v>230.00000000001819</v>
      </c>
      <c r="AA14" s="35">
        <f>'FS Desroches Daily'!AT16</f>
        <v>230.00000000001819</v>
      </c>
      <c r="AB14" s="35">
        <f>'FS Desroches Daily'!AV16</f>
        <v>109.9999999999568</v>
      </c>
      <c r="AC14" s="35">
        <f>'FS Desroches Daily'!AZ16</f>
        <v>189.99999999999773</v>
      </c>
      <c r="AD14" s="35">
        <f>'FS Desroches Daily'!BB16</f>
        <v>100.00000000002274</v>
      </c>
      <c r="AE14" s="35">
        <f>'FS Desroches Daily'!BD16</f>
        <v>69.999999999993179</v>
      </c>
      <c r="AF14" s="31">
        <f>'FS Desroches Daily'!BF16</f>
        <v>37</v>
      </c>
      <c r="AG14" s="32">
        <f>'FS Desroches Daily'!BH16</f>
        <v>30.000000000029559</v>
      </c>
      <c r="AH14" s="32">
        <f>'FS Desroches Daily'!BJ16</f>
        <v>30.000000000029559</v>
      </c>
      <c r="AI14" s="32">
        <f>'FS Desroches Daily'!BL16</f>
        <v>30.000000000029559</v>
      </c>
      <c r="AJ14" s="32">
        <f>'FS Desroches Daily'!BN16</f>
        <v>29.999999999972715</v>
      </c>
      <c r="AK14" s="32">
        <f>'FS Desroches Daily'!BP16</f>
        <v>29.999999999972715</v>
      </c>
      <c r="AL14" s="32">
        <f>'FS Desroches Daily'!BR16</f>
        <v>33</v>
      </c>
      <c r="AM14" s="32">
        <f>'FS Desroches Daily'!BT16</f>
        <v>39.999999999992042</v>
      </c>
      <c r="AN14" s="32">
        <f>'FS Desroches Daily'!BV16</f>
        <v>34</v>
      </c>
      <c r="AO14" s="32">
        <f>'FS Desroches Daily'!BX16</f>
        <v>30.000000000001137</v>
      </c>
      <c r="AP14" s="32">
        <f>'FS Desroches Daily'!BZ16</f>
        <v>40</v>
      </c>
      <c r="AQ14" s="31">
        <f>'FS Desroches Daily'!CB16</f>
        <v>89</v>
      </c>
      <c r="AR14" s="31">
        <f>'FS Desroches Daily'!CD16</f>
        <v>11.599999999998545</v>
      </c>
      <c r="AS14" s="31">
        <f>'FS Desroches Daily'!CF16</f>
        <v>2</v>
      </c>
      <c r="AT14" s="31">
        <f>'FS Desroches Daily'!CH16</f>
        <v>48.399999999994179</v>
      </c>
      <c r="AU14" s="31">
        <f>'FS Desroches Daily'!CJ16</f>
        <v>306</v>
      </c>
      <c r="AV14" s="31">
        <f>'FS Desroches Daily'!CL16</f>
        <v>1000</v>
      </c>
      <c r="AW14" s="31">
        <f>'FS Desroches Daily'!CM16</f>
        <v>154</v>
      </c>
      <c r="AX14" s="31">
        <f>IF(LPG!F21-LPG!F20&lt;0,"0",(LPG!F21-LPG!F20)*1.8315)</f>
        <v>0</v>
      </c>
      <c r="AY14" s="31">
        <f>IF(LPG!H21-LPG!H20&lt;0,"0",(LPG!H21-LPG!H20)*1.8315)</f>
        <v>7.3259999999999996</v>
      </c>
      <c r="AZ14" s="31">
        <f>IF(LPG!J21-LPG!J20&lt;0,"0",(LPG!J21-LPG!J20)*1.8315)</f>
        <v>0</v>
      </c>
      <c r="BA14" s="31">
        <f>IF(LPG!M21-LPG!M20&lt;0,"0",(LPG!M21-LPG!M20)*1.8315)</f>
        <v>0</v>
      </c>
      <c r="BB14" s="31">
        <f>IF(LPG!Q21-LPG!Q20&lt;0,"0",(LPG!Q21-LPG!Q20)*1.8315)</f>
        <v>3.6629999999999998</v>
      </c>
      <c r="BC14" s="13">
        <f>'FS Desroches Daily'!CN16</f>
        <v>32</v>
      </c>
      <c r="BD14" s="9"/>
    </row>
    <row r="15" spans="1:56" s="16" customFormat="1" x14ac:dyDescent="0.25">
      <c r="A15" s="27" t="s">
        <v>11</v>
      </c>
      <c r="B15" s="15">
        <v>14</v>
      </c>
      <c r="C15" s="18">
        <v>1</v>
      </c>
      <c r="D15" s="27">
        <v>2023</v>
      </c>
      <c r="E15" s="31">
        <f>'FS Desroches Daily'!D17</f>
        <v>2599.9999999997135</v>
      </c>
      <c r="F15" s="32">
        <f>'FS Desroches Daily'!F17</f>
        <v>3200.0000000005357</v>
      </c>
      <c r="G15" s="31">
        <f>'FS Desroches Daily'!H17</f>
        <v>4199.9999999999818</v>
      </c>
      <c r="H15" s="32">
        <f>'FS Desroches Daily'!J17</f>
        <v>1499.9999999996128</v>
      </c>
      <c r="I15" s="31">
        <f>'FS Desroches Daily'!L17</f>
        <v>2099.9999999999909</v>
      </c>
      <c r="J15" s="32">
        <f>'FS Desroches Daily'!N17</f>
        <v>1400.0000000002899</v>
      </c>
      <c r="K15" s="13">
        <f>'FS Desroches Daily'!P17</f>
        <v>26</v>
      </c>
      <c r="L15" s="31">
        <f>'FS Desroches Daily'!R17</f>
        <v>4</v>
      </c>
      <c r="M15" s="31">
        <f>'FS Desroches Daily'!T17</f>
        <v>1799.9999999999545</v>
      </c>
      <c r="N15" s="31">
        <f>'FS Desroches Daily'!V17</f>
        <v>672.60000000009313</v>
      </c>
      <c r="O15" s="31">
        <f>'FS Desroches Daily'!X17</f>
        <v>319.99999999993634</v>
      </c>
      <c r="P15" s="31">
        <f>'FS Desroches Daily'!Z17</f>
        <v>3199.9999999996476</v>
      </c>
      <c r="Q15" s="31">
        <f>'FS Desroches Daily'!AB17</f>
        <v>250</v>
      </c>
      <c r="R15" s="31">
        <f>'FS Desroches Daily'!AD17</f>
        <v>350.00000000002274</v>
      </c>
      <c r="S15" s="31">
        <f>'FS Desroches Daily'!AF17</f>
        <v>769.99999999998181</v>
      </c>
      <c r="T15" s="31">
        <f>'FS Desroches Daily'!AH17</f>
        <v>50</v>
      </c>
      <c r="U15" s="35">
        <f>'FS Desroches Daily'!AJ17</f>
        <v>999.99999999988984</v>
      </c>
      <c r="V15" s="35">
        <f>'FS Desroches Daily'!AL17</f>
        <v>180.00000000000682</v>
      </c>
      <c r="W15" s="35">
        <f>'FS Desroches Daily'!AN17</f>
        <v>139.99999999998636</v>
      </c>
      <c r="X15" s="35">
        <f>'FS Desroches Daily'!AP17</f>
        <v>250</v>
      </c>
      <c r="Y15" s="35">
        <f>'FS Desroches Daily'!AR17</f>
        <v>180.00000000000682</v>
      </c>
      <c r="Z15" s="35">
        <f>'FS Desroches Daily'!AT17</f>
        <v>269.99999999998181</v>
      </c>
      <c r="AA15" s="35">
        <f>'FS Desroches Daily'!AT17</f>
        <v>269.99999999998181</v>
      </c>
      <c r="AB15" s="35">
        <f>'FS Desroches Daily'!AV17</f>
        <v>120.00000000000455</v>
      </c>
      <c r="AC15" s="35">
        <f>'FS Desroches Daily'!AZ17</f>
        <v>230.00000000001819</v>
      </c>
      <c r="AD15" s="35">
        <f>'FS Desroches Daily'!BB17</f>
        <v>149.99999999997726</v>
      </c>
      <c r="AE15" s="35">
        <f>'FS Desroches Daily'!BD17</f>
        <v>60.000000000002274</v>
      </c>
      <c r="AF15" s="31">
        <f>'FS Desroches Daily'!BF17</f>
        <v>51</v>
      </c>
      <c r="AG15" s="32">
        <f>'FS Desroches Daily'!BH17</f>
        <v>29.999999999972715</v>
      </c>
      <c r="AH15" s="32">
        <f>'FS Desroches Daily'!BJ17</f>
        <v>39.99999999996362</v>
      </c>
      <c r="AI15" s="32">
        <f>'FS Desroches Daily'!BL17</f>
        <v>60.000000000002274</v>
      </c>
      <c r="AJ15" s="32">
        <f>'FS Desroches Daily'!BN17</f>
        <v>40.000000000020464</v>
      </c>
      <c r="AK15" s="32">
        <f>'FS Desroches Daily'!BP17</f>
        <v>30.000000000029559</v>
      </c>
      <c r="AL15" s="32">
        <f>'FS Desroches Daily'!BR17</f>
        <v>43</v>
      </c>
      <c r="AM15" s="32">
        <f>'FS Desroches Daily'!BT17</f>
        <v>30.000000000001137</v>
      </c>
      <c r="AN15" s="32">
        <f>'FS Desroches Daily'!BV17</f>
        <v>41</v>
      </c>
      <c r="AO15" s="32">
        <f>'FS Desroches Daily'!BX17</f>
        <v>39.999999999992042</v>
      </c>
      <c r="AP15" s="32">
        <f>'FS Desroches Daily'!BZ17</f>
        <v>48</v>
      </c>
      <c r="AQ15" s="31">
        <f>'FS Desroches Daily'!CB17</f>
        <v>87.80000000000291</v>
      </c>
      <c r="AR15" s="31">
        <f>'FS Desroches Daily'!CD17</f>
        <v>13.299999999999272</v>
      </c>
      <c r="AS15" s="31">
        <f>'FS Desroches Daily'!CF17</f>
        <v>1.5</v>
      </c>
      <c r="AT15" s="31">
        <f>'FS Desroches Daily'!CH17</f>
        <v>56.19999999999709</v>
      </c>
      <c r="AU15" s="31">
        <f>'FS Desroches Daily'!CJ17</f>
        <v>308</v>
      </c>
      <c r="AV15" s="31">
        <f>'FS Desroches Daily'!CL17</f>
        <v>1199.9999999998181</v>
      </c>
      <c r="AW15" s="31">
        <f>'FS Desroches Daily'!CM17</f>
        <v>107</v>
      </c>
      <c r="AX15" s="31">
        <f>IF(LPG!F22-LPG!F21&lt;0,"0",(LPG!F22-LPG!F21)*1.8315)</f>
        <v>0</v>
      </c>
      <c r="AY15" s="31">
        <f>IF(LPG!H22-LPG!H21&lt;0,"0",(LPG!H22-LPG!H21)*1.8315)</f>
        <v>3.6629999999999998</v>
      </c>
      <c r="AZ15" s="31">
        <f>IF(LPG!J22-LPG!J21&lt;0,"0",(LPG!J22-LPG!J21)*1.8315)</f>
        <v>0</v>
      </c>
      <c r="BA15" s="31">
        <f>IF(LPG!M22-LPG!M21&lt;0,"0",(LPG!M22-LPG!M21)*1.8315)</f>
        <v>0</v>
      </c>
      <c r="BB15" s="31">
        <f>IF(LPG!Q22-LPG!Q21&lt;0,"0",(LPG!Q22-LPG!Q21)*1.8315)</f>
        <v>5.4944999999999995</v>
      </c>
      <c r="BC15" s="13">
        <f>'FS Desroches Daily'!CN17</f>
        <v>24</v>
      </c>
      <c r="BD15" s="9"/>
    </row>
    <row r="16" spans="1:56" s="16" customFormat="1" x14ac:dyDescent="0.25">
      <c r="A16" s="27" t="s">
        <v>11</v>
      </c>
      <c r="B16" s="15">
        <v>15</v>
      </c>
      <c r="C16" s="18">
        <v>1</v>
      </c>
      <c r="D16" s="27">
        <v>2023</v>
      </c>
      <c r="E16" s="31">
        <f>'FS Desroches Daily'!D18</f>
        <v>2499.9999999999468</v>
      </c>
      <c r="F16" s="32">
        <f>'FS Desroches Daily'!F18</f>
        <v>3199.9999999996476</v>
      </c>
      <c r="G16" s="31">
        <f>'FS Desroches Daily'!H18</f>
        <v>3899.9999999997926</v>
      </c>
      <c r="H16" s="32">
        <f>'FS Desroches Daily'!J18</f>
        <v>1500.0000000000568</v>
      </c>
      <c r="I16" s="31">
        <f>'FS Desroches Daily'!L18</f>
        <v>2099.9999999999909</v>
      </c>
      <c r="J16" s="32">
        <f>'FS Desroches Daily'!N18</f>
        <v>1300.0000000000789</v>
      </c>
      <c r="K16" s="13">
        <f>'FS Desroches Daily'!P18</f>
        <v>161</v>
      </c>
      <c r="L16" s="31">
        <f>'FS Desroches Daily'!R18</f>
        <v>2</v>
      </c>
      <c r="M16" s="31">
        <f>'FS Desroches Daily'!T18</f>
        <v>1500</v>
      </c>
      <c r="N16" s="31">
        <f>'FS Desroches Daily'!V18</f>
        <v>514.69999999995343</v>
      </c>
      <c r="O16" s="31">
        <f>'FS Desroches Daily'!X18</f>
        <v>259.99999999999091</v>
      </c>
      <c r="P16" s="31">
        <f>'FS Desroches Daily'!Z18</f>
        <v>2699.9999999999245</v>
      </c>
      <c r="Q16" s="31">
        <f>'FS Desroches Daily'!AB18</f>
        <v>229.9999999999045</v>
      </c>
      <c r="R16" s="31">
        <f>'FS Desroches Daily'!AD18</f>
        <v>250</v>
      </c>
      <c r="S16" s="31">
        <f>'FS Desroches Daily'!AF18</f>
        <v>670.00000000007276</v>
      </c>
      <c r="T16" s="31">
        <f>'FS Desroches Daily'!AH18</f>
        <v>41</v>
      </c>
      <c r="U16" s="35">
        <f>'FS Desroches Daily'!AJ18</f>
        <v>499.99999999994492</v>
      </c>
      <c r="V16" s="35">
        <f>'FS Desroches Daily'!AL18</f>
        <v>129.99999999999545</v>
      </c>
      <c r="W16" s="35">
        <f>'FS Desroches Daily'!AN18</f>
        <v>100.00000000002274</v>
      </c>
      <c r="X16" s="35">
        <f>'FS Desroches Daily'!AP18</f>
        <v>149.99999999997726</v>
      </c>
      <c r="Y16" s="35">
        <f>'FS Desroches Daily'!AR18</f>
        <v>160.00000000002501</v>
      </c>
      <c r="Z16" s="35">
        <f>'FS Desroches Daily'!AT18</f>
        <v>250</v>
      </c>
      <c r="AA16" s="35">
        <f>'FS Desroches Daily'!AT18</f>
        <v>250</v>
      </c>
      <c r="AB16" s="35">
        <f>'FS Desroches Daily'!AV18</f>
        <v>90.000000000031832</v>
      </c>
      <c r="AC16" s="35">
        <f>'FS Desroches Daily'!AZ18</f>
        <v>149.99999999997726</v>
      </c>
      <c r="AD16" s="35">
        <f>'FS Desroches Daily'!BB18</f>
        <v>110.00000000001364</v>
      </c>
      <c r="AE16" s="35">
        <f>'FS Desroches Daily'!BD18</f>
        <v>60.000000000002274</v>
      </c>
      <c r="AF16" s="31">
        <f>'FS Desroches Daily'!BF18</f>
        <v>38</v>
      </c>
      <c r="AG16" s="32">
        <f>'FS Desroches Daily'!BH18</f>
        <v>40.000000000020464</v>
      </c>
      <c r="AH16" s="32">
        <f>'FS Desroches Daily'!BJ18</f>
        <v>30.000000000029559</v>
      </c>
      <c r="AI16" s="32">
        <f>'FS Desroches Daily'!BL18</f>
        <v>69.999999999993179</v>
      </c>
      <c r="AJ16" s="32">
        <f>'FS Desroches Daily'!BN18</f>
        <v>49.999999999982947</v>
      </c>
      <c r="AK16" s="32">
        <f>'FS Desroches Daily'!BP18</f>
        <v>40.000000000020464</v>
      </c>
      <c r="AL16" s="32">
        <f>'FS Desroches Daily'!BR18</f>
        <v>40</v>
      </c>
      <c r="AM16" s="32">
        <f>'FS Desroches Daily'!BT18</f>
        <v>40.000000000020464</v>
      </c>
      <c r="AN16" s="32">
        <f>'FS Desroches Daily'!BV18</f>
        <v>40</v>
      </c>
      <c r="AO16" s="32">
        <f>'FS Desroches Daily'!BX18</f>
        <v>30.000000000001137</v>
      </c>
      <c r="AP16" s="32">
        <f>'FS Desroches Daily'!BZ18</f>
        <v>51</v>
      </c>
      <c r="AQ16" s="31">
        <f>'FS Desroches Daily'!CB18</f>
        <v>80.799999999995634</v>
      </c>
      <c r="AR16" s="31">
        <f>'FS Desroches Daily'!CD18</f>
        <v>21.600000000002183</v>
      </c>
      <c r="AS16" s="31">
        <f>'FS Desroches Daily'!CF18</f>
        <v>0.6000000000003638</v>
      </c>
      <c r="AT16" s="31">
        <f>'FS Desroches Daily'!CH18</f>
        <v>68.400000000008731</v>
      </c>
      <c r="AU16" s="31">
        <f>'FS Desroches Daily'!CJ18</f>
        <v>307</v>
      </c>
      <c r="AV16" s="31">
        <f>'FS Desroches Daily'!CL18</f>
        <v>1000</v>
      </c>
      <c r="AW16" s="31">
        <f>'FS Desroches Daily'!CM18</f>
        <v>154</v>
      </c>
      <c r="AX16" s="31">
        <f>IF(LPG!F23-LPG!F22&lt;0,"0",(LPG!F23-LPG!F22)*1.8315)</f>
        <v>0</v>
      </c>
      <c r="AY16" s="31">
        <f>IF(LPG!H23-LPG!H22&lt;0,"0",(LPG!H23-LPG!H22)*1.8315)</f>
        <v>5.4944999999999995</v>
      </c>
      <c r="AZ16" s="31">
        <f>IF(LPG!J23-LPG!J22&lt;0,"0",(LPG!J23-LPG!J22)*1.8315)</f>
        <v>0</v>
      </c>
      <c r="BA16" s="31">
        <f>IF(LPG!M23-LPG!M22&lt;0,"0",(LPG!M23-LPG!M22)*1.8315)</f>
        <v>0</v>
      </c>
      <c r="BB16" s="31">
        <f>IF(LPG!Q23-LPG!Q22&lt;0,"0",(LPG!Q23-LPG!Q22)*1.8315)</f>
        <v>3.6629999999999998</v>
      </c>
      <c r="BC16" s="13">
        <f>'FS Desroches Daily'!CN18</f>
        <v>24</v>
      </c>
      <c r="BD16" s="9"/>
    </row>
    <row r="17" spans="1:56" s="16" customFormat="1" x14ac:dyDescent="0.25">
      <c r="A17" s="27" t="s">
        <v>11</v>
      </c>
      <c r="B17" s="15">
        <v>16</v>
      </c>
      <c r="C17" s="18">
        <v>1</v>
      </c>
      <c r="D17" s="27">
        <v>2023</v>
      </c>
      <c r="E17" s="31">
        <f>'FS Desroches Daily'!D19</f>
        <v>2499.9999999999468</v>
      </c>
      <c r="F17" s="32">
        <f>'FS Desroches Daily'!F19</f>
        <v>3099.9999999998809</v>
      </c>
      <c r="G17" s="31">
        <f>'FS Desroches Daily'!H19</f>
        <v>3700.0000000002588</v>
      </c>
      <c r="H17" s="32">
        <f>'FS Desroches Daily'!J19</f>
        <v>1600.0000000002678</v>
      </c>
      <c r="I17" s="31">
        <f>'FS Desroches Daily'!L19</f>
        <v>2199.9999999997576</v>
      </c>
      <c r="J17" s="32">
        <f>'FS Desroches Daily'!N19</f>
        <v>1499.9999999996128</v>
      </c>
      <c r="K17" s="13">
        <f>'FS Desroches Daily'!P19</f>
        <v>36</v>
      </c>
      <c r="L17" s="31">
        <f>'FS Desroches Daily'!R19</f>
        <v>4</v>
      </c>
      <c r="M17" s="31">
        <f>'FS Desroches Daily'!T19</f>
        <v>1300.0000000001819</v>
      </c>
      <c r="N17" s="31">
        <f>'FS Desroches Daily'!V19</f>
        <v>477.69999999995343</v>
      </c>
      <c r="O17" s="31">
        <f>'FS Desroches Daily'!X19</f>
        <v>250</v>
      </c>
      <c r="P17" s="31">
        <f>'FS Desroches Daily'!Z19</f>
        <v>2900.0000000003465</v>
      </c>
      <c r="Q17" s="31">
        <f>'FS Desroches Daily'!AB19</f>
        <v>379.99999999999545</v>
      </c>
      <c r="R17" s="31">
        <f>'FS Desroches Daily'!AD19</f>
        <v>299.99999999995453</v>
      </c>
      <c r="S17" s="31">
        <f>'FS Desroches Daily'!AF19</f>
        <v>730.00000000001819</v>
      </c>
      <c r="T17" s="31">
        <f>'FS Desroches Daily'!AH19</f>
        <v>44</v>
      </c>
      <c r="U17" s="35">
        <f>'FS Desroches Daily'!AJ19</f>
        <v>600.00000000015598</v>
      </c>
      <c r="V17" s="35">
        <f>'FS Desroches Daily'!AL19</f>
        <v>170.00000000001592</v>
      </c>
      <c r="W17" s="35">
        <f>'FS Desroches Daily'!AN19</f>
        <v>139.99999999998636</v>
      </c>
      <c r="X17" s="35">
        <f>'FS Desroches Daily'!AP19</f>
        <v>180.00000000000682</v>
      </c>
      <c r="Y17" s="35">
        <f>'FS Desroches Daily'!AR19</f>
        <v>159.99999999996817</v>
      </c>
      <c r="Z17" s="35">
        <f>'FS Desroches Daily'!AU20</f>
        <v>385.52</v>
      </c>
      <c r="AA17" s="35">
        <f>'FS Desroches Daily'!AU20</f>
        <v>385.52</v>
      </c>
      <c r="AB17" s="35">
        <f>'FS Desroches Daily'!AV19</f>
        <v>129.99999999999545</v>
      </c>
      <c r="AC17" s="35">
        <f>'FS Desroches Daily'!AZ19</f>
        <v>139.99999999998636</v>
      </c>
      <c r="AD17" s="35">
        <f>'FS Desroches Daily'!BB19</f>
        <v>139.99999999998636</v>
      </c>
      <c r="AE17" s="35">
        <f>'FS Desroches Daily'!BD19</f>
        <v>60.000000000002274</v>
      </c>
      <c r="AF17" s="31">
        <f>'FS Desroches Daily'!BF19</f>
        <v>49</v>
      </c>
      <c r="AG17" s="32">
        <f>'FS Desroches Daily'!BH19</f>
        <v>39.99999999996362</v>
      </c>
      <c r="AH17" s="32">
        <f>'FS Desroches Daily'!BJ19</f>
        <v>50.000000000011369</v>
      </c>
      <c r="AI17" s="32">
        <f>'FS Desroches Daily'!BL19</f>
        <v>69.999999999993179</v>
      </c>
      <c r="AJ17" s="32">
        <f>'FS Desroches Daily'!BN19</f>
        <v>40.000000000020464</v>
      </c>
      <c r="AK17" s="32">
        <f>'FS Desroches Daily'!BP19</f>
        <v>39.99999999996362</v>
      </c>
      <c r="AL17" s="32">
        <f>'FS Desroches Daily'!BR19</f>
        <v>49</v>
      </c>
      <c r="AM17" s="32">
        <f>'FS Desroches Daily'!BT19</f>
        <v>29.999999999972715</v>
      </c>
      <c r="AN17" s="32">
        <f>'FS Desroches Daily'!BV19</f>
        <v>43</v>
      </c>
      <c r="AO17" s="32">
        <f>'FS Desroches Daily'!BX19</f>
        <v>50.000000000011369</v>
      </c>
      <c r="AP17" s="32">
        <f>'FS Desroches Daily'!BZ19</f>
        <v>56</v>
      </c>
      <c r="AQ17" s="31">
        <f>'FS Desroches Daily'!CB19</f>
        <v>93.700000000004366</v>
      </c>
      <c r="AR17" s="31">
        <f>'FS Desroches Daily'!CD19</f>
        <v>24.799999999999272</v>
      </c>
      <c r="AS17" s="31">
        <f>'FS Desroches Daily'!CF19</f>
        <v>5.2999999999992724</v>
      </c>
      <c r="AT17" s="31">
        <f>'FS Desroches Daily'!CH19</f>
        <v>60.299999999988358</v>
      </c>
      <c r="AU17" s="31">
        <f>'FS Desroches Daily'!CJ19</f>
        <v>322</v>
      </c>
      <c r="AV17" s="31">
        <f>'FS Desroches Daily'!CL19</f>
        <v>1200.0000000000455</v>
      </c>
      <c r="AW17" s="31">
        <f>'FS Desroches Daily'!CM19</f>
        <v>121.29999999999927</v>
      </c>
      <c r="AX17" s="31">
        <f>IF(LPG!F24-LPG!F23&lt;0,"0",(LPG!F24-LPG!F23)*1.8315)</f>
        <v>0</v>
      </c>
      <c r="AY17" s="31">
        <f>IF(LPG!H24-LPG!H23&lt;0,"0",(LPG!H24-LPG!H23)*1.8315)</f>
        <v>5.4944999999999995</v>
      </c>
      <c r="AZ17" s="31">
        <f>IF(LPG!J24-LPG!J23&lt;0,"0",(LPG!J24-LPG!J23)*1.8315)</f>
        <v>0</v>
      </c>
      <c r="BA17" s="31">
        <f>IF(LPG!M24-LPG!M23&lt;0,"0",(LPG!M24-LPG!M23)*1.8315)</f>
        <v>0</v>
      </c>
      <c r="BB17" s="31">
        <f>IF(LPG!Q24-LPG!Q23&lt;0,"0",(LPG!Q24-LPG!Q23)*1.8315)</f>
        <v>5.4944999999999995</v>
      </c>
      <c r="BC17" s="13">
        <f>'FS Desroches Daily'!CN19</f>
        <v>17</v>
      </c>
      <c r="BD17" s="9"/>
    </row>
    <row r="18" spans="1:56" s="16" customFormat="1" x14ac:dyDescent="0.25">
      <c r="A18" s="27" t="s">
        <v>11</v>
      </c>
      <c r="B18" s="15">
        <v>17</v>
      </c>
      <c r="C18" s="18">
        <v>1</v>
      </c>
      <c r="D18" s="27">
        <v>2023</v>
      </c>
      <c r="E18" s="31">
        <f>'FS Desroches Daily'!D20</f>
        <v>2400.0000000001796</v>
      </c>
      <c r="F18" s="32">
        <f>'FS Desroches Daily'!F20</f>
        <v>2900.0000000003465</v>
      </c>
      <c r="G18" s="31">
        <f>'FS Desroches Daily'!H20</f>
        <v>3800.0000000000255</v>
      </c>
      <c r="H18" s="32">
        <f>'FS Desroches Daily'!J20</f>
        <v>1599.9999999998238</v>
      </c>
      <c r="I18" s="31">
        <f>'FS Desroches Daily'!L20</f>
        <v>2099.9999999999909</v>
      </c>
      <c r="J18" s="32">
        <f>'FS Desroches Daily'!N20</f>
        <v>1300.0000000000789</v>
      </c>
      <c r="K18" s="13">
        <f>'FS Desroches Daily'!P20</f>
        <v>22</v>
      </c>
      <c r="L18" s="31">
        <f>'FS Desroches Daily'!R20</f>
        <v>4</v>
      </c>
      <c r="M18" s="31">
        <f>'FS Desroches Daily'!T20</f>
        <v>1500</v>
      </c>
      <c r="N18" s="31">
        <f>'FS Desroches Daily'!V20</f>
        <v>468.80000000004657</v>
      </c>
      <c r="O18" s="31">
        <f>'FS Desroches Daily'!X20</f>
        <v>310.00000000005912</v>
      </c>
      <c r="P18" s="31">
        <f>'FS Desroches Daily'!Z20</f>
        <v>2500.0000000003906</v>
      </c>
      <c r="Q18" s="31">
        <f>'FS Desroches Daily'!AB20</f>
        <v>240.00000000000909</v>
      </c>
      <c r="R18" s="31">
        <f>'FS Desroches Daily'!AD20</f>
        <v>279.99999999997272</v>
      </c>
      <c r="S18" s="31">
        <f>'FS Desroches Daily'!AF20</f>
        <v>639.99999999998636</v>
      </c>
      <c r="T18" s="31">
        <f>'FS Desroches Daily'!AH20</f>
        <v>44</v>
      </c>
      <c r="U18" s="35">
        <f>'FS Desroches Daily'!AJ20</f>
        <v>599.99999999993395</v>
      </c>
      <c r="V18" s="35">
        <f>'FS Desroches Daily'!AL20</f>
        <v>170.00000000001592</v>
      </c>
      <c r="W18" s="35">
        <f>'FS Desroches Daily'!AN20</f>
        <v>160.00000000002501</v>
      </c>
      <c r="X18" s="35">
        <f>'FS Desroches Daily'!AP20</f>
        <v>180.00000000000682</v>
      </c>
      <c r="Y18" s="35">
        <f>'FS Desroches Daily'!AR20</f>
        <v>160.00000000002501</v>
      </c>
      <c r="Z18" s="35">
        <f>'FS Desroches Daily'!AT20</f>
        <v>340.00000000003183</v>
      </c>
      <c r="AA18" s="35">
        <f>'FS Desroches Daily'!AT20</f>
        <v>340.00000000003183</v>
      </c>
      <c r="AB18" s="35">
        <f>'FS Desroches Daily'!AV20</f>
        <v>99.999999999965894</v>
      </c>
      <c r="AC18" s="35">
        <f>'FS Desroches Daily'!AZ20</f>
        <v>120.00000000000455</v>
      </c>
      <c r="AD18" s="35">
        <f>'FS Desroches Daily'!BB20</f>
        <v>120.00000000000455</v>
      </c>
      <c r="AE18" s="35">
        <f>'FS Desroches Daily'!BD20</f>
        <v>69.999999999993179</v>
      </c>
      <c r="AF18" s="31">
        <f>'FS Desroches Daily'!BF20</f>
        <v>53</v>
      </c>
      <c r="AG18" s="32">
        <f>'FS Desroches Daily'!BH20</f>
        <v>30.000000000029559</v>
      </c>
      <c r="AH18" s="32">
        <f>'FS Desroches Daily'!BJ20</f>
        <v>39.99999999996362</v>
      </c>
      <c r="AI18" s="32">
        <f>'FS Desroches Daily'!BL20</f>
        <v>69.999999999993179</v>
      </c>
      <c r="AJ18" s="32">
        <f>'FS Desroches Daily'!BN20</f>
        <v>39.999999999992042</v>
      </c>
      <c r="AK18" s="32">
        <f>'FS Desroches Daily'!BP20</f>
        <v>40.000000000020464</v>
      </c>
      <c r="AL18" s="32">
        <f>'FS Desroches Daily'!BR20</f>
        <v>47</v>
      </c>
      <c r="AM18" s="32">
        <f>'FS Desroches Daily'!BT20</f>
        <v>40.000000000020464</v>
      </c>
      <c r="AN18" s="32">
        <f>'FS Desroches Daily'!BV20</f>
        <v>36</v>
      </c>
      <c r="AO18" s="32">
        <f>'FS Desroches Daily'!BX20</f>
        <v>39.999999999992042</v>
      </c>
      <c r="AP18" s="32">
        <f>'FS Desroches Daily'!BZ20</f>
        <v>55</v>
      </c>
      <c r="AQ18" s="31">
        <f>'FS Desroches Daily'!CB20</f>
        <v>84.19999999999709</v>
      </c>
      <c r="AR18" s="31">
        <f>'FS Desroches Daily'!CD20</f>
        <v>10.700000000000728</v>
      </c>
      <c r="AS18" s="31">
        <f>'FS Desroches Daily'!CF20</f>
        <v>0.6000000000003638</v>
      </c>
      <c r="AT18" s="31">
        <f>'FS Desroches Daily'!CH20</f>
        <v>62.900000000008731</v>
      </c>
      <c r="AU18" s="31">
        <f>'FS Desroches Daily'!CJ20</f>
        <v>309</v>
      </c>
      <c r="AV18" s="31">
        <f>'FS Desroches Daily'!CL20</f>
        <v>1000</v>
      </c>
      <c r="AW18" s="31">
        <f>'FS Desroches Daily'!CM20</f>
        <v>100.79999999999927</v>
      </c>
      <c r="AX18" s="31">
        <f>IF(LPG!F25-LPG!F24&lt;0,"0",(LPG!F25-LPG!F24)*1.8315)</f>
        <v>0</v>
      </c>
      <c r="AY18" s="31">
        <f>IF(LPG!H25-LPG!H24&lt;0,"0",(LPG!H25-LPG!H24)*1.8315)</f>
        <v>3.6629999999999998</v>
      </c>
      <c r="AZ18" s="31">
        <f>IF(LPG!J25-LPG!J24&lt;0,"0",(LPG!J25-LPG!J24)*1.8315)</f>
        <v>0</v>
      </c>
      <c r="BA18" s="31">
        <f>IF(LPG!M25-LPG!M24&lt;0,"0",(LPG!M25-LPG!M24)*1.8315)</f>
        <v>0</v>
      </c>
      <c r="BB18" s="31">
        <f>IF(LPG!Q25-LPG!Q24&lt;0,"0",(LPG!Q25-LPG!Q24)*1.8315)</f>
        <v>3.6629999999999998</v>
      </c>
      <c r="BC18" s="13">
        <f>'FS Desroches Daily'!CN20</f>
        <v>17</v>
      </c>
      <c r="BD18" s="9"/>
    </row>
    <row r="19" spans="1:56" s="16" customFormat="1" x14ac:dyDescent="0.25">
      <c r="A19" s="27" t="s">
        <v>11</v>
      </c>
      <c r="B19" s="15">
        <v>18</v>
      </c>
      <c r="C19" s="18">
        <v>1</v>
      </c>
      <c r="D19" s="27">
        <v>2023</v>
      </c>
      <c r="E19" s="31">
        <f>'FS Desroches Daily'!D21</f>
        <v>2400.0000000001796</v>
      </c>
      <c r="F19" s="32">
        <f>'FS Desroches Daily'!F21</f>
        <v>3000.0000000001137</v>
      </c>
      <c r="G19" s="31">
        <f>'FS Desroches Daily'!H21</f>
        <v>3599.9999999996035</v>
      </c>
      <c r="H19" s="32">
        <f>'FS Desroches Daily'!J21</f>
        <v>1599.9999999998238</v>
      </c>
      <c r="I19" s="31">
        <f>'FS Desroches Daily'!L21</f>
        <v>2000.0000000002237</v>
      </c>
      <c r="J19" s="32">
        <f>'FS Desroches Daily'!N21</f>
        <v>1500.0000000000568</v>
      </c>
      <c r="K19" s="13">
        <f>'FS Desroches Daily'!P21</f>
        <v>18</v>
      </c>
      <c r="L19" s="31">
        <f>'FS Desroches Daily'!R21</f>
        <v>4</v>
      </c>
      <c r="M19" s="31">
        <f>'FS Desroches Daily'!T21</f>
        <v>699.9999999998181</v>
      </c>
      <c r="N19" s="31">
        <f>'FS Desroches Daily'!V21</f>
        <v>349.80000000004657</v>
      </c>
      <c r="O19" s="31">
        <f>'FS Desroches Daily'!X21</f>
        <v>309.99999999994543</v>
      </c>
      <c r="P19" s="31">
        <f>'FS Desroches Daily'!Z21</f>
        <v>2799.9999999996917</v>
      </c>
      <c r="Q19" s="31">
        <f>'FS Desroches Daily'!AB21</f>
        <v>330.00000000004093</v>
      </c>
      <c r="R19" s="31">
        <f>'FS Desroches Daily'!AD21</f>
        <v>310.00000000005912</v>
      </c>
      <c r="S19" s="31">
        <f>'FS Desroches Daily'!AF21</f>
        <v>729.9999999999045</v>
      </c>
      <c r="T19" s="31">
        <f>'FS Desroches Daily'!AH21</f>
        <v>43</v>
      </c>
      <c r="U19" s="35">
        <f>'FS Desroches Daily'!AJ21</f>
        <v>599.99999999993395</v>
      </c>
      <c r="V19" s="35">
        <f>'FS Desroches Daily'!AL21</f>
        <v>180.00000000000682</v>
      </c>
      <c r="W19" s="35">
        <f>'FS Desroches Daily'!AN21</f>
        <v>149.99999999997726</v>
      </c>
      <c r="X19" s="35">
        <f>'FS Desroches Daily'!AP21</f>
        <v>209.99999999997954</v>
      </c>
      <c r="Y19" s="35">
        <f>'FS Desroches Daily'!AR21</f>
        <v>189.99999999999773</v>
      </c>
      <c r="Z19" s="35">
        <f>'FS Desroches Daily'!AT21</f>
        <v>310.00000000000227</v>
      </c>
      <c r="AA19" s="35">
        <f>'FS Desroches Daily'!AT21</f>
        <v>310.00000000000227</v>
      </c>
      <c r="AB19" s="35">
        <f>'FS Desroches Daily'!AV21</f>
        <v>90.000000000031832</v>
      </c>
      <c r="AC19" s="35">
        <f>'FS Desroches Daily'!AZ21</f>
        <v>129.99999999999545</v>
      </c>
      <c r="AD19" s="35">
        <f>'FS Desroches Daily'!BB21</f>
        <v>139.99999999998636</v>
      </c>
      <c r="AE19" s="35">
        <f>'FS Desroches Daily'!BD21</f>
        <v>60.000000000002274</v>
      </c>
      <c r="AF19" s="31">
        <f>'FS Desroches Daily'!BF21</f>
        <v>49</v>
      </c>
      <c r="AG19" s="32">
        <f>'FS Desroches Daily'!BH21</f>
        <v>50.000000000011369</v>
      </c>
      <c r="AH19" s="32">
        <f>'FS Desroches Daily'!BJ21</f>
        <v>40.000000000020464</v>
      </c>
      <c r="AI19" s="32">
        <f>'FS Desroches Daily'!BL21</f>
        <v>60.000000000002274</v>
      </c>
      <c r="AJ19" s="32">
        <f>'FS Desroches Daily'!BN21</f>
        <v>39.999999999992042</v>
      </c>
      <c r="AK19" s="32">
        <f>'FS Desroches Daily'!BP21</f>
        <v>29.999999999972715</v>
      </c>
      <c r="AL19" s="32">
        <f>'FS Desroches Daily'!BR21</f>
        <v>45</v>
      </c>
      <c r="AM19" s="32">
        <f>'FS Desroches Daily'!BT21</f>
        <v>30.000000000001137</v>
      </c>
      <c r="AN19" s="32">
        <f>'FS Desroches Daily'!BV21</f>
        <v>43</v>
      </c>
      <c r="AO19" s="32">
        <f>'FS Desroches Daily'!BX21</f>
        <v>39.999999999992042</v>
      </c>
      <c r="AP19" s="32">
        <f>'FS Desroches Daily'!BZ21</f>
        <v>51</v>
      </c>
      <c r="AQ19" s="31">
        <f>'FS Desroches Daily'!CB21</f>
        <v>88.5</v>
      </c>
      <c r="AR19" s="31">
        <f>'FS Desroches Daily'!CD21</f>
        <v>11</v>
      </c>
      <c r="AS19" s="31">
        <f>'FS Desroches Daily'!CF21</f>
        <v>3.1000000000003638</v>
      </c>
      <c r="AT19" s="31">
        <f>'FS Desroches Daily'!CH21</f>
        <v>47</v>
      </c>
      <c r="AU19" s="31">
        <f>'FS Desroches Daily'!CJ21</f>
        <v>319</v>
      </c>
      <c r="AV19" s="31">
        <f>'FS Desroches Daily'!CL21</f>
        <v>1100.0000000001364</v>
      </c>
      <c r="AW19" s="31">
        <f>'FS Desroches Daily'!CM21</f>
        <v>107.10000000000218</v>
      </c>
      <c r="AX19" s="31">
        <f>IF(LPG!F26-LPG!F25&lt;0,"0",(LPG!F26-LPG!F25)*1.8315)</f>
        <v>0</v>
      </c>
      <c r="AY19" s="31">
        <f>IF(LPG!H26-LPG!H25&lt;0,"0",(LPG!H26-LPG!H25)*1.8315)</f>
        <v>5.4944999999999995</v>
      </c>
      <c r="AZ19" s="31">
        <f>IF(LPG!J26-LPG!J25&lt;0,"0",(LPG!J26-LPG!J25)*1.8315)</f>
        <v>0</v>
      </c>
      <c r="BA19" s="31">
        <f>IF(LPG!M26-LPG!M25&lt;0,"0",(LPG!M26-LPG!M25)*1.8315)</f>
        <v>0</v>
      </c>
      <c r="BB19" s="31">
        <f>IF(LPG!Q26-LPG!Q25&lt;0,"0",(LPG!Q26-LPG!Q25)*1.8315)</f>
        <v>9.1574999999999989</v>
      </c>
      <c r="BC19" s="13">
        <f>'FS Desroches Daily'!CN21</f>
        <v>17</v>
      </c>
      <c r="BD19" s="9"/>
    </row>
    <row r="20" spans="1:56" s="16" customFormat="1" x14ac:dyDescent="0.25">
      <c r="A20" s="27" t="s">
        <v>11</v>
      </c>
      <c r="B20" s="15">
        <v>19</v>
      </c>
      <c r="C20" s="18">
        <v>1</v>
      </c>
      <c r="D20" s="27">
        <v>2023</v>
      </c>
      <c r="E20" s="31">
        <f>'FS Desroches Daily'!D22</f>
        <v>2999.9999999996694</v>
      </c>
      <c r="F20" s="32">
        <f>'FS Desroches Daily'!F22</f>
        <v>3499.9999999998367</v>
      </c>
      <c r="G20" s="31">
        <f>'FS Desroches Daily'!H22</f>
        <v>3600.0000000004916</v>
      </c>
      <c r="H20" s="32">
        <f>'FS Desroches Daily'!J22</f>
        <v>1700.0000000000348</v>
      </c>
      <c r="I20" s="31">
        <f>'FS Desroches Daily'!L22</f>
        <v>2199.9999999997576</v>
      </c>
      <c r="J20" s="32">
        <f>'FS Desroches Daily'!N22</f>
        <v>1599.9999999998238</v>
      </c>
      <c r="K20" s="13">
        <f>'FS Desroches Daily'!P22</f>
        <v>36</v>
      </c>
      <c r="L20" s="31">
        <f>'FS Desroches Daily'!R22</f>
        <v>5</v>
      </c>
      <c r="M20" s="31">
        <f>'FS Desroches Daily'!T22</f>
        <v>1100.0000000001364</v>
      </c>
      <c r="N20" s="31">
        <f>'FS Desroches Daily'!V22</f>
        <v>454</v>
      </c>
      <c r="O20" s="31">
        <f>'FS Desroches Daily'!X22</f>
        <v>350.00000000002274</v>
      </c>
      <c r="P20" s="31">
        <f>'FS Desroches Daily'!Z22</f>
        <v>3099.9999999998809</v>
      </c>
      <c r="Q20" s="31">
        <f>'FS Desroches Daily'!AB22</f>
        <v>220.00000000002728</v>
      </c>
      <c r="R20" s="31">
        <f>'FS Desroches Daily'!AD22</f>
        <v>399.99999999997726</v>
      </c>
      <c r="S20" s="31">
        <f>'FS Desroches Daily'!AF22</f>
        <v>940.00000000005457</v>
      </c>
      <c r="T20" s="31">
        <f>'FS Desroches Daily'!AH22</f>
        <v>43</v>
      </c>
      <c r="U20" s="35">
        <f>'FS Desroches Daily'!AJ22</f>
        <v>699.99999999992292</v>
      </c>
      <c r="V20" s="35">
        <f>'FS Desroches Daily'!AL22</f>
        <v>199.99999999998863</v>
      </c>
      <c r="W20" s="35">
        <f>'FS Desroches Daily'!AN22</f>
        <v>120.00000000000455</v>
      </c>
      <c r="X20" s="35">
        <f>'FS Desroches Daily'!AP22</f>
        <v>300.00000000001137</v>
      </c>
      <c r="Y20" s="35">
        <f>'FS Desroches Daily'!AR22</f>
        <v>209.99999999997954</v>
      </c>
      <c r="Z20" s="35">
        <f>'FS Desroches Daily'!AT22</f>
        <v>389.99999999998636</v>
      </c>
      <c r="AA20" s="35">
        <f>'FS Desroches Daily'!AT22</f>
        <v>389.99999999998636</v>
      </c>
      <c r="AB20" s="35">
        <f>'FS Desroches Daily'!AV22</f>
        <v>159.99999999996817</v>
      </c>
      <c r="AC20" s="35">
        <f>'FS Desroches Daily'!AZ22</f>
        <v>170.00000000001592</v>
      </c>
      <c r="AD20" s="35">
        <f>'FS Desroches Daily'!BB22</f>
        <v>160.00000000002501</v>
      </c>
      <c r="AE20" s="35">
        <f>'FS Desroches Daily'!BD22</f>
        <v>90.000000000031832</v>
      </c>
      <c r="AF20" s="31">
        <f>'FS Desroches Daily'!BF22</f>
        <v>30</v>
      </c>
      <c r="AG20" s="32">
        <f>'FS Desroches Daily'!BH22</f>
        <v>39.99999999996362</v>
      </c>
      <c r="AH20" s="32">
        <f>'FS Desroches Daily'!BJ22</f>
        <v>39.99999999996362</v>
      </c>
      <c r="AI20" s="32">
        <f>'FS Desroches Daily'!BL22</f>
        <v>60.000000000002274</v>
      </c>
      <c r="AJ20" s="32">
        <f>'FS Desroches Daily'!BN22</f>
        <v>50.000000000011369</v>
      </c>
      <c r="AK20" s="32">
        <f>'FS Desroches Daily'!BP22</f>
        <v>40.000000000020464</v>
      </c>
      <c r="AL20" s="32">
        <f>'FS Desroches Daily'!BR22</f>
        <v>44</v>
      </c>
      <c r="AM20" s="32">
        <f>'FS Desroches Daily'!BT22</f>
        <v>49.999999999982947</v>
      </c>
      <c r="AN20" s="32">
        <f>'FS Desroches Daily'!BV22</f>
        <v>43</v>
      </c>
      <c r="AO20" s="32">
        <f>'FS Desroches Daily'!BX22</f>
        <v>50.000000000011369</v>
      </c>
      <c r="AP20" s="32">
        <f>'FS Desroches Daily'!BZ22</f>
        <v>55</v>
      </c>
      <c r="AQ20" s="31">
        <f>'FS Desroches Daily'!CB22</f>
        <v>73.19999999999709</v>
      </c>
      <c r="AR20" s="31">
        <f>'FS Desroches Daily'!CD22</f>
        <v>7.5999999999985448</v>
      </c>
      <c r="AS20" s="31">
        <f>'FS Desroches Daily'!CF22</f>
        <v>3.5</v>
      </c>
      <c r="AT20" s="31">
        <f>'FS Desroches Daily'!CH22</f>
        <v>62.30000000000291</v>
      </c>
      <c r="AU20" s="31">
        <f>'FS Desroches Daily'!CJ22</f>
        <v>343</v>
      </c>
      <c r="AV20" s="31">
        <f>'FS Desroches Daily'!CL22</f>
        <v>1099.9999999999091</v>
      </c>
      <c r="AW20" s="31">
        <f>'FS Desroches Daily'!CM22</f>
        <v>104.59999999999854</v>
      </c>
      <c r="AX20" s="31">
        <f>IF(LPG!F27-LPG!F26&lt;0,"0",(LPG!F27-LPG!F26)*1.8315)</f>
        <v>0</v>
      </c>
      <c r="AY20" s="31">
        <f>IF(LPG!H27-LPG!H26&lt;0,"0",(LPG!H27-LPG!H26)*1.8315)</f>
        <v>7.3259999999999996</v>
      </c>
      <c r="AZ20" s="31">
        <f>IF(LPG!J27-LPG!J26&lt;0,"0",(LPG!J27-LPG!J26)*1.8315)</f>
        <v>0</v>
      </c>
      <c r="BA20" s="31">
        <f>IF(LPG!M27-LPG!M26&lt;0,"0",(LPG!M27-LPG!M26)*1.8315)</f>
        <v>0</v>
      </c>
      <c r="BB20" s="31">
        <f>IF(LPG!Q27-LPG!Q26&lt;0,"0",(LPG!Q27-LPG!Q26)*1.8315)</f>
        <v>5.4944999999999995</v>
      </c>
      <c r="BC20" s="13">
        <f>'FS Desroches Daily'!CN22</f>
        <v>24</v>
      </c>
      <c r="BD20" s="9"/>
    </row>
    <row r="21" spans="1:56" s="16" customFormat="1" x14ac:dyDescent="0.25">
      <c r="A21" s="27" t="s">
        <v>11</v>
      </c>
      <c r="B21" s="15">
        <v>20</v>
      </c>
      <c r="C21" s="18">
        <v>1</v>
      </c>
      <c r="D21" s="27">
        <v>2023</v>
      </c>
      <c r="E21" s="31">
        <f>'FS Desroches Daily'!D23</f>
        <v>2700.0000000003688</v>
      </c>
      <c r="F21" s="32">
        <f>'FS Desroches Daily'!F23</f>
        <v>3199.9999999996476</v>
      </c>
      <c r="G21" s="31">
        <f>'FS Desroches Daily'!H23</f>
        <v>3800.0000000000255</v>
      </c>
      <c r="H21" s="32">
        <f>'FS Desroches Daily'!J23</f>
        <v>1700.0000000000348</v>
      </c>
      <c r="I21" s="31">
        <f>'FS Desroches Daily'!L23</f>
        <v>2299.9999999999686</v>
      </c>
      <c r="J21" s="32">
        <f>'FS Desroches Daily'!N23</f>
        <v>1700.0000000000348</v>
      </c>
      <c r="K21" s="13">
        <f>'FS Desroches Daily'!P23</f>
        <v>28</v>
      </c>
      <c r="L21" s="31">
        <f>'FS Desroches Daily'!R23</f>
        <v>5</v>
      </c>
      <c r="M21" s="31">
        <f>'FS Desroches Daily'!T23</f>
        <v>1299.9999999999545</v>
      </c>
      <c r="N21" s="31">
        <f>'FS Desroches Daily'!V23</f>
        <v>440.59999999997672</v>
      </c>
      <c r="O21" s="31">
        <f>'FS Desroches Daily'!X23</f>
        <v>330.00000000004093</v>
      </c>
      <c r="P21" s="31">
        <f>'FS Desroches Daily'!Z23</f>
        <v>2900.0000000003465</v>
      </c>
      <c r="Q21" s="31">
        <f>'FS Desroches Daily'!AB23</f>
        <v>370.00000000000455</v>
      </c>
      <c r="R21" s="31">
        <f>'FS Desroches Daily'!AD23</f>
        <v>399.99999999997726</v>
      </c>
      <c r="S21" s="31">
        <f>'FS Desroches Daily'!AF23</f>
        <v>889.99999999998636</v>
      </c>
      <c r="T21" s="31">
        <f>'FS Desroches Daily'!AH23</f>
        <v>47</v>
      </c>
      <c r="U21" s="35">
        <f>'FS Desroches Daily'!AJ23</f>
        <v>700.00000000014495</v>
      </c>
      <c r="V21" s="35">
        <f>'FS Desroches Daily'!AL23</f>
        <v>199.99999999998863</v>
      </c>
      <c r="W21" s="35">
        <f>'FS Desroches Daily'!AN23</f>
        <v>120.00000000000455</v>
      </c>
      <c r="X21" s="35">
        <f>'FS Desroches Daily'!AP23</f>
        <v>269.99999999998181</v>
      </c>
      <c r="Y21" s="35">
        <f>'FS Desroches Daily'!AR23</f>
        <v>220.00000000002728</v>
      </c>
      <c r="Z21" s="35">
        <f>'FS Desroches Daily'!AT23</f>
        <v>279.99999999997272</v>
      </c>
      <c r="AA21" s="35">
        <f>'FS Desroches Daily'!AT23</f>
        <v>279.99999999997272</v>
      </c>
      <c r="AB21" s="35">
        <f>'FS Desroches Daily'!AV23</f>
        <v>110.00000000001364</v>
      </c>
      <c r="AC21" s="35">
        <f>'FS Desroches Daily'!AZ23</f>
        <v>139.99999999998636</v>
      </c>
      <c r="AD21" s="35">
        <f>'FS Desroches Daily'!BB23</f>
        <v>139.99999999998636</v>
      </c>
      <c r="AE21" s="35">
        <f>'FS Desroches Daily'!BD23</f>
        <v>69.999999999993179</v>
      </c>
      <c r="AF21" s="31">
        <f>'FS Desroches Daily'!BF23</f>
        <v>76</v>
      </c>
      <c r="AG21" s="32">
        <f>'FS Desroches Daily'!BH23</f>
        <v>30.000000000029559</v>
      </c>
      <c r="AH21" s="32">
        <f>'FS Desroches Daily'!BJ23</f>
        <v>60.000000000002274</v>
      </c>
      <c r="AI21" s="32">
        <f>'FS Desroches Daily'!BL23</f>
        <v>60.000000000002274</v>
      </c>
      <c r="AJ21" s="32">
        <f>'FS Desroches Daily'!BN23</f>
        <v>39.999999999992042</v>
      </c>
      <c r="AK21" s="32">
        <f>'FS Desroches Daily'!BP23</f>
        <v>40.000000000020464</v>
      </c>
      <c r="AL21" s="32">
        <f>'FS Desroches Daily'!BR23</f>
        <v>43</v>
      </c>
      <c r="AM21" s="32">
        <f>'FS Desroches Daily'!BT23</f>
        <v>50.000000000011369</v>
      </c>
      <c r="AN21" s="32">
        <f>'FS Desroches Daily'!BV23</f>
        <v>40</v>
      </c>
      <c r="AO21" s="32">
        <f>'FS Desroches Daily'!BX23</f>
        <v>49.999999999982947</v>
      </c>
      <c r="AP21" s="32">
        <f>'FS Desroches Daily'!BZ23</f>
        <v>53</v>
      </c>
      <c r="AQ21" s="31">
        <f>'FS Desroches Daily'!CB23</f>
        <v>87.400000000001455</v>
      </c>
      <c r="AR21" s="31">
        <f>'FS Desroches Daily'!CD23</f>
        <v>17.400000000001455</v>
      </c>
      <c r="AS21" s="31">
        <f>'FS Desroches Daily'!CF23</f>
        <v>0.5</v>
      </c>
      <c r="AT21" s="31">
        <f>'FS Desroches Daily'!CH23</f>
        <v>59.599999999991269</v>
      </c>
      <c r="AU21" s="31">
        <f>'FS Desroches Daily'!CJ23</f>
        <v>361</v>
      </c>
      <c r="AV21" s="31">
        <f>'FS Desroches Daily'!CL23</f>
        <v>1000</v>
      </c>
      <c r="AW21" s="31">
        <f>'FS Desroches Daily'!CM23</f>
        <v>115.40000000000146</v>
      </c>
      <c r="AX21" s="31">
        <f>IF(LPG!F28-LPG!F27&lt;0,"0",(LPG!F28-LPG!F27)*1.8315)</f>
        <v>0</v>
      </c>
      <c r="AY21" s="31">
        <f>IF(LPG!H28-LPG!H27&lt;0,"0",(LPG!H28-LPG!H27)*1.8315)</f>
        <v>7.3259999999999996</v>
      </c>
      <c r="AZ21" s="31">
        <f>IF(LPG!J28-LPG!J27&lt;0,"0",(LPG!J28-LPG!J27)*1.8315)</f>
        <v>0</v>
      </c>
      <c r="BA21" s="31">
        <f>IF(LPG!M28-LPG!M27&lt;0,"0",(LPG!M28-LPG!M27)*1.8315)</f>
        <v>0</v>
      </c>
      <c r="BB21" s="31">
        <f>IF(LPG!Q28-LPG!Q27&lt;0,"0",(LPG!Q28-LPG!Q27)*1.8315)</f>
        <v>5.4944999999999995</v>
      </c>
      <c r="BC21" s="13">
        <f>'FS Desroches Daily'!CN23</f>
        <v>21</v>
      </c>
      <c r="BD21" s="9"/>
    </row>
    <row r="22" spans="1:56" s="16" customFormat="1" x14ac:dyDescent="0.25">
      <c r="A22" s="27" t="s">
        <v>11</v>
      </c>
      <c r="B22" s="15">
        <v>21</v>
      </c>
      <c r="C22" s="18">
        <v>1</v>
      </c>
      <c r="D22" s="27">
        <v>2023</v>
      </c>
      <c r="E22" s="31">
        <f>'FS Desroches Daily'!D24</f>
        <v>2499.9999999999468</v>
      </c>
      <c r="F22" s="32">
        <f>'FS Desroches Daily'!F24</f>
        <v>3100.000000000769</v>
      </c>
      <c r="G22" s="31">
        <f>'FS Desroches Daily'!H24</f>
        <v>3499.9999999998367</v>
      </c>
      <c r="H22" s="32">
        <f>'FS Desroches Daily'!J24</f>
        <v>1600.0000000002678</v>
      </c>
      <c r="I22" s="31">
        <f>'FS Desroches Daily'!L24</f>
        <v>2099.9999999999909</v>
      </c>
      <c r="J22" s="32">
        <f>'FS Desroches Daily'!N24</f>
        <v>1800.0000000002458</v>
      </c>
      <c r="K22" s="13">
        <f>'FS Desroches Daily'!P24</f>
        <v>32</v>
      </c>
      <c r="L22" s="31">
        <f>'FS Desroches Daily'!R24</f>
        <v>5</v>
      </c>
      <c r="M22" s="31">
        <f>'FS Desroches Daily'!T24</f>
        <v>1299.9999999999545</v>
      </c>
      <c r="N22" s="31">
        <f>'FS Desroches Daily'!V24</f>
        <v>464.29999999993015</v>
      </c>
      <c r="O22" s="31">
        <f>'FS Desroches Daily'!X24</f>
        <v>359.99999999989996</v>
      </c>
      <c r="P22" s="31">
        <f>'FS Desroches Daily'!Z24</f>
        <v>3000.0000000001137</v>
      </c>
      <c r="Q22" s="31">
        <f>'FS Desroches Daily'!AB24</f>
        <v>289.99999999996362</v>
      </c>
      <c r="R22" s="31">
        <f>'FS Desroches Daily'!AD24</f>
        <v>460.00000000003638</v>
      </c>
      <c r="S22" s="31">
        <f>'FS Desroches Daily'!AF24</f>
        <v>1019.9999999999818</v>
      </c>
      <c r="T22" s="31">
        <f>'FS Desroches Daily'!AH24</f>
        <v>36</v>
      </c>
      <c r="U22" s="35">
        <f>'FS Desroches Daily'!AJ24</f>
        <v>799.99999999991189</v>
      </c>
      <c r="V22" s="35">
        <f>'FS Desroches Daily'!AL24</f>
        <v>220.00000000002728</v>
      </c>
      <c r="W22" s="35">
        <f>'FS Desroches Daily'!AN24</f>
        <v>129.99999999999545</v>
      </c>
      <c r="X22" s="35">
        <f>'FS Desroches Daily'!AP24</f>
        <v>220.00000000002728</v>
      </c>
      <c r="Y22" s="35">
        <f>'FS Desroches Daily'!AR24</f>
        <v>169.99999999995907</v>
      </c>
      <c r="Z22" s="35">
        <f>'FS Desroches Daily'!AT24</f>
        <v>250</v>
      </c>
      <c r="AA22" s="35">
        <f>'FS Desroches Daily'!AT24</f>
        <v>250</v>
      </c>
      <c r="AB22" s="35">
        <f>'FS Desroches Daily'!AV24</f>
        <v>120.00000000000455</v>
      </c>
      <c r="AC22" s="35">
        <f>'FS Desroches Daily'!AZ24</f>
        <v>170.00000000001592</v>
      </c>
      <c r="AD22" s="35">
        <f>'FS Desroches Daily'!BB24</f>
        <v>170.00000000001592</v>
      </c>
      <c r="AE22" s="35">
        <f>'FS Desroches Daily'!BD24</f>
        <v>99.999999999965894</v>
      </c>
      <c r="AF22" s="31">
        <f>'FS Desroches Daily'!BF24</f>
        <v>35</v>
      </c>
      <c r="AG22" s="32">
        <f>'FS Desroches Daily'!BH24</f>
        <v>49.999999999954525</v>
      </c>
      <c r="AH22" s="32">
        <f>'FS Desroches Daily'!BJ24</f>
        <v>10.000000000047748</v>
      </c>
      <c r="AI22" s="32">
        <f>'FS Desroches Daily'!BL24</f>
        <v>69.999999999993179</v>
      </c>
      <c r="AJ22" s="32">
        <f>'FS Desroches Daily'!BN24</f>
        <v>39.999999999992042</v>
      </c>
      <c r="AK22" s="32">
        <f>'FS Desroches Daily'!BP24</f>
        <v>39.99999999996362</v>
      </c>
      <c r="AL22" s="32">
        <f>'FS Desroches Daily'!BR24</f>
        <v>42</v>
      </c>
      <c r="AM22" s="32">
        <f>'FS Desroches Daily'!BT24</f>
        <v>60.000000000002274</v>
      </c>
      <c r="AN22" s="32">
        <f>'FS Desroches Daily'!BV24</f>
        <v>41</v>
      </c>
      <c r="AO22" s="32">
        <f>'FS Desroches Daily'!BX24</f>
        <v>40.000000000020464</v>
      </c>
      <c r="AP22" s="32">
        <f>'FS Desroches Daily'!BZ24</f>
        <v>52</v>
      </c>
      <c r="AQ22" s="31">
        <f>'FS Desroches Daily'!CB24</f>
        <v>87.900000000001455</v>
      </c>
      <c r="AR22" s="31">
        <f>'FS Desroches Daily'!CD24</f>
        <v>13.599999999998545</v>
      </c>
      <c r="AS22" s="31">
        <f>'FS Desroches Daily'!CF24</f>
        <v>0.5</v>
      </c>
      <c r="AT22" s="31">
        <f>'FS Desroches Daily'!CH24</f>
        <v>39.30000000000291</v>
      </c>
      <c r="AU22" s="31">
        <f>'FS Desroches Daily'!CJ24</f>
        <v>322</v>
      </c>
      <c r="AV22" s="31">
        <f>'FS Desroches Daily'!CL24</f>
        <v>1000</v>
      </c>
      <c r="AW22" s="31">
        <f>'FS Desroches Daily'!CM24</f>
        <v>102</v>
      </c>
      <c r="AX22" s="31">
        <f>IF(LPG!F29-LPG!F28&lt;0,"0",(LPG!F29-LPG!F28)*1.8315)</f>
        <v>0</v>
      </c>
      <c r="AY22" s="31">
        <f>IF(LPG!H29-LPG!H28&lt;0,"0",(LPG!H29-LPG!H28)*1.8315)</f>
        <v>3.6629999999999998</v>
      </c>
      <c r="AZ22" s="31">
        <f>IF(LPG!J29-LPG!J28&lt;0,"0",(LPG!J29-LPG!J28)*1.8315)</f>
        <v>0</v>
      </c>
      <c r="BA22" s="31">
        <f>IF(LPG!M29-LPG!M28&lt;0,"0",(LPG!M29-LPG!M28)*1.8315)</f>
        <v>0</v>
      </c>
      <c r="BB22" s="31">
        <f>IF(LPG!Q29-LPG!Q28&lt;0,"0",(LPG!Q29-LPG!Q28)*1.8315)</f>
        <v>3.6629999999999998</v>
      </c>
      <c r="BC22" s="13">
        <f>'FS Desroches Daily'!CN24</f>
        <v>18</v>
      </c>
      <c r="BD22" s="9"/>
    </row>
    <row r="23" spans="1:56" s="16" customFormat="1" x14ac:dyDescent="0.25">
      <c r="A23" s="27" t="s">
        <v>11</v>
      </c>
      <c r="B23" s="15">
        <v>22</v>
      </c>
      <c r="C23" s="18">
        <v>1</v>
      </c>
      <c r="D23" s="27">
        <v>2023</v>
      </c>
      <c r="E23" s="31">
        <f>'FS Desroches Daily'!D25</f>
        <v>2299.9999999999686</v>
      </c>
      <c r="F23" s="32">
        <f>'FS Desroches Daily'!F25</f>
        <v>2899.9999999994584</v>
      </c>
      <c r="G23" s="31">
        <f>'FS Desroches Daily'!H25</f>
        <v>3400.0000000000696</v>
      </c>
      <c r="H23" s="32">
        <f>'FS Desroches Daily'!J25</f>
        <v>1599.9999999998238</v>
      </c>
      <c r="I23" s="31">
        <f>'FS Desroches Daily'!L25</f>
        <v>2200.0000000002019</v>
      </c>
      <c r="J23" s="32">
        <f>'FS Desroches Daily'!N25</f>
        <v>1700.0000000000348</v>
      </c>
      <c r="K23" s="13">
        <f>'FS Desroches Daily'!P25</f>
        <v>20</v>
      </c>
      <c r="L23" s="31">
        <f>'FS Desroches Daily'!R25</f>
        <v>6</v>
      </c>
      <c r="M23" s="31">
        <f>'FS Desroches Daily'!T25</f>
        <v>1100.0000000001364</v>
      </c>
      <c r="N23" s="31">
        <f>'FS Desroches Daily'!V25</f>
        <v>426.30000000004657</v>
      </c>
      <c r="O23" s="31">
        <f>'FS Desroches Daily'!X25</f>
        <v>320.00000000005002</v>
      </c>
      <c r="P23" s="31">
        <f>'FS Desroches Daily'!Z25</f>
        <v>2599.9999999992697</v>
      </c>
      <c r="Q23" s="31">
        <f>'FS Desroches Daily'!AB25</f>
        <v>269.99999999998181</v>
      </c>
      <c r="R23" s="31">
        <f>'FS Desroches Daily'!AD25</f>
        <v>429.99999999994998</v>
      </c>
      <c r="S23" s="31">
        <f>'FS Desroches Daily'!AF25</f>
        <v>870.00000000000455</v>
      </c>
      <c r="T23" s="31">
        <f>'FS Desroches Daily'!AH25</f>
        <v>38</v>
      </c>
      <c r="U23" s="35">
        <f>'FS Desroches Daily'!AJ25</f>
        <v>800.00000000013392</v>
      </c>
      <c r="V23" s="35">
        <f>'FS Desroches Daily'!AL25</f>
        <v>189.99999999999773</v>
      </c>
      <c r="W23" s="35">
        <f>'FS Desroches Daily'!AN25</f>
        <v>120.00000000000455</v>
      </c>
      <c r="X23" s="35">
        <f>'FS Desroches Daily'!AP25</f>
        <v>170.00000000001592</v>
      </c>
      <c r="Y23" s="35">
        <f>'FS Desroches Daily'!AR25</f>
        <v>150.00000000003411</v>
      </c>
      <c r="Z23" s="35">
        <f>'FS Desroches Daily'!AT25</f>
        <v>150.00000000003411</v>
      </c>
      <c r="AA23" s="35">
        <f>'FS Desroches Daily'!AT25</f>
        <v>150.00000000003411</v>
      </c>
      <c r="AB23" s="35">
        <f>'FS Desroches Daily'!AV25</f>
        <v>120.00000000000455</v>
      </c>
      <c r="AC23" s="35">
        <f>'FS Desroches Daily'!AZ25</f>
        <v>139.99999999998636</v>
      </c>
      <c r="AD23" s="35">
        <f>'FS Desroches Daily'!BB25</f>
        <v>149.99999999997726</v>
      </c>
      <c r="AE23" s="35">
        <f>'FS Desroches Daily'!BD25</f>
        <v>70.000000000050022</v>
      </c>
      <c r="AF23" s="31">
        <f>'FS Desroches Daily'!BF25</f>
        <v>45</v>
      </c>
      <c r="AG23" s="32">
        <f>'FS Desroches Daily'!BH25</f>
        <v>40.000000000020464</v>
      </c>
      <c r="AH23" s="32">
        <f>'FS Desroches Daily'!BJ25</f>
        <v>39.99999999996362</v>
      </c>
      <c r="AI23" s="32">
        <f>'FS Desroches Daily'!BL25</f>
        <v>60.000000000002274</v>
      </c>
      <c r="AJ23" s="32">
        <f>'FS Desroches Daily'!BN25</f>
        <v>40.000000000020464</v>
      </c>
      <c r="AK23" s="32">
        <f>'FS Desroches Daily'!BP25</f>
        <v>30.000000000029559</v>
      </c>
      <c r="AL23" s="32">
        <f>'FS Desroches Daily'!BR25</f>
        <v>48</v>
      </c>
      <c r="AM23" s="32">
        <f>'FS Desroches Daily'!BT25</f>
        <v>39.999999999992042</v>
      </c>
      <c r="AN23" s="32">
        <f>'FS Desroches Daily'!BV25</f>
        <v>36</v>
      </c>
      <c r="AO23" s="32">
        <f>'FS Desroches Daily'!BX25</f>
        <v>49.999999999982947</v>
      </c>
      <c r="AP23" s="32">
        <f>'FS Desroches Daily'!BZ25</f>
        <v>52</v>
      </c>
      <c r="AQ23" s="31">
        <f>'FS Desroches Daily'!CB25</f>
        <v>91.599999999998545</v>
      </c>
      <c r="AR23" s="31">
        <f>'FS Desroches Daily'!CD25</f>
        <v>10.400000000001455</v>
      </c>
      <c r="AS23" s="31">
        <f>'FS Desroches Daily'!CF25</f>
        <v>2.5</v>
      </c>
      <c r="AT23" s="31">
        <f>'FS Desroches Daily'!CH25</f>
        <v>55.30000000000291</v>
      </c>
      <c r="AU23" s="31">
        <f>'FS Desroches Daily'!CJ25</f>
        <v>336</v>
      </c>
      <c r="AV23" s="31">
        <f>'FS Desroches Daily'!CL25</f>
        <v>799.99999999995453</v>
      </c>
      <c r="AW23" s="31">
        <f>'FS Desroches Daily'!CM25</f>
        <v>93.700000000000728</v>
      </c>
      <c r="AX23" s="31">
        <f>IF(LPG!F30-LPG!F29&lt;0,"0",(LPG!F30-LPG!F29)*1.8315)</f>
        <v>0</v>
      </c>
      <c r="AY23" s="31">
        <f>IF(LPG!H30-LPG!H29&lt;0,"0",(LPG!H30-LPG!H29)*1.8315)</f>
        <v>3.6629999999999998</v>
      </c>
      <c r="AZ23" s="31">
        <f>IF(LPG!J30-LPG!J29&lt;0,"0",(LPG!J30-LPG!J29)*1.8315)</f>
        <v>0</v>
      </c>
      <c r="BA23" s="31">
        <f>IF(LPG!M30-LPG!M29&lt;0,"0",(LPG!M30-LPG!M29)*1.8315)</f>
        <v>0</v>
      </c>
      <c r="BB23" s="31">
        <f>IF(LPG!Q30-LPG!Q29&lt;0,"0",(LPG!Q30-LPG!Q29)*1.8315)</f>
        <v>3.6629999999999998</v>
      </c>
      <c r="BC23" s="13">
        <f>'FS Desroches Daily'!CN25</f>
        <v>15</v>
      </c>
      <c r="BD23" s="9"/>
    </row>
    <row r="24" spans="1:56" s="16" customFormat="1" x14ac:dyDescent="0.25">
      <c r="A24" s="27" t="s">
        <v>11</v>
      </c>
      <c r="B24" s="15">
        <v>23</v>
      </c>
      <c r="C24" s="18">
        <v>1</v>
      </c>
      <c r="D24" s="27">
        <v>2023</v>
      </c>
      <c r="E24" s="31">
        <f>'FS Desroches Daily'!D26</f>
        <v>2599.9999999997135</v>
      </c>
      <c r="F24" s="32">
        <f>'FS Desroches Daily'!F26</f>
        <v>3000.0000000001137</v>
      </c>
      <c r="G24" s="31">
        <f>'FS Desroches Daily'!H26</f>
        <v>3000.0000000001137</v>
      </c>
      <c r="H24" s="32">
        <f>'FS Desroches Daily'!J26</f>
        <v>1700.0000000000348</v>
      </c>
      <c r="I24" s="31">
        <f>'FS Desroches Daily'!L26</f>
        <v>2200.0000000002019</v>
      </c>
      <c r="J24" s="32">
        <f>'FS Desroches Daily'!N26</f>
        <v>1799.9999999998017</v>
      </c>
      <c r="K24" s="13">
        <f>'FS Desroches Daily'!P26</f>
        <v>21</v>
      </c>
      <c r="L24" s="31">
        <f>'FS Desroches Daily'!R26</f>
        <v>4</v>
      </c>
      <c r="M24" s="31">
        <f>'FS Desroches Daily'!T26</f>
        <v>899.99999999986358</v>
      </c>
      <c r="N24" s="31">
        <f>'FS Desroches Daily'!V26</f>
        <v>428.69999999995343</v>
      </c>
      <c r="O24" s="31">
        <f>'FS Desroches Daily'!X26</f>
        <v>330.00000000004093</v>
      </c>
      <c r="P24" s="31">
        <f>'FS Desroches Daily'!Z26</f>
        <v>2699.9999999999245</v>
      </c>
      <c r="Q24" s="31">
        <f>'FS Desroches Daily'!AB26</f>
        <v>330.00000000004093</v>
      </c>
      <c r="R24" s="31">
        <f>'FS Desroches Daily'!AD26</f>
        <v>440.00000000005457</v>
      </c>
      <c r="S24" s="31">
        <f>'FS Desroches Daily'!AF26</f>
        <v>850.00000000002274</v>
      </c>
      <c r="T24" s="31">
        <f>'FS Desroches Daily'!AH26</f>
        <v>36</v>
      </c>
      <c r="U24" s="35">
        <f>'FS Desroches Daily'!AJ26</f>
        <v>799.99999999991189</v>
      </c>
      <c r="V24" s="35">
        <f>'FS Desroches Daily'!AL26</f>
        <v>189.99999999999773</v>
      </c>
      <c r="W24" s="35">
        <f>'FS Desroches Daily'!AN26</f>
        <v>129.99999999999545</v>
      </c>
      <c r="X24" s="35">
        <f>'FS Desroches Daily'!AP26</f>
        <v>189.99999999999773</v>
      </c>
      <c r="Y24" s="35">
        <f>'FS Desroches Daily'!AR26</f>
        <v>159.99999999996817</v>
      </c>
      <c r="Z24" s="35">
        <f>'FS Desroches Daily'!AT26</f>
        <v>180.00000000000682</v>
      </c>
      <c r="AA24" s="35">
        <f>'FS Desroches Daily'!AT26</f>
        <v>180.00000000000682</v>
      </c>
      <c r="AB24" s="35">
        <f>'FS Desroches Daily'!AV26</f>
        <v>120.00000000000455</v>
      </c>
      <c r="AC24" s="35">
        <f>'FS Desroches Daily'!AZ26</f>
        <v>149.99999999997726</v>
      </c>
      <c r="AD24" s="35">
        <f>'FS Desroches Daily'!BB26</f>
        <v>129.99999999999545</v>
      </c>
      <c r="AE24" s="35">
        <f>'FS Desroches Daily'!BD26</f>
        <v>79.999999999984084</v>
      </c>
      <c r="AF24" s="31">
        <f>'FS Desroches Daily'!BF26</f>
        <v>72</v>
      </c>
      <c r="AG24" s="32">
        <f>'FS Desroches Daily'!BH26</f>
        <v>50.000000000011369</v>
      </c>
      <c r="AH24" s="32">
        <f>'FS Desroches Daily'!BJ26</f>
        <v>50.000000000011369</v>
      </c>
      <c r="AI24" s="32">
        <f>'FS Desroches Daily'!BL26</f>
        <v>60.000000000002274</v>
      </c>
      <c r="AJ24" s="32">
        <f>'FS Desroches Daily'!BN26</f>
        <v>49.999999999982947</v>
      </c>
      <c r="AK24" s="32">
        <f>'FS Desroches Daily'!BP26</f>
        <v>39.99999999996362</v>
      </c>
      <c r="AL24" s="32">
        <f>'FS Desroches Daily'!BR26</f>
        <v>44</v>
      </c>
      <c r="AM24" s="32">
        <f>'FS Desroches Daily'!BT26</f>
        <v>50.000000000011369</v>
      </c>
      <c r="AN24" s="32">
        <f>'FS Desroches Daily'!BV26</f>
        <v>44</v>
      </c>
      <c r="AO24" s="32">
        <f>'FS Desroches Daily'!BX26</f>
        <v>50.000000000011369</v>
      </c>
      <c r="AP24" s="32">
        <f>'FS Desroches Daily'!BZ26</f>
        <v>57</v>
      </c>
      <c r="AQ24" s="31">
        <f>'FS Desroches Daily'!CB26</f>
        <v>86.700000000004366</v>
      </c>
      <c r="AR24" s="31">
        <f>'FS Desroches Daily'!CD26</f>
        <v>9.7999999999992724</v>
      </c>
      <c r="AS24" s="31">
        <f>'FS Desroches Daily'!CF26</f>
        <v>3</v>
      </c>
      <c r="AT24" s="31">
        <f>'FS Desroches Daily'!CH26</f>
        <v>55.80000000000291</v>
      </c>
      <c r="AU24" s="31">
        <f>'FS Desroches Daily'!CJ26</f>
        <v>372</v>
      </c>
      <c r="AV24" s="31">
        <f>'FS Desroches Daily'!CL26</f>
        <v>900.00000000009095</v>
      </c>
      <c r="AW24" s="31">
        <f>'FS Desroches Daily'!CM26</f>
        <v>88.299999999999272</v>
      </c>
      <c r="AX24" s="31">
        <f>IF(LPG!F31-LPG!F30&lt;0,"0",(LPG!F31-LPG!F30)*1.8315)</f>
        <v>0</v>
      </c>
      <c r="AY24" s="31">
        <f>IF(LPG!H31-LPG!H30&lt;0,"0",(LPG!H31-LPG!H30)*1.8315)</f>
        <v>3.6629999999999998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7.3259999999999996</v>
      </c>
      <c r="BC24" s="13">
        <f>'FS Desroches Daily'!CN26</f>
        <v>15</v>
      </c>
      <c r="BD24" s="9"/>
    </row>
    <row r="25" spans="1:56" s="16" customFormat="1" x14ac:dyDescent="0.25">
      <c r="A25" s="27" t="s">
        <v>11</v>
      </c>
      <c r="B25" s="15">
        <v>24</v>
      </c>
      <c r="C25" s="18">
        <v>1</v>
      </c>
      <c r="D25" s="27">
        <v>2023</v>
      </c>
      <c r="E25" s="31">
        <f>'FS Desroches Daily'!D27</f>
        <v>2800.0000000001355</v>
      </c>
      <c r="F25" s="32">
        <f>'FS Desroches Daily'!F27</f>
        <v>3400.0000000000696</v>
      </c>
      <c r="G25" s="31">
        <f>'FS Desroches Daily'!H27</f>
        <v>3499.9999999998367</v>
      </c>
      <c r="H25" s="32">
        <f>'FS Desroches Daily'!J27</f>
        <v>1799.9999999998017</v>
      </c>
      <c r="I25" s="31">
        <f>'FS Desroches Daily'!L27</f>
        <v>2399.9999999997358</v>
      </c>
      <c r="J25" s="32">
        <f>'FS Desroches Daily'!N27</f>
        <v>2400.0000000001796</v>
      </c>
      <c r="K25" s="13">
        <f>'FS Desroches Daily'!P27</f>
        <v>33</v>
      </c>
      <c r="L25" s="31">
        <f>'FS Desroches Daily'!R27</f>
        <v>5</v>
      </c>
      <c r="M25" s="31">
        <f>'FS Desroches Daily'!T27</f>
        <v>1100.0000000001364</v>
      </c>
      <c r="N25" s="31">
        <f>'FS Desroches Daily'!V27</f>
        <v>518.20000000006985</v>
      </c>
      <c r="O25" s="31">
        <f>'FS Desroches Daily'!X27</f>
        <v>399.99999999997726</v>
      </c>
      <c r="P25" s="31">
        <f>'FS Desroches Daily'!Z27</f>
        <v>3100.000000000769</v>
      </c>
      <c r="Q25" s="31">
        <f>'FS Desroches Daily'!AB27</f>
        <v>240.00000000000909</v>
      </c>
      <c r="R25" s="31">
        <f>'FS Desroches Daily'!AD27</f>
        <v>509.99999999999091</v>
      </c>
      <c r="S25" s="31">
        <f>'FS Desroches Daily'!AF27</f>
        <v>1009.9999999999909</v>
      </c>
      <c r="T25" s="31">
        <f>'FS Desroches Daily'!AH27</f>
        <v>40</v>
      </c>
      <c r="U25" s="35">
        <f>'FS Desroches Daily'!AJ27</f>
        <v>799.99999999991189</v>
      </c>
      <c r="V25" s="35">
        <f>'FS Desroches Daily'!AL27</f>
        <v>250</v>
      </c>
      <c r="W25" s="35">
        <f>'FS Desroches Daily'!AN27</f>
        <v>209.99999999997954</v>
      </c>
      <c r="X25" s="35">
        <f>'FS Desroches Daily'!AP27</f>
        <v>229.99999999996135</v>
      </c>
      <c r="Y25" s="35">
        <f>'FS Desroches Daily'!AR27</f>
        <v>200.00000000004547</v>
      </c>
      <c r="Z25" s="35">
        <f>'FS Desroches Daily'!AT27</f>
        <v>199.99999999998863</v>
      </c>
      <c r="AA25" s="35">
        <f>'FS Desroches Daily'!AT27</f>
        <v>199.99999999998863</v>
      </c>
      <c r="AB25" s="35">
        <f>'FS Desroches Daily'!AV27</f>
        <v>159.99999999996817</v>
      </c>
      <c r="AC25" s="35">
        <f>'FS Desroches Daily'!AZ27</f>
        <v>180.00000000000682</v>
      </c>
      <c r="AD25" s="35">
        <f>'FS Desroches Daily'!BB27</f>
        <v>180.00000000000682</v>
      </c>
      <c r="AE25" s="35">
        <f>'FS Desroches Daily'!BD27</f>
        <v>99.999999999965894</v>
      </c>
      <c r="AF25" s="31">
        <f>'FS Desroches Daily'!BF27</f>
        <v>52</v>
      </c>
      <c r="AG25" s="32">
        <f>'FS Desroches Daily'!BH27</f>
        <v>50.000000000011369</v>
      </c>
      <c r="AH25" s="32">
        <f>'FS Desroches Daily'!BJ27</f>
        <v>50.000000000011369</v>
      </c>
      <c r="AI25" s="32">
        <f>'FS Desroches Daily'!BL27</f>
        <v>79.999999999984084</v>
      </c>
      <c r="AJ25" s="32">
        <f>'FS Desroches Daily'!BN27</f>
        <v>60.000000000002274</v>
      </c>
      <c r="AK25" s="32">
        <f>'FS Desroches Daily'!BP27</f>
        <v>40.000000000020464</v>
      </c>
      <c r="AL25" s="32">
        <f>'FS Desroches Daily'!BR27</f>
        <v>49</v>
      </c>
      <c r="AM25" s="32">
        <f>'FS Desroches Daily'!BT27</f>
        <v>60.000000000002274</v>
      </c>
      <c r="AN25" s="32">
        <f>'FS Desroches Daily'!BV27</f>
        <v>46</v>
      </c>
      <c r="AO25" s="32">
        <f>'FS Desroches Daily'!BX27</f>
        <v>60.000000000002274</v>
      </c>
      <c r="AP25" s="32">
        <f>'FS Desroches Daily'!BZ27</f>
        <v>58</v>
      </c>
      <c r="AQ25" s="31">
        <f>'FS Desroches Daily'!CB27</f>
        <v>87.099999999998545</v>
      </c>
      <c r="AR25" s="31">
        <f>'FS Desroches Daily'!CD27</f>
        <v>16.899999999997817</v>
      </c>
      <c r="AS25" s="31">
        <f>'FS Desroches Daily'!CF27</f>
        <v>4.7000000000007276</v>
      </c>
      <c r="AT25" s="31">
        <f>'FS Desroches Daily'!CH27</f>
        <v>50.5</v>
      </c>
      <c r="AU25" s="31">
        <f>'FS Desroches Daily'!CJ27</f>
        <v>349</v>
      </c>
      <c r="AV25" s="31">
        <f>'FS Desroches Daily'!CL27</f>
        <v>1000</v>
      </c>
      <c r="AW25" s="31">
        <f>'FS Desroches Daily'!CM27</f>
        <v>110.79999999999927</v>
      </c>
      <c r="AX25" s="31">
        <f>IF(LPG!F32-LPG!F31&lt;0,"0",(LPG!F32-LPG!F31)*1.8315)</f>
        <v>0</v>
      </c>
      <c r="AY25" s="31">
        <f>IF(LPG!H32-LPG!H31&lt;0,"0",(LPG!H32-LPG!H31)*1.8315)</f>
        <v>5.4944999999999995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5.4944999999999995</v>
      </c>
      <c r="BC25" s="13">
        <f>'FS Desroches Daily'!CN27</f>
        <v>15</v>
      </c>
      <c r="BD25" s="9"/>
    </row>
    <row r="26" spans="1:56" s="16" customFormat="1" x14ac:dyDescent="0.25">
      <c r="A26" s="27" t="s">
        <v>11</v>
      </c>
      <c r="B26" s="15">
        <v>25</v>
      </c>
      <c r="C26" s="18">
        <v>1</v>
      </c>
      <c r="D26" s="27">
        <v>2023</v>
      </c>
      <c r="E26" s="31">
        <f>'FS Desroches Daily'!D28</f>
        <v>2899.9999999999027</v>
      </c>
      <c r="F26" s="32">
        <f>'FS Desroches Daily'!F28</f>
        <v>3599.9999999996035</v>
      </c>
      <c r="G26" s="31">
        <f>'FS Desroches Daily'!H28</f>
        <v>3199.9999999996476</v>
      </c>
      <c r="H26" s="32">
        <f>'FS Desroches Daily'!J28</f>
        <v>1900.0000000000127</v>
      </c>
      <c r="I26" s="31">
        <f>'FS Desroches Daily'!L28</f>
        <v>2299.9999999999686</v>
      </c>
      <c r="J26" s="32">
        <f>'FS Desroches Daily'!N28</f>
        <v>1399.9999999998458</v>
      </c>
      <c r="K26" s="13">
        <f>'FS Desroches Daily'!P28</f>
        <v>16</v>
      </c>
      <c r="L26" s="31">
        <f>'FS Desroches Daily'!R28</f>
        <v>6</v>
      </c>
      <c r="M26" s="31">
        <f>'FS Desroches Daily'!T28</f>
        <v>899.99999999986358</v>
      </c>
      <c r="N26" s="31">
        <f>'FS Desroches Daily'!V28</f>
        <v>390.29999999993015</v>
      </c>
      <c r="O26" s="31">
        <f>'FS Desroches Daily'!X28</f>
        <v>439.99999999994088</v>
      </c>
      <c r="P26" s="31">
        <f>'FS Desroches Daily'!Z28</f>
        <v>3099.9999999998809</v>
      </c>
      <c r="Q26" s="31">
        <f>'FS Desroches Daily'!AB28</f>
        <v>370.00000000000455</v>
      </c>
      <c r="R26" s="31">
        <f>'FS Desroches Daily'!AD28</f>
        <v>519.99999999998181</v>
      </c>
      <c r="S26" s="31">
        <f>'FS Desroches Daily'!AF28</f>
        <v>1000</v>
      </c>
      <c r="T26" s="31">
        <f>'FS Desroches Daily'!AH28</f>
        <v>44</v>
      </c>
      <c r="U26" s="35">
        <f>'FS Desroches Daily'!AJ28</f>
        <v>700.00000000014495</v>
      </c>
      <c r="V26" s="35">
        <f>'FS Desroches Daily'!AL28</f>
        <v>239.99999999995225</v>
      </c>
      <c r="W26" s="35">
        <f>'FS Desroches Daily'!AN28</f>
        <v>220.00000000002728</v>
      </c>
      <c r="X26" s="35">
        <f>'FS Desroches Daily'!AP28</f>
        <v>230.00000000001819</v>
      </c>
      <c r="Y26" s="35">
        <f>'FS Desroches Daily'!AR28</f>
        <v>189.99999999999773</v>
      </c>
      <c r="Z26" s="35">
        <f>'FS Desroches Daily'!AT28</f>
        <v>229.99999999996135</v>
      </c>
      <c r="AA26" s="35">
        <f>'FS Desroches Daily'!AT28</f>
        <v>229.99999999996135</v>
      </c>
      <c r="AB26" s="35">
        <f>'FS Desroches Daily'!AV28</f>
        <v>140.0000000000432</v>
      </c>
      <c r="AC26" s="35">
        <f>'FS Desroches Daily'!AZ28</f>
        <v>170.00000000001592</v>
      </c>
      <c r="AD26" s="35">
        <f>'FS Desroches Daily'!BB28</f>
        <v>160.00000000002501</v>
      </c>
      <c r="AE26" s="35">
        <f>'FS Desroches Daily'!BD28</f>
        <v>100.00000000002274</v>
      </c>
      <c r="AF26" s="31">
        <f>'FS Desroches Daily'!BF28</f>
        <v>43</v>
      </c>
      <c r="AG26" s="32">
        <f>'FS Desroches Daily'!BH28</f>
        <v>39.99999999996362</v>
      </c>
      <c r="AH26" s="32">
        <f>'FS Desroches Daily'!BJ28</f>
        <v>50.000000000011369</v>
      </c>
      <c r="AI26" s="32">
        <f>'FS Desroches Daily'!BL28</f>
        <v>60.000000000002274</v>
      </c>
      <c r="AJ26" s="32">
        <f>'FS Desroches Daily'!BN28</f>
        <v>50.000000000011369</v>
      </c>
      <c r="AK26" s="32">
        <f>'FS Desroches Daily'!BP28</f>
        <v>50.000000000011369</v>
      </c>
      <c r="AL26" s="32">
        <f>'FS Desroches Daily'!BR28</f>
        <v>53</v>
      </c>
      <c r="AM26" s="32">
        <f>'FS Desroches Daily'!BT28</f>
        <v>60.000000000002274</v>
      </c>
      <c r="AN26" s="32">
        <f>'FS Desroches Daily'!BV28</f>
        <v>45</v>
      </c>
      <c r="AO26" s="32">
        <f>'FS Desroches Daily'!BX28</f>
        <v>79.999999999984084</v>
      </c>
      <c r="AP26" s="32">
        <f>'FS Desroches Daily'!BZ28</f>
        <v>59</v>
      </c>
      <c r="AQ26" s="31">
        <f>'FS Desroches Daily'!CB28</f>
        <v>89</v>
      </c>
      <c r="AR26" s="31">
        <f>'FS Desroches Daily'!CD28</f>
        <v>13.600000000002183</v>
      </c>
      <c r="AS26" s="31">
        <f>'FS Desroches Daily'!CF28</f>
        <v>1.2999999999992724</v>
      </c>
      <c r="AT26" s="31">
        <f>'FS Desroches Daily'!CH28</f>
        <v>44.599999999991269</v>
      </c>
      <c r="AU26" s="31">
        <f>'FS Desroches Daily'!CJ28</f>
        <v>361</v>
      </c>
      <c r="AV26" s="31">
        <f>'FS Desroches Daily'!CL28</f>
        <v>1000</v>
      </c>
      <c r="AW26" s="31">
        <f>'FS Desroches Daily'!CM28</f>
        <v>107</v>
      </c>
      <c r="AX26" s="31">
        <f>IF(LPG!F33-LPG!F32&lt;0,"0",(LPG!F33-LPG!F32)*1.8315)</f>
        <v>0</v>
      </c>
      <c r="AY26" s="31">
        <f>IF(LPG!H33-LPG!H32&lt;0,"0",(LPG!H33-LPG!H32)*1.8315)</f>
        <v>5.4944999999999995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0</v>
      </c>
      <c r="BC26" s="13">
        <f>'FS Desroches Daily'!CN28</f>
        <v>12</v>
      </c>
      <c r="BD26" s="9"/>
    </row>
    <row r="27" spans="1:56" s="16" customFormat="1" x14ac:dyDescent="0.25">
      <c r="A27" s="27" t="s">
        <v>11</v>
      </c>
      <c r="B27" s="15">
        <v>26</v>
      </c>
      <c r="C27" s="18">
        <v>1</v>
      </c>
      <c r="D27" s="27">
        <v>2023</v>
      </c>
      <c r="E27" s="31">
        <f>'FS Desroches Daily'!D29</f>
        <v>2800.0000000001355</v>
      </c>
      <c r="F27" s="32">
        <f>'FS Desroches Daily'!F29</f>
        <v>3500.0000000007249</v>
      </c>
      <c r="G27" s="31">
        <f>'FS Desroches Daily'!H29</f>
        <v>3500.0000000007249</v>
      </c>
      <c r="H27" s="32">
        <f>'FS Desroches Daily'!J29</f>
        <v>1900.0000000000127</v>
      </c>
      <c r="I27" s="31">
        <f>'FS Desroches Daily'!L29</f>
        <v>2299.9999999999686</v>
      </c>
      <c r="J27" s="32">
        <f>'FS Desroches Daily'!N29</f>
        <v>1700.0000000000348</v>
      </c>
      <c r="K27" s="13">
        <f>'FS Desroches Daily'!P29</f>
        <v>20</v>
      </c>
      <c r="L27" s="31">
        <f>'FS Desroches Daily'!R29</f>
        <v>4</v>
      </c>
      <c r="M27" s="31">
        <f>'FS Desroches Daily'!T29</f>
        <v>1000</v>
      </c>
      <c r="N27" s="31">
        <f>'FS Desroches Daily'!V29</f>
        <v>494.80000000004657</v>
      </c>
      <c r="O27" s="31">
        <f>'FS Desroches Daily'!X29</f>
        <v>440.00000000005457</v>
      </c>
      <c r="P27" s="31">
        <f>'FS Desroches Daily'!Z29</f>
        <v>3000.0000000001137</v>
      </c>
      <c r="Q27" s="31">
        <f>'FS Desroches Daily'!AB29</f>
        <v>250</v>
      </c>
      <c r="R27" s="31">
        <f>'FS Desroches Daily'!AD29</f>
        <v>409.99999999996817</v>
      </c>
      <c r="S27" s="31">
        <f>'FS Desroches Daily'!AF29</f>
        <v>940.00000000005457</v>
      </c>
      <c r="T27" s="31">
        <f>'FS Desroches Daily'!AH29</f>
        <v>42</v>
      </c>
      <c r="U27" s="35">
        <f>'FS Desroches Daily'!AJ29</f>
        <v>799.99999999991189</v>
      </c>
      <c r="V27" s="35">
        <f>'FS Desroches Daily'!AL29</f>
        <v>250</v>
      </c>
      <c r="W27" s="35">
        <f>'FS Desroches Daily'!AN29</f>
        <v>189.99999999999773</v>
      </c>
      <c r="X27" s="35">
        <f>'FS Desroches Daily'!AP29</f>
        <v>209.99999999997954</v>
      </c>
      <c r="Y27" s="35">
        <f>'FS Desroches Daily'!AR29</f>
        <v>169.99999999995907</v>
      </c>
      <c r="Z27" s="35">
        <f>'FS Desroches Daily'!AT29</f>
        <v>210.00000000003638</v>
      </c>
      <c r="AA27" s="35">
        <f>'FS Desroches Daily'!AT29</f>
        <v>210.00000000003638</v>
      </c>
      <c r="AB27" s="35">
        <f>'FS Desroches Daily'!AV29</f>
        <v>159.99999999996817</v>
      </c>
      <c r="AC27" s="35">
        <f>'FS Desroches Daily'!AZ29</f>
        <v>170.00000000001592</v>
      </c>
      <c r="AD27" s="35">
        <f>'FS Desroches Daily'!BB29</f>
        <v>159.99999999996817</v>
      </c>
      <c r="AE27" s="35">
        <f>'FS Desroches Daily'!BD29</f>
        <v>100.00000000002274</v>
      </c>
      <c r="AF27" s="31">
        <f>'FS Desroches Daily'!BF29</f>
        <v>54</v>
      </c>
      <c r="AG27" s="32">
        <f>'FS Desroches Daily'!BH29</f>
        <v>50.000000000011369</v>
      </c>
      <c r="AH27" s="32">
        <f>'FS Desroches Daily'!BJ29</f>
        <v>49.999999999954525</v>
      </c>
      <c r="AI27" s="32">
        <f>'FS Desroches Daily'!BL29</f>
        <v>69.999999999993179</v>
      </c>
      <c r="AJ27" s="32">
        <f>'FS Desroches Daily'!BN29</f>
        <v>60.000000000002274</v>
      </c>
      <c r="AK27" s="32">
        <f>'FS Desroches Daily'!BP29</f>
        <v>39.99999999996362</v>
      </c>
      <c r="AL27" s="32">
        <f>'FS Desroches Daily'!BR29</f>
        <v>52</v>
      </c>
      <c r="AM27" s="32">
        <f>'FS Desroches Daily'!BT29</f>
        <v>59.999999999973852</v>
      </c>
      <c r="AN27" s="32">
        <f>'FS Desroches Daily'!BV29</f>
        <v>53</v>
      </c>
      <c r="AO27" s="32">
        <f>'FS Desroches Daily'!BX29</f>
        <v>60.000000000002274</v>
      </c>
      <c r="AP27" s="32">
        <f>'FS Desroches Daily'!BZ29</f>
        <v>67</v>
      </c>
      <c r="AQ27" s="31">
        <f>'FS Desroches Daily'!CB29</f>
        <v>81.599999999998545</v>
      </c>
      <c r="AR27" s="31">
        <f>'FS Desroches Daily'!CD29</f>
        <v>4.5</v>
      </c>
      <c r="AS27" s="31">
        <f>'FS Desroches Daily'!CF29</f>
        <v>3</v>
      </c>
      <c r="AT27" s="31">
        <f>'FS Desroches Daily'!CH29</f>
        <v>44.80000000000291</v>
      </c>
      <c r="AU27" s="31">
        <f>'FS Desroches Daily'!CJ29</f>
        <v>361</v>
      </c>
      <c r="AV27" s="31">
        <f>'FS Desroches Daily'!CL29</f>
        <v>1000</v>
      </c>
      <c r="AW27" s="31">
        <f>'FS Desroches Daily'!CM29</f>
        <v>85</v>
      </c>
      <c r="AX27" s="31">
        <f>IF(LPG!F35-LPG!F33&lt;0,"0",(LPG!F35-LPG!F33)*1.8315)</f>
        <v>0</v>
      </c>
      <c r="AY27" s="31">
        <f>IF(LPG!H35-LPG!H33&lt;0,"0",(LPG!H35-LPG!H33)*1.8315)</f>
        <v>5.4944999999999995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10.988999999999999</v>
      </c>
      <c r="BC27" s="13">
        <f>'FS Desroches Daily'!CN29</f>
        <v>11</v>
      </c>
      <c r="BD27" s="9"/>
    </row>
    <row r="28" spans="1:56" s="16" customFormat="1" x14ac:dyDescent="0.25">
      <c r="A28" s="27" t="s">
        <v>11</v>
      </c>
      <c r="B28" s="15">
        <v>27</v>
      </c>
      <c r="C28" s="18">
        <v>1</v>
      </c>
      <c r="D28" s="27">
        <v>2023</v>
      </c>
      <c r="E28" s="31">
        <f>'FS Desroches Daily'!D30</f>
        <v>2499.9999999999468</v>
      </c>
      <c r="F28" s="32">
        <f>'FS Desroches Daily'!F30</f>
        <v>3199.9999999996476</v>
      </c>
      <c r="G28" s="31">
        <f>'FS Desroches Daily'!H30</f>
        <v>3499.9999999998367</v>
      </c>
      <c r="H28" s="32">
        <f>'FS Desroches Daily'!J30</f>
        <v>1700.0000000000348</v>
      </c>
      <c r="I28" s="31">
        <f>'FS Desroches Daily'!L30</f>
        <v>2099.9999999999909</v>
      </c>
      <c r="J28" s="32">
        <f>'FS Desroches Daily'!N30</f>
        <v>1900.0000000000127</v>
      </c>
      <c r="K28" s="13">
        <f>'FS Desroches Daily'!P30</f>
        <v>161</v>
      </c>
      <c r="L28" s="31">
        <f>'FS Desroches Daily'!R30</f>
        <v>11</v>
      </c>
      <c r="M28" s="31">
        <f>'FS Desroches Daily'!T30</f>
        <v>900.00000000009095</v>
      </c>
      <c r="N28" s="31">
        <f>'FS Desroches Daily'!V30</f>
        <v>368</v>
      </c>
      <c r="O28" s="31">
        <f>'FS Desroches Daily'!X30</f>
        <v>360.00000000001364</v>
      </c>
      <c r="P28" s="31">
        <f>'FS Desroches Daily'!Z30</f>
        <v>2599.9999999992697</v>
      </c>
      <c r="Q28" s="31">
        <f>'FS Desroches Daily'!AB30</f>
        <v>429.99999999994998</v>
      </c>
      <c r="R28" s="31">
        <f>'FS Desroches Daily'!AD30</f>
        <v>389.99999999998636</v>
      </c>
      <c r="S28" s="31">
        <f>'FS Desroches Daily'!AF30</f>
        <v>969.9999999999136</v>
      </c>
      <c r="T28" s="31">
        <f>'FS Desroches Daily'!AH30</f>
        <v>42</v>
      </c>
      <c r="U28" s="35">
        <f>'FS Desroches Daily'!AJ30</f>
        <v>700.00000000014495</v>
      </c>
      <c r="V28" s="35">
        <f>'FS Desroches Daily'!AL30</f>
        <v>210.00000000003638</v>
      </c>
      <c r="W28" s="35">
        <f>'FS Desroches Daily'!AN30</f>
        <v>159.99999999996817</v>
      </c>
      <c r="X28" s="35">
        <f>'FS Desroches Daily'!AP30</f>
        <v>170.00000000001592</v>
      </c>
      <c r="Y28" s="35">
        <f>'FS Desroches Daily'!AR30</f>
        <v>140.0000000000432</v>
      </c>
      <c r="Z28" s="35">
        <f>'FS Desroches Daily'!AT30</f>
        <v>159.99999999996817</v>
      </c>
      <c r="AA28" s="35">
        <f>'FS Desroches Daily'!AT30</f>
        <v>159.99999999996817</v>
      </c>
      <c r="AB28" s="35">
        <f>'FS Desroches Daily'!AV30</f>
        <v>120.00000000000455</v>
      </c>
      <c r="AC28" s="35">
        <f>'FS Desroches Daily'!AZ30</f>
        <v>149.99999999997726</v>
      </c>
      <c r="AD28" s="35">
        <f>'FS Desroches Daily'!BB30</f>
        <v>150.00000000003411</v>
      </c>
      <c r="AE28" s="35">
        <f>'FS Desroches Daily'!BD30</f>
        <v>89.999999999974989</v>
      </c>
      <c r="AF28" s="31">
        <f>'FS Desroches Daily'!BF30</f>
        <v>52</v>
      </c>
      <c r="AG28" s="32">
        <f>'FS Desroches Daily'!BH30</f>
        <v>50.000000000011369</v>
      </c>
      <c r="AH28" s="32">
        <f>'FS Desroches Daily'!BJ30</f>
        <v>40.000000000020464</v>
      </c>
      <c r="AI28" s="32">
        <f>'FS Desroches Daily'!BL30</f>
        <v>70.000000000050022</v>
      </c>
      <c r="AJ28" s="32">
        <f>'FS Desroches Daily'!BN30</f>
        <v>39.999999999992042</v>
      </c>
      <c r="AK28" s="32">
        <f>'FS Desroches Daily'!BP30</f>
        <v>50.000000000011369</v>
      </c>
      <c r="AL28" s="32">
        <f>'FS Desroches Daily'!BR30</f>
        <v>48</v>
      </c>
      <c r="AM28" s="32">
        <f>'FS Desroches Daily'!BT30</f>
        <v>50.000000000011369</v>
      </c>
      <c r="AN28" s="32">
        <f>'FS Desroches Daily'!BV30</f>
        <v>42</v>
      </c>
      <c r="AO28" s="32">
        <f>'FS Desroches Daily'!BX30</f>
        <v>60.000000000002274</v>
      </c>
      <c r="AP28" s="32">
        <f>'FS Desroches Daily'!BZ30</f>
        <v>55</v>
      </c>
      <c r="AQ28" s="31">
        <f>'FS Desroches Daily'!CB30</f>
        <v>71.5</v>
      </c>
      <c r="AR28" s="31">
        <f>'FS Desroches Daily'!CD30</f>
        <v>7.3999999999978172</v>
      </c>
      <c r="AS28" s="31">
        <f>'FS Desroches Daily'!CF30</f>
        <v>1.8999999999996362</v>
      </c>
      <c r="AT28" s="31">
        <f>'FS Desroches Daily'!CH30</f>
        <v>54.19999999999709</v>
      </c>
      <c r="AU28" s="31">
        <f>'FS Desroches Daily'!CJ30</f>
        <v>333</v>
      </c>
      <c r="AV28" s="31">
        <f>'FS Desroches Daily'!CL30</f>
        <v>1299.9999999999545</v>
      </c>
      <c r="AW28" s="31">
        <f>'FS Desroches Daily'!CM30</f>
        <v>99.200000000000728</v>
      </c>
      <c r="AX28" s="31">
        <f>IF(LPG!F36-LPG!F34&lt;0,"0",(LPG!F36-LPG!F34)*1.8315)</f>
        <v>0</v>
      </c>
      <c r="AY28" s="31">
        <f>IF(LPG!H36-LPG!H34&lt;0,"0",(LPG!H36-LPG!H34)*1.8315)</f>
        <v>7.3259999999999996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9.1574999999999989</v>
      </c>
      <c r="BC28" s="13">
        <f>'FS Desroches Daily'!CN30</f>
        <v>9</v>
      </c>
      <c r="BD28" s="9"/>
    </row>
    <row r="29" spans="1:56" s="16" customFormat="1" x14ac:dyDescent="0.25">
      <c r="A29" s="27" t="s">
        <v>11</v>
      </c>
      <c r="B29" s="15">
        <v>28</v>
      </c>
      <c r="C29" s="18">
        <v>1</v>
      </c>
      <c r="D29" s="27">
        <v>2023</v>
      </c>
      <c r="E29" s="31">
        <f>'FS Desroches Daily'!D31</f>
        <v>2699.9999999999245</v>
      </c>
      <c r="F29" s="32">
        <f>'FS Desroches Daily'!F31</f>
        <v>3199.9999999996476</v>
      </c>
      <c r="G29" s="31">
        <f>'FS Desroches Daily'!H31</f>
        <v>3099.9999999998809</v>
      </c>
      <c r="H29" s="32">
        <f>'FS Desroches Daily'!J31</f>
        <v>1800.0000000002458</v>
      </c>
      <c r="I29" s="31">
        <f>'FS Desroches Daily'!L31</f>
        <v>2299.9999999999686</v>
      </c>
      <c r="J29" s="32">
        <f>'FS Desroches Daily'!N31</f>
        <v>1700.0000000000348</v>
      </c>
      <c r="K29" s="13">
        <f>'FS Desroches Daily'!P31</f>
        <v>41</v>
      </c>
      <c r="L29" s="31">
        <f>'FS Desroches Daily'!R31</f>
        <v>6</v>
      </c>
      <c r="M29" s="31">
        <f>'FS Desroches Daily'!T31</f>
        <v>799.99999999995453</v>
      </c>
      <c r="N29" s="31">
        <f>'FS Desroches Daily'!V31</f>
        <v>353.40000000002328</v>
      </c>
      <c r="O29" s="31">
        <f>'FS Desroches Daily'!X31</f>
        <v>409.99999999996817</v>
      </c>
      <c r="P29" s="31">
        <f>'FS Desroches Daily'!Z31</f>
        <v>2800.0000000005798</v>
      </c>
      <c r="Q29" s="31">
        <f>'FS Desroches Daily'!AB31</f>
        <v>269.99999999998181</v>
      </c>
      <c r="R29" s="31">
        <f>'FS Desroches Daily'!AD31</f>
        <v>340.00000000003183</v>
      </c>
      <c r="S29" s="31">
        <f>'FS Desroches Daily'!AF31</f>
        <v>920.00000000007276</v>
      </c>
      <c r="T29" s="31">
        <f>'FS Desroches Daily'!AH31</f>
        <v>38</v>
      </c>
      <c r="U29" s="35">
        <f>'FS Desroches Daily'!AJ31</f>
        <v>699.99999999992292</v>
      </c>
      <c r="V29" s="35">
        <f>'FS Desroches Daily'!AL31</f>
        <v>230.00000000001819</v>
      </c>
      <c r="W29" s="35">
        <f>'FS Desroches Daily'!AN31</f>
        <v>170.00000000001592</v>
      </c>
      <c r="X29" s="35">
        <f>'FS Desroches Daily'!AP31</f>
        <v>199.99999999998863</v>
      </c>
      <c r="Y29" s="35">
        <f>'FS Desroches Daily'!AR31</f>
        <v>219.99999999997044</v>
      </c>
      <c r="Z29" s="35">
        <f>'FS Desroches Daily'!AT31</f>
        <v>210.00000000003638</v>
      </c>
      <c r="AA29" s="35">
        <f>'FS Desroches Daily'!AT31</f>
        <v>210.00000000003638</v>
      </c>
      <c r="AB29" s="35">
        <f>'FS Desroches Daily'!AV31</f>
        <v>139.99999999998636</v>
      </c>
      <c r="AC29" s="35">
        <f>'FS Desroches Daily'!AZ31</f>
        <v>160.00000000002501</v>
      </c>
      <c r="AD29" s="35">
        <f>'FS Desroches Daily'!BB31</f>
        <v>129.99999999999545</v>
      </c>
      <c r="AE29" s="35">
        <f>'FS Desroches Daily'!BD31</f>
        <v>79.999999999984084</v>
      </c>
      <c r="AF29" s="31">
        <f>'FS Desroches Daily'!BF31</f>
        <v>40</v>
      </c>
      <c r="AG29" s="32">
        <f>'FS Desroches Daily'!BH31</f>
        <v>50.000000000011369</v>
      </c>
      <c r="AH29" s="32">
        <f>'FS Desroches Daily'!BJ31</f>
        <v>50.000000000011369</v>
      </c>
      <c r="AI29" s="32">
        <f>'FS Desroches Daily'!BL31</f>
        <v>69.999999999993179</v>
      </c>
      <c r="AJ29" s="32">
        <f>'FS Desroches Daily'!BN31</f>
        <v>50.000000000011369</v>
      </c>
      <c r="AK29" s="32">
        <f>'FS Desroches Daily'!BP31</f>
        <v>40.000000000020464</v>
      </c>
      <c r="AL29" s="32">
        <f>'FS Desroches Daily'!BR31</f>
        <v>51</v>
      </c>
      <c r="AM29" s="32">
        <f>'FS Desroches Daily'!BT31</f>
        <v>60.000000000002274</v>
      </c>
      <c r="AN29" s="32">
        <f>'FS Desroches Daily'!BV31</f>
        <v>43</v>
      </c>
      <c r="AO29" s="32">
        <f>'FS Desroches Daily'!BX31</f>
        <v>60.000000000002274</v>
      </c>
      <c r="AP29" s="32">
        <f>'FS Desroches Daily'!BZ31</f>
        <v>58</v>
      </c>
      <c r="AQ29" s="31">
        <f>'FS Desroches Daily'!CB31</f>
        <v>86.900000000001455</v>
      </c>
      <c r="AR29" s="31">
        <f>'FS Desroches Daily'!CD31</f>
        <v>7.5</v>
      </c>
      <c r="AS29" s="31">
        <f>'FS Desroches Daily'!CF31</f>
        <v>7.8999999999996362</v>
      </c>
      <c r="AT29" s="31">
        <f>'FS Desroches Daily'!CH31</f>
        <v>37.5</v>
      </c>
      <c r="AU29" s="31">
        <f>'FS Desroches Daily'!CJ31</f>
        <v>335</v>
      </c>
      <c r="AV29" s="31">
        <f>'FS Desroches Daily'!CL31</f>
        <v>599.99999999990905</v>
      </c>
      <c r="AW29" s="31">
        <f>'FS Desroches Daily'!CM31</f>
        <v>99.299999999999272</v>
      </c>
      <c r="AX29" s="31">
        <f>IF(LPG!F37-LPG!F35&lt;0,"0",(LPG!F37-LPG!F35)*1.8315)</f>
        <v>0</v>
      </c>
      <c r="AY29" s="31">
        <f>IF(LPG!H37-LPG!H35&lt;0,"0",(LPG!H37-LPG!H35)*1.8315)</f>
        <v>9.1574999999999989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3.6629999999999998</v>
      </c>
      <c r="BC29" s="13">
        <f>'FS Desroches Daily'!CN31</f>
        <v>10</v>
      </c>
      <c r="BD29" s="9"/>
    </row>
    <row r="30" spans="1:56" s="16" customFormat="1" x14ac:dyDescent="0.25">
      <c r="A30" s="27" t="s">
        <v>11</v>
      </c>
      <c r="B30" s="15">
        <v>29</v>
      </c>
      <c r="C30" s="18">
        <v>1</v>
      </c>
      <c r="D30" s="27">
        <v>2023</v>
      </c>
      <c r="E30" s="31">
        <f>'FS Desroches Daily'!D32</f>
        <v>1800.0000000002458</v>
      </c>
      <c r="F30" s="32">
        <f>'FS Desroches Daily'!F32</f>
        <v>2800.0000000005798</v>
      </c>
      <c r="G30" s="31">
        <f>'FS Desroches Daily'!H32</f>
        <v>2900.0000000003465</v>
      </c>
      <c r="H30" s="32">
        <f>'FS Desroches Daily'!J32</f>
        <v>1399.9999999998458</v>
      </c>
      <c r="I30" s="31">
        <f>'FS Desroches Daily'!L32</f>
        <v>1900.0000000000127</v>
      </c>
      <c r="J30" s="32">
        <f>'FS Desroches Daily'!N32</f>
        <v>1100.000000000101</v>
      </c>
      <c r="K30" s="13">
        <f>'FS Desroches Daily'!P32</f>
        <v>19</v>
      </c>
      <c r="L30" s="31">
        <f>'FS Desroches Daily'!R32</f>
        <v>3</v>
      </c>
      <c r="M30" s="31">
        <f>'FS Desroches Daily'!T32</f>
        <v>900.00000000009095</v>
      </c>
      <c r="N30" s="31">
        <f>'FS Desroches Daily'!V32</f>
        <v>328.59999999997672</v>
      </c>
      <c r="O30" s="31">
        <f>'FS Desroches Daily'!X32</f>
        <v>220.00000000002728</v>
      </c>
      <c r="P30" s="31">
        <f>'FS Desroches Daily'!Z32</f>
        <v>2499.9999999995025</v>
      </c>
      <c r="Q30" s="31">
        <f>'FS Desroches Daily'!AB32</f>
        <v>190.00000000005457</v>
      </c>
      <c r="R30" s="31">
        <f>'FS Desroches Daily'!AD32</f>
        <v>230.00000000001819</v>
      </c>
      <c r="S30" s="31">
        <f>'FS Desroches Daily'!AF32</f>
        <v>500</v>
      </c>
      <c r="T30" s="31">
        <f>'FS Desroches Daily'!AH32</f>
        <v>28</v>
      </c>
      <c r="U30" s="35">
        <f>'FS Desroches Daily'!AJ32</f>
        <v>399.99999999995595</v>
      </c>
      <c r="V30" s="35">
        <f>'FS Desroches Daily'!AL32</f>
        <v>119.9999999999477</v>
      </c>
      <c r="W30" s="35">
        <f>'FS Desroches Daily'!AN32</f>
        <v>100.00000000002274</v>
      </c>
      <c r="X30" s="35">
        <f>'FS Desroches Daily'!AP32</f>
        <v>80.000000000040927</v>
      </c>
      <c r="Y30" s="35">
        <f>'FS Desroches Daily'!AR32</f>
        <v>129.99999999999545</v>
      </c>
      <c r="Z30" s="35">
        <f>'FS Desroches Daily'!AT32</f>
        <v>149.99999999997726</v>
      </c>
      <c r="AA30" s="35">
        <f>'FS Desroches Daily'!AT32</f>
        <v>149.99999999997726</v>
      </c>
      <c r="AB30" s="35">
        <f>'FS Desroches Daily'!AV32</f>
        <v>69.999999999993179</v>
      </c>
      <c r="AC30" s="35">
        <f>'FS Desroches Daily'!AZ32</f>
        <v>99.999999999965894</v>
      </c>
      <c r="AD30" s="35">
        <f>'FS Desroches Daily'!BB32</f>
        <v>79.999999999984084</v>
      </c>
      <c r="AE30" s="35">
        <f>'FS Desroches Daily'!BD32</f>
        <v>50.000000000011369</v>
      </c>
      <c r="AF30" s="31">
        <f>'FS Desroches Daily'!BF32</f>
        <v>41</v>
      </c>
      <c r="AG30" s="32">
        <f>'FS Desroches Daily'!BH32</f>
        <v>39.99999999996362</v>
      </c>
      <c r="AH30" s="32">
        <f>'FS Desroches Daily'!BJ32</f>
        <v>39.99999999996362</v>
      </c>
      <c r="AI30" s="32">
        <f>'FS Desroches Daily'!BL32</f>
        <v>50.000000000011369</v>
      </c>
      <c r="AJ30" s="32">
        <f>'FS Desroches Daily'!BN32</f>
        <v>39.999999999992042</v>
      </c>
      <c r="AK30" s="32">
        <f>'FS Desroches Daily'!BP32</f>
        <v>29.999999999972715</v>
      </c>
      <c r="AL30" s="32">
        <f>'FS Desroches Daily'!BR32</f>
        <v>35</v>
      </c>
      <c r="AM30" s="32">
        <f>'FS Desroches Daily'!BT32</f>
        <v>30.000000000001137</v>
      </c>
      <c r="AN30" s="32">
        <f>'FS Desroches Daily'!BV32</f>
        <v>34</v>
      </c>
      <c r="AO30" s="32">
        <f>'FS Desroches Daily'!BX32</f>
        <v>39.999999999992042</v>
      </c>
      <c r="AP30" s="32">
        <f>'FS Desroches Daily'!BZ32</f>
        <v>48</v>
      </c>
      <c r="AQ30" s="31">
        <f>'FS Desroches Daily'!CB32</f>
        <v>88.69999999999709</v>
      </c>
      <c r="AR30" s="31">
        <f>'FS Desroches Daily'!CD32</f>
        <v>7.4000000000014552</v>
      </c>
      <c r="AS30" s="31">
        <f>'FS Desroches Daily'!CF32</f>
        <v>1.4000000000014552</v>
      </c>
      <c r="AT30" s="31">
        <f>'FS Desroches Daily'!CH32</f>
        <v>32.30000000000291</v>
      </c>
      <c r="AU30" s="31">
        <f>'FS Desroches Daily'!CJ32</f>
        <v>321</v>
      </c>
      <c r="AV30" s="31">
        <f>'FS Desroches Daily'!CL32</f>
        <v>900.00000000009095</v>
      </c>
      <c r="AW30" s="31">
        <f>'FS Desroches Daily'!CM32</f>
        <v>98.099999999998545</v>
      </c>
      <c r="AX30" s="31">
        <f>IF(LPG!F38-LPG!F36&lt;0,"0",(LPG!F38-LPG!F36)*1.8315)</f>
        <v>0</v>
      </c>
      <c r="AY30" s="31">
        <f>IF(LPG!H38-LPG!H36&lt;0,"0",(LPG!H38-LPG!H36)*1.8315)</f>
        <v>9.1574999999999989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5.4944999999999995</v>
      </c>
      <c r="BC30" s="13">
        <f>'FS Desroches Daily'!CN32</f>
        <v>10</v>
      </c>
      <c r="BD30" s="9"/>
    </row>
    <row r="31" spans="1:56" s="16" customFormat="1" x14ac:dyDescent="0.25">
      <c r="A31" s="27" t="s">
        <v>11</v>
      </c>
      <c r="B31" s="15">
        <v>30</v>
      </c>
      <c r="C31" s="18">
        <v>1</v>
      </c>
      <c r="D31" s="27">
        <v>2023</v>
      </c>
      <c r="E31" s="31">
        <f>'FS Desroches Daily'!D33</f>
        <v>1099.9999999996569</v>
      </c>
      <c r="F31" s="32">
        <f>'FS Desroches Daily'!F33</f>
        <v>2600.0000000001578</v>
      </c>
      <c r="G31" s="31">
        <f>'FS Desroches Daily'!H33</f>
        <v>2799.9999999996917</v>
      </c>
      <c r="H31" s="32">
        <f>'FS Desroches Daily'!J33</f>
        <v>1399.9999999998458</v>
      </c>
      <c r="I31" s="31">
        <f>'FS Desroches Daily'!L33</f>
        <v>2000.0000000002237</v>
      </c>
      <c r="J31" s="32">
        <f>'FS Desroches Daily'!N33</f>
        <v>1100.000000000101</v>
      </c>
      <c r="K31" s="13">
        <f>'FS Desroches Daily'!P33</f>
        <v>17</v>
      </c>
      <c r="L31" s="31">
        <f>'FS Desroches Daily'!R33</f>
        <v>3</v>
      </c>
      <c r="M31" s="31">
        <f>'FS Desroches Daily'!T33</f>
        <v>899.99999999986358</v>
      </c>
      <c r="N31" s="31">
        <f>'FS Desroches Daily'!V33</f>
        <v>285.90000000002328</v>
      </c>
      <c r="O31" s="31">
        <f>'FS Desroches Daily'!X33</f>
        <v>209.99999999992269</v>
      </c>
      <c r="P31" s="31">
        <f>'FS Desroches Daily'!Z33</f>
        <v>2299.9999999999686</v>
      </c>
      <c r="Q31" s="31">
        <f>'FS Desroches Daily'!AB33</f>
        <v>360.00000000001364</v>
      </c>
      <c r="R31" s="31">
        <f>'FS Desroches Daily'!AD33</f>
        <v>220.00000000002728</v>
      </c>
      <c r="S31" s="31">
        <f>'FS Desroches Daily'!AF33</f>
        <v>409.99999999996817</v>
      </c>
      <c r="T31" s="31">
        <f>'FS Desroches Daily'!AH33</f>
        <v>28</v>
      </c>
      <c r="U31" s="35">
        <f>'FS Desroches Daily'!AJ33</f>
        <v>399.99999999995595</v>
      </c>
      <c r="V31" s="35">
        <f>'FS Desroches Daily'!AL33</f>
        <v>70.000000000050022</v>
      </c>
      <c r="W31" s="35">
        <f>'FS Desroches Daily'!AN33</f>
        <v>89.999999999974989</v>
      </c>
      <c r="X31" s="35">
        <f>'FS Desroches Daily'!AP33</f>
        <v>60.000000000002274</v>
      </c>
      <c r="Y31" s="35">
        <f>'FS Desroches Daily'!AR33</f>
        <v>69.999999999993179</v>
      </c>
      <c r="Z31" s="35">
        <f>'FS Desroches Daily'!AT33</f>
        <v>60.000000000002274</v>
      </c>
      <c r="AA31" s="35">
        <f>'FS Desroches Daily'!AT33</f>
        <v>60.000000000002274</v>
      </c>
      <c r="AB31" s="35">
        <f>'FS Desroches Daily'!AV33</f>
        <v>50.000000000011369</v>
      </c>
      <c r="AC31" s="35">
        <f>'FS Desroches Daily'!AZ33</f>
        <v>50.000000000011369</v>
      </c>
      <c r="AD31" s="35">
        <f>'FS Desroches Daily'!BB33</f>
        <v>60.000000000002274</v>
      </c>
      <c r="AE31" s="35">
        <f>'FS Desroches Daily'!BD33</f>
        <v>40.000000000020464</v>
      </c>
      <c r="AF31" s="31">
        <f>'FS Desroches Daily'!BF33</f>
        <v>50</v>
      </c>
      <c r="AG31" s="32">
        <f>'FS Desroches Daily'!BH33</f>
        <v>30.000000000029559</v>
      </c>
      <c r="AH31" s="32">
        <f>'FS Desroches Daily'!BJ33</f>
        <v>30.000000000029559</v>
      </c>
      <c r="AI31" s="32">
        <f>'FS Desroches Daily'!BL33</f>
        <v>49.999999999954525</v>
      </c>
      <c r="AJ31" s="32">
        <f>'FS Desroches Daily'!BN33</f>
        <v>30.000000000001137</v>
      </c>
      <c r="AK31" s="32">
        <f>'FS Desroches Daily'!BP33</f>
        <v>20.000000000038654</v>
      </c>
      <c r="AL31" s="32">
        <f>'FS Desroches Daily'!BR33</f>
        <v>39</v>
      </c>
      <c r="AM31" s="32">
        <f>'FS Desroches Daily'!BT33</f>
        <v>39.999999999992042</v>
      </c>
      <c r="AN31" s="32">
        <f>'FS Desroches Daily'!BV33</f>
        <v>30</v>
      </c>
      <c r="AO31" s="32">
        <f>'FS Desroches Daily'!BX33</f>
        <v>40.000000000020464</v>
      </c>
      <c r="AP31" s="32">
        <f>'FS Desroches Daily'!BZ33</f>
        <v>49</v>
      </c>
      <c r="AQ31" s="31">
        <f>'FS Desroches Daily'!CB33</f>
        <v>80.30000000000291</v>
      </c>
      <c r="AR31" s="31">
        <f>'FS Desroches Daily'!CD33</f>
        <v>5.5999999999985448</v>
      </c>
      <c r="AS31" s="31">
        <f>'FS Desroches Daily'!CF33</f>
        <v>6.6999999999989086</v>
      </c>
      <c r="AT31" s="31">
        <f>'FS Desroches Daily'!CH33</f>
        <v>45</v>
      </c>
      <c r="AU31" s="31">
        <f>'FS Desroches Daily'!CJ33</f>
        <v>303</v>
      </c>
      <c r="AV31" s="31">
        <f>'FS Desroches Daily'!CL33</f>
        <v>799.99999999995453</v>
      </c>
      <c r="AW31" s="31">
        <f>'FS Desroches Daily'!CM33</f>
        <v>81.400000000001455</v>
      </c>
      <c r="AX31" s="31" t="str">
        <f>IF(LPG!F39-LPG!F37&lt;0,"0",(LPG!F39-LPG!F37)*1.8315)</f>
        <v>0</v>
      </c>
      <c r="AY31" s="31" t="str">
        <f>IF(LPG!H39-LPG!H37&lt;0,"0",(LPG!H39-LPG!H37)*1.8315)</f>
        <v>0</v>
      </c>
      <c r="AZ31" s="31" t="str">
        <f>IF(LPG!J39-LPG!J37&lt;0,"0",(LPG!J39-LPG!J37)*1.8315)</f>
        <v>0</v>
      </c>
      <c r="BA31" s="31" t="str">
        <f>IF(LPG!M39-LPG!M37&lt;0,"0",(LPG!M39-LPG!M37)*1.8315)</f>
        <v>0</v>
      </c>
      <c r="BB31" s="31">
        <f>IF(LPG!Q38-LPG!Q37&lt;0,"0",(LPG!Q38-LPG!Q37)*1.8315)</f>
        <v>5.4944999999999995</v>
      </c>
      <c r="BC31" s="13">
        <f>'FS Desroches Daily'!CN33</f>
        <v>10</v>
      </c>
      <c r="BD31" s="9"/>
    </row>
    <row r="32" spans="1:56" x14ac:dyDescent="0.25">
      <c r="A32" s="27" t="s">
        <v>11</v>
      </c>
      <c r="B32" s="15">
        <v>31</v>
      </c>
      <c r="C32" s="18">
        <v>1</v>
      </c>
      <c r="D32" s="27">
        <v>2023</v>
      </c>
      <c r="E32" s="31">
        <f>'FS Desroches Daily'!D34</f>
        <v>1000.000000000334</v>
      </c>
      <c r="F32" s="32">
        <f>'FS Desroches Daily'!F34</f>
        <v>2699.9999999999245</v>
      </c>
      <c r="G32" s="31">
        <f>'FS Desroches Daily'!H34</f>
        <v>3000.0000000001137</v>
      </c>
      <c r="H32" s="32">
        <f>'FS Desroches Daily'!J34</f>
        <v>1600.0000000002678</v>
      </c>
      <c r="I32" s="31">
        <f>'FS Desroches Daily'!L34</f>
        <v>1999.9999999997797</v>
      </c>
      <c r="J32" s="32">
        <f>'FS Desroches Daily'!N34</f>
        <v>1099.9999999996569</v>
      </c>
      <c r="K32" s="13">
        <f>'FS Desroches Daily'!P34</f>
        <v>36</v>
      </c>
      <c r="L32" s="31">
        <f>'FS Desroches Daily'!R34</f>
        <v>5</v>
      </c>
      <c r="M32" s="31">
        <f>'FS Desroches Daily'!T34</f>
        <v>1000</v>
      </c>
      <c r="N32" s="31">
        <f>'FS Desroches Daily'!V34</f>
        <v>485.09999999997672</v>
      </c>
      <c r="O32" s="31">
        <f>'FS Desroches Daily'!X34</f>
        <v>270.0000000000955</v>
      </c>
      <c r="P32" s="31">
        <f>'FS Desroches Daily'!Z34</f>
        <v>2500.0000000003906</v>
      </c>
      <c r="Q32" s="31">
        <f>'FS Desroches Daily'!AB34</f>
        <v>209.99999999992269</v>
      </c>
      <c r="R32" s="31">
        <f>'FS Desroches Daily'!AD34</f>
        <v>329.99999999992724</v>
      </c>
      <c r="S32" s="31">
        <f>'FS Desroches Daily'!AF34</f>
        <v>429.99999999994998</v>
      </c>
      <c r="T32" s="31">
        <f>'FS Desroches Daily'!AH34</f>
        <v>33</v>
      </c>
      <c r="U32" s="35">
        <f>'FS Desroches Daily'!AJ34</f>
        <v>299.99999999996697</v>
      </c>
      <c r="V32" s="35">
        <f>'FS Desroches Daily'!AL34</f>
        <v>49.999999999954525</v>
      </c>
      <c r="W32" s="35">
        <f>'FS Desroches Daily'!AN34</f>
        <v>69.999999999993179</v>
      </c>
      <c r="X32" s="35">
        <f>'FS Desroches Daily'!AP34</f>
        <v>39.99999999996362</v>
      </c>
      <c r="Y32" s="35">
        <f>'FS Desroches Daily'!AR34</f>
        <v>40.000000000020464</v>
      </c>
      <c r="Z32" s="35">
        <f>'FS Desroches Daily'!AT34</f>
        <v>79.999999999984084</v>
      </c>
      <c r="AA32" s="35">
        <f>'FS Desroches Daily'!AT34</f>
        <v>79.999999999984084</v>
      </c>
      <c r="AB32" s="35">
        <f>'FS Desroches Daily'!AV34</f>
        <v>30.000000000029559</v>
      </c>
      <c r="AC32" s="35">
        <f>'FS Desroches Daily'!AZ34</f>
        <v>40.000000000020464</v>
      </c>
      <c r="AD32" s="35">
        <f>'FS Desroches Daily'!BB34</f>
        <v>29.999999999972715</v>
      </c>
      <c r="AE32" s="35">
        <f>'FS Desroches Daily'!BD34</f>
        <v>39.99999999996362</v>
      </c>
      <c r="AF32" s="31" t="str">
        <f>'FS Desroches Daily'!BF34</f>
        <v/>
      </c>
      <c r="AG32" s="32">
        <f>'FS Desroches Daily'!BH34</f>
        <v>50.000000000011369</v>
      </c>
      <c r="AH32" s="32">
        <f>'FS Desroches Daily'!BJ34</f>
        <v>50.000000000011369</v>
      </c>
      <c r="AI32" s="32">
        <f>'FS Desroches Daily'!BL34</f>
        <v>60.000000000002274</v>
      </c>
      <c r="AJ32" s="32">
        <f>'FS Desroches Daily'!BN34</f>
        <v>49.999999999982947</v>
      </c>
      <c r="AK32" s="32">
        <f>'FS Desroches Daily'!BP34</f>
        <v>39.99999999996362</v>
      </c>
      <c r="AL32" s="32">
        <f>'FS Desroches Daily'!BR34</f>
        <v>50</v>
      </c>
      <c r="AM32" s="32">
        <f>'FS Desroches Daily'!BT34</f>
        <v>40.000000000020464</v>
      </c>
      <c r="AN32" s="32">
        <f>'FS Desroches Daily'!BV34</f>
        <v>39</v>
      </c>
      <c r="AO32" s="32">
        <f>'FS Desroches Daily'!BX34</f>
        <v>49.999999999982947</v>
      </c>
      <c r="AP32" s="32">
        <f>'FS Desroches Daily'!BZ34</f>
        <v>51</v>
      </c>
      <c r="AQ32" s="31">
        <f>'FS Desroches Daily'!CB34</f>
        <v>82.599999999998545</v>
      </c>
      <c r="AR32" s="31">
        <f>'FS Desroches Daily'!CD34</f>
        <v>7.9000000000014552</v>
      </c>
      <c r="AS32" s="31" t="str">
        <f>'FS Desroches Daily'!CF34</f>
        <v/>
      </c>
      <c r="AT32" s="31">
        <f>'FS Desroches Daily'!CH34</f>
        <v>45</v>
      </c>
      <c r="AU32" s="31">
        <f>'FS Desroches Daily'!CJ34</f>
        <v>330</v>
      </c>
      <c r="AV32" s="31">
        <f>'FS Desroches Daily'!CL34</f>
        <v>600.00000000013642</v>
      </c>
      <c r="AW32" s="31">
        <f>'FS Desroches Daily'!CM34</f>
        <v>79.200000000000728</v>
      </c>
      <c r="AX32" s="31" t="str">
        <f>IF(LPG!F40-LPG!F38&lt;0,"0",(LPG!F40-LPG!F38)*1.8315)</f>
        <v>0</v>
      </c>
      <c r="AY32" s="31" t="str">
        <f>IF(LPG!H40-LPG!H38&lt;0,"0",(LPG!H40-LPG!H38)*1.8315)</f>
        <v>0</v>
      </c>
      <c r="AZ32" s="31" t="str">
        <f>IF(LPG!J40-LPG!J38&lt;0,"0",(LPG!J40-LPG!J38)*1.8315)</f>
        <v>0</v>
      </c>
      <c r="BA32" s="31" t="str">
        <f>IF(LPG!M40-LPG!M38&lt;0,"0",(LPG!M40-LPG!M38)*1.8315)</f>
        <v>0</v>
      </c>
      <c r="BB32" s="31" t="str">
        <f>IF(LPG!Q39-LPG!Q38&lt;0,"0",(LPG!Q39-LPG!Q38)*1.8315)</f>
        <v>0</v>
      </c>
      <c r="BC32" s="13">
        <f>'FS Desroches Daily'!CN34</f>
        <v>10</v>
      </c>
      <c r="BD32" s="9"/>
    </row>
    <row r="33" spans="5:55" x14ac:dyDescent="0.25">
      <c r="E33" s="35">
        <f>SUM(E2:E32)</f>
        <v>89100.000000000189</v>
      </c>
      <c r="F33" s="17">
        <f t="shared" ref="F33:BC33" si="0">SUM(F2:F32)</f>
        <v>101200.00000000045</v>
      </c>
      <c r="G33" s="17">
        <f t="shared" si="0"/>
        <v>116200.00000000015</v>
      </c>
      <c r="H33" s="17">
        <f t="shared" si="0"/>
        <v>51600.000000000116</v>
      </c>
      <c r="I33" s="17">
        <f t="shared" si="0"/>
        <v>75899.999999999869</v>
      </c>
      <c r="J33" s="17">
        <f t="shared" si="0"/>
        <v>51099.999999999956</v>
      </c>
      <c r="K33" s="17">
        <f t="shared" si="0"/>
        <v>1000</v>
      </c>
      <c r="L33" s="17">
        <f t="shared" si="0"/>
        <v>148</v>
      </c>
      <c r="M33" s="17">
        <f t="shared" si="0"/>
        <v>41099.999999999905</v>
      </c>
      <c r="N33" s="17">
        <f t="shared" si="0"/>
        <v>14558.199999999953</v>
      </c>
      <c r="O33" s="17">
        <f t="shared" si="0"/>
        <v>10580.00000000004</v>
      </c>
      <c r="P33" s="17">
        <f t="shared" si="0"/>
        <v>90200.00000000032</v>
      </c>
      <c r="Q33" s="17">
        <f t="shared" si="0"/>
        <v>9919.99999999996</v>
      </c>
      <c r="R33" s="17">
        <f t="shared" si="0"/>
        <v>11779.999999999973</v>
      </c>
      <c r="S33" s="17">
        <f t="shared" si="0"/>
        <v>25849.999999999905</v>
      </c>
      <c r="T33" s="17">
        <f t="shared" si="0"/>
        <v>1335</v>
      </c>
      <c r="U33" s="35">
        <f t="shared" si="0"/>
        <v>24299.999999999996</v>
      </c>
      <c r="V33" s="35">
        <f t="shared" si="0"/>
        <v>6769.9999999999845</v>
      </c>
      <c r="W33" s="35">
        <f t="shared" si="0"/>
        <v>4849.9999999999654</v>
      </c>
      <c r="X33" s="35">
        <f t="shared" si="0"/>
        <v>6800.0000000000146</v>
      </c>
      <c r="Y33" s="35">
        <f t="shared" si="0"/>
        <v>5879.9999999999945</v>
      </c>
      <c r="Z33" s="35">
        <f t="shared" si="0"/>
        <v>7885.519999999944</v>
      </c>
      <c r="AA33" s="35">
        <f t="shared" si="0"/>
        <v>7885.519999999944</v>
      </c>
      <c r="AB33" s="35">
        <f t="shared" si="0"/>
        <v>4949.9999999999891</v>
      </c>
      <c r="AC33" s="35">
        <f t="shared" si="0"/>
        <v>5009.9999999999891</v>
      </c>
      <c r="AD33" s="35">
        <f t="shared" si="0"/>
        <v>4810.0000000000018</v>
      </c>
      <c r="AE33" s="35">
        <f t="shared" si="0"/>
        <v>3569.9999999999932</v>
      </c>
      <c r="AF33" s="17">
        <f t="shared" si="0"/>
        <v>1428</v>
      </c>
      <c r="AG33" s="32">
        <f t="shared" si="0"/>
        <v>1290.0000000000205</v>
      </c>
      <c r="AH33" s="32">
        <f t="shared" si="0"/>
        <v>1319.9999999999932</v>
      </c>
      <c r="AI33" s="32">
        <f t="shared" si="0"/>
        <v>1969.9999999999704</v>
      </c>
      <c r="AJ33" s="32">
        <f t="shared" si="0"/>
        <v>1369.9999999999761</v>
      </c>
      <c r="AK33" s="32">
        <f t="shared" si="0"/>
        <v>1149.9999999999773</v>
      </c>
      <c r="AL33" s="32">
        <f t="shared" si="0"/>
        <v>1400</v>
      </c>
      <c r="AM33" s="32">
        <f t="shared" si="0"/>
        <v>1430.0000000000068</v>
      </c>
      <c r="AN33" s="32">
        <f t="shared" si="0"/>
        <v>1319</v>
      </c>
      <c r="AO33" s="32">
        <f t="shared" si="0"/>
        <v>1419.9999999999875</v>
      </c>
      <c r="AP33" s="32">
        <f t="shared" si="0"/>
        <v>1651</v>
      </c>
      <c r="AQ33" s="17">
        <f t="shared" si="0"/>
        <v>2565.0999999999985</v>
      </c>
      <c r="AR33" s="17">
        <f t="shared" si="0"/>
        <v>406.40000000000146</v>
      </c>
      <c r="AS33" s="17">
        <f t="shared" si="0"/>
        <v>96.199999999998909</v>
      </c>
      <c r="AT33" s="17">
        <f t="shared" si="0"/>
        <v>1670.8000000000029</v>
      </c>
      <c r="AU33" s="17">
        <f t="shared" si="0"/>
        <v>10080</v>
      </c>
      <c r="AV33" s="17">
        <f t="shared" si="0"/>
        <v>31500</v>
      </c>
      <c r="AW33" s="17">
        <f t="shared" si="0"/>
        <v>3690.2000000000007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0"/>
        <v>163.00349999999997</v>
      </c>
      <c r="BC33" s="17">
        <f t="shared" si="0"/>
        <v>797</v>
      </c>
    </row>
    <row r="35" spans="5:55" x14ac:dyDescent="0.25">
      <c r="E35" s="38">
        <f>E33/E37</f>
        <v>0.22256193516478576</v>
      </c>
      <c r="G35" s="29">
        <f>G33-M36</f>
        <v>60541.800000000287</v>
      </c>
      <c r="AE35" s="35">
        <f>SUM(U33:AE33)</f>
        <v>82711.039999999819</v>
      </c>
      <c r="AG35" s="32">
        <f>SUM(AG33:AP33)</f>
        <v>14319.999999999933</v>
      </c>
    </row>
    <row r="36" spans="5:55" x14ac:dyDescent="0.25">
      <c r="G36" s="29">
        <f>G35-633*14</f>
        <v>51679.800000000287</v>
      </c>
      <c r="M36" s="29">
        <f>M33+N33</f>
        <v>55658.199999999859</v>
      </c>
    </row>
    <row r="37" spans="5:55" x14ac:dyDescent="0.25">
      <c r="E37" s="17">
        <f>E33+F33+G33+H33+J33-633*14</f>
        <v>400338.00000000087</v>
      </c>
      <c r="G37" s="37">
        <f>M36/E37</f>
        <v>0.13902802132198228</v>
      </c>
      <c r="M37" s="35">
        <f>AE35</f>
        <v>82711.039999999819</v>
      </c>
    </row>
    <row r="38" spans="5:55" x14ac:dyDescent="0.25">
      <c r="L38" s="27">
        <f>M38/E37</f>
        <v>3.576977454051302E-2</v>
      </c>
      <c r="M38" s="29">
        <f>AG35</f>
        <v>14319.999999999933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Y39"/>
  <sheetViews>
    <sheetView zoomScale="82" zoomScaleNormal="82" workbookViewId="0">
      <pane ySplit="1" topLeftCell="A2" activePane="bottomLeft" state="frozen"/>
      <selection pane="bottomLeft" activeCell="AJ34" sqref="AJ34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3.140625" style="71" customWidth="1"/>
    <col min="29" max="29" width="13.42578125" style="57" customWidth="1"/>
    <col min="30" max="30" width="13.85546875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16.8554687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102" width="13.42578125" style="57" customWidth="1"/>
    <col min="103" max="103" width="13.42578125" style="71" customWidth="1"/>
    <col min="104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3" s="48" customFormat="1" ht="61.5" customHeight="1" thickBot="1" x14ac:dyDescent="0.45">
      <c r="A1" s="43" t="s">
        <v>37</v>
      </c>
      <c r="B1" s="44"/>
      <c r="C1" s="79" t="s">
        <v>14</v>
      </c>
      <c r="D1" s="80"/>
      <c r="E1" s="79" t="s">
        <v>15</v>
      </c>
      <c r="F1" s="80"/>
      <c r="G1" s="79" t="s">
        <v>16</v>
      </c>
      <c r="H1" s="80"/>
      <c r="I1" s="79" t="s">
        <v>132</v>
      </c>
      <c r="J1" s="80"/>
      <c r="K1" s="79" t="s">
        <v>17</v>
      </c>
      <c r="L1" s="80"/>
      <c r="M1" s="79" t="s">
        <v>133</v>
      </c>
      <c r="N1" s="80"/>
      <c r="O1" s="79" t="s">
        <v>18</v>
      </c>
      <c r="P1" s="80"/>
      <c r="Q1" s="79" t="s">
        <v>19</v>
      </c>
      <c r="R1" s="80"/>
      <c r="S1" s="79" t="s">
        <v>117</v>
      </c>
      <c r="T1" s="80"/>
      <c r="U1" s="79" t="s">
        <v>118</v>
      </c>
      <c r="V1" s="80"/>
      <c r="W1" s="84" t="s">
        <v>119</v>
      </c>
      <c r="X1" s="85"/>
      <c r="Y1" s="79" t="s">
        <v>120</v>
      </c>
      <c r="Z1" s="80"/>
      <c r="AA1" s="79" t="s">
        <v>121</v>
      </c>
      <c r="AB1" s="80"/>
      <c r="AC1" s="79" t="s">
        <v>122</v>
      </c>
      <c r="AD1" s="80"/>
      <c r="AE1" s="79" t="s">
        <v>123</v>
      </c>
      <c r="AF1" s="80"/>
      <c r="AG1" s="79" t="s">
        <v>20</v>
      </c>
      <c r="AH1" s="80"/>
      <c r="AI1" s="79" t="s">
        <v>147</v>
      </c>
      <c r="AJ1" s="80"/>
      <c r="AK1" s="79" t="s">
        <v>134</v>
      </c>
      <c r="AL1" s="80"/>
      <c r="AM1" s="79" t="s">
        <v>135</v>
      </c>
      <c r="AN1" s="80"/>
      <c r="AO1" s="79" t="s">
        <v>136</v>
      </c>
      <c r="AP1" s="80"/>
      <c r="AQ1" s="79" t="s">
        <v>124</v>
      </c>
      <c r="AR1" s="80"/>
      <c r="AS1" s="79" t="s">
        <v>125</v>
      </c>
      <c r="AT1" s="80"/>
      <c r="AU1" s="79" t="s">
        <v>131</v>
      </c>
      <c r="AV1" s="80"/>
      <c r="AW1" s="79" t="s">
        <v>130</v>
      </c>
      <c r="AX1" s="80"/>
      <c r="AY1" s="79" t="s">
        <v>129</v>
      </c>
      <c r="AZ1" s="80"/>
      <c r="BA1" s="79" t="s">
        <v>128</v>
      </c>
      <c r="BB1" s="80"/>
      <c r="BC1" s="79" t="s">
        <v>21</v>
      </c>
      <c r="BD1" s="80"/>
      <c r="BE1" s="79" t="s">
        <v>126</v>
      </c>
      <c r="BF1" s="80"/>
      <c r="BG1" s="79" t="s">
        <v>22</v>
      </c>
      <c r="BH1" s="80"/>
      <c r="BI1" s="79" t="s">
        <v>23</v>
      </c>
      <c r="BJ1" s="80"/>
      <c r="BK1" s="79" t="s">
        <v>24</v>
      </c>
      <c r="BL1" s="80"/>
      <c r="BM1" s="79" t="s">
        <v>25</v>
      </c>
      <c r="BN1" s="80"/>
      <c r="BO1" s="79" t="s">
        <v>26</v>
      </c>
      <c r="BP1" s="80"/>
      <c r="BQ1" s="79" t="s">
        <v>27</v>
      </c>
      <c r="BR1" s="80"/>
      <c r="BS1" s="79" t="s">
        <v>28</v>
      </c>
      <c r="BT1" s="80"/>
      <c r="BU1" s="79" t="s">
        <v>29</v>
      </c>
      <c r="BV1" s="80"/>
      <c r="BW1" s="79" t="s">
        <v>30</v>
      </c>
      <c r="BX1" s="80"/>
      <c r="BY1" s="79" t="s">
        <v>31</v>
      </c>
      <c r="BZ1" s="80"/>
      <c r="CA1" s="79" t="s">
        <v>127</v>
      </c>
      <c r="CB1" s="80"/>
      <c r="CC1" s="79" t="s">
        <v>32</v>
      </c>
      <c r="CD1" s="80"/>
      <c r="CE1" s="79" t="s">
        <v>33</v>
      </c>
      <c r="CF1" s="80"/>
      <c r="CG1" s="79" t="s">
        <v>34</v>
      </c>
      <c r="CH1" s="80"/>
      <c r="CI1" s="79" t="s">
        <v>48</v>
      </c>
      <c r="CJ1" s="80"/>
      <c r="CK1" s="79" t="s">
        <v>36</v>
      </c>
      <c r="CL1" s="80"/>
      <c r="CM1" s="45" t="s">
        <v>46</v>
      </c>
      <c r="CN1" s="46"/>
      <c r="CO1" s="47"/>
      <c r="CP1" s="82" t="s">
        <v>137</v>
      </c>
      <c r="CQ1" s="83"/>
      <c r="CR1" s="81" t="s">
        <v>138</v>
      </c>
      <c r="CS1" s="81"/>
      <c r="CT1" s="82" t="s">
        <v>141</v>
      </c>
      <c r="CU1" s="83"/>
      <c r="CV1" s="81" t="s">
        <v>142</v>
      </c>
      <c r="CW1" s="81"/>
      <c r="CX1" s="79" t="s">
        <v>146</v>
      </c>
      <c r="CY1" s="80"/>
    </row>
    <row r="2" spans="1:103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45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139</v>
      </c>
      <c r="CQ2" s="53" t="s">
        <v>140</v>
      </c>
      <c r="CR2" s="74" t="s">
        <v>139</v>
      </c>
      <c r="CS2" s="74" t="s">
        <v>140</v>
      </c>
      <c r="CT2" s="53" t="s">
        <v>143</v>
      </c>
      <c r="CU2" s="53" t="s">
        <v>38</v>
      </c>
      <c r="CV2" s="74" t="s">
        <v>143</v>
      </c>
      <c r="CW2" s="74" t="s">
        <v>38</v>
      </c>
      <c r="CX2" s="53" t="s">
        <v>39</v>
      </c>
      <c r="CY2" s="53" t="s">
        <v>38</v>
      </c>
    </row>
    <row r="3" spans="1:103" ht="25.5" customHeight="1" thickBot="1" x14ac:dyDescent="0.45">
      <c r="A3" s="63">
        <v>44926</v>
      </c>
      <c r="B3" s="68"/>
      <c r="C3" s="58">
        <v>3.7867999999999999</v>
      </c>
      <c r="D3" s="64" t="e">
        <f t="shared" ref="D3:D34" si="0">IF((C3-C2&lt;0), "0",(C3-C2)*1000000)</f>
        <v>#VALUE!</v>
      </c>
      <c r="E3" s="58">
        <v>5.0331999999999999</v>
      </c>
      <c r="F3" s="64" t="e">
        <f t="shared" ref="F3:F34" si="1">IF((E3-E2&lt;0), "0",(E3-E2)*1000000)</f>
        <v>#VALUE!</v>
      </c>
      <c r="G3" s="58">
        <v>5.0453000000000001</v>
      </c>
      <c r="H3" s="64" t="e">
        <f t="shared" ref="H3:H34" si="2">IF((G3-G2&lt;0), "0",(G3-G2)*1000000)</f>
        <v>#VALUE!</v>
      </c>
      <c r="I3" s="58">
        <v>2.4962</v>
      </c>
      <c r="J3" s="64" t="e">
        <f t="shared" ref="J3:J34" si="3">IF((I3-I2&lt;0), "0",(I3-I2)*1000000)</f>
        <v>#VALUE!</v>
      </c>
      <c r="K3" s="58">
        <v>3.8348</v>
      </c>
      <c r="L3" s="64" t="e">
        <f t="shared" ref="L3" si="4">IF((K3-K2&lt;0), "0",(K3-K2)*1000000)</f>
        <v>#VALUE!</v>
      </c>
      <c r="M3" s="58">
        <v>2.3149999999999999</v>
      </c>
      <c r="N3" s="64" t="e">
        <f t="shared" ref="N3" si="5">IF((M3-M2&lt;0), "0",(M3-M2)*1000000)</f>
        <v>#VALUE!</v>
      </c>
      <c r="O3" s="58">
        <v>27663</v>
      </c>
      <c r="P3" s="67" t="e">
        <f t="shared" ref="P3:P34" si="6">IF((O3-O2&lt;0), "",O3-O2)</f>
        <v>#VALUE!</v>
      </c>
      <c r="Q3" s="58">
        <v>3430</v>
      </c>
      <c r="R3" s="67" t="e">
        <f t="shared" ref="R3:R34" si="7">IF((Q3-Q2&lt;0), "",Q3-Q2)</f>
        <v>#VALUE!</v>
      </c>
      <c r="S3" s="58">
        <v>1634.7</v>
      </c>
      <c r="T3" s="67" t="e">
        <f t="shared" ref="T3:T34" si="8">IF((S3-S2&lt;0), "",S3-S2)*1000</f>
        <v>#VALUE!</v>
      </c>
      <c r="U3" s="58">
        <v>646697.80000000005</v>
      </c>
      <c r="V3" s="67" t="e">
        <f t="shared" ref="V3:V34" si="9">IF((U3-U2&lt;0), "",U3-U2)</f>
        <v>#VALUE!</v>
      </c>
      <c r="W3" s="58">
        <v>584.94000000000005</v>
      </c>
      <c r="X3" s="65" t="e">
        <f t="shared" ref="X3:X34" si="10">IF((W3-W2&lt;0), "",(W3-W2)*1000)</f>
        <v>#VALUE!</v>
      </c>
      <c r="Y3" s="58">
        <v>4.4394999999999998</v>
      </c>
      <c r="Z3" s="65" t="e">
        <f t="shared" ref="Z3:Z34" si="11">IF((Y3-Y2&lt;0), "",(Y3-Y2)*1000000)</f>
        <v>#VALUE!</v>
      </c>
      <c r="AA3" s="58">
        <v>592.63</v>
      </c>
      <c r="AB3" s="65" t="e">
        <f t="shared" ref="AB3:AB34" si="12">IF((AA3-AA2&lt;0), "",(AA3-AA2)*1000)</f>
        <v>#VALUE!</v>
      </c>
      <c r="AC3" s="58">
        <v>595.76</v>
      </c>
      <c r="AD3" s="65" t="e">
        <f t="shared" ref="AD3:AD34" si="13">IF((AC3-AC2&lt;0), "",(AC3-AC2)*1000)</f>
        <v>#VALUE!</v>
      </c>
      <c r="AE3" s="58">
        <v>945.46</v>
      </c>
      <c r="AF3" s="65" t="e">
        <f t="shared" ref="AF3:AF34" si="14">IF((AE3-AE2&lt;0), "",(AE3-AE2)*1000)</f>
        <v>#VALUE!</v>
      </c>
      <c r="AG3" s="58">
        <v>25618</v>
      </c>
      <c r="AH3" s="67" t="e">
        <f t="shared" ref="AH3:AH34" si="15">IF((AG3-AG2&lt;0), "",AG3-AG2)</f>
        <v>#VALUE!</v>
      </c>
      <c r="AI3" s="58">
        <v>1.0107999999999999</v>
      </c>
      <c r="AJ3" s="65" t="e">
        <f t="shared" ref="AJ3:AJ34" si="16">IF((AI3-AI2&lt;0), "",(AI3-AI2)*1000000)</f>
        <v>#VALUE!</v>
      </c>
      <c r="AK3" s="58">
        <v>335.44</v>
      </c>
      <c r="AL3" s="65" t="e">
        <f t="shared" ref="AL3:AL34" si="17">IF((AK3-AK2&lt;0), "",(AK3-AK2)*1000)</f>
        <v>#VALUE!</v>
      </c>
      <c r="AM3" s="58">
        <v>307.86</v>
      </c>
      <c r="AN3" s="65" t="e">
        <f t="shared" ref="AN3:AN34" si="18">IF((AM3-AM2&lt;0), "",(AM3-AM2)*1000)</f>
        <v>#VALUE!</v>
      </c>
      <c r="AO3" s="58">
        <v>297.39999999999998</v>
      </c>
      <c r="AP3" s="65" t="e">
        <f t="shared" ref="AP3:AP34" si="19">IF((AO3-AO2&lt;0), "",(AO3-AO2)*1000)</f>
        <v>#VALUE!</v>
      </c>
      <c r="AQ3" s="58">
        <v>350.93</v>
      </c>
      <c r="AR3" s="65" t="e">
        <f t="shared" ref="AR3:AR34" si="20">IF((AQ3-AQ2&lt;0), "",(AQ3-AQ2)*1000)</f>
        <v>#VALUE!</v>
      </c>
      <c r="AS3" s="58">
        <v>475.35</v>
      </c>
      <c r="AT3" s="65" t="e">
        <f t="shared" ref="AT3:AT34" si="21">IF((AS3-AS2&lt;0), "",(AS3-AS2)*1000)</f>
        <v>#VALUE!</v>
      </c>
      <c r="AU3" s="58">
        <v>382.16</v>
      </c>
      <c r="AV3" s="65" t="e">
        <f t="shared" ref="AV3:AV34" si="22">IF((AU3-AU2&lt;0), "",(AU3-AU2)*1000)</f>
        <v>#VALUE!</v>
      </c>
      <c r="AW3" s="58">
        <v>409.24</v>
      </c>
      <c r="AX3" s="65" t="e">
        <f t="shared" ref="AX3:AX34" si="23">IF((AW3-AW2&lt;0), "",(AW3-AW2)*1000)</f>
        <v>#VALUE!</v>
      </c>
      <c r="AY3" s="58">
        <v>444.29</v>
      </c>
      <c r="AZ3" s="65" t="e">
        <f t="shared" ref="AZ3:AZ34" si="24">IF((AY3-AY2&lt;0), "",(AY3-AY2)*1000)</f>
        <v>#VALUE!</v>
      </c>
      <c r="BA3" s="58">
        <v>462.15</v>
      </c>
      <c r="BB3" s="65" t="e">
        <f t="shared" ref="BB3:BB34" si="25">IF((BA3-BA2&lt;0), "",(BA3-BA2)*1000)</f>
        <v>#VALUE!</v>
      </c>
      <c r="BC3" s="58">
        <v>295.83</v>
      </c>
      <c r="BD3" s="65" t="e">
        <f t="shared" ref="BD3:BD34" si="26">IF((BC3-BC2&lt;0), "",(BC3-BC2)*1000)</f>
        <v>#VALUE!</v>
      </c>
      <c r="BE3" s="59">
        <v>59961</v>
      </c>
      <c r="BF3" s="67" t="e">
        <f t="shared" ref="BF3:BF34" si="27">IF((BE3-BE2&lt;0), "",BE3-BE2)</f>
        <v>#VALUE!</v>
      </c>
      <c r="BG3" s="60">
        <v>256.69</v>
      </c>
      <c r="BH3" s="65" t="e">
        <f t="shared" ref="BH3:BH34" si="28">IF((BG3-BG2&lt;0), "",(BG3-BG2)*1000)</f>
        <v>#VALUE!</v>
      </c>
      <c r="BI3" s="60">
        <v>310.79000000000002</v>
      </c>
      <c r="BJ3" s="65" t="e">
        <f t="shared" ref="BJ3:BJ34" si="29">IF((BI3-BI2&lt;0), "",(BI3-BI2)*1000)</f>
        <v>#VALUE!</v>
      </c>
      <c r="BK3" s="60">
        <v>262.61</v>
      </c>
      <c r="BL3" s="65" t="e">
        <f t="shared" ref="BL3:BL34" si="30">IF((BK3-BK2&lt;0), "",(BK3-BK2)*1000)</f>
        <v>#VALUE!</v>
      </c>
      <c r="BM3" s="60">
        <v>246.58</v>
      </c>
      <c r="BN3" s="65" t="e">
        <f t="shared" ref="BN3:BN34" si="31">IF((BM3-BM2&lt;0), "",(BM3-BM2)*1000)</f>
        <v>#VALUE!</v>
      </c>
      <c r="BO3" s="60">
        <v>315.18</v>
      </c>
      <c r="BP3" s="65" t="e">
        <f t="shared" ref="BP3:BP34" si="32">IF((BO3-BO2&lt;0), "",(BO3-BO2)*1000)</f>
        <v>#VALUE!</v>
      </c>
      <c r="BQ3" s="60">
        <v>64929</v>
      </c>
      <c r="BR3" s="65" t="e">
        <f t="shared" ref="BR3:BR34" si="33">IF((BQ3-BQ2&lt;0), "",BQ3-BQ2)</f>
        <v>#VALUE!</v>
      </c>
      <c r="BS3" s="60">
        <v>224.68</v>
      </c>
      <c r="BT3" s="65" t="e">
        <f t="shared" ref="BT3:BT34" si="34">IF((BS3-BS2&lt;0), "",(BS3-BS2)*1000)</f>
        <v>#VALUE!</v>
      </c>
      <c r="BU3" s="60">
        <v>62402</v>
      </c>
      <c r="BV3" s="65" t="e">
        <f t="shared" ref="BV3:BV34" si="35">IF((BU3-BU2&lt;0), "",BU3-BU2)</f>
        <v>#VALUE!</v>
      </c>
      <c r="BW3" s="60">
        <v>252.81</v>
      </c>
      <c r="BX3" s="65" t="e">
        <f t="shared" ref="BX3:BX34" si="36">IF((BW3-BW2&lt;0), "",(BW3-BW2)*1000)</f>
        <v>#VALUE!</v>
      </c>
      <c r="BY3" s="60">
        <v>83889</v>
      </c>
      <c r="BZ3" s="67" t="e">
        <f t="shared" ref="BZ3:BZ34" si="37">IF((BY3-BY2&lt;0), "",BY3-BY2)</f>
        <v>#VALUE!</v>
      </c>
      <c r="CA3" s="60">
        <v>60476.9</v>
      </c>
      <c r="CB3" s="67" t="e">
        <f t="shared" ref="CB3:CB34" si="38">IF((CA3-CA2&lt;0), "",CA3-CA2)</f>
        <v>#VALUE!</v>
      </c>
      <c r="CC3" s="60">
        <v>18400.599999999999</v>
      </c>
      <c r="CD3" s="67" t="e">
        <f t="shared" ref="CD3:CD34" si="39">IF((CC3-CC2&lt;0), "",CC3-CC2)</f>
        <v>#VALUE!</v>
      </c>
      <c r="CE3" s="60">
        <v>8979.7000000000007</v>
      </c>
      <c r="CF3" s="67" t="e">
        <f t="shared" ref="CF3:CF34" si="40">IF((CE3-CE2&lt;0), "",CE3-CE2)</f>
        <v>#VALUE!</v>
      </c>
      <c r="CG3" s="60">
        <v>85117.2</v>
      </c>
      <c r="CH3" s="67" t="e">
        <f t="shared" ref="CH3:CH34" si="41">IF((CG3-CG2&lt;0), "",CG3-CG2)</f>
        <v>#VALUE!</v>
      </c>
      <c r="CI3" s="60">
        <v>1113918</v>
      </c>
      <c r="CJ3" s="67" t="e">
        <f t="shared" ref="CJ3:CJ34" si="42">IF((CI3-CI2&lt;0), "",CI3-CI2)</f>
        <v>#VALUE!</v>
      </c>
      <c r="CK3" s="60">
        <v>1196.9000000000001</v>
      </c>
      <c r="CL3" s="64" t="e">
        <f t="shared" ref="CL3:CL34" si="43">IF((CK3-CK2&lt;0), "",(CK3-CK2)*1000)</f>
        <v>#VALUE!</v>
      </c>
      <c r="CM3" s="65"/>
      <c r="CN3" s="62"/>
      <c r="CO3" s="62"/>
      <c r="CP3" s="68">
        <v>50951</v>
      </c>
      <c r="CQ3" s="67" t="e">
        <f t="shared" ref="CQ3:CS34" si="44">IF((CP3-CP2&lt;0), "",CP3-CP2)</f>
        <v>#VALUE!</v>
      </c>
      <c r="CR3" s="68">
        <v>26901</v>
      </c>
      <c r="CS3" s="67" t="e">
        <f t="shared" si="44"/>
        <v>#VALUE!</v>
      </c>
      <c r="CT3" s="75">
        <v>12636</v>
      </c>
      <c r="CU3" s="67" t="e">
        <f t="shared" ref="CU3:CU34" si="45">IF((CT3-CT2&lt;0), "",CT3-CT2)</f>
        <v>#VALUE!</v>
      </c>
      <c r="CV3" s="68">
        <v>30913</v>
      </c>
      <c r="CW3" s="67" t="e">
        <f t="shared" ref="CW3:CW34" si="46">IF((CV3-CV2&lt;0), "",CV3-CV2)</f>
        <v>#VALUE!</v>
      </c>
      <c r="CX3" s="58">
        <v>5582.1</v>
      </c>
      <c r="CY3" s="67" t="e">
        <f t="shared" ref="CY3:CY34" si="47">IF((CX3-CX2&lt;0), "",CX3-CX2)</f>
        <v>#VALUE!</v>
      </c>
    </row>
    <row r="4" spans="1:103" ht="25.5" customHeight="1" thickBot="1" x14ac:dyDescent="0.45">
      <c r="A4" s="63">
        <v>44927</v>
      </c>
      <c r="B4" s="68"/>
      <c r="C4" s="58">
        <v>3.7909999999999999</v>
      </c>
      <c r="D4" s="64">
        <f t="shared" si="0"/>
        <v>4199.9999999999818</v>
      </c>
      <c r="E4" s="58">
        <v>5.0369999999999999</v>
      </c>
      <c r="F4" s="64">
        <f t="shared" si="1"/>
        <v>3800.0000000000255</v>
      </c>
      <c r="G4" s="58">
        <v>5.05</v>
      </c>
      <c r="H4" s="64">
        <f t="shared" si="2"/>
        <v>4699.9999999997044</v>
      </c>
      <c r="I4" s="58">
        <v>2.4981</v>
      </c>
      <c r="J4" s="64">
        <f t="shared" si="3"/>
        <v>1900.0000000000127</v>
      </c>
      <c r="K4" s="58">
        <v>3.8384</v>
      </c>
      <c r="L4" s="64">
        <f t="shared" ref="L4:L34" si="48">IF((K4-K3&lt;0), "0",(K4-K3)*1000000)</f>
        <v>3600.0000000000477</v>
      </c>
      <c r="M4" s="58">
        <v>2.3170000000000002</v>
      </c>
      <c r="N4" s="64">
        <f t="shared" ref="N4:N34" si="49">IF((M4-M3&lt;0), "",(M4-M3)*1000000)</f>
        <v>2000.0000000002237</v>
      </c>
      <c r="O4" s="58">
        <v>27699</v>
      </c>
      <c r="P4" s="67">
        <f t="shared" si="6"/>
        <v>36</v>
      </c>
      <c r="Q4" s="58">
        <v>3436</v>
      </c>
      <c r="R4" s="67">
        <f t="shared" si="7"/>
        <v>6</v>
      </c>
      <c r="S4" s="58">
        <v>1636.5</v>
      </c>
      <c r="T4" s="67">
        <f>IF((S4-S3&lt;0), "",S4-S3)*1000</f>
        <v>1799.9999999999545</v>
      </c>
      <c r="U4" s="58">
        <v>647217.9</v>
      </c>
      <c r="V4" s="67">
        <f t="shared" si="9"/>
        <v>520.09999999997672</v>
      </c>
      <c r="W4" s="58">
        <v>585.30999999999995</v>
      </c>
      <c r="X4" s="65">
        <f t="shared" si="10"/>
        <v>369.99999999989086</v>
      </c>
      <c r="Y4" s="58">
        <v>4.4424000000000001</v>
      </c>
      <c r="Z4" s="65">
        <f t="shared" si="11"/>
        <v>2900.0000000003465</v>
      </c>
      <c r="AA4" s="58">
        <v>592.99</v>
      </c>
      <c r="AB4" s="65">
        <f t="shared" si="12"/>
        <v>360.00000000001364</v>
      </c>
      <c r="AC4" s="58">
        <v>596.16</v>
      </c>
      <c r="AD4" s="65">
        <f t="shared" si="13"/>
        <v>399.99999999997726</v>
      </c>
      <c r="AE4" s="58">
        <v>946.28</v>
      </c>
      <c r="AF4" s="65">
        <f t="shared" si="14"/>
        <v>819.99999999993634</v>
      </c>
      <c r="AG4" s="58">
        <v>25669</v>
      </c>
      <c r="AH4" s="67">
        <f t="shared" si="15"/>
        <v>51</v>
      </c>
      <c r="AI4" s="58">
        <v>1.0117</v>
      </c>
      <c r="AJ4" s="65">
        <f t="shared" si="16"/>
        <v>900.0000000001229</v>
      </c>
      <c r="AK4" s="58">
        <v>335.8</v>
      </c>
      <c r="AL4" s="65">
        <f t="shared" si="17"/>
        <v>360.00000000001364</v>
      </c>
      <c r="AM4" s="58">
        <v>308.06</v>
      </c>
      <c r="AN4" s="65">
        <f t="shared" si="18"/>
        <v>199.99999999998863</v>
      </c>
      <c r="AO4" s="58">
        <v>297.62</v>
      </c>
      <c r="AP4" s="65">
        <f t="shared" si="19"/>
        <v>220.00000000002728</v>
      </c>
      <c r="AQ4" s="58">
        <v>351.16</v>
      </c>
      <c r="AR4" s="65">
        <f t="shared" si="20"/>
        <v>230.00000000001819</v>
      </c>
      <c r="AS4" s="58">
        <v>475.59</v>
      </c>
      <c r="AT4" s="65">
        <f t="shared" si="21"/>
        <v>239.99999999995225</v>
      </c>
      <c r="AU4" s="58">
        <v>382.41</v>
      </c>
      <c r="AV4" s="65">
        <f t="shared" si="22"/>
        <v>250</v>
      </c>
      <c r="AW4" s="58">
        <v>409.46</v>
      </c>
      <c r="AX4" s="65">
        <f t="shared" si="23"/>
        <v>219.99999999997044</v>
      </c>
      <c r="AY4" s="58">
        <v>444.45</v>
      </c>
      <c r="AZ4" s="65">
        <f t="shared" si="24"/>
        <v>159.99999999996817</v>
      </c>
      <c r="BA4" s="58">
        <v>462.4</v>
      </c>
      <c r="BB4" s="65">
        <f t="shared" si="25"/>
        <v>250</v>
      </c>
      <c r="BC4" s="58">
        <v>296.02999999999997</v>
      </c>
      <c r="BD4" s="65">
        <f t="shared" si="26"/>
        <v>199.99999999998863</v>
      </c>
      <c r="BE4" s="59">
        <v>60006</v>
      </c>
      <c r="BF4" s="67">
        <f t="shared" si="27"/>
        <v>45</v>
      </c>
      <c r="BG4" s="60">
        <v>256.74</v>
      </c>
      <c r="BH4" s="65">
        <f t="shared" si="28"/>
        <v>50.000000000011369</v>
      </c>
      <c r="BI4" s="60">
        <v>310.87</v>
      </c>
      <c r="BJ4" s="65">
        <f t="shared" si="29"/>
        <v>79.999999999984084</v>
      </c>
      <c r="BK4" s="60">
        <v>262.68</v>
      </c>
      <c r="BL4" s="65">
        <f t="shared" si="30"/>
        <v>69.999999999993179</v>
      </c>
      <c r="BM4" s="60">
        <v>246.63</v>
      </c>
      <c r="BN4" s="65">
        <f t="shared" si="31"/>
        <v>49.999999999982947</v>
      </c>
      <c r="BO4" s="60">
        <v>315.22000000000003</v>
      </c>
      <c r="BP4" s="65">
        <f t="shared" si="32"/>
        <v>40.000000000020464</v>
      </c>
      <c r="BQ4" s="60">
        <v>64978</v>
      </c>
      <c r="BR4" s="65">
        <f t="shared" si="33"/>
        <v>49</v>
      </c>
      <c r="BS4" s="60">
        <v>224.72</v>
      </c>
      <c r="BT4" s="65">
        <f t="shared" si="34"/>
        <v>39.999999999992042</v>
      </c>
      <c r="BU4" s="60">
        <v>62451</v>
      </c>
      <c r="BV4" s="65">
        <f t="shared" si="35"/>
        <v>49</v>
      </c>
      <c r="BW4" s="60">
        <v>252.85</v>
      </c>
      <c r="BX4" s="65">
        <f t="shared" si="36"/>
        <v>39.999999999992042</v>
      </c>
      <c r="BY4" s="60">
        <v>83947</v>
      </c>
      <c r="BZ4" s="67">
        <f t="shared" si="37"/>
        <v>58</v>
      </c>
      <c r="CA4" s="60">
        <v>60549.7</v>
      </c>
      <c r="CB4" s="67">
        <f t="shared" si="38"/>
        <v>72.799999999995634</v>
      </c>
      <c r="CC4" s="60">
        <v>18410.8</v>
      </c>
      <c r="CD4" s="67">
        <f t="shared" si="39"/>
        <v>10.200000000000728</v>
      </c>
      <c r="CE4" s="60">
        <v>8984.9</v>
      </c>
      <c r="CF4" s="67">
        <f t="shared" si="40"/>
        <v>5.1999999999989086</v>
      </c>
      <c r="CG4" s="60">
        <v>85168.2</v>
      </c>
      <c r="CH4" s="67">
        <f t="shared" si="41"/>
        <v>51</v>
      </c>
      <c r="CI4" s="60">
        <v>1114204</v>
      </c>
      <c r="CJ4" s="67">
        <f t="shared" si="42"/>
        <v>286</v>
      </c>
      <c r="CK4" s="60">
        <v>1198</v>
      </c>
      <c r="CL4" s="64">
        <f t="shared" si="43"/>
        <v>1099.9999999999091</v>
      </c>
      <c r="CM4" s="65">
        <f t="shared" ref="CM4:CM34" si="50">CQ4+CS4</f>
        <v>215</v>
      </c>
      <c r="CN4" s="62">
        <v>57</v>
      </c>
      <c r="CO4" s="62">
        <v>139</v>
      </c>
      <c r="CP4" s="68">
        <v>51054</v>
      </c>
      <c r="CQ4" s="67">
        <f t="shared" ref="CQ4:CQ34" si="51">IF((CP4-CP3&lt;0), "",CP4-CP3)</f>
        <v>103</v>
      </c>
      <c r="CR4" s="68">
        <v>27013</v>
      </c>
      <c r="CS4" s="67">
        <f t="shared" si="44"/>
        <v>112</v>
      </c>
      <c r="CT4" s="75">
        <v>12652</v>
      </c>
      <c r="CU4" s="67">
        <f t="shared" si="45"/>
        <v>16</v>
      </c>
      <c r="CV4" s="68">
        <v>30953</v>
      </c>
      <c r="CW4" s="67">
        <f t="shared" si="46"/>
        <v>40</v>
      </c>
      <c r="CX4" s="58">
        <v>5596.2</v>
      </c>
      <c r="CY4" s="67">
        <f t="shared" si="47"/>
        <v>14.099999999999454</v>
      </c>
    </row>
    <row r="5" spans="1:103" ht="25.5" customHeight="1" thickBot="1" x14ac:dyDescent="0.45">
      <c r="A5" s="63">
        <v>44928</v>
      </c>
      <c r="B5" s="44"/>
      <c r="C5" s="58">
        <v>3.7946</v>
      </c>
      <c r="D5" s="64">
        <f t="shared" si="0"/>
        <v>3600.0000000000477</v>
      </c>
      <c r="E5" s="58">
        <v>5.0404999999999998</v>
      </c>
      <c r="F5" s="64">
        <f t="shared" si="1"/>
        <v>3499.9999999998367</v>
      </c>
      <c r="G5" s="58">
        <v>5.0545</v>
      </c>
      <c r="H5" s="64">
        <f t="shared" si="2"/>
        <v>4500.000000000171</v>
      </c>
      <c r="I5" s="58">
        <v>2.4998</v>
      </c>
      <c r="J5" s="64">
        <f t="shared" si="3"/>
        <v>1700.0000000000348</v>
      </c>
      <c r="K5" s="58">
        <v>3.8416999999999999</v>
      </c>
      <c r="L5" s="64">
        <f t="shared" si="48"/>
        <v>3299.9999999998586</v>
      </c>
      <c r="M5" s="58">
        <v>2.3188</v>
      </c>
      <c r="N5" s="64">
        <f t="shared" si="49"/>
        <v>1799.9999999998017</v>
      </c>
      <c r="O5" s="58">
        <v>27737</v>
      </c>
      <c r="P5" s="67">
        <f t="shared" si="6"/>
        <v>38</v>
      </c>
      <c r="Q5" s="58">
        <v>3441</v>
      </c>
      <c r="R5" s="67">
        <f t="shared" si="7"/>
        <v>5</v>
      </c>
      <c r="S5" s="58">
        <v>1638.4</v>
      </c>
      <c r="T5" s="67">
        <f t="shared" si="8"/>
        <v>1900.0000000000909</v>
      </c>
      <c r="U5" s="58">
        <v>647799.69999999995</v>
      </c>
      <c r="V5" s="67">
        <f t="shared" si="9"/>
        <v>581.79999999993015</v>
      </c>
      <c r="W5" s="58">
        <v>585.75</v>
      </c>
      <c r="X5" s="65">
        <f t="shared" si="10"/>
        <v>440.00000000005457</v>
      </c>
      <c r="Y5" s="58">
        <v>4.4455999999999998</v>
      </c>
      <c r="Z5" s="65">
        <f t="shared" si="11"/>
        <v>3199.9999999996476</v>
      </c>
      <c r="AA5" s="58">
        <v>593.39</v>
      </c>
      <c r="AB5" s="65">
        <f t="shared" si="12"/>
        <v>399.99999999997726</v>
      </c>
      <c r="AC5" s="58">
        <v>596.58000000000004</v>
      </c>
      <c r="AD5" s="65">
        <f t="shared" si="13"/>
        <v>420.00000000007276</v>
      </c>
      <c r="AE5" s="58">
        <v>947.24</v>
      </c>
      <c r="AF5" s="65">
        <f t="shared" si="14"/>
        <v>960.00000000003638</v>
      </c>
      <c r="AG5" s="58">
        <v>25711</v>
      </c>
      <c r="AH5" s="67">
        <f t="shared" si="15"/>
        <v>42</v>
      </c>
      <c r="AI5" s="58">
        <v>1.0126999999999999</v>
      </c>
      <c r="AJ5" s="65">
        <f t="shared" si="16"/>
        <v>999.99999999988984</v>
      </c>
      <c r="AK5" s="58">
        <v>336.17</v>
      </c>
      <c r="AL5" s="65">
        <f t="shared" si="17"/>
        <v>370.00000000000455</v>
      </c>
      <c r="AM5" s="58">
        <v>308.32</v>
      </c>
      <c r="AN5" s="65">
        <f t="shared" si="18"/>
        <v>259.99999999999091</v>
      </c>
      <c r="AO5" s="58">
        <v>297.83</v>
      </c>
      <c r="AP5" s="65">
        <f t="shared" si="19"/>
        <v>209.99999999997954</v>
      </c>
      <c r="AQ5" s="58">
        <v>351.4</v>
      </c>
      <c r="AR5" s="65">
        <f t="shared" si="20"/>
        <v>239.99999999995225</v>
      </c>
      <c r="AS5" s="58">
        <v>475.79</v>
      </c>
      <c r="AT5" s="65">
        <f t="shared" si="21"/>
        <v>200.00000000004547</v>
      </c>
      <c r="AU5" s="58">
        <v>382.68</v>
      </c>
      <c r="AV5" s="65">
        <f t="shared" si="22"/>
        <v>269.99999999998181</v>
      </c>
      <c r="AW5" s="58">
        <v>409.7</v>
      </c>
      <c r="AX5" s="65">
        <f t="shared" si="23"/>
        <v>240.00000000000909</v>
      </c>
      <c r="AY5" s="58">
        <v>444.61</v>
      </c>
      <c r="AZ5" s="65">
        <f t="shared" si="24"/>
        <v>160.00000000002501</v>
      </c>
      <c r="BA5" s="58">
        <v>462.66</v>
      </c>
      <c r="BB5" s="65">
        <f t="shared" si="25"/>
        <v>260.00000000004775</v>
      </c>
      <c r="BC5" s="58">
        <v>296.20999999999998</v>
      </c>
      <c r="BD5" s="65">
        <f t="shared" si="26"/>
        <v>180.00000000000682</v>
      </c>
      <c r="BE5" s="59">
        <v>60055</v>
      </c>
      <c r="BF5" s="67">
        <f t="shared" si="27"/>
        <v>49</v>
      </c>
      <c r="BG5" s="60">
        <v>256.77999999999997</v>
      </c>
      <c r="BH5" s="65">
        <f t="shared" si="28"/>
        <v>39.99999999996362</v>
      </c>
      <c r="BI5" s="60">
        <v>310.91000000000003</v>
      </c>
      <c r="BJ5" s="65">
        <f t="shared" si="29"/>
        <v>40.000000000020464</v>
      </c>
      <c r="BK5" s="60">
        <v>262.75</v>
      </c>
      <c r="BL5" s="65">
        <f t="shared" si="30"/>
        <v>69.999999999993179</v>
      </c>
      <c r="BM5" s="60">
        <v>246.67</v>
      </c>
      <c r="BN5" s="65">
        <f t="shared" si="31"/>
        <v>39.999999999992042</v>
      </c>
      <c r="BO5" s="60">
        <v>315.26</v>
      </c>
      <c r="BP5" s="65">
        <f t="shared" si="32"/>
        <v>39.99999999996362</v>
      </c>
      <c r="BQ5" s="60">
        <v>65020</v>
      </c>
      <c r="BR5" s="65">
        <f t="shared" si="33"/>
        <v>42</v>
      </c>
      <c r="BS5" s="60">
        <v>224.76</v>
      </c>
      <c r="BT5" s="65">
        <f t="shared" si="34"/>
        <v>39.999999999992042</v>
      </c>
      <c r="BU5" s="60">
        <v>62496</v>
      </c>
      <c r="BV5" s="65">
        <f t="shared" si="35"/>
        <v>45</v>
      </c>
      <c r="BW5" s="60">
        <v>252.89</v>
      </c>
      <c r="BX5" s="65">
        <f t="shared" si="36"/>
        <v>39.999999999992042</v>
      </c>
      <c r="BY5" s="60">
        <v>84002</v>
      </c>
      <c r="BZ5" s="67">
        <f t="shared" si="37"/>
        <v>55</v>
      </c>
      <c r="CA5" s="60">
        <v>60626</v>
      </c>
      <c r="CB5" s="67">
        <f t="shared" si="38"/>
        <v>76.30000000000291</v>
      </c>
      <c r="CC5" s="60">
        <v>18423.7</v>
      </c>
      <c r="CD5" s="67">
        <f t="shared" si="39"/>
        <v>12.900000000001455</v>
      </c>
      <c r="CE5" s="60">
        <v>8991.2999999999993</v>
      </c>
      <c r="CF5" s="67">
        <f t="shared" si="40"/>
        <v>6.3999999999996362</v>
      </c>
      <c r="CG5" s="60">
        <v>85229.2</v>
      </c>
      <c r="CH5" s="67">
        <f t="shared" si="41"/>
        <v>61</v>
      </c>
      <c r="CI5" s="60">
        <v>1114522</v>
      </c>
      <c r="CJ5" s="67">
        <f t="shared" si="42"/>
        <v>318</v>
      </c>
      <c r="CK5" s="60">
        <v>1199.0999999999999</v>
      </c>
      <c r="CL5" s="64">
        <f t="shared" si="43"/>
        <v>1099.9999999999091</v>
      </c>
      <c r="CM5" s="65">
        <f t="shared" si="50"/>
        <v>146</v>
      </c>
      <c r="CN5" s="62">
        <v>60</v>
      </c>
      <c r="CO5" s="62">
        <v>142</v>
      </c>
      <c r="CP5" s="68">
        <v>51156</v>
      </c>
      <c r="CQ5" s="67">
        <f t="shared" si="51"/>
        <v>102</v>
      </c>
      <c r="CR5" s="68">
        <v>27057</v>
      </c>
      <c r="CS5" s="67">
        <f t="shared" si="44"/>
        <v>44</v>
      </c>
      <c r="CT5" s="75">
        <v>12671</v>
      </c>
      <c r="CU5" s="67">
        <f t="shared" si="45"/>
        <v>19</v>
      </c>
      <c r="CV5" s="68">
        <v>31001</v>
      </c>
      <c r="CW5" s="67">
        <f t="shared" si="46"/>
        <v>48</v>
      </c>
      <c r="CX5" s="58">
        <v>5608.9</v>
      </c>
      <c r="CY5" s="67">
        <f t="shared" si="47"/>
        <v>12.699999999999818</v>
      </c>
    </row>
    <row r="6" spans="1:103" ht="24.75" customHeight="1" thickBot="1" x14ac:dyDescent="0.45">
      <c r="A6" s="63">
        <v>44929</v>
      </c>
      <c r="B6" s="44"/>
      <c r="C6" s="58">
        <v>3.7982999999999998</v>
      </c>
      <c r="D6" s="64">
        <f t="shared" si="0"/>
        <v>3699.9999999998145</v>
      </c>
      <c r="E6" s="58">
        <v>5.0442</v>
      </c>
      <c r="F6" s="64">
        <f t="shared" si="1"/>
        <v>3700.0000000002588</v>
      </c>
      <c r="G6" s="58">
        <v>5.0589000000000004</v>
      </c>
      <c r="H6" s="64">
        <f t="shared" si="2"/>
        <v>4400.0000000004038</v>
      </c>
      <c r="I6" s="58">
        <v>2.5015000000000001</v>
      </c>
      <c r="J6" s="64">
        <f t="shared" si="3"/>
        <v>1700.0000000000348</v>
      </c>
      <c r="K6" s="58">
        <v>3.8448000000000002</v>
      </c>
      <c r="L6" s="64">
        <f t="shared" si="48"/>
        <v>3100.0000000003247</v>
      </c>
      <c r="M6" s="58">
        <v>2.3207</v>
      </c>
      <c r="N6" s="64">
        <f t="shared" si="49"/>
        <v>1900.0000000000127</v>
      </c>
      <c r="O6" s="58">
        <v>27771</v>
      </c>
      <c r="P6" s="67">
        <f t="shared" si="6"/>
        <v>34</v>
      </c>
      <c r="Q6" s="58">
        <v>3446</v>
      </c>
      <c r="R6" s="67">
        <f t="shared" si="7"/>
        <v>5</v>
      </c>
      <c r="S6" s="58">
        <v>1640.3</v>
      </c>
      <c r="T6" s="67">
        <f t="shared" si="8"/>
        <v>1899.9999999998636</v>
      </c>
      <c r="U6" s="58">
        <v>648364.30000000005</v>
      </c>
      <c r="V6" s="67">
        <f t="shared" si="9"/>
        <v>564.60000000009313</v>
      </c>
      <c r="W6" s="58">
        <v>586.16999999999996</v>
      </c>
      <c r="X6" s="65">
        <f t="shared" si="10"/>
        <v>419.99999999995907</v>
      </c>
      <c r="Y6" s="58">
        <v>4.4488000000000003</v>
      </c>
      <c r="Z6" s="65">
        <f t="shared" si="11"/>
        <v>3200.0000000005357</v>
      </c>
      <c r="AA6" s="58">
        <v>593.72</v>
      </c>
      <c r="AB6" s="65">
        <f t="shared" si="12"/>
        <v>330.00000000004093</v>
      </c>
      <c r="AC6" s="58">
        <v>597.04</v>
      </c>
      <c r="AD6" s="65">
        <f t="shared" si="13"/>
        <v>459.99999999992269</v>
      </c>
      <c r="AE6" s="58">
        <v>948.24</v>
      </c>
      <c r="AF6" s="65">
        <f t="shared" si="14"/>
        <v>1000</v>
      </c>
      <c r="AG6" s="58">
        <v>25761</v>
      </c>
      <c r="AH6" s="67">
        <f t="shared" si="15"/>
        <v>50</v>
      </c>
      <c r="AI6" s="58">
        <v>1.0137</v>
      </c>
      <c r="AJ6" s="65">
        <f t="shared" si="16"/>
        <v>1000.0000000001119</v>
      </c>
      <c r="AK6" s="58">
        <v>336.53</v>
      </c>
      <c r="AL6" s="65">
        <f t="shared" si="17"/>
        <v>359.9999999999568</v>
      </c>
      <c r="AM6" s="58">
        <v>308.52</v>
      </c>
      <c r="AN6" s="65">
        <f t="shared" si="18"/>
        <v>199.99999999998863</v>
      </c>
      <c r="AO6" s="58">
        <v>298.04000000000002</v>
      </c>
      <c r="AP6" s="65">
        <f t="shared" si="19"/>
        <v>210.00000000003638</v>
      </c>
      <c r="AQ6" s="58">
        <v>351.63</v>
      </c>
      <c r="AR6" s="65">
        <f t="shared" si="20"/>
        <v>230.00000000001819</v>
      </c>
      <c r="AS6" s="58">
        <v>476</v>
      </c>
      <c r="AT6" s="65">
        <f t="shared" si="21"/>
        <v>209.99999999997954</v>
      </c>
      <c r="AU6" s="58">
        <v>382.93</v>
      </c>
      <c r="AV6" s="65">
        <f t="shared" si="22"/>
        <v>250</v>
      </c>
      <c r="AW6" s="58">
        <v>409.94</v>
      </c>
      <c r="AX6" s="65">
        <f t="shared" si="23"/>
        <v>240.00000000000909</v>
      </c>
      <c r="AY6" s="58">
        <v>444.77</v>
      </c>
      <c r="AZ6" s="65">
        <f t="shared" si="24"/>
        <v>159.99999999996817</v>
      </c>
      <c r="BA6" s="58">
        <v>462.92</v>
      </c>
      <c r="BB6" s="65">
        <f t="shared" si="25"/>
        <v>259.99999999999091</v>
      </c>
      <c r="BC6" s="58">
        <v>296.42</v>
      </c>
      <c r="BD6" s="65">
        <f t="shared" si="26"/>
        <v>210.00000000003638</v>
      </c>
      <c r="BE6" s="59">
        <v>60101</v>
      </c>
      <c r="BF6" s="67">
        <f t="shared" si="27"/>
        <v>46</v>
      </c>
      <c r="BG6" s="60">
        <v>256.82</v>
      </c>
      <c r="BH6" s="65">
        <f t="shared" si="28"/>
        <v>40.000000000020464</v>
      </c>
      <c r="BI6" s="60">
        <v>310.95</v>
      </c>
      <c r="BJ6" s="65">
        <f t="shared" si="29"/>
        <v>39.99999999996362</v>
      </c>
      <c r="BK6" s="60">
        <v>262.81</v>
      </c>
      <c r="BL6" s="65">
        <f t="shared" si="30"/>
        <v>60.000000000002274</v>
      </c>
      <c r="BM6" s="60">
        <v>246.71</v>
      </c>
      <c r="BN6" s="65">
        <f t="shared" si="31"/>
        <v>40.000000000020464</v>
      </c>
      <c r="BO6" s="60">
        <v>315.3</v>
      </c>
      <c r="BP6" s="65">
        <f t="shared" si="32"/>
        <v>40.000000000020464</v>
      </c>
      <c r="BQ6" s="60">
        <v>65066</v>
      </c>
      <c r="BR6" s="65">
        <f t="shared" si="33"/>
        <v>46</v>
      </c>
      <c r="BS6" s="60">
        <v>224.81</v>
      </c>
      <c r="BT6" s="65">
        <f t="shared" si="34"/>
        <v>50.000000000011369</v>
      </c>
      <c r="BU6" s="60">
        <v>62547</v>
      </c>
      <c r="BV6" s="65">
        <f t="shared" si="35"/>
        <v>51</v>
      </c>
      <c r="BW6" s="60">
        <v>252.94</v>
      </c>
      <c r="BX6" s="65">
        <f t="shared" si="36"/>
        <v>50.000000000011369</v>
      </c>
      <c r="BY6" s="60">
        <v>84057</v>
      </c>
      <c r="BZ6" s="67">
        <f t="shared" si="37"/>
        <v>55</v>
      </c>
      <c r="CA6" s="60">
        <v>60703.8</v>
      </c>
      <c r="CB6" s="67">
        <f t="shared" si="38"/>
        <v>77.80000000000291</v>
      </c>
      <c r="CC6" s="60">
        <v>18435.8</v>
      </c>
      <c r="CD6" s="67">
        <f t="shared" si="39"/>
        <v>12.099999999998545</v>
      </c>
      <c r="CE6" s="60">
        <v>8993.5</v>
      </c>
      <c r="CF6" s="67">
        <f t="shared" si="40"/>
        <v>2.2000000000007276</v>
      </c>
      <c r="CG6" s="60">
        <v>85291.5</v>
      </c>
      <c r="CH6" s="67">
        <f t="shared" si="41"/>
        <v>62.30000000000291</v>
      </c>
      <c r="CI6" s="60">
        <v>1114843</v>
      </c>
      <c r="CJ6" s="67">
        <f t="shared" si="42"/>
        <v>321</v>
      </c>
      <c r="CK6" s="60">
        <v>1200.0999999999999</v>
      </c>
      <c r="CL6" s="64">
        <f t="shared" si="43"/>
        <v>1000</v>
      </c>
      <c r="CM6" s="65">
        <f t="shared" si="50"/>
        <v>145</v>
      </c>
      <c r="CN6" s="62">
        <v>44</v>
      </c>
      <c r="CO6" s="62">
        <v>107</v>
      </c>
      <c r="CP6" s="68">
        <v>51264</v>
      </c>
      <c r="CQ6" s="67">
        <f t="shared" si="51"/>
        <v>108</v>
      </c>
      <c r="CR6" s="68">
        <v>27094</v>
      </c>
      <c r="CS6" s="67">
        <f t="shared" si="44"/>
        <v>37</v>
      </c>
      <c r="CT6" s="75">
        <v>12689</v>
      </c>
      <c r="CU6" s="67">
        <f t="shared" si="45"/>
        <v>18</v>
      </c>
      <c r="CV6" s="68">
        <v>31045</v>
      </c>
      <c r="CW6" s="67">
        <f t="shared" si="46"/>
        <v>44</v>
      </c>
      <c r="CX6" s="58">
        <v>5622.8</v>
      </c>
      <c r="CY6" s="67">
        <f t="shared" si="47"/>
        <v>13.900000000000546</v>
      </c>
    </row>
    <row r="7" spans="1:103" ht="25.5" customHeight="1" thickBot="1" x14ac:dyDescent="0.45">
      <c r="A7" s="63">
        <v>44930</v>
      </c>
      <c r="B7" s="44"/>
      <c r="C7" s="58">
        <v>3.8022</v>
      </c>
      <c r="D7" s="64">
        <f t="shared" si="0"/>
        <v>3900.0000000002365</v>
      </c>
      <c r="E7" s="58">
        <v>5.0477999999999996</v>
      </c>
      <c r="F7" s="64">
        <f t="shared" si="1"/>
        <v>3599.9999999996035</v>
      </c>
      <c r="G7" s="58">
        <v>5.0632999999999999</v>
      </c>
      <c r="H7" s="64">
        <f t="shared" si="2"/>
        <v>4399.9999999995152</v>
      </c>
      <c r="I7" s="58">
        <v>2.5032999999999999</v>
      </c>
      <c r="J7" s="64">
        <f t="shared" si="3"/>
        <v>1799.9999999998017</v>
      </c>
      <c r="K7" s="58">
        <v>3.8477999999999999</v>
      </c>
      <c r="L7" s="64">
        <f t="shared" si="48"/>
        <v>2999.9999999996694</v>
      </c>
      <c r="M7" s="58">
        <v>2.3226</v>
      </c>
      <c r="N7" s="64">
        <f t="shared" si="49"/>
        <v>1900.0000000000127</v>
      </c>
      <c r="O7" s="58">
        <v>27793</v>
      </c>
      <c r="P7" s="67">
        <f t="shared" si="6"/>
        <v>22</v>
      </c>
      <c r="Q7" s="58">
        <v>3451</v>
      </c>
      <c r="R7" s="67">
        <f t="shared" si="7"/>
        <v>5</v>
      </c>
      <c r="S7" s="58">
        <v>1642.1</v>
      </c>
      <c r="T7" s="67">
        <f t="shared" si="8"/>
        <v>1799.9999999999545</v>
      </c>
      <c r="U7" s="58">
        <v>648908.30000000005</v>
      </c>
      <c r="V7" s="67">
        <f t="shared" si="9"/>
        <v>544</v>
      </c>
      <c r="W7" s="58">
        <v>586.55999999999995</v>
      </c>
      <c r="X7" s="65">
        <f t="shared" si="10"/>
        <v>389.99999999998636</v>
      </c>
      <c r="Y7" s="58">
        <v>4.4520999999999997</v>
      </c>
      <c r="Z7" s="65">
        <f t="shared" si="11"/>
        <v>3299.9999999994143</v>
      </c>
      <c r="AA7" s="58">
        <v>594.14</v>
      </c>
      <c r="AB7" s="65">
        <f t="shared" si="12"/>
        <v>419.99999999995907</v>
      </c>
      <c r="AC7" s="58">
        <v>597.46</v>
      </c>
      <c r="AD7" s="65">
        <f t="shared" si="13"/>
        <v>420.00000000007276</v>
      </c>
      <c r="AE7" s="58">
        <v>949.23</v>
      </c>
      <c r="AF7" s="65">
        <f t="shared" si="14"/>
        <v>990.00000000000909</v>
      </c>
      <c r="AG7" s="58">
        <v>25807</v>
      </c>
      <c r="AH7" s="67">
        <f t="shared" si="15"/>
        <v>46</v>
      </c>
      <c r="AI7" s="58">
        <v>1.0146999999999999</v>
      </c>
      <c r="AJ7" s="65">
        <f t="shared" si="16"/>
        <v>999.99999999988984</v>
      </c>
      <c r="AK7" s="58">
        <v>336.86</v>
      </c>
      <c r="AL7" s="65">
        <f t="shared" si="17"/>
        <v>330.00000000004093</v>
      </c>
      <c r="AM7" s="58">
        <v>308.72000000000003</v>
      </c>
      <c r="AN7" s="65">
        <f t="shared" si="18"/>
        <v>200.00000000004547</v>
      </c>
      <c r="AO7" s="58">
        <v>298.29000000000002</v>
      </c>
      <c r="AP7" s="65">
        <f t="shared" si="19"/>
        <v>250</v>
      </c>
      <c r="AQ7" s="58">
        <v>351.88</v>
      </c>
      <c r="AR7" s="65">
        <f t="shared" si="20"/>
        <v>250</v>
      </c>
      <c r="AS7" s="58">
        <v>476.34</v>
      </c>
      <c r="AT7" s="65">
        <f t="shared" si="21"/>
        <v>339.99999999997499</v>
      </c>
      <c r="AU7" s="58">
        <v>383.23</v>
      </c>
      <c r="AV7" s="65">
        <f t="shared" si="22"/>
        <v>300.00000000001137</v>
      </c>
      <c r="AW7" s="58">
        <v>410.18</v>
      </c>
      <c r="AX7" s="65">
        <f t="shared" si="23"/>
        <v>240.00000000000909</v>
      </c>
      <c r="AY7" s="58">
        <v>444.93</v>
      </c>
      <c r="AZ7" s="65">
        <f t="shared" si="24"/>
        <v>160.00000000002501</v>
      </c>
      <c r="BA7" s="58">
        <v>463.11</v>
      </c>
      <c r="BB7" s="65">
        <f t="shared" si="25"/>
        <v>189.99999999999773</v>
      </c>
      <c r="BC7" s="58">
        <v>296.63</v>
      </c>
      <c r="BD7" s="65">
        <f t="shared" si="26"/>
        <v>209.99999999997954</v>
      </c>
      <c r="BE7" s="59">
        <v>60155</v>
      </c>
      <c r="BF7" s="67">
        <f t="shared" si="27"/>
        <v>54</v>
      </c>
      <c r="BG7" s="60">
        <v>256.87</v>
      </c>
      <c r="BH7" s="65">
        <f t="shared" si="28"/>
        <v>50.000000000011369</v>
      </c>
      <c r="BI7" s="60">
        <v>310.99</v>
      </c>
      <c r="BJ7" s="65">
        <f t="shared" si="29"/>
        <v>40.000000000020464</v>
      </c>
      <c r="BK7" s="60">
        <v>262.88</v>
      </c>
      <c r="BL7" s="65">
        <f t="shared" si="30"/>
        <v>69.999999999993179</v>
      </c>
      <c r="BM7" s="60">
        <v>246.76</v>
      </c>
      <c r="BN7" s="65">
        <f t="shared" si="31"/>
        <v>49.999999999982947</v>
      </c>
      <c r="BO7" s="60">
        <v>315.33999999999997</v>
      </c>
      <c r="BP7" s="65">
        <f t="shared" si="32"/>
        <v>39.99999999996362</v>
      </c>
      <c r="BQ7" s="60">
        <v>65108</v>
      </c>
      <c r="BR7" s="65">
        <f t="shared" si="33"/>
        <v>42</v>
      </c>
      <c r="BS7" s="60">
        <v>224.86</v>
      </c>
      <c r="BT7" s="65">
        <f t="shared" si="34"/>
        <v>50.000000000011369</v>
      </c>
      <c r="BU7" s="60">
        <v>62594</v>
      </c>
      <c r="BV7" s="65">
        <f t="shared" si="35"/>
        <v>47</v>
      </c>
      <c r="BW7" s="60">
        <v>252.98</v>
      </c>
      <c r="BX7" s="65">
        <f t="shared" si="36"/>
        <v>39.999999999992042</v>
      </c>
      <c r="BY7" s="60">
        <v>84110</v>
      </c>
      <c r="BZ7" s="67">
        <f t="shared" si="37"/>
        <v>53</v>
      </c>
      <c r="CA7" s="60">
        <v>60790</v>
      </c>
      <c r="CB7" s="67">
        <f t="shared" si="38"/>
        <v>86.19999999999709</v>
      </c>
      <c r="CC7" s="60">
        <v>18459.599999999999</v>
      </c>
      <c r="CD7" s="67">
        <f t="shared" si="39"/>
        <v>23.799999999999272</v>
      </c>
      <c r="CE7" s="60">
        <v>8999.2000000000007</v>
      </c>
      <c r="CF7" s="67">
        <f t="shared" si="40"/>
        <v>5.7000000000007276</v>
      </c>
      <c r="CG7" s="60">
        <v>85354.2</v>
      </c>
      <c r="CH7" s="67">
        <f t="shared" si="41"/>
        <v>62.69999999999709</v>
      </c>
      <c r="CI7" s="60">
        <v>1115150</v>
      </c>
      <c r="CJ7" s="67">
        <f t="shared" si="42"/>
        <v>307</v>
      </c>
      <c r="CK7" s="60">
        <v>1201.3</v>
      </c>
      <c r="CL7" s="64">
        <f t="shared" si="43"/>
        <v>1200.0000000000455</v>
      </c>
      <c r="CM7" s="65">
        <f t="shared" si="50"/>
        <v>148.70000000000073</v>
      </c>
      <c r="CN7" s="62">
        <v>46</v>
      </c>
      <c r="CO7" s="62">
        <v>122</v>
      </c>
      <c r="CP7" s="68">
        <v>51369</v>
      </c>
      <c r="CQ7" s="67">
        <f t="shared" si="51"/>
        <v>105</v>
      </c>
      <c r="CR7" s="68">
        <v>27137.7</v>
      </c>
      <c r="CS7" s="67">
        <f t="shared" si="44"/>
        <v>43.700000000000728</v>
      </c>
      <c r="CT7" s="75">
        <v>12708</v>
      </c>
      <c r="CU7" s="67">
        <f t="shared" si="45"/>
        <v>19</v>
      </c>
      <c r="CV7" s="68">
        <v>31092</v>
      </c>
      <c r="CW7" s="67">
        <f t="shared" si="46"/>
        <v>47</v>
      </c>
      <c r="CX7" s="58">
        <v>5636.7</v>
      </c>
      <c r="CY7" s="67">
        <f t="shared" si="47"/>
        <v>13.899999999999636</v>
      </c>
    </row>
    <row r="8" spans="1:103" ht="25.5" customHeight="1" thickBot="1" x14ac:dyDescent="0.45">
      <c r="A8" s="63">
        <v>44931</v>
      </c>
      <c r="B8" s="44"/>
      <c r="C8" s="58">
        <v>3.8062999999999998</v>
      </c>
      <c r="D8" s="64">
        <f t="shared" si="0"/>
        <v>4099.9999999997708</v>
      </c>
      <c r="E8" s="58">
        <v>5.0515999999999996</v>
      </c>
      <c r="F8" s="64">
        <f t="shared" si="1"/>
        <v>3800.0000000000255</v>
      </c>
      <c r="G8" s="58">
        <v>5.0674999999999999</v>
      </c>
      <c r="H8" s="64">
        <f t="shared" si="2"/>
        <v>4199.9999999999818</v>
      </c>
      <c r="I8" s="58">
        <v>2.5051999999999999</v>
      </c>
      <c r="J8" s="64">
        <f t="shared" si="3"/>
        <v>1900.0000000000127</v>
      </c>
      <c r="K8" s="58">
        <v>3.851</v>
      </c>
      <c r="L8" s="64">
        <f t="shared" si="48"/>
        <v>3200.0000000000919</v>
      </c>
      <c r="M8" s="58">
        <v>2.3248000000000002</v>
      </c>
      <c r="N8" s="64">
        <f t="shared" si="49"/>
        <v>2200.0000000002019</v>
      </c>
      <c r="O8" s="58">
        <v>27817</v>
      </c>
      <c r="P8" s="67">
        <f t="shared" si="6"/>
        <v>24</v>
      </c>
      <c r="Q8" s="58">
        <v>3457</v>
      </c>
      <c r="R8" s="67">
        <f t="shared" si="7"/>
        <v>6</v>
      </c>
      <c r="S8" s="58">
        <v>1643.7</v>
      </c>
      <c r="T8" s="67">
        <f t="shared" si="8"/>
        <v>1600.0000000001364</v>
      </c>
      <c r="U8" s="58">
        <v>649439.6</v>
      </c>
      <c r="V8" s="67">
        <f t="shared" si="9"/>
        <v>531.29999999993015</v>
      </c>
      <c r="W8" s="58">
        <v>586.94000000000005</v>
      </c>
      <c r="X8" s="65">
        <f t="shared" si="10"/>
        <v>380.00000000010914</v>
      </c>
      <c r="Y8" s="58">
        <v>4.4554999999999998</v>
      </c>
      <c r="Z8" s="65">
        <f t="shared" si="11"/>
        <v>3400.0000000000696</v>
      </c>
      <c r="AA8" s="58">
        <v>594.55999999999995</v>
      </c>
      <c r="AB8" s="65">
        <f t="shared" si="12"/>
        <v>419.99999999995907</v>
      </c>
      <c r="AC8" s="58">
        <v>597.99</v>
      </c>
      <c r="AD8" s="65">
        <f t="shared" si="13"/>
        <v>529.99999999997272</v>
      </c>
      <c r="AE8" s="58">
        <v>950.41</v>
      </c>
      <c r="AF8" s="65">
        <f t="shared" si="14"/>
        <v>1179.99999999995</v>
      </c>
      <c r="AG8" s="58">
        <v>25853</v>
      </c>
      <c r="AH8" s="67">
        <f t="shared" si="15"/>
        <v>46</v>
      </c>
      <c r="AI8" s="58">
        <v>1.0158</v>
      </c>
      <c r="AJ8" s="65">
        <f t="shared" si="16"/>
        <v>1100.000000000101</v>
      </c>
      <c r="AK8" s="58">
        <v>337.19</v>
      </c>
      <c r="AL8" s="65">
        <f t="shared" si="17"/>
        <v>329.99999999998408</v>
      </c>
      <c r="AM8" s="58">
        <v>308.94</v>
      </c>
      <c r="AN8" s="65">
        <f t="shared" si="18"/>
        <v>219.99999999997044</v>
      </c>
      <c r="AO8" s="58">
        <v>298.67</v>
      </c>
      <c r="AP8" s="65">
        <f t="shared" si="19"/>
        <v>379.99999999999545</v>
      </c>
      <c r="AQ8" s="58">
        <v>352.18</v>
      </c>
      <c r="AR8" s="65">
        <f t="shared" si="20"/>
        <v>300.00000000001137</v>
      </c>
      <c r="AS8" s="58">
        <v>476.63</v>
      </c>
      <c r="AT8" s="65">
        <f t="shared" si="21"/>
        <v>290.00000000002046</v>
      </c>
      <c r="AU8" s="58">
        <v>383.54</v>
      </c>
      <c r="AV8" s="65">
        <f t="shared" si="22"/>
        <v>310.00000000000227</v>
      </c>
      <c r="AW8" s="58">
        <v>410.43</v>
      </c>
      <c r="AX8" s="65">
        <f t="shared" si="23"/>
        <v>250</v>
      </c>
      <c r="AY8" s="58">
        <v>445.12</v>
      </c>
      <c r="AZ8" s="65">
        <f t="shared" si="24"/>
        <v>189.99999999999773</v>
      </c>
      <c r="BA8" s="58">
        <v>463.32</v>
      </c>
      <c r="BB8" s="65">
        <f t="shared" si="25"/>
        <v>209.99999999997954</v>
      </c>
      <c r="BC8" s="58">
        <v>296.83999999999997</v>
      </c>
      <c r="BD8" s="65">
        <f t="shared" si="26"/>
        <v>209.99999999997954</v>
      </c>
      <c r="BE8" s="59">
        <v>60194</v>
      </c>
      <c r="BF8" s="67">
        <f t="shared" si="27"/>
        <v>39</v>
      </c>
      <c r="BG8" s="60">
        <v>256.91000000000003</v>
      </c>
      <c r="BH8" s="65">
        <f t="shared" si="28"/>
        <v>40.000000000020464</v>
      </c>
      <c r="BI8" s="60">
        <v>311.01</v>
      </c>
      <c r="BJ8" s="65">
        <f t="shared" si="29"/>
        <v>19.99999999998181</v>
      </c>
      <c r="BK8" s="60">
        <v>262.94</v>
      </c>
      <c r="BL8" s="65">
        <f t="shared" si="30"/>
        <v>60.000000000002274</v>
      </c>
      <c r="BM8" s="60">
        <v>246.81</v>
      </c>
      <c r="BN8" s="65">
        <f t="shared" si="31"/>
        <v>50.000000000011369</v>
      </c>
      <c r="BO8" s="60">
        <v>315.37</v>
      </c>
      <c r="BP8" s="65">
        <f t="shared" si="32"/>
        <v>30.000000000029559</v>
      </c>
      <c r="BQ8" s="60">
        <v>65156</v>
      </c>
      <c r="BR8" s="65">
        <f t="shared" si="33"/>
        <v>48</v>
      </c>
      <c r="BS8" s="60">
        <v>224.91</v>
      </c>
      <c r="BT8" s="65">
        <f t="shared" si="34"/>
        <v>49.999999999982947</v>
      </c>
      <c r="BU8" s="60">
        <v>62640</v>
      </c>
      <c r="BV8" s="65">
        <f t="shared" si="35"/>
        <v>46</v>
      </c>
      <c r="BW8" s="60">
        <v>253.03</v>
      </c>
      <c r="BX8" s="65">
        <f t="shared" si="36"/>
        <v>50.000000000011369</v>
      </c>
      <c r="BY8" s="60">
        <v>84163</v>
      </c>
      <c r="BZ8" s="67">
        <f t="shared" si="37"/>
        <v>53</v>
      </c>
      <c r="CA8" s="60">
        <v>60871.5</v>
      </c>
      <c r="CB8" s="67">
        <f t="shared" si="38"/>
        <v>81.5</v>
      </c>
      <c r="CC8" s="60">
        <v>18481.5</v>
      </c>
      <c r="CD8" s="67">
        <f t="shared" si="39"/>
        <v>21.900000000001455</v>
      </c>
      <c r="CE8" s="60">
        <v>9004</v>
      </c>
      <c r="CF8" s="67">
        <f t="shared" si="40"/>
        <v>4.7999999999992724</v>
      </c>
      <c r="CG8" s="60">
        <v>85412.7</v>
      </c>
      <c r="CH8" s="67">
        <f t="shared" si="41"/>
        <v>58.5</v>
      </c>
      <c r="CI8" s="60">
        <v>1115478</v>
      </c>
      <c r="CJ8" s="67">
        <f t="shared" si="42"/>
        <v>328</v>
      </c>
      <c r="CK8" s="60">
        <v>1202.3</v>
      </c>
      <c r="CL8" s="64">
        <f t="shared" si="43"/>
        <v>1000</v>
      </c>
      <c r="CM8" s="65">
        <f t="shared" si="50"/>
        <v>142.39999999999782</v>
      </c>
      <c r="CN8" s="62">
        <v>46</v>
      </c>
      <c r="CO8" s="62">
        <v>122</v>
      </c>
      <c r="CP8" s="68">
        <v>51473</v>
      </c>
      <c r="CQ8" s="67">
        <f t="shared" si="51"/>
        <v>104</v>
      </c>
      <c r="CR8" s="68">
        <v>27176.1</v>
      </c>
      <c r="CS8" s="67">
        <f t="shared" si="44"/>
        <v>38.399999999997817</v>
      </c>
      <c r="CT8" s="75">
        <v>12729</v>
      </c>
      <c r="CU8" s="67">
        <f t="shared" si="45"/>
        <v>21</v>
      </c>
      <c r="CV8" s="68">
        <v>31146</v>
      </c>
      <c r="CW8" s="67">
        <f t="shared" si="46"/>
        <v>54</v>
      </c>
      <c r="CX8" s="58">
        <v>5650.8</v>
      </c>
      <c r="CY8" s="67">
        <f t="shared" si="47"/>
        <v>14.100000000000364</v>
      </c>
    </row>
    <row r="9" spans="1:103" ht="25.5" customHeight="1" thickBot="1" x14ac:dyDescent="0.45">
      <c r="A9" s="63">
        <v>44932</v>
      </c>
      <c r="B9" s="44"/>
      <c r="C9" s="58">
        <v>3.8096999999999999</v>
      </c>
      <c r="D9" s="64">
        <f t="shared" si="0"/>
        <v>3400.0000000000696</v>
      </c>
      <c r="E9" s="58">
        <v>5.0551000000000004</v>
      </c>
      <c r="F9" s="64">
        <f t="shared" si="1"/>
        <v>3500.0000000007249</v>
      </c>
      <c r="G9" s="58">
        <v>5.0716999999999999</v>
      </c>
      <c r="H9" s="64">
        <f t="shared" si="2"/>
        <v>4199.9999999999818</v>
      </c>
      <c r="I9" s="58">
        <v>2.5068999999999999</v>
      </c>
      <c r="J9" s="64">
        <f t="shared" si="3"/>
        <v>1700.0000000000348</v>
      </c>
      <c r="K9" s="58">
        <v>3.8559000000000001</v>
      </c>
      <c r="L9" s="64">
        <f t="shared" si="48"/>
        <v>4900.0000000001264</v>
      </c>
      <c r="M9" s="58">
        <v>2.3266</v>
      </c>
      <c r="N9" s="64">
        <f t="shared" si="49"/>
        <v>1799.9999999998017</v>
      </c>
      <c r="O9" s="58">
        <v>27829</v>
      </c>
      <c r="P9" s="67">
        <f t="shared" si="6"/>
        <v>12</v>
      </c>
      <c r="Q9" s="58">
        <v>3461</v>
      </c>
      <c r="R9" s="67">
        <f t="shared" si="7"/>
        <v>4</v>
      </c>
      <c r="S9" s="58">
        <v>1645.3</v>
      </c>
      <c r="T9" s="67">
        <f t="shared" si="8"/>
        <v>1599.9999999999091</v>
      </c>
      <c r="U9" s="58">
        <v>649957</v>
      </c>
      <c r="V9" s="67">
        <f t="shared" si="9"/>
        <v>517.40000000002328</v>
      </c>
      <c r="W9" s="58">
        <v>587.32000000000005</v>
      </c>
      <c r="X9" s="65">
        <f t="shared" si="10"/>
        <v>379.99999999999545</v>
      </c>
      <c r="Y9" s="58">
        <v>4.4587000000000003</v>
      </c>
      <c r="Z9" s="65">
        <f t="shared" si="11"/>
        <v>3200.0000000005357</v>
      </c>
      <c r="AA9" s="58">
        <v>594.94000000000005</v>
      </c>
      <c r="AB9" s="65">
        <f t="shared" si="12"/>
        <v>380.00000000010914</v>
      </c>
      <c r="AC9" s="58">
        <v>598.35</v>
      </c>
      <c r="AD9" s="65">
        <f t="shared" si="13"/>
        <v>360.00000000001364</v>
      </c>
      <c r="AE9" s="58">
        <v>951.3</v>
      </c>
      <c r="AF9" s="65">
        <f t="shared" si="14"/>
        <v>889.99999999998636</v>
      </c>
      <c r="AG9" s="58">
        <v>25915</v>
      </c>
      <c r="AH9" s="67">
        <f t="shared" si="15"/>
        <v>62</v>
      </c>
      <c r="AI9" s="58">
        <v>1.0165999999999999</v>
      </c>
      <c r="AJ9" s="65">
        <f t="shared" si="16"/>
        <v>799.99999999991189</v>
      </c>
      <c r="AK9" s="58">
        <v>337.48</v>
      </c>
      <c r="AL9" s="65">
        <f t="shared" si="17"/>
        <v>290.00000000002046</v>
      </c>
      <c r="AM9" s="58">
        <v>309.12</v>
      </c>
      <c r="AN9" s="65">
        <f t="shared" si="18"/>
        <v>180.00000000000682</v>
      </c>
      <c r="AO9" s="58">
        <v>298.98</v>
      </c>
      <c r="AP9" s="65">
        <f t="shared" si="19"/>
        <v>310.00000000000227</v>
      </c>
      <c r="AQ9" s="58">
        <v>352.45</v>
      </c>
      <c r="AR9" s="65">
        <f t="shared" si="20"/>
        <v>269.99999999998181</v>
      </c>
      <c r="AS9" s="58">
        <v>476.94</v>
      </c>
      <c r="AT9" s="65">
        <f t="shared" si="21"/>
        <v>310.00000000000227</v>
      </c>
      <c r="AU9" s="58">
        <v>383.81</v>
      </c>
      <c r="AV9" s="65">
        <f t="shared" si="22"/>
        <v>269.99999999998181</v>
      </c>
      <c r="AW9" s="58">
        <v>410.64</v>
      </c>
      <c r="AX9" s="65">
        <f t="shared" si="23"/>
        <v>209.99999999997954</v>
      </c>
      <c r="AY9" s="58">
        <v>445.3</v>
      </c>
      <c r="AZ9" s="65">
        <f t="shared" si="24"/>
        <v>180.00000000000682</v>
      </c>
      <c r="BA9" s="58">
        <v>463.47</v>
      </c>
      <c r="BB9" s="65">
        <f t="shared" si="25"/>
        <v>150.00000000003411</v>
      </c>
      <c r="BC9" s="58">
        <v>297.06</v>
      </c>
      <c r="BD9" s="65">
        <f t="shared" si="26"/>
        <v>220.00000000002728</v>
      </c>
      <c r="BE9" s="59">
        <v>60253</v>
      </c>
      <c r="BF9" s="67">
        <f t="shared" si="27"/>
        <v>59</v>
      </c>
      <c r="BG9" s="60">
        <v>256.95999999999998</v>
      </c>
      <c r="BH9" s="65">
        <f t="shared" si="28"/>
        <v>49.999999999954525</v>
      </c>
      <c r="BI9" s="60">
        <v>311.08</v>
      </c>
      <c r="BJ9" s="65">
        <f t="shared" si="29"/>
        <v>69.999999999993179</v>
      </c>
      <c r="BK9" s="60">
        <v>263.01</v>
      </c>
      <c r="BL9" s="65">
        <f t="shared" si="30"/>
        <v>69.999999999993179</v>
      </c>
      <c r="BM9" s="60">
        <v>246.85</v>
      </c>
      <c r="BN9" s="65">
        <f t="shared" si="31"/>
        <v>39.999999999992042</v>
      </c>
      <c r="BO9" s="60">
        <v>315.41000000000003</v>
      </c>
      <c r="BP9" s="65">
        <f t="shared" si="32"/>
        <v>40.000000000020464</v>
      </c>
      <c r="BQ9" s="60">
        <v>65198</v>
      </c>
      <c r="BR9" s="65">
        <f t="shared" si="33"/>
        <v>42</v>
      </c>
      <c r="BS9" s="60">
        <v>224.94</v>
      </c>
      <c r="BT9" s="65">
        <f t="shared" si="34"/>
        <v>30.000000000001137</v>
      </c>
      <c r="BU9" s="60">
        <v>62687</v>
      </c>
      <c r="BV9" s="65">
        <f t="shared" si="35"/>
        <v>47</v>
      </c>
      <c r="BW9" s="60">
        <v>253.07</v>
      </c>
      <c r="BX9" s="65">
        <f t="shared" si="36"/>
        <v>39.999999999992042</v>
      </c>
      <c r="BY9" s="60">
        <v>84219</v>
      </c>
      <c r="BZ9" s="67">
        <f t="shared" si="37"/>
        <v>56</v>
      </c>
      <c r="CA9" s="60">
        <v>60957.3</v>
      </c>
      <c r="CB9" s="67">
        <f t="shared" si="38"/>
        <v>85.80000000000291</v>
      </c>
      <c r="CC9" s="60">
        <v>18493.7</v>
      </c>
      <c r="CD9" s="67">
        <f t="shared" si="39"/>
        <v>12.200000000000728</v>
      </c>
      <c r="CE9" s="60">
        <v>9008.5</v>
      </c>
      <c r="CF9" s="67">
        <f t="shared" si="40"/>
        <v>4.5</v>
      </c>
      <c r="CG9" s="60">
        <v>85475.8</v>
      </c>
      <c r="CH9" s="67">
        <f t="shared" si="41"/>
        <v>63.100000000005821</v>
      </c>
      <c r="CI9" s="60">
        <v>1115821</v>
      </c>
      <c r="CJ9" s="67">
        <f t="shared" si="42"/>
        <v>343</v>
      </c>
      <c r="CK9" s="60">
        <v>1203.4000000000001</v>
      </c>
      <c r="CL9" s="64">
        <f t="shared" si="43"/>
        <v>1100.0000000001364</v>
      </c>
      <c r="CM9" s="65">
        <f t="shared" si="50"/>
        <v>133.90000000000146</v>
      </c>
      <c r="CN9" s="62">
        <v>35</v>
      </c>
      <c r="CO9" s="62">
        <v>94</v>
      </c>
      <c r="CP9" s="68">
        <v>51571</v>
      </c>
      <c r="CQ9" s="67">
        <f t="shared" si="51"/>
        <v>98</v>
      </c>
      <c r="CR9" s="68">
        <v>27212</v>
      </c>
      <c r="CS9" s="67">
        <f t="shared" si="44"/>
        <v>35.900000000001455</v>
      </c>
      <c r="CT9" s="75">
        <v>12748</v>
      </c>
      <c r="CU9" s="67">
        <f t="shared" si="45"/>
        <v>19</v>
      </c>
      <c r="CV9" s="68">
        <v>31193</v>
      </c>
      <c r="CW9" s="67">
        <f t="shared" si="46"/>
        <v>47</v>
      </c>
      <c r="CX9" s="58">
        <v>5663.4</v>
      </c>
      <c r="CY9" s="67">
        <f t="shared" si="47"/>
        <v>12.599999999999454</v>
      </c>
    </row>
    <row r="10" spans="1:103" ht="25.5" customHeight="1" thickBot="1" x14ac:dyDescent="0.45">
      <c r="A10" s="63">
        <v>44933</v>
      </c>
      <c r="B10" s="44"/>
      <c r="C10" s="58">
        <v>3.8136999999999999</v>
      </c>
      <c r="D10" s="64">
        <f t="shared" si="0"/>
        <v>4000.0000000000036</v>
      </c>
      <c r="E10" s="58">
        <v>5.0587</v>
      </c>
      <c r="F10" s="64">
        <f t="shared" si="1"/>
        <v>3599.9999999996035</v>
      </c>
      <c r="G10" s="58">
        <v>5.0759999999999996</v>
      </c>
      <c r="H10" s="64">
        <f t="shared" si="2"/>
        <v>4299.9999999997481</v>
      </c>
      <c r="I10" s="58">
        <v>2.5087000000000002</v>
      </c>
      <c r="J10" s="64">
        <f t="shared" si="3"/>
        <v>1800.0000000002458</v>
      </c>
      <c r="K10" s="58">
        <v>3.8570000000000002</v>
      </c>
      <c r="L10" s="64">
        <f t="shared" si="48"/>
        <v>1100.000000000101</v>
      </c>
      <c r="M10" s="58">
        <v>2.3285</v>
      </c>
      <c r="N10" s="64">
        <f t="shared" si="49"/>
        <v>1900.0000000000127</v>
      </c>
      <c r="O10" s="58">
        <v>27844</v>
      </c>
      <c r="P10" s="67">
        <f t="shared" si="6"/>
        <v>15</v>
      </c>
      <c r="Q10" s="58">
        <v>3466</v>
      </c>
      <c r="R10" s="67">
        <f t="shared" si="7"/>
        <v>5</v>
      </c>
      <c r="S10" s="58">
        <v>1647</v>
      </c>
      <c r="T10" s="67">
        <f t="shared" si="8"/>
        <v>1700.0000000000455</v>
      </c>
      <c r="U10" s="58">
        <v>650494.4</v>
      </c>
      <c r="V10" s="67">
        <f t="shared" si="9"/>
        <v>537.40000000002328</v>
      </c>
      <c r="W10" s="58">
        <v>587.70000000000005</v>
      </c>
      <c r="X10" s="65">
        <f t="shared" si="10"/>
        <v>379.99999999999545</v>
      </c>
      <c r="Y10" s="58">
        <v>4.4619999999999997</v>
      </c>
      <c r="Z10" s="65">
        <f t="shared" si="11"/>
        <v>3299.9999999994143</v>
      </c>
      <c r="AA10" s="58">
        <v>595.36</v>
      </c>
      <c r="AB10" s="65">
        <f t="shared" si="12"/>
        <v>419.99999999995907</v>
      </c>
      <c r="AC10" s="58">
        <v>598.79</v>
      </c>
      <c r="AD10" s="65">
        <f t="shared" si="13"/>
        <v>439.99999999994088</v>
      </c>
      <c r="AE10" s="58">
        <v>952.22</v>
      </c>
      <c r="AF10" s="65">
        <f t="shared" si="14"/>
        <v>920.00000000007276</v>
      </c>
      <c r="AG10" s="58">
        <v>25968</v>
      </c>
      <c r="AH10" s="67">
        <f t="shared" si="15"/>
        <v>53</v>
      </c>
      <c r="AI10" s="58">
        <v>1.0178</v>
      </c>
      <c r="AJ10" s="65">
        <f t="shared" si="16"/>
        <v>1200.0000000000898</v>
      </c>
      <c r="AK10" s="58">
        <v>337.72</v>
      </c>
      <c r="AL10" s="65">
        <f t="shared" si="17"/>
        <v>240.00000000000909</v>
      </c>
      <c r="AM10" s="58">
        <v>309.33999999999997</v>
      </c>
      <c r="AN10" s="65">
        <f t="shared" si="18"/>
        <v>219.99999999997044</v>
      </c>
      <c r="AO10" s="58">
        <v>299.27999999999997</v>
      </c>
      <c r="AP10" s="65">
        <f t="shared" si="19"/>
        <v>299.99999999995453</v>
      </c>
      <c r="AQ10" s="58">
        <v>352.67</v>
      </c>
      <c r="AR10" s="65">
        <f t="shared" si="20"/>
        <v>220.00000000002728</v>
      </c>
      <c r="AS10" s="58">
        <v>477.3</v>
      </c>
      <c r="AT10" s="65">
        <f t="shared" si="21"/>
        <v>360.00000000001364</v>
      </c>
      <c r="AU10" s="58">
        <v>384.03</v>
      </c>
      <c r="AV10" s="65">
        <f t="shared" si="22"/>
        <v>219.99999999997044</v>
      </c>
      <c r="AW10" s="58">
        <v>410.86</v>
      </c>
      <c r="AX10" s="65">
        <f t="shared" si="23"/>
        <v>220.00000000002728</v>
      </c>
      <c r="AY10" s="58">
        <v>445.53</v>
      </c>
      <c r="AZ10" s="65">
        <f t="shared" si="24"/>
        <v>229.99999999996135</v>
      </c>
      <c r="BA10" s="58">
        <v>463.65</v>
      </c>
      <c r="BB10" s="65">
        <f t="shared" si="25"/>
        <v>179.99999999994998</v>
      </c>
      <c r="BC10" s="58">
        <v>297.27999999999997</v>
      </c>
      <c r="BD10" s="65">
        <f t="shared" si="26"/>
        <v>219.99999999997044</v>
      </c>
      <c r="BE10" s="59">
        <v>60296</v>
      </c>
      <c r="BF10" s="67">
        <f t="shared" si="27"/>
        <v>43</v>
      </c>
      <c r="BG10" s="60">
        <v>257</v>
      </c>
      <c r="BH10" s="65">
        <f t="shared" si="28"/>
        <v>40.000000000020464</v>
      </c>
      <c r="BI10" s="60">
        <v>311.12</v>
      </c>
      <c r="BJ10" s="65">
        <f t="shared" si="29"/>
        <v>40.000000000020464</v>
      </c>
      <c r="BK10" s="60">
        <v>263.08</v>
      </c>
      <c r="BL10" s="65">
        <f t="shared" si="30"/>
        <v>69.999999999993179</v>
      </c>
      <c r="BM10" s="60">
        <v>246.9</v>
      </c>
      <c r="BN10" s="65">
        <f t="shared" si="31"/>
        <v>50.000000000011369</v>
      </c>
      <c r="BO10" s="60">
        <v>315.45</v>
      </c>
      <c r="BP10" s="65">
        <f t="shared" si="32"/>
        <v>39.99999999996362</v>
      </c>
      <c r="BQ10" s="60">
        <v>65245</v>
      </c>
      <c r="BR10" s="65">
        <f t="shared" si="33"/>
        <v>47</v>
      </c>
      <c r="BS10" s="60">
        <v>225.01</v>
      </c>
      <c r="BT10" s="65">
        <f t="shared" si="34"/>
        <v>69.999999999993179</v>
      </c>
      <c r="BU10" s="60">
        <v>62734</v>
      </c>
      <c r="BV10" s="65">
        <f t="shared" si="35"/>
        <v>47</v>
      </c>
      <c r="BW10" s="60">
        <v>253.12</v>
      </c>
      <c r="BX10" s="65">
        <f t="shared" si="36"/>
        <v>50.000000000011369</v>
      </c>
      <c r="BY10" s="60">
        <v>84273</v>
      </c>
      <c r="BZ10" s="67">
        <f t="shared" si="37"/>
        <v>54</v>
      </c>
      <c r="CA10" s="60">
        <v>61039.199999999997</v>
      </c>
      <c r="CB10" s="67">
        <f t="shared" si="38"/>
        <v>81.899999999994179</v>
      </c>
      <c r="CC10" s="60">
        <v>18506.2</v>
      </c>
      <c r="CD10" s="67">
        <f t="shared" si="39"/>
        <v>12.5</v>
      </c>
      <c r="CE10" s="60">
        <v>9010</v>
      </c>
      <c r="CF10" s="67">
        <f t="shared" si="40"/>
        <v>1.5</v>
      </c>
      <c r="CG10" s="60">
        <v>85536.1</v>
      </c>
      <c r="CH10" s="67">
        <f t="shared" si="41"/>
        <v>60.30000000000291</v>
      </c>
      <c r="CI10" s="60">
        <v>1116147</v>
      </c>
      <c r="CJ10" s="67">
        <f t="shared" si="42"/>
        <v>326</v>
      </c>
      <c r="CK10" s="60">
        <v>1204.5</v>
      </c>
      <c r="CL10" s="64">
        <f t="shared" si="43"/>
        <v>1099.9999999999091</v>
      </c>
      <c r="CM10" s="65">
        <f t="shared" si="50"/>
        <v>109</v>
      </c>
      <c r="CN10" s="62">
        <v>33</v>
      </c>
      <c r="CO10" s="62">
        <v>86</v>
      </c>
      <c r="CP10" s="68">
        <v>51667</v>
      </c>
      <c r="CQ10" s="67">
        <f t="shared" si="51"/>
        <v>96</v>
      </c>
      <c r="CR10" s="68">
        <v>27225</v>
      </c>
      <c r="CS10" s="67">
        <f t="shared" si="44"/>
        <v>13</v>
      </c>
      <c r="CT10" s="75">
        <v>12767</v>
      </c>
      <c r="CU10" s="67">
        <f t="shared" si="45"/>
        <v>19</v>
      </c>
      <c r="CV10" s="68">
        <v>31248</v>
      </c>
      <c r="CW10" s="67">
        <f t="shared" si="46"/>
        <v>55</v>
      </c>
      <c r="CX10" s="58">
        <v>5677.1</v>
      </c>
      <c r="CY10" s="67">
        <f t="shared" si="47"/>
        <v>13.700000000000728</v>
      </c>
    </row>
    <row r="11" spans="1:103" ht="25.5" customHeight="1" thickBot="1" x14ac:dyDescent="0.45">
      <c r="A11" s="63">
        <v>44934</v>
      </c>
      <c r="B11" s="44"/>
      <c r="C11" s="58">
        <v>3.8170000000000002</v>
      </c>
      <c r="D11" s="64">
        <f t="shared" si="0"/>
        <v>3300.0000000003029</v>
      </c>
      <c r="E11" s="58">
        <v>5.0620000000000003</v>
      </c>
      <c r="F11" s="64">
        <f t="shared" si="1"/>
        <v>3300.0000000003029</v>
      </c>
      <c r="G11" s="58">
        <v>5.0797999999999996</v>
      </c>
      <c r="H11" s="64">
        <f t="shared" si="2"/>
        <v>3800.0000000000255</v>
      </c>
      <c r="I11" s="58">
        <v>2.5102000000000002</v>
      </c>
      <c r="J11" s="64">
        <f t="shared" si="3"/>
        <v>1500.0000000000568</v>
      </c>
      <c r="K11" s="58">
        <v>3.8595000000000002</v>
      </c>
      <c r="L11" s="64">
        <f t="shared" si="48"/>
        <v>2499.9999999999468</v>
      </c>
      <c r="M11" s="58">
        <v>2.3298999999999999</v>
      </c>
      <c r="N11" s="64">
        <f t="shared" si="49"/>
        <v>1399.9999999998458</v>
      </c>
      <c r="O11" s="58">
        <v>27852</v>
      </c>
      <c r="P11" s="67">
        <f t="shared" si="6"/>
        <v>8</v>
      </c>
      <c r="Q11" s="58">
        <v>3470</v>
      </c>
      <c r="R11" s="67">
        <f t="shared" si="7"/>
        <v>4</v>
      </c>
      <c r="S11" s="58">
        <v>1648.5</v>
      </c>
      <c r="T11" s="67">
        <f t="shared" si="8"/>
        <v>1500</v>
      </c>
      <c r="U11" s="58">
        <v>650926.1</v>
      </c>
      <c r="V11" s="67">
        <f t="shared" si="9"/>
        <v>431.69999999995343</v>
      </c>
      <c r="W11" s="58">
        <v>588.02</v>
      </c>
      <c r="X11" s="65">
        <f t="shared" si="10"/>
        <v>319.99999999993634</v>
      </c>
      <c r="Y11" s="58">
        <v>4.4648000000000003</v>
      </c>
      <c r="Z11" s="65">
        <f t="shared" si="11"/>
        <v>2800.0000000005798</v>
      </c>
      <c r="AA11" s="58">
        <v>595.6</v>
      </c>
      <c r="AB11" s="65">
        <f t="shared" si="12"/>
        <v>240.00000000000909</v>
      </c>
      <c r="AC11" s="58">
        <v>599.09</v>
      </c>
      <c r="AD11" s="65">
        <f t="shared" si="13"/>
        <v>300.00000000006821</v>
      </c>
      <c r="AE11" s="58">
        <v>953.02</v>
      </c>
      <c r="AF11" s="65">
        <f t="shared" si="14"/>
        <v>799.99999999995453</v>
      </c>
      <c r="AG11" s="58">
        <v>26008</v>
      </c>
      <c r="AH11" s="67">
        <f t="shared" si="15"/>
        <v>40</v>
      </c>
      <c r="AI11" s="58">
        <v>1.0185999999999999</v>
      </c>
      <c r="AJ11" s="65">
        <f t="shared" si="16"/>
        <v>799.99999999991189</v>
      </c>
      <c r="AK11" s="58">
        <v>337.9</v>
      </c>
      <c r="AL11" s="65">
        <f t="shared" si="17"/>
        <v>179.99999999994998</v>
      </c>
      <c r="AM11" s="58">
        <v>309.49</v>
      </c>
      <c r="AN11" s="65">
        <f t="shared" si="18"/>
        <v>150.00000000003411</v>
      </c>
      <c r="AO11" s="58">
        <v>299.52999999999997</v>
      </c>
      <c r="AP11" s="65">
        <f t="shared" si="19"/>
        <v>250</v>
      </c>
      <c r="AQ11" s="58">
        <v>352.86</v>
      </c>
      <c r="AR11" s="65">
        <f t="shared" si="20"/>
        <v>189.99999999999773</v>
      </c>
      <c r="AS11" s="58">
        <v>477.58</v>
      </c>
      <c r="AT11" s="65">
        <f t="shared" si="21"/>
        <v>279.99999999997272</v>
      </c>
      <c r="AU11" s="58">
        <v>384.28</v>
      </c>
      <c r="AV11" s="65">
        <f t="shared" si="22"/>
        <v>250</v>
      </c>
      <c r="AW11" s="58">
        <v>410.99</v>
      </c>
      <c r="AX11" s="65">
        <f t="shared" si="23"/>
        <v>129.99999999999545</v>
      </c>
      <c r="AY11" s="58">
        <v>445.71</v>
      </c>
      <c r="AZ11" s="65">
        <f t="shared" si="24"/>
        <v>180.00000000000682</v>
      </c>
      <c r="BA11" s="58">
        <v>463.79</v>
      </c>
      <c r="BB11" s="65">
        <f t="shared" si="25"/>
        <v>140.0000000000432</v>
      </c>
      <c r="BC11" s="58">
        <v>297.45</v>
      </c>
      <c r="BD11" s="65">
        <f t="shared" si="26"/>
        <v>170.00000000001592</v>
      </c>
      <c r="BE11" s="59">
        <v>60330</v>
      </c>
      <c r="BF11" s="67">
        <f t="shared" si="27"/>
        <v>34</v>
      </c>
      <c r="BG11" s="60">
        <v>257.04000000000002</v>
      </c>
      <c r="BH11" s="65">
        <f t="shared" si="28"/>
        <v>40.000000000020464</v>
      </c>
      <c r="BI11" s="60">
        <v>311.16000000000003</v>
      </c>
      <c r="BJ11" s="65">
        <f t="shared" si="29"/>
        <v>40.000000000020464</v>
      </c>
      <c r="BK11" s="60">
        <v>263.14</v>
      </c>
      <c r="BL11" s="65">
        <f t="shared" si="30"/>
        <v>60.000000000002274</v>
      </c>
      <c r="BM11" s="60">
        <v>246.94</v>
      </c>
      <c r="BN11" s="65">
        <f t="shared" si="31"/>
        <v>39.999999999992042</v>
      </c>
      <c r="BO11" s="60">
        <v>315.48</v>
      </c>
      <c r="BP11" s="65">
        <f t="shared" si="32"/>
        <v>30.000000000029559</v>
      </c>
      <c r="BQ11" s="60">
        <v>65286</v>
      </c>
      <c r="BR11" s="65">
        <f t="shared" si="33"/>
        <v>41</v>
      </c>
      <c r="BS11" s="60">
        <v>225.05</v>
      </c>
      <c r="BT11" s="65">
        <f t="shared" si="34"/>
        <v>40.000000000020464</v>
      </c>
      <c r="BU11" s="60">
        <v>62774</v>
      </c>
      <c r="BV11" s="65">
        <f t="shared" si="35"/>
        <v>40</v>
      </c>
      <c r="BW11" s="60">
        <v>253.16</v>
      </c>
      <c r="BX11" s="65">
        <f t="shared" si="36"/>
        <v>39.999999999992042</v>
      </c>
      <c r="BY11" s="60">
        <v>84320</v>
      </c>
      <c r="BZ11" s="67">
        <f t="shared" si="37"/>
        <v>47</v>
      </c>
      <c r="CA11" s="60">
        <v>61116.7</v>
      </c>
      <c r="CB11" s="67">
        <f t="shared" si="38"/>
        <v>77.5</v>
      </c>
      <c r="CC11" s="60">
        <v>18516.5</v>
      </c>
      <c r="CD11" s="67">
        <f t="shared" si="39"/>
        <v>10.299999999999272</v>
      </c>
      <c r="CE11" s="60">
        <v>9015.2999999999993</v>
      </c>
      <c r="CF11" s="67">
        <f t="shared" si="40"/>
        <v>5.2999999999992724</v>
      </c>
      <c r="CG11" s="60">
        <v>85589.7</v>
      </c>
      <c r="CH11" s="67">
        <f t="shared" si="41"/>
        <v>53.599999999991269</v>
      </c>
      <c r="CI11" s="60">
        <v>1116433</v>
      </c>
      <c r="CJ11" s="67">
        <f t="shared" si="42"/>
        <v>286</v>
      </c>
      <c r="CK11" s="60">
        <v>1205.5999999999999</v>
      </c>
      <c r="CL11" s="64">
        <f t="shared" si="43"/>
        <v>1099.9999999999091</v>
      </c>
      <c r="CM11" s="65">
        <f t="shared" si="50"/>
        <v>111</v>
      </c>
      <c r="CN11" s="62">
        <v>33</v>
      </c>
      <c r="CO11" s="62">
        <v>86</v>
      </c>
      <c r="CP11" s="68">
        <v>51757</v>
      </c>
      <c r="CQ11" s="67">
        <f t="shared" si="51"/>
        <v>90</v>
      </c>
      <c r="CR11" s="68">
        <v>27246</v>
      </c>
      <c r="CS11" s="67">
        <f t="shared" si="44"/>
        <v>21</v>
      </c>
      <c r="CT11" s="75">
        <v>12785</v>
      </c>
      <c r="CU11" s="67">
        <f t="shared" si="45"/>
        <v>18</v>
      </c>
      <c r="CV11" s="68">
        <v>31290</v>
      </c>
      <c r="CW11" s="67">
        <f t="shared" si="46"/>
        <v>42</v>
      </c>
      <c r="CX11" s="58">
        <v>5685.4</v>
      </c>
      <c r="CY11" s="67">
        <f t="shared" si="47"/>
        <v>8.2999999999992724</v>
      </c>
    </row>
    <row r="12" spans="1:103" ht="25.5" customHeight="1" thickBot="1" x14ac:dyDescent="0.45">
      <c r="A12" s="63">
        <v>44935</v>
      </c>
      <c r="B12" s="44"/>
      <c r="C12" s="58">
        <v>3.8206000000000002</v>
      </c>
      <c r="D12" s="64">
        <f t="shared" si="0"/>
        <v>3600.0000000000477</v>
      </c>
      <c r="E12" s="58">
        <v>5.0654000000000003</v>
      </c>
      <c r="F12" s="64">
        <f t="shared" si="1"/>
        <v>3400.0000000000696</v>
      </c>
      <c r="G12" s="58">
        <v>5.0838000000000001</v>
      </c>
      <c r="H12" s="64">
        <f t="shared" si="2"/>
        <v>4000.0000000004475</v>
      </c>
      <c r="I12" s="58">
        <v>2.512</v>
      </c>
      <c r="J12" s="64">
        <f t="shared" si="3"/>
        <v>1799.9999999998017</v>
      </c>
      <c r="K12" s="58">
        <v>3.8622000000000001</v>
      </c>
      <c r="L12" s="64">
        <f t="shared" si="48"/>
        <v>2699.9999999999245</v>
      </c>
      <c r="M12" s="58">
        <v>2.3319000000000001</v>
      </c>
      <c r="N12" s="64">
        <f t="shared" si="49"/>
        <v>2000.0000000002237</v>
      </c>
      <c r="O12" s="58">
        <v>27870</v>
      </c>
      <c r="P12" s="67">
        <f t="shared" si="6"/>
        <v>18</v>
      </c>
      <c r="Q12" s="58">
        <v>3475</v>
      </c>
      <c r="R12" s="67">
        <f t="shared" si="7"/>
        <v>5</v>
      </c>
      <c r="S12" s="58">
        <v>1649.9</v>
      </c>
      <c r="T12" s="67">
        <f t="shared" si="8"/>
        <v>1400.0000000000909</v>
      </c>
      <c r="U12" s="58">
        <v>651452.9</v>
      </c>
      <c r="V12" s="67">
        <f t="shared" si="9"/>
        <v>526.80000000004657</v>
      </c>
      <c r="W12" s="58">
        <v>588.37</v>
      </c>
      <c r="X12" s="65">
        <f t="shared" si="10"/>
        <v>350.00000000002274</v>
      </c>
      <c r="Y12" s="58">
        <v>4.4679000000000002</v>
      </c>
      <c r="Z12" s="65">
        <f t="shared" si="11"/>
        <v>3099.9999999998809</v>
      </c>
      <c r="AA12" s="58">
        <v>595.99</v>
      </c>
      <c r="AB12" s="65">
        <f t="shared" si="12"/>
        <v>389.99999999998636</v>
      </c>
      <c r="AC12" s="58">
        <v>599.53</v>
      </c>
      <c r="AD12" s="65">
        <f t="shared" si="13"/>
        <v>439.99999999994088</v>
      </c>
      <c r="AE12" s="58">
        <v>953.99</v>
      </c>
      <c r="AF12" s="65">
        <f t="shared" si="14"/>
        <v>970.00000000002728</v>
      </c>
      <c r="AG12" s="58">
        <v>26056</v>
      </c>
      <c r="AH12" s="67">
        <f t="shared" si="15"/>
        <v>48</v>
      </c>
      <c r="AI12" s="58">
        <v>1.0196000000000001</v>
      </c>
      <c r="AJ12" s="65">
        <f t="shared" si="16"/>
        <v>1000.0000000001119</v>
      </c>
      <c r="AK12" s="58">
        <v>338.17</v>
      </c>
      <c r="AL12" s="65">
        <f t="shared" si="17"/>
        <v>270.00000000003865</v>
      </c>
      <c r="AM12" s="58">
        <v>309.67</v>
      </c>
      <c r="AN12" s="65">
        <f t="shared" si="18"/>
        <v>180.00000000000682</v>
      </c>
      <c r="AO12" s="58">
        <v>299.85000000000002</v>
      </c>
      <c r="AP12" s="65">
        <f t="shared" si="19"/>
        <v>320.00000000005002</v>
      </c>
      <c r="AQ12" s="58">
        <v>353.1</v>
      </c>
      <c r="AR12" s="65">
        <f t="shared" si="20"/>
        <v>240.00000000000909</v>
      </c>
      <c r="AS12" s="58">
        <v>477.92</v>
      </c>
      <c r="AT12" s="65">
        <f t="shared" si="21"/>
        <v>340.00000000003183</v>
      </c>
      <c r="AU12" s="58">
        <v>384.5</v>
      </c>
      <c r="AV12" s="65">
        <f t="shared" si="22"/>
        <v>220.00000000002728</v>
      </c>
      <c r="AW12" s="58">
        <v>411.14</v>
      </c>
      <c r="AX12" s="65">
        <f t="shared" si="23"/>
        <v>149.99999999997726</v>
      </c>
      <c r="AY12" s="58">
        <v>445.93</v>
      </c>
      <c r="AZ12" s="65">
        <f t="shared" si="24"/>
        <v>220.00000000002728</v>
      </c>
      <c r="BA12" s="58">
        <v>463.99</v>
      </c>
      <c r="BB12" s="65">
        <f t="shared" si="25"/>
        <v>199.99999999998863</v>
      </c>
      <c r="BC12" s="58">
        <v>297.62</v>
      </c>
      <c r="BD12" s="65">
        <f t="shared" si="26"/>
        <v>170.00000000001592</v>
      </c>
      <c r="BE12" s="59">
        <v>60396</v>
      </c>
      <c r="BF12" s="67">
        <f t="shared" si="27"/>
        <v>66</v>
      </c>
      <c r="BG12" s="60">
        <v>257.08</v>
      </c>
      <c r="BH12" s="65">
        <f t="shared" si="28"/>
        <v>39.99999999996362</v>
      </c>
      <c r="BI12" s="60">
        <v>311.2</v>
      </c>
      <c r="BJ12" s="65">
        <f t="shared" si="29"/>
        <v>39.99999999996362</v>
      </c>
      <c r="BK12" s="60">
        <v>263.20999999999998</v>
      </c>
      <c r="BL12" s="65">
        <f t="shared" si="30"/>
        <v>69.999999999993179</v>
      </c>
      <c r="BM12" s="60">
        <v>246.98</v>
      </c>
      <c r="BN12" s="65">
        <f t="shared" si="31"/>
        <v>39.999999999992042</v>
      </c>
      <c r="BO12" s="60">
        <v>315.52</v>
      </c>
      <c r="BP12" s="65">
        <f t="shared" si="32"/>
        <v>39.99999999996362</v>
      </c>
      <c r="BQ12" s="60">
        <v>65336</v>
      </c>
      <c r="BR12" s="65">
        <f t="shared" si="33"/>
        <v>50</v>
      </c>
      <c r="BS12" s="60">
        <v>225.1</v>
      </c>
      <c r="BT12" s="65">
        <f t="shared" si="34"/>
        <v>49.999999999982947</v>
      </c>
      <c r="BU12" s="60">
        <v>62825</v>
      </c>
      <c r="BV12" s="65">
        <f t="shared" si="35"/>
        <v>51</v>
      </c>
      <c r="BW12" s="60">
        <v>253.2</v>
      </c>
      <c r="BX12" s="65">
        <f t="shared" si="36"/>
        <v>39.999999999992042</v>
      </c>
      <c r="BY12" s="60">
        <v>84370</v>
      </c>
      <c r="BZ12" s="67">
        <f t="shared" si="37"/>
        <v>50</v>
      </c>
      <c r="CA12" s="60">
        <v>61198.9</v>
      </c>
      <c r="CB12" s="67">
        <f t="shared" si="38"/>
        <v>82.200000000004366</v>
      </c>
      <c r="CC12" s="60">
        <v>18528.400000000001</v>
      </c>
      <c r="CD12" s="67">
        <f t="shared" si="39"/>
        <v>11.900000000001455</v>
      </c>
      <c r="CE12" s="60">
        <v>9017.2000000000007</v>
      </c>
      <c r="CF12" s="67">
        <f t="shared" si="40"/>
        <v>1.9000000000014552</v>
      </c>
      <c r="CG12" s="60">
        <v>85647</v>
      </c>
      <c r="CH12" s="67">
        <f t="shared" si="41"/>
        <v>57.30000000000291</v>
      </c>
      <c r="CI12" s="60">
        <v>1116764</v>
      </c>
      <c r="CJ12" s="67">
        <f t="shared" si="42"/>
        <v>331</v>
      </c>
      <c r="CK12" s="60">
        <v>1206.5999999999999</v>
      </c>
      <c r="CL12" s="64">
        <f t="shared" si="43"/>
        <v>1000</v>
      </c>
      <c r="CM12" s="65">
        <f t="shared" si="50"/>
        <v>109</v>
      </c>
      <c r="CN12" s="62">
        <v>34</v>
      </c>
      <c r="CO12" s="62">
        <v>82</v>
      </c>
      <c r="CP12" s="68">
        <v>51849</v>
      </c>
      <c r="CQ12" s="67">
        <f t="shared" si="51"/>
        <v>92</v>
      </c>
      <c r="CR12" s="68">
        <v>27263</v>
      </c>
      <c r="CS12" s="67">
        <f t="shared" si="44"/>
        <v>17</v>
      </c>
      <c r="CT12" s="75">
        <v>12806</v>
      </c>
      <c r="CU12" s="67">
        <f t="shared" si="45"/>
        <v>21</v>
      </c>
      <c r="CV12" s="68">
        <v>31329</v>
      </c>
      <c r="CW12" s="67">
        <f t="shared" si="46"/>
        <v>39</v>
      </c>
      <c r="CX12" s="58">
        <v>5698.9</v>
      </c>
      <c r="CY12" s="67">
        <f t="shared" si="47"/>
        <v>13.5</v>
      </c>
    </row>
    <row r="13" spans="1:103" ht="25.5" customHeight="1" thickBot="1" x14ac:dyDescent="0.45">
      <c r="A13" s="63">
        <v>44936</v>
      </c>
      <c r="B13" s="44"/>
      <c r="C13" s="58">
        <v>3.8241000000000001</v>
      </c>
      <c r="D13" s="64">
        <f t="shared" si="0"/>
        <v>3499.9999999998367</v>
      </c>
      <c r="E13" s="58">
        <v>5.0689000000000002</v>
      </c>
      <c r="F13" s="64">
        <f t="shared" si="1"/>
        <v>3499.9999999998367</v>
      </c>
      <c r="G13" s="58">
        <v>5.0879000000000003</v>
      </c>
      <c r="H13" s="64">
        <f t="shared" si="2"/>
        <v>4100.0000000002146</v>
      </c>
      <c r="I13" s="58">
        <v>2.5137</v>
      </c>
      <c r="J13" s="64">
        <f t="shared" si="3"/>
        <v>1700.0000000000348</v>
      </c>
      <c r="K13" s="58">
        <v>3.8649</v>
      </c>
      <c r="L13" s="64">
        <f t="shared" si="48"/>
        <v>2699.9999999999245</v>
      </c>
      <c r="M13" s="58">
        <v>2.3334999999999999</v>
      </c>
      <c r="N13" s="64">
        <f t="shared" si="49"/>
        <v>1599.9999999998238</v>
      </c>
      <c r="O13" s="58">
        <v>27885</v>
      </c>
      <c r="P13" s="67">
        <f t="shared" si="6"/>
        <v>15</v>
      </c>
      <c r="Q13" s="58">
        <v>3480</v>
      </c>
      <c r="R13" s="67">
        <f t="shared" si="7"/>
        <v>5</v>
      </c>
      <c r="S13" s="58">
        <v>1651.6</v>
      </c>
      <c r="T13" s="67">
        <f t="shared" si="8"/>
        <v>1699.9999999998181</v>
      </c>
      <c r="U13" s="58">
        <v>651986</v>
      </c>
      <c r="V13" s="67">
        <f t="shared" si="9"/>
        <v>533.09999999997672</v>
      </c>
      <c r="W13" s="58">
        <v>588.71</v>
      </c>
      <c r="X13" s="65">
        <f t="shared" si="10"/>
        <v>340.00000000003183</v>
      </c>
      <c r="Y13" s="58">
        <v>4.4710000000000001</v>
      </c>
      <c r="Z13" s="65">
        <f t="shared" si="11"/>
        <v>3099.9999999998809</v>
      </c>
      <c r="AA13" s="58">
        <v>596.25</v>
      </c>
      <c r="AB13" s="65">
        <f t="shared" si="12"/>
        <v>259.99999999999091</v>
      </c>
      <c r="AC13" s="58">
        <v>599.95000000000005</v>
      </c>
      <c r="AD13" s="65">
        <f t="shared" si="13"/>
        <v>420.00000000007276</v>
      </c>
      <c r="AE13" s="58">
        <v>954.89</v>
      </c>
      <c r="AF13" s="65">
        <f t="shared" si="14"/>
        <v>899.99999999997726</v>
      </c>
      <c r="AG13" s="58">
        <v>26104</v>
      </c>
      <c r="AH13" s="67">
        <f t="shared" si="15"/>
        <v>48</v>
      </c>
      <c r="AI13" s="58">
        <v>1.0206999999999999</v>
      </c>
      <c r="AJ13" s="65">
        <f t="shared" si="16"/>
        <v>1099.9999999998788</v>
      </c>
      <c r="AK13" s="58">
        <v>338.41</v>
      </c>
      <c r="AL13" s="65">
        <f t="shared" si="17"/>
        <v>240.00000000000909</v>
      </c>
      <c r="AM13" s="58">
        <v>309.83</v>
      </c>
      <c r="AN13" s="65">
        <f t="shared" si="18"/>
        <v>159.99999999996817</v>
      </c>
      <c r="AO13" s="58">
        <v>300.14</v>
      </c>
      <c r="AP13" s="65">
        <f t="shared" si="19"/>
        <v>289.99999999996362</v>
      </c>
      <c r="AQ13" s="58">
        <v>353.32</v>
      </c>
      <c r="AR13" s="65">
        <f t="shared" si="20"/>
        <v>219.99999999997044</v>
      </c>
      <c r="AS13" s="58">
        <v>478.28</v>
      </c>
      <c r="AT13" s="65">
        <f t="shared" si="21"/>
        <v>359.9999999999568</v>
      </c>
      <c r="AU13" s="58">
        <v>384.66</v>
      </c>
      <c r="AV13" s="65">
        <f t="shared" si="22"/>
        <v>160.00000000002501</v>
      </c>
      <c r="AW13" s="58">
        <v>411.29</v>
      </c>
      <c r="AX13" s="65">
        <f t="shared" si="23"/>
        <v>150.00000000003411</v>
      </c>
      <c r="AY13" s="58">
        <v>446.13</v>
      </c>
      <c r="AZ13" s="65">
        <f t="shared" si="24"/>
        <v>199.99999999998863</v>
      </c>
      <c r="BA13" s="58">
        <v>464.19</v>
      </c>
      <c r="BB13" s="65">
        <f t="shared" si="25"/>
        <v>199.99999999998863</v>
      </c>
      <c r="BC13" s="58">
        <v>297.77</v>
      </c>
      <c r="BD13" s="65">
        <f t="shared" si="26"/>
        <v>149.99999999997726</v>
      </c>
      <c r="BE13" s="59">
        <v>60466</v>
      </c>
      <c r="BF13" s="67">
        <f t="shared" si="27"/>
        <v>70</v>
      </c>
      <c r="BG13" s="60">
        <v>257.12</v>
      </c>
      <c r="BH13" s="65">
        <f t="shared" si="28"/>
        <v>40.000000000020464</v>
      </c>
      <c r="BI13" s="60">
        <v>311.24</v>
      </c>
      <c r="BJ13" s="65">
        <f t="shared" si="29"/>
        <v>40.000000000020464</v>
      </c>
      <c r="BK13" s="60">
        <v>263.29000000000002</v>
      </c>
      <c r="BL13" s="65">
        <f t="shared" si="30"/>
        <v>80.000000000040927</v>
      </c>
      <c r="BM13" s="60">
        <v>247.03</v>
      </c>
      <c r="BN13" s="65">
        <f t="shared" si="31"/>
        <v>50.000000000011369</v>
      </c>
      <c r="BO13" s="60">
        <v>315.56</v>
      </c>
      <c r="BP13" s="65">
        <f t="shared" si="32"/>
        <v>40.000000000020464</v>
      </c>
      <c r="BQ13" s="60">
        <v>65389</v>
      </c>
      <c r="BR13" s="65">
        <f t="shared" si="33"/>
        <v>53</v>
      </c>
      <c r="BS13" s="60">
        <v>225.16</v>
      </c>
      <c r="BT13" s="65">
        <f t="shared" si="34"/>
        <v>60.000000000002274</v>
      </c>
      <c r="BU13" s="60">
        <v>62874</v>
      </c>
      <c r="BV13" s="65">
        <f t="shared" si="35"/>
        <v>49</v>
      </c>
      <c r="BW13" s="60">
        <v>253.24</v>
      </c>
      <c r="BX13" s="65">
        <f t="shared" si="36"/>
        <v>40.000000000020464</v>
      </c>
      <c r="BY13" s="60">
        <v>84425</v>
      </c>
      <c r="BZ13" s="67">
        <f t="shared" si="37"/>
        <v>55</v>
      </c>
      <c r="CA13" s="60">
        <v>61255.5</v>
      </c>
      <c r="CB13" s="67">
        <f t="shared" si="38"/>
        <v>56.599999999998545</v>
      </c>
      <c r="CC13" s="60">
        <v>18540.7</v>
      </c>
      <c r="CD13" s="67">
        <f t="shared" si="39"/>
        <v>12.299999999999272</v>
      </c>
      <c r="CE13" s="60">
        <v>9020.9</v>
      </c>
      <c r="CF13" s="67">
        <f t="shared" si="40"/>
        <v>3.6999999999989086</v>
      </c>
      <c r="CG13" s="60">
        <v>85718.2</v>
      </c>
      <c r="CH13" s="67">
        <f t="shared" si="41"/>
        <v>71.19999999999709</v>
      </c>
      <c r="CI13" s="60">
        <v>1117089</v>
      </c>
      <c r="CJ13" s="67">
        <f t="shared" si="42"/>
        <v>325</v>
      </c>
      <c r="CK13" s="60">
        <v>1207.7</v>
      </c>
      <c r="CL13" s="64">
        <f t="shared" si="43"/>
        <v>1100.0000000001364</v>
      </c>
      <c r="CM13" s="65">
        <f t="shared" si="50"/>
        <v>122</v>
      </c>
      <c r="CN13" s="62">
        <v>34</v>
      </c>
      <c r="CO13" s="62">
        <v>82</v>
      </c>
      <c r="CP13" s="68">
        <v>51937</v>
      </c>
      <c r="CQ13" s="67">
        <f t="shared" si="51"/>
        <v>88</v>
      </c>
      <c r="CR13" s="68">
        <v>27297</v>
      </c>
      <c r="CS13" s="67">
        <f t="shared" si="44"/>
        <v>34</v>
      </c>
      <c r="CT13" s="75">
        <v>12825</v>
      </c>
      <c r="CU13" s="67">
        <f t="shared" si="45"/>
        <v>19</v>
      </c>
      <c r="CV13" s="68">
        <v>31355</v>
      </c>
      <c r="CW13" s="67">
        <f t="shared" si="46"/>
        <v>26</v>
      </c>
      <c r="CX13" s="58">
        <v>5711</v>
      </c>
      <c r="CY13" s="67">
        <f t="shared" si="47"/>
        <v>12.100000000000364</v>
      </c>
    </row>
    <row r="14" spans="1:103" ht="25.5" customHeight="1" thickBot="1" x14ac:dyDescent="0.45">
      <c r="A14" s="63">
        <v>44937</v>
      </c>
      <c r="B14" s="44"/>
      <c r="C14" s="58">
        <v>3.8275000000000001</v>
      </c>
      <c r="D14" s="64">
        <f t="shared" si="0"/>
        <v>3400.0000000000696</v>
      </c>
      <c r="E14" s="58">
        <v>5.0720999999999998</v>
      </c>
      <c r="F14" s="64">
        <f t="shared" si="1"/>
        <v>3199.9999999996476</v>
      </c>
      <c r="G14" s="58">
        <v>5.0922000000000001</v>
      </c>
      <c r="H14" s="64">
        <f t="shared" si="2"/>
        <v>4299.9999999997481</v>
      </c>
      <c r="I14" s="58">
        <v>2.5152999999999999</v>
      </c>
      <c r="J14" s="64">
        <f t="shared" si="3"/>
        <v>1599.9999999998238</v>
      </c>
      <c r="K14" s="58">
        <v>3.8675000000000002</v>
      </c>
      <c r="L14" s="64">
        <f t="shared" si="48"/>
        <v>2600.0000000001578</v>
      </c>
      <c r="M14" s="58">
        <v>2.3353000000000002</v>
      </c>
      <c r="N14" s="64">
        <f t="shared" si="49"/>
        <v>1800.0000000002458</v>
      </c>
      <c r="O14" s="58">
        <v>27900</v>
      </c>
      <c r="P14" s="67">
        <f t="shared" si="6"/>
        <v>15</v>
      </c>
      <c r="Q14" s="58">
        <v>3486</v>
      </c>
      <c r="R14" s="67">
        <f t="shared" si="7"/>
        <v>6</v>
      </c>
      <c r="S14" s="58">
        <v>1653.2</v>
      </c>
      <c r="T14" s="67">
        <f t="shared" si="8"/>
        <v>1600.0000000001364</v>
      </c>
      <c r="U14" s="58">
        <v>652526.69999999995</v>
      </c>
      <c r="V14" s="67">
        <f t="shared" si="9"/>
        <v>540.69999999995343</v>
      </c>
      <c r="W14" s="58">
        <v>589.05999999999995</v>
      </c>
      <c r="X14" s="65">
        <f t="shared" si="10"/>
        <v>349.99999999990905</v>
      </c>
      <c r="Y14" s="58">
        <v>4.4737999999999998</v>
      </c>
      <c r="Z14" s="65">
        <f t="shared" si="11"/>
        <v>2799.9999999996917</v>
      </c>
      <c r="AA14" s="58">
        <v>596.66999999999996</v>
      </c>
      <c r="AB14" s="65">
        <f t="shared" si="12"/>
        <v>419.99999999995907</v>
      </c>
      <c r="AC14" s="58">
        <v>600.37</v>
      </c>
      <c r="AD14" s="65">
        <f t="shared" si="13"/>
        <v>419.99999999995907</v>
      </c>
      <c r="AE14" s="58">
        <v>955.73</v>
      </c>
      <c r="AF14" s="65">
        <f t="shared" si="14"/>
        <v>840.00000000003183</v>
      </c>
      <c r="AG14" s="58">
        <v>26151</v>
      </c>
      <c r="AH14" s="67">
        <f t="shared" si="15"/>
        <v>47</v>
      </c>
      <c r="AI14" s="58">
        <v>1.0217000000000001</v>
      </c>
      <c r="AJ14" s="65">
        <f t="shared" si="16"/>
        <v>1000.0000000001119</v>
      </c>
      <c r="AK14" s="58">
        <v>338.63</v>
      </c>
      <c r="AL14" s="65">
        <f t="shared" si="17"/>
        <v>219.99999999997044</v>
      </c>
      <c r="AM14" s="58">
        <v>309.95999999999998</v>
      </c>
      <c r="AN14" s="65">
        <f t="shared" si="18"/>
        <v>129.99999999999545</v>
      </c>
      <c r="AO14" s="58">
        <v>300.43</v>
      </c>
      <c r="AP14" s="65">
        <f t="shared" si="19"/>
        <v>290.00000000002046</v>
      </c>
      <c r="AQ14" s="58">
        <v>353.55</v>
      </c>
      <c r="AR14" s="65">
        <f t="shared" si="20"/>
        <v>230.00000000001819</v>
      </c>
      <c r="AS14" s="58">
        <v>478.62</v>
      </c>
      <c r="AT14" s="65">
        <f t="shared" si="21"/>
        <v>340.00000000003183</v>
      </c>
      <c r="AU14" s="58">
        <v>384.81</v>
      </c>
      <c r="AV14" s="65">
        <f t="shared" si="22"/>
        <v>149.99999999997726</v>
      </c>
      <c r="AW14" s="58">
        <v>411.46</v>
      </c>
      <c r="AX14" s="65">
        <f t="shared" si="23"/>
        <v>169.99999999995907</v>
      </c>
      <c r="AY14" s="58">
        <v>446.35</v>
      </c>
      <c r="AZ14" s="65">
        <f t="shared" si="24"/>
        <v>220.00000000002728</v>
      </c>
      <c r="BA14" s="58">
        <v>464.37</v>
      </c>
      <c r="BB14" s="65">
        <f t="shared" si="25"/>
        <v>180.00000000000682</v>
      </c>
      <c r="BC14" s="58">
        <v>297.91000000000003</v>
      </c>
      <c r="BD14" s="65">
        <f t="shared" si="26"/>
        <v>140.0000000000432</v>
      </c>
      <c r="BE14" s="59">
        <v>60503</v>
      </c>
      <c r="BF14" s="67">
        <f t="shared" si="27"/>
        <v>37</v>
      </c>
      <c r="BG14" s="60">
        <v>257.16000000000003</v>
      </c>
      <c r="BH14" s="65">
        <f t="shared" si="28"/>
        <v>40.000000000020464</v>
      </c>
      <c r="BI14" s="60">
        <v>311.27999999999997</v>
      </c>
      <c r="BJ14" s="65">
        <f t="shared" si="29"/>
        <v>39.99999999996362</v>
      </c>
      <c r="BK14" s="60">
        <v>263.35000000000002</v>
      </c>
      <c r="BL14" s="65">
        <f t="shared" si="30"/>
        <v>60.000000000002274</v>
      </c>
      <c r="BM14" s="60">
        <v>247.07</v>
      </c>
      <c r="BN14" s="65">
        <f t="shared" si="31"/>
        <v>39.999999999992042</v>
      </c>
      <c r="BO14" s="60">
        <v>315.58999999999997</v>
      </c>
      <c r="BP14" s="65">
        <f t="shared" si="32"/>
        <v>29.999999999972715</v>
      </c>
      <c r="BQ14" s="60">
        <v>65431</v>
      </c>
      <c r="BR14" s="65">
        <f t="shared" si="33"/>
        <v>42</v>
      </c>
      <c r="BS14" s="60">
        <v>225.21</v>
      </c>
      <c r="BT14" s="65">
        <f t="shared" si="34"/>
        <v>50.000000000011369</v>
      </c>
      <c r="BU14" s="60">
        <v>62913</v>
      </c>
      <c r="BV14" s="65">
        <f t="shared" si="35"/>
        <v>39</v>
      </c>
      <c r="BW14" s="60">
        <v>253.28</v>
      </c>
      <c r="BX14" s="65">
        <f t="shared" si="36"/>
        <v>39.999999999992042</v>
      </c>
      <c r="BY14" s="60">
        <v>84476</v>
      </c>
      <c r="BZ14" s="67">
        <f t="shared" si="37"/>
        <v>51</v>
      </c>
      <c r="CA14" s="60">
        <v>61335.4</v>
      </c>
      <c r="CB14" s="67">
        <f t="shared" si="38"/>
        <v>79.900000000001455</v>
      </c>
      <c r="CC14" s="60">
        <v>18557.2</v>
      </c>
      <c r="CD14" s="67">
        <f t="shared" si="39"/>
        <v>16.5</v>
      </c>
      <c r="CE14" s="60">
        <v>9023.6</v>
      </c>
      <c r="CF14" s="67">
        <f t="shared" si="40"/>
        <v>2.7000000000007276</v>
      </c>
      <c r="CG14" s="60">
        <v>85765.4</v>
      </c>
      <c r="CH14" s="67">
        <f t="shared" si="41"/>
        <v>47.19999999999709</v>
      </c>
      <c r="CI14" s="60">
        <v>1117413</v>
      </c>
      <c r="CJ14" s="67">
        <f t="shared" si="42"/>
        <v>324</v>
      </c>
      <c r="CK14" s="60">
        <v>1208.7</v>
      </c>
      <c r="CL14" s="64">
        <f t="shared" si="43"/>
        <v>1000</v>
      </c>
      <c r="CM14" s="65">
        <f t="shared" si="50"/>
        <v>161</v>
      </c>
      <c r="CN14" s="62">
        <v>32</v>
      </c>
      <c r="CO14" s="62">
        <v>79</v>
      </c>
      <c r="CP14" s="68">
        <v>52034</v>
      </c>
      <c r="CQ14" s="67">
        <f t="shared" si="51"/>
        <v>97</v>
      </c>
      <c r="CR14" s="68">
        <v>27361</v>
      </c>
      <c r="CS14" s="67">
        <f t="shared" si="44"/>
        <v>64</v>
      </c>
      <c r="CT14" s="75">
        <v>12845</v>
      </c>
      <c r="CU14" s="67">
        <f t="shared" si="45"/>
        <v>20</v>
      </c>
      <c r="CV14" s="68">
        <v>31382</v>
      </c>
      <c r="CW14" s="67">
        <f t="shared" si="46"/>
        <v>27</v>
      </c>
      <c r="CX14" s="58">
        <v>5723.4</v>
      </c>
      <c r="CY14" s="67">
        <f t="shared" si="47"/>
        <v>12.399999999999636</v>
      </c>
    </row>
    <row r="15" spans="1:103" ht="25.5" customHeight="1" thickBot="1" x14ac:dyDescent="0.45">
      <c r="A15" s="63">
        <v>44938</v>
      </c>
      <c r="B15" s="44"/>
      <c r="C15" s="58">
        <v>3.8302999999999998</v>
      </c>
      <c r="D15" s="64">
        <f t="shared" si="0"/>
        <v>2799.9999999996917</v>
      </c>
      <c r="E15" s="58">
        <v>5.0753000000000004</v>
      </c>
      <c r="F15" s="64">
        <f t="shared" si="1"/>
        <v>3200.0000000005357</v>
      </c>
      <c r="G15" s="58">
        <v>5.0957999999999997</v>
      </c>
      <c r="H15" s="64">
        <f t="shared" si="2"/>
        <v>3599.9999999996035</v>
      </c>
      <c r="I15" s="58">
        <v>2.5167999999999999</v>
      </c>
      <c r="J15" s="64">
        <f t="shared" si="3"/>
        <v>1500.0000000000568</v>
      </c>
      <c r="K15" s="58">
        <v>3.8698000000000001</v>
      </c>
      <c r="L15" s="64">
        <f t="shared" si="48"/>
        <v>2299.9999999999686</v>
      </c>
      <c r="M15" s="58">
        <v>2.3367</v>
      </c>
      <c r="N15" s="64">
        <f t="shared" si="49"/>
        <v>1399.9999999998458</v>
      </c>
      <c r="O15" s="58">
        <v>27911</v>
      </c>
      <c r="P15" s="67">
        <f t="shared" si="6"/>
        <v>11</v>
      </c>
      <c r="Q15" s="58">
        <v>3490</v>
      </c>
      <c r="R15" s="67">
        <f>IF((Q15-Q14&lt;0), "",Q15-Q14)</f>
        <v>4</v>
      </c>
      <c r="S15" s="58">
        <v>1654.4</v>
      </c>
      <c r="T15" s="67">
        <f t="shared" si="8"/>
        <v>1200.0000000000455</v>
      </c>
      <c r="U15" s="58">
        <v>652922.30000000005</v>
      </c>
      <c r="V15" s="67">
        <f t="shared" si="9"/>
        <v>395.60000000009313</v>
      </c>
      <c r="W15" s="58">
        <v>589.37</v>
      </c>
      <c r="X15" s="65">
        <f t="shared" si="10"/>
        <v>310.00000000005912</v>
      </c>
      <c r="Y15" s="58">
        <v>4.4767000000000001</v>
      </c>
      <c r="Z15" s="65">
        <f t="shared" si="11"/>
        <v>2900.0000000003465</v>
      </c>
      <c r="AA15" s="58">
        <v>596.91999999999996</v>
      </c>
      <c r="AB15" s="65">
        <f t="shared" si="12"/>
        <v>250</v>
      </c>
      <c r="AC15" s="58">
        <v>600.67999999999995</v>
      </c>
      <c r="AD15" s="65">
        <f t="shared" si="13"/>
        <v>309.99999999994543</v>
      </c>
      <c r="AE15" s="58">
        <v>956.38</v>
      </c>
      <c r="AF15" s="65">
        <f t="shared" si="14"/>
        <v>649.99999999997726</v>
      </c>
      <c r="AG15" s="58">
        <v>26191</v>
      </c>
      <c r="AH15" s="67">
        <f t="shared" si="15"/>
        <v>40</v>
      </c>
      <c r="AI15" s="58">
        <v>1.0225</v>
      </c>
      <c r="AJ15" s="65">
        <f t="shared" si="16"/>
        <v>799.99999999991189</v>
      </c>
      <c r="AK15" s="58">
        <v>338.81</v>
      </c>
      <c r="AL15" s="65">
        <f t="shared" si="17"/>
        <v>180.00000000000682</v>
      </c>
      <c r="AM15" s="58">
        <v>310.08999999999997</v>
      </c>
      <c r="AN15" s="65">
        <f t="shared" si="18"/>
        <v>129.99999999999545</v>
      </c>
      <c r="AO15" s="58">
        <v>300.67</v>
      </c>
      <c r="AP15" s="65">
        <f t="shared" si="19"/>
        <v>240.00000000000909</v>
      </c>
      <c r="AQ15" s="58">
        <v>353.72</v>
      </c>
      <c r="AR15" s="65">
        <f t="shared" si="20"/>
        <v>170.00000000001592</v>
      </c>
      <c r="AS15" s="58">
        <v>478.9</v>
      </c>
      <c r="AT15" s="65">
        <f t="shared" si="21"/>
        <v>279.99999999997272</v>
      </c>
      <c r="AU15" s="58">
        <v>384.97</v>
      </c>
      <c r="AV15" s="65">
        <f t="shared" si="22"/>
        <v>160.00000000002501</v>
      </c>
      <c r="AW15" s="58">
        <v>411.58</v>
      </c>
      <c r="AX15" s="65">
        <f t="shared" si="23"/>
        <v>120.00000000000455</v>
      </c>
      <c r="AY15" s="58">
        <v>446.55</v>
      </c>
      <c r="AZ15" s="65">
        <f t="shared" si="24"/>
        <v>199.99999999998863</v>
      </c>
      <c r="BA15" s="58">
        <v>464.5</v>
      </c>
      <c r="BB15" s="65">
        <f t="shared" si="25"/>
        <v>129.99999999999545</v>
      </c>
      <c r="BC15" s="58">
        <v>298.01</v>
      </c>
      <c r="BD15" s="65">
        <f t="shared" si="26"/>
        <v>99.999999999965894</v>
      </c>
      <c r="BE15" s="59">
        <v>60522</v>
      </c>
      <c r="BF15" s="67">
        <f t="shared" si="27"/>
        <v>19</v>
      </c>
      <c r="BG15" s="60">
        <v>257.19</v>
      </c>
      <c r="BH15" s="65">
        <f t="shared" si="28"/>
        <v>29.999999999972715</v>
      </c>
      <c r="BI15" s="60">
        <v>311.32</v>
      </c>
      <c r="BJ15" s="65">
        <f t="shared" si="29"/>
        <v>40.000000000020464</v>
      </c>
      <c r="BK15" s="60">
        <v>263.39999999999998</v>
      </c>
      <c r="BL15" s="65">
        <f t="shared" si="30"/>
        <v>49.999999999954525</v>
      </c>
      <c r="BM15" s="60">
        <v>247.11</v>
      </c>
      <c r="BN15" s="65">
        <f t="shared" si="31"/>
        <v>40.000000000020464</v>
      </c>
      <c r="BO15" s="60">
        <v>315.62</v>
      </c>
      <c r="BP15" s="65">
        <f t="shared" si="32"/>
        <v>30.000000000029559</v>
      </c>
      <c r="BQ15" s="60">
        <v>65474</v>
      </c>
      <c r="BR15" s="65">
        <f t="shared" si="33"/>
        <v>43</v>
      </c>
      <c r="BS15" s="60">
        <v>225.25</v>
      </c>
      <c r="BT15" s="65">
        <f t="shared" si="34"/>
        <v>39.999999999992042</v>
      </c>
      <c r="BU15" s="60">
        <v>62948</v>
      </c>
      <c r="BV15" s="65">
        <f t="shared" si="35"/>
        <v>35</v>
      </c>
      <c r="BW15" s="60">
        <v>253.31</v>
      </c>
      <c r="BX15" s="65">
        <f t="shared" si="36"/>
        <v>30.000000000001137</v>
      </c>
      <c r="BY15" s="60">
        <v>84525</v>
      </c>
      <c r="BZ15" s="67">
        <f t="shared" si="37"/>
        <v>49</v>
      </c>
      <c r="CA15" s="60">
        <v>61423.5</v>
      </c>
      <c r="CB15" s="67">
        <f t="shared" si="38"/>
        <v>88.099999999998545</v>
      </c>
      <c r="CC15" s="60">
        <v>18584.400000000001</v>
      </c>
      <c r="CD15" s="67">
        <f t="shared" si="39"/>
        <v>27.200000000000728</v>
      </c>
      <c r="CE15" s="60">
        <v>9025.9</v>
      </c>
      <c r="CF15" s="67">
        <f t="shared" si="40"/>
        <v>2.2999999999992724</v>
      </c>
      <c r="CG15" s="60">
        <v>85818.6</v>
      </c>
      <c r="CH15" s="67">
        <f t="shared" si="41"/>
        <v>53.200000000011642</v>
      </c>
      <c r="CI15" s="60">
        <v>1117700</v>
      </c>
      <c r="CJ15" s="67">
        <f t="shared" si="42"/>
        <v>287</v>
      </c>
      <c r="CK15" s="60">
        <v>1209.9000000000001</v>
      </c>
      <c r="CL15" s="64">
        <f t="shared" si="43"/>
        <v>1200.0000000000455</v>
      </c>
      <c r="CM15" s="65">
        <f t="shared" si="50"/>
        <v>139</v>
      </c>
      <c r="CN15" s="62">
        <v>32</v>
      </c>
      <c r="CO15" s="62">
        <v>79</v>
      </c>
      <c r="CP15" s="68">
        <v>52123</v>
      </c>
      <c r="CQ15" s="67">
        <f t="shared" si="51"/>
        <v>89</v>
      </c>
      <c r="CR15" s="68">
        <v>27411</v>
      </c>
      <c r="CS15" s="67">
        <f t="shared" si="44"/>
        <v>50</v>
      </c>
      <c r="CT15" s="75">
        <v>12863</v>
      </c>
      <c r="CU15" s="67">
        <f t="shared" si="45"/>
        <v>18</v>
      </c>
      <c r="CV15" s="68">
        <v>31403</v>
      </c>
      <c r="CW15" s="67">
        <f t="shared" si="46"/>
        <v>21</v>
      </c>
      <c r="CX15" s="58">
        <v>5730.4</v>
      </c>
      <c r="CY15" s="67">
        <f t="shared" si="47"/>
        <v>7</v>
      </c>
    </row>
    <row r="16" spans="1:103" ht="25.5" customHeight="1" thickBot="1" x14ac:dyDescent="0.45">
      <c r="A16" s="63">
        <v>44939</v>
      </c>
      <c r="B16" s="44"/>
      <c r="C16" s="58">
        <v>3.8328000000000002</v>
      </c>
      <c r="D16" s="64">
        <f t="shared" si="0"/>
        <v>2500.0000000003906</v>
      </c>
      <c r="E16" s="58">
        <v>5.0782999999999996</v>
      </c>
      <c r="F16" s="64">
        <f t="shared" si="1"/>
        <v>2999.9999999992256</v>
      </c>
      <c r="G16" s="58">
        <v>5.0994999999999999</v>
      </c>
      <c r="H16" s="64">
        <f t="shared" si="2"/>
        <v>3700.0000000002588</v>
      </c>
      <c r="I16" s="58">
        <v>2.5182000000000002</v>
      </c>
      <c r="J16" s="64">
        <f>IF((I16-I15&lt;0), "0",(I16-I15)*1000000)</f>
        <v>1400.0000000002899</v>
      </c>
      <c r="K16" s="58">
        <v>3.8719000000000001</v>
      </c>
      <c r="L16" s="64">
        <f t="shared" si="48"/>
        <v>2099.9999999999909</v>
      </c>
      <c r="M16" s="58">
        <v>2.3380999999999998</v>
      </c>
      <c r="N16" s="64">
        <f t="shared" si="49"/>
        <v>1399.9999999998458</v>
      </c>
      <c r="O16" s="58">
        <v>27920</v>
      </c>
      <c r="P16" s="67">
        <f t="shared" si="6"/>
        <v>9</v>
      </c>
      <c r="Q16" s="58">
        <v>3492</v>
      </c>
      <c r="R16" s="67">
        <f t="shared" si="7"/>
        <v>2</v>
      </c>
      <c r="S16" s="58">
        <v>1655.8</v>
      </c>
      <c r="T16" s="67">
        <f t="shared" si="8"/>
        <v>1399.9999999998636</v>
      </c>
      <c r="U16" s="58">
        <v>653334.19999999995</v>
      </c>
      <c r="V16" s="67">
        <f t="shared" si="9"/>
        <v>411.89999999990687</v>
      </c>
      <c r="W16" s="58">
        <v>589.69000000000005</v>
      </c>
      <c r="X16" s="65">
        <f t="shared" si="10"/>
        <v>320.00000000005002</v>
      </c>
      <c r="Y16" s="58">
        <v>4.4794</v>
      </c>
      <c r="Z16" s="65">
        <f t="shared" si="11"/>
        <v>2699.9999999999245</v>
      </c>
      <c r="AA16" s="58">
        <v>597.32000000000005</v>
      </c>
      <c r="AB16" s="65">
        <f t="shared" si="12"/>
        <v>400.00000000009095</v>
      </c>
      <c r="AC16" s="58">
        <v>600.97</v>
      </c>
      <c r="AD16" s="65">
        <f t="shared" si="13"/>
        <v>290.00000000007731</v>
      </c>
      <c r="AE16" s="58">
        <v>957.02</v>
      </c>
      <c r="AF16" s="65">
        <f t="shared" si="14"/>
        <v>639.99999999998636</v>
      </c>
      <c r="AG16" s="58">
        <v>26236</v>
      </c>
      <c r="AH16" s="67">
        <f t="shared" si="15"/>
        <v>45</v>
      </c>
      <c r="AI16" s="58">
        <v>1.0232000000000001</v>
      </c>
      <c r="AJ16" s="65">
        <f t="shared" si="16"/>
        <v>700.00000000014495</v>
      </c>
      <c r="AK16" s="58">
        <v>338.96</v>
      </c>
      <c r="AL16" s="65">
        <f t="shared" si="17"/>
        <v>149.99999999997726</v>
      </c>
      <c r="AM16" s="58">
        <v>310.19</v>
      </c>
      <c r="AN16" s="65">
        <f t="shared" si="18"/>
        <v>100.00000000002274</v>
      </c>
      <c r="AO16" s="58">
        <v>300.86</v>
      </c>
      <c r="AP16" s="65">
        <f t="shared" si="19"/>
        <v>189.99999999999773</v>
      </c>
      <c r="AQ16" s="58">
        <v>353.89</v>
      </c>
      <c r="AR16" s="65">
        <f t="shared" si="20"/>
        <v>169.99999999995907</v>
      </c>
      <c r="AS16" s="58">
        <v>479.13</v>
      </c>
      <c r="AT16" s="65">
        <f t="shared" si="21"/>
        <v>230.00000000001819</v>
      </c>
      <c r="AU16" s="58">
        <v>385.08</v>
      </c>
      <c r="AV16" s="65">
        <f t="shared" si="22"/>
        <v>109.9999999999568</v>
      </c>
      <c r="AW16" s="58">
        <v>411.73</v>
      </c>
      <c r="AX16" s="65">
        <f t="shared" si="23"/>
        <v>150.00000000003411</v>
      </c>
      <c r="AY16" s="58">
        <v>446.74</v>
      </c>
      <c r="AZ16" s="65">
        <f t="shared" si="24"/>
        <v>189.99999999999773</v>
      </c>
      <c r="BA16" s="58">
        <v>464.6</v>
      </c>
      <c r="BB16" s="65">
        <f t="shared" si="25"/>
        <v>100.00000000002274</v>
      </c>
      <c r="BC16" s="58">
        <v>298.08</v>
      </c>
      <c r="BD16" s="65">
        <f t="shared" si="26"/>
        <v>69.999999999993179</v>
      </c>
      <c r="BE16" s="59">
        <v>60559</v>
      </c>
      <c r="BF16" s="67">
        <f t="shared" si="27"/>
        <v>37</v>
      </c>
      <c r="BG16" s="60">
        <v>257.22000000000003</v>
      </c>
      <c r="BH16" s="65">
        <f t="shared" si="28"/>
        <v>30.000000000029559</v>
      </c>
      <c r="BI16" s="60">
        <v>311.35000000000002</v>
      </c>
      <c r="BJ16" s="65">
        <f t="shared" si="29"/>
        <v>30.000000000029559</v>
      </c>
      <c r="BK16" s="60">
        <v>263.43</v>
      </c>
      <c r="BL16" s="65">
        <f t="shared" si="30"/>
        <v>30.000000000029559</v>
      </c>
      <c r="BM16" s="60">
        <v>247.14</v>
      </c>
      <c r="BN16" s="65">
        <f t="shared" si="31"/>
        <v>29.999999999972715</v>
      </c>
      <c r="BO16" s="60">
        <v>315.64999999999998</v>
      </c>
      <c r="BP16" s="65">
        <f t="shared" si="32"/>
        <v>29.999999999972715</v>
      </c>
      <c r="BQ16" s="60">
        <v>65507</v>
      </c>
      <c r="BR16" s="65">
        <f t="shared" si="33"/>
        <v>33</v>
      </c>
      <c r="BS16" s="60">
        <v>225.29</v>
      </c>
      <c r="BT16" s="65">
        <f t="shared" si="34"/>
        <v>39.999999999992042</v>
      </c>
      <c r="BU16" s="60">
        <v>62982</v>
      </c>
      <c r="BV16" s="65">
        <f t="shared" si="35"/>
        <v>34</v>
      </c>
      <c r="BW16" s="60">
        <v>253.34</v>
      </c>
      <c r="BX16" s="65">
        <f t="shared" si="36"/>
        <v>30.000000000001137</v>
      </c>
      <c r="BY16" s="60">
        <v>84565</v>
      </c>
      <c r="BZ16" s="67">
        <f t="shared" si="37"/>
        <v>40</v>
      </c>
      <c r="CA16" s="60">
        <v>61512.5</v>
      </c>
      <c r="CB16" s="67">
        <f t="shared" si="38"/>
        <v>89</v>
      </c>
      <c r="CC16" s="60">
        <v>18596</v>
      </c>
      <c r="CD16" s="67">
        <f t="shared" si="39"/>
        <v>11.599999999998545</v>
      </c>
      <c r="CE16" s="60">
        <v>9027.9</v>
      </c>
      <c r="CF16" s="67">
        <f t="shared" si="40"/>
        <v>2</v>
      </c>
      <c r="CG16" s="60">
        <v>85867</v>
      </c>
      <c r="CH16" s="67">
        <f t="shared" si="41"/>
        <v>48.399999999994179</v>
      </c>
      <c r="CI16" s="60">
        <v>1118006</v>
      </c>
      <c r="CJ16" s="67">
        <f t="shared" si="42"/>
        <v>306</v>
      </c>
      <c r="CK16" s="60">
        <v>1210.9000000000001</v>
      </c>
      <c r="CL16" s="64">
        <f t="shared" si="43"/>
        <v>1000</v>
      </c>
      <c r="CM16" s="65">
        <f t="shared" si="50"/>
        <v>154</v>
      </c>
      <c r="CN16" s="62">
        <v>32</v>
      </c>
      <c r="CO16" s="62">
        <v>79</v>
      </c>
      <c r="CP16" s="68">
        <v>52210</v>
      </c>
      <c r="CQ16" s="67">
        <f t="shared" si="51"/>
        <v>87</v>
      </c>
      <c r="CR16" s="68">
        <v>27478</v>
      </c>
      <c r="CS16" s="67">
        <f t="shared" si="44"/>
        <v>67</v>
      </c>
      <c r="CT16" s="75">
        <v>12882</v>
      </c>
      <c r="CU16" s="67">
        <f t="shared" si="45"/>
        <v>19</v>
      </c>
      <c r="CV16" s="68">
        <v>31423</v>
      </c>
      <c r="CW16" s="67">
        <f t="shared" si="46"/>
        <v>20</v>
      </c>
      <c r="CX16" s="58">
        <v>5734</v>
      </c>
      <c r="CY16" s="67">
        <f t="shared" si="47"/>
        <v>3.6000000000003638</v>
      </c>
    </row>
    <row r="17" spans="1:103" ht="25.5" customHeight="1" thickBot="1" x14ac:dyDescent="0.45">
      <c r="A17" s="63">
        <v>44940</v>
      </c>
      <c r="B17" s="44"/>
      <c r="C17" s="58">
        <v>3.8353999999999999</v>
      </c>
      <c r="D17" s="64">
        <f t="shared" si="0"/>
        <v>2599.9999999997135</v>
      </c>
      <c r="E17" s="58">
        <v>5.0815000000000001</v>
      </c>
      <c r="F17" s="64">
        <f t="shared" si="1"/>
        <v>3200.0000000005357</v>
      </c>
      <c r="G17" s="58">
        <v>5.1036999999999999</v>
      </c>
      <c r="H17" s="64">
        <f t="shared" si="2"/>
        <v>4199.9999999999818</v>
      </c>
      <c r="I17" s="58">
        <v>2.5196999999999998</v>
      </c>
      <c r="J17" s="64">
        <f t="shared" si="3"/>
        <v>1499.9999999996128</v>
      </c>
      <c r="K17" s="58">
        <v>3.8740000000000001</v>
      </c>
      <c r="L17" s="64">
        <f t="shared" si="48"/>
        <v>2099.9999999999909</v>
      </c>
      <c r="M17" s="58">
        <v>2.3395000000000001</v>
      </c>
      <c r="N17" s="64">
        <f t="shared" si="49"/>
        <v>1400.0000000002899</v>
      </c>
      <c r="O17" s="58">
        <v>27946</v>
      </c>
      <c r="P17" s="67">
        <f t="shared" si="6"/>
        <v>26</v>
      </c>
      <c r="Q17" s="58">
        <v>3496</v>
      </c>
      <c r="R17" s="67">
        <f t="shared" si="7"/>
        <v>4</v>
      </c>
      <c r="S17" s="58">
        <v>1657.6</v>
      </c>
      <c r="T17" s="67">
        <f t="shared" si="8"/>
        <v>1799.9999999999545</v>
      </c>
      <c r="U17" s="58">
        <v>654006.80000000005</v>
      </c>
      <c r="V17" s="67">
        <f t="shared" si="9"/>
        <v>672.60000000009313</v>
      </c>
      <c r="W17" s="58">
        <v>590.01</v>
      </c>
      <c r="X17" s="65">
        <f t="shared" si="10"/>
        <v>319.99999999993634</v>
      </c>
      <c r="Y17" s="58">
        <v>4.4825999999999997</v>
      </c>
      <c r="Z17" s="65">
        <f t="shared" si="11"/>
        <v>3199.9999999996476</v>
      </c>
      <c r="AA17" s="58">
        <v>597.57000000000005</v>
      </c>
      <c r="AB17" s="65">
        <f t="shared" si="12"/>
        <v>250</v>
      </c>
      <c r="AC17" s="58">
        <v>601.32000000000005</v>
      </c>
      <c r="AD17" s="65">
        <f t="shared" si="13"/>
        <v>350.00000000002274</v>
      </c>
      <c r="AE17" s="58">
        <v>957.79</v>
      </c>
      <c r="AF17" s="65">
        <f t="shared" si="14"/>
        <v>769.99999999998181</v>
      </c>
      <c r="AG17" s="58">
        <v>26286</v>
      </c>
      <c r="AH17" s="67">
        <f t="shared" si="15"/>
        <v>50</v>
      </c>
      <c r="AI17" s="58">
        <v>1.0242</v>
      </c>
      <c r="AJ17" s="65">
        <f t="shared" si="16"/>
        <v>999.99999999988984</v>
      </c>
      <c r="AK17" s="58">
        <v>339.14</v>
      </c>
      <c r="AL17" s="65">
        <f t="shared" si="17"/>
        <v>180.00000000000682</v>
      </c>
      <c r="AM17" s="58">
        <v>310.33</v>
      </c>
      <c r="AN17" s="65">
        <f t="shared" si="18"/>
        <v>139.99999999998636</v>
      </c>
      <c r="AO17" s="58">
        <v>301.11</v>
      </c>
      <c r="AP17" s="65">
        <f t="shared" si="19"/>
        <v>250</v>
      </c>
      <c r="AQ17" s="58">
        <v>354.07</v>
      </c>
      <c r="AR17" s="65">
        <f t="shared" si="20"/>
        <v>180.00000000000682</v>
      </c>
      <c r="AS17" s="58">
        <v>479.4</v>
      </c>
      <c r="AT17" s="65">
        <f t="shared" si="21"/>
        <v>269.99999999998181</v>
      </c>
      <c r="AU17" s="58">
        <v>385.2</v>
      </c>
      <c r="AV17" s="65">
        <f t="shared" si="22"/>
        <v>120.00000000000455</v>
      </c>
      <c r="AW17" s="58">
        <v>411.88</v>
      </c>
      <c r="AX17" s="65">
        <f t="shared" si="23"/>
        <v>149.99999999997726</v>
      </c>
      <c r="AY17" s="58">
        <v>446.97</v>
      </c>
      <c r="AZ17" s="65">
        <f t="shared" si="24"/>
        <v>230.00000000001819</v>
      </c>
      <c r="BA17" s="58">
        <v>464.75</v>
      </c>
      <c r="BB17" s="65">
        <f t="shared" si="25"/>
        <v>149.99999999997726</v>
      </c>
      <c r="BC17" s="58">
        <v>298.14</v>
      </c>
      <c r="BD17" s="65">
        <f t="shared" si="26"/>
        <v>60.000000000002274</v>
      </c>
      <c r="BE17" s="59">
        <v>60610</v>
      </c>
      <c r="BF17" s="67">
        <f t="shared" si="27"/>
        <v>51</v>
      </c>
      <c r="BG17" s="60">
        <v>257.25</v>
      </c>
      <c r="BH17" s="65">
        <f t="shared" si="28"/>
        <v>29.999999999972715</v>
      </c>
      <c r="BI17" s="60">
        <v>311.39</v>
      </c>
      <c r="BJ17" s="65">
        <f t="shared" si="29"/>
        <v>39.99999999996362</v>
      </c>
      <c r="BK17" s="60">
        <v>263.49</v>
      </c>
      <c r="BL17" s="65">
        <f t="shared" si="30"/>
        <v>60.000000000002274</v>
      </c>
      <c r="BM17" s="60">
        <v>247.18</v>
      </c>
      <c r="BN17" s="65">
        <f t="shared" si="31"/>
        <v>40.000000000020464</v>
      </c>
      <c r="BO17" s="60">
        <v>315.68</v>
      </c>
      <c r="BP17" s="65">
        <f t="shared" si="32"/>
        <v>30.000000000029559</v>
      </c>
      <c r="BQ17" s="60">
        <v>65550</v>
      </c>
      <c r="BR17" s="65">
        <f t="shared" si="33"/>
        <v>43</v>
      </c>
      <c r="BS17" s="60">
        <v>225.32</v>
      </c>
      <c r="BT17" s="65">
        <f t="shared" si="34"/>
        <v>30.000000000001137</v>
      </c>
      <c r="BU17" s="60">
        <v>63023</v>
      </c>
      <c r="BV17" s="65">
        <f t="shared" si="35"/>
        <v>41</v>
      </c>
      <c r="BW17" s="60">
        <v>253.38</v>
      </c>
      <c r="BX17" s="65">
        <f t="shared" si="36"/>
        <v>39.999999999992042</v>
      </c>
      <c r="BY17" s="60">
        <v>84613</v>
      </c>
      <c r="BZ17" s="67">
        <f t="shared" si="37"/>
        <v>48</v>
      </c>
      <c r="CA17" s="60">
        <v>61600.3</v>
      </c>
      <c r="CB17" s="67">
        <f t="shared" si="38"/>
        <v>87.80000000000291</v>
      </c>
      <c r="CC17" s="60">
        <v>18609.3</v>
      </c>
      <c r="CD17" s="67">
        <f t="shared" si="39"/>
        <v>13.299999999999272</v>
      </c>
      <c r="CE17" s="60">
        <v>9029.4</v>
      </c>
      <c r="CF17" s="67">
        <f t="shared" si="40"/>
        <v>1.5</v>
      </c>
      <c r="CG17" s="60">
        <v>85923.199999999997</v>
      </c>
      <c r="CH17" s="67">
        <f t="shared" si="41"/>
        <v>56.19999999999709</v>
      </c>
      <c r="CI17" s="60">
        <v>1118314</v>
      </c>
      <c r="CJ17" s="67">
        <f t="shared" si="42"/>
        <v>308</v>
      </c>
      <c r="CK17" s="60">
        <v>1212.0999999999999</v>
      </c>
      <c r="CL17" s="64">
        <f t="shared" si="43"/>
        <v>1199.9999999998181</v>
      </c>
      <c r="CM17" s="65">
        <f t="shared" si="50"/>
        <v>107</v>
      </c>
      <c r="CN17" s="62">
        <v>24</v>
      </c>
      <c r="CO17" s="62">
        <v>64</v>
      </c>
      <c r="CP17" s="68">
        <v>52296</v>
      </c>
      <c r="CQ17" s="67">
        <f t="shared" si="51"/>
        <v>86</v>
      </c>
      <c r="CR17" s="68">
        <v>27499</v>
      </c>
      <c r="CS17" s="67">
        <f t="shared" si="44"/>
        <v>21</v>
      </c>
      <c r="CT17" s="75">
        <v>12904</v>
      </c>
      <c r="CU17" s="67">
        <f t="shared" si="45"/>
        <v>22</v>
      </c>
      <c r="CV17" s="68">
        <v>31447</v>
      </c>
      <c r="CW17" s="67">
        <f t="shared" si="46"/>
        <v>24</v>
      </c>
      <c r="CX17" s="58">
        <v>5746.1</v>
      </c>
      <c r="CY17" s="67">
        <f t="shared" si="47"/>
        <v>12.100000000000364</v>
      </c>
    </row>
    <row r="18" spans="1:103" ht="25.5" customHeight="1" thickBot="1" x14ac:dyDescent="0.45">
      <c r="A18" s="63">
        <v>44941</v>
      </c>
      <c r="B18" s="44"/>
      <c r="C18" s="58">
        <v>3.8378999999999999</v>
      </c>
      <c r="D18" s="64">
        <f t="shared" si="0"/>
        <v>2499.9999999999468</v>
      </c>
      <c r="E18" s="58">
        <v>5.0846999999999998</v>
      </c>
      <c r="F18" s="64">
        <f t="shared" si="1"/>
        <v>3199.9999999996476</v>
      </c>
      <c r="G18" s="58">
        <v>5.1075999999999997</v>
      </c>
      <c r="H18" s="64">
        <f t="shared" si="2"/>
        <v>3899.9999999997926</v>
      </c>
      <c r="I18" s="58">
        <v>2.5211999999999999</v>
      </c>
      <c r="J18" s="64">
        <f t="shared" si="3"/>
        <v>1500.0000000000568</v>
      </c>
      <c r="K18" s="58">
        <v>3.8761000000000001</v>
      </c>
      <c r="L18" s="64">
        <f t="shared" si="48"/>
        <v>2099.9999999999909</v>
      </c>
      <c r="M18" s="58">
        <v>2.3408000000000002</v>
      </c>
      <c r="N18" s="64">
        <f t="shared" si="49"/>
        <v>1300.0000000000789</v>
      </c>
      <c r="O18" s="58">
        <v>28107</v>
      </c>
      <c r="P18" s="67">
        <f t="shared" si="6"/>
        <v>161</v>
      </c>
      <c r="Q18" s="58">
        <v>3498</v>
      </c>
      <c r="R18" s="67">
        <f t="shared" si="7"/>
        <v>2</v>
      </c>
      <c r="S18" s="58">
        <v>1659.1</v>
      </c>
      <c r="T18" s="67">
        <f t="shared" si="8"/>
        <v>1500</v>
      </c>
      <c r="U18" s="58">
        <v>654521.5</v>
      </c>
      <c r="V18" s="67">
        <f t="shared" si="9"/>
        <v>514.69999999995343</v>
      </c>
      <c r="W18" s="58">
        <v>590.27</v>
      </c>
      <c r="X18" s="65">
        <f t="shared" si="10"/>
        <v>259.99999999999091</v>
      </c>
      <c r="Y18" s="58">
        <v>4.4852999999999996</v>
      </c>
      <c r="Z18" s="65">
        <f t="shared" si="11"/>
        <v>2699.9999999999245</v>
      </c>
      <c r="AA18" s="58">
        <v>597.79999999999995</v>
      </c>
      <c r="AB18" s="65">
        <f t="shared" si="12"/>
        <v>229.9999999999045</v>
      </c>
      <c r="AC18" s="58">
        <v>601.57000000000005</v>
      </c>
      <c r="AD18" s="65">
        <f t="shared" si="13"/>
        <v>250</v>
      </c>
      <c r="AE18" s="58">
        <v>958.46</v>
      </c>
      <c r="AF18" s="65">
        <f t="shared" si="14"/>
        <v>670.00000000007276</v>
      </c>
      <c r="AG18" s="58">
        <v>26327</v>
      </c>
      <c r="AH18" s="67">
        <f t="shared" si="15"/>
        <v>41</v>
      </c>
      <c r="AI18" s="58">
        <v>1.0246999999999999</v>
      </c>
      <c r="AJ18" s="65">
        <f t="shared" si="16"/>
        <v>499.99999999994492</v>
      </c>
      <c r="AK18" s="58">
        <v>339.27</v>
      </c>
      <c r="AL18" s="65">
        <f t="shared" si="17"/>
        <v>129.99999999999545</v>
      </c>
      <c r="AM18" s="58">
        <v>310.43</v>
      </c>
      <c r="AN18" s="65">
        <f t="shared" si="18"/>
        <v>100.00000000002274</v>
      </c>
      <c r="AO18" s="58">
        <v>301.26</v>
      </c>
      <c r="AP18" s="65">
        <f t="shared" si="19"/>
        <v>149.99999999997726</v>
      </c>
      <c r="AQ18" s="58">
        <v>354.23</v>
      </c>
      <c r="AR18" s="65">
        <f t="shared" si="20"/>
        <v>160.00000000002501</v>
      </c>
      <c r="AS18" s="58">
        <v>479.65</v>
      </c>
      <c r="AT18" s="65">
        <f t="shared" si="21"/>
        <v>250</v>
      </c>
      <c r="AU18" s="58">
        <v>385.29</v>
      </c>
      <c r="AV18" s="65">
        <f t="shared" si="22"/>
        <v>90.000000000031832</v>
      </c>
      <c r="AW18" s="58">
        <v>412.01</v>
      </c>
      <c r="AX18" s="65">
        <f t="shared" si="23"/>
        <v>129.99999999999545</v>
      </c>
      <c r="AY18" s="58">
        <v>447.12</v>
      </c>
      <c r="AZ18" s="65">
        <f t="shared" si="24"/>
        <v>149.99999999997726</v>
      </c>
      <c r="BA18" s="58">
        <v>464.86</v>
      </c>
      <c r="BB18" s="65">
        <f t="shared" si="25"/>
        <v>110.00000000001364</v>
      </c>
      <c r="BC18" s="58">
        <v>298.2</v>
      </c>
      <c r="BD18" s="65">
        <f t="shared" si="26"/>
        <v>60.000000000002274</v>
      </c>
      <c r="BE18" s="59">
        <v>60648</v>
      </c>
      <c r="BF18" s="67">
        <f t="shared" si="27"/>
        <v>38</v>
      </c>
      <c r="BG18" s="60">
        <v>257.29000000000002</v>
      </c>
      <c r="BH18" s="65">
        <f t="shared" si="28"/>
        <v>40.000000000020464</v>
      </c>
      <c r="BI18" s="60">
        <v>311.42</v>
      </c>
      <c r="BJ18" s="65">
        <f t="shared" si="29"/>
        <v>30.000000000029559</v>
      </c>
      <c r="BK18" s="60">
        <v>263.56</v>
      </c>
      <c r="BL18" s="65">
        <f t="shared" si="30"/>
        <v>69.999999999993179</v>
      </c>
      <c r="BM18" s="60">
        <v>247.23</v>
      </c>
      <c r="BN18" s="65">
        <f t="shared" si="31"/>
        <v>49.999999999982947</v>
      </c>
      <c r="BO18" s="60">
        <v>315.72000000000003</v>
      </c>
      <c r="BP18" s="65">
        <f t="shared" si="32"/>
        <v>40.000000000020464</v>
      </c>
      <c r="BQ18" s="60">
        <v>65590</v>
      </c>
      <c r="BR18" s="65">
        <f t="shared" si="33"/>
        <v>40</v>
      </c>
      <c r="BS18" s="60">
        <v>225.36</v>
      </c>
      <c r="BT18" s="65">
        <f t="shared" si="34"/>
        <v>40.000000000020464</v>
      </c>
      <c r="BU18" s="60">
        <v>63063</v>
      </c>
      <c r="BV18" s="65">
        <f t="shared" si="35"/>
        <v>40</v>
      </c>
      <c r="BW18" s="60">
        <v>253.41</v>
      </c>
      <c r="BX18" s="65">
        <f t="shared" si="36"/>
        <v>30.000000000001137</v>
      </c>
      <c r="BY18" s="60">
        <v>84664</v>
      </c>
      <c r="BZ18" s="67">
        <f t="shared" si="37"/>
        <v>51</v>
      </c>
      <c r="CA18" s="60">
        <v>61681.1</v>
      </c>
      <c r="CB18" s="67">
        <f t="shared" si="38"/>
        <v>80.799999999995634</v>
      </c>
      <c r="CC18" s="60">
        <v>18630.900000000001</v>
      </c>
      <c r="CD18" s="67">
        <f t="shared" si="39"/>
        <v>21.600000000002183</v>
      </c>
      <c r="CE18" s="60">
        <v>9030</v>
      </c>
      <c r="CF18" s="67">
        <f t="shared" si="40"/>
        <v>0.6000000000003638</v>
      </c>
      <c r="CG18" s="60">
        <v>85991.6</v>
      </c>
      <c r="CH18" s="67">
        <f t="shared" si="41"/>
        <v>68.400000000008731</v>
      </c>
      <c r="CI18" s="60">
        <v>1118621</v>
      </c>
      <c r="CJ18" s="67">
        <f t="shared" si="42"/>
        <v>307</v>
      </c>
      <c r="CK18" s="60">
        <v>1213.0999999999999</v>
      </c>
      <c r="CL18" s="64">
        <f t="shared" si="43"/>
        <v>1000</v>
      </c>
      <c r="CM18" s="65">
        <f t="shared" si="50"/>
        <v>154</v>
      </c>
      <c r="CN18" s="62">
        <v>24</v>
      </c>
      <c r="CO18" s="62">
        <v>64</v>
      </c>
      <c r="CP18" s="68">
        <v>52379</v>
      </c>
      <c r="CQ18" s="67">
        <f t="shared" si="51"/>
        <v>83</v>
      </c>
      <c r="CR18" s="68">
        <v>27570</v>
      </c>
      <c r="CS18" s="67">
        <f t="shared" si="44"/>
        <v>71</v>
      </c>
      <c r="CT18" s="75">
        <v>12920</v>
      </c>
      <c r="CU18" s="67">
        <f t="shared" si="45"/>
        <v>16</v>
      </c>
      <c r="CV18" s="68">
        <v>31467</v>
      </c>
      <c r="CW18" s="67">
        <f t="shared" si="46"/>
        <v>20</v>
      </c>
      <c r="CX18" s="58">
        <v>5756.8</v>
      </c>
      <c r="CY18" s="67">
        <f t="shared" si="47"/>
        <v>10.699999999999818</v>
      </c>
    </row>
    <row r="19" spans="1:103" ht="25.5" customHeight="1" thickBot="1" x14ac:dyDescent="0.45">
      <c r="A19" s="63">
        <v>44942</v>
      </c>
      <c r="B19" s="44"/>
      <c r="C19" s="58">
        <v>3.8403999999999998</v>
      </c>
      <c r="D19" s="64">
        <f t="shared" si="0"/>
        <v>2499.9999999999468</v>
      </c>
      <c r="E19" s="58">
        <v>5.0877999999999997</v>
      </c>
      <c r="F19" s="64">
        <f t="shared" si="1"/>
        <v>3099.9999999998809</v>
      </c>
      <c r="G19" s="58">
        <v>5.1113</v>
      </c>
      <c r="H19" s="64">
        <f t="shared" si="2"/>
        <v>3700.0000000002588</v>
      </c>
      <c r="I19" s="58">
        <v>2.5228000000000002</v>
      </c>
      <c r="J19" s="64">
        <f t="shared" si="3"/>
        <v>1600.0000000002678</v>
      </c>
      <c r="K19" s="58">
        <v>3.8782999999999999</v>
      </c>
      <c r="L19" s="64">
        <f t="shared" si="48"/>
        <v>2199.9999999997576</v>
      </c>
      <c r="M19" s="58">
        <v>2.3422999999999998</v>
      </c>
      <c r="N19" s="64">
        <f t="shared" si="49"/>
        <v>1499.9999999996128</v>
      </c>
      <c r="O19" s="58">
        <v>28143</v>
      </c>
      <c r="P19" s="67">
        <f t="shared" si="6"/>
        <v>36</v>
      </c>
      <c r="Q19" s="58">
        <v>3502</v>
      </c>
      <c r="R19" s="67">
        <f t="shared" si="7"/>
        <v>4</v>
      </c>
      <c r="S19" s="58">
        <v>1660.4</v>
      </c>
      <c r="T19" s="67">
        <f t="shared" si="8"/>
        <v>1300.0000000001819</v>
      </c>
      <c r="U19" s="58">
        <v>654999.19999999995</v>
      </c>
      <c r="V19" s="67">
        <f t="shared" si="9"/>
        <v>477.69999999995343</v>
      </c>
      <c r="W19" s="58">
        <v>590.52</v>
      </c>
      <c r="X19" s="65">
        <f t="shared" si="10"/>
        <v>250</v>
      </c>
      <c r="Y19" s="58">
        <v>4.4882</v>
      </c>
      <c r="Z19" s="65">
        <f t="shared" si="11"/>
        <v>2900.0000000003465</v>
      </c>
      <c r="AA19" s="58">
        <v>598.17999999999995</v>
      </c>
      <c r="AB19" s="65">
        <f t="shared" si="12"/>
        <v>379.99999999999545</v>
      </c>
      <c r="AC19" s="58">
        <v>601.87</v>
      </c>
      <c r="AD19" s="65">
        <f t="shared" si="13"/>
        <v>299.99999999995453</v>
      </c>
      <c r="AE19" s="58">
        <v>959.19</v>
      </c>
      <c r="AF19" s="65">
        <f t="shared" si="14"/>
        <v>730.00000000001819</v>
      </c>
      <c r="AG19" s="58">
        <v>26371</v>
      </c>
      <c r="AH19" s="67">
        <f t="shared" si="15"/>
        <v>44</v>
      </c>
      <c r="AI19" s="58">
        <v>1.0253000000000001</v>
      </c>
      <c r="AJ19" s="65">
        <f t="shared" si="16"/>
        <v>600.00000000015598</v>
      </c>
      <c r="AK19" s="58">
        <v>339.44</v>
      </c>
      <c r="AL19" s="65">
        <f t="shared" si="17"/>
        <v>170.00000000001592</v>
      </c>
      <c r="AM19" s="58">
        <v>310.57</v>
      </c>
      <c r="AN19" s="65">
        <f t="shared" si="18"/>
        <v>139.99999999998636</v>
      </c>
      <c r="AO19" s="58">
        <v>301.44</v>
      </c>
      <c r="AP19" s="65">
        <f t="shared" si="19"/>
        <v>180.00000000000682</v>
      </c>
      <c r="AQ19" s="58">
        <v>354.39</v>
      </c>
      <c r="AR19" s="65">
        <f t="shared" si="20"/>
        <v>159.99999999996817</v>
      </c>
      <c r="AS19" s="58">
        <v>479.95</v>
      </c>
      <c r="AT19" s="65">
        <f t="shared" si="21"/>
        <v>300.00000000001137</v>
      </c>
      <c r="AU19" s="58">
        <v>385.42</v>
      </c>
      <c r="AV19" s="65">
        <f t="shared" si="22"/>
        <v>129.99999999999545</v>
      </c>
      <c r="AW19" s="58">
        <v>412.18</v>
      </c>
      <c r="AX19" s="65">
        <f t="shared" si="23"/>
        <v>170.00000000001592</v>
      </c>
      <c r="AY19" s="58">
        <v>447.26</v>
      </c>
      <c r="AZ19" s="65">
        <f t="shared" si="24"/>
        <v>139.99999999998636</v>
      </c>
      <c r="BA19" s="58">
        <v>465</v>
      </c>
      <c r="BB19" s="65">
        <f t="shared" si="25"/>
        <v>139.99999999998636</v>
      </c>
      <c r="BC19" s="58">
        <v>298.26</v>
      </c>
      <c r="BD19" s="65">
        <f t="shared" si="26"/>
        <v>60.000000000002274</v>
      </c>
      <c r="BE19" s="59">
        <v>60697</v>
      </c>
      <c r="BF19" s="67">
        <f t="shared" si="27"/>
        <v>49</v>
      </c>
      <c r="BG19" s="60">
        <v>257.33</v>
      </c>
      <c r="BH19" s="65">
        <f t="shared" si="28"/>
        <v>39.99999999996362</v>
      </c>
      <c r="BI19" s="60">
        <v>311.47000000000003</v>
      </c>
      <c r="BJ19" s="65">
        <f t="shared" si="29"/>
        <v>50.000000000011369</v>
      </c>
      <c r="BK19" s="60">
        <v>263.63</v>
      </c>
      <c r="BL19" s="65">
        <f t="shared" si="30"/>
        <v>69.999999999993179</v>
      </c>
      <c r="BM19" s="60">
        <v>247.27</v>
      </c>
      <c r="BN19" s="65">
        <f t="shared" si="31"/>
        <v>40.000000000020464</v>
      </c>
      <c r="BO19" s="60">
        <v>315.76</v>
      </c>
      <c r="BP19" s="65">
        <f t="shared" si="32"/>
        <v>39.99999999996362</v>
      </c>
      <c r="BQ19" s="60">
        <v>65639</v>
      </c>
      <c r="BR19" s="65">
        <f t="shared" si="33"/>
        <v>49</v>
      </c>
      <c r="BS19" s="60">
        <v>225.39</v>
      </c>
      <c r="BT19" s="65">
        <f t="shared" si="34"/>
        <v>29.999999999972715</v>
      </c>
      <c r="BU19" s="60">
        <v>63106</v>
      </c>
      <c r="BV19" s="65">
        <f t="shared" si="35"/>
        <v>43</v>
      </c>
      <c r="BW19" s="60">
        <v>253.46</v>
      </c>
      <c r="BX19" s="65">
        <f t="shared" si="36"/>
        <v>50.000000000011369</v>
      </c>
      <c r="BY19" s="60">
        <v>84720</v>
      </c>
      <c r="BZ19" s="67">
        <f t="shared" si="37"/>
        <v>56</v>
      </c>
      <c r="CA19" s="60">
        <v>61774.8</v>
      </c>
      <c r="CB19" s="67">
        <f t="shared" si="38"/>
        <v>93.700000000004366</v>
      </c>
      <c r="CC19" s="60">
        <v>18655.7</v>
      </c>
      <c r="CD19" s="67">
        <f t="shared" si="39"/>
        <v>24.799999999999272</v>
      </c>
      <c r="CE19" s="60">
        <v>9035.2999999999993</v>
      </c>
      <c r="CF19" s="67">
        <f t="shared" si="40"/>
        <v>5.2999999999992724</v>
      </c>
      <c r="CG19" s="60">
        <v>86051.9</v>
      </c>
      <c r="CH19" s="67">
        <f t="shared" si="41"/>
        <v>60.299999999988358</v>
      </c>
      <c r="CI19" s="60">
        <v>1118943</v>
      </c>
      <c r="CJ19" s="67">
        <f t="shared" si="42"/>
        <v>322</v>
      </c>
      <c r="CK19" s="60">
        <v>1214.3</v>
      </c>
      <c r="CL19" s="64">
        <f t="shared" si="43"/>
        <v>1200.0000000000455</v>
      </c>
      <c r="CM19" s="65">
        <f t="shared" si="50"/>
        <v>121.29999999999927</v>
      </c>
      <c r="CN19" s="62">
        <v>17</v>
      </c>
      <c r="CO19" s="62">
        <v>42</v>
      </c>
      <c r="CP19" s="68">
        <v>52465</v>
      </c>
      <c r="CQ19" s="67">
        <f t="shared" si="51"/>
        <v>86</v>
      </c>
      <c r="CR19" s="68">
        <v>27605.3</v>
      </c>
      <c r="CS19" s="67">
        <f t="shared" si="44"/>
        <v>35.299999999999272</v>
      </c>
      <c r="CT19" s="75">
        <v>12935</v>
      </c>
      <c r="CU19" s="67">
        <f t="shared" si="45"/>
        <v>15</v>
      </c>
      <c r="CV19" s="68">
        <v>31491</v>
      </c>
      <c r="CW19" s="67">
        <f t="shared" si="46"/>
        <v>24</v>
      </c>
      <c r="CX19" s="58">
        <v>5768.3</v>
      </c>
      <c r="CY19" s="67">
        <f t="shared" si="47"/>
        <v>11.5</v>
      </c>
    </row>
    <row r="20" spans="1:103" ht="25.5" customHeight="1" thickBot="1" x14ac:dyDescent="0.45">
      <c r="A20" s="63">
        <v>44943</v>
      </c>
      <c r="B20" s="44"/>
      <c r="C20" s="58">
        <v>3.8428</v>
      </c>
      <c r="D20" s="64">
        <f t="shared" si="0"/>
        <v>2400.0000000001796</v>
      </c>
      <c r="E20" s="58">
        <v>5.0907</v>
      </c>
      <c r="F20" s="64">
        <f t="shared" si="1"/>
        <v>2900.0000000003465</v>
      </c>
      <c r="G20" s="58">
        <v>5.1151</v>
      </c>
      <c r="H20" s="64">
        <f t="shared" si="2"/>
        <v>3800.0000000000255</v>
      </c>
      <c r="I20" s="58">
        <v>2.5244</v>
      </c>
      <c r="J20" s="64">
        <f t="shared" si="3"/>
        <v>1599.9999999998238</v>
      </c>
      <c r="K20" s="58">
        <v>3.8803999999999998</v>
      </c>
      <c r="L20" s="64">
        <f t="shared" si="48"/>
        <v>2099.9999999999909</v>
      </c>
      <c r="M20" s="58">
        <v>2.3435999999999999</v>
      </c>
      <c r="N20" s="64">
        <f t="shared" si="49"/>
        <v>1300.0000000000789</v>
      </c>
      <c r="O20" s="58">
        <v>28165</v>
      </c>
      <c r="P20" s="67">
        <f t="shared" si="6"/>
        <v>22</v>
      </c>
      <c r="Q20" s="58">
        <v>3506</v>
      </c>
      <c r="R20" s="67">
        <f t="shared" si="7"/>
        <v>4</v>
      </c>
      <c r="S20" s="58">
        <v>1661.9</v>
      </c>
      <c r="T20" s="67">
        <f t="shared" si="8"/>
        <v>1500</v>
      </c>
      <c r="U20" s="58">
        <v>655468</v>
      </c>
      <c r="V20" s="67">
        <f t="shared" si="9"/>
        <v>468.80000000004657</v>
      </c>
      <c r="W20" s="58">
        <v>590.83000000000004</v>
      </c>
      <c r="X20" s="65">
        <f t="shared" si="10"/>
        <v>310.00000000005912</v>
      </c>
      <c r="Y20" s="58">
        <v>4.4907000000000004</v>
      </c>
      <c r="Z20" s="65">
        <f t="shared" si="11"/>
        <v>2500.0000000003906</v>
      </c>
      <c r="AA20" s="58">
        <v>598.41999999999996</v>
      </c>
      <c r="AB20" s="65">
        <f t="shared" si="12"/>
        <v>240.00000000000909</v>
      </c>
      <c r="AC20" s="58">
        <v>602.15</v>
      </c>
      <c r="AD20" s="65">
        <f t="shared" si="13"/>
        <v>279.99999999997272</v>
      </c>
      <c r="AE20" s="58">
        <v>959.83</v>
      </c>
      <c r="AF20" s="65">
        <f t="shared" si="14"/>
        <v>639.99999999998636</v>
      </c>
      <c r="AG20" s="58">
        <v>26415</v>
      </c>
      <c r="AH20" s="67">
        <f t="shared" si="15"/>
        <v>44</v>
      </c>
      <c r="AI20" s="58">
        <v>1.0259</v>
      </c>
      <c r="AJ20" s="65">
        <f t="shared" si="16"/>
        <v>599.99999999993395</v>
      </c>
      <c r="AK20" s="58">
        <v>339.61</v>
      </c>
      <c r="AL20" s="65">
        <f t="shared" si="17"/>
        <v>170.00000000001592</v>
      </c>
      <c r="AM20" s="58">
        <v>310.73</v>
      </c>
      <c r="AN20" s="65">
        <f t="shared" si="18"/>
        <v>160.00000000002501</v>
      </c>
      <c r="AO20" s="58">
        <v>301.62</v>
      </c>
      <c r="AP20" s="65">
        <f t="shared" si="19"/>
        <v>180.00000000000682</v>
      </c>
      <c r="AQ20" s="58">
        <v>354.55</v>
      </c>
      <c r="AR20" s="65">
        <f t="shared" si="20"/>
        <v>160.00000000002501</v>
      </c>
      <c r="AS20" s="58">
        <v>480.29</v>
      </c>
      <c r="AT20" s="65">
        <f t="shared" si="21"/>
        <v>340.00000000003183</v>
      </c>
      <c r="AU20" s="58">
        <v>385.52</v>
      </c>
      <c r="AV20" s="65">
        <f t="shared" si="22"/>
        <v>99.999999999965894</v>
      </c>
      <c r="AW20" s="58">
        <v>412.34</v>
      </c>
      <c r="AX20" s="65">
        <f t="shared" si="23"/>
        <v>159.99999999996817</v>
      </c>
      <c r="AY20" s="58">
        <v>447.38</v>
      </c>
      <c r="AZ20" s="65">
        <f t="shared" si="24"/>
        <v>120.00000000000455</v>
      </c>
      <c r="BA20" s="58">
        <v>465.12</v>
      </c>
      <c r="BB20" s="65">
        <f t="shared" si="25"/>
        <v>120.00000000000455</v>
      </c>
      <c r="BC20" s="58">
        <v>298.33</v>
      </c>
      <c r="BD20" s="65">
        <f t="shared" si="26"/>
        <v>69.999999999993179</v>
      </c>
      <c r="BE20" s="59">
        <v>60750</v>
      </c>
      <c r="BF20" s="67">
        <f t="shared" si="27"/>
        <v>53</v>
      </c>
      <c r="BG20" s="60">
        <v>257.36</v>
      </c>
      <c r="BH20" s="65">
        <f t="shared" si="28"/>
        <v>30.000000000029559</v>
      </c>
      <c r="BI20" s="60">
        <v>311.51</v>
      </c>
      <c r="BJ20" s="65">
        <f t="shared" si="29"/>
        <v>39.99999999996362</v>
      </c>
      <c r="BK20" s="60">
        <v>263.7</v>
      </c>
      <c r="BL20" s="65">
        <f t="shared" si="30"/>
        <v>69.999999999993179</v>
      </c>
      <c r="BM20" s="60">
        <v>247.31</v>
      </c>
      <c r="BN20" s="65">
        <f t="shared" si="31"/>
        <v>39.999999999992042</v>
      </c>
      <c r="BO20" s="60">
        <v>315.8</v>
      </c>
      <c r="BP20" s="65">
        <f t="shared" si="32"/>
        <v>40.000000000020464</v>
      </c>
      <c r="BQ20" s="60">
        <v>65686</v>
      </c>
      <c r="BR20" s="65">
        <f t="shared" si="33"/>
        <v>47</v>
      </c>
      <c r="BS20" s="60">
        <v>225.43</v>
      </c>
      <c r="BT20" s="65">
        <f t="shared" si="34"/>
        <v>40.000000000020464</v>
      </c>
      <c r="BU20" s="60">
        <v>63142</v>
      </c>
      <c r="BV20" s="65">
        <f t="shared" si="35"/>
        <v>36</v>
      </c>
      <c r="BW20" s="60">
        <v>253.5</v>
      </c>
      <c r="BX20" s="65">
        <f t="shared" si="36"/>
        <v>39.999999999992042</v>
      </c>
      <c r="BY20" s="60">
        <v>84775</v>
      </c>
      <c r="BZ20" s="67">
        <f t="shared" si="37"/>
        <v>55</v>
      </c>
      <c r="CA20" s="60">
        <v>61859</v>
      </c>
      <c r="CB20" s="67">
        <f t="shared" si="38"/>
        <v>84.19999999999709</v>
      </c>
      <c r="CC20" s="60">
        <v>18666.400000000001</v>
      </c>
      <c r="CD20" s="67">
        <f t="shared" si="39"/>
        <v>10.700000000000728</v>
      </c>
      <c r="CE20" s="60">
        <v>9035.9</v>
      </c>
      <c r="CF20" s="67">
        <f t="shared" si="40"/>
        <v>0.6000000000003638</v>
      </c>
      <c r="CG20" s="60">
        <v>86114.8</v>
      </c>
      <c r="CH20" s="67">
        <f t="shared" si="41"/>
        <v>62.900000000008731</v>
      </c>
      <c r="CI20" s="60">
        <v>1119252</v>
      </c>
      <c r="CJ20" s="67">
        <f t="shared" si="42"/>
        <v>309</v>
      </c>
      <c r="CK20" s="60">
        <v>1215.3</v>
      </c>
      <c r="CL20" s="64">
        <f t="shared" si="43"/>
        <v>1000</v>
      </c>
      <c r="CM20" s="65">
        <f t="shared" si="50"/>
        <v>100.79999999999927</v>
      </c>
      <c r="CN20" s="62">
        <v>17</v>
      </c>
      <c r="CO20" s="62">
        <v>42</v>
      </c>
      <c r="CP20" s="68">
        <v>52534</v>
      </c>
      <c r="CQ20" s="67">
        <f t="shared" si="51"/>
        <v>69</v>
      </c>
      <c r="CR20" s="68">
        <v>27637.1</v>
      </c>
      <c r="CS20" s="67">
        <f t="shared" si="44"/>
        <v>31.799999999999272</v>
      </c>
      <c r="CT20" s="75">
        <v>12952</v>
      </c>
      <c r="CU20" s="67">
        <f t="shared" si="45"/>
        <v>17</v>
      </c>
      <c r="CV20" s="68">
        <v>31511</v>
      </c>
      <c r="CW20" s="67">
        <f t="shared" si="46"/>
        <v>20</v>
      </c>
      <c r="CX20" s="58">
        <v>5779.4</v>
      </c>
      <c r="CY20" s="67">
        <f t="shared" si="47"/>
        <v>11.099999999999454</v>
      </c>
    </row>
    <row r="21" spans="1:103" ht="25.5" customHeight="1" thickBot="1" x14ac:dyDescent="0.45">
      <c r="A21" s="63">
        <v>44944</v>
      </c>
      <c r="B21" s="44"/>
      <c r="C21" s="58">
        <v>3.8452000000000002</v>
      </c>
      <c r="D21" s="64">
        <f t="shared" si="0"/>
        <v>2400.0000000001796</v>
      </c>
      <c r="E21" s="58">
        <v>5.0937000000000001</v>
      </c>
      <c r="F21" s="64">
        <f t="shared" si="1"/>
        <v>3000.0000000001137</v>
      </c>
      <c r="G21" s="58">
        <v>5.1186999999999996</v>
      </c>
      <c r="H21" s="64">
        <f t="shared" si="2"/>
        <v>3599.9999999996035</v>
      </c>
      <c r="I21" s="58">
        <v>2.5259999999999998</v>
      </c>
      <c r="J21" s="64">
        <f t="shared" si="3"/>
        <v>1599.9999999998238</v>
      </c>
      <c r="K21" s="58">
        <v>3.8824000000000001</v>
      </c>
      <c r="L21" s="64">
        <f t="shared" si="48"/>
        <v>2000.0000000002237</v>
      </c>
      <c r="M21" s="58">
        <v>2.3451</v>
      </c>
      <c r="N21" s="64">
        <f t="shared" si="49"/>
        <v>1500.0000000000568</v>
      </c>
      <c r="O21" s="58">
        <v>28183</v>
      </c>
      <c r="P21" s="67">
        <f t="shared" si="6"/>
        <v>18</v>
      </c>
      <c r="Q21" s="58">
        <v>3510</v>
      </c>
      <c r="R21" s="67">
        <f t="shared" si="7"/>
        <v>4</v>
      </c>
      <c r="S21" s="58">
        <v>1662.6</v>
      </c>
      <c r="T21" s="67">
        <f t="shared" si="8"/>
        <v>699.9999999998181</v>
      </c>
      <c r="U21" s="58">
        <v>655817.80000000005</v>
      </c>
      <c r="V21" s="67">
        <f t="shared" si="9"/>
        <v>349.80000000004657</v>
      </c>
      <c r="W21" s="58">
        <v>591.14</v>
      </c>
      <c r="X21" s="65">
        <f t="shared" si="10"/>
        <v>309.99999999994543</v>
      </c>
      <c r="Y21" s="58">
        <v>4.4935</v>
      </c>
      <c r="Z21" s="65">
        <f t="shared" si="11"/>
        <v>2799.9999999996917</v>
      </c>
      <c r="AA21" s="58">
        <v>598.75</v>
      </c>
      <c r="AB21" s="65">
        <f t="shared" si="12"/>
        <v>330.00000000004093</v>
      </c>
      <c r="AC21" s="58">
        <v>602.46</v>
      </c>
      <c r="AD21" s="65">
        <f t="shared" si="13"/>
        <v>310.00000000005912</v>
      </c>
      <c r="AE21" s="58">
        <v>960.56</v>
      </c>
      <c r="AF21" s="65">
        <f t="shared" si="14"/>
        <v>729.9999999999045</v>
      </c>
      <c r="AG21" s="58">
        <v>26458</v>
      </c>
      <c r="AH21" s="67">
        <f t="shared" si="15"/>
        <v>43</v>
      </c>
      <c r="AI21" s="58">
        <v>1.0265</v>
      </c>
      <c r="AJ21" s="65">
        <f t="shared" si="16"/>
        <v>599.99999999993395</v>
      </c>
      <c r="AK21" s="58">
        <v>339.79</v>
      </c>
      <c r="AL21" s="65">
        <f t="shared" si="17"/>
        <v>180.00000000000682</v>
      </c>
      <c r="AM21" s="58">
        <v>310.88</v>
      </c>
      <c r="AN21" s="65">
        <f t="shared" si="18"/>
        <v>149.99999999997726</v>
      </c>
      <c r="AO21" s="58">
        <v>301.83</v>
      </c>
      <c r="AP21" s="65">
        <f t="shared" si="19"/>
        <v>209.99999999997954</v>
      </c>
      <c r="AQ21" s="58">
        <v>354.74</v>
      </c>
      <c r="AR21" s="65">
        <f t="shared" si="20"/>
        <v>189.99999999999773</v>
      </c>
      <c r="AS21" s="58">
        <v>480.6</v>
      </c>
      <c r="AT21" s="65">
        <f t="shared" si="21"/>
        <v>310.00000000000227</v>
      </c>
      <c r="AU21" s="58">
        <v>385.61</v>
      </c>
      <c r="AV21" s="65">
        <f t="shared" si="22"/>
        <v>90.000000000031832</v>
      </c>
      <c r="AW21" s="58">
        <v>412.5</v>
      </c>
      <c r="AX21" s="65">
        <f t="shared" si="23"/>
        <v>160.00000000002501</v>
      </c>
      <c r="AY21" s="58">
        <v>447.51</v>
      </c>
      <c r="AZ21" s="65">
        <f t="shared" si="24"/>
        <v>129.99999999999545</v>
      </c>
      <c r="BA21" s="58">
        <v>465.26</v>
      </c>
      <c r="BB21" s="65">
        <f t="shared" si="25"/>
        <v>139.99999999998636</v>
      </c>
      <c r="BC21" s="58">
        <v>298.39</v>
      </c>
      <c r="BD21" s="65">
        <f t="shared" si="26"/>
        <v>60.000000000002274</v>
      </c>
      <c r="BE21" s="59">
        <v>60799</v>
      </c>
      <c r="BF21" s="67">
        <f t="shared" si="27"/>
        <v>49</v>
      </c>
      <c r="BG21" s="60">
        <v>257.41000000000003</v>
      </c>
      <c r="BH21" s="65">
        <f t="shared" si="28"/>
        <v>50.000000000011369</v>
      </c>
      <c r="BI21" s="60">
        <v>311.55</v>
      </c>
      <c r="BJ21" s="65">
        <f t="shared" si="29"/>
        <v>40.000000000020464</v>
      </c>
      <c r="BK21" s="60">
        <v>263.76</v>
      </c>
      <c r="BL21" s="65">
        <f t="shared" si="30"/>
        <v>60.000000000002274</v>
      </c>
      <c r="BM21" s="60">
        <v>247.35</v>
      </c>
      <c r="BN21" s="65">
        <f t="shared" si="31"/>
        <v>39.999999999992042</v>
      </c>
      <c r="BO21" s="60">
        <v>315.83</v>
      </c>
      <c r="BP21" s="65">
        <f t="shared" si="32"/>
        <v>29.999999999972715</v>
      </c>
      <c r="BQ21" s="60">
        <v>65731</v>
      </c>
      <c r="BR21" s="65">
        <f t="shared" si="33"/>
        <v>45</v>
      </c>
      <c r="BS21" s="60">
        <v>225.46</v>
      </c>
      <c r="BT21" s="65">
        <f t="shared" si="34"/>
        <v>30.000000000001137</v>
      </c>
      <c r="BU21" s="60">
        <v>63185</v>
      </c>
      <c r="BV21" s="65">
        <f t="shared" si="35"/>
        <v>43</v>
      </c>
      <c r="BW21" s="60">
        <v>253.54</v>
      </c>
      <c r="BX21" s="65">
        <f t="shared" si="36"/>
        <v>39.999999999992042</v>
      </c>
      <c r="BY21" s="60">
        <v>84826</v>
      </c>
      <c r="BZ21" s="67">
        <f t="shared" si="37"/>
        <v>51</v>
      </c>
      <c r="CA21" s="60">
        <v>61947.5</v>
      </c>
      <c r="CB21" s="67">
        <f t="shared" si="38"/>
        <v>88.5</v>
      </c>
      <c r="CC21" s="60">
        <v>18677.400000000001</v>
      </c>
      <c r="CD21" s="67">
        <f t="shared" si="39"/>
        <v>11</v>
      </c>
      <c r="CE21" s="60">
        <v>9039</v>
      </c>
      <c r="CF21" s="67">
        <f t="shared" si="40"/>
        <v>3.1000000000003638</v>
      </c>
      <c r="CG21" s="60">
        <v>86161.8</v>
      </c>
      <c r="CH21" s="67">
        <f t="shared" si="41"/>
        <v>47</v>
      </c>
      <c r="CI21" s="60">
        <v>1119571</v>
      </c>
      <c r="CJ21" s="67">
        <f t="shared" si="42"/>
        <v>319</v>
      </c>
      <c r="CK21" s="60">
        <v>1216.4000000000001</v>
      </c>
      <c r="CL21" s="64">
        <f t="shared" si="43"/>
        <v>1100.0000000001364</v>
      </c>
      <c r="CM21" s="65">
        <f t="shared" si="50"/>
        <v>107.10000000000218</v>
      </c>
      <c r="CN21" s="62">
        <v>17</v>
      </c>
      <c r="CO21" s="62">
        <v>42</v>
      </c>
      <c r="CP21" s="68">
        <v>52610</v>
      </c>
      <c r="CQ21" s="67">
        <f t="shared" si="51"/>
        <v>76</v>
      </c>
      <c r="CR21" s="68">
        <v>27668.2</v>
      </c>
      <c r="CS21" s="67">
        <f t="shared" si="44"/>
        <v>31.100000000002183</v>
      </c>
      <c r="CT21" s="75">
        <v>12970</v>
      </c>
      <c r="CU21" s="67">
        <f t="shared" si="45"/>
        <v>18</v>
      </c>
      <c r="CV21" s="68">
        <v>31531</v>
      </c>
      <c r="CW21" s="67">
        <f t="shared" si="46"/>
        <v>20</v>
      </c>
      <c r="CX21" s="58">
        <v>5790.4</v>
      </c>
      <c r="CY21" s="67">
        <f t="shared" si="47"/>
        <v>11</v>
      </c>
    </row>
    <row r="22" spans="1:103" ht="25.5" customHeight="1" thickBot="1" x14ac:dyDescent="0.45">
      <c r="A22" s="63">
        <v>44945</v>
      </c>
      <c r="B22" s="44"/>
      <c r="C22" s="58">
        <v>3.8481999999999998</v>
      </c>
      <c r="D22" s="64">
        <f t="shared" si="0"/>
        <v>2999.9999999996694</v>
      </c>
      <c r="E22" s="58">
        <v>5.0972</v>
      </c>
      <c r="F22" s="64">
        <f t="shared" si="1"/>
        <v>3499.9999999998367</v>
      </c>
      <c r="G22" s="58">
        <v>5.1223000000000001</v>
      </c>
      <c r="H22" s="64">
        <f t="shared" si="2"/>
        <v>3600.0000000004916</v>
      </c>
      <c r="I22" s="58">
        <v>2.5276999999999998</v>
      </c>
      <c r="J22" s="64">
        <f t="shared" si="3"/>
        <v>1700.0000000000348</v>
      </c>
      <c r="K22" s="58">
        <v>3.8845999999999998</v>
      </c>
      <c r="L22" s="64">
        <f t="shared" si="48"/>
        <v>2199.9999999997576</v>
      </c>
      <c r="M22" s="58">
        <v>2.3466999999999998</v>
      </c>
      <c r="N22" s="64">
        <f t="shared" si="49"/>
        <v>1599.9999999998238</v>
      </c>
      <c r="O22" s="58">
        <v>28219</v>
      </c>
      <c r="P22" s="67">
        <f t="shared" si="6"/>
        <v>36</v>
      </c>
      <c r="Q22" s="58">
        <v>3515</v>
      </c>
      <c r="R22" s="67">
        <f t="shared" si="7"/>
        <v>5</v>
      </c>
      <c r="S22" s="58">
        <v>1663.7</v>
      </c>
      <c r="T22" s="67">
        <f t="shared" si="8"/>
        <v>1100.0000000001364</v>
      </c>
      <c r="U22" s="58">
        <v>656271.80000000005</v>
      </c>
      <c r="V22" s="67">
        <f t="shared" si="9"/>
        <v>454</v>
      </c>
      <c r="W22" s="58">
        <v>591.49</v>
      </c>
      <c r="X22" s="65">
        <f t="shared" si="10"/>
        <v>350.00000000002274</v>
      </c>
      <c r="Y22" s="58">
        <v>4.4965999999999999</v>
      </c>
      <c r="Z22" s="65">
        <f t="shared" si="11"/>
        <v>3099.9999999998809</v>
      </c>
      <c r="AA22" s="58">
        <v>598.97</v>
      </c>
      <c r="AB22" s="65">
        <f t="shared" si="12"/>
        <v>220.00000000002728</v>
      </c>
      <c r="AC22" s="58">
        <v>602.86</v>
      </c>
      <c r="AD22" s="65">
        <f t="shared" si="13"/>
        <v>399.99999999997726</v>
      </c>
      <c r="AE22" s="58">
        <v>961.5</v>
      </c>
      <c r="AF22" s="65">
        <f t="shared" si="14"/>
        <v>940.00000000005457</v>
      </c>
      <c r="AG22" s="58">
        <v>26501</v>
      </c>
      <c r="AH22" s="67">
        <f t="shared" si="15"/>
        <v>43</v>
      </c>
      <c r="AI22" s="58">
        <v>1.0271999999999999</v>
      </c>
      <c r="AJ22" s="65">
        <f t="shared" si="16"/>
        <v>699.99999999992292</v>
      </c>
      <c r="AK22" s="58">
        <v>339.99</v>
      </c>
      <c r="AL22" s="65">
        <f t="shared" si="17"/>
        <v>199.99999999998863</v>
      </c>
      <c r="AM22" s="58">
        <v>311</v>
      </c>
      <c r="AN22" s="65">
        <f t="shared" si="18"/>
        <v>120.00000000000455</v>
      </c>
      <c r="AO22" s="58">
        <v>302.13</v>
      </c>
      <c r="AP22" s="65">
        <f t="shared" si="19"/>
        <v>300.00000000001137</v>
      </c>
      <c r="AQ22" s="58">
        <v>354.95</v>
      </c>
      <c r="AR22" s="65">
        <f t="shared" si="20"/>
        <v>209.99999999997954</v>
      </c>
      <c r="AS22" s="58">
        <v>480.99</v>
      </c>
      <c r="AT22" s="65">
        <f t="shared" si="21"/>
        <v>389.99999999998636</v>
      </c>
      <c r="AU22" s="58">
        <v>385.77</v>
      </c>
      <c r="AV22" s="65">
        <f t="shared" si="22"/>
        <v>159.99999999996817</v>
      </c>
      <c r="AW22" s="58">
        <v>412.67</v>
      </c>
      <c r="AX22" s="65">
        <f t="shared" si="23"/>
        <v>170.00000000001592</v>
      </c>
      <c r="AY22" s="58">
        <v>447.68</v>
      </c>
      <c r="AZ22" s="65">
        <f t="shared" si="24"/>
        <v>170.00000000001592</v>
      </c>
      <c r="BA22" s="58">
        <v>465.42</v>
      </c>
      <c r="BB22" s="65">
        <f t="shared" si="25"/>
        <v>160.00000000002501</v>
      </c>
      <c r="BC22" s="58">
        <v>298.48</v>
      </c>
      <c r="BD22" s="65">
        <f t="shared" si="26"/>
        <v>90.000000000031832</v>
      </c>
      <c r="BE22" s="59">
        <v>60829</v>
      </c>
      <c r="BF22" s="67">
        <f t="shared" si="27"/>
        <v>30</v>
      </c>
      <c r="BG22" s="60">
        <v>257.45</v>
      </c>
      <c r="BH22" s="65">
        <f t="shared" si="28"/>
        <v>39.99999999996362</v>
      </c>
      <c r="BI22" s="60">
        <v>311.58999999999997</v>
      </c>
      <c r="BJ22" s="65">
        <f t="shared" si="29"/>
        <v>39.99999999996362</v>
      </c>
      <c r="BK22" s="60">
        <v>263.82</v>
      </c>
      <c r="BL22" s="65">
        <f t="shared" si="30"/>
        <v>60.000000000002274</v>
      </c>
      <c r="BM22" s="60">
        <v>247.4</v>
      </c>
      <c r="BN22" s="65">
        <f t="shared" si="31"/>
        <v>50.000000000011369</v>
      </c>
      <c r="BO22" s="60">
        <v>315.87</v>
      </c>
      <c r="BP22" s="65">
        <f t="shared" si="32"/>
        <v>40.000000000020464</v>
      </c>
      <c r="BQ22" s="60">
        <v>65775</v>
      </c>
      <c r="BR22" s="65">
        <f t="shared" si="33"/>
        <v>44</v>
      </c>
      <c r="BS22" s="60">
        <v>225.51</v>
      </c>
      <c r="BT22" s="65">
        <f t="shared" si="34"/>
        <v>49.999999999982947</v>
      </c>
      <c r="BU22" s="60">
        <v>63228</v>
      </c>
      <c r="BV22" s="65">
        <f t="shared" si="35"/>
        <v>43</v>
      </c>
      <c r="BW22" s="60">
        <v>253.59</v>
      </c>
      <c r="BX22" s="65">
        <f t="shared" si="36"/>
        <v>50.000000000011369</v>
      </c>
      <c r="BY22" s="60">
        <v>84881</v>
      </c>
      <c r="BZ22" s="67">
        <f t="shared" si="37"/>
        <v>55</v>
      </c>
      <c r="CA22" s="60">
        <v>62020.7</v>
      </c>
      <c r="CB22" s="67">
        <f t="shared" si="38"/>
        <v>73.19999999999709</v>
      </c>
      <c r="CC22" s="60">
        <v>18685</v>
      </c>
      <c r="CD22" s="67">
        <f t="shared" si="39"/>
        <v>7.5999999999985448</v>
      </c>
      <c r="CE22" s="60">
        <v>9042.5</v>
      </c>
      <c r="CF22" s="67">
        <f t="shared" si="40"/>
        <v>3.5</v>
      </c>
      <c r="CG22" s="60">
        <v>86224.1</v>
      </c>
      <c r="CH22" s="67">
        <f t="shared" si="41"/>
        <v>62.30000000000291</v>
      </c>
      <c r="CI22" s="60">
        <v>1119914</v>
      </c>
      <c r="CJ22" s="67">
        <f t="shared" si="42"/>
        <v>343</v>
      </c>
      <c r="CK22" s="60">
        <v>1217.5</v>
      </c>
      <c r="CL22" s="64">
        <f t="shared" si="43"/>
        <v>1099.9999999999091</v>
      </c>
      <c r="CM22" s="65">
        <f t="shared" si="50"/>
        <v>104.59999999999854</v>
      </c>
      <c r="CN22" s="62">
        <v>24</v>
      </c>
      <c r="CO22" s="62">
        <v>54</v>
      </c>
      <c r="CP22" s="68">
        <v>52694</v>
      </c>
      <c r="CQ22" s="67">
        <f t="shared" si="51"/>
        <v>84</v>
      </c>
      <c r="CR22" s="68">
        <v>27688.799999999999</v>
      </c>
      <c r="CS22" s="67">
        <f t="shared" si="44"/>
        <v>20.599999999998545</v>
      </c>
      <c r="CT22" s="75">
        <v>12986</v>
      </c>
      <c r="CU22" s="67">
        <f t="shared" si="45"/>
        <v>16</v>
      </c>
      <c r="CV22" s="68">
        <v>31552</v>
      </c>
      <c r="CW22" s="67">
        <f t="shared" si="46"/>
        <v>21</v>
      </c>
      <c r="CX22" s="58">
        <v>5802.7</v>
      </c>
      <c r="CY22" s="67">
        <f t="shared" si="47"/>
        <v>12.300000000000182</v>
      </c>
    </row>
    <row r="23" spans="1:103" ht="25.5" customHeight="1" thickBot="1" x14ac:dyDescent="0.45">
      <c r="A23" s="63">
        <v>44946</v>
      </c>
      <c r="B23" s="44"/>
      <c r="C23" s="58">
        <v>3.8509000000000002</v>
      </c>
      <c r="D23" s="64">
        <f t="shared" si="0"/>
        <v>2700.0000000003688</v>
      </c>
      <c r="E23" s="58">
        <v>5.1003999999999996</v>
      </c>
      <c r="F23" s="64">
        <f t="shared" si="1"/>
        <v>3199.9999999996476</v>
      </c>
      <c r="G23" s="58">
        <v>5.1261000000000001</v>
      </c>
      <c r="H23" s="64">
        <f t="shared" si="2"/>
        <v>3800.0000000000255</v>
      </c>
      <c r="I23" s="58">
        <v>2.5293999999999999</v>
      </c>
      <c r="J23" s="64">
        <f t="shared" si="3"/>
        <v>1700.0000000000348</v>
      </c>
      <c r="K23" s="58">
        <v>3.8868999999999998</v>
      </c>
      <c r="L23" s="64">
        <f t="shared" si="48"/>
        <v>2299.9999999999686</v>
      </c>
      <c r="M23" s="58">
        <v>2.3483999999999998</v>
      </c>
      <c r="N23" s="64">
        <f t="shared" si="49"/>
        <v>1700.0000000000348</v>
      </c>
      <c r="O23" s="58">
        <v>28247</v>
      </c>
      <c r="P23" s="67">
        <f t="shared" si="6"/>
        <v>28</v>
      </c>
      <c r="Q23" s="58">
        <v>3520</v>
      </c>
      <c r="R23" s="67">
        <f t="shared" si="7"/>
        <v>5</v>
      </c>
      <c r="S23" s="58">
        <v>1665</v>
      </c>
      <c r="T23" s="67">
        <f t="shared" si="8"/>
        <v>1299.9999999999545</v>
      </c>
      <c r="U23" s="58">
        <v>656712.4</v>
      </c>
      <c r="V23" s="67">
        <f t="shared" si="9"/>
        <v>440.59999999997672</v>
      </c>
      <c r="W23" s="58">
        <v>591.82000000000005</v>
      </c>
      <c r="X23" s="65">
        <f t="shared" si="10"/>
        <v>330.00000000004093</v>
      </c>
      <c r="Y23" s="58">
        <v>4.4995000000000003</v>
      </c>
      <c r="Z23" s="65">
        <f t="shared" si="11"/>
        <v>2900.0000000003465</v>
      </c>
      <c r="AA23" s="58">
        <v>599.34</v>
      </c>
      <c r="AB23" s="65">
        <f t="shared" si="12"/>
        <v>370.00000000000455</v>
      </c>
      <c r="AC23" s="58">
        <v>603.26</v>
      </c>
      <c r="AD23" s="65">
        <f t="shared" si="13"/>
        <v>399.99999999997726</v>
      </c>
      <c r="AE23" s="58">
        <v>962.39</v>
      </c>
      <c r="AF23" s="65">
        <f t="shared" si="14"/>
        <v>889.99999999998636</v>
      </c>
      <c r="AG23" s="58">
        <v>26548</v>
      </c>
      <c r="AH23" s="67">
        <f t="shared" si="15"/>
        <v>47</v>
      </c>
      <c r="AI23" s="58">
        <v>1.0279</v>
      </c>
      <c r="AJ23" s="65">
        <f t="shared" si="16"/>
        <v>700.00000000014495</v>
      </c>
      <c r="AK23" s="58">
        <v>340.19</v>
      </c>
      <c r="AL23" s="65">
        <f t="shared" si="17"/>
        <v>199.99999999998863</v>
      </c>
      <c r="AM23" s="58">
        <v>311.12</v>
      </c>
      <c r="AN23" s="65">
        <f t="shared" si="18"/>
        <v>120.00000000000455</v>
      </c>
      <c r="AO23" s="58">
        <v>302.39999999999998</v>
      </c>
      <c r="AP23" s="65">
        <f t="shared" si="19"/>
        <v>269.99999999998181</v>
      </c>
      <c r="AQ23" s="58">
        <v>355.17</v>
      </c>
      <c r="AR23" s="65">
        <f t="shared" si="20"/>
        <v>220.00000000002728</v>
      </c>
      <c r="AS23" s="58">
        <v>481.27</v>
      </c>
      <c r="AT23" s="65">
        <f t="shared" si="21"/>
        <v>279.99999999997272</v>
      </c>
      <c r="AU23" s="58">
        <v>385.88</v>
      </c>
      <c r="AV23" s="65">
        <f t="shared" si="22"/>
        <v>110.00000000001364</v>
      </c>
      <c r="AW23" s="58">
        <v>412.82</v>
      </c>
      <c r="AX23" s="65">
        <f t="shared" si="23"/>
        <v>149.99999999997726</v>
      </c>
      <c r="AY23" s="58">
        <v>447.82</v>
      </c>
      <c r="AZ23" s="65">
        <f t="shared" si="24"/>
        <v>139.99999999998636</v>
      </c>
      <c r="BA23" s="58">
        <v>465.56</v>
      </c>
      <c r="BB23" s="65">
        <f t="shared" si="25"/>
        <v>139.99999999998636</v>
      </c>
      <c r="BC23" s="58">
        <v>298.55</v>
      </c>
      <c r="BD23" s="65">
        <f t="shared" si="26"/>
        <v>69.999999999993179</v>
      </c>
      <c r="BE23" s="59">
        <v>60905</v>
      </c>
      <c r="BF23" s="67">
        <f t="shared" si="27"/>
        <v>76</v>
      </c>
      <c r="BG23" s="60">
        <v>257.48</v>
      </c>
      <c r="BH23" s="65">
        <f t="shared" si="28"/>
        <v>30.000000000029559</v>
      </c>
      <c r="BI23" s="60">
        <v>311.64999999999998</v>
      </c>
      <c r="BJ23" s="65">
        <f t="shared" si="29"/>
        <v>60.000000000002274</v>
      </c>
      <c r="BK23" s="60">
        <v>263.88</v>
      </c>
      <c r="BL23" s="65">
        <f t="shared" si="30"/>
        <v>60.000000000002274</v>
      </c>
      <c r="BM23" s="60">
        <v>247.44</v>
      </c>
      <c r="BN23" s="65">
        <f t="shared" si="31"/>
        <v>39.999999999992042</v>
      </c>
      <c r="BO23" s="60">
        <v>315.91000000000003</v>
      </c>
      <c r="BP23" s="65">
        <f t="shared" si="32"/>
        <v>40.000000000020464</v>
      </c>
      <c r="BQ23" s="60">
        <v>65818</v>
      </c>
      <c r="BR23" s="65">
        <f t="shared" si="33"/>
        <v>43</v>
      </c>
      <c r="BS23" s="60">
        <v>225.56</v>
      </c>
      <c r="BT23" s="65">
        <f t="shared" si="34"/>
        <v>50.000000000011369</v>
      </c>
      <c r="BU23" s="60">
        <v>63268</v>
      </c>
      <c r="BV23" s="65">
        <f t="shared" si="35"/>
        <v>40</v>
      </c>
      <c r="BW23" s="60">
        <v>253.64</v>
      </c>
      <c r="BX23" s="65">
        <f t="shared" si="36"/>
        <v>49.999999999982947</v>
      </c>
      <c r="BY23" s="60">
        <v>84934</v>
      </c>
      <c r="BZ23" s="67">
        <f t="shared" si="37"/>
        <v>53</v>
      </c>
      <c r="CA23" s="60">
        <v>62108.1</v>
      </c>
      <c r="CB23" s="67">
        <f t="shared" si="38"/>
        <v>87.400000000001455</v>
      </c>
      <c r="CC23" s="60">
        <v>18702.400000000001</v>
      </c>
      <c r="CD23" s="67">
        <f t="shared" si="39"/>
        <v>17.400000000001455</v>
      </c>
      <c r="CE23" s="60">
        <v>9043</v>
      </c>
      <c r="CF23" s="67">
        <f t="shared" si="40"/>
        <v>0.5</v>
      </c>
      <c r="CG23" s="60">
        <v>86283.7</v>
      </c>
      <c r="CH23" s="67">
        <f t="shared" si="41"/>
        <v>59.599999999991269</v>
      </c>
      <c r="CI23" s="60">
        <v>1120275</v>
      </c>
      <c r="CJ23" s="67">
        <f t="shared" si="42"/>
        <v>361</v>
      </c>
      <c r="CK23" s="60">
        <v>1218.5</v>
      </c>
      <c r="CL23" s="64">
        <f t="shared" si="43"/>
        <v>1000</v>
      </c>
      <c r="CM23" s="65">
        <f>CQ23+CS23</f>
        <v>115.40000000000146</v>
      </c>
      <c r="CN23" s="62">
        <v>21</v>
      </c>
      <c r="CO23" s="62">
        <v>44</v>
      </c>
      <c r="CP23" s="68">
        <v>52785</v>
      </c>
      <c r="CQ23" s="67">
        <f t="shared" si="51"/>
        <v>91</v>
      </c>
      <c r="CR23" s="68">
        <v>27713.200000000001</v>
      </c>
      <c r="CS23" s="67">
        <f t="shared" si="44"/>
        <v>24.400000000001455</v>
      </c>
      <c r="CT23" s="75">
        <v>13007</v>
      </c>
      <c r="CU23" s="67">
        <f t="shared" si="45"/>
        <v>21</v>
      </c>
      <c r="CV23" s="68">
        <v>31588</v>
      </c>
      <c r="CW23" s="67">
        <f t="shared" si="46"/>
        <v>36</v>
      </c>
      <c r="CX23" s="58">
        <v>5814.9</v>
      </c>
      <c r="CY23" s="67">
        <f t="shared" si="47"/>
        <v>12.199999999999818</v>
      </c>
    </row>
    <row r="24" spans="1:103" ht="25.5" customHeight="1" thickBot="1" x14ac:dyDescent="0.45">
      <c r="A24" s="63">
        <v>44947</v>
      </c>
      <c r="B24" s="44"/>
      <c r="C24" s="58">
        <v>3.8534000000000002</v>
      </c>
      <c r="D24" s="64">
        <f t="shared" si="0"/>
        <v>2499.9999999999468</v>
      </c>
      <c r="E24" s="58">
        <v>5.1035000000000004</v>
      </c>
      <c r="F24" s="64">
        <f t="shared" si="1"/>
        <v>3100.000000000769</v>
      </c>
      <c r="G24" s="58">
        <v>5.1295999999999999</v>
      </c>
      <c r="H24" s="64">
        <f t="shared" si="2"/>
        <v>3499.9999999998367</v>
      </c>
      <c r="I24" s="58">
        <v>2.5310000000000001</v>
      </c>
      <c r="J24" s="64">
        <f t="shared" si="3"/>
        <v>1600.0000000002678</v>
      </c>
      <c r="K24" s="58">
        <v>3.8889999999999998</v>
      </c>
      <c r="L24" s="64">
        <f t="shared" si="48"/>
        <v>2099.9999999999909</v>
      </c>
      <c r="M24" s="58">
        <v>2.3502000000000001</v>
      </c>
      <c r="N24" s="64">
        <f t="shared" si="49"/>
        <v>1800.0000000002458</v>
      </c>
      <c r="O24" s="58">
        <v>28279</v>
      </c>
      <c r="P24" s="67">
        <f t="shared" si="6"/>
        <v>32</v>
      </c>
      <c r="Q24" s="58">
        <v>3525</v>
      </c>
      <c r="R24" s="67">
        <f t="shared" si="7"/>
        <v>5</v>
      </c>
      <c r="S24" s="58">
        <v>1666.3</v>
      </c>
      <c r="T24" s="67">
        <f t="shared" si="8"/>
        <v>1299.9999999999545</v>
      </c>
      <c r="U24" s="58">
        <v>657176.69999999995</v>
      </c>
      <c r="V24" s="67">
        <f t="shared" si="9"/>
        <v>464.29999999993015</v>
      </c>
      <c r="W24" s="58">
        <v>592.17999999999995</v>
      </c>
      <c r="X24" s="65">
        <f t="shared" si="10"/>
        <v>359.99999999989996</v>
      </c>
      <c r="Y24" s="58">
        <v>4.5025000000000004</v>
      </c>
      <c r="Z24" s="65">
        <f t="shared" si="11"/>
        <v>3000.0000000001137</v>
      </c>
      <c r="AA24" s="58">
        <v>599.63</v>
      </c>
      <c r="AB24" s="65">
        <f t="shared" si="12"/>
        <v>289.99999999996362</v>
      </c>
      <c r="AC24" s="58">
        <v>603.72</v>
      </c>
      <c r="AD24" s="65">
        <f t="shared" si="13"/>
        <v>460.00000000003638</v>
      </c>
      <c r="AE24" s="58">
        <v>963.41</v>
      </c>
      <c r="AF24" s="65">
        <f t="shared" si="14"/>
        <v>1019.9999999999818</v>
      </c>
      <c r="AG24" s="58">
        <v>26584</v>
      </c>
      <c r="AH24" s="67">
        <f t="shared" si="15"/>
        <v>36</v>
      </c>
      <c r="AI24" s="58">
        <v>1.0286999999999999</v>
      </c>
      <c r="AJ24" s="65">
        <f t="shared" si="16"/>
        <v>799.99999999991189</v>
      </c>
      <c r="AK24" s="58">
        <v>340.41</v>
      </c>
      <c r="AL24" s="65">
        <f t="shared" si="17"/>
        <v>220.00000000002728</v>
      </c>
      <c r="AM24" s="58">
        <v>311.25</v>
      </c>
      <c r="AN24" s="65">
        <f t="shared" si="18"/>
        <v>129.99999999999545</v>
      </c>
      <c r="AO24" s="58">
        <v>302.62</v>
      </c>
      <c r="AP24" s="65">
        <f t="shared" si="19"/>
        <v>220.00000000002728</v>
      </c>
      <c r="AQ24" s="58">
        <v>355.34</v>
      </c>
      <c r="AR24" s="65">
        <f t="shared" si="20"/>
        <v>169.99999999995907</v>
      </c>
      <c r="AS24" s="58">
        <v>481.52</v>
      </c>
      <c r="AT24" s="65">
        <f t="shared" si="21"/>
        <v>250</v>
      </c>
      <c r="AU24" s="58">
        <v>386</v>
      </c>
      <c r="AV24" s="65">
        <f t="shared" si="22"/>
        <v>120.00000000000455</v>
      </c>
      <c r="AW24" s="58">
        <v>412.98</v>
      </c>
      <c r="AX24" s="65">
        <f t="shared" si="23"/>
        <v>160.00000000002501</v>
      </c>
      <c r="AY24" s="58">
        <v>447.99</v>
      </c>
      <c r="AZ24" s="65">
        <f t="shared" si="24"/>
        <v>170.00000000001592</v>
      </c>
      <c r="BA24" s="58">
        <v>465.73</v>
      </c>
      <c r="BB24" s="65">
        <f t="shared" si="25"/>
        <v>170.00000000001592</v>
      </c>
      <c r="BC24" s="58">
        <v>298.64999999999998</v>
      </c>
      <c r="BD24" s="65">
        <f t="shared" si="26"/>
        <v>99.999999999965894</v>
      </c>
      <c r="BE24" s="59">
        <v>60940</v>
      </c>
      <c r="BF24" s="67">
        <f t="shared" si="27"/>
        <v>35</v>
      </c>
      <c r="BG24" s="60">
        <v>257.52999999999997</v>
      </c>
      <c r="BH24" s="65">
        <f t="shared" si="28"/>
        <v>49.999999999954525</v>
      </c>
      <c r="BI24" s="60">
        <v>311.66000000000003</v>
      </c>
      <c r="BJ24" s="65">
        <f t="shared" si="29"/>
        <v>10.000000000047748</v>
      </c>
      <c r="BK24" s="60">
        <v>263.95</v>
      </c>
      <c r="BL24" s="65">
        <f t="shared" si="30"/>
        <v>69.999999999993179</v>
      </c>
      <c r="BM24" s="60">
        <v>247.48</v>
      </c>
      <c r="BN24" s="65">
        <f t="shared" si="31"/>
        <v>39.999999999992042</v>
      </c>
      <c r="BO24" s="60">
        <v>315.95</v>
      </c>
      <c r="BP24" s="65">
        <f t="shared" si="32"/>
        <v>39.99999999996362</v>
      </c>
      <c r="BQ24" s="60">
        <v>65860</v>
      </c>
      <c r="BR24" s="65">
        <f t="shared" si="33"/>
        <v>42</v>
      </c>
      <c r="BS24" s="60">
        <v>225.62</v>
      </c>
      <c r="BT24" s="65">
        <f t="shared" si="34"/>
        <v>60.000000000002274</v>
      </c>
      <c r="BU24" s="60">
        <v>63309</v>
      </c>
      <c r="BV24" s="65">
        <f t="shared" si="35"/>
        <v>41</v>
      </c>
      <c r="BW24" s="60">
        <v>253.68</v>
      </c>
      <c r="BX24" s="65">
        <f t="shared" si="36"/>
        <v>40.000000000020464</v>
      </c>
      <c r="BY24" s="60">
        <v>84986</v>
      </c>
      <c r="BZ24" s="67">
        <f t="shared" si="37"/>
        <v>52</v>
      </c>
      <c r="CA24" s="60">
        <v>62196</v>
      </c>
      <c r="CB24" s="67">
        <f t="shared" si="38"/>
        <v>87.900000000001455</v>
      </c>
      <c r="CC24" s="60">
        <v>18716</v>
      </c>
      <c r="CD24" s="67">
        <f t="shared" si="39"/>
        <v>13.599999999998545</v>
      </c>
      <c r="CE24" s="60">
        <v>9043.5</v>
      </c>
      <c r="CF24" s="67">
        <f t="shared" si="40"/>
        <v>0.5</v>
      </c>
      <c r="CG24" s="60">
        <v>86323</v>
      </c>
      <c r="CH24" s="67">
        <f t="shared" si="41"/>
        <v>39.30000000000291</v>
      </c>
      <c r="CI24" s="60">
        <v>1120597</v>
      </c>
      <c r="CJ24" s="67">
        <f t="shared" si="42"/>
        <v>322</v>
      </c>
      <c r="CK24" s="60">
        <v>1219.5</v>
      </c>
      <c r="CL24" s="64">
        <f t="shared" si="43"/>
        <v>1000</v>
      </c>
      <c r="CM24" s="65">
        <f t="shared" si="50"/>
        <v>102</v>
      </c>
      <c r="CN24" s="62">
        <v>18</v>
      </c>
      <c r="CO24" s="62">
        <v>33</v>
      </c>
      <c r="CP24" s="68">
        <v>52864</v>
      </c>
      <c r="CQ24" s="67">
        <f t="shared" si="51"/>
        <v>79</v>
      </c>
      <c r="CR24" s="68">
        <v>27736.2</v>
      </c>
      <c r="CS24" s="67">
        <f t="shared" si="44"/>
        <v>23</v>
      </c>
      <c r="CT24" s="75">
        <v>13026</v>
      </c>
      <c r="CU24" s="67">
        <f t="shared" si="45"/>
        <v>19</v>
      </c>
      <c r="CV24" s="68">
        <v>31630</v>
      </c>
      <c r="CW24" s="67">
        <f t="shared" si="46"/>
        <v>42</v>
      </c>
      <c r="CX24" s="58">
        <v>5827.3</v>
      </c>
      <c r="CY24" s="67">
        <f t="shared" si="47"/>
        <v>12.400000000000546</v>
      </c>
    </row>
    <row r="25" spans="1:103" ht="25.5" customHeight="1" thickBot="1" x14ac:dyDescent="0.45">
      <c r="A25" s="63">
        <v>44948</v>
      </c>
      <c r="B25" s="44"/>
      <c r="C25" s="58">
        <v>3.8557000000000001</v>
      </c>
      <c r="D25" s="64">
        <f t="shared" si="0"/>
        <v>2299.9999999999686</v>
      </c>
      <c r="E25" s="58">
        <v>5.1063999999999998</v>
      </c>
      <c r="F25" s="64">
        <f t="shared" si="1"/>
        <v>2899.9999999994584</v>
      </c>
      <c r="G25" s="58">
        <v>5.133</v>
      </c>
      <c r="H25" s="64">
        <f t="shared" si="2"/>
        <v>3400.0000000000696</v>
      </c>
      <c r="I25" s="58">
        <v>2.5326</v>
      </c>
      <c r="J25" s="64">
        <f t="shared" si="3"/>
        <v>1599.9999999998238</v>
      </c>
      <c r="K25" s="58">
        <v>3.8912</v>
      </c>
      <c r="L25" s="64">
        <f t="shared" si="48"/>
        <v>2200.0000000002019</v>
      </c>
      <c r="M25" s="58">
        <v>2.3519000000000001</v>
      </c>
      <c r="N25" s="64">
        <f t="shared" si="49"/>
        <v>1700.0000000000348</v>
      </c>
      <c r="O25" s="58">
        <v>28299</v>
      </c>
      <c r="P25" s="67">
        <f t="shared" si="6"/>
        <v>20</v>
      </c>
      <c r="Q25" s="58">
        <v>3531</v>
      </c>
      <c r="R25" s="67">
        <f t="shared" si="7"/>
        <v>6</v>
      </c>
      <c r="S25" s="58">
        <v>1667.4</v>
      </c>
      <c r="T25" s="67">
        <f t="shared" si="8"/>
        <v>1100.0000000001364</v>
      </c>
      <c r="U25" s="58">
        <v>657603</v>
      </c>
      <c r="V25" s="67">
        <f t="shared" si="9"/>
        <v>426.30000000004657</v>
      </c>
      <c r="W25" s="58">
        <v>592.5</v>
      </c>
      <c r="X25" s="65">
        <f t="shared" si="10"/>
        <v>320.00000000005002</v>
      </c>
      <c r="Y25" s="58">
        <v>4.5050999999999997</v>
      </c>
      <c r="Z25" s="65">
        <f t="shared" si="11"/>
        <v>2599.9999999992697</v>
      </c>
      <c r="AA25" s="58">
        <v>599.9</v>
      </c>
      <c r="AB25" s="65">
        <f t="shared" si="12"/>
        <v>269.99999999998181</v>
      </c>
      <c r="AC25" s="58">
        <v>604.15</v>
      </c>
      <c r="AD25" s="65">
        <f t="shared" si="13"/>
        <v>429.99999999994998</v>
      </c>
      <c r="AE25" s="58">
        <v>964.28</v>
      </c>
      <c r="AF25" s="65">
        <f t="shared" si="14"/>
        <v>870.00000000000455</v>
      </c>
      <c r="AG25" s="58">
        <v>26622</v>
      </c>
      <c r="AH25" s="67">
        <f t="shared" si="15"/>
        <v>38</v>
      </c>
      <c r="AI25" s="58">
        <v>1.0295000000000001</v>
      </c>
      <c r="AJ25" s="65">
        <f t="shared" si="16"/>
        <v>800.00000000013392</v>
      </c>
      <c r="AK25" s="58">
        <v>340.6</v>
      </c>
      <c r="AL25" s="65">
        <f t="shared" si="17"/>
        <v>189.99999999999773</v>
      </c>
      <c r="AM25" s="58">
        <v>311.37</v>
      </c>
      <c r="AN25" s="65">
        <f t="shared" si="18"/>
        <v>120.00000000000455</v>
      </c>
      <c r="AO25" s="58">
        <v>302.79000000000002</v>
      </c>
      <c r="AP25" s="65">
        <f t="shared" si="19"/>
        <v>170.00000000001592</v>
      </c>
      <c r="AQ25" s="58">
        <v>355.49</v>
      </c>
      <c r="AR25" s="65">
        <f t="shared" si="20"/>
        <v>150.00000000003411</v>
      </c>
      <c r="AS25" s="58">
        <v>481.67</v>
      </c>
      <c r="AT25" s="65">
        <f t="shared" si="21"/>
        <v>150.00000000003411</v>
      </c>
      <c r="AU25" s="58">
        <v>386.12</v>
      </c>
      <c r="AV25" s="65">
        <f t="shared" si="22"/>
        <v>120.00000000000455</v>
      </c>
      <c r="AW25" s="58">
        <v>413.1</v>
      </c>
      <c r="AX25" s="65">
        <f t="shared" si="23"/>
        <v>120.00000000000455</v>
      </c>
      <c r="AY25" s="58">
        <v>448.13</v>
      </c>
      <c r="AZ25" s="65">
        <f t="shared" si="24"/>
        <v>139.99999999998636</v>
      </c>
      <c r="BA25" s="58">
        <v>465.88</v>
      </c>
      <c r="BB25" s="65">
        <f t="shared" si="25"/>
        <v>149.99999999997726</v>
      </c>
      <c r="BC25" s="58">
        <v>298.72000000000003</v>
      </c>
      <c r="BD25" s="65">
        <f t="shared" si="26"/>
        <v>70.000000000050022</v>
      </c>
      <c r="BE25" s="59">
        <v>60985</v>
      </c>
      <c r="BF25" s="67">
        <f t="shared" si="27"/>
        <v>45</v>
      </c>
      <c r="BG25" s="60">
        <v>257.57</v>
      </c>
      <c r="BH25" s="65">
        <f t="shared" si="28"/>
        <v>40.000000000020464</v>
      </c>
      <c r="BI25" s="60">
        <v>311.7</v>
      </c>
      <c r="BJ25" s="65">
        <f t="shared" si="29"/>
        <v>39.99999999996362</v>
      </c>
      <c r="BK25" s="60">
        <v>264.01</v>
      </c>
      <c r="BL25" s="65">
        <f t="shared" si="30"/>
        <v>60.000000000002274</v>
      </c>
      <c r="BM25" s="60">
        <v>247.52</v>
      </c>
      <c r="BN25" s="65">
        <f t="shared" si="31"/>
        <v>40.000000000020464</v>
      </c>
      <c r="BO25" s="60">
        <v>315.98</v>
      </c>
      <c r="BP25" s="65">
        <f t="shared" si="32"/>
        <v>30.000000000029559</v>
      </c>
      <c r="BQ25" s="60">
        <v>65908</v>
      </c>
      <c r="BR25" s="65">
        <f t="shared" si="33"/>
        <v>48</v>
      </c>
      <c r="BS25" s="60">
        <v>225.66</v>
      </c>
      <c r="BT25" s="65">
        <f t="shared" si="34"/>
        <v>39.999999999992042</v>
      </c>
      <c r="BU25" s="60">
        <v>63345</v>
      </c>
      <c r="BV25" s="65">
        <f t="shared" si="35"/>
        <v>36</v>
      </c>
      <c r="BW25" s="60">
        <v>253.73</v>
      </c>
      <c r="BX25" s="65">
        <f t="shared" si="36"/>
        <v>49.999999999982947</v>
      </c>
      <c r="BY25" s="60">
        <v>85038</v>
      </c>
      <c r="BZ25" s="67">
        <f t="shared" si="37"/>
        <v>52</v>
      </c>
      <c r="CA25" s="60">
        <v>62287.6</v>
      </c>
      <c r="CB25" s="67">
        <f t="shared" si="38"/>
        <v>91.599999999998545</v>
      </c>
      <c r="CC25" s="60">
        <v>18726.400000000001</v>
      </c>
      <c r="CD25" s="67">
        <f t="shared" si="39"/>
        <v>10.400000000001455</v>
      </c>
      <c r="CE25" s="60">
        <v>9046</v>
      </c>
      <c r="CF25" s="67">
        <f t="shared" si="40"/>
        <v>2.5</v>
      </c>
      <c r="CG25" s="60">
        <v>86378.3</v>
      </c>
      <c r="CH25" s="67">
        <f t="shared" si="41"/>
        <v>55.30000000000291</v>
      </c>
      <c r="CI25" s="60">
        <v>1120933</v>
      </c>
      <c r="CJ25" s="67">
        <f t="shared" si="42"/>
        <v>336</v>
      </c>
      <c r="CK25" s="60">
        <v>1220.3</v>
      </c>
      <c r="CL25" s="64">
        <f t="shared" si="43"/>
        <v>799.99999999995453</v>
      </c>
      <c r="CM25" s="65">
        <f t="shared" si="50"/>
        <v>93.700000000000728</v>
      </c>
      <c r="CN25" s="62">
        <v>15</v>
      </c>
      <c r="CO25" s="62">
        <v>26</v>
      </c>
      <c r="CP25" s="68">
        <v>52930</v>
      </c>
      <c r="CQ25" s="67">
        <f t="shared" si="51"/>
        <v>66</v>
      </c>
      <c r="CR25" s="68">
        <v>27763.9</v>
      </c>
      <c r="CS25" s="67">
        <f t="shared" si="44"/>
        <v>27.700000000000728</v>
      </c>
      <c r="CT25" s="75">
        <v>13041</v>
      </c>
      <c r="CU25" s="67">
        <f t="shared" si="45"/>
        <v>15</v>
      </c>
      <c r="CV25" s="68">
        <v>31653</v>
      </c>
      <c r="CW25" s="67">
        <f t="shared" si="46"/>
        <v>23</v>
      </c>
      <c r="CX25" s="58">
        <v>5839.4</v>
      </c>
      <c r="CY25" s="67">
        <f t="shared" si="47"/>
        <v>12.099999999999454</v>
      </c>
    </row>
    <row r="26" spans="1:103" ht="25.5" customHeight="1" thickBot="1" x14ac:dyDescent="0.45">
      <c r="A26" s="63">
        <v>44949</v>
      </c>
      <c r="B26" s="44"/>
      <c r="C26" s="58">
        <v>3.8582999999999998</v>
      </c>
      <c r="D26" s="64">
        <f t="shared" si="0"/>
        <v>2599.9999999997135</v>
      </c>
      <c r="E26" s="58">
        <v>5.1093999999999999</v>
      </c>
      <c r="F26" s="64">
        <f t="shared" si="1"/>
        <v>3000.0000000001137</v>
      </c>
      <c r="G26" s="58">
        <v>5.1360000000000001</v>
      </c>
      <c r="H26" s="64">
        <f t="shared" si="2"/>
        <v>3000.0000000001137</v>
      </c>
      <c r="I26" s="58">
        <v>2.5343</v>
      </c>
      <c r="J26" s="64">
        <f t="shared" si="3"/>
        <v>1700.0000000000348</v>
      </c>
      <c r="K26" s="58">
        <v>3.8934000000000002</v>
      </c>
      <c r="L26" s="64">
        <f t="shared" si="48"/>
        <v>2200.0000000002019</v>
      </c>
      <c r="M26" s="58">
        <v>2.3536999999999999</v>
      </c>
      <c r="N26" s="64">
        <f t="shared" si="49"/>
        <v>1799.9999999998017</v>
      </c>
      <c r="O26" s="58">
        <v>28320</v>
      </c>
      <c r="P26" s="67">
        <f t="shared" si="6"/>
        <v>21</v>
      </c>
      <c r="Q26" s="58">
        <v>3535</v>
      </c>
      <c r="R26" s="67">
        <f t="shared" si="7"/>
        <v>4</v>
      </c>
      <c r="S26" s="58">
        <v>1668.3</v>
      </c>
      <c r="T26" s="67">
        <f t="shared" si="8"/>
        <v>899.99999999986358</v>
      </c>
      <c r="U26" s="58">
        <v>658031.69999999995</v>
      </c>
      <c r="V26" s="67">
        <f t="shared" si="9"/>
        <v>428.69999999995343</v>
      </c>
      <c r="W26" s="58">
        <v>592.83000000000004</v>
      </c>
      <c r="X26" s="65">
        <f t="shared" si="10"/>
        <v>330.00000000004093</v>
      </c>
      <c r="Y26" s="58">
        <v>4.5077999999999996</v>
      </c>
      <c r="Z26" s="65">
        <f t="shared" si="11"/>
        <v>2699.9999999999245</v>
      </c>
      <c r="AA26" s="58">
        <v>600.23</v>
      </c>
      <c r="AB26" s="65">
        <f t="shared" si="12"/>
        <v>330.00000000004093</v>
      </c>
      <c r="AC26" s="58">
        <v>604.59</v>
      </c>
      <c r="AD26" s="65">
        <f t="shared" si="13"/>
        <v>440.00000000005457</v>
      </c>
      <c r="AE26" s="58">
        <v>965.13</v>
      </c>
      <c r="AF26" s="65">
        <f t="shared" si="14"/>
        <v>850.00000000002274</v>
      </c>
      <c r="AG26" s="58">
        <v>26658</v>
      </c>
      <c r="AH26" s="67">
        <f t="shared" si="15"/>
        <v>36</v>
      </c>
      <c r="AI26" s="58">
        <v>1.0303</v>
      </c>
      <c r="AJ26" s="65">
        <f t="shared" si="16"/>
        <v>799.99999999991189</v>
      </c>
      <c r="AK26" s="58">
        <v>340.79</v>
      </c>
      <c r="AL26" s="65">
        <f t="shared" si="17"/>
        <v>189.99999999999773</v>
      </c>
      <c r="AM26" s="58">
        <v>311.5</v>
      </c>
      <c r="AN26" s="65">
        <f t="shared" si="18"/>
        <v>129.99999999999545</v>
      </c>
      <c r="AO26" s="58">
        <v>302.98</v>
      </c>
      <c r="AP26" s="65">
        <f t="shared" si="19"/>
        <v>189.99999999999773</v>
      </c>
      <c r="AQ26" s="58">
        <v>355.65</v>
      </c>
      <c r="AR26" s="65">
        <f t="shared" si="20"/>
        <v>159.99999999996817</v>
      </c>
      <c r="AS26" s="58">
        <v>481.85</v>
      </c>
      <c r="AT26" s="65">
        <f t="shared" si="21"/>
        <v>180.00000000000682</v>
      </c>
      <c r="AU26" s="58">
        <v>386.24</v>
      </c>
      <c r="AV26" s="65">
        <f t="shared" si="22"/>
        <v>120.00000000000455</v>
      </c>
      <c r="AW26" s="58">
        <v>413.24</v>
      </c>
      <c r="AX26" s="65">
        <f t="shared" si="23"/>
        <v>139.99999999998636</v>
      </c>
      <c r="AY26" s="58">
        <v>448.28</v>
      </c>
      <c r="AZ26" s="65">
        <f t="shared" si="24"/>
        <v>149.99999999997726</v>
      </c>
      <c r="BA26" s="58">
        <v>466.01</v>
      </c>
      <c r="BB26" s="65">
        <f t="shared" si="25"/>
        <v>129.99999999999545</v>
      </c>
      <c r="BC26" s="58">
        <v>298.8</v>
      </c>
      <c r="BD26" s="65">
        <f t="shared" si="26"/>
        <v>79.999999999984084</v>
      </c>
      <c r="BE26" s="59">
        <v>61057</v>
      </c>
      <c r="BF26" s="67">
        <f t="shared" si="27"/>
        <v>72</v>
      </c>
      <c r="BG26" s="60">
        <v>257.62</v>
      </c>
      <c r="BH26" s="65">
        <f t="shared" si="28"/>
        <v>50.000000000011369</v>
      </c>
      <c r="BI26" s="60">
        <v>311.75</v>
      </c>
      <c r="BJ26" s="65">
        <f t="shared" si="29"/>
        <v>50.000000000011369</v>
      </c>
      <c r="BK26" s="60">
        <v>264.07</v>
      </c>
      <c r="BL26" s="65">
        <f t="shared" si="30"/>
        <v>60.000000000002274</v>
      </c>
      <c r="BM26" s="60">
        <v>247.57</v>
      </c>
      <c r="BN26" s="65">
        <f t="shared" si="31"/>
        <v>49.999999999982947</v>
      </c>
      <c r="BO26" s="60">
        <v>316.02</v>
      </c>
      <c r="BP26" s="65">
        <f t="shared" si="32"/>
        <v>39.99999999996362</v>
      </c>
      <c r="BQ26" s="60">
        <v>65952</v>
      </c>
      <c r="BR26" s="65">
        <f t="shared" si="33"/>
        <v>44</v>
      </c>
      <c r="BS26" s="60">
        <v>225.71</v>
      </c>
      <c r="BT26" s="65">
        <f t="shared" si="34"/>
        <v>50.000000000011369</v>
      </c>
      <c r="BU26" s="60">
        <v>63389</v>
      </c>
      <c r="BV26" s="65">
        <f t="shared" si="35"/>
        <v>44</v>
      </c>
      <c r="BW26" s="60">
        <v>253.78</v>
      </c>
      <c r="BX26" s="65">
        <f t="shared" si="36"/>
        <v>50.000000000011369</v>
      </c>
      <c r="BY26" s="60">
        <v>85095</v>
      </c>
      <c r="BZ26" s="67">
        <f t="shared" si="37"/>
        <v>57</v>
      </c>
      <c r="CA26" s="60">
        <v>62374.3</v>
      </c>
      <c r="CB26" s="67">
        <f t="shared" si="38"/>
        <v>86.700000000004366</v>
      </c>
      <c r="CC26" s="60">
        <v>18736.2</v>
      </c>
      <c r="CD26" s="67">
        <f t="shared" si="39"/>
        <v>9.7999999999992724</v>
      </c>
      <c r="CE26" s="60">
        <v>9049</v>
      </c>
      <c r="CF26" s="67">
        <f t="shared" si="40"/>
        <v>3</v>
      </c>
      <c r="CG26" s="60">
        <v>86434.1</v>
      </c>
      <c r="CH26" s="67">
        <f t="shared" si="41"/>
        <v>55.80000000000291</v>
      </c>
      <c r="CI26" s="60">
        <v>1121305</v>
      </c>
      <c r="CJ26" s="67">
        <f t="shared" si="42"/>
        <v>372</v>
      </c>
      <c r="CK26" s="60">
        <v>1221.2</v>
      </c>
      <c r="CL26" s="64">
        <f t="shared" si="43"/>
        <v>900.00000000009095</v>
      </c>
      <c r="CM26" s="65">
        <f t="shared" si="50"/>
        <v>88.299999999999272</v>
      </c>
      <c r="CN26" s="62">
        <v>15</v>
      </c>
      <c r="CO26" s="62">
        <v>26</v>
      </c>
      <c r="CP26" s="68">
        <v>53002</v>
      </c>
      <c r="CQ26" s="67">
        <f t="shared" si="51"/>
        <v>72</v>
      </c>
      <c r="CR26" s="68">
        <v>27780.2</v>
      </c>
      <c r="CS26" s="67">
        <f t="shared" si="44"/>
        <v>16.299999999999272</v>
      </c>
      <c r="CT26" s="75">
        <v>13061</v>
      </c>
      <c r="CU26" s="67">
        <f t="shared" si="45"/>
        <v>20</v>
      </c>
      <c r="CV26" s="68">
        <v>31676</v>
      </c>
      <c r="CW26" s="67">
        <f t="shared" si="46"/>
        <v>23</v>
      </c>
      <c r="CX26" s="58">
        <v>5847.7</v>
      </c>
      <c r="CY26" s="67">
        <f t="shared" si="47"/>
        <v>8.3000000000001819</v>
      </c>
    </row>
    <row r="27" spans="1:103" ht="25.5" customHeight="1" thickBot="1" x14ac:dyDescent="0.45">
      <c r="A27" s="63">
        <v>44950</v>
      </c>
      <c r="B27" s="44"/>
      <c r="C27" s="58">
        <v>3.8611</v>
      </c>
      <c r="D27" s="64">
        <f t="shared" si="0"/>
        <v>2800.0000000001355</v>
      </c>
      <c r="E27" s="58">
        <v>5.1128</v>
      </c>
      <c r="F27" s="64">
        <f t="shared" si="1"/>
        <v>3400.0000000000696</v>
      </c>
      <c r="G27" s="58">
        <v>5.1395</v>
      </c>
      <c r="H27" s="64">
        <f t="shared" si="2"/>
        <v>3499.9999999998367</v>
      </c>
      <c r="I27" s="58">
        <v>2.5360999999999998</v>
      </c>
      <c r="J27" s="64">
        <f t="shared" si="3"/>
        <v>1799.9999999998017</v>
      </c>
      <c r="K27" s="58">
        <v>3.8957999999999999</v>
      </c>
      <c r="L27" s="64">
        <f t="shared" si="48"/>
        <v>2399.9999999997358</v>
      </c>
      <c r="M27" s="58">
        <v>2.3561000000000001</v>
      </c>
      <c r="N27" s="64">
        <f t="shared" si="49"/>
        <v>2400.0000000001796</v>
      </c>
      <c r="O27" s="58">
        <v>28353</v>
      </c>
      <c r="P27" s="67">
        <f t="shared" si="6"/>
        <v>33</v>
      </c>
      <c r="Q27" s="58">
        <v>3540</v>
      </c>
      <c r="R27" s="67">
        <f t="shared" si="7"/>
        <v>5</v>
      </c>
      <c r="S27" s="58">
        <v>1669.4</v>
      </c>
      <c r="T27" s="67">
        <f t="shared" si="8"/>
        <v>1100.0000000001364</v>
      </c>
      <c r="U27" s="58">
        <v>658549.9</v>
      </c>
      <c r="V27" s="67">
        <f t="shared" si="9"/>
        <v>518.20000000006985</v>
      </c>
      <c r="W27" s="58">
        <v>593.23</v>
      </c>
      <c r="X27" s="65">
        <f t="shared" si="10"/>
        <v>399.99999999997726</v>
      </c>
      <c r="Y27" s="58">
        <v>4.5109000000000004</v>
      </c>
      <c r="Z27" s="65">
        <f t="shared" si="11"/>
        <v>3100.000000000769</v>
      </c>
      <c r="AA27" s="58">
        <v>600.47</v>
      </c>
      <c r="AB27" s="65">
        <f t="shared" si="12"/>
        <v>240.00000000000909</v>
      </c>
      <c r="AC27" s="58">
        <v>605.1</v>
      </c>
      <c r="AD27" s="65">
        <f t="shared" si="13"/>
        <v>509.99999999999091</v>
      </c>
      <c r="AE27" s="58">
        <v>966.14</v>
      </c>
      <c r="AF27" s="65">
        <f t="shared" si="14"/>
        <v>1009.9999999999909</v>
      </c>
      <c r="AG27" s="58">
        <v>26698</v>
      </c>
      <c r="AH27" s="67">
        <f t="shared" si="15"/>
        <v>40</v>
      </c>
      <c r="AI27" s="58">
        <v>1.0310999999999999</v>
      </c>
      <c r="AJ27" s="65">
        <f t="shared" si="16"/>
        <v>799.99999999991189</v>
      </c>
      <c r="AK27" s="58">
        <v>341.04</v>
      </c>
      <c r="AL27" s="65">
        <f t="shared" si="17"/>
        <v>250</v>
      </c>
      <c r="AM27" s="58">
        <v>311.70999999999998</v>
      </c>
      <c r="AN27" s="65">
        <f t="shared" si="18"/>
        <v>209.99999999997954</v>
      </c>
      <c r="AO27" s="58">
        <v>303.20999999999998</v>
      </c>
      <c r="AP27" s="65">
        <f t="shared" si="19"/>
        <v>229.99999999996135</v>
      </c>
      <c r="AQ27" s="58">
        <v>355.85</v>
      </c>
      <c r="AR27" s="65">
        <f t="shared" si="20"/>
        <v>200.00000000004547</v>
      </c>
      <c r="AS27" s="58">
        <v>482.05</v>
      </c>
      <c r="AT27" s="65">
        <f t="shared" si="21"/>
        <v>199.99999999998863</v>
      </c>
      <c r="AU27" s="58">
        <v>386.4</v>
      </c>
      <c r="AV27" s="65">
        <f t="shared" si="22"/>
        <v>159.99999999996817</v>
      </c>
      <c r="AW27" s="58">
        <v>413.43</v>
      </c>
      <c r="AX27" s="65">
        <f t="shared" si="23"/>
        <v>189.99999999999773</v>
      </c>
      <c r="AY27" s="58">
        <v>448.46</v>
      </c>
      <c r="AZ27" s="65">
        <f t="shared" si="24"/>
        <v>180.00000000000682</v>
      </c>
      <c r="BA27" s="58">
        <v>466.19</v>
      </c>
      <c r="BB27" s="65">
        <f t="shared" si="25"/>
        <v>180.00000000000682</v>
      </c>
      <c r="BC27" s="58">
        <v>298.89999999999998</v>
      </c>
      <c r="BD27" s="65">
        <f t="shared" si="26"/>
        <v>99.999999999965894</v>
      </c>
      <c r="BE27" s="59">
        <v>61109</v>
      </c>
      <c r="BF27" s="67">
        <f t="shared" si="27"/>
        <v>52</v>
      </c>
      <c r="BG27" s="60">
        <v>257.67</v>
      </c>
      <c r="BH27" s="65">
        <f t="shared" si="28"/>
        <v>50.000000000011369</v>
      </c>
      <c r="BI27" s="60">
        <v>311.8</v>
      </c>
      <c r="BJ27" s="65">
        <f t="shared" si="29"/>
        <v>50.000000000011369</v>
      </c>
      <c r="BK27" s="60">
        <v>264.14999999999998</v>
      </c>
      <c r="BL27" s="65">
        <f t="shared" si="30"/>
        <v>79.999999999984084</v>
      </c>
      <c r="BM27" s="60">
        <v>247.63</v>
      </c>
      <c r="BN27" s="65">
        <f t="shared" si="31"/>
        <v>60.000000000002274</v>
      </c>
      <c r="BO27" s="60">
        <v>316.06</v>
      </c>
      <c r="BP27" s="65">
        <f t="shared" si="32"/>
        <v>40.000000000020464</v>
      </c>
      <c r="BQ27" s="60">
        <v>66001</v>
      </c>
      <c r="BR27" s="65">
        <f t="shared" si="33"/>
        <v>49</v>
      </c>
      <c r="BS27" s="60">
        <v>225.77</v>
      </c>
      <c r="BT27" s="65">
        <f t="shared" si="34"/>
        <v>60.000000000002274</v>
      </c>
      <c r="BU27" s="60">
        <v>63435</v>
      </c>
      <c r="BV27" s="65">
        <f t="shared" si="35"/>
        <v>46</v>
      </c>
      <c r="BW27" s="60">
        <v>253.84</v>
      </c>
      <c r="BX27" s="65">
        <f t="shared" si="36"/>
        <v>60.000000000002274</v>
      </c>
      <c r="BY27" s="60">
        <v>85153</v>
      </c>
      <c r="BZ27" s="67">
        <f t="shared" si="37"/>
        <v>58</v>
      </c>
      <c r="CA27" s="60">
        <v>62461.4</v>
      </c>
      <c r="CB27" s="67">
        <f t="shared" si="38"/>
        <v>87.099999999998545</v>
      </c>
      <c r="CC27" s="60">
        <v>18753.099999999999</v>
      </c>
      <c r="CD27" s="67">
        <f t="shared" si="39"/>
        <v>16.899999999997817</v>
      </c>
      <c r="CE27" s="60">
        <v>9053.7000000000007</v>
      </c>
      <c r="CF27" s="67">
        <f t="shared" si="40"/>
        <v>4.7000000000007276</v>
      </c>
      <c r="CG27" s="60">
        <v>86484.6</v>
      </c>
      <c r="CH27" s="67">
        <f t="shared" si="41"/>
        <v>50.5</v>
      </c>
      <c r="CI27" s="60">
        <v>1121654</v>
      </c>
      <c r="CJ27" s="67">
        <f t="shared" si="42"/>
        <v>349</v>
      </c>
      <c r="CK27" s="60">
        <v>1222.2</v>
      </c>
      <c r="CL27" s="64">
        <f t="shared" si="43"/>
        <v>1000</v>
      </c>
      <c r="CM27" s="65">
        <f t="shared" si="50"/>
        <v>110.79999999999927</v>
      </c>
      <c r="CN27" s="62">
        <v>15</v>
      </c>
      <c r="CO27" s="62">
        <v>28</v>
      </c>
      <c r="CP27" s="68">
        <v>53084</v>
      </c>
      <c r="CQ27" s="67">
        <f t="shared" si="51"/>
        <v>82</v>
      </c>
      <c r="CR27" s="68">
        <v>27809</v>
      </c>
      <c r="CS27" s="67">
        <f t="shared" si="44"/>
        <v>28.799999999999272</v>
      </c>
      <c r="CT27" s="75">
        <v>13081</v>
      </c>
      <c r="CU27" s="67">
        <f t="shared" si="45"/>
        <v>20</v>
      </c>
      <c r="CV27" s="68">
        <v>31716</v>
      </c>
      <c r="CW27" s="67">
        <f t="shared" si="46"/>
        <v>40</v>
      </c>
      <c r="CX27" s="58">
        <v>5856.1</v>
      </c>
      <c r="CY27" s="67">
        <f t="shared" si="47"/>
        <v>8.4000000000005457</v>
      </c>
    </row>
    <row r="28" spans="1:103" ht="25.5" customHeight="1" thickBot="1" x14ac:dyDescent="0.45">
      <c r="A28" s="63">
        <v>44951</v>
      </c>
      <c r="B28" s="44"/>
      <c r="C28" s="58">
        <v>3.8639999999999999</v>
      </c>
      <c r="D28" s="64">
        <f t="shared" si="0"/>
        <v>2899.9999999999027</v>
      </c>
      <c r="E28" s="58">
        <v>5.1163999999999996</v>
      </c>
      <c r="F28" s="64">
        <f t="shared" si="1"/>
        <v>3599.9999999996035</v>
      </c>
      <c r="G28" s="58">
        <v>5.1426999999999996</v>
      </c>
      <c r="H28" s="64">
        <f t="shared" si="2"/>
        <v>3199.9999999996476</v>
      </c>
      <c r="I28" s="58">
        <v>2.5379999999999998</v>
      </c>
      <c r="J28" s="64">
        <f t="shared" si="3"/>
        <v>1900.0000000000127</v>
      </c>
      <c r="K28" s="58">
        <v>3.8980999999999999</v>
      </c>
      <c r="L28" s="64">
        <f t="shared" si="48"/>
        <v>2299.9999999999686</v>
      </c>
      <c r="M28" s="58">
        <v>2.3574999999999999</v>
      </c>
      <c r="N28" s="64">
        <f t="shared" si="49"/>
        <v>1399.9999999998458</v>
      </c>
      <c r="O28" s="58">
        <v>28369</v>
      </c>
      <c r="P28" s="67">
        <f t="shared" si="6"/>
        <v>16</v>
      </c>
      <c r="Q28" s="58">
        <v>3546</v>
      </c>
      <c r="R28" s="67">
        <f t="shared" si="7"/>
        <v>6</v>
      </c>
      <c r="S28" s="58">
        <v>1670.3</v>
      </c>
      <c r="T28" s="67">
        <f t="shared" si="8"/>
        <v>899.99999999986358</v>
      </c>
      <c r="U28" s="58">
        <v>658940.19999999995</v>
      </c>
      <c r="V28" s="67">
        <f t="shared" si="9"/>
        <v>390.29999999993015</v>
      </c>
      <c r="W28" s="58">
        <v>593.66999999999996</v>
      </c>
      <c r="X28" s="65">
        <f t="shared" si="10"/>
        <v>439.99999999994088</v>
      </c>
      <c r="Y28" s="58">
        <v>4.5140000000000002</v>
      </c>
      <c r="Z28" s="65">
        <f t="shared" si="11"/>
        <v>3099.9999999998809</v>
      </c>
      <c r="AA28" s="58">
        <v>600.84</v>
      </c>
      <c r="AB28" s="65">
        <f t="shared" si="12"/>
        <v>370.00000000000455</v>
      </c>
      <c r="AC28" s="58">
        <v>605.62</v>
      </c>
      <c r="AD28" s="65">
        <f t="shared" si="13"/>
        <v>519.99999999998181</v>
      </c>
      <c r="AE28" s="58">
        <v>967.14</v>
      </c>
      <c r="AF28" s="65">
        <f t="shared" si="14"/>
        <v>1000</v>
      </c>
      <c r="AG28" s="58">
        <v>26742</v>
      </c>
      <c r="AH28" s="67">
        <f t="shared" si="15"/>
        <v>44</v>
      </c>
      <c r="AI28" s="58">
        <v>1.0318000000000001</v>
      </c>
      <c r="AJ28" s="65">
        <f t="shared" si="16"/>
        <v>700.00000000014495</v>
      </c>
      <c r="AK28" s="58">
        <v>341.28</v>
      </c>
      <c r="AL28" s="65">
        <f t="shared" si="17"/>
        <v>239.99999999995225</v>
      </c>
      <c r="AM28" s="58">
        <v>311.93</v>
      </c>
      <c r="AN28" s="65">
        <f t="shared" si="18"/>
        <v>220.00000000002728</v>
      </c>
      <c r="AO28" s="58">
        <v>303.44</v>
      </c>
      <c r="AP28" s="65">
        <f t="shared" si="19"/>
        <v>230.00000000001819</v>
      </c>
      <c r="AQ28" s="58">
        <v>356.04</v>
      </c>
      <c r="AR28" s="65">
        <f t="shared" si="20"/>
        <v>189.99999999999773</v>
      </c>
      <c r="AS28" s="58">
        <v>482.28</v>
      </c>
      <c r="AT28" s="65">
        <f t="shared" si="21"/>
        <v>229.99999999996135</v>
      </c>
      <c r="AU28" s="58">
        <v>386.54</v>
      </c>
      <c r="AV28" s="65">
        <f t="shared" si="22"/>
        <v>140.0000000000432</v>
      </c>
      <c r="AW28" s="58">
        <v>413.59</v>
      </c>
      <c r="AX28" s="65">
        <f t="shared" si="23"/>
        <v>159.99999999996817</v>
      </c>
      <c r="AY28" s="58">
        <v>448.63</v>
      </c>
      <c r="AZ28" s="65">
        <f t="shared" si="24"/>
        <v>170.00000000001592</v>
      </c>
      <c r="BA28" s="58">
        <v>466.35</v>
      </c>
      <c r="BB28" s="65">
        <f t="shared" si="25"/>
        <v>160.00000000002501</v>
      </c>
      <c r="BC28" s="58">
        <v>299</v>
      </c>
      <c r="BD28" s="65">
        <f t="shared" si="26"/>
        <v>100.00000000002274</v>
      </c>
      <c r="BE28" s="59">
        <v>61152</v>
      </c>
      <c r="BF28" s="67">
        <f t="shared" si="27"/>
        <v>43</v>
      </c>
      <c r="BG28" s="60">
        <v>257.70999999999998</v>
      </c>
      <c r="BH28" s="65">
        <f t="shared" si="28"/>
        <v>39.99999999996362</v>
      </c>
      <c r="BI28" s="60">
        <v>311.85000000000002</v>
      </c>
      <c r="BJ28" s="65">
        <f t="shared" si="29"/>
        <v>50.000000000011369</v>
      </c>
      <c r="BK28" s="60">
        <v>264.20999999999998</v>
      </c>
      <c r="BL28" s="65">
        <f t="shared" si="30"/>
        <v>60.000000000002274</v>
      </c>
      <c r="BM28" s="60">
        <v>247.68</v>
      </c>
      <c r="BN28" s="65">
        <f t="shared" si="31"/>
        <v>50.000000000011369</v>
      </c>
      <c r="BO28" s="60">
        <v>316.11</v>
      </c>
      <c r="BP28" s="65">
        <f t="shared" si="32"/>
        <v>50.000000000011369</v>
      </c>
      <c r="BQ28" s="60">
        <v>66054</v>
      </c>
      <c r="BR28" s="65">
        <f t="shared" si="33"/>
        <v>53</v>
      </c>
      <c r="BS28" s="60">
        <v>225.83</v>
      </c>
      <c r="BT28" s="65">
        <f t="shared" si="34"/>
        <v>60.000000000002274</v>
      </c>
      <c r="BU28" s="60">
        <v>63480</v>
      </c>
      <c r="BV28" s="65">
        <f t="shared" si="35"/>
        <v>45</v>
      </c>
      <c r="BW28" s="60">
        <v>253.92</v>
      </c>
      <c r="BX28" s="65">
        <f t="shared" si="36"/>
        <v>79.999999999984084</v>
      </c>
      <c r="BY28" s="60">
        <v>85212</v>
      </c>
      <c r="BZ28" s="67">
        <f t="shared" si="37"/>
        <v>59</v>
      </c>
      <c r="CA28" s="60">
        <v>62550.400000000001</v>
      </c>
      <c r="CB28" s="67">
        <f t="shared" si="38"/>
        <v>89</v>
      </c>
      <c r="CC28" s="60">
        <v>18766.7</v>
      </c>
      <c r="CD28" s="67">
        <f t="shared" si="39"/>
        <v>13.600000000002183</v>
      </c>
      <c r="CE28" s="60">
        <v>9055</v>
      </c>
      <c r="CF28" s="67">
        <f t="shared" si="40"/>
        <v>1.2999999999992724</v>
      </c>
      <c r="CG28" s="60">
        <v>86529.2</v>
      </c>
      <c r="CH28" s="67">
        <f t="shared" si="41"/>
        <v>44.599999999991269</v>
      </c>
      <c r="CI28" s="60">
        <v>1122015</v>
      </c>
      <c r="CJ28" s="67">
        <f t="shared" si="42"/>
        <v>361</v>
      </c>
      <c r="CK28" s="60">
        <v>1223.2</v>
      </c>
      <c r="CL28" s="64">
        <f t="shared" si="43"/>
        <v>1000</v>
      </c>
      <c r="CM28" s="65">
        <f t="shared" si="50"/>
        <v>107</v>
      </c>
      <c r="CN28" s="62">
        <v>12</v>
      </c>
      <c r="CO28" s="62">
        <v>23</v>
      </c>
      <c r="CP28" s="68">
        <v>53180</v>
      </c>
      <c r="CQ28" s="67">
        <f t="shared" si="51"/>
        <v>96</v>
      </c>
      <c r="CR28" s="68">
        <v>27820</v>
      </c>
      <c r="CS28" s="67">
        <f t="shared" si="44"/>
        <v>11</v>
      </c>
      <c r="CT28" s="75">
        <v>13098</v>
      </c>
      <c r="CU28" s="67">
        <f t="shared" si="45"/>
        <v>17</v>
      </c>
      <c r="CV28" s="68">
        <v>31768</v>
      </c>
      <c r="CW28" s="67">
        <f t="shared" si="46"/>
        <v>52</v>
      </c>
      <c r="CX28" s="58">
        <v>5864.2</v>
      </c>
      <c r="CY28" s="67">
        <f t="shared" si="47"/>
        <v>8.0999999999994543</v>
      </c>
    </row>
    <row r="29" spans="1:103" ht="25.5" customHeight="1" thickBot="1" x14ac:dyDescent="0.45">
      <c r="A29" s="63">
        <v>44952</v>
      </c>
      <c r="B29" s="44"/>
      <c r="C29" s="58">
        <v>3.8668</v>
      </c>
      <c r="D29" s="64">
        <f t="shared" si="0"/>
        <v>2800.0000000001355</v>
      </c>
      <c r="E29" s="58">
        <v>5.1199000000000003</v>
      </c>
      <c r="F29" s="64">
        <f t="shared" si="1"/>
        <v>3500.0000000007249</v>
      </c>
      <c r="G29" s="58">
        <v>5.1462000000000003</v>
      </c>
      <c r="H29" s="64">
        <f t="shared" si="2"/>
        <v>3500.0000000007249</v>
      </c>
      <c r="I29" s="58">
        <v>2.5398999999999998</v>
      </c>
      <c r="J29" s="64">
        <f t="shared" si="3"/>
        <v>1900.0000000000127</v>
      </c>
      <c r="K29" s="58">
        <v>3.9003999999999999</v>
      </c>
      <c r="L29" s="64">
        <f t="shared" si="48"/>
        <v>2299.9999999999686</v>
      </c>
      <c r="M29" s="58">
        <v>2.3592</v>
      </c>
      <c r="N29" s="64">
        <f t="shared" si="49"/>
        <v>1700.0000000000348</v>
      </c>
      <c r="O29" s="58">
        <v>28389</v>
      </c>
      <c r="P29" s="67">
        <f t="shared" si="6"/>
        <v>20</v>
      </c>
      <c r="Q29" s="58">
        <v>3550</v>
      </c>
      <c r="R29" s="67">
        <f t="shared" si="7"/>
        <v>4</v>
      </c>
      <c r="S29" s="58">
        <v>1671.3</v>
      </c>
      <c r="T29" s="67">
        <f t="shared" si="8"/>
        <v>1000</v>
      </c>
      <c r="U29" s="58">
        <v>659435</v>
      </c>
      <c r="V29" s="67">
        <f t="shared" si="9"/>
        <v>494.80000000004657</v>
      </c>
      <c r="W29" s="58">
        <v>594.11</v>
      </c>
      <c r="X29" s="65">
        <f t="shared" si="10"/>
        <v>440.00000000005457</v>
      </c>
      <c r="Y29" s="58">
        <v>4.5170000000000003</v>
      </c>
      <c r="Z29" s="65">
        <f t="shared" si="11"/>
        <v>3000.0000000001137</v>
      </c>
      <c r="AA29" s="58">
        <v>601.09</v>
      </c>
      <c r="AB29" s="65">
        <f t="shared" si="12"/>
        <v>250</v>
      </c>
      <c r="AC29" s="58">
        <v>606.03</v>
      </c>
      <c r="AD29" s="65">
        <f t="shared" si="13"/>
        <v>409.99999999996817</v>
      </c>
      <c r="AE29" s="58">
        <v>968.08</v>
      </c>
      <c r="AF29" s="65">
        <f t="shared" si="14"/>
        <v>940.00000000005457</v>
      </c>
      <c r="AG29" s="58">
        <v>26784</v>
      </c>
      <c r="AH29" s="67">
        <f t="shared" si="15"/>
        <v>42</v>
      </c>
      <c r="AI29" s="58">
        <v>1.0326</v>
      </c>
      <c r="AJ29" s="65">
        <f t="shared" si="16"/>
        <v>799.99999999991189</v>
      </c>
      <c r="AK29" s="58">
        <v>341.53</v>
      </c>
      <c r="AL29" s="65">
        <f t="shared" si="17"/>
        <v>250</v>
      </c>
      <c r="AM29" s="58">
        <v>312.12</v>
      </c>
      <c r="AN29" s="65">
        <f t="shared" si="18"/>
        <v>189.99999999999773</v>
      </c>
      <c r="AO29" s="58">
        <v>303.64999999999998</v>
      </c>
      <c r="AP29" s="65">
        <f t="shared" si="19"/>
        <v>209.99999999997954</v>
      </c>
      <c r="AQ29" s="58">
        <v>356.21</v>
      </c>
      <c r="AR29" s="65">
        <f t="shared" si="20"/>
        <v>169.99999999995907</v>
      </c>
      <c r="AS29" s="58">
        <v>482.49</v>
      </c>
      <c r="AT29" s="65">
        <f t="shared" si="21"/>
        <v>210.00000000003638</v>
      </c>
      <c r="AU29" s="58">
        <v>386.7</v>
      </c>
      <c r="AV29" s="65">
        <f t="shared" si="22"/>
        <v>159.99999999996817</v>
      </c>
      <c r="AW29" s="58">
        <v>413.76</v>
      </c>
      <c r="AX29" s="65">
        <f t="shared" si="23"/>
        <v>170.00000000001592</v>
      </c>
      <c r="AY29" s="58">
        <v>448.8</v>
      </c>
      <c r="AZ29" s="65">
        <f t="shared" si="24"/>
        <v>170.00000000001592</v>
      </c>
      <c r="BA29" s="58">
        <v>466.51</v>
      </c>
      <c r="BB29" s="65">
        <f t="shared" si="25"/>
        <v>159.99999999996817</v>
      </c>
      <c r="BC29" s="58">
        <v>299.10000000000002</v>
      </c>
      <c r="BD29" s="65">
        <f t="shared" si="26"/>
        <v>100.00000000002274</v>
      </c>
      <c r="BE29" s="59">
        <v>61206</v>
      </c>
      <c r="BF29" s="67">
        <f t="shared" si="27"/>
        <v>54</v>
      </c>
      <c r="BG29" s="60">
        <v>257.76</v>
      </c>
      <c r="BH29" s="65">
        <f t="shared" si="28"/>
        <v>50.000000000011369</v>
      </c>
      <c r="BI29" s="60">
        <v>311.89999999999998</v>
      </c>
      <c r="BJ29" s="65">
        <f t="shared" si="29"/>
        <v>49.999999999954525</v>
      </c>
      <c r="BK29" s="60">
        <v>264.27999999999997</v>
      </c>
      <c r="BL29" s="65">
        <f t="shared" si="30"/>
        <v>69.999999999993179</v>
      </c>
      <c r="BM29" s="60">
        <v>247.74</v>
      </c>
      <c r="BN29" s="65">
        <f t="shared" si="31"/>
        <v>60.000000000002274</v>
      </c>
      <c r="BO29" s="60">
        <v>316.14999999999998</v>
      </c>
      <c r="BP29" s="65">
        <f t="shared" si="32"/>
        <v>39.99999999996362</v>
      </c>
      <c r="BQ29" s="60">
        <v>66106</v>
      </c>
      <c r="BR29" s="65">
        <f t="shared" si="33"/>
        <v>52</v>
      </c>
      <c r="BS29" s="60">
        <v>225.89</v>
      </c>
      <c r="BT29" s="65">
        <f t="shared" si="34"/>
        <v>59.999999999973852</v>
      </c>
      <c r="BU29" s="60">
        <v>63533</v>
      </c>
      <c r="BV29" s="65">
        <f t="shared" si="35"/>
        <v>53</v>
      </c>
      <c r="BW29" s="60">
        <v>253.98</v>
      </c>
      <c r="BX29" s="65">
        <f t="shared" si="36"/>
        <v>60.000000000002274</v>
      </c>
      <c r="BY29" s="60">
        <v>85279</v>
      </c>
      <c r="BZ29" s="67">
        <f t="shared" si="37"/>
        <v>67</v>
      </c>
      <c r="CA29" s="60">
        <v>62632</v>
      </c>
      <c r="CB29" s="67">
        <f t="shared" si="38"/>
        <v>81.599999999998545</v>
      </c>
      <c r="CC29" s="60">
        <v>18771.2</v>
      </c>
      <c r="CD29" s="67">
        <f t="shared" si="39"/>
        <v>4.5</v>
      </c>
      <c r="CE29" s="60">
        <v>9058</v>
      </c>
      <c r="CF29" s="67">
        <f t="shared" si="40"/>
        <v>3</v>
      </c>
      <c r="CG29" s="60">
        <v>86574</v>
      </c>
      <c r="CH29" s="67">
        <f t="shared" si="41"/>
        <v>44.80000000000291</v>
      </c>
      <c r="CI29" s="60">
        <v>1122376</v>
      </c>
      <c r="CJ29" s="67">
        <f t="shared" si="42"/>
        <v>361</v>
      </c>
      <c r="CK29" s="60">
        <v>1224.2</v>
      </c>
      <c r="CL29" s="64">
        <f t="shared" si="43"/>
        <v>1000</v>
      </c>
      <c r="CM29" s="65">
        <f t="shared" si="50"/>
        <v>85</v>
      </c>
      <c r="CN29" s="62">
        <v>11</v>
      </c>
      <c r="CO29" s="62">
        <v>21</v>
      </c>
      <c r="CP29" s="68">
        <v>53260</v>
      </c>
      <c r="CQ29" s="67">
        <f t="shared" si="51"/>
        <v>80</v>
      </c>
      <c r="CR29" s="68">
        <v>27825</v>
      </c>
      <c r="CS29" s="67">
        <f t="shared" si="44"/>
        <v>5</v>
      </c>
      <c r="CT29" s="75">
        <v>13113</v>
      </c>
      <c r="CU29" s="67">
        <f t="shared" si="45"/>
        <v>15</v>
      </c>
      <c r="CV29" s="68">
        <v>31816</v>
      </c>
      <c r="CW29" s="67">
        <f t="shared" si="46"/>
        <v>48</v>
      </c>
      <c r="CX29" s="58">
        <v>5876.7</v>
      </c>
      <c r="CY29" s="67">
        <f t="shared" si="47"/>
        <v>12.5</v>
      </c>
    </row>
    <row r="30" spans="1:103" ht="25.5" customHeight="1" thickBot="1" x14ac:dyDescent="0.45">
      <c r="A30" s="63">
        <v>44953</v>
      </c>
      <c r="B30" s="44"/>
      <c r="C30" s="58">
        <v>3.8693</v>
      </c>
      <c r="D30" s="64">
        <f t="shared" si="0"/>
        <v>2499.9999999999468</v>
      </c>
      <c r="E30" s="58">
        <v>5.1231</v>
      </c>
      <c r="F30" s="64">
        <f t="shared" si="1"/>
        <v>3199.9999999996476</v>
      </c>
      <c r="G30" s="58">
        <v>5.1497000000000002</v>
      </c>
      <c r="H30" s="64">
        <f t="shared" si="2"/>
        <v>3499.9999999998367</v>
      </c>
      <c r="I30" s="58">
        <v>2.5415999999999999</v>
      </c>
      <c r="J30" s="64">
        <f t="shared" si="3"/>
        <v>1700.0000000000348</v>
      </c>
      <c r="K30" s="58">
        <v>3.9024999999999999</v>
      </c>
      <c r="L30" s="64">
        <f t="shared" si="48"/>
        <v>2099.9999999999909</v>
      </c>
      <c r="M30" s="58">
        <v>2.3611</v>
      </c>
      <c r="N30" s="64">
        <f t="shared" si="49"/>
        <v>1900.0000000000127</v>
      </c>
      <c r="O30" s="58">
        <v>28550</v>
      </c>
      <c r="P30" s="67">
        <f t="shared" si="6"/>
        <v>161</v>
      </c>
      <c r="Q30" s="58">
        <v>3561</v>
      </c>
      <c r="R30" s="67">
        <f t="shared" si="7"/>
        <v>11</v>
      </c>
      <c r="S30" s="58">
        <v>1672.2</v>
      </c>
      <c r="T30" s="67">
        <f t="shared" si="8"/>
        <v>900.00000000009095</v>
      </c>
      <c r="U30" s="58">
        <v>659803</v>
      </c>
      <c r="V30" s="67">
        <f t="shared" si="9"/>
        <v>368</v>
      </c>
      <c r="W30" s="58">
        <v>594.47</v>
      </c>
      <c r="X30" s="65">
        <f t="shared" si="10"/>
        <v>360.00000000001364</v>
      </c>
      <c r="Y30" s="58">
        <v>4.5195999999999996</v>
      </c>
      <c r="Z30" s="65">
        <f t="shared" si="11"/>
        <v>2599.9999999992697</v>
      </c>
      <c r="AA30" s="58">
        <v>601.52</v>
      </c>
      <c r="AB30" s="65">
        <f t="shared" si="12"/>
        <v>429.99999999994998</v>
      </c>
      <c r="AC30" s="58">
        <v>606.41999999999996</v>
      </c>
      <c r="AD30" s="65">
        <f t="shared" si="13"/>
        <v>389.99999999998636</v>
      </c>
      <c r="AE30" s="58">
        <v>969.05</v>
      </c>
      <c r="AF30" s="65">
        <f t="shared" si="14"/>
        <v>969.9999999999136</v>
      </c>
      <c r="AG30" s="58">
        <v>26826</v>
      </c>
      <c r="AH30" s="67">
        <f t="shared" si="15"/>
        <v>42</v>
      </c>
      <c r="AI30" s="58">
        <v>1.0333000000000001</v>
      </c>
      <c r="AJ30" s="65">
        <f t="shared" si="16"/>
        <v>700.00000000014495</v>
      </c>
      <c r="AK30" s="58">
        <v>341.74</v>
      </c>
      <c r="AL30" s="65">
        <f t="shared" si="17"/>
        <v>210.00000000003638</v>
      </c>
      <c r="AM30" s="58">
        <v>312.27999999999997</v>
      </c>
      <c r="AN30" s="65">
        <f t="shared" si="18"/>
        <v>159.99999999996817</v>
      </c>
      <c r="AO30" s="58">
        <v>303.82</v>
      </c>
      <c r="AP30" s="65">
        <f t="shared" si="19"/>
        <v>170.00000000001592</v>
      </c>
      <c r="AQ30" s="58">
        <v>356.35</v>
      </c>
      <c r="AR30" s="65">
        <f t="shared" si="20"/>
        <v>140.0000000000432</v>
      </c>
      <c r="AS30" s="58">
        <v>482.65</v>
      </c>
      <c r="AT30" s="65">
        <f t="shared" si="21"/>
        <v>159.99999999996817</v>
      </c>
      <c r="AU30" s="58">
        <v>386.82</v>
      </c>
      <c r="AV30" s="65">
        <f t="shared" si="22"/>
        <v>120.00000000000455</v>
      </c>
      <c r="AW30" s="58">
        <v>413.91</v>
      </c>
      <c r="AX30" s="65">
        <f t="shared" si="23"/>
        <v>150.00000000003411</v>
      </c>
      <c r="AY30" s="58">
        <v>448.95</v>
      </c>
      <c r="AZ30" s="65">
        <f t="shared" si="24"/>
        <v>149.99999999997726</v>
      </c>
      <c r="BA30" s="58">
        <v>466.66</v>
      </c>
      <c r="BB30" s="65">
        <f t="shared" si="25"/>
        <v>150.00000000003411</v>
      </c>
      <c r="BC30" s="58">
        <v>299.19</v>
      </c>
      <c r="BD30" s="65">
        <f t="shared" si="26"/>
        <v>89.999999999974989</v>
      </c>
      <c r="BE30" s="59">
        <v>61258</v>
      </c>
      <c r="BF30" s="67">
        <f t="shared" si="27"/>
        <v>52</v>
      </c>
      <c r="BG30" s="60">
        <v>257.81</v>
      </c>
      <c r="BH30" s="65">
        <f t="shared" si="28"/>
        <v>50.000000000011369</v>
      </c>
      <c r="BI30" s="60">
        <v>311.94</v>
      </c>
      <c r="BJ30" s="65">
        <f t="shared" si="29"/>
        <v>40.000000000020464</v>
      </c>
      <c r="BK30" s="60">
        <v>264.35000000000002</v>
      </c>
      <c r="BL30" s="65">
        <f t="shared" si="30"/>
        <v>70.000000000050022</v>
      </c>
      <c r="BM30" s="60">
        <v>247.78</v>
      </c>
      <c r="BN30" s="65">
        <f t="shared" si="31"/>
        <v>39.999999999992042</v>
      </c>
      <c r="BO30" s="60">
        <v>316.2</v>
      </c>
      <c r="BP30" s="65">
        <f t="shared" si="32"/>
        <v>50.000000000011369</v>
      </c>
      <c r="BQ30" s="60">
        <v>66154</v>
      </c>
      <c r="BR30" s="65">
        <f t="shared" si="33"/>
        <v>48</v>
      </c>
      <c r="BS30" s="60">
        <v>225.94</v>
      </c>
      <c r="BT30" s="65">
        <f t="shared" si="34"/>
        <v>50.000000000011369</v>
      </c>
      <c r="BU30" s="60">
        <v>63575</v>
      </c>
      <c r="BV30" s="65">
        <f t="shared" si="35"/>
        <v>42</v>
      </c>
      <c r="BW30" s="60">
        <v>254.04</v>
      </c>
      <c r="BX30" s="65">
        <f t="shared" si="36"/>
        <v>60.000000000002274</v>
      </c>
      <c r="BY30" s="60">
        <v>85334</v>
      </c>
      <c r="BZ30" s="67">
        <f t="shared" si="37"/>
        <v>55</v>
      </c>
      <c r="CA30" s="60">
        <v>62703.5</v>
      </c>
      <c r="CB30" s="67">
        <f t="shared" si="38"/>
        <v>71.5</v>
      </c>
      <c r="CC30" s="60">
        <v>18778.599999999999</v>
      </c>
      <c r="CD30" s="67">
        <f t="shared" si="39"/>
        <v>7.3999999999978172</v>
      </c>
      <c r="CE30" s="60">
        <v>9059.9</v>
      </c>
      <c r="CF30" s="67">
        <f t="shared" si="40"/>
        <v>1.8999999999996362</v>
      </c>
      <c r="CG30" s="60">
        <v>86628.2</v>
      </c>
      <c r="CH30" s="67">
        <f t="shared" si="41"/>
        <v>54.19999999999709</v>
      </c>
      <c r="CI30" s="60">
        <v>1122709</v>
      </c>
      <c r="CJ30" s="67">
        <f t="shared" si="42"/>
        <v>333</v>
      </c>
      <c r="CK30" s="60">
        <v>1225.5</v>
      </c>
      <c r="CL30" s="64">
        <f t="shared" si="43"/>
        <v>1299.9999999999545</v>
      </c>
      <c r="CM30" s="65">
        <f t="shared" si="50"/>
        <v>99.200000000000728</v>
      </c>
      <c r="CN30" s="62">
        <v>9</v>
      </c>
      <c r="CO30" s="62">
        <v>16</v>
      </c>
      <c r="CP30" s="68">
        <v>53341</v>
      </c>
      <c r="CQ30" s="67">
        <f t="shared" si="51"/>
        <v>81</v>
      </c>
      <c r="CR30" s="68">
        <v>27843.200000000001</v>
      </c>
      <c r="CS30" s="67">
        <f t="shared" si="44"/>
        <v>18.200000000000728</v>
      </c>
      <c r="CT30" s="75">
        <v>13126</v>
      </c>
      <c r="CU30" s="67">
        <f t="shared" si="45"/>
        <v>13</v>
      </c>
      <c r="CV30" s="68">
        <v>31861</v>
      </c>
      <c r="CW30" s="67">
        <f t="shared" si="46"/>
        <v>45</v>
      </c>
      <c r="CX30" s="58">
        <v>5888.9</v>
      </c>
      <c r="CY30" s="67">
        <f t="shared" si="47"/>
        <v>12.199999999999818</v>
      </c>
    </row>
    <row r="31" spans="1:103" ht="25.5" customHeight="1" thickBot="1" x14ac:dyDescent="0.45">
      <c r="A31" s="63">
        <v>44954</v>
      </c>
      <c r="B31" s="66"/>
      <c r="C31" s="58">
        <v>3.8719999999999999</v>
      </c>
      <c r="D31" s="64">
        <f t="shared" si="0"/>
        <v>2699.9999999999245</v>
      </c>
      <c r="E31" s="58">
        <v>5.1262999999999996</v>
      </c>
      <c r="F31" s="64">
        <f t="shared" si="1"/>
        <v>3199.9999999996476</v>
      </c>
      <c r="G31" s="58">
        <v>5.1528</v>
      </c>
      <c r="H31" s="64">
        <f t="shared" si="2"/>
        <v>3099.9999999998809</v>
      </c>
      <c r="I31" s="58">
        <v>2.5434000000000001</v>
      </c>
      <c r="J31" s="64">
        <f t="shared" si="3"/>
        <v>1800.0000000002458</v>
      </c>
      <c r="K31" s="58">
        <v>3.9047999999999998</v>
      </c>
      <c r="L31" s="64">
        <f t="shared" si="48"/>
        <v>2299.9999999999686</v>
      </c>
      <c r="M31" s="58">
        <v>2.3628</v>
      </c>
      <c r="N31" s="64">
        <f t="shared" si="49"/>
        <v>1700.0000000000348</v>
      </c>
      <c r="O31" s="58">
        <v>28591</v>
      </c>
      <c r="P31" s="67">
        <f t="shared" si="6"/>
        <v>41</v>
      </c>
      <c r="Q31" s="58">
        <v>3567</v>
      </c>
      <c r="R31" s="67">
        <f t="shared" si="7"/>
        <v>6</v>
      </c>
      <c r="S31" s="58">
        <v>1673</v>
      </c>
      <c r="T31" s="67">
        <f t="shared" si="8"/>
        <v>799.99999999995453</v>
      </c>
      <c r="U31" s="58">
        <v>660156.4</v>
      </c>
      <c r="V31" s="67">
        <f t="shared" si="9"/>
        <v>353.40000000002328</v>
      </c>
      <c r="W31" s="58">
        <v>594.88</v>
      </c>
      <c r="X31" s="65">
        <f t="shared" si="10"/>
        <v>409.99999999996817</v>
      </c>
      <c r="Y31" s="58">
        <v>4.5224000000000002</v>
      </c>
      <c r="Z31" s="65">
        <f t="shared" si="11"/>
        <v>2800.0000000005798</v>
      </c>
      <c r="AA31" s="58">
        <v>601.79</v>
      </c>
      <c r="AB31" s="65">
        <f t="shared" si="12"/>
        <v>269.99999999998181</v>
      </c>
      <c r="AC31" s="58">
        <v>606.76</v>
      </c>
      <c r="AD31" s="65">
        <f t="shared" si="13"/>
        <v>340.00000000003183</v>
      </c>
      <c r="AE31" s="58">
        <v>969.97</v>
      </c>
      <c r="AF31" s="65">
        <f t="shared" si="14"/>
        <v>920.00000000007276</v>
      </c>
      <c r="AG31" s="58">
        <v>26864</v>
      </c>
      <c r="AH31" s="67">
        <f t="shared" si="15"/>
        <v>38</v>
      </c>
      <c r="AI31" s="58">
        <v>1.034</v>
      </c>
      <c r="AJ31" s="65">
        <f t="shared" si="16"/>
        <v>699.99999999992292</v>
      </c>
      <c r="AK31" s="58">
        <v>341.97</v>
      </c>
      <c r="AL31" s="65">
        <f t="shared" si="17"/>
        <v>230.00000000001819</v>
      </c>
      <c r="AM31" s="58">
        <v>312.45</v>
      </c>
      <c r="AN31" s="65">
        <f t="shared" si="18"/>
        <v>170.00000000001592</v>
      </c>
      <c r="AO31" s="58">
        <v>304.02</v>
      </c>
      <c r="AP31" s="65">
        <f t="shared" si="19"/>
        <v>199.99999999998863</v>
      </c>
      <c r="AQ31" s="58">
        <v>356.57</v>
      </c>
      <c r="AR31" s="65">
        <f t="shared" si="20"/>
        <v>219.99999999997044</v>
      </c>
      <c r="AS31" s="58">
        <v>482.86</v>
      </c>
      <c r="AT31" s="65">
        <f t="shared" si="21"/>
        <v>210.00000000003638</v>
      </c>
      <c r="AU31" s="58">
        <v>386.96</v>
      </c>
      <c r="AV31" s="65">
        <f t="shared" si="22"/>
        <v>139.99999999998636</v>
      </c>
      <c r="AW31" s="58">
        <v>414.08</v>
      </c>
      <c r="AX31" s="65">
        <f t="shared" si="23"/>
        <v>169.99999999995907</v>
      </c>
      <c r="AY31" s="58">
        <v>449.11</v>
      </c>
      <c r="AZ31" s="65">
        <f t="shared" si="24"/>
        <v>160.00000000002501</v>
      </c>
      <c r="BA31" s="58">
        <v>466.79</v>
      </c>
      <c r="BB31" s="65">
        <f t="shared" si="25"/>
        <v>129.99999999999545</v>
      </c>
      <c r="BC31" s="58">
        <v>299.27</v>
      </c>
      <c r="BD31" s="65">
        <f t="shared" si="26"/>
        <v>79.999999999984084</v>
      </c>
      <c r="BE31" s="59">
        <v>61298</v>
      </c>
      <c r="BF31" s="67">
        <f t="shared" si="27"/>
        <v>40</v>
      </c>
      <c r="BG31" s="60">
        <v>257.86</v>
      </c>
      <c r="BH31" s="65">
        <f t="shared" si="28"/>
        <v>50.000000000011369</v>
      </c>
      <c r="BI31" s="60">
        <v>311.99</v>
      </c>
      <c r="BJ31" s="65">
        <f t="shared" si="29"/>
        <v>50.000000000011369</v>
      </c>
      <c r="BK31" s="60">
        <v>264.42</v>
      </c>
      <c r="BL31" s="65">
        <f t="shared" si="30"/>
        <v>69.999999999993179</v>
      </c>
      <c r="BM31" s="60">
        <v>247.83</v>
      </c>
      <c r="BN31" s="65">
        <f t="shared" si="31"/>
        <v>50.000000000011369</v>
      </c>
      <c r="BO31" s="60">
        <v>316.24</v>
      </c>
      <c r="BP31" s="65">
        <f t="shared" si="32"/>
        <v>40.000000000020464</v>
      </c>
      <c r="BQ31" s="60">
        <v>66205</v>
      </c>
      <c r="BR31" s="65">
        <f t="shared" si="33"/>
        <v>51</v>
      </c>
      <c r="BS31" s="60">
        <v>226</v>
      </c>
      <c r="BT31" s="65">
        <f t="shared" si="34"/>
        <v>60.000000000002274</v>
      </c>
      <c r="BU31" s="60">
        <v>63618</v>
      </c>
      <c r="BV31" s="65">
        <f t="shared" si="35"/>
        <v>43</v>
      </c>
      <c r="BW31" s="60">
        <v>254.1</v>
      </c>
      <c r="BX31" s="65">
        <f t="shared" si="36"/>
        <v>60.000000000002274</v>
      </c>
      <c r="BY31" s="60">
        <v>85392</v>
      </c>
      <c r="BZ31" s="67">
        <f t="shared" si="37"/>
        <v>58</v>
      </c>
      <c r="CA31" s="60">
        <v>62790.400000000001</v>
      </c>
      <c r="CB31" s="67">
        <f t="shared" si="38"/>
        <v>86.900000000001455</v>
      </c>
      <c r="CC31" s="60">
        <v>18786.099999999999</v>
      </c>
      <c r="CD31" s="67">
        <f t="shared" si="39"/>
        <v>7.5</v>
      </c>
      <c r="CE31" s="60">
        <v>9067.7999999999993</v>
      </c>
      <c r="CF31" s="67">
        <f t="shared" si="40"/>
        <v>7.8999999999996362</v>
      </c>
      <c r="CG31" s="60">
        <v>86665.7</v>
      </c>
      <c r="CH31" s="67">
        <f t="shared" si="41"/>
        <v>37.5</v>
      </c>
      <c r="CI31" s="60">
        <v>1123044</v>
      </c>
      <c r="CJ31" s="67">
        <f t="shared" si="42"/>
        <v>335</v>
      </c>
      <c r="CK31" s="60">
        <v>1226.0999999999999</v>
      </c>
      <c r="CL31" s="64">
        <f t="shared" si="43"/>
        <v>599.99999999990905</v>
      </c>
      <c r="CM31" s="65">
        <f t="shared" si="50"/>
        <v>99.299999999999272</v>
      </c>
      <c r="CN31" s="62">
        <v>10</v>
      </c>
      <c r="CO31" s="62">
        <v>19</v>
      </c>
      <c r="CP31" s="68">
        <v>53425</v>
      </c>
      <c r="CQ31" s="67">
        <f t="shared" si="51"/>
        <v>84</v>
      </c>
      <c r="CR31" s="68">
        <v>27858.5</v>
      </c>
      <c r="CS31" s="67">
        <f t="shared" si="44"/>
        <v>15.299999999999272</v>
      </c>
      <c r="CT31" s="75">
        <v>13142</v>
      </c>
      <c r="CU31" s="67">
        <f t="shared" si="45"/>
        <v>16</v>
      </c>
      <c r="CV31" s="68">
        <v>31909</v>
      </c>
      <c r="CW31" s="67">
        <f t="shared" si="46"/>
        <v>48</v>
      </c>
      <c r="CX31" s="58">
        <v>5901.7</v>
      </c>
      <c r="CY31" s="67">
        <f t="shared" si="47"/>
        <v>12.800000000000182</v>
      </c>
    </row>
    <row r="32" spans="1:103" ht="25.5" customHeight="1" thickBot="1" x14ac:dyDescent="0.45">
      <c r="A32" s="63">
        <v>44955</v>
      </c>
      <c r="B32" s="68"/>
      <c r="C32" s="58">
        <v>3.8738000000000001</v>
      </c>
      <c r="D32" s="64">
        <f t="shared" si="0"/>
        <v>1800.0000000002458</v>
      </c>
      <c r="E32" s="58">
        <v>5.1291000000000002</v>
      </c>
      <c r="F32" s="64">
        <f t="shared" si="1"/>
        <v>2800.0000000005798</v>
      </c>
      <c r="G32" s="58">
        <v>5.1557000000000004</v>
      </c>
      <c r="H32" s="64">
        <f t="shared" si="2"/>
        <v>2900.0000000003465</v>
      </c>
      <c r="I32" s="58">
        <v>2.5448</v>
      </c>
      <c r="J32" s="64">
        <f t="shared" si="3"/>
        <v>1399.9999999998458</v>
      </c>
      <c r="K32" s="58">
        <v>3.9066999999999998</v>
      </c>
      <c r="L32" s="64">
        <f t="shared" si="48"/>
        <v>1900.0000000000127</v>
      </c>
      <c r="M32" s="58">
        <v>2.3639000000000001</v>
      </c>
      <c r="N32" s="64">
        <f t="shared" si="49"/>
        <v>1100.000000000101</v>
      </c>
      <c r="O32" s="58">
        <v>28610</v>
      </c>
      <c r="P32" s="67">
        <f t="shared" si="6"/>
        <v>19</v>
      </c>
      <c r="Q32" s="58">
        <v>3570</v>
      </c>
      <c r="R32" s="67">
        <f t="shared" si="7"/>
        <v>3</v>
      </c>
      <c r="S32" s="58">
        <v>1673.9</v>
      </c>
      <c r="T32" s="67">
        <f t="shared" si="8"/>
        <v>900.00000000009095</v>
      </c>
      <c r="U32" s="58">
        <v>660485</v>
      </c>
      <c r="V32" s="67">
        <f t="shared" si="9"/>
        <v>328.59999999997672</v>
      </c>
      <c r="W32" s="58">
        <v>595.1</v>
      </c>
      <c r="X32" s="65">
        <f t="shared" si="10"/>
        <v>220.00000000002728</v>
      </c>
      <c r="Y32" s="58">
        <v>4.5248999999999997</v>
      </c>
      <c r="Z32" s="65">
        <f t="shared" si="11"/>
        <v>2499.9999999995025</v>
      </c>
      <c r="AA32" s="58">
        <v>601.98</v>
      </c>
      <c r="AB32" s="65">
        <f t="shared" si="12"/>
        <v>190.00000000005457</v>
      </c>
      <c r="AC32" s="58">
        <v>606.99</v>
      </c>
      <c r="AD32" s="65">
        <f t="shared" si="13"/>
        <v>230.00000000001819</v>
      </c>
      <c r="AE32" s="58">
        <v>970.47</v>
      </c>
      <c r="AF32" s="65">
        <f t="shared" si="14"/>
        <v>500</v>
      </c>
      <c r="AG32" s="58">
        <v>26892</v>
      </c>
      <c r="AH32" s="67">
        <f t="shared" si="15"/>
        <v>28</v>
      </c>
      <c r="AI32" s="58">
        <v>1.0344</v>
      </c>
      <c r="AJ32" s="65">
        <f t="shared" si="16"/>
        <v>399.99999999995595</v>
      </c>
      <c r="AK32" s="58">
        <v>342.09</v>
      </c>
      <c r="AL32" s="65">
        <f t="shared" si="17"/>
        <v>119.9999999999477</v>
      </c>
      <c r="AM32" s="58">
        <v>312.55</v>
      </c>
      <c r="AN32" s="65">
        <f t="shared" si="18"/>
        <v>100.00000000002274</v>
      </c>
      <c r="AO32" s="58">
        <v>304.10000000000002</v>
      </c>
      <c r="AP32" s="65">
        <f t="shared" si="19"/>
        <v>80.000000000040927</v>
      </c>
      <c r="AQ32" s="58">
        <v>356.7</v>
      </c>
      <c r="AR32" s="65">
        <f t="shared" si="20"/>
        <v>129.99999999999545</v>
      </c>
      <c r="AS32" s="58">
        <v>483.01</v>
      </c>
      <c r="AT32" s="65">
        <f t="shared" si="21"/>
        <v>149.99999999997726</v>
      </c>
      <c r="AU32" s="58">
        <v>387.03</v>
      </c>
      <c r="AV32" s="65">
        <f t="shared" si="22"/>
        <v>69.999999999993179</v>
      </c>
      <c r="AW32" s="58">
        <v>414.17</v>
      </c>
      <c r="AX32" s="65">
        <f t="shared" si="23"/>
        <v>90.000000000031832</v>
      </c>
      <c r="AY32" s="58">
        <v>449.21</v>
      </c>
      <c r="AZ32" s="65">
        <f t="shared" si="24"/>
        <v>99.999999999965894</v>
      </c>
      <c r="BA32" s="58">
        <v>466.87</v>
      </c>
      <c r="BB32" s="65">
        <f t="shared" si="25"/>
        <v>79.999999999984084</v>
      </c>
      <c r="BC32" s="58">
        <v>299.32</v>
      </c>
      <c r="BD32" s="65">
        <f t="shared" si="26"/>
        <v>50.000000000011369</v>
      </c>
      <c r="BE32" s="59">
        <v>61339</v>
      </c>
      <c r="BF32" s="67">
        <f t="shared" si="27"/>
        <v>41</v>
      </c>
      <c r="BG32" s="60">
        <v>257.89999999999998</v>
      </c>
      <c r="BH32" s="65">
        <f t="shared" si="28"/>
        <v>39.99999999996362</v>
      </c>
      <c r="BI32" s="60">
        <v>312.02999999999997</v>
      </c>
      <c r="BJ32" s="65">
        <f t="shared" si="29"/>
        <v>39.99999999996362</v>
      </c>
      <c r="BK32" s="60">
        <v>264.47000000000003</v>
      </c>
      <c r="BL32" s="65">
        <f t="shared" si="30"/>
        <v>50.000000000011369</v>
      </c>
      <c r="BM32" s="60">
        <v>247.87</v>
      </c>
      <c r="BN32" s="65">
        <f t="shared" si="31"/>
        <v>39.999999999992042</v>
      </c>
      <c r="BO32" s="60">
        <v>316.27</v>
      </c>
      <c r="BP32" s="65">
        <f t="shared" si="32"/>
        <v>29.999999999972715</v>
      </c>
      <c r="BQ32" s="60">
        <v>66240</v>
      </c>
      <c r="BR32" s="65">
        <f t="shared" si="33"/>
        <v>35</v>
      </c>
      <c r="BS32" s="60">
        <v>226.03</v>
      </c>
      <c r="BT32" s="65">
        <f t="shared" si="34"/>
        <v>30.000000000001137</v>
      </c>
      <c r="BU32" s="60">
        <v>63652</v>
      </c>
      <c r="BV32" s="65">
        <f t="shared" si="35"/>
        <v>34</v>
      </c>
      <c r="BW32" s="60">
        <v>254.14</v>
      </c>
      <c r="BX32" s="65">
        <f t="shared" si="36"/>
        <v>39.999999999992042</v>
      </c>
      <c r="BY32" s="60">
        <v>85440</v>
      </c>
      <c r="BZ32" s="67">
        <f t="shared" si="37"/>
        <v>48</v>
      </c>
      <c r="CA32" s="60">
        <v>62879.1</v>
      </c>
      <c r="CB32" s="67">
        <f t="shared" si="38"/>
        <v>88.69999999999709</v>
      </c>
      <c r="CC32" s="60">
        <v>18793.5</v>
      </c>
      <c r="CD32" s="67">
        <f t="shared" si="39"/>
        <v>7.4000000000014552</v>
      </c>
      <c r="CE32" s="60">
        <v>9069.2000000000007</v>
      </c>
      <c r="CF32" s="67">
        <f t="shared" si="40"/>
        <v>1.4000000000014552</v>
      </c>
      <c r="CG32" s="60">
        <v>86698</v>
      </c>
      <c r="CH32" s="67">
        <f t="shared" si="41"/>
        <v>32.30000000000291</v>
      </c>
      <c r="CI32" s="60">
        <v>1123365</v>
      </c>
      <c r="CJ32" s="67">
        <f t="shared" si="42"/>
        <v>321</v>
      </c>
      <c r="CK32" s="60">
        <v>1227</v>
      </c>
      <c r="CL32" s="64">
        <f t="shared" si="43"/>
        <v>900.00000000009095</v>
      </c>
      <c r="CM32" s="65">
        <f t="shared" si="50"/>
        <v>98.099999999998545</v>
      </c>
      <c r="CN32" s="62">
        <v>10</v>
      </c>
      <c r="CO32" s="62">
        <v>19</v>
      </c>
      <c r="CP32" s="68">
        <v>53504</v>
      </c>
      <c r="CQ32" s="67">
        <f t="shared" si="51"/>
        <v>79</v>
      </c>
      <c r="CR32" s="68">
        <v>27877.599999999999</v>
      </c>
      <c r="CS32" s="67">
        <f t="shared" si="44"/>
        <v>19.099999999998545</v>
      </c>
      <c r="CT32" s="75">
        <v>13157</v>
      </c>
      <c r="CU32" s="67">
        <f t="shared" si="45"/>
        <v>15</v>
      </c>
      <c r="CV32" s="68">
        <v>31933</v>
      </c>
      <c r="CW32" s="67">
        <f t="shared" si="46"/>
        <v>24</v>
      </c>
      <c r="CX32" s="58">
        <v>5906</v>
      </c>
      <c r="CY32" s="67">
        <f t="shared" si="47"/>
        <v>4.3000000000001819</v>
      </c>
    </row>
    <row r="33" spans="1:103" ht="25.5" customHeight="1" thickBot="1" x14ac:dyDescent="0.45">
      <c r="A33" s="63">
        <v>44956</v>
      </c>
      <c r="B33" s="68"/>
      <c r="C33" s="58">
        <v>3.8748999999999998</v>
      </c>
      <c r="D33" s="64">
        <f t="shared" si="0"/>
        <v>1099.9999999996569</v>
      </c>
      <c r="E33" s="58">
        <v>5.1317000000000004</v>
      </c>
      <c r="F33" s="64">
        <f t="shared" si="1"/>
        <v>2600.0000000001578</v>
      </c>
      <c r="G33" s="58">
        <v>5.1585000000000001</v>
      </c>
      <c r="H33" s="64">
        <f t="shared" si="2"/>
        <v>2799.9999999996917</v>
      </c>
      <c r="I33" s="58">
        <v>2.5461999999999998</v>
      </c>
      <c r="J33" s="64">
        <f t="shared" si="3"/>
        <v>1399.9999999998458</v>
      </c>
      <c r="K33" s="58">
        <v>3.9087000000000001</v>
      </c>
      <c r="L33" s="64">
        <f t="shared" si="48"/>
        <v>2000.0000000002237</v>
      </c>
      <c r="M33" s="58">
        <v>2.3650000000000002</v>
      </c>
      <c r="N33" s="64">
        <f t="shared" si="49"/>
        <v>1100.000000000101</v>
      </c>
      <c r="O33" s="58">
        <v>28627</v>
      </c>
      <c r="P33" s="67">
        <f t="shared" si="6"/>
        <v>17</v>
      </c>
      <c r="Q33" s="58">
        <v>3573</v>
      </c>
      <c r="R33" s="67">
        <f t="shared" si="7"/>
        <v>3</v>
      </c>
      <c r="S33" s="58">
        <v>1674.8</v>
      </c>
      <c r="T33" s="67">
        <f t="shared" si="8"/>
        <v>899.99999999986358</v>
      </c>
      <c r="U33" s="58">
        <v>660770.9</v>
      </c>
      <c r="V33" s="67">
        <f t="shared" si="9"/>
        <v>285.90000000002328</v>
      </c>
      <c r="W33" s="58">
        <v>595.30999999999995</v>
      </c>
      <c r="X33" s="65">
        <f t="shared" si="10"/>
        <v>209.99999999992269</v>
      </c>
      <c r="Y33" s="58">
        <v>4.5271999999999997</v>
      </c>
      <c r="Z33" s="65">
        <f t="shared" si="11"/>
        <v>2299.9999999999686</v>
      </c>
      <c r="AA33" s="58">
        <v>602.34</v>
      </c>
      <c r="AB33" s="65">
        <f t="shared" si="12"/>
        <v>360.00000000001364</v>
      </c>
      <c r="AC33" s="58">
        <v>607.21</v>
      </c>
      <c r="AD33" s="65">
        <f t="shared" si="13"/>
        <v>220.00000000002728</v>
      </c>
      <c r="AE33" s="58">
        <v>970.88</v>
      </c>
      <c r="AF33" s="65">
        <f t="shared" si="14"/>
        <v>409.99999999996817</v>
      </c>
      <c r="AG33" s="58">
        <v>26920</v>
      </c>
      <c r="AH33" s="67">
        <f t="shared" si="15"/>
        <v>28</v>
      </c>
      <c r="AI33" s="58">
        <v>1.0347999999999999</v>
      </c>
      <c r="AJ33" s="65">
        <f t="shared" si="16"/>
        <v>399.99999999995595</v>
      </c>
      <c r="AK33" s="58">
        <v>342.16</v>
      </c>
      <c r="AL33" s="65">
        <f t="shared" si="17"/>
        <v>70.000000000050022</v>
      </c>
      <c r="AM33" s="58">
        <v>312.64</v>
      </c>
      <c r="AN33" s="65">
        <f t="shared" si="18"/>
        <v>89.999999999974989</v>
      </c>
      <c r="AO33" s="58">
        <v>304.16000000000003</v>
      </c>
      <c r="AP33" s="65">
        <f t="shared" si="19"/>
        <v>60.000000000002274</v>
      </c>
      <c r="AQ33" s="58">
        <v>356.77</v>
      </c>
      <c r="AR33" s="65">
        <f t="shared" si="20"/>
        <v>69.999999999993179</v>
      </c>
      <c r="AS33" s="58">
        <v>483.07</v>
      </c>
      <c r="AT33" s="65">
        <f t="shared" si="21"/>
        <v>60.000000000002274</v>
      </c>
      <c r="AU33" s="58">
        <v>387.08</v>
      </c>
      <c r="AV33" s="65">
        <f t="shared" si="22"/>
        <v>50.000000000011369</v>
      </c>
      <c r="AW33" s="58">
        <v>414.22</v>
      </c>
      <c r="AX33" s="65">
        <f t="shared" si="23"/>
        <v>50.000000000011369</v>
      </c>
      <c r="AY33" s="58">
        <v>449.26</v>
      </c>
      <c r="AZ33" s="65">
        <f t="shared" si="24"/>
        <v>50.000000000011369</v>
      </c>
      <c r="BA33" s="58">
        <v>466.93</v>
      </c>
      <c r="BB33" s="65">
        <f t="shared" si="25"/>
        <v>60.000000000002274</v>
      </c>
      <c r="BC33" s="58">
        <v>299.36</v>
      </c>
      <c r="BD33" s="65">
        <f t="shared" si="26"/>
        <v>40.000000000020464</v>
      </c>
      <c r="BE33" s="59">
        <v>61389</v>
      </c>
      <c r="BF33" s="67">
        <f t="shared" si="27"/>
        <v>50</v>
      </c>
      <c r="BG33" s="60">
        <v>257.93</v>
      </c>
      <c r="BH33" s="65">
        <f t="shared" si="28"/>
        <v>30.000000000029559</v>
      </c>
      <c r="BI33" s="60">
        <v>312.06</v>
      </c>
      <c r="BJ33" s="65">
        <f t="shared" si="29"/>
        <v>30.000000000029559</v>
      </c>
      <c r="BK33" s="60">
        <v>264.52</v>
      </c>
      <c r="BL33" s="65">
        <f t="shared" si="30"/>
        <v>49.999999999954525</v>
      </c>
      <c r="BM33" s="60">
        <v>247.9</v>
      </c>
      <c r="BN33" s="65">
        <f t="shared" si="31"/>
        <v>30.000000000001137</v>
      </c>
      <c r="BO33" s="60">
        <v>316.29000000000002</v>
      </c>
      <c r="BP33" s="65">
        <f t="shared" si="32"/>
        <v>20.000000000038654</v>
      </c>
      <c r="BQ33" s="60">
        <v>66279</v>
      </c>
      <c r="BR33" s="65">
        <f t="shared" si="33"/>
        <v>39</v>
      </c>
      <c r="BS33" s="60">
        <v>226.07</v>
      </c>
      <c r="BT33" s="65">
        <f t="shared" si="34"/>
        <v>39.999999999992042</v>
      </c>
      <c r="BU33" s="60">
        <v>63682</v>
      </c>
      <c r="BV33" s="65">
        <f t="shared" si="35"/>
        <v>30</v>
      </c>
      <c r="BW33" s="60">
        <v>254.18</v>
      </c>
      <c r="BX33" s="65">
        <f t="shared" si="36"/>
        <v>40.000000000020464</v>
      </c>
      <c r="BY33" s="60">
        <v>85489</v>
      </c>
      <c r="BZ33" s="67">
        <f t="shared" si="37"/>
        <v>49</v>
      </c>
      <c r="CA33" s="60">
        <v>62959.4</v>
      </c>
      <c r="CB33" s="67">
        <f t="shared" si="38"/>
        <v>80.30000000000291</v>
      </c>
      <c r="CC33" s="60">
        <v>18799.099999999999</v>
      </c>
      <c r="CD33" s="67">
        <f t="shared" si="39"/>
        <v>5.5999999999985448</v>
      </c>
      <c r="CE33" s="60">
        <v>9075.9</v>
      </c>
      <c r="CF33" s="67">
        <f t="shared" si="40"/>
        <v>6.6999999999989086</v>
      </c>
      <c r="CG33" s="60">
        <v>86743</v>
      </c>
      <c r="CH33" s="67">
        <f t="shared" si="41"/>
        <v>45</v>
      </c>
      <c r="CI33" s="60">
        <v>1123668</v>
      </c>
      <c r="CJ33" s="67">
        <f t="shared" si="42"/>
        <v>303</v>
      </c>
      <c r="CK33" s="60">
        <v>1227.8</v>
      </c>
      <c r="CL33" s="64">
        <f t="shared" si="43"/>
        <v>799.99999999995453</v>
      </c>
      <c r="CM33" s="65">
        <f t="shared" si="50"/>
        <v>81.400000000001455</v>
      </c>
      <c r="CN33" s="62">
        <v>10</v>
      </c>
      <c r="CO33" s="62">
        <v>19</v>
      </c>
      <c r="CP33" s="68">
        <v>53572</v>
      </c>
      <c r="CQ33" s="67">
        <f t="shared" si="51"/>
        <v>68</v>
      </c>
      <c r="CR33" s="68">
        <v>27891</v>
      </c>
      <c r="CS33" s="67">
        <f t="shared" si="44"/>
        <v>13.400000000001455</v>
      </c>
      <c r="CT33" s="75">
        <v>13175</v>
      </c>
      <c r="CU33" s="67">
        <f t="shared" si="45"/>
        <v>18</v>
      </c>
      <c r="CV33" s="68">
        <v>31955</v>
      </c>
      <c r="CW33" s="67">
        <f t="shared" si="46"/>
        <v>22</v>
      </c>
      <c r="CX33" s="58">
        <v>5911.8</v>
      </c>
      <c r="CY33" s="67">
        <f t="shared" si="47"/>
        <v>5.8000000000001819</v>
      </c>
    </row>
    <row r="34" spans="1:103" ht="25.5" customHeight="1" thickBot="1" x14ac:dyDescent="0.45">
      <c r="A34" s="63">
        <v>44957</v>
      </c>
      <c r="B34" s="68"/>
      <c r="C34" s="58">
        <v>3.8759000000000001</v>
      </c>
      <c r="D34" s="64">
        <f t="shared" si="0"/>
        <v>1000.000000000334</v>
      </c>
      <c r="E34" s="58">
        <v>5.1344000000000003</v>
      </c>
      <c r="F34" s="64">
        <f t="shared" si="1"/>
        <v>2699.9999999999245</v>
      </c>
      <c r="G34" s="58">
        <v>5.1615000000000002</v>
      </c>
      <c r="H34" s="64">
        <f t="shared" si="2"/>
        <v>3000.0000000001137</v>
      </c>
      <c r="I34" s="58">
        <v>2.5478000000000001</v>
      </c>
      <c r="J34" s="64">
        <f t="shared" si="3"/>
        <v>1600.0000000002678</v>
      </c>
      <c r="K34" s="58">
        <v>3.9106999999999998</v>
      </c>
      <c r="L34" s="64">
        <f t="shared" si="48"/>
        <v>1999.9999999997797</v>
      </c>
      <c r="M34" s="58">
        <v>2.3660999999999999</v>
      </c>
      <c r="N34" s="64">
        <f t="shared" si="49"/>
        <v>1099.9999999996569</v>
      </c>
      <c r="O34" s="58">
        <v>28663</v>
      </c>
      <c r="P34" s="67">
        <f t="shared" si="6"/>
        <v>36</v>
      </c>
      <c r="Q34" s="58">
        <v>3578</v>
      </c>
      <c r="R34" s="67">
        <f t="shared" si="7"/>
        <v>5</v>
      </c>
      <c r="S34" s="58">
        <v>1675.8</v>
      </c>
      <c r="T34" s="67">
        <f t="shared" si="8"/>
        <v>1000</v>
      </c>
      <c r="U34" s="58">
        <v>661256</v>
      </c>
      <c r="V34" s="67">
        <f t="shared" si="9"/>
        <v>485.09999999997672</v>
      </c>
      <c r="W34" s="58">
        <v>595.58000000000004</v>
      </c>
      <c r="X34" s="65">
        <f t="shared" si="10"/>
        <v>270.0000000000955</v>
      </c>
      <c r="Y34" s="58">
        <v>4.5297000000000001</v>
      </c>
      <c r="Z34" s="65">
        <f t="shared" si="11"/>
        <v>2500.0000000003906</v>
      </c>
      <c r="AA34" s="58">
        <v>602.54999999999995</v>
      </c>
      <c r="AB34" s="65">
        <f t="shared" si="12"/>
        <v>209.99999999992269</v>
      </c>
      <c r="AC34" s="58">
        <v>607.54</v>
      </c>
      <c r="AD34" s="65">
        <f t="shared" si="13"/>
        <v>329.99999999992724</v>
      </c>
      <c r="AE34" s="58">
        <v>971.31</v>
      </c>
      <c r="AF34" s="65">
        <f t="shared" si="14"/>
        <v>429.99999999994998</v>
      </c>
      <c r="AG34" s="58">
        <v>26953</v>
      </c>
      <c r="AH34" s="67">
        <f t="shared" si="15"/>
        <v>33</v>
      </c>
      <c r="AI34" s="58">
        <v>1.0350999999999999</v>
      </c>
      <c r="AJ34" s="65">
        <f t="shared" si="16"/>
        <v>299.99999999996697</v>
      </c>
      <c r="AK34" s="58">
        <v>342.21</v>
      </c>
      <c r="AL34" s="65">
        <f t="shared" si="17"/>
        <v>49.999999999954525</v>
      </c>
      <c r="AM34" s="58">
        <v>312.70999999999998</v>
      </c>
      <c r="AN34" s="65">
        <f t="shared" si="18"/>
        <v>69.999999999993179</v>
      </c>
      <c r="AO34" s="58">
        <v>304.2</v>
      </c>
      <c r="AP34" s="65">
        <f t="shared" si="19"/>
        <v>39.99999999996362</v>
      </c>
      <c r="AQ34" s="58">
        <v>356.81</v>
      </c>
      <c r="AR34" s="65">
        <f t="shared" si="20"/>
        <v>40.000000000020464</v>
      </c>
      <c r="AS34" s="58">
        <v>483.15</v>
      </c>
      <c r="AT34" s="65">
        <f t="shared" si="21"/>
        <v>79.999999999984084</v>
      </c>
      <c r="AU34" s="58">
        <v>387.11</v>
      </c>
      <c r="AV34" s="65">
        <f t="shared" si="22"/>
        <v>30.000000000029559</v>
      </c>
      <c r="AW34" s="58">
        <v>414.26</v>
      </c>
      <c r="AX34" s="65">
        <f t="shared" si="23"/>
        <v>39.99999999996362</v>
      </c>
      <c r="AY34" s="58">
        <v>449.3</v>
      </c>
      <c r="AZ34" s="65">
        <f t="shared" si="24"/>
        <v>40.000000000020464</v>
      </c>
      <c r="BA34" s="58">
        <v>466.96</v>
      </c>
      <c r="BB34" s="65">
        <f t="shared" si="25"/>
        <v>29.999999999972715</v>
      </c>
      <c r="BC34" s="58">
        <v>299.39999999999998</v>
      </c>
      <c r="BD34" s="65">
        <f t="shared" si="26"/>
        <v>39.99999999996362</v>
      </c>
      <c r="BE34" s="59"/>
      <c r="BF34" s="67" t="str">
        <f t="shared" si="27"/>
        <v/>
      </c>
      <c r="BG34" s="60">
        <v>257.98</v>
      </c>
      <c r="BH34" s="65">
        <f t="shared" si="28"/>
        <v>50.000000000011369</v>
      </c>
      <c r="BI34" s="60">
        <v>312.11</v>
      </c>
      <c r="BJ34" s="65">
        <f t="shared" si="29"/>
        <v>50.000000000011369</v>
      </c>
      <c r="BK34" s="60">
        <v>264.58</v>
      </c>
      <c r="BL34" s="65">
        <f t="shared" si="30"/>
        <v>60.000000000002274</v>
      </c>
      <c r="BM34" s="60">
        <v>247.95</v>
      </c>
      <c r="BN34" s="65">
        <f t="shared" si="31"/>
        <v>49.999999999982947</v>
      </c>
      <c r="BO34" s="60">
        <v>316.33</v>
      </c>
      <c r="BP34" s="65">
        <f t="shared" si="32"/>
        <v>39.99999999996362</v>
      </c>
      <c r="BQ34" s="60">
        <v>66329</v>
      </c>
      <c r="BR34" s="65">
        <f t="shared" si="33"/>
        <v>50</v>
      </c>
      <c r="BS34" s="60">
        <v>226.11</v>
      </c>
      <c r="BT34" s="65">
        <f t="shared" si="34"/>
        <v>40.000000000020464</v>
      </c>
      <c r="BU34" s="60">
        <v>63721</v>
      </c>
      <c r="BV34" s="65">
        <f t="shared" si="35"/>
        <v>39</v>
      </c>
      <c r="BW34" s="60">
        <v>254.23</v>
      </c>
      <c r="BX34" s="65">
        <f t="shared" si="36"/>
        <v>49.999999999982947</v>
      </c>
      <c r="BY34" s="60">
        <v>85540</v>
      </c>
      <c r="BZ34" s="67">
        <f t="shared" si="37"/>
        <v>51</v>
      </c>
      <c r="CA34" s="60">
        <v>63042</v>
      </c>
      <c r="CB34" s="67">
        <f t="shared" si="38"/>
        <v>82.599999999998545</v>
      </c>
      <c r="CC34" s="60">
        <v>18807</v>
      </c>
      <c r="CD34" s="67">
        <f t="shared" si="39"/>
        <v>7.9000000000014552</v>
      </c>
      <c r="CE34" s="60"/>
      <c r="CF34" s="67" t="str">
        <f t="shared" si="40"/>
        <v/>
      </c>
      <c r="CG34" s="60">
        <v>86788</v>
      </c>
      <c r="CH34" s="67">
        <f t="shared" si="41"/>
        <v>45</v>
      </c>
      <c r="CI34" s="60">
        <v>1123998</v>
      </c>
      <c r="CJ34" s="67">
        <f t="shared" si="42"/>
        <v>330</v>
      </c>
      <c r="CK34" s="60">
        <v>1228.4000000000001</v>
      </c>
      <c r="CL34" s="64">
        <f t="shared" si="43"/>
        <v>600.00000000013642</v>
      </c>
      <c r="CM34" s="65">
        <f t="shared" si="50"/>
        <v>79.200000000000728</v>
      </c>
      <c r="CN34" s="62">
        <v>10</v>
      </c>
      <c r="CO34" s="62">
        <v>18</v>
      </c>
      <c r="CP34" s="68">
        <v>53636</v>
      </c>
      <c r="CQ34" s="67">
        <f t="shared" si="51"/>
        <v>64</v>
      </c>
      <c r="CR34" s="68">
        <v>27906.2</v>
      </c>
      <c r="CS34" s="67">
        <f t="shared" si="44"/>
        <v>15.200000000000728</v>
      </c>
      <c r="CT34" s="75">
        <v>13190</v>
      </c>
      <c r="CU34" s="67">
        <f t="shared" si="45"/>
        <v>15</v>
      </c>
      <c r="CV34" s="68">
        <v>31987</v>
      </c>
      <c r="CW34" s="67">
        <f t="shared" si="46"/>
        <v>32</v>
      </c>
      <c r="CX34" s="58">
        <v>5922.7</v>
      </c>
      <c r="CY34" s="67">
        <f t="shared" si="47"/>
        <v>10.899999999999636</v>
      </c>
    </row>
    <row r="35" spans="1:103" ht="21.75" x14ac:dyDescent="0.4">
      <c r="P35" s="69"/>
      <c r="R35" s="69"/>
      <c r="AX35" s="65"/>
      <c r="BF35" s="69"/>
      <c r="BJ35" s="65"/>
      <c r="BL35" s="65"/>
      <c r="BT35" s="65"/>
      <c r="BV35" s="65"/>
    </row>
    <row r="36" spans="1:103" ht="21.75" x14ac:dyDescent="0.4">
      <c r="Q36" s="71"/>
      <c r="AX36" s="65"/>
    </row>
    <row r="37" spans="1:103" ht="21.75" x14ac:dyDescent="0.4">
      <c r="Q37" s="71"/>
      <c r="AX37" s="78"/>
    </row>
    <row r="38" spans="1:103" ht="21.75" x14ac:dyDescent="0.4">
      <c r="Q38" s="71"/>
      <c r="R38" s="57"/>
      <c r="S38" s="71"/>
      <c r="T38" s="57"/>
      <c r="U38" s="71"/>
      <c r="V38" s="57"/>
      <c r="W38" s="71"/>
      <c r="X38" s="57"/>
      <c r="Y38" s="71"/>
      <c r="Z38" s="57"/>
      <c r="AA38" s="71"/>
      <c r="AB38" s="57"/>
      <c r="AC38" s="71"/>
      <c r="AD38" s="57"/>
      <c r="AE38" s="71"/>
      <c r="AF38" s="57"/>
      <c r="AG38" s="71"/>
      <c r="AH38" s="57"/>
      <c r="AI38" s="71"/>
      <c r="AJ38" s="57"/>
      <c r="AK38" s="71"/>
      <c r="AL38" s="57"/>
      <c r="AM38" s="71"/>
      <c r="AN38" s="61"/>
      <c r="AO38" s="71"/>
      <c r="AP38" s="61"/>
      <c r="AQ38" s="71"/>
      <c r="AR38" s="61"/>
      <c r="AS38" s="71"/>
      <c r="AT38" s="61"/>
      <c r="AU38" s="71"/>
      <c r="AV38" s="61"/>
      <c r="AW38" s="71"/>
      <c r="AX38" s="61"/>
      <c r="AY38" s="65"/>
      <c r="AZ38" s="61"/>
      <c r="BA38" s="71"/>
      <c r="BB38" s="61"/>
      <c r="BC38" s="71"/>
      <c r="BD38" s="61"/>
      <c r="BE38" s="71"/>
      <c r="BF38" s="61"/>
      <c r="BG38" s="71"/>
      <c r="BH38" s="61"/>
      <c r="BI38" s="71"/>
      <c r="BJ38" s="61"/>
      <c r="BK38" s="71"/>
      <c r="BL38" s="61"/>
      <c r="BM38" s="71"/>
      <c r="BN38" s="61"/>
      <c r="BO38" s="71"/>
      <c r="BP38" s="61"/>
      <c r="BQ38" s="71"/>
      <c r="BR38" s="61"/>
      <c r="BS38" s="71"/>
      <c r="BT38" s="61"/>
      <c r="BU38" s="71"/>
      <c r="BV38" s="61"/>
      <c r="BW38" s="71"/>
      <c r="BX38" s="61"/>
      <c r="BY38" s="71"/>
      <c r="BZ38" s="61"/>
      <c r="CA38" s="71"/>
      <c r="CB38" s="61"/>
      <c r="CC38" s="71"/>
      <c r="CD38" s="61"/>
      <c r="CE38" s="71"/>
      <c r="CF38" s="61"/>
      <c r="CG38" s="71"/>
      <c r="CH38" s="61"/>
      <c r="CI38" s="71">
        <v>0</v>
      </c>
      <c r="CJ38" s="61"/>
      <c r="CK38" s="71"/>
      <c r="CN38" s="61"/>
      <c r="CP38" s="72"/>
      <c r="CX38" s="71"/>
      <c r="CY38" s="57"/>
    </row>
    <row r="39" spans="1:103" x14ac:dyDescent="0.3">
      <c r="Q39" s="71"/>
    </row>
  </sheetData>
  <mergeCells count="49">
    <mergeCell ref="CX1:CY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BW1:BX1"/>
    <mergeCell ref="BY1:BZ1"/>
    <mergeCell ref="CA1:CB1"/>
    <mergeCell ref="BU1:BV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9"/>
  <sheetViews>
    <sheetView zoomScaleNormal="100" workbookViewId="0">
      <selection activeCell="C38" sqref="C38:S38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90" t="s">
        <v>0</v>
      </c>
      <c r="B4" s="93" t="s">
        <v>52</v>
      </c>
      <c r="C4" s="93" t="s">
        <v>53</v>
      </c>
      <c r="D4" s="96" t="s">
        <v>54</v>
      </c>
      <c r="E4" s="99" t="s">
        <v>55</v>
      </c>
      <c r="F4" s="100"/>
      <c r="G4" s="100"/>
      <c r="H4" s="100"/>
      <c r="I4" s="100"/>
      <c r="J4" s="101"/>
      <c r="K4" s="109" t="s">
        <v>56</v>
      </c>
      <c r="L4" s="110"/>
      <c r="M4" s="111"/>
      <c r="N4" s="102" t="s">
        <v>35</v>
      </c>
      <c r="O4" s="102"/>
      <c r="P4" s="102"/>
      <c r="Q4" s="102"/>
      <c r="R4" s="88" t="s">
        <v>145</v>
      </c>
      <c r="S4" s="89"/>
    </row>
    <row r="5" spans="1:20" ht="33.75" customHeight="1" x14ac:dyDescent="0.25">
      <c r="A5" s="91"/>
      <c r="B5" s="94"/>
      <c r="C5" s="94"/>
      <c r="D5" s="97"/>
      <c r="E5" s="99" t="s">
        <v>57</v>
      </c>
      <c r="F5" s="101"/>
      <c r="G5" s="99" t="s">
        <v>58</v>
      </c>
      <c r="H5" s="101"/>
      <c r="I5" s="99" t="s">
        <v>59</v>
      </c>
      <c r="J5" s="101"/>
      <c r="K5" s="103" t="s">
        <v>60</v>
      </c>
      <c r="L5" s="104"/>
      <c r="M5" s="105"/>
      <c r="N5" s="106" t="s">
        <v>61</v>
      </c>
      <c r="O5" s="107"/>
      <c r="P5" s="107"/>
      <c r="Q5" s="108"/>
      <c r="R5" s="86" t="s">
        <v>144</v>
      </c>
      <c r="S5" s="87"/>
    </row>
    <row r="6" spans="1:20" x14ac:dyDescent="0.25">
      <c r="A6" s="92"/>
      <c r="B6" s="95"/>
      <c r="C6" s="95"/>
      <c r="D6" s="98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6" t="s">
        <v>67</v>
      </c>
      <c r="S6" s="76" t="s">
        <v>63</v>
      </c>
    </row>
    <row r="7" spans="1:20" x14ac:dyDescent="0.25">
      <c r="A7" s="73">
        <v>44926</v>
      </c>
      <c r="B7" s="40"/>
      <c r="C7" s="40"/>
      <c r="D7" s="40"/>
      <c r="E7" s="41">
        <v>0</v>
      </c>
      <c r="F7" s="41">
        <v>6834</v>
      </c>
      <c r="G7" s="41">
        <v>0</v>
      </c>
      <c r="H7" s="41">
        <v>1261</v>
      </c>
      <c r="I7" s="41">
        <v>85</v>
      </c>
      <c r="J7" s="41">
        <v>2212</v>
      </c>
      <c r="K7" s="42">
        <v>0</v>
      </c>
      <c r="L7" s="42">
        <v>65</v>
      </c>
      <c r="M7" s="42">
        <v>1914</v>
      </c>
      <c r="N7" s="39">
        <v>0</v>
      </c>
      <c r="O7" s="39">
        <v>5</v>
      </c>
      <c r="P7" s="39">
        <v>85</v>
      </c>
      <c r="Q7" s="39">
        <v>5717</v>
      </c>
      <c r="R7" s="77">
        <v>60</v>
      </c>
      <c r="S7" s="77">
        <v>233</v>
      </c>
      <c r="T7" t="e">
        <f t="shared" ref="T7" si="0">S7-S6</f>
        <v>#VALUE!</v>
      </c>
    </row>
    <row r="8" spans="1:20" x14ac:dyDescent="0.25">
      <c r="A8" s="73">
        <v>44927</v>
      </c>
      <c r="B8" s="40">
        <v>66</v>
      </c>
      <c r="C8" s="40">
        <v>57</v>
      </c>
      <c r="D8" s="40">
        <v>139</v>
      </c>
      <c r="E8" s="41">
        <v>0</v>
      </c>
      <c r="F8" s="41">
        <v>6834</v>
      </c>
      <c r="G8" s="41">
        <v>0</v>
      </c>
      <c r="H8" s="41">
        <v>1264</v>
      </c>
      <c r="I8" s="41">
        <v>80</v>
      </c>
      <c r="J8" s="41">
        <v>2212</v>
      </c>
      <c r="K8" s="42">
        <v>0</v>
      </c>
      <c r="L8" s="42">
        <v>60</v>
      </c>
      <c r="M8" s="42">
        <v>1914</v>
      </c>
      <c r="N8" s="39">
        <v>0</v>
      </c>
      <c r="O8" s="39">
        <v>0</v>
      </c>
      <c r="P8" s="39">
        <v>83</v>
      </c>
      <c r="Q8" s="39">
        <v>5720</v>
      </c>
      <c r="R8" s="77">
        <v>60</v>
      </c>
      <c r="S8" s="77">
        <v>233</v>
      </c>
      <c r="T8">
        <f>S8-S7</f>
        <v>0</v>
      </c>
    </row>
    <row r="9" spans="1:20" x14ac:dyDescent="0.25">
      <c r="A9" s="73">
        <v>44928</v>
      </c>
      <c r="B9" s="40">
        <v>70</v>
      </c>
      <c r="C9" s="40">
        <v>60</v>
      </c>
      <c r="D9" s="40">
        <v>142</v>
      </c>
      <c r="E9" s="41">
        <v>0</v>
      </c>
      <c r="F9" s="41">
        <v>6834</v>
      </c>
      <c r="G9" s="41">
        <v>0</v>
      </c>
      <c r="H9" s="41">
        <v>1267</v>
      </c>
      <c r="I9" s="41">
        <v>70</v>
      </c>
      <c r="J9" s="41">
        <v>2212</v>
      </c>
      <c r="K9" s="42">
        <v>0</v>
      </c>
      <c r="L9" s="42">
        <v>55</v>
      </c>
      <c r="M9" s="42">
        <v>1914</v>
      </c>
      <c r="N9" s="39">
        <v>0</v>
      </c>
      <c r="O9" s="39">
        <v>0</v>
      </c>
      <c r="P9" s="39">
        <v>80</v>
      </c>
      <c r="Q9" s="39">
        <v>5724</v>
      </c>
      <c r="R9" s="77">
        <v>60</v>
      </c>
      <c r="S9" s="77">
        <v>233</v>
      </c>
      <c r="T9">
        <f t="shared" ref="T9:T39" si="1">S9-S8</f>
        <v>0</v>
      </c>
    </row>
    <row r="10" spans="1:20" x14ac:dyDescent="0.25">
      <c r="A10" s="73">
        <v>44929</v>
      </c>
      <c r="B10" s="40">
        <v>48</v>
      </c>
      <c r="C10" s="40">
        <v>44</v>
      </c>
      <c r="D10" s="40">
        <v>107</v>
      </c>
      <c r="E10" s="41">
        <v>0</v>
      </c>
      <c r="F10" s="41">
        <v>6834</v>
      </c>
      <c r="G10" s="41">
        <v>0</v>
      </c>
      <c r="H10" s="41">
        <v>1270</v>
      </c>
      <c r="I10" s="41">
        <v>55</v>
      </c>
      <c r="J10" s="41">
        <v>2212</v>
      </c>
      <c r="K10" s="42">
        <v>0</v>
      </c>
      <c r="L10" s="42">
        <v>55</v>
      </c>
      <c r="M10" s="42">
        <v>1914</v>
      </c>
      <c r="N10" s="39">
        <v>0</v>
      </c>
      <c r="O10" s="39">
        <v>0</v>
      </c>
      <c r="P10" s="39">
        <v>75</v>
      </c>
      <c r="Q10" s="39">
        <v>5728</v>
      </c>
      <c r="R10" s="77">
        <v>60</v>
      </c>
      <c r="S10" s="77">
        <v>233</v>
      </c>
      <c r="T10">
        <f t="shared" si="1"/>
        <v>0</v>
      </c>
    </row>
    <row r="11" spans="1:20" x14ac:dyDescent="0.25">
      <c r="A11" s="73">
        <v>44930</v>
      </c>
      <c r="B11" s="40">
        <v>56</v>
      </c>
      <c r="C11" s="40">
        <v>46</v>
      </c>
      <c r="D11" s="40">
        <v>122</v>
      </c>
      <c r="E11" s="41">
        <v>85</v>
      </c>
      <c r="F11" s="41">
        <v>6834</v>
      </c>
      <c r="G11" s="41">
        <v>85</v>
      </c>
      <c r="H11" s="41">
        <v>1274</v>
      </c>
      <c r="I11" s="41">
        <v>80</v>
      </c>
      <c r="J11" s="41">
        <v>2212</v>
      </c>
      <c r="K11" s="42">
        <v>85</v>
      </c>
      <c r="L11" s="42">
        <v>85</v>
      </c>
      <c r="M11" s="42">
        <v>1914</v>
      </c>
      <c r="N11" s="39">
        <v>85</v>
      </c>
      <c r="O11" s="39">
        <v>85</v>
      </c>
      <c r="P11" s="39">
        <v>85</v>
      </c>
      <c r="Q11" s="39">
        <v>5731</v>
      </c>
      <c r="R11" s="77">
        <v>60</v>
      </c>
      <c r="S11" s="77">
        <v>233</v>
      </c>
      <c r="T11">
        <f t="shared" si="1"/>
        <v>0</v>
      </c>
    </row>
    <row r="12" spans="1:20" x14ac:dyDescent="0.25">
      <c r="A12" s="73">
        <v>44931</v>
      </c>
      <c r="B12" s="40">
        <v>56</v>
      </c>
      <c r="C12" s="40">
        <v>46</v>
      </c>
      <c r="D12" s="40">
        <v>122</v>
      </c>
      <c r="E12" s="41">
        <v>85</v>
      </c>
      <c r="F12" s="41">
        <v>6834</v>
      </c>
      <c r="G12" s="41">
        <v>85</v>
      </c>
      <c r="H12" s="41">
        <v>1278</v>
      </c>
      <c r="I12" s="41">
        <v>68</v>
      </c>
      <c r="J12" s="41">
        <v>2212</v>
      </c>
      <c r="K12" s="42">
        <v>85</v>
      </c>
      <c r="L12" s="42">
        <v>85</v>
      </c>
      <c r="M12" s="42">
        <v>1914</v>
      </c>
      <c r="N12" s="39">
        <v>85</v>
      </c>
      <c r="O12" s="39">
        <v>85</v>
      </c>
      <c r="P12" s="39">
        <v>85</v>
      </c>
      <c r="Q12" s="39">
        <v>5733</v>
      </c>
      <c r="R12" s="77">
        <v>60</v>
      </c>
      <c r="S12" s="77">
        <v>233</v>
      </c>
      <c r="T12">
        <f t="shared" si="1"/>
        <v>0</v>
      </c>
    </row>
    <row r="13" spans="1:20" x14ac:dyDescent="0.25">
      <c r="A13" s="73">
        <v>44932</v>
      </c>
      <c r="B13" s="40">
        <v>37</v>
      </c>
      <c r="C13" s="40">
        <v>35</v>
      </c>
      <c r="D13" s="40">
        <v>94</v>
      </c>
      <c r="E13" s="41">
        <v>85</v>
      </c>
      <c r="F13" s="41">
        <v>6834</v>
      </c>
      <c r="G13" s="41">
        <v>85</v>
      </c>
      <c r="H13" s="41">
        <v>1281</v>
      </c>
      <c r="I13" s="41">
        <v>50</v>
      </c>
      <c r="J13" s="41">
        <v>2212</v>
      </c>
      <c r="K13" s="42">
        <v>85</v>
      </c>
      <c r="L13" s="42">
        <v>80</v>
      </c>
      <c r="M13" s="42">
        <v>1914</v>
      </c>
      <c r="N13" s="39">
        <v>85</v>
      </c>
      <c r="O13" s="39">
        <v>85</v>
      </c>
      <c r="P13" s="39">
        <v>85</v>
      </c>
      <c r="Q13" s="39">
        <v>5735</v>
      </c>
      <c r="R13" s="77">
        <v>60</v>
      </c>
      <c r="S13" s="77">
        <v>233</v>
      </c>
      <c r="T13">
        <f t="shared" si="1"/>
        <v>0</v>
      </c>
    </row>
    <row r="14" spans="1:20" ht="17.25" customHeight="1" x14ac:dyDescent="0.25">
      <c r="A14" s="73">
        <v>44933</v>
      </c>
      <c r="B14" s="40">
        <v>32</v>
      </c>
      <c r="C14" s="40">
        <v>33</v>
      </c>
      <c r="D14" s="40">
        <v>86</v>
      </c>
      <c r="E14" s="41">
        <v>85</v>
      </c>
      <c r="F14" s="41">
        <v>6834</v>
      </c>
      <c r="G14" s="41">
        <v>85</v>
      </c>
      <c r="H14" s="41">
        <v>1285</v>
      </c>
      <c r="I14" s="41">
        <v>40</v>
      </c>
      <c r="J14" s="41">
        <v>2212</v>
      </c>
      <c r="K14" s="42">
        <v>85</v>
      </c>
      <c r="L14" s="42">
        <v>75</v>
      </c>
      <c r="M14" s="42">
        <v>1914</v>
      </c>
      <c r="N14" s="39">
        <v>85</v>
      </c>
      <c r="O14" s="39">
        <v>80</v>
      </c>
      <c r="P14" s="39">
        <v>85</v>
      </c>
      <c r="Q14" s="39">
        <v>5738</v>
      </c>
      <c r="R14" s="77">
        <v>60</v>
      </c>
      <c r="S14" s="77">
        <v>233</v>
      </c>
      <c r="T14">
        <f t="shared" si="1"/>
        <v>0</v>
      </c>
    </row>
    <row r="15" spans="1:20" x14ac:dyDescent="0.25">
      <c r="A15" s="73">
        <v>44934</v>
      </c>
      <c r="B15" s="40">
        <v>32</v>
      </c>
      <c r="C15" s="40">
        <v>33</v>
      </c>
      <c r="D15" s="40">
        <v>86</v>
      </c>
      <c r="E15" s="41">
        <v>85</v>
      </c>
      <c r="F15" s="41">
        <v>6834</v>
      </c>
      <c r="G15" s="41">
        <v>85</v>
      </c>
      <c r="H15" s="41">
        <v>1287</v>
      </c>
      <c r="I15" s="41">
        <v>25</v>
      </c>
      <c r="J15" s="41">
        <v>2212</v>
      </c>
      <c r="K15" s="42">
        <v>85</v>
      </c>
      <c r="L15" s="42">
        <v>75</v>
      </c>
      <c r="M15" s="42">
        <v>1914</v>
      </c>
      <c r="N15" s="39">
        <v>85</v>
      </c>
      <c r="O15" s="39">
        <v>80</v>
      </c>
      <c r="P15" s="39">
        <v>85</v>
      </c>
      <c r="Q15" s="39">
        <v>5741</v>
      </c>
      <c r="R15" s="77">
        <v>60</v>
      </c>
      <c r="S15" s="77">
        <v>233</v>
      </c>
      <c r="T15">
        <f t="shared" si="1"/>
        <v>0</v>
      </c>
    </row>
    <row r="16" spans="1:20" x14ac:dyDescent="0.25">
      <c r="A16" s="73">
        <v>44935</v>
      </c>
      <c r="B16" s="40">
        <v>34</v>
      </c>
      <c r="C16" s="40">
        <v>34</v>
      </c>
      <c r="D16" s="40">
        <v>82</v>
      </c>
      <c r="E16" s="41">
        <v>85</v>
      </c>
      <c r="F16" s="41">
        <v>6834</v>
      </c>
      <c r="G16" s="41">
        <v>85</v>
      </c>
      <c r="H16" s="41">
        <v>1290</v>
      </c>
      <c r="I16" s="41">
        <v>15</v>
      </c>
      <c r="J16" s="41">
        <v>2212</v>
      </c>
      <c r="K16" s="42">
        <v>85</v>
      </c>
      <c r="L16" s="42">
        <v>75</v>
      </c>
      <c r="M16" s="42">
        <v>1914</v>
      </c>
      <c r="N16" s="39">
        <v>85</v>
      </c>
      <c r="O16" s="39">
        <v>78</v>
      </c>
      <c r="P16" s="39">
        <v>85</v>
      </c>
      <c r="Q16" s="39">
        <v>5744</v>
      </c>
      <c r="R16" s="77">
        <v>60</v>
      </c>
      <c r="S16" s="77">
        <v>233</v>
      </c>
      <c r="T16">
        <f t="shared" si="1"/>
        <v>0</v>
      </c>
    </row>
    <row r="17" spans="1:20" x14ac:dyDescent="0.25">
      <c r="A17" s="73">
        <v>44936</v>
      </c>
      <c r="B17" s="40">
        <v>34</v>
      </c>
      <c r="C17" s="40">
        <v>34</v>
      </c>
      <c r="D17" s="40">
        <v>82</v>
      </c>
      <c r="E17" s="41">
        <v>85</v>
      </c>
      <c r="F17" s="41">
        <v>6834</v>
      </c>
      <c r="G17" s="41">
        <v>85</v>
      </c>
      <c r="H17" s="41">
        <v>1294</v>
      </c>
      <c r="I17" s="41">
        <v>5</v>
      </c>
      <c r="J17" s="41">
        <v>2212</v>
      </c>
      <c r="K17" s="42">
        <v>85</v>
      </c>
      <c r="L17" s="42">
        <v>74</v>
      </c>
      <c r="M17" s="42">
        <v>1914</v>
      </c>
      <c r="N17" s="39">
        <v>85</v>
      </c>
      <c r="O17" s="39">
        <v>74</v>
      </c>
      <c r="P17" s="39">
        <v>85</v>
      </c>
      <c r="Q17" s="39">
        <v>5747</v>
      </c>
      <c r="R17" s="77">
        <v>60</v>
      </c>
      <c r="S17" s="77">
        <v>233</v>
      </c>
      <c r="T17">
        <f t="shared" si="1"/>
        <v>0</v>
      </c>
    </row>
    <row r="18" spans="1:20" x14ac:dyDescent="0.25">
      <c r="A18" s="73">
        <v>44937</v>
      </c>
      <c r="B18" s="40">
        <v>31</v>
      </c>
      <c r="C18" s="40">
        <v>32</v>
      </c>
      <c r="D18" s="40">
        <v>79</v>
      </c>
      <c r="E18" s="41">
        <v>85</v>
      </c>
      <c r="F18" s="41">
        <v>6834</v>
      </c>
      <c r="G18" s="41">
        <v>85</v>
      </c>
      <c r="H18" s="41">
        <v>1297</v>
      </c>
      <c r="I18" s="41">
        <v>0</v>
      </c>
      <c r="J18" s="41">
        <v>2212</v>
      </c>
      <c r="K18" s="42">
        <v>85</v>
      </c>
      <c r="L18" s="42">
        <v>72</v>
      </c>
      <c r="M18" s="42">
        <v>1914</v>
      </c>
      <c r="N18" s="39">
        <v>85</v>
      </c>
      <c r="O18" s="39">
        <v>70</v>
      </c>
      <c r="P18" s="39">
        <v>85</v>
      </c>
      <c r="Q18" s="39">
        <v>5749</v>
      </c>
      <c r="R18" s="77">
        <v>60</v>
      </c>
      <c r="S18" s="77">
        <v>233</v>
      </c>
      <c r="T18">
        <f t="shared" si="1"/>
        <v>0</v>
      </c>
    </row>
    <row r="19" spans="1:20" x14ac:dyDescent="0.25">
      <c r="A19" s="73">
        <v>44938</v>
      </c>
      <c r="B19" s="40">
        <v>35</v>
      </c>
      <c r="C19" s="40">
        <v>32</v>
      </c>
      <c r="D19" s="40">
        <v>79</v>
      </c>
      <c r="E19" s="41">
        <v>85</v>
      </c>
      <c r="F19" s="41">
        <v>6834</v>
      </c>
      <c r="G19" s="41">
        <v>70</v>
      </c>
      <c r="H19" s="41">
        <v>1300</v>
      </c>
      <c r="I19" s="41">
        <v>0</v>
      </c>
      <c r="J19" s="41">
        <v>2212</v>
      </c>
      <c r="K19" s="42">
        <v>85</v>
      </c>
      <c r="L19" s="42">
        <v>70</v>
      </c>
      <c r="M19" s="42">
        <v>1914</v>
      </c>
      <c r="N19" s="39">
        <v>85</v>
      </c>
      <c r="O19" s="39">
        <v>68</v>
      </c>
      <c r="P19" s="39">
        <v>85</v>
      </c>
      <c r="Q19" s="39">
        <v>5752</v>
      </c>
      <c r="R19" s="77">
        <v>60</v>
      </c>
      <c r="S19" s="77">
        <v>233</v>
      </c>
      <c r="T19">
        <f t="shared" si="1"/>
        <v>0</v>
      </c>
    </row>
    <row r="20" spans="1:20" x14ac:dyDescent="0.25">
      <c r="A20" s="73">
        <v>44939</v>
      </c>
      <c r="B20" s="40">
        <v>35</v>
      </c>
      <c r="C20" s="40">
        <v>32</v>
      </c>
      <c r="D20" s="40">
        <v>79</v>
      </c>
      <c r="E20" s="41">
        <v>85</v>
      </c>
      <c r="F20" s="41">
        <v>6834</v>
      </c>
      <c r="G20" s="41">
        <v>60</v>
      </c>
      <c r="H20" s="41">
        <v>1302</v>
      </c>
      <c r="I20" s="41">
        <v>0</v>
      </c>
      <c r="J20" s="41">
        <v>2212</v>
      </c>
      <c r="K20" s="42">
        <v>85</v>
      </c>
      <c r="L20" s="42">
        <v>70</v>
      </c>
      <c r="M20" s="42">
        <v>1914</v>
      </c>
      <c r="N20" s="39">
        <v>85</v>
      </c>
      <c r="O20" s="39">
        <v>65</v>
      </c>
      <c r="P20" s="39">
        <v>85</v>
      </c>
      <c r="Q20" s="39">
        <v>5754</v>
      </c>
      <c r="R20" s="77">
        <v>60</v>
      </c>
      <c r="S20" s="77">
        <v>233</v>
      </c>
      <c r="T20">
        <f t="shared" si="1"/>
        <v>0</v>
      </c>
    </row>
    <row r="21" spans="1:20" x14ac:dyDescent="0.25">
      <c r="A21" s="73">
        <v>44940</v>
      </c>
      <c r="B21" s="40">
        <v>27</v>
      </c>
      <c r="C21" s="40">
        <v>24</v>
      </c>
      <c r="D21" s="40">
        <v>64</v>
      </c>
      <c r="E21" s="41">
        <v>85</v>
      </c>
      <c r="F21" s="41">
        <v>6834</v>
      </c>
      <c r="G21" s="41">
        <v>45</v>
      </c>
      <c r="H21" s="41">
        <v>1306</v>
      </c>
      <c r="I21" s="41">
        <v>0</v>
      </c>
      <c r="J21" s="41">
        <v>2212</v>
      </c>
      <c r="K21" s="42">
        <v>85</v>
      </c>
      <c r="L21" s="42">
        <v>65</v>
      </c>
      <c r="M21" s="42">
        <v>1914</v>
      </c>
      <c r="N21" s="39">
        <v>85</v>
      </c>
      <c r="O21" s="39">
        <v>60</v>
      </c>
      <c r="P21" s="39">
        <v>85</v>
      </c>
      <c r="Q21" s="39">
        <v>5756</v>
      </c>
      <c r="R21" s="77">
        <v>60</v>
      </c>
      <c r="S21" s="77">
        <v>233</v>
      </c>
      <c r="T21">
        <f t="shared" si="1"/>
        <v>0</v>
      </c>
    </row>
    <row r="22" spans="1:20" x14ac:dyDescent="0.25">
      <c r="A22" s="73">
        <v>44941</v>
      </c>
      <c r="B22" s="40"/>
      <c r="C22" s="40">
        <v>24</v>
      </c>
      <c r="D22" s="40">
        <v>64</v>
      </c>
      <c r="E22" s="41">
        <v>85</v>
      </c>
      <c r="F22" s="41">
        <v>6834</v>
      </c>
      <c r="G22" s="41">
        <v>30</v>
      </c>
      <c r="H22" s="41">
        <v>1308</v>
      </c>
      <c r="I22" s="41">
        <v>0</v>
      </c>
      <c r="J22" s="41">
        <v>2212</v>
      </c>
      <c r="K22" s="42">
        <v>85</v>
      </c>
      <c r="L22" s="42">
        <v>65</v>
      </c>
      <c r="M22" s="42">
        <v>1914</v>
      </c>
      <c r="N22" s="39">
        <v>85</v>
      </c>
      <c r="O22" s="39">
        <v>55</v>
      </c>
      <c r="P22" s="39">
        <v>85</v>
      </c>
      <c r="Q22" s="39">
        <v>5759</v>
      </c>
      <c r="R22" s="77">
        <v>60</v>
      </c>
      <c r="S22" s="77">
        <v>233</v>
      </c>
      <c r="T22">
        <f t="shared" si="1"/>
        <v>0</v>
      </c>
    </row>
    <row r="23" spans="1:20" x14ac:dyDescent="0.25">
      <c r="A23" s="73">
        <v>44942</v>
      </c>
      <c r="B23" s="40"/>
      <c r="C23" s="40">
        <v>17</v>
      </c>
      <c r="D23" s="40">
        <v>42</v>
      </c>
      <c r="E23" s="41">
        <v>85</v>
      </c>
      <c r="F23" s="41">
        <v>6834</v>
      </c>
      <c r="G23" s="41">
        <v>20</v>
      </c>
      <c r="H23" s="41">
        <v>1311</v>
      </c>
      <c r="I23" s="41">
        <v>0</v>
      </c>
      <c r="J23" s="41">
        <v>2212</v>
      </c>
      <c r="K23" s="42">
        <v>85</v>
      </c>
      <c r="L23" s="42">
        <v>65</v>
      </c>
      <c r="M23" s="42">
        <v>1914</v>
      </c>
      <c r="N23" s="39">
        <v>85</v>
      </c>
      <c r="O23" s="39">
        <v>55</v>
      </c>
      <c r="P23" s="39">
        <v>85</v>
      </c>
      <c r="Q23" s="39">
        <v>5761</v>
      </c>
      <c r="R23" s="77">
        <v>60</v>
      </c>
      <c r="S23" s="77">
        <v>233</v>
      </c>
      <c r="T23">
        <f t="shared" si="1"/>
        <v>0</v>
      </c>
    </row>
    <row r="24" spans="1:20" x14ac:dyDescent="0.25">
      <c r="A24" s="73">
        <v>44943</v>
      </c>
      <c r="B24" s="40"/>
      <c r="C24" s="40">
        <v>17</v>
      </c>
      <c r="D24" s="40">
        <v>42</v>
      </c>
      <c r="E24" s="41">
        <v>85</v>
      </c>
      <c r="F24" s="41">
        <v>6834</v>
      </c>
      <c r="G24" s="41">
        <v>15</v>
      </c>
      <c r="H24" s="41">
        <v>1314</v>
      </c>
      <c r="I24" s="41">
        <v>0</v>
      </c>
      <c r="J24" s="41">
        <v>2212</v>
      </c>
      <c r="K24" s="42">
        <v>85</v>
      </c>
      <c r="L24" s="42">
        <v>65</v>
      </c>
      <c r="M24" s="42">
        <v>1914</v>
      </c>
      <c r="N24" s="39">
        <v>85</v>
      </c>
      <c r="O24" s="39">
        <v>52</v>
      </c>
      <c r="P24" s="39">
        <v>85</v>
      </c>
      <c r="Q24" s="39">
        <v>5764</v>
      </c>
      <c r="R24" s="77">
        <v>60</v>
      </c>
      <c r="S24" s="77">
        <v>233</v>
      </c>
      <c r="T24">
        <f t="shared" si="1"/>
        <v>0</v>
      </c>
    </row>
    <row r="25" spans="1:20" x14ac:dyDescent="0.25">
      <c r="A25" s="73">
        <v>44944</v>
      </c>
      <c r="B25" s="40"/>
      <c r="C25" s="40">
        <v>17</v>
      </c>
      <c r="D25" s="40">
        <v>42</v>
      </c>
      <c r="E25" s="41">
        <v>85</v>
      </c>
      <c r="F25" s="41">
        <v>6834</v>
      </c>
      <c r="G25" s="41">
        <v>7</v>
      </c>
      <c r="H25" s="41">
        <v>1316</v>
      </c>
      <c r="I25" s="41">
        <v>0</v>
      </c>
      <c r="J25" s="41">
        <v>2212</v>
      </c>
      <c r="K25" s="42">
        <v>85</v>
      </c>
      <c r="L25" s="42">
        <v>65</v>
      </c>
      <c r="M25" s="42">
        <v>1914</v>
      </c>
      <c r="N25" s="39">
        <v>85</v>
      </c>
      <c r="O25" s="39">
        <v>50</v>
      </c>
      <c r="P25" s="39">
        <v>85</v>
      </c>
      <c r="Q25" s="39">
        <v>5766</v>
      </c>
      <c r="R25" s="77">
        <v>60</v>
      </c>
      <c r="S25" s="77">
        <v>233</v>
      </c>
      <c r="T25">
        <f t="shared" si="1"/>
        <v>0</v>
      </c>
    </row>
    <row r="26" spans="1:20" x14ac:dyDescent="0.25">
      <c r="A26" s="73">
        <v>44945</v>
      </c>
      <c r="B26" s="40"/>
      <c r="C26" s="40">
        <v>24</v>
      </c>
      <c r="D26" s="40">
        <v>54</v>
      </c>
      <c r="E26" s="41">
        <v>80</v>
      </c>
      <c r="F26" s="41">
        <v>6834</v>
      </c>
      <c r="G26" s="41">
        <v>85</v>
      </c>
      <c r="H26" s="41">
        <v>1319</v>
      </c>
      <c r="I26" s="41">
        <v>80</v>
      </c>
      <c r="J26" s="41">
        <v>2212</v>
      </c>
      <c r="K26" s="42">
        <v>85</v>
      </c>
      <c r="L26" s="42">
        <v>85</v>
      </c>
      <c r="M26" s="42">
        <v>1914</v>
      </c>
      <c r="N26" s="39">
        <v>85</v>
      </c>
      <c r="O26" s="39">
        <v>83</v>
      </c>
      <c r="P26" s="39">
        <v>85</v>
      </c>
      <c r="Q26" s="39">
        <v>5771</v>
      </c>
      <c r="R26" s="77">
        <v>60</v>
      </c>
      <c r="S26" s="77">
        <v>233</v>
      </c>
      <c r="T26">
        <f t="shared" si="1"/>
        <v>0</v>
      </c>
    </row>
    <row r="27" spans="1:20" x14ac:dyDescent="0.25">
      <c r="A27" s="73">
        <v>44946</v>
      </c>
      <c r="B27" s="40"/>
      <c r="C27" s="40">
        <v>21</v>
      </c>
      <c r="D27" s="40">
        <v>44</v>
      </c>
      <c r="E27" s="41">
        <v>68</v>
      </c>
      <c r="F27" s="41">
        <v>6834</v>
      </c>
      <c r="G27" s="41">
        <v>85</v>
      </c>
      <c r="H27" s="41">
        <v>1323</v>
      </c>
      <c r="I27" s="41">
        <v>80</v>
      </c>
      <c r="J27" s="41">
        <v>2212</v>
      </c>
      <c r="K27" s="42">
        <v>85</v>
      </c>
      <c r="L27" s="42">
        <v>83</v>
      </c>
      <c r="M27" s="42">
        <v>1914</v>
      </c>
      <c r="N27" s="39">
        <v>85</v>
      </c>
      <c r="O27" s="39">
        <v>83</v>
      </c>
      <c r="P27" s="39">
        <v>80</v>
      </c>
      <c r="Q27" s="39">
        <v>5774</v>
      </c>
      <c r="R27" s="77">
        <v>60</v>
      </c>
      <c r="S27" s="77">
        <v>233</v>
      </c>
      <c r="T27">
        <f t="shared" si="1"/>
        <v>0</v>
      </c>
    </row>
    <row r="28" spans="1:20" x14ac:dyDescent="0.25">
      <c r="A28" s="73">
        <v>44947</v>
      </c>
      <c r="B28" s="40">
        <v>11</v>
      </c>
      <c r="C28" s="40">
        <v>18</v>
      </c>
      <c r="D28" s="40">
        <v>33</v>
      </c>
      <c r="E28" s="41">
        <v>50</v>
      </c>
      <c r="F28" s="41">
        <v>6834</v>
      </c>
      <c r="G28" s="41">
        <v>85</v>
      </c>
      <c r="H28" s="41">
        <v>1327</v>
      </c>
      <c r="I28" s="41">
        <v>80</v>
      </c>
      <c r="J28" s="41">
        <v>2212</v>
      </c>
      <c r="K28" s="42">
        <v>85</v>
      </c>
      <c r="L28" s="42">
        <v>80</v>
      </c>
      <c r="M28" s="42">
        <v>1914</v>
      </c>
      <c r="N28" s="39">
        <v>85</v>
      </c>
      <c r="O28" s="39">
        <v>83</v>
      </c>
      <c r="P28" s="39">
        <v>80</v>
      </c>
      <c r="Q28" s="39">
        <v>5777</v>
      </c>
      <c r="R28" s="77">
        <v>60</v>
      </c>
      <c r="S28" s="77">
        <v>233</v>
      </c>
      <c r="T28">
        <f t="shared" si="1"/>
        <v>0</v>
      </c>
    </row>
    <row r="29" spans="1:20" x14ac:dyDescent="0.25">
      <c r="A29" s="73">
        <v>44948</v>
      </c>
      <c r="B29" s="40">
        <v>8</v>
      </c>
      <c r="C29" s="40">
        <v>15</v>
      </c>
      <c r="D29" s="40">
        <v>26</v>
      </c>
      <c r="E29" s="41">
        <v>40</v>
      </c>
      <c r="F29" s="41">
        <v>6834</v>
      </c>
      <c r="G29" s="41">
        <v>85</v>
      </c>
      <c r="H29" s="41">
        <v>1329</v>
      </c>
      <c r="I29" s="41">
        <v>80</v>
      </c>
      <c r="J29" s="41">
        <v>2212</v>
      </c>
      <c r="K29" s="42">
        <v>85</v>
      </c>
      <c r="L29" s="42">
        <v>80</v>
      </c>
      <c r="M29" s="42">
        <v>1914</v>
      </c>
      <c r="N29" s="39">
        <v>85</v>
      </c>
      <c r="O29" s="39">
        <v>83</v>
      </c>
      <c r="P29" s="39">
        <v>75</v>
      </c>
      <c r="Q29" s="39">
        <v>5779</v>
      </c>
      <c r="R29" s="77">
        <v>60</v>
      </c>
      <c r="S29" s="77">
        <v>233</v>
      </c>
      <c r="T29">
        <f t="shared" si="1"/>
        <v>0</v>
      </c>
    </row>
    <row r="30" spans="1:20" x14ac:dyDescent="0.25">
      <c r="A30" s="73">
        <v>44949</v>
      </c>
      <c r="B30" s="40">
        <v>8</v>
      </c>
      <c r="C30" s="40">
        <v>15</v>
      </c>
      <c r="D30" s="40">
        <v>26</v>
      </c>
      <c r="E30" s="41">
        <v>30</v>
      </c>
      <c r="F30" s="41">
        <v>6834</v>
      </c>
      <c r="G30" s="41">
        <v>85</v>
      </c>
      <c r="H30" s="41">
        <v>1331</v>
      </c>
      <c r="I30" s="41">
        <v>80</v>
      </c>
      <c r="J30" s="41">
        <v>2212</v>
      </c>
      <c r="K30" s="42">
        <v>85</v>
      </c>
      <c r="L30" s="42">
        <v>80</v>
      </c>
      <c r="M30" s="42">
        <v>1914</v>
      </c>
      <c r="N30" s="39">
        <v>85</v>
      </c>
      <c r="O30" s="39">
        <v>83</v>
      </c>
      <c r="P30" s="39">
        <v>75</v>
      </c>
      <c r="Q30" s="39">
        <v>5781</v>
      </c>
      <c r="R30" s="77">
        <v>60</v>
      </c>
      <c r="S30" s="77">
        <v>233</v>
      </c>
      <c r="T30">
        <f t="shared" si="1"/>
        <v>0</v>
      </c>
    </row>
    <row r="31" spans="1:20" x14ac:dyDescent="0.25">
      <c r="A31" s="73">
        <v>44950</v>
      </c>
      <c r="B31" s="40">
        <v>11</v>
      </c>
      <c r="C31" s="40">
        <v>15</v>
      </c>
      <c r="D31" s="40">
        <v>28</v>
      </c>
      <c r="E31" s="41">
        <v>20</v>
      </c>
      <c r="F31" s="41">
        <v>6834</v>
      </c>
      <c r="G31" s="41">
        <v>85</v>
      </c>
      <c r="H31" s="41">
        <v>1333</v>
      </c>
      <c r="I31" s="41">
        <v>80</v>
      </c>
      <c r="J31" s="41">
        <v>2212</v>
      </c>
      <c r="K31" s="42">
        <v>85</v>
      </c>
      <c r="L31" s="42">
        <v>80</v>
      </c>
      <c r="M31" s="42">
        <v>1914</v>
      </c>
      <c r="N31" s="39">
        <v>85</v>
      </c>
      <c r="O31" s="39">
        <v>83</v>
      </c>
      <c r="P31" s="39">
        <v>75</v>
      </c>
      <c r="Q31" s="39">
        <v>5785</v>
      </c>
      <c r="R31" s="77">
        <v>60</v>
      </c>
      <c r="S31" s="77">
        <v>233</v>
      </c>
      <c r="T31">
        <f t="shared" si="1"/>
        <v>0</v>
      </c>
    </row>
    <row r="32" spans="1:20" x14ac:dyDescent="0.25">
      <c r="A32" s="73">
        <v>44951</v>
      </c>
      <c r="B32" s="40">
        <v>8</v>
      </c>
      <c r="C32" s="40">
        <v>12</v>
      </c>
      <c r="D32" s="40">
        <v>23</v>
      </c>
      <c r="E32" s="41">
        <v>15</v>
      </c>
      <c r="F32" s="41">
        <v>6834</v>
      </c>
      <c r="G32" s="41">
        <v>85</v>
      </c>
      <c r="H32" s="41">
        <v>1336</v>
      </c>
      <c r="I32" s="41">
        <v>80</v>
      </c>
      <c r="J32" s="41">
        <v>2212</v>
      </c>
      <c r="K32" s="42">
        <v>85</v>
      </c>
      <c r="L32" s="42">
        <v>80</v>
      </c>
      <c r="M32" s="42">
        <v>1914</v>
      </c>
      <c r="N32" s="39">
        <v>85</v>
      </c>
      <c r="O32" s="39">
        <v>83</v>
      </c>
      <c r="P32" s="39">
        <v>70</v>
      </c>
      <c r="Q32" s="39">
        <v>5788</v>
      </c>
      <c r="R32" s="77">
        <v>60</v>
      </c>
      <c r="S32" s="77">
        <v>233</v>
      </c>
      <c r="T32">
        <f t="shared" si="1"/>
        <v>0</v>
      </c>
    </row>
    <row r="33" spans="1:20" x14ac:dyDescent="0.25">
      <c r="A33" s="73">
        <v>44952</v>
      </c>
      <c r="B33" s="40"/>
      <c r="C33" s="40">
        <v>11</v>
      </c>
      <c r="D33" s="40">
        <v>21</v>
      </c>
      <c r="E33" s="41">
        <v>10</v>
      </c>
      <c r="F33" s="41">
        <v>6834</v>
      </c>
      <c r="G33" s="41">
        <v>85</v>
      </c>
      <c r="H33" s="41">
        <v>1339</v>
      </c>
      <c r="I33" s="41">
        <v>80</v>
      </c>
      <c r="J33" s="41">
        <v>2212</v>
      </c>
      <c r="K33" s="42">
        <v>85</v>
      </c>
      <c r="L33" s="42">
        <v>80</v>
      </c>
      <c r="M33" s="42">
        <v>1914</v>
      </c>
      <c r="N33" s="39">
        <v>85</v>
      </c>
      <c r="O33" s="39">
        <v>83</v>
      </c>
      <c r="P33" s="39">
        <v>60</v>
      </c>
      <c r="Q33" s="39">
        <v>5788</v>
      </c>
      <c r="R33" s="77">
        <v>60</v>
      </c>
      <c r="S33" s="77">
        <v>233</v>
      </c>
      <c r="T33">
        <f t="shared" si="1"/>
        <v>0</v>
      </c>
    </row>
    <row r="34" spans="1:20" x14ac:dyDescent="0.25">
      <c r="A34" s="73">
        <v>44953</v>
      </c>
      <c r="B34" s="40"/>
      <c r="C34" s="40">
        <v>9</v>
      </c>
      <c r="D34" s="40">
        <v>16</v>
      </c>
      <c r="E34" s="41">
        <v>5</v>
      </c>
      <c r="F34" s="41">
        <v>6834</v>
      </c>
      <c r="G34" s="41">
        <v>85</v>
      </c>
      <c r="H34" s="41">
        <v>1340</v>
      </c>
      <c r="I34" s="41">
        <v>80</v>
      </c>
      <c r="J34" s="41">
        <v>2212</v>
      </c>
      <c r="K34" s="42">
        <v>85</v>
      </c>
      <c r="L34" s="42">
        <v>80</v>
      </c>
      <c r="M34" s="42">
        <v>1914</v>
      </c>
      <c r="N34" s="39">
        <v>85</v>
      </c>
      <c r="O34" s="39">
        <v>83</v>
      </c>
      <c r="P34" s="39">
        <v>58</v>
      </c>
      <c r="Q34" s="39">
        <v>5794</v>
      </c>
      <c r="R34" s="77">
        <v>60</v>
      </c>
      <c r="S34" s="77">
        <v>233</v>
      </c>
      <c r="T34">
        <f t="shared" si="1"/>
        <v>0</v>
      </c>
    </row>
    <row r="35" spans="1:20" x14ac:dyDescent="0.25">
      <c r="A35" s="73">
        <v>44954</v>
      </c>
      <c r="B35" s="40"/>
      <c r="C35" s="40">
        <v>10</v>
      </c>
      <c r="D35" s="40">
        <v>19</v>
      </c>
      <c r="E35" s="41">
        <v>0</v>
      </c>
      <c r="F35" s="41">
        <v>6834</v>
      </c>
      <c r="G35" s="41">
        <v>78</v>
      </c>
      <c r="H35" s="41">
        <v>1342</v>
      </c>
      <c r="I35" s="41">
        <v>80</v>
      </c>
      <c r="J35" s="41">
        <v>2212</v>
      </c>
      <c r="K35" s="42">
        <v>85</v>
      </c>
      <c r="L35" s="42">
        <v>80</v>
      </c>
      <c r="M35" s="42">
        <v>1914</v>
      </c>
      <c r="N35" s="39">
        <v>85</v>
      </c>
      <c r="O35" s="39">
        <v>83</v>
      </c>
      <c r="P35" s="39">
        <v>55</v>
      </c>
      <c r="Q35" s="39">
        <v>5799</v>
      </c>
      <c r="R35" s="77">
        <v>60</v>
      </c>
      <c r="S35" s="77">
        <v>233</v>
      </c>
      <c r="T35">
        <f t="shared" si="1"/>
        <v>0</v>
      </c>
    </row>
    <row r="36" spans="1:20" x14ac:dyDescent="0.25">
      <c r="A36" s="73">
        <v>44955</v>
      </c>
      <c r="B36" s="40"/>
      <c r="C36" s="40">
        <v>10</v>
      </c>
      <c r="D36" s="40">
        <v>19</v>
      </c>
      <c r="E36" s="41">
        <v>0</v>
      </c>
      <c r="F36" s="41">
        <v>6834</v>
      </c>
      <c r="G36" s="41">
        <v>70</v>
      </c>
      <c r="H36" s="41">
        <v>1344</v>
      </c>
      <c r="I36" s="41">
        <v>80</v>
      </c>
      <c r="J36" s="41">
        <v>2212</v>
      </c>
      <c r="K36" s="42">
        <v>85</v>
      </c>
      <c r="L36" s="42">
        <v>78</v>
      </c>
      <c r="M36" s="42">
        <v>1914</v>
      </c>
      <c r="N36" s="39">
        <v>85</v>
      </c>
      <c r="O36" s="39">
        <v>83</v>
      </c>
      <c r="P36" s="39">
        <v>50</v>
      </c>
      <c r="Q36" s="39">
        <v>5801</v>
      </c>
      <c r="R36" s="77">
        <v>60</v>
      </c>
      <c r="S36" s="77">
        <v>233</v>
      </c>
      <c r="T36">
        <f t="shared" si="1"/>
        <v>0</v>
      </c>
    </row>
    <row r="37" spans="1:20" x14ac:dyDescent="0.25">
      <c r="A37" s="73">
        <v>44956</v>
      </c>
      <c r="B37" s="40"/>
      <c r="C37" s="40">
        <v>10</v>
      </c>
      <c r="D37" s="40">
        <v>19</v>
      </c>
      <c r="E37" s="41">
        <v>0</v>
      </c>
      <c r="F37" s="41">
        <v>6834</v>
      </c>
      <c r="G37" s="41">
        <v>55</v>
      </c>
      <c r="H37" s="41">
        <v>1347</v>
      </c>
      <c r="I37" s="41">
        <v>80</v>
      </c>
      <c r="J37" s="41">
        <v>2212</v>
      </c>
      <c r="K37" s="42">
        <v>85</v>
      </c>
      <c r="L37" s="42">
        <v>75</v>
      </c>
      <c r="M37" s="42">
        <v>1914</v>
      </c>
      <c r="N37" s="39">
        <v>85</v>
      </c>
      <c r="O37" s="39">
        <v>83</v>
      </c>
      <c r="P37" s="39">
        <v>50</v>
      </c>
      <c r="Q37" s="39">
        <v>5804</v>
      </c>
      <c r="R37" s="77">
        <v>60</v>
      </c>
      <c r="S37" s="77">
        <v>233</v>
      </c>
      <c r="T37">
        <f t="shared" si="1"/>
        <v>0</v>
      </c>
    </row>
    <row r="38" spans="1:20" x14ac:dyDescent="0.25">
      <c r="A38" s="73">
        <v>44957</v>
      </c>
      <c r="B38" s="40"/>
      <c r="C38" s="40">
        <v>10</v>
      </c>
      <c r="D38" s="40">
        <v>18</v>
      </c>
      <c r="E38" s="41">
        <v>0</v>
      </c>
      <c r="F38" s="41">
        <v>6834</v>
      </c>
      <c r="G38" s="41">
        <v>45</v>
      </c>
      <c r="H38" s="41">
        <v>1349</v>
      </c>
      <c r="I38" s="41">
        <v>80</v>
      </c>
      <c r="J38" s="41">
        <v>2212</v>
      </c>
      <c r="K38" s="42">
        <v>85</v>
      </c>
      <c r="L38" s="42">
        <v>75</v>
      </c>
      <c r="M38" s="42">
        <v>1914</v>
      </c>
      <c r="N38" s="39">
        <v>85</v>
      </c>
      <c r="O38" s="39">
        <v>83</v>
      </c>
      <c r="P38" s="39">
        <v>45</v>
      </c>
      <c r="Q38" s="39">
        <v>5807</v>
      </c>
      <c r="R38" s="77">
        <v>60</v>
      </c>
      <c r="S38" s="77">
        <v>233</v>
      </c>
      <c r="T38">
        <f t="shared" si="1"/>
        <v>0</v>
      </c>
    </row>
    <row r="39" spans="1:20" x14ac:dyDescent="0.25">
      <c r="A39" s="73"/>
      <c r="B39" s="40"/>
      <c r="C39" s="40"/>
      <c r="D39" s="40"/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  <c r="R39" s="77"/>
      <c r="S39" s="77"/>
      <c r="T39">
        <f t="shared" si="1"/>
        <v>-233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Putu Sandiasa</cp:lastModifiedBy>
  <dcterms:created xsi:type="dcterms:W3CDTF">2019-08-14T08:16:24Z</dcterms:created>
  <dcterms:modified xsi:type="dcterms:W3CDTF">2023-02-01T10:05:58Z</dcterms:modified>
</cp:coreProperties>
</file>