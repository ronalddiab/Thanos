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D32" i="3" l="1"/>
  <c r="D32" i="1" s="1"/>
  <c r="B32" i="3"/>
  <c r="L32" i="1"/>
  <c r="K32" i="1"/>
  <c r="I32" i="1"/>
  <c r="G32" i="1"/>
  <c r="E32" i="1"/>
  <c r="C32" i="1"/>
  <c r="B32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<sst xmlns="http://schemas.openxmlformats.org/spreadsheetml/2006/main" count="108" uniqueCount="33">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</sst>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f>Submetering!D2</f>
        <v>2022</v>
      </c>
      <c r="E2" s="20">
        <f>Submetering!E2</f>
        <v>8872.65</v>
      </c>
      <c r="F2" s="16">
        <v>0.12</v>
      </c>
      <c r="G2" s="20">
        <f>Submetering!F2+Submetering!G2</f>
        <v>93.18</v>
      </c>
      <c r="H2" s="16">
        <v>0.71</v>
      </c>
      <c r="I2" s="20">
        <f>Submetering!J2+Submetering!I2+Submetering!H2</f>
        <v>97.9</v>
      </c>
      <c r="J2" s="16">
        <v>2.3196172978505634</v>
      </c>
      <c r="K2" s="20">
        <f>Submetering!K2</f>
        <v>99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7</v>
      </c>
      <c r="D3" s="9">
        <f>Submetering!D3</f>
        <v>2022</v>
      </c>
      <c r="E3" s="20">
        <f>Submetering!E3</f>
        <v>9481.24</v>
      </c>
      <c r="F3" s="16">
        <v>0.12</v>
      </c>
      <c r="G3" s="20">
        <f>Submetering!F3+Submetering!G3</f>
        <v>133.17000000000002</v>
      </c>
      <c r="H3" s="16">
        <v>0.71</v>
      </c>
      <c r="I3" s="20">
        <f>Submetering!J3+Submetering!I3+Submetering!H3</f>
        <v>105.99</v>
      </c>
      <c r="J3" s="16">
        <v>2.3196172978505634</v>
      </c>
      <c r="K3" s="20">
        <f>Submetering!K3</f>
        <v>96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7</v>
      </c>
      <c r="D4" s="9">
        <f>Submetering!D4</f>
        <v>2022</v>
      </c>
      <c r="E4" s="20">
        <f>Submetering!E4</f>
        <v>10034.51</v>
      </c>
      <c r="F4" s="16">
        <v>0.12</v>
      </c>
      <c r="G4" s="20">
        <f>Submetering!F4+Submetering!G4</f>
        <v>123.87</v>
      </c>
      <c r="H4" s="16">
        <v>0.71</v>
      </c>
      <c r="I4" s="20">
        <f>Submetering!J4+Submetering!I4+Submetering!H4</f>
        <v>94.17</v>
      </c>
      <c r="J4" s="16">
        <v>2.3196172978505634</v>
      </c>
      <c r="K4" s="20">
        <f>Submetering!K4</f>
        <v>97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7</v>
      </c>
      <c r="D5" s="9">
        <f>Submetering!D5</f>
        <v>2022</v>
      </c>
      <c r="E5" s="20">
        <f>Submetering!E5</f>
        <v>9756.19</v>
      </c>
      <c r="F5" s="16">
        <v>0.12</v>
      </c>
      <c r="G5" s="20">
        <f>Submetering!F5+Submetering!G5</f>
        <v>94.419999999999987</v>
      </c>
      <c r="H5" s="16">
        <v>0.71</v>
      </c>
      <c r="I5" s="20">
        <f>Submetering!J5+Submetering!I5+Submetering!H5</f>
        <v>101.01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7</v>
      </c>
      <c r="D6" s="9">
        <f>Submetering!D6</f>
        <v>2022</v>
      </c>
      <c r="E6" s="20">
        <f>Submetering!E6</f>
        <v>9697.09</v>
      </c>
      <c r="F6" s="16">
        <v>0.12</v>
      </c>
      <c r="G6" s="20">
        <f>Submetering!F6+Submetering!G6</f>
        <v>78.59</v>
      </c>
      <c r="H6" s="16">
        <v>0.71</v>
      </c>
      <c r="I6" s="20">
        <f>Submetering!J6+Submetering!I6+Submetering!H6</f>
        <v>101.76</v>
      </c>
      <c r="J6" s="16">
        <v>2.3196172978505634</v>
      </c>
      <c r="K6" s="20">
        <f>Submetering!K6</f>
        <v>91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7</v>
      </c>
      <c r="D7" s="9">
        <f>Submetering!D7</f>
        <v>2022</v>
      </c>
      <c r="E7" s="20">
        <f>Submetering!E7</f>
        <v>9706.09</v>
      </c>
      <c r="F7" s="16">
        <v>0.12</v>
      </c>
      <c r="G7" s="20">
        <f>Submetering!F7+Submetering!G7</f>
        <v>79.640000000000015</v>
      </c>
      <c r="H7" s="16">
        <v>0.71</v>
      </c>
      <c r="I7" s="20">
        <f>Submetering!J7+Submetering!I7+Submetering!H7</f>
        <v>94.23</v>
      </c>
      <c r="J7" s="16">
        <v>2.3196172978505634</v>
      </c>
      <c r="K7" s="20">
        <f>Submetering!K7</f>
        <v>94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7</v>
      </c>
      <c r="D8" s="9">
        <f>Submetering!D8</f>
        <v>2022</v>
      </c>
      <c r="E8" s="20">
        <f>Submetering!E8</f>
        <v>9222.75</v>
      </c>
      <c r="F8" s="16">
        <v>0.12</v>
      </c>
      <c r="G8" s="20">
        <f>Submetering!F8+Submetering!G8</f>
        <v>84.759999999999991</v>
      </c>
      <c r="H8" s="16">
        <v>0.71</v>
      </c>
      <c r="I8" s="20">
        <f>Submetering!J8+Submetering!I8+Submetering!H8</f>
        <v>83.86</v>
      </c>
      <c r="J8" s="16">
        <v>2.3196172978505634</v>
      </c>
      <c r="K8" s="20">
        <f>Submetering!K8</f>
        <v>87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7</v>
      </c>
      <c r="D9" s="9">
        <f>Submetering!D9</f>
        <v>2022</v>
      </c>
      <c r="E9" s="20">
        <f>Submetering!E9</f>
        <v>9397.1299999999992</v>
      </c>
      <c r="F9" s="16">
        <v>0.12</v>
      </c>
      <c r="G9" s="20">
        <f>Submetering!F9+Submetering!G9</f>
        <v>156.47999999999999</v>
      </c>
      <c r="H9" s="16">
        <v>0.71</v>
      </c>
      <c r="I9" s="20">
        <f>Submetering!J9+Submetering!I9+Submetering!H9</f>
        <v>117.44</v>
      </c>
      <c r="J9" s="16">
        <v>2.3196172978505634</v>
      </c>
      <c r="K9" s="20">
        <f>Submetering!K9</f>
        <v>86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7</v>
      </c>
      <c r="D10" s="9">
        <f>Submetering!D10</f>
        <v>2022</v>
      </c>
      <c r="E10" s="20">
        <f>Submetering!E10</f>
        <v>9274.39</v>
      </c>
      <c r="F10" s="16">
        <v>0.12</v>
      </c>
      <c r="G10" s="20">
        <f>Submetering!F10+Submetering!G10</f>
        <v>310.07</v>
      </c>
      <c r="H10" s="16">
        <v>0.71</v>
      </c>
      <c r="I10" s="20">
        <f>Submetering!J10+Submetering!I10+Submetering!H10</f>
        <v>150.24</v>
      </c>
      <c r="J10" s="16">
        <v>2.3196172978505634</v>
      </c>
      <c r="K10" s="20">
        <f>Submetering!K10</f>
        <v>96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7</v>
      </c>
      <c r="D11" s="9">
        <f>Submetering!D11</f>
        <v>2022</v>
      </c>
      <c r="E11" s="20">
        <f>Submetering!E11</f>
        <v>9007.99</v>
      </c>
      <c r="F11" s="16">
        <v>0.12</v>
      </c>
      <c r="G11" s="20">
        <f>Submetering!F11+Submetering!G11</f>
        <v>232.23</v>
      </c>
      <c r="H11" s="16">
        <v>0.71</v>
      </c>
      <c r="I11" s="20">
        <f>Submetering!J11+Submetering!I11+Submetering!H11</f>
        <v>107.01</v>
      </c>
      <c r="J11" s="16">
        <v>2.3196172978505634</v>
      </c>
      <c r="K11" s="20">
        <f>Submetering!K11</f>
        <v>84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7</v>
      </c>
      <c r="D12" s="9">
        <f>Submetering!D12</f>
        <v>2022</v>
      </c>
      <c r="E12" s="20">
        <f>Submetering!E12</f>
        <v>9202.99</v>
      </c>
      <c r="F12" s="16">
        <v>0.12</v>
      </c>
      <c r="G12" s="20">
        <f>Submetering!F12+Submetering!G12</f>
        <v>196.23</v>
      </c>
      <c r="H12" s="16">
        <v>0.71</v>
      </c>
      <c r="I12" s="20">
        <f>Submetering!J12+Submetering!I12+Submetering!H12</f>
        <v>87.93</v>
      </c>
      <c r="J12" s="16">
        <v>2.3196172978505634</v>
      </c>
      <c r="K12" s="20">
        <f>Submetering!K12</f>
        <v>88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7</v>
      </c>
      <c r="D13" s="9">
        <f>Submetering!D13</f>
        <v>2022</v>
      </c>
      <c r="E13" s="20">
        <f>Submetering!E13</f>
        <v>9397.2800000000007</v>
      </c>
      <c r="F13" s="16">
        <v>0.12</v>
      </c>
      <c r="G13" s="20">
        <f>Submetering!F13+Submetering!G13</f>
        <v>148.76</v>
      </c>
      <c r="H13" s="16">
        <v>0.71</v>
      </c>
      <c r="I13" s="20">
        <f>Submetering!J13+Submetering!I13+Submetering!H13</f>
        <v>94.47</v>
      </c>
      <c r="J13" s="16">
        <v>2.3196172978505634</v>
      </c>
      <c r="K13" s="20">
        <f>Submetering!K13</f>
        <v>92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7</v>
      </c>
      <c r="D14" s="9">
        <f>Submetering!D14</f>
        <v>2022</v>
      </c>
      <c r="E14" s="20">
        <f>Submetering!E14</f>
        <v>10002.26</v>
      </c>
      <c r="F14" s="16">
        <v>0.12</v>
      </c>
      <c r="G14" s="20">
        <f>Submetering!F14+Submetering!G14</f>
        <v>160.94999999999999</v>
      </c>
      <c r="H14" s="16">
        <v>0.71</v>
      </c>
      <c r="I14" s="20">
        <f>Submetering!J14+Submetering!I14+Submetering!H14</f>
        <v>90.06</v>
      </c>
      <c r="J14" s="16">
        <v>2.3196172978505634</v>
      </c>
      <c r="K14" s="20">
        <f>Submetering!K14</f>
        <v>104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7</v>
      </c>
      <c r="D15" s="9">
        <f>Submetering!D15</f>
        <v>2022</v>
      </c>
      <c r="E15" s="20">
        <f>Submetering!E15</f>
        <v>10805.74</v>
      </c>
      <c r="F15" s="16">
        <v>0.12</v>
      </c>
      <c r="G15" s="20">
        <f>Submetering!F15+Submetering!G15</f>
        <v>81.87</v>
      </c>
      <c r="H15" s="16">
        <v>0.71</v>
      </c>
      <c r="I15" s="20">
        <f>Submetering!J15+Submetering!I15+Submetering!H15</f>
        <v>101.19</v>
      </c>
      <c r="J15" s="16">
        <v>2.3196172978505634</v>
      </c>
      <c r="K15" s="20">
        <f>Submetering!K15</f>
        <v>101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7</v>
      </c>
      <c r="D16" s="9">
        <f>Submetering!D16</f>
        <v>2022</v>
      </c>
      <c r="E16" s="20">
        <f>Submetering!E16</f>
        <v>10966.84</v>
      </c>
      <c r="F16" s="16">
        <v>0.12</v>
      </c>
      <c r="G16" s="20">
        <f>Submetering!F16+Submetering!G16</f>
        <v>106.66</v>
      </c>
      <c r="H16" s="16">
        <v>0.71</v>
      </c>
      <c r="I16" s="20">
        <f>Submetering!J16+Submetering!I16+Submetering!H16</f>
        <v>102.46</v>
      </c>
      <c r="J16" s="16">
        <v>2.3196172978505634</v>
      </c>
      <c r="K16" s="20">
        <f>Submetering!K16</f>
        <v>89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7</v>
      </c>
      <c r="D17" s="9">
        <f>Submetering!D17</f>
        <v>2022</v>
      </c>
      <c r="E17" s="20">
        <f>Submetering!E17</f>
        <v>9855.86</v>
      </c>
      <c r="F17" s="16">
        <v>0.12</v>
      </c>
      <c r="G17" s="20">
        <f>Submetering!F17+Submetering!G17</f>
        <v>116.82</v>
      </c>
      <c r="H17" s="16">
        <v>0.71</v>
      </c>
      <c r="I17" s="20">
        <f>Submetering!J17+Submetering!I17+Submetering!H17</f>
        <v>52.59</v>
      </c>
      <c r="J17" s="16">
        <v>2.3196172978505634</v>
      </c>
      <c r="K17" s="20">
        <f>Submetering!K17</f>
        <v>90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7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99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7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7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7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7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7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7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7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7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7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7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7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7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7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7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7</v>
      </c>
      <c r="D2" s="40">
        <v>2022</v>
      </c>
      <c r="E2" s="37">
        <v>8872.65</v>
      </c>
      <c r="F2" s="37">
        <v>75.75</v>
      </c>
      <c r="G2" s="37">
        <v>17.43</v>
      </c>
      <c r="H2" s="37">
        <v>2.73</v>
      </c>
      <c r="I2" s="37">
        <v>36.17</v>
      </c>
      <c r="J2" s="37">
        <v>59</v>
      </c>
      <c r="K2" s="42">
        <v>99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7</v>
      </c>
      <c r="D3" s="40">
        <f>D2</f>
        <v>2022</v>
      </c>
      <c r="E3" s="37">
        <v>9481.24</v>
      </c>
      <c r="F3" s="37">
        <v>118.23</v>
      </c>
      <c r="G3" s="37">
        <v>14.94</v>
      </c>
      <c r="H3" s="37">
        <v>7.49</v>
      </c>
      <c r="I3" s="37">
        <v>34.5</v>
      </c>
      <c r="J3" s="37">
        <v>64</v>
      </c>
      <c r="K3" s="42">
        <v>96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7</v>
      </c>
      <c r="D4" s="40">
        <f t="shared" ref="D4:D32" si="2">D3</f>
        <v>2022</v>
      </c>
      <c r="E4" s="37">
        <v>10034.51</v>
      </c>
      <c r="F4" s="37">
        <v>110.92</v>
      </c>
      <c r="G4" s="37">
        <v>12.95</v>
      </c>
      <c r="H4" s="37">
        <v>2.17</v>
      </c>
      <c r="I4" s="37">
        <v>34.5</v>
      </c>
      <c r="J4" s="37">
        <v>57.5</v>
      </c>
      <c r="K4" s="42">
        <v>97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7</v>
      </c>
      <c r="D5" s="40">
        <f t="shared" si="2"/>
        <v>2022</v>
      </c>
      <c r="E5" s="37">
        <v>9756.19</v>
      </c>
      <c r="F5" s="37">
        <v>84.46</v>
      </c>
      <c r="G5" s="37">
        <v>9.9600000000000009</v>
      </c>
      <c r="H5" s="37">
        <v>5.51</v>
      </c>
      <c r="I5" s="37">
        <v>40</v>
      </c>
      <c r="J5" s="37">
        <v>55.5</v>
      </c>
      <c r="K5" s="6">
        <v>97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7</v>
      </c>
      <c r="D6" s="40">
        <f t="shared" si="2"/>
        <v>2022</v>
      </c>
      <c r="E6" s="37">
        <v>9697.09</v>
      </c>
      <c r="F6" s="37">
        <v>69.13</v>
      </c>
      <c r="G6" s="37">
        <v>9.4600000000000009</v>
      </c>
      <c r="H6" s="37">
        <v>5.76</v>
      </c>
      <c r="I6" s="37">
        <v>36</v>
      </c>
      <c r="J6" s="37">
        <v>60</v>
      </c>
      <c r="K6" s="6">
        <v>91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7</v>
      </c>
      <c r="D7" s="40">
        <f t="shared" si="2"/>
        <v>2022</v>
      </c>
      <c r="E7" s="37">
        <v>9706.09</v>
      </c>
      <c r="F7" s="37">
        <v>70.180000000000007</v>
      </c>
      <c r="G7" s="37">
        <v>9.4600000000000009</v>
      </c>
      <c r="H7" s="37">
        <v>2.23</v>
      </c>
      <c r="I7" s="37">
        <v>34</v>
      </c>
      <c r="J7" s="37">
        <v>58</v>
      </c>
      <c r="K7" s="6">
        <v>94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7</v>
      </c>
      <c r="D8" s="40">
        <f t="shared" si="2"/>
        <v>2022</v>
      </c>
      <c r="E8" s="37">
        <v>9222.75</v>
      </c>
      <c r="F8" s="37">
        <v>74.8</v>
      </c>
      <c r="G8" s="37">
        <v>9.9600000000000009</v>
      </c>
      <c r="H8" s="37">
        <v>2.36</v>
      </c>
      <c r="I8" s="37">
        <v>31</v>
      </c>
      <c r="J8" s="37">
        <v>50.5</v>
      </c>
      <c r="K8" s="6">
        <v>87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7</v>
      </c>
      <c r="D9" s="40">
        <f t="shared" si="2"/>
        <v>2022</v>
      </c>
      <c r="E9" s="37">
        <v>9397.1299999999992</v>
      </c>
      <c r="F9" s="37">
        <v>142.04</v>
      </c>
      <c r="G9" s="37">
        <v>14.44</v>
      </c>
      <c r="H9" s="37">
        <v>1.94</v>
      </c>
      <c r="I9" s="37">
        <v>42.5</v>
      </c>
      <c r="J9" s="37">
        <v>73</v>
      </c>
      <c r="K9" s="6">
        <v>86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7</v>
      </c>
      <c r="D10" s="40">
        <f t="shared" si="2"/>
        <v>2022</v>
      </c>
      <c r="E10" s="37">
        <v>9274.39</v>
      </c>
      <c r="F10" s="37">
        <v>294.13</v>
      </c>
      <c r="G10" s="37">
        <v>15.94</v>
      </c>
      <c r="H10" s="37">
        <v>2.2400000000000002</v>
      </c>
      <c r="I10" s="37">
        <v>49</v>
      </c>
      <c r="J10" s="37">
        <v>99</v>
      </c>
      <c r="K10" s="6">
        <v>96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7</v>
      </c>
      <c r="D11" s="40">
        <f t="shared" si="2"/>
        <v>2022</v>
      </c>
      <c r="E11" s="37">
        <v>9007.99</v>
      </c>
      <c r="F11" s="37">
        <v>216.79</v>
      </c>
      <c r="G11" s="37">
        <v>15.44</v>
      </c>
      <c r="H11" s="37">
        <v>2.5099999999999998</v>
      </c>
      <c r="I11" s="37">
        <v>35.5</v>
      </c>
      <c r="J11" s="37">
        <v>69</v>
      </c>
      <c r="K11" s="6">
        <v>84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7</v>
      </c>
      <c r="D12" s="40">
        <f t="shared" si="2"/>
        <v>2022</v>
      </c>
      <c r="E12" s="37">
        <v>9202.99</v>
      </c>
      <c r="F12" s="37">
        <v>180.79</v>
      </c>
      <c r="G12" s="37">
        <v>15.44</v>
      </c>
      <c r="H12" s="37">
        <v>1.93</v>
      </c>
      <c r="I12" s="37">
        <v>35</v>
      </c>
      <c r="J12" s="37">
        <v>51</v>
      </c>
      <c r="K12" s="6">
        <v>88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7</v>
      </c>
      <c r="D13" s="40">
        <f t="shared" si="2"/>
        <v>2022</v>
      </c>
      <c r="E13" s="37">
        <v>9397.2800000000007</v>
      </c>
      <c r="F13" s="37">
        <v>135.07</v>
      </c>
      <c r="G13" s="37">
        <v>13.69</v>
      </c>
      <c r="H13" s="37">
        <v>2.4700000000000002</v>
      </c>
      <c r="I13" s="37">
        <v>34</v>
      </c>
      <c r="J13" s="37">
        <v>58</v>
      </c>
      <c r="K13" s="43">
        <v>92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7</v>
      </c>
      <c r="D14" s="40">
        <f t="shared" si="2"/>
        <v>2022</v>
      </c>
      <c r="E14" s="37">
        <v>10002.26</v>
      </c>
      <c r="F14" s="37">
        <v>146.76</v>
      </c>
      <c r="G14" s="37">
        <v>14.19</v>
      </c>
      <c r="H14" s="37">
        <v>2.06</v>
      </c>
      <c r="I14" s="37">
        <v>32.5</v>
      </c>
      <c r="J14" s="37">
        <v>55.5</v>
      </c>
      <c r="K14" s="6">
        <v>104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7</v>
      </c>
      <c r="D15" s="40">
        <f t="shared" si="2"/>
        <v>2022</v>
      </c>
      <c r="E15" s="37">
        <v>10805.74</v>
      </c>
      <c r="F15" s="37">
        <v>68.430000000000007</v>
      </c>
      <c r="G15" s="37">
        <v>13.44</v>
      </c>
      <c r="H15" s="37">
        <v>2.69</v>
      </c>
      <c r="I15" s="37">
        <v>34.5</v>
      </c>
      <c r="J15" s="37">
        <v>64</v>
      </c>
      <c r="K15" s="6">
        <v>101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7</v>
      </c>
      <c r="D16" s="40">
        <f t="shared" si="2"/>
        <v>2022</v>
      </c>
      <c r="E16" s="37">
        <v>10966.84</v>
      </c>
      <c r="F16" s="37">
        <v>92.22</v>
      </c>
      <c r="G16" s="37">
        <v>14.44</v>
      </c>
      <c r="H16" s="37">
        <v>1.96</v>
      </c>
      <c r="I16" s="37">
        <v>36.5</v>
      </c>
      <c r="J16" s="37">
        <v>64</v>
      </c>
      <c r="K16" s="6">
        <v>89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7</v>
      </c>
      <c r="D17" s="40">
        <f t="shared" si="2"/>
        <v>2022</v>
      </c>
      <c r="E17" s="37">
        <v>9855.86</v>
      </c>
      <c r="F17" s="37">
        <v>103.89</v>
      </c>
      <c r="G17" s="37">
        <v>12.93</v>
      </c>
      <c r="H17" s="37">
        <v>2.59</v>
      </c>
      <c r="I17" s="37">
        <v>32.5</v>
      </c>
      <c r="J17" s="37">
        <v>17.5</v>
      </c>
      <c r="K17" s="6">
        <v>90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7</v>
      </c>
      <c r="D18" s="40">
        <f t="shared" si="2"/>
        <v>2022</v>
      </c>
      <c r="E18" s="37"/>
      <c r="F18" s="37"/>
      <c r="G18" s="37"/>
      <c r="H18" s="37"/>
      <c r="I18" s="37"/>
      <c r="J18" s="37"/>
      <c r="K18" s="6">
        <v>99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7</v>
      </c>
      <c r="D19" s="40">
        <f t="shared" si="2"/>
        <v>2022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7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7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7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7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7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7</v>
      </c>
      <c r="D25" s="40">
        <f t="shared" si="2"/>
        <v>2022</v>
      </c>
      <c r="E25" s="37"/>
      <c r="F25" s="37"/>
      <c r="G25" s="37"/>
      <c r="H25" s="37"/>
      <c r="I25" s="37"/>
      <c r="J25" s="37"/>
      <c r="K25" s="6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7</v>
      </c>
      <c r="D26" s="40">
        <f t="shared" si="2"/>
        <v>2022</v>
      </c>
      <c r="E26" s="37"/>
      <c r="F26" s="37"/>
      <c r="G26" s="37"/>
      <c r="H26" s="37"/>
      <c r="I26" s="37"/>
      <c r="K26" s="6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7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7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7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7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7</v>
      </c>
      <c r="D31" s="6">
        <f t="shared" si="2"/>
        <v>2022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7</v>
      </c>
      <c r="D32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4"/>
      <c r="C1" s="1"/>
      <c r="D1" s="11"/>
      <c r="E1" s="1"/>
      <c r="F1" s="14"/>
      <c r="G1" s="1"/>
      <c r="H1" s="1"/>
      <c r="I1" s="45"/>
      <c r="J1" s="50"/>
      <c r="K1" s="51"/>
      <c r="L1" s="51"/>
      <c r="M1" s="51"/>
      <c r="N1" s="51"/>
      <c r="O1" s="51"/>
      <c r="P1" s="21"/>
      <c r="Q1" s="21"/>
    </row>
    <row r="2" spans="1:17" ht="35.25" customHeight="1" thickBot="1" x14ac:dyDescent="0.3">
      <c r="A2" s="19" t="s">
        <v>15</v>
      </c>
      <c r="B2" s="44"/>
      <c r="C2" s="54" t="s">
        <v>22</v>
      </c>
      <c r="D2" s="55"/>
      <c r="E2" s="48" t="s">
        <v>23</v>
      </c>
      <c r="F2" s="48"/>
      <c r="G2" s="48" t="s">
        <v>24</v>
      </c>
      <c r="H2" s="48"/>
      <c r="I2" s="46"/>
      <c r="J2" s="52" t="s">
        <v>27</v>
      </c>
      <c r="K2" s="53"/>
      <c r="L2" s="56" t="s">
        <v>28</v>
      </c>
      <c r="M2" s="56"/>
      <c r="N2" s="56" t="s">
        <v>29</v>
      </c>
      <c r="O2" s="56"/>
      <c r="P2" s="10"/>
      <c r="Q2" s="10"/>
    </row>
    <row r="3" spans="1:17" ht="44.25" customHeight="1" x14ac:dyDescent="0.25">
      <c r="A3" s="2" t="s">
        <v>0</v>
      </c>
      <c r="B3" s="4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4"/>
      <c r="C4" s="18">
        <v>22342913</v>
      </c>
      <c r="D4" s="49">
        <f>IF((C5-C4&lt;0), "",C5-C4)</f>
        <v>7975</v>
      </c>
      <c r="E4" s="18">
        <v>23837512</v>
      </c>
      <c r="F4" s="57">
        <f>IF((E5-E4&lt;0), "",E5-E4)</f>
        <v>5799</v>
      </c>
      <c r="G4" s="18">
        <v>9975816</v>
      </c>
      <c r="H4" s="49">
        <f>IF((G5-G4&lt;0), "",G5-G4)</f>
        <v>3477</v>
      </c>
      <c r="I4" s="46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4"/>
      <c r="C5" s="18">
        <v>22350888</v>
      </c>
      <c r="D5" s="49"/>
      <c r="E5" s="18">
        <v>23843311</v>
      </c>
      <c r="F5" s="58"/>
      <c r="G5" s="18">
        <v>9979293</v>
      </c>
      <c r="H5" s="49"/>
      <c r="I5" s="46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4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2022-07-18T07:07:07Z</dcterms:modified>
</cp:coreProperties>
</file>