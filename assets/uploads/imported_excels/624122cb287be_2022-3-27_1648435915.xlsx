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externalReferences>
    <externalReference r:id="rId10"/>
  </externalReference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7" i="2" l="1"/>
  <c r="D17" i="4" l="1"/>
  <c r="J30" i="2" l="1"/>
  <c r="Q3" i="2" l="1"/>
  <c r="Q4" i="2"/>
  <c r="Q5" i="2"/>
  <c r="AC32" i="8"/>
  <c r="AB32" i="8"/>
  <c r="AA32" i="8"/>
  <c r="Z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AC31" i="8"/>
  <c r="AB31" i="8"/>
  <c r="AA31" i="8"/>
  <c r="Z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Y31" i="8" s="1"/>
  <c r="H31" i="8"/>
  <c r="G31" i="8"/>
  <c r="F31" i="8"/>
  <c r="E31" i="8"/>
  <c r="AC30" i="8"/>
  <c r="AB30" i="8"/>
  <c r="AA30" i="8"/>
  <c r="Z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Y30" i="8" l="1"/>
  <c r="Y32" i="8"/>
  <c r="AE32" i="8"/>
  <c r="AD31" i="8"/>
  <c r="AE31" i="8" s="1"/>
  <c r="AD30" i="8"/>
  <c r="AE30" i="8" s="1"/>
  <c r="AD32" i="8"/>
  <c r="K32" i="9" l="1"/>
  <c r="I32" i="9"/>
  <c r="G32" i="9"/>
  <c r="E32" i="9"/>
  <c r="K31" i="9"/>
  <c r="I31" i="9"/>
  <c r="G31" i="9"/>
  <c r="E31" i="9"/>
  <c r="K30" i="9"/>
  <c r="I30" i="9"/>
  <c r="G30" i="9"/>
  <c r="E30" i="9"/>
  <c r="K29" i="9"/>
  <c r="I29" i="9"/>
  <c r="G29" i="9"/>
  <c r="E29" i="9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1" i="2" s="1"/>
  <c r="K30" i="2"/>
  <c r="K3" i="2"/>
  <c r="B30" i="2" l="1"/>
  <c r="D30" i="2"/>
  <c r="F30" i="2"/>
  <c r="H30" i="2"/>
  <c r="P11" i="2" l="1"/>
  <c r="P13" i="2"/>
  <c r="P20" i="2" s="1"/>
  <c r="P22" i="2" s="1"/>
  <c r="P23" i="2" s="1"/>
  <c r="P24" i="2" s="1"/>
  <c r="P25" i="2" s="1"/>
  <c r="P27" i="2" s="1"/>
  <c r="P30" i="2" s="1"/>
  <c r="T27" i="2" l="1"/>
  <c r="T30" i="2" s="1"/>
  <c r="N30" i="2"/>
  <c r="L30" i="2"/>
  <c r="H7" i="2"/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B30" i="8" l="1"/>
  <c r="B31" i="8" s="1"/>
  <c r="B32" i="8" s="1"/>
  <c r="B30" i="9"/>
  <c r="B31" i="9" s="1"/>
  <c r="B32" i="9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AA2" i="1"/>
  <c r="Y2" i="1"/>
  <c r="S2" i="1"/>
  <c r="P2" i="1"/>
  <c r="M2" i="1"/>
  <c r="J2" i="1"/>
  <c r="G2" i="1"/>
  <c r="D2" i="1"/>
  <c r="C30" i="5"/>
  <c r="Z2" i="4"/>
  <c r="X2" i="4"/>
  <c r="I2" i="4"/>
  <c r="Y2" i="4" l="1"/>
  <c r="O71" i="10"/>
  <c r="AG31" i="1" l="1"/>
  <c r="AE31" i="1"/>
  <c r="AC31" i="1"/>
  <c r="J35" i="11"/>
  <c r="J32" i="11"/>
  <c r="J31" i="11"/>
  <c r="J30" i="11"/>
  <c r="J29" i="11"/>
  <c r="J26" i="11"/>
  <c r="J25" i="11"/>
  <c r="J24" i="11"/>
  <c r="J23" i="11"/>
  <c r="J22" i="11"/>
  <c r="J21" i="11"/>
  <c r="J18" i="11"/>
  <c r="J17" i="11"/>
  <c r="J16" i="11"/>
  <c r="J12" i="11"/>
  <c r="J10" i="11"/>
  <c r="J9" i="11"/>
  <c r="J8" i="11"/>
  <c r="J7" i="11"/>
  <c r="J6" i="11"/>
  <c r="J11" i="11"/>
  <c r="J4" i="11"/>
  <c r="J3" i="11"/>
  <c r="M71" i="10" l="1"/>
  <c r="O22" i="4" l="1"/>
  <c r="D19" i="4" l="1"/>
  <c r="F11" i="4" l="1"/>
  <c r="J19" i="11" l="1"/>
  <c r="S12" i="4" l="1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I12" i="4" l="1"/>
  <c r="I13" i="4"/>
  <c r="C3" i="2" l="1"/>
  <c r="E3" i="2"/>
  <c r="G3" i="2"/>
  <c r="I3" i="2"/>
  <c r="M3" i="2"/>
  <c r="O3" i="2"/>
  <c r="S4" i="2"/>
  <c r="U3" i="2"/>
  <c r="M4" i="2"/>
  <c r="U4" i="2"/>
  <c r="U5" i="2"/>
  <c r="C4" i="2" l="1"/>
  <c r="C5" i="2"/>
  <c r="I4" i="2"/>
  <c r="I5" i="2"/>
  <c r="O4" i="2"/>
  <c r="O5" i="2"/>
  <c r="G4" i="2"/>
  <c r="G5" i="2"/>
  <c r="S5" i="2"/>
  <c r="M5" i="2"/>
  <c r="E4" i="2" l="1"/>
  <c r="E5" i="2"/>
  <c r="J20" i="11" l="1"/>
  <c r="E20" i="2" l="1"/>
  <c r="C20" i="2"/>
  <c r="G20" i="2"/>
  <c r="I20" i="2"/>
  <c r="O20" i="2"/>
  <c r="Q20" i="2"/>
  <c r="U20" i="2"/>
  <c r="M20" i="2"/>
  <c r="S20" i="2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U31" i="4"/>
  <c r="T31" i="4"/>
  <c r="K9" i="4" l="1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Q15" i="2"/>
  <c r="O15" i="2"/>
  <c r="M15" i="2"/>
  <c r="I15" i="2"/>
  <c r="G15" i="2"/>
  <c r="K17" i="4" l="1"/>
  <c r="K18" i="4" l="1"/>
  <c r="K19" i="4" l="1"/>
  <c r="Z13" i="4"/>
  <c r="AA13" i="4" s="1"/>
  <c r="X13" i="4"/>
  <c r="W12" i="4"/>
  <c r="K20" i="4" l="1"/>
  <c r="Y13" i="4"/>
  <c r="K21" i="4" l="1"/>
  <c r="K22" i="4" l="1"/>
  <c r="K23" i="4" l="1"/>
  <c r="K24" i="4" l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K25" i="4" l="1"/>
  <c r="K26" i="4" l="1"/>
  <c r="D18" i="4"/>
  <c r="K27" i="4" l="1"/>
  <c r="K28" i="4" l="1"/>
  <c r="K29" i="4" l="1"/>
  <c r="O10" i="1"/>
  <c r="K30" i="4" l="1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AA31" i="1" l="1"/>
  <c r="Y31" i="1" l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P4" i="1" l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L6" i="1"/>
  <c r="M6" i="1" s="1"/>
  <c r="O5" i="1"/>
  <c r="O6" i="1"/>
  <c r="P6" i="1" s="1"/>
  <c r="R5" i="1"/>
  <c r="S5" i="1" s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P5" i="1" l="1"/>
  <c r="O31" i="1"/>
  <c r="M5" i="1"/>
  <c r="L31" i="1"/>
  <c r="J5" i="1"/>
  <c r="J31" i="1" s="1"/>
  <c r="I31" i="1"/>
  <c r="G5" i="1"/>
  <c r="F31" i="1"/>
  <c r="D5" i="1"/>
  <c r="C31" i="1"/>
  <c r="P31" i="1"/>
  <c r="G16" i="3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E31" i="2" s="1"/>
  <c r="G29" i="2"/>
  <c r="I29" i="2"/>
  <c r="I31" i="2" s="1"/>
  <c r="M29" i="2"/>
  <c r="M31" i="2" s="1"/>
  <c r="O29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AB28" i="8" l="1"/>
  <c r="O31" i="2"/>
  <c r="G31" i="2"/>
  <c r="C31" i="2"/>
  <c r="S31" i="2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U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E7" i="9" l="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K11" i="8"/>
  <c r="X12" i="4"/>
  <c r="C22" i="11"/>
  <c r="D22" i="11" s="1"/>
  <c r="AA17" i="8"/>
  <c r="AA8" i="8"/>
  <c r="E8" i="9" s="1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4" i="4"/>
  <c r="AA15" i="4"/>
  <c r="AA17" i="4"/>
  <c r="AA30" i="4"/>
  <c r="AA29" i="4"/>
  <c r="K31" i="4"/>
  <c r="S31" i="1"/>
  <c r="O31" i="4"/>
  <c r="S31" i="4"/>
  <c r="Z10" i="8"/>
  <c r="I17" i="4"/>
  <c r="Y17" i="4" s="1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s="1"/>
  <c r="C31" i="5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<sst xmlns="http://schemas.openxmlformats.org/spreadsheetml/2006/main" count="442" uniqueCount="149">
  <si>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</si>
  <si>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</si>
  <si>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</si>
  <si>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</si>
  <si>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</si>
  <si>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</si>
  <si>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</si>
  <si>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</si>
  <si>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</si>
  <si>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</si>
  <si>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</si>
  <si>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</si>
  <si>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</si>
  <si>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</si>
  <si>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</si>
  <si>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</si>
  <si>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</si>
  <si>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</si>
  <si>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</si>
  <si>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</si>
  <si>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</si>
  <si>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</si>
  <si>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</si>
  <si>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</si>
  <si>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</si>
  <si>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</si>
  <si>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</si>
  <si>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</si>
  <si>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</si>
  <si>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</si>
  <si>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</si>
  <si>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</si>
  <si>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</si>
  <si>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</si>
  <si>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</si>
  <si>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</si>
  <si>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</si>
  <si>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</si>
  <si>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</si>
  <si>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</si>
  <si>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</si>
  <si>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</si>
  <si>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</si>
  <si>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</si>
  <si>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</si>
  <si>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</si>
  <si>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</si>
  <si>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</si>
  <si>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</si>
  <si>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</si>
  <si>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</si>
  <si>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</si>
  <si>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</si>
  <si>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</si>
  <si>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</si>
  <si>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</si>
  <si>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</si>
  <si>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</si>
  <si>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</si>
  <si>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</si>
  <si>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</si>
  <si>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</si>
  <si>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</si>
  <si>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</si>
  <si>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</si>
  <si>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</si>
  <si>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</si>
  <si>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</si>
  <si>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</si>
  <si>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</si>
  <si>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</si>
  <si>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</si>
  <si>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</si>
  <si>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</si>
  <si>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</si>
  <si>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</si>
  <si>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</si>
  <si>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</si>
  <si>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</si>
  <si>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</si>
  <si>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</si>
  <si>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</si>
  <si>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</si>
  <si>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</si>
  <si>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</si>
  <si>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</si>
  <si>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</si>
  <si>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</si>
  <si>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</si>
  <si>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</si>
  <si>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</si>
  <si>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</si>
  <si>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</si>
  <si>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</si>
  <si>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</si>
  <si>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</si>
  <si>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</si>
  <si>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</si>
  <si>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</si>
  <si>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</si>
  <si>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</si>
  <si>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</si>
  <si>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</si>
  <si>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</si>
  <si>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</si>
  <si>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</si>
  <si>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</si>
  <si>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</si>
  <si>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</si>
  <si>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</si>
  <si>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</si>
  <si>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</si>
  <si>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</si>
  <si>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</si>
  <si>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</si>
  <si>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</si>
  <si>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</si>
  <si>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</si>
  <si>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</si>
  <si>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</si>
  <si>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</si>
  <si>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</si>
  <si>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</si>
  <si>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</si>
  <si>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</si>
  <si>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</si>
  <si>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</si>
  <si>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</si>
  <si>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</si>
  <si>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</si>
  <si>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</si>
  <si>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</si>
  <si>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</si>
  <si>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</si>
  <si>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</si>
  <si>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</si>
  <si>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</si>
  <si>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</si>
  <si>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</si>
  <si>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</si>
  <si>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</si>
  <si>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</si>
  <si>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</si>
  <si>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</si>
  <si>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</si>
  <si>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December 2021</t>
  </si>
  <si>
    <t>Acutal till Jan 2022</t>
  </si>
  <si>
    <t>Acutal till Feb. 2022</t>
  </si>
  <si>
    <t>Energy Monthly Statement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</si>
</sst>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.saber/Desktop/Consumption%20Dec%2027th-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Mall, Citadel, Rotana"/>
      <sheetName val="ELECT."/>
      <sheetName val="Water"/>
      <sheetName val="Gas"/>
      <sheetName val="BTU"/>
      <sheetName val="Energy Monthly Statement"/>
      <sheetName val="Plaza and residential"/>
    </sheetNames>
    <sheetDataSet>
      <sheetData sheetId="0"/>
      <sheetData sheetId="1">
        <row r="29">
          <cell r="H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-25.569199999999999</v>
          </cell>
          <cell r="AE29">
            <v>-168.4308</v>
          </cell>
        </row>
        <row r="30">
          <cell r="H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-25.569199999999999</v>
          </cell>
          <cell r="AE30">
            <v>-168.4308</v>
          </cell>
        </row>
        <row r="31">
          <cell r="H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-25.569199999999999</v>
          </cell>
          <cell r="AE31">
            <v>-168.4308</v>
          </cell>
        </row>
        <row r="32">
          <cell r="H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-25.569199999999999</v>
          </cell>
          <cell r="AE32">
            <v>-168.4308</v>
          </cell>
        </row>
      </sheetData>
      <sheetData sheetId="2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</row>
      </sheetData>
      <sheetData sheetId="3">
        <row r="30">
          <cell r="B30">
            <v>0</v>
          </cell>
        </row>
        <row r="31">
          <cell r="B31">
            <v>0</v>
          </cell>
          <cell r="H31">
            <v>0</v>
          </cell>
        </row>
        <row r="32">
          <cell r="B32">
            <v>0</v>
          </cell>
          <cell r="H32">
            <v>0</v>
          </cell>
        </row>
        <row r="33">
          <cell r="B33">
            <v>0</v>
          </cell>
          <cell r="H33">
            <v>0</v>
          </cell>
        </row>
      </sheetData>
      <sheetData sheetId="4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</sheetData>
      <sheetData sheetId="5"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</sheetData>
      <sheetData sheetId="6">
        <row r="31">
          <cell r="C31">
            <v>0</v>
          </cell>
          <cell r="F31">
            <v>0</v>
          </cell>
          <cell r="I31">
            <v>0</v>
          </cell>
          <cell r="L31">
            <v>0</v>
          </cell>
          <cell r="O31">
            <v>0</v>
          </cell>
          <cell r="R31">
            <v>0</v>
          </cell>
        </row>
        <row r="32">
          <cell r="C32">
            <v>0</v>
          </cell>
          <cell r="F32">
            <v>0</v>
          </cell>
          <cell r="I32">
            <v>0</v>
          </cell>
          <cell r="L32">
            <v>0</v>
          </cell>
          <cell r="O32">
            <v>0</v>
          </cell>
          <cell r="R32">
            <v>0</v>
          </cell>
        </row>
        <row r="33">
          <cell r="C33">
            <v>0</v>
          </cell>
          <cell r="F33">
            <v>0</v>
          </cell>
          <cell r="I33">
            <v>0</v>
          </cell>
          <cell r="L33">
            <v>0</v>
          </cell>
          <cell r="O33">
            <v>0</v>
          </cell>
          <cell r="R33">
            <v>0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1" sqref="J21:K21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3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52666.761912000002</v>
      </c>
      <c r="F2" s="140">
        <v>1.27</v>
      </c>
      <c r="G2" s="38">
        <f>Gas!C3*0.9147</f>
        <v>2882.2196999999996</v>
      </c>
      <c r="H2" s="141">
        <v>3.65</v>
      </c>
      <c r="I2" s="142">
        <f>Submetering!H2+Submetering!AD2+Submetering!AE2</f>
        <v>686</v>
      </c>
      <c r="J2" s="143">
        <v>10.029999999999999</v>
      </c>
      <c r="K2" s="38">
        <f>ELECT.!B3</f>
        <v>302</v>
      </c>
    </row>
    <row r="3" spans="1:14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55711.174443999997</v>
      </c>
      <c r="F3" s="140">
        <v>1.27</v>
      </c>
      <c r="G3" s="38">
        <f>Gas!C4*0.9147</f>
        <v>3003.8748000000001</v>
      </c>
      <c r="H3" s="141">
        <v>3.65</v>
      </c>
      <c r="I3" s="143">
        <f>Submetering!H3+Submetering!AD3+Submetering!AE3</f>
        <v>756</v>
      </c>
      <c r="J3" s="143">
        <v>10.029999999999999</v>
      </c>
      <c r="K3" s="38">
        <f>ELECT.!B4</f>
        <v>300</v>
      </c>
    </row>
    <row r="4" spans="1:14" x14ac:dyDescent="0.2">
      <c r="A4" s="49" t="s">
        <v>53</v>
      </c>
      <c r="B4" s="54">
        <f t="shared" ref="B4:B32" si="0">B3+1</f>
        <v>3</v>
      </c>
      <c r="C4" s="54">
        <v>3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38931.598232000004</v>
      </c>
      <c r="F4" s="140">
        <v>1.27</v>
      </c>
      <c r="G4" s="38">
        <f>Gas!C5*0.9147</f>
        <v>2314.1909999999998</v>
      </c>
      <c r="H4" s="141">
        <v>3.65</v>
      </c>
      <c r="I4" s="143">
        <f>Submetering!H4+Submetering!AD4+Submetering!AE4</f>
        <v>716</v>
      </c>
      <c r="J4" s="143">
        <v>10.029999999999999</v>
      </c>
      <c r="K4" s="38">
        <f>ELECT.!B5</f>
        <v>313</v>
      </c>
    </row>
    <row r="5" spans="1:14" x14ac:dyDescent="0.2">
      <c r="A5" s="49" t="s">
        <v>53</v>
      </c>
      <c r="B5" s="54">
        <f t="shared" si="0"/>
        <v>4</v>
      </c>
      <c r="C5" s="54">
        <v>3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51183.485832000006</v>
      </c>
      <c r="F5" s="140">
        <v>1.27</v>
      </c>
      <c r="G5" s="38">
        <f>Gas!C6*0.9147</f>
        <v>2926.1252999999997</v>
      </c>
      <c r="H5" s="141">
        <v>3.65</v>
      </c>
      <c r="I5" s="143">
        <f>Submetering!H5+Submetering!AD5+Submetering!AE5</f>
        <v>666.00000000000011</v>
      </c>
      <c r="J5" s="143">
        <v>10.029999999999999</v>
      </c>
      <c r="K5" s="38">
        <f>ELECT.!B6</f>
        <v>291</v>
      </c>
    </row>
    <row r="6" spans="1:14" x14ac:dyDescent="0.2">
      <c r="A6" s="49" t="s">
        <v>53</v>
      </c>
      <c r="B6" s="54">
        <f t="shared" si="0"/>
        <v>5</v>
      </c>
      <c r="C6" s="54">
        <v>3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52985.535247999993</v>
      </c>
      <c r="F6" s="140">
        <v>1.27</v>
      </c>
      <c r="G6" s="38">
        <f>Gas!C7*0.9147</f>
        <v>589.98149999999998</v>
      </c>
      <c r="H6" s="141">
        <v>3.65</v>
      </c>
      <c r="I6" s="143">
        <f>Submetering!H6+Submetering!AD6+Submetering!AE6</f>
        <v>696</v>
      </c>
      <c r="J6" s="143">
        <v>10.029999999999999</v>
      </c>
      <c r="K6" s="38">
        <f>ELECT.!B7</f>
        <v>308</v>
      </c>
    </row>
    <row r="7" spans="1:14" x14ac:dyDescent="0.2">
      <c r="A7" s="49" t="s">
        <v>53</v>
      </c>
      <c r="B7" s="54">
        <f t="shared" si="0"/>
        <v>6</v>
      </c>
      <c r="C7" s="54">
        <v>3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42449.982232000002</v>
      </c>
      <c r="F7" s="140">
        <v>1.27</v>
      </c>
      <c r="G7" s="38">
        <f>Gas!C8*0.9147</f>
        <v>2792.5790999999999</v>
      </c>
      <c r="H7" s="141">
        <v>3.65</v>
      </c>
      <c r="I7" s="143">
        <f>Submetering!H7+Submetering!AD7+Submetering!AE7</f>
        <v>706</v>
      </c>
      <c r="J7" s="143">
        <v>10.029999999999999</v>
      </c>
      <c r="K7" s="38">
        <f>ELECT.!B8</f>
        <v>218</v>
      </c>
    </row>
    <row r="8" spans="1:14" x14ac:dyDescent="0.2">
      <c r="A8" s="49" t="s">
        <v>53</v>
      </c>
      <c r="B8" s="54">
        <f t="shared" si="0"/>
        <v>7</v>
      </c>
      <c r="C8" s="54">
        <v>3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17005.097875999996</v>
      </c>
      <c r="F8" s="140">
        <v>1.27</v>
      </c>
      <c r="G8" s="38">
        <f>Gas!C9*0.9147</f>
        <v>2378.2199999999998</v>
      </c>
      <c r="H8" s="141">
        <v>3.65</v>
      </c>
      <c r="I8" s="143">
        <f>Submetering!H8+Submetering!AD8+Submetering!AE8</f>
        <v>776</v>
      </c>
      <c r="J8" s="143">
        <v>10.029999999999999</v>
      </c>
      <c r="K8" s="38">
        <f>ELECT.!B9</f>
        <v>155</v>
      </c>
    </row>
    <row r="9" spans="1:14" x14ac:dyDescent="0.2">
      <c r="A9" s="49" t="s">
        <v>53</v>
      </c>
      <c r="B9" s="54">
        <f t="shared" si="0"/>
        <v>8</v>
      </c>
      <c r="C9" s="54">
        <v>3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28681.623683999998</v>
      </c>
      <c r="F9" s="140">
        <v>1.27</v>
      </c>
      <c r="G9" s="38">
        <f>Gas!C10*0.9147</f>
        <v>2190.7064999999998</v>
      </c>
      <c r="H9" s="141">
        <v>3.65</v>
      </c>
      <c r="I9" s="143">
        <f>Submetering!H9+Submetering!AD9+Submetering!AE9</f>
        <v>846</v>
      </c>
      <c r="J9" s="143">
        <v>10.029999999999999</v>
      </c>
      <c r="K9" s="38">
        <f>ELECT.!B10</f>
        <v>313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3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14233.625295999997</v>
      </c>
      <c r="F10" s="140">
        <v>1.27</v>
      </c>
      <c r="G10" s="38">
        <f>Gas!C11*0.9147</f>
        <v>3076.1360999999997</v>
      </c>
      <c r="H10" s="141">
        <v>3.65</v>
      </c>
      <c r="I10" s="143">
        <f>Submetering!H10+Submetering!AD10+Submetering!AE10</f>
        <v>836</v>
      </c>
      <c r="J10" s="143">
        <v>10.029999999999999</v>
      </c>
      <c r="K10" s="38">
        <f>ELECT.!B11</f>
        <v>163</v>
      </c>
    </row>
    <row r="11" spans="1:14" x14ac:dyDescent="0.2">
      <c r="A11" s="49" t="s">
        <v>53</v>
      </c>
      <c r="B11" s="54">
        <f t="shared" si="0"/>
        <v>10</v>
      </c>
      <c r="C11" s="54">
        <v>3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13030.141764000002</v>
      </c>
      <c r="F11" s="140">
        <v>1.27</v>
      </c>
      <c r="G11" s="38">
        <f>Gas!C12*0.9147</f>
        <v>2498.9603999999999</v>
      </c>
      <c r="H11" s="141">
        <v>3.65</v>
      </c>
      <c r="I11" s="143">
        <f>Submetering!H11+Submetering!AD11+Submetering!AE11</f>
        <v>1526</v>
      </c>
      <c r="J11" s="143">
        <v>10.029999999999999</v>
      </c>
      <c r="K11" s="38">
        <f>ELECT.!B12</f>
        <v>240</v>
      </c>
    </row>
    <row r="12" spans="1:14" x14ac:dyDescent="0.2">
      <c r="A12" s="49" t="s">
        <v>53</v>
      </c>
      <c r="B12" s="54">
        <f t="shared" si="0"/>
        <v>11</v>
      </c>
      <c r="C12" s="54">
        <v>3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37576.338988000003</v>
      </c>
      <c r="F12" s="140">
        <v>1.27</v>
      </c>
      <c r="G12" s="38">
        <f>Gas!C13*0.9147</f>
        <v>2747.7588000000001</v>
      </c>
      <c r="H12" s="141">
        <v>3.65</v>
      </c>
      <c r="I12" s="143">
        <f>Submetering!H12+Submetering!AD12+Submetering!AE12</f>
        <v>826</v>
      </c>
      <c r="J12" s="143">
        <v>10.029999999999999</v>
      </c>
      <c r="K12" s="38">
        <f>ELECT.!B13</f>
        <v>218</v>
      </c>
    </row>
    <row r="13" spans="1:14" x14ac:dyDescent="0.2">
      <c r="A13" s="49" t="s">
        <v>53</v>
      </c>
      <c r="B13" s="54">
        <f t="shared" si="0"/>
        <v>12</v>
      </c>
      <c r="C13" s="54">
        <v>3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22808.831584000003</v>
      </c>
      <c r="F13" s="140">
        <v>1.27</v>
      </c>
      <c r="G13" s="38">
        <f>Gas!C14*0.9147</f>
        <v>2788.0056</v>
      </c>
      <c r="H13" s="141">
        <v>3.65</v>
      </c>
      <c r="I13" s="143">
        <f>Submetering!H13+Submetering!AD13+Submetering!AE13</f>
        <v>856.00000000000011</v>
      </c>
      <c r="J13" s="143">
        <v>10.029999999999999</v>
      </c>
      <c r="K13" s="38">
        <f>ELECT.!B14</f>
        <v>269</v>
      </c>
    </row>
    <row r="14" spans="1:14" x14ac:dyDescent="0.2">
      <c r="A14" s="49" t="s">
        <v>53</v>
      </c>
      <c r="B14" s="54">
        <f t="shared" si="0"/>
        <v>13</v>
      </c>
      <c r="C14" s="54">
        <v>3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19161.251759999996</v>
      </c>
      <c r="F14" s="140">
        <v>1.27</v>
      </c>
      <c r="G14" s="38">
        <f>Gas!C15*0.9147</f>
        <v>2769.7116000000001</v>
      </c>
      <c r="H14" s="141">
        <v>3.65</v>
      </c>
      <c r="I14" s="143">
        <f>Submetering!H14+Submetering!AD14+Submetering!AE14</f>
        <v>856</v>
      </c>
      <c r="J14" s="143">
        <v>10.029999999999999</v>
      </c>
      <c r="K14" s="38">
        <f>ELECT.!B15</f>
        <v>294</v>
      </c>
    </row>
    <row r="15" spans="1:14" x14ac:dyDescent="0.2">
      <c r="A15" s="49" t="s">
        <v>53</v>
      </c>
      <c r="B15" s="54">
        <f t="shared" si="0"/>
        <v>14</v>
      </c>
      <c r="C15" s="54">
        <v>3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29180.965248000004</v>
      </c>
      <c r="F15" s="140">
        <v>1.27</v>
      </c>
      <c r="G15" s="38">
        <f>Gas!C16*0.9147</f>
        <v>3481.3481999999999</v>
      </c>
      <c r="H15" s="141">
        <v>3.65</v>
      </c>
      <c r="I15" s="143">
        <f>Submetering!H15+Submetering!AD15+Submetering!AE15</f>
        <v>876</v>
      </c>
      <c r="J15" s="143">
        <v>10.029999999999999</v>
      </c>
      <c r="K15" s="38">
        <f>ELECT.!B16</f>
        <v>271</v>
      </c>
    </row>
    <row r="16" spans="1:14" x14ac:dyDescent="0.2">
      <c r="A16" s="49" t="s">
        <v>53</v>
      </c>
      <c r="B16" s="54">
        <f t="shared" si="0"/>
        <v>15</v>
      </c>
      <c r="C16" s="54">
        <v>3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12305.342228000001</v>
      </c>
      <c r="F16" s="140">
        <v>1.27</v>
      </c>
      <c r="G16" s="38">
        <f>Gas!C17*0.9147</f>
        <v>3068.8184999999999</v>
      </c>
      <c r="H16" s="141">
        <v>3.65</v>
      </c>
      <c r="I16" s="143">
        <f>Submetering!H16+Submetering!AD16+Submetering!AE16</f>
        <v>896.00000000000011</v>
      </c>
      <c r="J16" s="143">
        <v>10.029999999999999</v>
      </c>
      <c r="K16" s="38">
        <f>ELECT.!B17</f>
        <v>316</v>
      </c>
    </row>
    <row r="17" spans="1:13" x14ac:dyDescent="0.2">
      <c r="A17" s="49" t="s">
        <v>53</v>
      </c>
      <c r="B17" s="54">
        <f t="shared" si="0"/>
        <v>16</v>
      </c>
      <c r="C17" s="54">
        <v>3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31339.650636000006</v>
      </c>
      <c r="F17" s="140">
        <v>1.27</v>
      </c>
      <c r="G17" s="38">
        <f>Gas!C18*0.9147</f>
        <v>3160.2884999999997</v>
      </c>
      <c r="H17" s="141">
        <v>3.65</v>
      </c>
      <c r="I17" s="143">
        <f>Submetering!H17+Submetering!AD17+Submetering!AE17</f>
        <v>906</v>
      </c>
      <c r="J17" s="143">
        <v>10.029999999999999</v>
      </c>
      <c r="K17" s="38">
        <f>ELECT.!B18</f>
        <v>319</v>
      </c>
    </row>
    <row r="18" spans="1:13" x14ac:dyDescent="0.2">
      <c r="A18" s="49" t="s">
        <v>53</v>
      </c>
      <c r="B18" s="54">
        <f t="shared" si="0"/>
        <v>17</v>
      </c>
      <c r="C18" s="54">
        <v>3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10923.852736000001</v>
      </c>
      <c r="F18" s="140">
        <v>1.27</v>
      </c>
      <c r="G18" s="38">
        <f>Gas!C19*0.9147</f>
        <v>2952.6515999999997</v>
      </c>
      <c r="H18" s="141">
        <v>3.65</v>
      </c>
      <c r="I18" s="143">
        <f>Submetering!H18+Submetering!AD18+Submetering!AE18</f>
        <v>906</v>
      </c>
      <c r="J18" s="143">
        <v>10.029999999999999</v>
      </c>
      <c r="K18" s="38">
        <f>ELECT.!B19</f>
        <v>295</v>
      </c>
    </row>
    <row r="19" spans="1:13" x14ac:dyDescent="0.2">
      <c r="A19" s="49" t="s">
        <v>53</v>
      </c>
      <c r="B19" s="54">
        <f t="shared" si="0"/>
        <v>18</v>
      </c>
      <c r="C19" s="54">
        <v>3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29702.237767999999</v>
      </c>
      <c r="F19" s="140">
        <v>1.27</v>
      </c>
      <c r="G19" s="38">
        <f>Gas!C20*0.9147</f>
        <v>2857.5227999999997</v>
      </c>
      <c r="H19" s="141">
        <v>3.65</v>
      </c>
      <c r="I19" s="143">
        <f>Submetering!H19+Submetering!AD19+Submetering!AE19</f>
        <v>236</v>
      </c>
      <c r="J19" s="143">
        <v>10.029999999999999</v>
      </c>
      <c r="K19" s="38">
        <f>ELECT.!B20</f>
        <v>300</v>
      </c>
    </row>
    <row r="20" spans="1:13" x14ac:dyDescent="0.2">
      <c r="A20" s="49" t="s">
        <v>53</v>
      </c>
      <c r="B20" s="54">
        <f t="shared" si="0"/>
        <v>19</v>
      </c>
      <c r="C20" s="54">
        <v>3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23036.881367999998</v>
      </c>
      <c r="F20" s="140">
        <v>1.27</v>
      </c>
      <c r="G20" s="38">
        <f>Gas!C21*0.9147</f>
        <v>2783.4321</v>
      </c>
      <c r="H20" s="141">
        <v>3.65</v>
      </c>
      <c r="I20" s="143">
        <f>Submetering!H20+Submetering!AD20+Submetering!AE20</f>
        <v>746</v>
      </c>
      <c r="J20" s="143">
        <v>10.029999999999999</v>
      </c>
      <c r="K20" s="38">
        <f>ELECT.!B21</f>
        <v>290</v>
      </c>
    </row>
    <row r="21" spans="1:13" x14ac:dyDescent="0.2">
      <c r="A21" s="49" t="s">
        <v>53</v>
      </c>
      <c r="B21" s="54">
        <f t="shared" si="0"/>
        <v>20</v>
      </c>
      <c r="C21" s="54">
        <v>3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31473.006632000008</v>
      </c>
      <c r="F21" s="140">
        <v>1.27</v>
      </c>
      <c r="G21" s="38">
        <f>Gas!C22*0.9147</f>
        <v>3002.9600999999998</v>
      </c>
      <c r="H21" s="141">
        <v>3.65</v>
      </c>
      <c r="I21" s="143">
        <f>Submetering!H21+Submetering!AD21+Submetering!AE21</f>
        <v>1385.9999999999998</v>
      </c>
      <c r="J21" s="143">
        <v>10.029999999999999</v>
      </c>
      <c r="K21" s="38">
        <f>ELECT.!B22</f>
        <v>304</v>
      </c>
    </row>
    <row r="22" spans="1:13" x14ac:dyDescent="0.2">
      <c r="A22" s="49" t="s">
        <v>53</v>
      </c>
      <c r="B22" s="54">
        <f t="shared" si="0"/>
        <v>21</v>
      </c>
      <c r="C22" s="54">
        <v>3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20938.135392</v>
      </c>
      <c r="F22" s="140">
        <v>1.27</v>
      </c>
      <c r="G22" s="38">
        <f>Gas!C23*0.9147</f>
        <v>2879.4755999999998</v>
      </c>
      <c r="H22" s="141">
        <v>3.65</v>
      </c>
      <c r="I22" s="143">
        <f>Submetering!H22+Submetering!AD22+Submetering!AE22</f>
        <v>786</v>
      </c>
      <c r="J22" s="143">
        <v>10.029999999999999</v>
      </c>
      <c r="K22" s="38">
        <f>ELECT.!B23</f>
        <v>228</v>
      </c>
    </row>
    <row r="23" spans="1:13" x14ac:dyDescent="0.2">
      <c r="A23" s="49" t="s">
        <v>53</v>
      </c>
      <c r="B23" s="54">
        <f t="shared" si="0"/>
        <v>22</v>
      </c>
      <c r="C23" s="54">
        <v>3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16370.665600000004</v>
      </c>
      <c r="F23" s="140">
        <v>1.27</v>
      </c>
      <c r="G23" s="38">
        <f>Gas!C24*0.9147</f>
        <v>2514.5102999999999</v>
      </c>
      <c r="H23" s="141">
        <v>3.65</v>
      </c>
      <c r="I23" s="143">
        <f>Submetering!H23+Submetering!AD23+Submetering!AE23</f>
        <v>936</v>
      </c>
      <c r="J23" s="143">
        <v>10.029999999999999</v>
      </c>
      <c r="K23" s="38">
        <f>ELECT.!B24</f>
        <v>230</v>
      </c>
    </row>
    <row r="24" spans="1:13" x14ac:dyDescent="0.2">
      <c r="A24" s="49" t="s">
        <v>53</v>
      </c>
      <c r="B24" s="54">
        <f t="shared" si="0"/>
        <v>23</v>
      </c>
      <c r="C24" s="54">
        <v>3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19517.273996</v>
      </c>
      <c r="F24" s="140">
        <v>1.27</v>
      </c>
      <c r="G24" s="38">
        <f>Gas!C25*0.9147</f>
        <v>2499.8750999999997</v>
      </c>
      <c r="H24" s="141">
        <v>3.65</v>
      </c>
      <c r="I24" s="143">
        <f>Submetering!H24+Submetering!AD24+Submetering!AE24</f>
        <v>846</v>
      </c>
      <c r="J24" s="143">
        <v>10.029999999999999</v>
      </c>
      <c r="K24" s="38">
        <f>ELECT.!B25</f>
        <v>209</v>
      </c>
    </row>
    <row r="25" spans="1:13" x14ac:dyDescent="0.2">
      <c r="A25" s="49" t="s">
        <v>53</v>
      </c>
      <c r="B25" s="54">
        <f t="shared" si="0"/>
        <v>24</v>
      </c>
      <c r="C25" s="54">
        <v>3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32981.746048000001</v>
      </c>
      <c r="F25" s="140">
        <v>1.27</v>
      </c>
      <c r="G25" s="38">
        <f>Gas!C26*0.9147</f>
        <v>3056.9274</v>
      </c>
      <c r="H25" s="141">
        <v>3.65</v>
      </c>
      <c r="I25" s="143">
        <f>Submetering!H25+Submetering!AD25+Submetering!AE25</f>
        <v>845.99999999999989</v>
      </c>
      <c r="J25" s="143">
        <v>10.029999999999999</v>
      </c>
      <c r="K25" s="38">
        <f>ELECT.!B26</f>
        <v>223</v>
      </c>
    </row>
    <row r="26" spans="1:13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22573.134340000001</v>
      </c>
      <c r="F26" s="140">
        <v>1.27</v>
      </c>
      <c r="G26" s="38">
        <f>Gas!C27*0.9147</f>
        <v>3199.6205999999997</v>
      </c>
      <c r="H26" s="141">
        <v>3.65</v>
      </c>
      <c r="I26" s="143">
        <f>Submetering!H26+Submetering!AD26+Submetering!AE26</f>
        <v>685.99999999999989</v>
      </c>
      <c r="J26" s="143">
        <v>10.029999999999999</v>
      </c>
      <c r="K26" s="38">
        <f>ELECT.!B27</f>
        <v>200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3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44175.984327999991</v>
      </c>
      <c r="F27" s="140">
        <v>1.27</v>
      </c>
      <c r="G27" s="38">
        <f>Gas!C28*0.9147</f>
        <v>6192.5189999999993</v>
      </c>
      <c r="H27" s="141">
        <v>3.65</v>
      </c>
      <c r="I27" s="143">
        <f>Submetering!H27+Submetering!AD27+Submetering!AE27</f>
        <v>536</v>
      </c>
      <c r="J27" s="143">
        <v>10.029999999999999</v>
      </c>
      <c r="K27" s="38">
        <f>ELECT.!B28</f>
        <v>320</v>
      </c>
    </row>
    <row r="28" spans="1:13" x14ac:dyDescent="0.2">
      <c r="A28" s="49" t="s">
        <v>53</v>
      </c>
      <c r="B28" s="54">
        <f t="shared" si="0"/>
        <v>27</v>
      </c>
      <c r="C28" s="54">
        <v>3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43745.952120000002</v>
      </c>
      <c r="F28" s="140">
        <v>1.27</v>
      </c>
      <c r="G28" s="38">
        <f>Gas!C29*0.9147</f>
        <v>3122.7857999999997</v>
      </c>
      <c r="H28" s="141">
        <v>3.65</v>
      </c>
      <c r="I28" s="143">
        <f>Submetering!H28+Submetering!AD28+Submetering!AE28</f>
        <v>945.99999999999989</v>
      </c>
      <c r="J28" s="143">
        <v>10.029999999999999</v>
      </c>
      <c r="K28" s="38">
        <f>ELECT.!B29</f>
        <v>311</v>
      </c>
    </row>
    <row r="29" spans="1:13" x14ac:dyDescent="0.2">
      <c r="A29" s="49" t="s">
        <v>53</v>
      </c>
      <c r="B29" s="54">
        <f t="shared" si="0"/>
        <v>28</v>
      </c>
      <c r="C29" s="54">
        <v>3</v>
      </c>
      <c r="D29" s="54">
        <v>2022</v>
      </c>
      <c r="E29" s="38">
        <f>((([1]Submetering!O29+[1]Submetering!P29)*0.842284+[1]Submetering!Q29+([1]Submetering!M29+[1]Submetering!N29+[1]Submetering!Y29)*0.7362)+([1]Submetering!O29+[1]Submetering!P29+[1]Submetering!Q29)*0.1488+([1]Submetering!M29+[1]Submetering!N29+[1]Submetering!Y29)*0.1167+([1]Submetering!K29+[1]Submetering!L29-[1]Submetering!Z29-[1]Submetering!AA29-[1]Submetering!AB29-[1]Submetering!AC29-[1]Submetering!Q29)+([1]Submetering!M29+[1]Submetering!N29+[1]Submetering!Y29)*0.1139)</f>
        <v>0</v>
      </c>
      <c r="F29" s="141">
        <v>1.27</v>
      </c>
      <c r="G29" s="38">
        <f>[1]Gas!C30*0.9147</f>
        <v>0</v>
      </c>
      <c r="H29" s="141">
        <v>3.65</v>
      </c>
      <c r="I29" s="143">
        <f>[1]Submetering!H29+[1]Submetering!AD29+[1]Submetering!AE29</f>
        <v>-194</v>
      </c>
      <c r="J29" s="143">
        <v>10.029999999999999</v>
      </c>
      <c r="K29" s="38">
        <f>[1]ELECT.!B30</f>
        <v>0</v>
      </c>
    </row>
    <row r="30" spans="1:13" x14ac:dyDescent="0.2">
      <c r="A30" s="49" t="s">
        <v>53</v>
      </c>
      <c r="B30" s="54">
        <f t="shared" si="0"/>
        <v>29</v>
      </c>
      <c r="C30" s="54">
        <v>3</v>
      </c>
      <c r="D30" s="54">
        <v>2022</v>
      </c>
      <c r="E30" s="38">
        <f>((([1]Submetering!O30+[1]Submetering!P30)*0.842284+[1]Submetering!Q30+([1]Submetering!M30+[1]Submetering!N30+[1]Submetering!Y30)*0.7362)+([1]Submetering!O30+[1]Submetering!P30+[1]Submetering!Q30)*0.1488+([1]Submetering!M30+[1]Submetering!N30+[1]Submetering!Y30)*0.1167+([1]Submetering!K30+[1]Submetering!L30-[1]Submetering!Z30-[1]Submetering!AA30-[1]Submetering!AB30-[1]Submetering!AC30-[1]Submetering!Q30)+([1]Submetering!M30+[1]Submetering!N30+[1]Submetering!Y30)*0.1139)</f>
        <v>0</v>
      </c>
      <c r="F30" s="141">
        <v>1.27</v>
      </c>
      <c r="G30" s="38">
        <f>[1]Gas!C31*0.9147</f>
        <v>0</v>
      </c>
      <c r="H30" s="141">
        <v>3.65</v>
      </c>
      <c r="I30" s="143">
        <f>[1]Submetering!H30+[1]Submetering!AD30+[1]Submetering!AE30</f>
        <v>-194</v>
      </c>
      <c r="J30" s="143">
        <v>10.029999999999999</v>
      </c>
      <c r="K30" s="38">
        <f>[1]ELECT.!B31</f>
        <v>0</v>
      </c>
    </row>
    <row r="31" spans="1:13" x14ac:dyDescent="0.2">
      <c r="A31" s="49" t="s">
        <v>53</v>
      </c>
      <c r="B31" s="54">
        <f t="shared" si="0"/>
        <v>30</v>
      </c>
      <c r="C31" s="54">
        <v>3</v>
      </c>
      <c r="D31" s="54">
        <v>2022</v>
      </c>
      <c r="E31" s="38">
        <f>((([1]Submetering!O31+[1]Submetering!P31)*0.842284+[1]Submetering!Q31+([1]Submetering!M31+[1]Submetering!N31+[1]Submetering!Y31)*0.7362)+([1]Submetering!O31+[1]Submetering!P31+[1]Submetering!Q31)*0.1488+([1]Submetering!M31+[1]Submetering!N31+[1]Submetering!Y31)*0.1167+([1]Submetering!K31+[1]Submetering!L31-[1]Submetering!Z31-[1]Submetering!AA31-[1]Submetering!AB31-[1]Submetering!AC31-[1]Submetering!Q31)+([1]Submetering!M31+[1]Submetering!N31+[1]Submetering!Y31)*0.1139)</f>
        <v>0</v>
      </c>
      <c r="F31" s="141">
        <v>1.27</v>
      </c>
      <c r="G31" s="38">
        <f>[1]Gas!C32*0.9147</f>
        <v>0</v>
      </c>
      <c r="H31" s="141">
        <v>3.65</v>
      </c>
      <c r="I31" s="143">
        <f>[1]Submetering!H31+[1]Submetering!AD31+[1]Submetering!AE31</f>
        <v>-194</v>
      </c>
      <c r="J31" s="143">
        <v>10.029999999999999</v>
      </c>
      <c r="K31" s="38">
        <f>[1]ELECT.!B32</f>
        <v>0</v>
      </c>
    </row>
    <row r="32" spans="1:13" x14ac:dyDescent="0.2">
      <c r="A32" s="49" t="s">
        <v>53</v>
      </c>
      <c r="B32" s="54">
        <f t="shared" si="0"/>
        <v>31</v>
      </c>
      <c r="C32" s="54">
        <v>3</v>
      </c>
      <c r="D32" s="54">
        <v>2022</v>
      </c>
      <c r="E32" s="38">
        <f>((([1]Submetering!O32+[1]Submetering!P32)*0.842284+[1]Submetering!Q32+([1]Submetering!M32+[1]Submetering!N32+[1]Submetering!Y32)*0.7362)+([1]Submetering!O32+[1]Submetering!P32+[1]Submetering!Q32)*0.1488+([1]Submetering!M32+[1]Submetering!N32+[1]Submetering!Y32)*0.1167+([1]Submetering!K32+[1]Submetering!L32-[1]Submetering!Z32-[1]Submetering!AA32-[1]Submetering!AB32-[1]Submetering!AC32-[1]Submetering!Q32)+([1]Submetering!M32+[1]Submetering!N32+[1]Submetering!Y32)*0.1139)</f>
        <v>0</v>
      </c>
      <c r="F32" s="141">
        <v>1.27</v>
      </c>
      <c r="G32" s="38">
        <f>[1]Gas!C33*0.9147</f>
        <v>0</v>
      </c>
      <c r="H32" s="141">
        <v>3.65</v>
      </c>
      <c r="I32" s="143">
        <f>[1]Submetering!H32+[1]Submetering!AD32+[1]Submetering!AE32</f>
        <v>-194</v>
      </c>
      <c r="J32" s="143">
        <v>10.029999999999999</v>
      </c>
      <c r="K32" s="38">
        <f>[1]ELECT.!B33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K1" zoomScale="85" zoomScaleNormal="85" workbookViewId="0">
      <selection activeCell="AE13" sqref="AE13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3</v>
      </c>
      <c r="D2" s="54">
        <v>2022</v>
      </c>
      <c r="E2" s="38">
        <f>Water!C3</f>
        <v>880</v>
      </c>
      <c r="F2" s="38">
        <f>Water!E3</f>
        <v>470</v>
      </c>
      <c r="G2" s="38">
        <f>Water!G3</f>
        <v>321.3</v>
      </c>
      <c r="H2" s="38">
        <f>Water!I3</f>
        <v>4.59</v>
      </c>
      <c r="I2" s="38">
        <f>ELECT.!F3</f>
        <v>13216</v>
      </c>
      <c r="J2" s="38">
        <f>ELECT.!H3</f>
        <v>41545</v>
      </c>
      <c r="K2" s="38">
        <f>ELECT.!K3</f>
        <v>9304</v>
      </c>
      <c r="L2" s="38">
        <f>ELECT.!M3</f>
        <v>6375</v>
      </c>
      <c r="M2" s="38">
        <f>ELECT.!O3</f>
        <v>6700</v>
      </c>
      <c r="N2" s="38">
        <f>ELECT.!Q3</f>
        <v>2313</v>
      </c>
      <c r="O2" s="38">
        <f>ELECT.!S3</f>
        <v>10548</v>
      </c>
      <c r="P2" s="38">
        <f>ELECT.!W3*2</f>
        <v>21270</v>
      </c>
      <c r="Q2" s="38">
        <f>ELECT.!D3</f>
        <v>320</v>
      </c>
      <c r="R2" s="39">
        <f>BTU!C3</f>
        <v>2.7779999999984284</v>
      </c>
      <c r="S2" s="39">
        <f>BTU!F3</f>
        <v>0.8000000000001819</v>
      </c>
      <c r="T2" s="39">
        <f>BTU!I3</f>
        <v>5</v>
      </c>
      <c r="U2" s="39">
        <f>BTU!O3</f>
        <v>1</v>
      </c>
      <c r="V2" s="39">
        <f>BTU!L3</f>
        <v>0</v>
      </c>
      <c r="W2" s="39">
        <f>BTU!R3</f>
        <v>0.14000000000032742</v>
      </c>
      <c r="X2" s="36">
        <f>ELECT.!B3</f>
        <v>302</v>
      </c>
      <c r="Y2" s="36">
        <f>I2+J2-(K2+L2+M2+N2+O2+P2)</f>
        <v>-1749</v>
      </c>
      <c r="Z2">
        <f>'Mall, Citadel, Rotana'!C3+'Mall, Citadel, Rotana'!E3+'Mall, Citadel, Rotana'!G3+'Mall, Citadel, Rotana'!I3</f>
        <v>1352</v>
      </c>
      <c r="AA2">
        <f>'Mall, Citadel, Rotana'!K3+'Mall, Citadel, Rotana'!M3</f>
        <v>160</v>
      </c>
      <c r="AB2">
        <f>'Mall, Citadel, Rotana'!O3</f>
        <v>105</v>
      </c>
      <c r="AC2">
        <f>'Mall, Citadel, Rotana'!Q3+'Mall, Citadel, Rotana'!S3</f>
        <v>0</v>
      </c>
      <c r="AD2" s="36">
        <f>(E2-H2-194)*0.1318</f>
        <v>89.809837999999999</v>
      </c>
      <c r="AE2" s="36">
        <f>E2-H2-AD2-194</f>
        <v>591.60016199999995</v>
      </c>
    </row>
    <row r="3" spans="1:31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Water!C4</f>
        <v>950</v>
      </c>
      <c r="F3" s="38">
        <f>Water!E4</f>
        <v>470</v>
      </c>
      <c r="G3" s="38">
        <f>Water!G4</f>
        <v>396.9</v>
      </c>
      <c r="H3" s="38">
        <f>Water!I4</f>
        <v>5.13</v>
      </c>
      <c r="I3" s="38">
        <f>ELECT.!F4</f>
        <v>16431</v>
      </c>
      <c r="J3" s="38">
        <f>ELECT.!H4</f>
        <v>42450</v>
      </c>
      <c r="K3" s="38">
        <f>ELECT.!K4</f>
        <v>9734</v>
      </c>
      <c r="L3" s="38">
        <f>ELECT.!M4</f>
        <v>6878</v>
      </c>
      <c r="M3" s="38">
        <f>ELECT.!O4</f>
        <v>9386</v>
      </c>
      <c r="N3" s="38">
        <f>ELECT.!Q4</f>
        <v>2855</v>
      </c>
      <c r="O3" s="38">
        <f>ELECT.!S4</f>
        <v>10791</v>
      </c>
      <c r="P3" s="38">
        <f>ELECT.!W4*2</f>
        <v>22650</v>
      </c>
      <c r="Q3" s="38">
        <f>ELECT.!D4</f>
        <v>480</v>
      </c>
      <c r="R3" s="39">
        <f>BTU!C4</f>
        <v>5.4380000000019209</v>
      </c>
      <c r="S3" s="39">
        <f>BTU!F4</f>
        <v>1.7489999999997963</v>
      </c>
      <c r="T3" s="39">
        <f>BTU!I4</f>
        <v>7</v>
      </c>
      <c r="U3" s="39">
        <f>BTU!O4</f>
        <v>1.6630000000000109</v>
      </c>
      <c r="V3" s="39">
        <f>BTU!L4</f>
        <v>0</v>
      </c>
      <c r="W3" s="39">
        <f>BTU!R4</f>
        <v>0</v>
      </c>
      <c r="X3" s="36">
        <f>ELECT.!B4</f>
        <v>300</v>
      </c>
      <c r="Y3" s="36">
        <f t="shared" ref="Y3:Y32" si="0">I3+J3-(K3+L3+M3+N3+O3+P3)</f>
        <v>-3413</v>
      </c>
      <c r="Z3">
        <f>'Mall, Citadel, Rotana'!C4+'Mall, Citadel, Rotana'!E4+'Mall, Citadel, Rotana'!G4+'Mall, Citadel, Rotana'!I4</f>
        <v>1554</v>
      </c>
      <c r="AA3">
        <f>'Mall, Citadel, Rotana'!K4+'Mall, Citadel, Rotana'!M4</f>
        <v>960</v>
      </c>
      <c r="AB3">
        <f>'Mall, Citadel, Rotana'!O4</f>
        <v>136</v>
      </c>
      <c r="AC3">
        <f>'Mall, Citadel, Rotana'!Q4+'Mall, Citadel, Rotana'!S4</f>
        <v>0</v>
      </c>
      <c r="AD3" s="36">
        <f t="shared" ref="AD3:AD32" si="1">(E3-H3-194)*0.1318</f>
        <v>98.964665999999994</v>
      </c>
      <c r="AE3" s="36">
        <f t="shared" ref="AE3:AE32" si="2">E3-H3-AD3-194</f>
        <v>651.90533400000004</v>
      </c>
    </row>
    <row r="4" spans="1:31" x14ac:dyDescent="0.2">
      <c r="A4" s="49" t="s">
        <v>53</v>
      </c>
      <c r="B4" s="54">
        <f t="shared" ref="B4:B32" si="3">B3+1</f>
        <v>3</v>
      </c>
      <c r="C4" s="54">
        <v>3</v>
      </c>
      <c r="D4" s="54">
        <v>2022</v>
      </c>
      <c r="E4" s="38">
        <f>Water!C5</f>
        <v>910</v>
      </c>
      <c r="F4" s="38">
        <f>Water!E5</f>
        <v>540</v>
      </c>
      <c r="G4" s="38">
        <f>Water!G5</f>
        <v>396.9</v>
      </c>
      <c r="H4" s="38">
        <f>Water!I5</f>
        <v>4.8330000000000002</v>
      </c>
      <c r="I4" s="38">
        <f>ELECT.!F5</f>
        <v>10638</v>
      </c>
      <c r="J4" s="38">
        <f>ELECT.!H5</f>
        <v>30755</v>
      </c>
      <c r="K4" s="38">
        <f>ELECT.!K5</f>
        <v>7334</v>
      </c>
      <c r="L4" s="38">
        <f>ELECT.!M5</f>
        <v>5147</v>
      </c>
      <c r="M4" s="38">
        <f>ELECT.!O5</f>
        <v>5356</v>
      </c>
      <c r="N4" s="38">
        <f>ELECT.!Q5</f>
        <v>1861</v>
      </c>
      <c r="O4" s="38">
        <f>ELECT.!S5</f>
        <v>7490</v>
      </c>
      <c r="P4" s="38">
        <f>ELECT.!W5*2</f>
        <v>16808</v>
      </c>
      <c r="Q4" s="38">
        <f>ELECT.!D5</f>
        <v>480</v>
      </c>
      <c r="R4" s="39">
        <f>BTU!C5</f>
        <v>8.3659999999981665</v>
      </c>
      <c r="S4" s="39">
        <f>BTU!F5</f>
        <v>0.96200000000044383</v>
      </c>
      <c r="T4" s="39">
        <f>BTU!I5</f>
        <v>5</v>
      </c>
      <c r="U4" s="39">
        <f>BTU!O5</f>
        <v>1.3330000000000837</v>
      </c>
      <c r="V4" s="39">
        <f>BTU!L5</f>
        <v>0</v>
      </c>
      <c r="W4" s="39">
        <f>BTU!R5</f>
        <v>0</v>
      </c>
      <c r="X4" s="36">
        <f>ELECT.!B5</f>
        <v>313</v>
      </c>
      <c r="Y4" s="36">
        <f t="shared" si="0"/>
        <v>-2603</v>
      </c>
      <c r="Z4">
        <f>'Mall, Citadel, Rotana'!C5+'Mall, Citadel, Rotana'!E5+'Mall, Citadel, Rotana'!G5+'Mall, Citadel, Rotana'!I5</f>
        <v>1552</v>
      </c>
      <c r="AA4">
        <f>'Mall, Citadel, Rotana'!K5+'Mall, Citadel, Rotana'!M5</f>
        <v>480</v>
      </c>
      <c r="AB4">
        <f>'Mall, Citadel, Rotana'!O5</f>
        <v>131</v>
      </c>
      <c r="AC4">
        <f>'Mall, Citadel, Rotana'!Q5+'Mall, Citadel, Rotana'!S5</f>
        <v>0</v>
      </c>
      <c r="AD4" s="36">
        <f t="shared" si="1"/>
        <v>93.731810600000003</v>
      </c>
      <c r="AE4" s="36">
        <f t="shared" si="2"/>
        <v>617.43518940000001</v>
      </c>
    </row>
    <row r="5" spans="1:31" x14ac:dyDescent="0.2">
      <c r="A5" s="49" t="s">
        <v>53</v>
      </c>
      <c r="B5" s="54">
        <f t="shared" si="3"/>
        <v>4</v>
      </c>
      <c r="C5" s="54">
        <v>3</v>
      </c>
      <c r="D5" s="54">
        <v>2022</v>
      </c>
      <c r="E5" s="38">
        <f>Water!C6</f>
        <v>860</v>
      </c>
      <c r="F5" s="38">
        <f>Water!E6</f>
        <v>370</v>
      </c>
      <c r="G5" s="38">
        <f>Water!G6</f>
        <v>334.8</v>
      </c>
      <c r="H5" s="38">
        <f>Water!I6</f>
        <v>2.7810000000000001</v>
      </c>
      <c r="I5" s="38">
        <f>ELECT.!F6</f>
        <v>12850</v>
      </c>
      <c r="J5" s="38">
        <f>ELECT.!H6</f>
        <v>40158</v>
      </c>
      <c r="K5" s="38">
        <f>ELECT.!K6</f>
        <v>8076</v>
      </c>
      <c r="L5" s="38">
        <f>ELECT.!M6</f>
        <v>6116</v>
      </c>
      <c r="M5" s="38">
        <f>ELECT.!O6</f>
        <v>6546</v>
      </c>
      <c r="N5" s="38">
        <f>ELECT.!Q6</f>
        <v>2436</v>
      </c>
      <c r="O5" s="38">
        <f>ELECT.!S6</f>
        <v>9926</v>
      </c>
      <c r="P5" s="38">
        <f>ELECT.!W6*2</f>
        <v>22472</v>
      </c>
      <c r="Q5" s="38">
        <f>ELECT.!D6</f>
        <v>480</v>
      </c>
      <c r="R5" s="39">
        <f>BTU!C6</f>
        <v>2.0030000000006112</v>
      </c>
      <c r="S5" s="39">
        <f>BTU!F6</f>
        <v>0.35300000000006548</v>
      </c>
      <c r="T5" s="39">
        <f>BTU!I6</f>
        <v>5</v>
      </c>
      <c r="U5" s="39">
        <f>BTU!O6</f>
        <v>1.2409999999999854</v>
      </c>
      <c r="V5" s="39">
        <f>BTU!L6</f>
        <v>0</v>
      </c>
      <c r="W5" s="39">
        <f>BTU!R6</f>
        <v>0</v>
      </c>
      <c r="X5" s="36">
        <f>ELECT.!B6</f>
        <v>291</v>
      </c>
      <c r="Y5" s="36">
        <f t="shared" si="0"/>
        <v>-2564</v>
      </c>
      <c r="Z5">
        <f>'Mall, Citadel, Rotana'!C6+'Mall, Citadel, Rotana'!E6+'Mall, Citadel, Rotana'!G6+'Mall, Citadel, Rotana'!I6</f>
        <v>1019</v>
      </c>
      <c r="AA5">
        <f>'Mall, Citadel, Rotana'!K6+'Mall, Citadel, Rotana'!M6</f>
        <v>320</v>
      </c>
      <c r="AB5">
        <f>'Mall, Citadel, Rotana'!O6</f>
        <v>55</v>
      </c>
      <c r="AC5">
        <f>'Mall, Citadel, Rotana'!Q6+'Mall, Citadel, Rotana'!S6</f>
        <v>0</v>
      </c>
      <c r="AD5" s="36">
        <f t="shared" si="1"/>
        <v>87.41226420000001</v>
      </c>
      <c r="AE5" s="36">
        <f t="shared" si="2"/>
        <v>575.80673580000007</v>
      </c>
    </row>
    <row r="6" spans="1:31" x14ac:dyDescent="0.2">
      <c r="A6" s="49" t="s">
        <v>53</v>
      </c>
      <c r="B6" s="54">
        <f t="shared" si="3"/>
        <v>5</v>
      </c>
      <c r="C6" s="54">
        <v>3</v>
      </c>
      <c r="D6" s="54">
        <v>2022</v>
      </c>
      <c r="E6" s="38">
        <f>Water!C7</f>
        <v>890</v>
      </c>
      <c r="F6" s="38">
        <f>Water!E7</f>
        <v>430</v>
      </c>
      <c r="G6" s="38">
        <f>Water!G7</f>
        <v>332.1</v>
      </c>
      <c r="H6" s="38">
        <f>Water!I7</f>
        <v>3.6989999999999998</v>
      </c>
      <c r="I6" s="38">
        <f>ELECT.!F7</f>
        <v>13331</v>
      </c>
      <c r="J6" s="38">
        <f>ELECT.!H7</f>
        <v>41827</v>
      </c>
      <c r="K6" s="38">
        <f>ELECT.!K7</f>
        <v>9056</v>
      </c>
      <c r="L6" s="38">
        <f>ELECT.!M7</f>
        <v>6139</v>
      </c>
      <c r="M6" s="38">
        <f>ELECT.!O7</f>
        <v>7064</v>
      </c>
      <c r="N6" s="38">
        <f>ELECT.!Q7</f>
        <v>2444</v>
      </c>
      <c r="O6" s="38">
        <f>ELECT.!S7</f>
        <v>10344</v>
      </c>
      <c r="P6" s="38">
        <f>ELECT.!W7*2</f>
        <v>23328</v>
      </c>
      <c r="Q6" s="38">
        <f>ELECT.!D7</f>
        <v>320</v>
      </c>
      <c r="R6" s="39">
        <f>BTU!C7</f>
        <v>0.36400000000139698</v>
      </c>
      <c r="S6" s="39">
        <f>BTU!F7</f>
        <v>0.41699999999946158</v>
      </c>
      <c r="T6" s="39">
        <f>BTU!I7</f>
        <v>4</v>
      </c>
      <c r="U6" s="39">
        <f>BTU!O7</f>
        <v>0.68400000000019645</v>
      </c>
      <c r="V6" s="39">
        <f>BTU!L7</f>
        <v>0</v>
      </c>
      <c r="W6" s="39">
        <f>BTU!R7</f>
        <v>0</v>
      </c>
      <c r="X6" s="36">
        <f>ELECT.!B7</f>
        <v>308</v>
      </c>
      <c r="Y6" s="36">
        <f t="shared" si="0"/>
        <v>-3217</v>
      </c>
      <c r="Z6">
        <f>'Mall, Citadel, Rotana'!C7+'Mall, Citadel, Rotana'!E7+'Mall, Citadel, Rotana'!G7+'Mall, Citadel, Rotana'!I7</f>
        <v>1300</v>
      </c>
      <c r="AA6">
        <f>'Mall, Citadel, Rotana'!K7+'Mall, Citadel, Rotana'!M7</f>
        <v>320</v>
      </c>
      <c r="AB6">
        <f>'Mall, Citadel, Rotana'!O7</f>
        <v>91</v>
      </c>
      <c r="AC6">
        <f>'Mall, Citadel, Rotana'!Q7+'Mall, Citadel, Rotana'!S7</f>
        <v>0</v>
      </c>
      <c r="AD6" s="36">
        <f t="shared" si="1"/>
        <v>91.245271800000012</v>
      </c>
      <c r="AE6" s="36">
        <f t="shared" si="2"/>
        <v>601.05572819999998</v>
      </c>
    </row>
    <row r="7" spans="1:31" x14ac:dyDescent="0.2">
      <c r="A7" s="49" t="s">
        <v>53</v>
      </c>
      <c r="B7" s="54">
        <f t="shared" si="3"/>
        <v>6</v>
      </c>
      <c r="C7" s="54">
        <v>3</v>
      </c>
      <c r="D7" s="54">
        <v>2022</v>
      </c>
      <c r="E7" s="38">
        <f>Water!C8</f>
        <v>900</v>
      </c>
      <c r="F7" s="38">
        <f>Water!E8</f>
        <v>480</v>
      </c>
      <c r="G7" s="38">
        <f>Water!G8</f>
        <v>353.7</v>
      </c>
      <c r="H7" s="38">
        <f>Water!I8</f>
        <v>3.6989999999999998</v>
      </c>
      <c r="I7" s="38">
        <f>ELECT.!F8</f>
        <v>10960</v>
      </c>
      <c r="J7" s="38">
        <f>ELECT.!H8</f>
        <v>34046</v>
      </c>
      <c r="K7" s="38">
        <f>ELECT.!K8</f>
        <v>7842</v>
      </c>
      <c r="L7" s="38">
        <f>ELECT.!M8</f>
        <v>4850</v>
      </c>
      <c r="M7" s="38">
        <f>ELECT.!O8</f>
        <v>5972</v>
      </c>
      <c r="N7" s="38">
        <f>ELECT.!Q8</f>
        <v>2136</v>
      </c>
      <c r="O7" s="38">
        <f>ELECT.!S8</f>
        <v>8386</v>
      </c>
      <c r="P7" s="38">
        <f>ELECT.!W8*2</f>
        <v>18512</v>
      </c>
      <c r="Q7" s="38">
        <f>ELECT.!D8</f>
        <v>320</v>
      </c>
      <c r="R7" s="39">
        <f>BTU!C8</f>
        <v>1.4269999999996799</v>
      </c>
      <c r="S7" s="39">
        <f>BTU!F8</f>
        <v>0.83399999999983265</v>
      </c>
      <c r="T7" s="39">
        <f>BTU!I8</f>
        <v>5</v>
      </c>
      <c r="U7" s="39">
        <f>BTU!O8</f>
        <v>1.1909999999998035</v>
      </c>
      <c r="V7" s="39">
        <f>BTU!L8</f>
        <v>0</v>
      </c>
      <c r="W7" s="39">
        <f>BTU!R8</f>
        <v>0.59000000000014552</v>
      </c>
      <c r="X7" s="36">
        <f>ELECT.!B8</f>
        <v>218</v>
      </c>
      <c r="Y7" s="36">
        <f t="shared" si="0"/>
        <v>-2692</v>
      </c>
      <c r="Z7">
        <f>'Mall, Citadel, Rotana'!C8+'Mall, Citadel, Rotana'!E8+'Mall, Citadel, Rotana'!G8+'Mall, Citadel, Rotana'!I8</f>
        <v>1432</v>
      </c>
      <c r="AA7">
        <f>'Mall, Citadel, Rotana'!K8+'Mall, Citadel, Rotana'!M8</f>
        <v>640</v>
      </c>
      <c r="AB7">
        <f>'Mall, Citadel, Rotana'!O8</f>
        <v>112</v>
      </c>
      <c r="AC7">
        <f>'Mall, Citadel, Rotana'!Q8+'Mall, Citadel, Rotana'!S8</f>
        <v>0</v>
      </c>
      <c r="AD7" s="36">
        <f t="shared" si="1"/>
        <v>92.56327180000001</v>
      </c>
      <c r="AE7" s="36">
        <f t="shared" si="2"/>
        <v>609.73772819999999</v>
      </c>
    </row>
    <row r="8" spans="1:31" x14ac:dyDescent="0.2">
      <c r="A8" s="49" t="s">
        <v>53</v>
      </c>
      <c r="B8" s="54">
        <f t="shared" si="3"/>
        <v>7</v>
      </c>
      <c r="C8" s="54">
        <v>3</v>
      </c>
      <c r="D8" s="54">
        <v>2022</v>
      </c>
      <c r="E8" s="38">
        <f>Water!C9</f>
        <v>970</v>
      </c>
      <c r="F8" s="38">
        <f>Water!E9</f>
        <v>500</v>
      </c>
      <c r="G8" s="38">
        <f>Water!G9</f>
        <v>332.1</v>
      </c>
      <c r="H8" s="38">
        <f>Water!I9</f>
        <v>3.375</v>
      </c>
      <c r="I8" s="38">
        <f>ELECT.!F9</f>
        <v>10983</v>
      </c>
      <c r="J8" s="38">
        <f>ELECT.!H9</f>
        <v>33719</v>
      </c>
      <c r="K8" s="38">
        <f>ELECT.!K9</f>
        <v>7918</v>
      </c>
      <c r="L8" s="38">
        <f>ELECT.!M9</f>
        <v>4815</v>
      </c>
      <c r="M8" s="38">
        <f>ELECT.!O9</f>
        <v>1976</v>
      </c>
      <c r="N8" s="38">
        <f>ELECT.!Q9</f>
        <v>2397</v>
      </c>
      <c r="O8" s="38">
        <f>ELECT.!S9</f>
        <v>8721</v>
      </c>
      <c r="P8" s="38">
        <f>ELECT.!W9*2</f>
        <v>17718</v>
      </c>
      <c r="Q8" s="38">
        <f>ELECT.!D9</f>
        <v>480</v>
      </c>
      <c r="R8" s="39">
        <f>BTU!C9</f>
        <v>4.1650000000008731</v>
      </c>
      <c r="S8" s="39">
        <f>BTU!F9</f>
        <v>1.0900000000001455</v>
      </c>
      <c r="T8" s="39">
        <f>BTU!I9</f>
        <v>5</v>
      </c>
      <c r="U8" s="39">
        <f>BTU!O9</f>
        <v>1.2049999999999272</v>
      </c>
      <c r="V8" s="39">
        <f>BTU!L9</f>
        <v>0</v>
      </c>
      <c r="W8" s="39">
        <f>BTU!R9</f>
        <v>0.53999999999996362</v>
      </c>
      <c r="X8" s="36">
        <f>ELECT.!B9</f>
        <v>155</v>
      </c>
      <c r="Y8" s="36">
        <f t="shared" si="0"/>
        <v>1157</v>
      </c>
      <c r="Z8">
        <f>'Mall, Citadel, Rotana'!C9+'Mall, Citadel, Rotana'!E9+'Mall, Citadel, Rotana'!G9+'Mall, Citadel, Rotana'!I9</f>
        <v>1193</v>
      </c>
      <c r="AA8">
        <f>'Mall, Citadel, Rotana'!K9+'Mall, Citadel, Rotana'!M9</f>
        <v>26080</v>
      </c>
      <c r="AB8">
        <f>'Mall, Citadel, Rotana'!O9</f>
        <v>7</v>
      </c>
      <c r="AC8">
        <f>'Mall, Citadel, Rotana'!Q9+'Mall, Citadel, Rotana'!S9</f>
        <v>69</v>
      </c>
      <c r="AD8" s="36">
        <f t="shared" si="1"/>
        <v>101.831975</v>
      </c>
      <c r="AE8" s="36">
        <f t="shared" si="2"/>
        <v>670.79302499999994</v>
      </c>
    </row>
    <row r="9" spans="1:31" x14ac:dyDescent="0.2">
      <c r="A9" s="49" t="s">
        <v>53</v>
      </c>
      <c r="B9" s="54">
        <f t="shared" si="3"/>
        <v>8</v>
      </c>
      <c r="C9" s="54">
        <v>3</v>
      </c>
      <c r="D9" s="54">
        <v>2022</v>
      </c>
      <c r="E9" s="38">
        <f>Water!C10</f>
        <v>1040</v>
      </c>
      <c r="F9" s="38">
        <f>Water!E10</f>
        <v>490</v>
      </c>
      <c r="G9" s="38">
        <f>Water!G10</f>
        <v>391.5</v>
      </c>
      <c r="H9" s="38">
        <f>Water!I10</f>
        <v>3.8340000000000001</v>
      </c>
      <c r="I9" s="38">
        <f>ELECT.!F10</f>
        <v>13851</v>
      </c>
      <c r="J9" s="38">
        <f>ELECT.!H10</f>
        <v>44703</v>
      </c>
      <c r="K9" s="38">
        <f>ELECT.!K10</f>
        <v>9992</v>
      </c>
      <c r="L9" s="38">
        <f>ELECT.!M10</f>
        <v>5945</v>
      </c>
      <c r="M9" s="38">
        <f>ELECT.!O10</f>
        <v>11786</v>
      </c>
      <c r="N9" s="38">
        <f>ELECT.!Q10</f>
        <v>3151</v>
      </c>
      <c r="O9" s="38">
        <f>ELECT.!S10</f>
        <v>11521</v>
      </c>
      <c r="P9" s="38">
        <f>ELECT.!W10*2</f>
        <v>23930</v>
      </c>
      <c r="Q9" s="38">
        <f>ELECT.!D10</f>
        <v>320</v>
      </c>
      <c r="R9" s="39">
        <f>BTU!C10</f>
        <v>3.9849999999969441</v>
      </c>
      <c r="S9" s="39">
        <f>BTU!F10</f>
        <v>1.0480000000006839</v>
      </c>
      <c r="T9" s="39">
        <f>BTU!I10</f>
        <v>6</v>
      </c>
      <c r="U9" s="39">
        <f>BTU!O10</f>
        <v>1.1390000000001237</v>
      </c>
      <c r="V9" s="39">
        <f>BTU!L10</f>
        <v>0</v>
      </c>
      <c r="W9" s="39">
        <f>BTU!R10</f>
        <v>0.3999999999996362</v>
      </c>
      <c r="X9" s="36">
        <f>ELECT.!B10</f>
        <v>313</v>
      </c>
      <c r="Y9" s="36">
        <f t="shared" si="0"/>
        <v>-7771</v>
      </c>
      <c r="Z9">
        <f>'Mall, Citadel, Rotana'!C10+'Mall, Citadel, Rotana'!E10+'Mall, Citadel, Rotana'!G10+'Mall, Citadel, Rotana'!I10</f>
        <v>1374</v>
      </c>
      <c r="AA9">
        <f>'Mall, Citadel, Rotana'!K10+'Mall, Citadel, Rotana'!M10</f>
        <v>27840</v>
      </c>
      <c r="AB9">
        <f>'Mall, Citadel, Rotana'!O10</f>
        <v>3</v>
      </c>
      <c r="AC9">
        <f>'Mall, Citadel, Rotana'!Q10+'Mall, Citadel, Rotana'!S10</f>
        <v>149</v>
      </c>
      <c r="AD9" s="36">
        <f t="shared" si="1"/>
        <v>110.9974788</v>
      </c>
      <c r="AE9" s="36">
        <f t="shared" si="2"/>
        <v>731.16852119999999</v>
      </c>
    </row>
    <row r="10" spans="1:31" x14ac:dyDescent="0.2">
      <c r="A10" s="49" t="s">
        <v>53</v>
      </c>
      <c r="B10" s="54">
        <f t="shared" si="3"/>
        <v>9</v>
      </c>
      <c r="C10" s="54">
        <v>3</v>
      </c>
      <c r="D10" s="54">
        <v>2022</v>
      </c>
      <c r="E10" s="38">
        <f>Water!C11</f>
        <v>1030</v>
      </c>
      <c r="F10" s="38">
        <f>Water!E11</f>
        <v>520</v>
      </c>
      <c r="G10" s="38">
        <f>Water!G11</f>
        <v>369.9</v>
      </c>
      <c r="H10" s="38">
        <f>Water!I11</f>
        <v>3.8879999999999999</v>
      </c>
      <c r="I10" s="38">
        <f>ELECT.!F11</f>
        <v>10734</v>
      </c>
      <c r="J10" s="38">
        <f>ELECT.!H11</f>
        <v>32707</v>
      </c>
      <c r="K10" s="38">
        <f>ELECT.!K11</f>
        <v>7374</v>
      </c>
      <c r="L10" s="38">
        <f>ELECT.!M11</f>
        <v>4988</v>
      </c>
      <c r="M10" s="38">
        <f>ELECT.!O11</f>
        <v>5604</v>
      </c>
      <c r="N10" s="38">
        <f>ELECT.!Q11</f>
        <v>2254</v>
      </c>
      <c r="O10" s="38">
        <f>ELECT.!S11</f>
        <v>8296</v>
      </c>
      <c r="P10" s="38">
        <f>ELECT.!W11*2</f>
        <v>17648</v>
      </c>
      <c r="Q10" s="38">
        <f>ELECT.!D11</f>
        <v>480</v>
      </c>
      <c r="R10" s="39">
        <f>BTU!C11</f>
        <v>4.0420000000012806</v>
      </c>
      <c r="S10" s="39">
        <f>BTU!F11</f>
        <v>1.602999999999156</v>
      </c>
      <c r="T10" s="39">
        <f>BTU!I11</f>
        <v>6</v>
      </c>
      <c r="U10" s="39">
        <f>BTU!O11</f>
        <v>1.4039999999999964</v>
      </c>
      <c r="V10" s="39">
        <f>BTU!L11</f>
        <v>0</v>
      </c>
      <c r="W10" s="39">
        <f>BTU!R11</f>
        <v>0.6000000000003638</v>
      </c>
      <c r="X10" s="36">
        <f>ELECT.!B11</f>
        <v>163</v>
      </c>
      <c r="Y10" s="36">
        <f t="shared" si="0"/>
        <v>-2723</v>
      </c>
      <c r="Z10">
        <f>'Mall, Citadel, Rotana'!C11+'Mall, Citadel, Rotana'!E11+'Mall, Citadel, Rotana'!G11+'Mall, Citadel, Rotana'!I11</f>
        <v>1354</v>
      </c>
      <c r="AA10">
        <f>'Mall, Citadel, Rotana'!K11+'Mall, Citadel, Rotana'!M11</f>
        <v>27520</v>
      </c>
      <c r="AB10">
        <f>'Mall, Citadel, Rotana'!O11</f>
        <v>3</v>
      </c>
      <c r="AC10">
        <f>'Mall, Citadel, Rotana'!Q11+'Mall, Citadel, Rotana'!S11</f>
        <v>0</v>
      </c>
      <c r="AD10" s="36">
        <f t="shared" si="1"/>
        <v>109.67236160000002</v>
      </c>
      <c r="AE10" s="36">
        <f t="shared" si="2"/>
        <v>722.43963840000004</v>
      </c>
    </row>
    <row r="11" spans="1:31" x14ac:dyDescent="0.2">
      <c r="A11" s="49" t="s">
        <v>53</v>
      </c>
      <c r="B11" s="54">
        <f t="shared" si="3"/>
        <v>10</v>
      </c>
      <c r="C11" s="54">
        <v>3</v>
      </c>
      <c r="D11" s="54">
        <v>2022</v>
      </c>
      <c r="E11" s="38">
        <f>Water!C12</f>
        <v>1720</v>
      </c>
      <c r="F11" s="38">
        <f>Water!E12</f>
        <v>1230</v>
      </c>
      <c r="G11" s="38">
        <f>Water!G12</f>
        <v>361.8</v>
      </c>
      <c r="H11" s="38">
        <f>Water!I12</f>
        <v>4.2119999999999997</v>
      </c>
      <c r="I11" s="38">
        <f>ELECT.!F12</f>
        <v>10698</v>
      </c>
      <c r="J11" s="38">
        <f>ELECT.!H12</f>
        <v>35102</v>
      </c>
      <c r="K11" s="38">
        <f>ELECT.!K12</f>
        <v>7828</v>
      </c>
      <c r="L11" s="38">
        <f>ELECT.!M12</f>
        <v>4845</v>
      </c>
      <c r="M11" s="38">
        <f>ELECT.!O12</f>
        <v>5718</v>
      </c>
      <c r="N11" s="38">
        <f>ELECT.!Q12</f>
        <v>2764</v>
      </c>
      <c r="O11" s="38">
        <f>ELECT.!S12</f>
        <v>8889</v>
      </c>
      <c r="P11" s="38">
        <f>ELECT.!W12*2</f>
        <v>18682</v>
      </c>
      <c r="Q11" s="38">
        <f>ELECT.!D12</f>
        <v>480</v>
      </c>
      <c r="R11" s="39">
        <f>BTU!C12</f>
        <v>3.6110000000007858</v>
      </c>
      <c r="S11" s="39">
        <f>BTU!F12</f>
        <v>1.1320000000005166</v>
      </c>
      <c r="T11" s="39">
        <f>BTU!I12</f>
        <v>6</v>
      </c>
      <c r="U11" s="39">
        <f>BTU!O12</f>
        <v>1.4149999999999636</v>
      </c>
      <c r="V11" s="39">
        <f>BTU!L12</f>
        <v>0</v>
      </c>
      <c r="W11" s="39">
        <f>BTU!R12</f>
        <v>0</v>
      </c>
      <c r="X11" s="36">
        <f>ELECT.!B12</f>
        <v>240</v>
      </c>
      <c r="Y11" s="36">
        <f t="shared" si="0"/>
        <v>-2926</v>
      </c>
      <c r="Z11">
        <f>'Mall, Citadel, Rotana'!C12+'Mall, Citadel, Rotana'!E12+'Mall, Citadel, Rotana'!G12+'Mall, Citadel, Rotana'!I12</f>
        <v>1207</v>
      </c>
      <c r="AA11">
        <f>'Mall, Citadel, Rotana'!K12+'Mall, Citadel, Rotana'!M12</f>
        <v>31200</v>
      </c>
      <c r="AB11">
        <f>'Mall, Citadel, Rotana'!O12</f>
        <v>4</v>
      </c>
      <c r="AC11">
        <f>'Mall, Citadel, Rotana'!Q12+'Mall, Citadel, Rotana'!S12</f>
        <v>0</v>
      </c>
      <c r="AD11" s="36">
        <f t="shared" si="1"/>
        <v>200.57165839999999</v>
      </c>
      <c r="AE11" s="36">
        <f t="shared" si="2"/>
        <v>1321.2163416000001</v>
      </c>
    </row>
    <row r="12" spans="1:31" x14ac:dyDescent="0.2">
      <c r="A12" s="49" t="s">
        <v>53</v>
      </c>
      <c r="B12" s="54">
        <f t="shared" si="3"/>
        <v>11</v>
      </c>
      <c r="C12" s="54">
        <v>3</v>
      </c>
      <c r="D12" s="54">
        <v>2022</v>
      </c>
      <c r="E12" s="38">
        <f>Water!C13</f>
        <v>1020</v>
      </c>
      <c r="F12" s="38">
        <f>Water!E13</f>
        <v>510</v>
      </c>
      <c r="G12" s="38">
        <f>Water!G13</f>
        <v>391.5</v>
      </c>
      <c r="H12" s="38">
        <f>Water!I13</f>
        <v>4.7519999999999998</v>
      </c>
      <c r="I12" s="38">
        <f>ELECT.!F13</f>
        <v>14631</v>
      </c>
      <c r="J12" s="38">
        <f>ELECT.!H13</f>
        <v>43556</v>
      </c>
      <c r="K12" s="38">
        <f>ELECT.!K13</f>
        <v>9166</v>
      </c>
      <c r="L12" s="38">
        <f>ELECT.!M13</f>
        <v>6599</v>
      </c>
      <c r="M12" s="38">
        <f>ELECT.!O13</f>
        <v>7828</v>
      </c>
      <c r="N12" s="38">
        <f>ELECT.!Q13</f>
        <v>3487</v>
      </c>
      <c r="O12" s="38">
        <f>ELECT.!S13</f>
        <v>11495</v>
      </c>
      <c r="P12" s="38">
        <f>ELECT.!W13*2</f>
        <v>22862</v>
      </c>
      <c r="Q12" s="38">
        <f>ELECT.!D13</f>
        <v>480</v>
      </c>
      <c r="R12" s="39">
        <f>BTU!C13</f>
        <v>2.6769999999996799</v>
      </c>
      <c r="S12" s="39">
        <f>BTU!F13</f>
        <v>0.53399999999965075</v>
      </c>
      <c r="T12" s="39">
        <f>BTU!I13</f>
        <v>6</v>
      </c>
      <c r="U12" s="39">
        <f>BTU!O13</f>
        <v>1.2519999999999527</v>
      </c>
      <c r="V12" s="39">
        <f>BTU!L13</f>
        <v>0</v>
      </c>
      <c r="W12" s="39">
        <f>BTU!R13</f>
        <v>2.9999999999745341E-2</v>
      </c>
      <c r="X12" s="36">
        <f>ELECT.!B13</f>
        <v>218</v>
      </c>
      <c r="Y12" s="36">
        <f t="shared" si="0"/>
        <v>-3250</v>
      </c>
      <c r="Z12">
        <f>'Mall, Citadel, Rotana'!C13+'Mall, Citadel, Rotana'!E13+'Mall, Citadel, Rotana'!G13+'Mall, Citadel, Rotana'!I13</f>
        <v>1385</v>
      </c>
      <c r="AA12">
        <f>'Mall, Citadel, Rotana'!K13+'Mall, Citadel, Rotana'!M13</f>
        <v>18720</v>
      </c>
      <c r="AB12">
        <f>'Mall, Citadel, Rotana'!O13</f>
        <v>3</v>
      </c>
      <c r="AC12">
        <f>'Mall, Citadel, Rotana'!Q13+'Mall, Citadel, Rotana'!S13</f>
        <v>0</v>
      </c>
      <c r="AD12" s="36">
        <f t="shared" si="1"/>
        <v>108.24048640000001</v>
      </c>
      <c r="AE12" s="36">
        <f t="shared" si="2"/>
        <v>713.00751360000004</v>
      </c>
    </row>
    <row r="13" spans="1:31" x14ac:dyDescent="0.2">
      <c r="A13" s="49" t="s">
        <v>53</v>
      </c>
      <c r="B13" s="54">
        <f t="shared" si="3"/>
        <v>12</v>
      </c>
      <c r="C13" s="54">
        <v>3</v>
      </c>
      <c r="D13" s="54">
        <v>2022</v>
      </c>
      <c r="E13" s="38">
        <f>Water!C14</f>
        <v>1050</v>
      </c>
      <c r="F13" s="38">
        <f>Water!E14</f>
        <v>500</v>
      </c>
      <c r="G13" s="38">
        <f>Water!G14</f>
        <v>372.6</v>
      </c>
      <c r="H13" s="38">
        <f>Water!I14</f>
        <v>4.8869999999999996</v>
      </c>
      <c r="I13" s="38">
        <f>ELECT.!F14</f>
        <v>11278</v>
      </c>
      <c r="J13" s="38">
        <f>ELECT.!H14</f>
        <v>34216</v>
      </c>
      <c r="K13" s="38">
        <f>ELECT.!K14</f>
        <v>7364</v>
      </c>
      <c r="L13" s="38">
        <f>ELECT.!M14</f>
        <v>5175</v>
      </c>
      <c r="M13" s="38">
        <f>ELECT.!O14</f>
        <v>5988</v>
      </c>
      <c r="N13" s="38">
        <f>ELECT.!Q14</f>
        <v>2754</v>
      </c>
      <c r="O13" s="38">
        <f>ELECT.!S14</f>
        <v>9212</v>
      </c>
      <c r="P13" s="38">
        <f>ELECT.!W14*2</f>
        <v>17864</v>
      </c>
      <c r="Q13" s="38">
        <f>ELECT.!D14</f>
        <v>480</v>
      </c>
      <c r="R13" s="39">
        <f>BTU!C14</f>
        <v>2.9089999999996508</v>
      </c>
      <c r="S13" s="39">
        <f>BTU!F14</f>
        <v>0.54100000000016735</v>
      </c>
      <c r="T13" s="39">
        <f>BTU!I14</f>
        <v>5</v>
      </c>
      <c r="U13" s="39">
        <f>BTU!O14</f>
        <v>1.1829999999999927</v>
      </c>
      <c r="V13" s="39">
        <f>BTU!L14</f>
        <v>0</v>
      </c>
      <c r="W13" s="39">
        <f>BTU!R14</f>
        <v>0</v>
      </c>
      <c r="X13" s="36">
        <f>ELECT.!B14</f>
        <v>269</v>
      </c>
      <c r="Y13" s="36">
        <f t="shared" si="0"/>
        <v>-2863</v>
      </c>
      <c r="Z13">
        <f>'Mall, Citadel, Rotana'!C14+'Mall, Citadel, Rotana'!E14+'Mall, Citadel, Rotana'!G14+'Mall, Citadel, Rotana'!I14</f>
        <v>1193</v>
      </c>
      <c r="AA13">
        <f>'Mall, Citadel, Rotana'!K14+'Mall, Citadel, Rotana'!M14</f>
        <v>20640</v>
      </c>
      <c r="AB13">
        <f>'Mall, Citadel, Rotana'!O14</f>
        <v>3</v>
      </c>
      <c r="AC13">
        <f>'Mall, Citadel, Rotana'!Q14+'Mall, Citadel, Rotana'!S14</f>
        <v>484</v>
      </c>
      <c r="AD13" s="36">
        <f t="shared" si="1"/>
        <v>112.1766934</v>
      </c>
      <c r="AE13" s="36">
        <f t="shared" si="2"/>
        <v>738.93630660000008</v>
      </c>
    </row>
    <row r="14" spans="1:31" x14ac:dyDescent="0.2">
      <c r="A14" s="49" t="s">
        <v>53</v>
      </c>
      <c r="B14" s="54">
        <f t="shared" si="3"/>
        <v>13</v>
      </c>
      <c r="C14" s="54">
        <v>3</v>
      </c>
      <c r="D14" s="54">
        <v>2022</v>
      </c>
      <c r="E14" s="38">
        <f>Water!C15</f>
        <v>1050</v>
      </c>
      <c r="F14" s="38">
        <f>Water!E15</f>
        <v>480</v>
      </c>
      <c r="G14" s="38">
        <f>Water!G15</f>
        <v>394.2</v>
      </c>
      <c r="H14" s="38">
        <f>Water!I15</f>
        <v>5.0490000000000004</v>
      </c>
      <c r="I14" s="38">
        <f>ELECT.!F15</f>
        <v>12497</v>
      </c>
      <c r="J14" s="38">
        <f>ELECT.!H15</f>
        <v>37648</v>
      </c>
      <c r="K14" s="38">
        <f>ELECT.!K15</f>
        <v>9204</v>
      </c>
      <c r="L14" s="38">
        <f>ELECT.!M15</f>
        <v>5964</v>
      </c>
      <c r="M14" s="38">
        <f>ELECT.!O15</f>
        <v>6400</v>
      </c>
      <c r="N14" s="38">
        <f>ELECT.!Q15</f>
        <v>2998</v>
      </c>
      <c r="O14" s="38">
        <f>ELECT.!S15</f>
        <v>9928</v>
      </c>
      <c r="P14" s="38">
        <f>ELECT.!W15*2</f>
        <v>19312</v>
      </c>
      <c r="Q14" s="38">
        <f>ELECT.!D15</f>
        <v>480</v>
      </c>
      <c r="R14" s="39">
        <f>BTU!C15</f>
        <v>2.0879999999997381</v>
      </c>
      <c r="S14" s="39">
        <f>BTU!F15</f>
        <v>0.7430000000003929</v>
      </c>
      <c r="T14" s="39">
        <f>BTU!I15</f>
        <v>5</v>
      </c>
      <c r="U14" s="39">
        <f>BTU!O15</f>
        <v>1.1019999999998618</v>
      </c>
      <c r="V14" s="39">
        <f>BTU!L15</f>
        <v>0</v>
      </c>
      <c r="W14" s="39">
        <f>BTU!R15</f>
        <v>0</v>
      </c>
      <c r="X14" s="36">
        <f>ELECT.!B15</f>
        <v>294</v>
      </c>
      <c r="Y14" s="36">
        <f t="shared" si="0"/>
        <v>-3661</v>
      </c>
      <c r="Z14">
        <f>'Mall, Citadel, Rotana'!C15+'Mall, Citadel, Rotana'!E15+'Mall, Citadel, Rotana'!G15+'Mall, Citadel, Rotana'!I15</f>
        <v>1356</v>
      </c>
      <c r="AA14">
        <f>'Mall, Citadel, Rotana'!K15+'Mall, Citadel, Rotana'!M15</f>
        <v>29120</v>
      </c>
      <c r="AB14">
        <f>'Mall, Citadel, Rotana'!O15</f>
        <v>3</v>
      </c>
      <c r="AC14">
        <f>'Mall, Citadel, Rotana'!Q15+'Mall, Citadel, Rotana'!S15</f>
        <v>125</v>
      </c>
      <c r="AD14" s="36">
        <f t="shared" si="1"/>
        <v>112.1553418</v>
      </c>
      <c r="AE14" s="36">
        <f t="shared" si="2"/>
        <v>738.79565820000005</v>
      </c>
    </row>
    <row r="15" spans="1:31" x14ac:dyDescent="0.2">
      <c r="A15" s="49" t="s">
        <v>53</v>
      </c>
      <c r="B15" s="54">
        <f t="shared" si="3"/>
        <v>14</v>
      </c>
      <c r="C15" s="54">
        <v>3</v>
      </c>
      <c r="D15" s="54">
        <v>2022</v>
      </c>
      <c r="E15" s="38">
        <f>Water!C16</f>
        <v>1070</v>
      </c>
      <c r="F15" s="38">
        <f>Water!E16</f>
        <v>540</v>
      </c>
      <c r="G15" s="38">
        <f>Water!G16</f>
        <v>445.5</v>
      </c>
      <c r="H15" s="38">
        <f>Water!I16</f>
        <v>5.9939999999999998</v>
      </c>
      <c r="I15" s="38">
        <f>ELECT.!F16</f>
        <v>13745</v>
      </c>
      <c r="J15" s="38">
        <f>ELECT.!H16</f>
        <v>44587</v>
      </c>
      <c r="K15" s="38">
        <f>ELECT.!K16</f>
        <v>10744</v>
      </c>
      <c r="L15" s="38">
        <f>ELECT.!M16</f>
        <v>6743</v>
      </c>
      <c r="M15" s="38">
        <f>ELECT.!O16</f>
        <v>6824</v>
      </c>
      <c r="N15" s="38">
        <f>ELECT.!Q16</f>
        <v>3393</v>
      </c>
      <c r="O15" s="38">
        <f>ELECT.!S16</f>
        <v>11628</v>
      </c>
      <c r="P15" s="38">
        <f>ELECT.!W16*2</f>
        <v>23144</v>
      </c>
      <c r="Q15" s="38">
        <f>ELECT.!D16</f>
        <v>320</v>
      </c>
      <c r="R15" s="39">
        <f>BTU!C16</f>
        <v>2.2319999999999709</v>
      </c>
      <c r="S15" s="39">
        <f>BTU!F16</f>
        <v>0.42000000000007276</v>
      </c>
      <c r="T15" s="39">
        <f>BTU!I16</f>
        <v>7</v>
      </c>
      <c r="U15" s="39">
        <f>BTU!O16</f>
        <v>1.3100000000004002</v>
      </c>
      <c r="V15" s="39">
        <f>BTU!L16</f>
        <v>0</v>
      </c>
      <c r="W15" s="39">
        <f>BTU!R16</f>
        <v>1.0000000000218279E-2</v>
      </c>
      <c r="X15" s="36">
        <f>ELECT.!B16</f>
        <v>271</v>
      </c>
      <c r="Y15" s="36">
        <f t="shared" si="0"/>
        <v>-4144</v>
      </c>
      <c r="Z15">
        <f>'Mall, Citadel, Rotana'!C16+'Mall, Citadel, Rotana'!E16+'Mall, Citadel, Rotana'!G16+'Mall, Citadel, Rotana'!I16</f>
        <v>1534</v>
      </c>
      <c r="AA15">
        <f>'Mall, Citadel, Rotana'!K16+'Mall, Citadel, Rotana'!M16</f>
        <v>27040</v>
      </c>
      <c r="AB15">
        <f>'Mall, Citadel, Rotana'!O16</f>
        <v>3</v>
      </c>
      <c r="AC15">
        <f>'Mall, Citadel, Rotana'!Q16+'Mall, Citadel, Rotana'!S16</f>
        <v>110</v>
      </c>
      <c r="AD15" s="36">
        <f t="shared" si="1"/>
        <v>114.66679080000002</v>
      </c>
      <c r="AE15" s="36">
        <f t="shared" si="2"/>
        <v>755.33920920000003</v>
      </c>
    </row>
    <row r="16" spans="1:31" x14ac:dyDescent="0.2">
      <c r="A16" s="49" t="s">
        <v>53</v>
      </c>
      <c r="B16" s="54">
        <f t="shared" si="3"/>
        <v>15</v>
      </c>
      <c r="C16" s="54">
        <v>3</v>
      </c>
      <c r="D16" s="54">
        <v>2022</v>
      </c>
      <c r="E16" s="38">
        <f>Water!C17</f>
        <v>1090</v>
      </c>
      <c r="F16" s="38">
        <f>Water!E17</f>
        <v>470</v>
      </c>
      <c r="G16" s="38">
        <f>Water!G17</f>
        <v>337.5</v>
      </c>
      <c r="H16" s="38">
        <f>Water!I17</f>
        <v>5.5620000000000003</v>
      </c>
      <c r="I16" s="38">
        <f>ELECT.!F17</f>
        <v>10181</v>
      </c>
      <c r="J16" s="38">
        <f>ELECT.!H17</f>
        <v>31158</v>
      </c>
      <c r="K16" s="38">
        <f>ELECT.!K17</f>
        <v>7748</v>
      </c>
      <c r="L16" s="38">
        <f>ELECT.!M17</f>
        <v>5110</v>
      </c>
      <c r="M16" s="38">
        <f>ELECT.!O17</f>
        <v>4934</v>
      </c>
      <c r="N16" s="38">
        <f>ELECT.!Q17</f>
        <v>2428</v>
      </c>
      <c r="O16" s="38">
        <f>ELECT.!S17</f>
        <v>8057</v>
      </c>
      <c r="P16" s="38">
        <f>ELECT.!W17*2</f>
        <v>16110</v>
      </c>
      <c r="Q16" s="38">
        <f>ELECT.!D17</f>
        <v>800</v>
      </c>
      <c r="R16" s="39">
        <f>BTU!C17</f>
        <v>2.2240000000019791</v>
      </c>
      <c r="S16" s="39">
        <f>BTU!F17</f>
        <v>0.8139999999993961</v>
      </c>
      <c r="T16" s="39">
        <f>BTU!I17</f>
        <v>6</v>
      </c>
      <c r="U16" s="39">
        <f>BTU!O17</f>
        <v>1.2809999999999491</v>
      </c>
      <c r="V16" s="39">
        <f>BTU!L17</f>
        <v>0</v>
      </c>
      <c r="W16" s="39">
        <f>BTU!R17</f>
        <v>0</v>
      </c>
      <c r="X16" s="36">
        <f>ELECT.!B17</f>
        <v>316</v>
      </c>
      <c r="Y16" s="36">
        <f t="shared" si="0"/>
        <v>-3048</v>
      </c>
      <c r="Z16">
        <f>'Mall, Citadel, Rotana'!C17+'Mall, Citadel, Rotana'!E17+'Mall, Citadel, Rotana'!G17+'Mall, Citadel, Rotana'!I17</f>
        <v>1212</v>
      </c>
      <c r="AA16">
        <f>'Mall, Citadel, Rotana'!K17+'Mall, Citadel, Rotana'!M17</f>
        <v>27360</v>
      </c>
      <c r="AB16">
        <f>'Mall, Citadel, Rotana'!O17</f>
        <v>3</v>
      </c>
      <c r="AC16">
        <f>'Mall, Citadel, Rotana'!Q17+'Mall, Citadel, Rotana'!S17</f>
        <v>219</v>
      </c>
      <c r="AD16" s="36">
        <f t="shared" si="1"/>
        <v>117.35972840000001</v>
      </c>
      <c r="AE16" s="36">
        <f t="shared" si="2"/>
        <v>773.07827160000011</v>
      </c>
    </row>
    <row r="17" spans="1:31" x14ac:dyDescent="0.2">
      <c r="A17" s="49" t="s">
        <v>53</v>
      </c>
      <c r="B17" s="54">
        <f t="shared" si="3"/>
        <v>16</v>
      </c>
      <c r="C17" s="54">
        <v>3</v>
      </c>
      <c r="D17" s="54">
        <v>2022</v>
      </c>
      <c r="E17" s="38">
        <f>Water!C18</f>
        <v>1100</v>
      </c>
      <c r="F17" s="38">
        <f>Water!E18</f>
        <v>500</v>
      </c>
      <c r="G17" s="38">
        <f>Water!G18</f>
        <v>372.6</v>
      </c>
      <c r="H17" s="38">
        <f>Water!I18</f>
        <v>6.0750000000000002</v>
      </c>
      <c r="I17" s="38">
        <f>ELECT.!F18</f>
        <v>14400</v>
      </c>
      <c r="J17" s="38">
        <f>ELECT.!H18</f>
        <v>46063</v>
      </c>
      <c r="K17" s="38">
        <f>ELECT.!K18</f>
        <v>12054</v>
      </c>
      <c r="L17" s="38">
        <f>ELECT.!M18</f>
        <v>6856</v>
      </c>
      <c r="M17" s="38">
        <f>ELECT.!O18</f>
        <v>7378</v>
      </c>
      <c r="N17" s="38">
        <f>ELECT.!Q18</f>
        <v>3463</v>
      </c>
      <c r="O17" s="38">
        <f>ELECT.!S18</f>
        <v>11929</v>
      </c>
      <c r="P17" s="38">
        <f>ELECT.!W18*2</f>
        <v>23600</v>
      </c>
      <c r="Q17" s="38">
        <f>ELECT.!D18</f>
        <v>480</v>
      </c>
      <c r="R17" s="39">
        <f>BTU!C18</f>
        <v>1.8999999999978172</v>
      </c>
      <c r="S17" s="39">
        <f>BTU!F18</f>
        <v>0.61700000000018917</v>
      </c>
      <c r="T17" s="39">
        <f>BTU!I18</f>
        <v>5</v>
      </c>
      <c r="U17" s="39">
        <f>BTU!O18</f>
        <v>1.1709999999998217</v>
      </c>
      <c r="V17" s="39">
        <f>BTU!L18</f>
        <v>0</v>
      </c>
      <c r="W17" s="39">
        <f>BTU!R18</f>
        <v>0</v>
      </c>
      <c r="X17" s="36">
        <f>ELECT.!B18</f>
        <v>319</v>
      </c>
      <c r="Y17" s="36">
        <f t="shared" si="0"/>
        <v>-4817</v>
      </c>
      <c r="Z17">
        <f>'Mall, Citadel, Rotana'!C18+'Mall, Citadel, Rotana'!E18+'Mall, Citadel, Rotana'!G18+'Mall, Citadel, Rotana'!I18</f>
        <v>1354</v>
      </c>
      <c r="AA17">
        <f>'Mall, Citadel, Rotana'!K18+'Mall, Citadel, Rotana'!M18</f>
        <v>27200</v>
      </c>
      <c r="AB17">
        <f>'Mall, Citadel, Rotana'!O18</f>
        <v>3</v>
      </c>
      <c r="AC17">
        <f>'Mall, Citadel, Rotana'!Q18+'Mall, Citadel, Rotana'!S18</f>
        <v>121</v>
      </c>
      <c r="AD17" s="36">
        <f t="shared" si="1"/>
        <v>118.61011499999999</v>
      </c>
      <c r="AE17" s="36">
        <f t="shared" si="2"/>
        <v>781.314885</v>
      </c>
    </row>
    <row r="18" spans="1:31" x14ac:dyDescent="0.2">
      <c r="A18" s="49" t="s">
        <v>53</v>
      </c>
      <c r="B18" s="54">
        <f t="shared" si="3"/>
        <v>17</v>
      </c>
      <c r="C18" s="54">
        <v>3</v>
      </c>
      <c r="D18" s="54">
        <v>2022</v>
      </c>
      <c r="E18" s="38">
        <f>Water!C19</f>
        <v>1100</v>
      </c>
      <c r="F18" s="38">
        <f>Water!E19</f>
        <v>500</v>
      </c>
      <c r="G18" s="38">
        <f>Water!G19</f>
        <v>372.6</v>
      </c>
      <c r="H18" s="38">
        <f>Water!I19</f>
        <v>6.0750000000000002</v>
      </c>
      <c r="I18" s="38">
        <f>ELECT.!F19</f>
        <v>9744</v>
      </c>
      <c r="J18" s="38">
        <f>ELECT.!H19</f>
        <v>29795</v>
      </c>
      <c r="K18" s="38">
        <f>ELECT.!K19</f>
        <v>8758</v>
      </c>
      <c r="L18" s="38">
        <f>ELECT.!M19</f>
        <v>4682</v>
      </c>
      <c r="M18" s="38">
        <f>ELECT.!O19</f>
        <v>4934</v>
      </c>
      <c r="N18" s="38">
        <f>ELECT.!Q19</f>
        <v>2174</v>
      </c>
      <c r="O18" s="38">
        <f>ELECT.!S19</f>
        <v>7258</v>
      </c>
      <c r="P18" s="38">
        <f>ELECT.!W19*2</f>
        <v>15346</v>
      </c>
      <c r="Q18" s="38">
        <f>ELECT.!D19</f>
        <v>480</v>
      </c>
      <c r="R18" s="39">
        <f>BTU!C19</f>
        <v>2.0600000000013097</v>
      </c>
      <c r="S18" s="39">
        <f>BTU!F19</f>
        <v>0.568000000000211</v>
      </c>
      <c r="T18" s="39">
        <f>BTU!I19</f>
        <v>6</v>
      </c>
      <c r="U18" s="39">
        <f>BTU!O19</f>
        <v>1.1860000000001492</v>
      </c>
      <c r="V18" s="39">
        <f>BTU!L19</f>
        <v>0</v>
      </c>
      <c r="W18" s="39">
        <f>BTU!R19</f>
        <v>9.999999999308784E-3</v>
      </c>
      <c r="X18" s="36">
        <f>ELECT.!B19</f>
        <v>295</v>
      </c>
      <c r="Y18" s="36">
        <f t="shared" si="0"/>
        <v>-3613</v>
      </c>
      <c r="Z18">
        <f>'Mall, Citadel, Rotana'!C19+'Mall, Citadel, Rotana'!E19+'Mall, Citadel, Rotana'!G19+'Mall, Citadel, Rotana'!I19</f>
        <v>1371</v>
      </c>
      <c r="AA18">
        <f>'Mall, Citadel, Rotana'!K19+'Mall, Citadel, Rotana'!M19</f>
        <v>26880</v>
      </c>
      <c r="AB18">
        <f>'Mall, Citadel, Rotana'!O19</f>
        <v>3</v>
      </c>
      <c r="AC18">
        <f>'Mall, Citadel, Rotana'!Q19+'Mall, Citadel, Rotana'!S19</f>
        <v>115</v>
      </c>
      <c r="AD18" s="36">
        <f t="shared" si="1"/>
        <v>118.61011499999999</v>
      </c>
      <c r="AE18" s="36">
        <f t="shared" si="2"/>
        <v>781.314885</v>
      </c>
    </row>
    <row r="19" spans="1:31" x14ac:dyDescent="0.2">
      <c r="A19" s="49" t="s">
        <v>53</v>
      </c>
      <c r="B19" s="54">
        <f t="shared" si="3"/>
        <v>18</v>
      </c>
      <c r="C19" s="54">
        <v>3</v>
      </c>
      <c r="D19" s="54">
        <v>2022</v>
      </c>
      <c r="E19" s="38">
        <f>Water!C20</f>
        <v>430</v>
      </c>
      <c r="F19" s="38">
        <f>Water!E20</f>
        <v>470</v>
      </c>
      <c r="G19" s="38">
        <f>Water!G20</f>
        <v>297</v>
      </c>
      <c r="H19" s="38">
        <f>Water!I20</f>
        <v>4.4279999999999999</v>
      </c>
      <c r="I19" s="38">
        <f>ELECT.!F20</f>
        <v>13350</v>
      </c>
      <c r="J19" s="38">
        <f>ELECT.!H20</f>
        <v>39565</v>
      </c>
      <c r="K19" s="38">
        <f>ELECT.!K20</f>
        <v>9532</v>
      </c>
      <c r="L19" s="38">
        <f>ELECT.!M20</f>
        <v>6021</v>
      </c>
      <c r="M19" s="38">
        <f>ELECT.!O20</f>
        <v>7140</v>
      </c>
      <c r="N19" s="38">
        <f>ELECT.!Q20</f>
        <v>2905</v>
      </c>
      <c r="O19" s="38">
        <f>ELECT.!S20</f>
        <v>10286</v>
      </c>
      <c r="P19" s="38">
        <f>ELECT.!W20*2</f>
        <v>20616</v>
      </c>
      <c r="Q19" s="38">
        <f>ELECT.!D20</f>
        <v>640</v>
      </c>
      <c r="R19" s="39">
        <f>BTU!C20</f>
        <v>2.4120000000002619</v>
      </c>
      <c r="S19" s="39">
        <f>BTU!F20</f>
        <v>0.54500000000007276</v>
      </c>
      <c r="T19" s="39">
        <f>BTU!I20</f>
        <v>5</v>
      </c>
      <c r="U19" s="39">
        <f>BTU!O20</f>
        <v>1.2660000000000764</v>
      </c>
      <c r="V19" s="39">
        <f>BTU!L20</f>
        <v>0</v>
      </c>
      <c r="W19" s="39">
        <f>BTU!R20</f>
        <v>3.999999999996362E-2</v>
      </c>
      <c r="X19" s="36">
        <f>ELECT.!B20</f>
        <v>300</v>
      </c>
      <c r="Y19" s="36">
        <f t="shared" si="0"/>
        <v>-3585</v>
      </c>
      <c r="Z19">
        <f>'Mall, Citadel, Rotana'!C20+'Mall, Citadel, Rotana'!E20+'Mall, Citadel, Rotana'!G20+'Mall, Citadel, Rotana'!I20</f>
        <v>1374</v>
      </c>
      <c r="AA19">
        <f>'Mall, Citadel, Rotana'!K20+'Mall, Citadel, Rotana'!M20</f>
        <v>21440</v>
      </c>
      <c r="AB19">
        <f>'Mall, Citadel, Rotana'!O20</f>
        <v>4</v>
      </c>
      <c r="AC19">
        <f>'Mall, Citadel, Rotana'!Q20+'Mall, Citadel, Rotana'!S20</f>
        <v>0</v>
      </c>
      <c r="AD19" s="36">
        <f t="shared" si="1"/>
        <v>30.5211896</v>
      </c>
      <c r="AE19" s="36">
        <f t="shared" si="2"/>
        <v>201.05081039999999</v>
      </c>
    </row>
    <row r="20" spans="1:31" x14ac:dyDescent="0.2">
      <c r="A20" s="49" t="s">
        <v>53</v>
      </c>
      <c r="B20" s="54">
        <f t="shared" si="3"/>
        <v>19</v>
      </c>
      <c r="C20" s="54">
        <v>3</v>
      </c>
      <c r="D20" s="54">
        <v>2022</v>
      </c>
      <c r="E20" s="38">
        <f>Water!C21</f>
        <v>940</v>
      </c>
      <c r="F20" s="38">
        <f>Water!E21</f>
        <v>480</v>
      </c>
      <c r="G20" s="38">
        <f>Water!G21</f>
        <v>356.4</v>
      </c>
      <c r="H20" s="38">
        <f>Water!I21</f>
        <v>4.617</v>
      </c>
      <c r="I20" s="38">
        <f>ELECT.!F21</f>
        <v>11896</v>
      </c>
      <c r="J20" s="38">
        <f>ELECT.!H21</f>
        <v>34974</v>
      </c>
      <c r="K20" s="38">
        <f>ELECT.!K21</f>
        <v>8814</v>
      </c>
      <c r="L20" s="38">
        <f>ELECT.!M21</f>
        <v>5389</v>
      </c>
      <c r="M20" s="38">
        <f>ELECT.!O21</f>
        <v>6392</v>
      </c>
      <c r="N20" s="38">
        <f>ELECT.!Q21</f>
        <v>2538</v>
      </c>
      <c r="O20" s="38">
        <f>ELECT.!S21</f>
        <v>9162</v>
      </c>
      <c r="P20" s="38">
        <f>ELECT.!W21*2</f>
        <v>18140</v>
      </c>
      <c r="Q20" s="38">
        <f>ELECT.!D21</f>
        <v>480</v>
      </c>
      <c r="R20" s="39">
        <f>BTU!C21</f>
        <v>2.4019999999982247</v>
      </c>
      <c r="S20" s="39">
        <f>BTU!F21</f>
        <v>0.41699999999946158</v>
      </c>
      <c r="T20" s="39">
        <f>BTU!I21</f>
        <v>6</v>
      </c>
      <c r="U20" s="39">
        <f>BTU!O21</f>
        <v>1.2489999999997963</v>
      </c>
      <c r="V20" s="39">
        <f>BTU!L21</f>
        <v>0</v>
      </c>
      <c r="W20" s="39">
        <f>BTU!R21</f>
        <v>6.0000000000400178E-2</v>
      </c>
      <c r="X20" s="36">
        <f>ELECT.!B21</f>
        <v>290</v>
      </c>
      <c r="Y20" s="36">
        <f t="shared" si="0"/>
        <v>-3565</v>
      </c>
      <c r="Z20">
        <f>'Mall, Citadel, Rotana'!C21+'Mall, Citadel, Rotana'!E21+'Mall, Citadel, Rotana'!G21+'Mall, Citadel, Rotana'!I21</f>
        <v>1372</v>
      </c>
      <c r="AA20">
        <f>'Mall, Citadel, Rotana'!K21+'Mall, Citadel, Rotana'!M21</f>
        <v>21920</v>
      </c>
      <c r="AB20">
        <f>'Mall, Citadel, Rotana'!O21</f>
        <v>3</v>
      </c>
      <c r="AC20">
        <f>'Mall, Citadel, Rotana'!Q21+'Mall, Citadel, Rotana'!S21</f>
        <v>188</v>
      </c>
      <c r="AD20" s="36">
        <f t="shared" si="1"/>
        <v>97.714279400000009</v>
      </c>
      <c r="AE20" s="36">
        <f t="shared" si="2"/>
        <v>643.66872060000003</v>
      </c>
    </row>
    <row r="21" spans="1:31" x14ac:dyDescent="0.2">
      <c r="A21" s="49" t="s">
        <v>53</v>
      </c>
      <c r="B21" s="54">
        <f t="shared" si="3"/>
        <v>20</v>
      </c>
      <c r="C21" s="54">
        <v>3</v>
      </c>
      <c r="D21" s="54">
        <v>2022</v>
      </c>
      <c r="E21" s="38">
        <f>Water!C22</f>
        <v>1580</v>
      </c>
      <c r="F21" s="38">
        <f>Water!E22</f>
        <v>530</v>
      </c>
      <c r="G21" s="38">
        <f>Water!G22</f>
        <v>356.4</v>
      </c>
      <c r="H21" s="38">
        <f>Water!I22</f>
        <v>5.2379999999999995</v>
      </c>
      <c r="I21" s="38">
        <f>ELECT.!F22</f>
        <v>14631</v>
      </c>
      <c r="J21" s="38">
        <f>ELECT.!H22</f>
        <v>45692</v>
      </c>
      <c r="K21" s="38">
        <f>ELECT.!K22</f>
        <v>11422</v>
      </c>
      <c r="L21" s="38">
        <f>ELECT.!M22</f>
        <v>6921</v>
      </c>
      <c r="M21" s="38">
        <f>ELECT.!O22</f>
        <v>7522</v>
      </c>
      <c r="N21" s="38">
        <f>ELECT.!Q22</f>
        <v>3213</v>
      </c>
      <c r="O21" s="38">
        <f>ELECT.!S22</f>
        <v>11854</v>
      </c>
      <c r="P21" s="38">
        <f>ELECT.!W22*2</f>
        <v>23944</v>
      </c>
      <c r="Q21" s="38">
        <f>ELECT.!D22</f>
        <v>480</v>
      </c>
      <c r="R21" s="39">
        <f>BTU!C22</f>
        <v>3.0169999999998254</v>
      </c>
      <c r="S21" s="39">
        <f>BTU!F22</f>
        <v>0.89699999999993452</v>
      </c>
      <c r="T21" s="39">
        <f>BTU!I22</f>
        <v>7</v>
      </c>
      <c r="U21" s="39">
        <f>BTU!O22</f>
        <v>1.5</v>
      </c>
      <c r="V21" s="39">
        <f>BTU!L22</f>
        <v>0</v>
      </c>
      <c r="W21" s="39">
        <f>BTU!R22</f>
        <v>0</v>
      </c>
      <c r="X21" s="36">
        <f>ELECT.!B22</f>
        <v>304</v>
      </c>
      <c r="Y21" s="36">
        <f t="shared" si="0"/>
        <v>-4553</v>
      </c>
      <c r="Z21">
        <f>'Mall, Citadel, Rotana'!C22+'Mall, Citadel, Rotana'!E22+'Mall, Citadel, Rotana'!G22+'Mall, Citadel, Rotana'!I22</f>
        <v>1354</v>
      </c>
      <c r="AA21">
        <f>'Mall, Citadel, Rotana'!K22+'Mall, Citadel, Rotana'!M22</f>
        <v>27040</v>
      </c>
      <c r="AB21">
        <f>'Mall, Citadel, Rotana'!O22</f>
        <v>3</v>
      </c>
      <c r="AC21">
        <f>'Mall, Citadel, Rotana'!Q22+'Mall, Citadel, Rotana'!S22</f>
        <v>0</v>
      </c>
      <c r="AD21" s="36">
        <f t="shared" si="1"/>
        <v>181.98443159999999</v>
      </c>
      <c r="AE21" s="36">
        <f t="shared" si="2"/>
        <v>1198.7775683999998</v>
      </c>
    </row>
    <row r="22" spans="1:31" x14ac:dyDescent="0.2">
      <c r="A22" s="49" t="s">
        <v>53</v>
      </c>
      <c r="B22" s="54">
        <f t="shared" si="3"/>
        <v>21</v>
      </c>
      <c r="C22" s="54">
        <v>3</v>
      </c>
      <c r="D22" s="54">
        <v>2022</v>
      </c>
      <c r="E22" s="38">
        <f>Water!C23</f>
        <v>980</v>
      </c>
      <c r="F22" s="38">
        <f>Water!E23</f>
        <v>520</v>
      </c>
      <c r="G22" s="38">
        <f>Water!G23</f>
        <v>342.9</v>
      </c>
      <c r="H22" s="38">
        <f>Water!I23</f>
        <v>4.9950000000000001</v>
      </c>
      <c r="I22" s="38">
        <f>ELECT.!F23</f>
        <v>11797</v>
      </c>
      <c r="J22" s="38">
        <f>ELECT.!H23</f>
        <v>37093</v>
      </c>
      <c r="K22" s="38">
        <f>ELECT.!K23</f>
        <v>9648</v>
      </c>
      <c r="L22" s="38">
        <f>ELECT.!M23</f>
        <v>5741</v>
      </c>
      <c r="M22" s="38">
        <f>ELECT.!O23</f>
        <v>5930</v>
      </c>
      <c r="N22" s="38">
        <f>ELECT.!Q23</f>
        <v>2475</v>
      </c>
      <c r="O22" s="38">
        <f>ELECT.!S23</f>
        <v>9030</v>
      </c>
      <c r="P22" s="38">
        <f>ELECT.!W23*2</f>
        <v>19958</v>
      </c>
      <c r="Q22" s="38">
        <f>ELECT.!D23</f>
        <v>480</v>
      </c>
      <c r="R22" s="39">
        <f>BTU!C23</f>
        <v>1.9970000000030268</v>
      </c>
      <c r="S22" s="39">
        <f>BTU!F23</f>
        <v>0.71399999999994179</v>
      </c>
      <c r="T22" s="39">
        <f>BTU!I23</f>
        <v>6</v>
      </c>
      <c r="U22" s="39">
        <f>BTU!O23</f>
        <v>1.1179999999999382</v>
      </c>
      <c r="V22" s="39">
        <f>BTU!L23</f>
        <v>0</v>
      </c>
      <c r="W22" s="39">
        <f>BTU!R23</f>
        <v>7.999999999992724E-2</v>
      </c>
      <c r="X22" s="36">
        <f>ELECT.!B23</f>
        <v>228</v>
      </c>
      <c r="Y22" s="36">
        <f t="shared" si="0"/>
        <v>-3892</v>
      </c>
      <c r="Z22">
        <f>'Mall, Citadel, Rotana'!C23+'Mall, Citadel, Rotana'!E23+'Mall, Citadel, Rotana'!G23+'Mall, Citadel, Rotana'!I23</f>
        <v>1372</v>
      </c>
      <c r="AA22">
        <f>'Mall, Citadel, Rotana'!K23+'Mall, Citadel, Rotana'!M23</f>
        <v>26240</v>
      </c>
      <c r="AB22">
        <f>'Mall, Citadel, Rotana'!O23</f>
        <v>3</v>
      </c>
      <c r="AC22">
        <f>'Mall, Citadel, Rotana'!Q23+'Mall, Citadel, Rotana'!S23</f>
        <v>0</v>
      </c>
      <c r="AD22" s="36">
        <f t="shared" si="1"/>
        <v>102.936459</v>
      </c>
      <c r="AE22" s="36">
        <f t="shared" si="2"/>
        <v>678.06854099999998</v>
      </c>
    </row>
    <row r="23" spans="1:31" x14ac:dyDescent="0.2">
      <c r="A23" s="49" t="s">
        <v>53</v>
      </c>
      <c r="B23" s="54">
        <f t="shared" si="3"/>
        <v>22</v>
      </c>
      <c r="C23" s="54">
        <v>3</v>
      </c>
      <c r="D23" s="54">
        <v>2022</v>
      </c>
      <c r="E23" s="38">
        <f>Water!C24</f>
        <v>1130</v>
      </c>
      <c r="F23" s="38">
        <f>Water!E24</f>
        <v>740</v>
      </c>
      <c r="G23" s="38">
        <f>Water!G24</f>
        <v>280.8</v>
      </c>
      <c r="H23" s="38">
        <f>Water!I24</f>
        <v>5.6970000000000001</v>
      </c>
      <c r="I23" s="38">
        <f>ELECT.!F24</f>
        <v>10737</v>
      </c>
      <c r="J23" s="38">
        <f>ELECT.!H24</f>
        <v>34492</v>
      </c>
      <c r="K23" s="38">
        <f>ELECT.!K24</f>
        <v>9360</v>
      </c>
      <c r="L23" s="38">
        <f>ELECT.!M24</f>
        <v>5215</v>
      </c>
      <c r="M23" s="38">
        <f>ELECT.!O24</f>
        <v>5384</v>
      </c>
      <c r="N23" s="38">
        <f>ELECT.!Q24</f>
        <v>8157</v>
      </c>
      <c r="O23" s="38">
        <f>ELECT.!S24</f>
        <v>8136</v>
      </c>
      <c r="P23" s="38">
        <f>ELECT.!W24*2</f>
        <v>18464</v>
      </c>
      <c r="Q23" s="38">
        <f>ELECT.!D24</f>
        <v>480</v>
      </c>
      <c r="R23" s="39">
        <f>BTU!C24</f>
        <v>1.7159999999967113</v>
      </c>
      <c r="S23" s="39">
        <f>BTU!F24</f>
        <v>0.568000000000211</v>
      </c>
      <c r="T23" s="39">
        <f>BTU!I24</f>
        <v>4</v>
      </c>
      <c r="U23" s="39">
        <f>BTU!O24</f>
        <v>1.0149999999998727</v>
      </c>
      <c r="V23" s="39">
        <f>BTU!L24</f>
        <v>0</v>
      </c>
      <c r="W23" s="39">
        <f>BTU!R24</f>
        <v>0</v>
      </c>
      <c r="X23" s="36">
        <f>ELECT.!B24</f>
        <v>230</v>
      </c>
      <c r="Y23" s="36">
        <f t="shared" si="0"/>
        <v>-9487</v>
      </c>
      <c r="Z23">
        <f>'Mall, Citadel, Rotana'!C24+'Mall, Citadel, Rotana'!E24+'Mall, Citadel, Rotana'!G24+'Mall, Citadel, Rotana'!I24</f>
        <v>1355</v>
      </c>
      <c r="AA23">
        <f>'Mall, Citadel, Rotana'!K24+'Mall, Citadel, Rotana'!M24</f>
        <v>27200</v>
      </c>
      <c r="AB23">
        <f>'Mall, Citadel, Rotana'!O24</f>
        <v>3</v>
      </c>
      <c r="AC23">
        <f>'Mall, Citadel, Rotana'!Q24+'Mall, Citadel, Rotana'!S24</f>
        <v>0</v>
      </c>
      <c r="AD23" s="36">
        <f t="shared" si="1"/>
        <v>122.61393540000002</v>
      </c>
      <c r="AE23" s="36">
        <f t="shared" si="2"/>
        <v>807.68906460000005</v>
      </c>
    </row>
    <row r="24" spans="1:31" x14ac:dyDescent="0.2">
      <c r="A24" s="49" t="s">
        <v>53</v>
      </c>
      <c r="B24" s="54">
        <f t="shared" si="3"/>
        <v>23</v>
      </c>
      <c r="C24" s="54">
        <v>3</v>
      </c>
      <c r="D24" s="54">
        <v>2022</v>
      </c>
      <c r="E24" s="38">
        <f>Water!C25</f>
        <v>1040</v>
      </c>
      <c r="F24" s="38">
        <f>Water!E25</f>
        <v>580</v>
      </c>
      <c r="G24" s="38">
        <f>Water!G25</f>
        <v>313.2</v>
      </c>
      <c r="H24" s="38">
        <f>Water!I25</f>
        <v>0</v>
      </c>
      <c r="I24" s="38">
        <f>ELECT.!F25</f>
        <v>11900</v>
      </c>
      <c r="J24" s="38">
        <f>ELECT.!H25</f>
        <v>37349</v>
      </c>
      <c r="K24" s="38">
        <f>ELECT.!K25</f>
        <v>9566</v>
      </c>
      <c r="L24" s="38">
        <f>ELECT.!M25</f>
        <v>5645</v>
      </c>
      <c r="M24" s="38">
        <f>ELECT.!O25</f>
        <v>6106</v>
      </c>
      <c r="N24" s="38">
        <f>ELECT.!Q25</f>
        <v>1059</v>
      </c>
      <c r="O24" s="38">
        <f>ELECT.!S25</f>
        <v>8913</v>
      </c>
      <c r="P24" s="38">
        <f>ELECT.!W25*2</f>
        <v>20156</v>
      </c>
      <c r="Q24" s="38">
        <f>ELECT.!D25</f>
        <v>480</v>
      </c>
      <c r="R24" s="39">
        <f>BTU!C25</f>
        <v>1.6239999999997963</v>
      </c>
      <c r="S24" s="39">
        <f>BTU!F25</f>
        <v>0.56700000000000728</v>
      </c>
      <c r="T24" s="39">
        <f>BTU!I25</f>
        <v>5</v>
      </c>
      <c r="U24" s="39">
        <f>BTU!O25</f>
        <v>0.82799999999997453</v>
      </c>
      <c r="V24" s="39">
        <f>BTU!L25</f>
        <v>0</v>
      </c>
      <c r="W24" s="39">
        <f>BTU!R25</f>
        <v>0</v>
      </c>
      <c r="X24" s="36">
        <f>ELECT.!B25</f>
        <v>209</v>
      </c>
      <c r="Y24" s="36">
        <f t="shared" si="0"/>
        <v>-2196</v>
      </c>
      <c r="Z24">
        <f>'Mall, Citadel, Rotana'!C25+'Mall, Citadel, Rotana'!E25+'Mall, Citadel, Rotana'!G25+'Mall, Citadel, Rotana'!I25</f>
        <v>1375</v>
      </c>
      <c r="AA24">
        <f>'Mall, Citadel, Rotana'!K25+'Mall, Citadel, Rotana'!M25</f>
        <v>28000</v>
      </c>
      <c r="AB24">
        <f>'Mall, Citadel, Rotana'!O25</f>
        <v>4</v>
      </c>
      <c r="AC24">
        <f>'Mall, Citadel, Rotana'!Q25+'Mall, Citadel, Rotana'!S25</f>
        <v>0</v>
      </c>
      <c r="AD24" s="36">
        <f t="shared" si="1"/>
        <v>111.50279999999999</v>
      </c>
      <c r="AE24" s="36">
        <f t="shared" si="2"/>
        <v>734.49720000000002</v>
      </c>
    </row>
    <row r="25" spans="1:31" x14ac:dyDescent="0.2">
      <c r="A25" s="49" t="s">
        <v>53</v>
      </c>
      <c r="B25" s="54">
        <f t="shared" si="3"/>
        <v>24</v>
      </c>
      <c r="C25" s="54">
        <v>3</v>
      </c>
      <c r="D25" s="54">
        <v>2022</v>
      </c>
      <c r="E25" s="38">
        <f>Water!C26</f>
        <v>1040</v>
      </c>
      <c r="F25" s="38">
        <f>Water!E26</f>
        <v>580</v>
      </c>
      <c r="G25" s="38">
        <f>Water!G26</f>
        <v>313.2</v>
      </c>
      <c r="H25" s="38">
        <f>Water!I26</f>
        <v>5.9669999999999996</v>
      </c>
      <c r="I25" s="38">
        <f>ELECT.!F26</f>
        <v>14514</v>
      </c>
      <c r="J25" s="38">
        <f>ELECT.!H26</f>
        <v>48285</v>
      </c>
      <c r="K25" s="38">
        <f>ELECT.!K26</f>
        <v>12148</v>
      </c>
      <c r="L25" s="38">
        <f>ELECT.!M26</f>
        <v>6789</v>
      </c>
      <c r="M25" s="38">
        <f>ELECT.!O26</f>
        <v>7554</v>
      </c>
      <c r="N25" s="38">
        <f>ELECT.!Q26</f>
        <v>402</v>
      </c>
      <c r="O25" s="38">
        <f>ELECT.!S26</f>
        <v>11852</v>
      </c>
      <c r="P25" s="38">
        <f>ELECT.!W26*2</f>
        <v>26220</v>
      </c>
      <c r="Q25" s="38">
        <f>ELECT.!D26</f>
        <v>480</v>
      </c>
      <c r="R25" s="39">
        <f>BTU!C26</f>
        <v>1.4990000000034343</v>
      </c>
      <c r="S25" s="39">
        <f>BTU!F26</f>
        <v>0.40800000000035652</v>
      </c>
      <c r="T25" s="39">
        <f>BTU!I26</f>
        <v>2</v>
      </c>
      <c r="U25" s="39">
        <f>BTU!O26</f>
        <v>0.8500000000003638</v>
      </c>
      <c r="V25" s="39">
        <f>BTU!L26</f>
        <v>0</v>
      </c>
      <c r="W25" s="39">
        <f>BTU!R26</f>
        <v>0</v>
      </c>
      <c r="X25" s="36">
        <f>ELECT.!B26</f>
        <v>223</v>
      </c>
      <c r="Y25" s="36">
        <f t="shared" si="0"/>
        <v>-2166</v>
      </c>
      <c r="Z25">
        <f>'Mall, Citadel, Rotana'!C26+'Mall, Citadel, Rotana'!E26+'Mall, Citadel, Rotana'!G26+'Mall, Citadel, Rotana'!I26</f>
        <v>1514</v>
      </c>
      <c r="AA25">
        <f>'Mall, Citadel, Rotana'!K26+'Mall, Citadel, Rotana'!M26</f>
        <v>27840</v>
      </c>
      <c r="AB25">
        <f>'Mall, Citadel, Rotana'!O26</f>
        <v>3</v>
      </c>
      <c r="AC25">
        <f>'Mall, Citadel, Rotana'!Q26+'Mall, Citadel, Rotana'!S26</f>
        <v>0</v>
      </c>
      <c r="AD25" s="36">
        <f t="shared" si="1"/>
        <v>110.71634939999998</v>
      </c>
      <c r="AE25" s="36">
        <f t="shared" si="2"/>
        <v>729.31665059999989</v>
      </c>
    </row>
    <row r="26" spans="1:31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Water!C27</f>
        <v>880</v>
      </c>
      <c r="F26" s="38">
        <f>Water!E27</f>
        <v>490</v>
      </c>
      <c r="G26" s="38">
        <f>Water!G27</f>
        <v>337.5</v>
      </c>
      <c r="H26" s="38">
        <f>Water!I27</f>
        <v>9.3149999999999995</v>
      </c>
      <c r="I26" s="38">
        <f>ELECT.!F27</f>
        <v>10319</v>
      </c>
      <c r="J26" s="38">
        <f>ELECT.!H27</f>
        <v>33990</v>
      </c>
      <c r="K26" s="38">
        <f>ELECT.!K27</f>
        <v>7896</v>
      </c>
      <c r="L26" s="38">
        <f>ELECT.!M27</f>
        <v>4557</v>
      </c>
      <c r="M26" s="38">
        <f>ELECT.!O27</f>
        <v>5530</v>
      </c>
      <c r="N26" s="38">
        <f>ELECT.!Q27</f>
        <v>995</v>
      </c>
      <c r="O26" s="38">
        <f>ELECT.!S27</f>
        <v>8795</v>
      </c>
      <c r="P26" s="38">
        <f>ELECT.!W27*2</f>
        <v>16140</v>
      </c>
      <c r="Q26" s="38">
        <f>ELECT.!D27</f>
        <v>640</v>
      </c>
      <c r="R26" s="39">
        <f>BTU!C27</f>
        <v>1.8709999999991851</v>
      </c>
      <c r="S26" s="39">
        <f>BTU!F27</f>
        <v>0.2820000000001528</v>
      </c>
      <c r="T26" s="39">
        <f>BTU!I27</f>
        <v>3</v>
      </c>
      <c r="U26" s="39">
        <f>BTU!O27</f>
        <v>1.0739999999996144</v>
      </c>
      <c r="V26" s="39">
        <f>BTU!L27</f>
        <v>0</v>
      </c>
      <c r="W26" s="39">
        <f>BTU!R27</f>
        <v>1.0000000000218279E-2</v>
      </c>
      <c r="X26" s="36">
        <f>ELECT.!B27</f>
        <v>200</v>
      </c>
      <c r="Y26" s="36">
        <f t="shared" si="0"/>
        <v>396</v>
      </c>
      <c r="Z26">
        <f>'Mall, Citadel, Rotana'!C27+'Mall, Citadel, Rotana'!E27+'Mall, Citadel, Rotana'!G27+'Mall, Citadel, Rotana'!I27</f>
        <v>1216</v>
      </c>
      <c r="AA26">
        <f>'Mall, Citadel, Rotana'!K27+'Mall, Citadel, Rotana'!M27</f>
        <v>20160</v>
      </c>
      <c r="AB26">
        <f>'Mall, Citadel, Rotana'!O27</f>
        <v>3</v>
      </c>
      <c r="AC26">
        <f>'Mall, Citadel, Rotana'!Q27+'Mall, Citadel, Rotana'!S27</f>
        <v>0</v>
      </c>
      <c r="AD26" s="36">
        <f t="shared" si="1"/>
        <v>89.187082999999987</v>
      </c>
      <c r="AE26" s="36">
        <f t="shared" si="2"/>
        <v>587.49791699999992</v>
      </c>
    </row>
    <row r="27" spans="1:31" x14ac:dyDescent="0.2">
      <c r="A27" s="49" t="s">
        <v>53</v>
      </c>
      <c r="B27" s="54">
        <f t="shared" si="3"/>
        <v>26</v>
      </c>
      <c r="C27" s="54">
        <v>3</v>
      </c>
      <c r="D27" s="54">
        <v>2022</v>
      </c>
      <c r="E27" s="38">
        <f>Water!C28</f>
        <v>730</v>
      </c>
      <c r="F27" s="38">
        <f>Water!E28</f>
        <v>520</v>
      </c>
      <c r="G27" s="38">
        <f>Water!G28</f>
        <v>288.89999999999998</v>
      </c>
      <c r="H27" s="38">
        <f>Water!I28</f>
        <v>4.7519999999999998</v>
      </c>
      <c r="I27" s="38">
        <f>ELECT.!F28</f>
        <v>12084</v>
      </c>
      <c r="J27" s="38">
        <f>ELECT.!H28</f>
        <v>38186</v>
      </c>
      <c r="K27" s="38">
        <f>ELECT.!K28</f>
        <v>9364</v>
      </c>
      <c r="L27" s="38">
        <f>ELECT.!M28</f>
        <v>5300</v>
      </c>
      <c r="M27" s="38">
        <f>ELECT.!O28</f>
        <v>6720</v>
      </c>
      <c r="N27" s="38">
        <f>ELECT.!Q28</f>
        <v>2664</v>
      </c>
      <c r="O27" s="38">
        <f>ELECT.!S28</f>
        <v>9536</v>
      </c>
      <c r="P27" s="38">
        <f>ELECT.!W28*2</f>
        <v>22406</v>
      </c>
      <c r="Q27" s="38">
        <f>ELECT.!D28</f>
        <v>480</v>
      </c>
      <c r="R27" s="39">
        <f>BTU!C28</f>
        <v>2.6179999999985739</v>
      </c>
      <c r="S27" s="39">
        <f>BTU!F28</f>
        <v>0.30799999999999272</v>
      </c>
      <c r="T27" s="39">
        <f>BTU!I28</f>
        <v>3</v>
      </c>
      <c r="U27" s="39">
        <f>BTU!O28</f>
        <v>1.0520000000001346</v>
      </c>
      <c r="V27" s="39">
        <f>BTU!L28</f>
        <v>0</v>
      </c>
      <c r="W27" s="39">
        <f>BTU!R28</f>
        <v>5.0000000000181899E-2</v>
      </c>
      <c r="X27" s="36">
        <f>ELECT.!B28</f>
        <v>320</v>
      </c>
      <c r="Y27" s="36">
        <f t="shared" si="0"/>
        <v>-5720</v>
      </c>
      <c r="Z27">
        <f>'Mall, Citadel, Rotana'!C28+'Mall, Citadel, Rotana'!E28+'Mall, Citadel, Rotana'!G28+'Mall, Citadel, Rotana'!I28</f>
        <v>1215</v>
      </c>
      <c r="AA27">
        <f>'Mall, Citadel, Rotana'!K28+'Mall, Citadel, Rotana'!M28</f>
        <v>3840</v>
      </c>
      <c r="AB27">
        <f>'Mall, Citadel, Rotana'!O28</f>
        <v>4</v>
      </c>
      <c r="AC27">
        <f>'Mall, Citadel, Rotana'!Q28+'Mall, Citadel, Rotana'!S28</f>
        <v>700</v>
      </c>
      <c r="AD27" s="36">
        <f t="shared" si="1"/>
        <v>70.0184864</v>
      </c>
      <c r="AE27" s="36">
        <f t="shared" si="2"/>
        <v>461.22951360000002</v>
      </c>
    </row>
    <row r="28" spans="1:31" x14ac:dyDescent="0.2">
      <c r="A28" s="49" t="s">
        <v>53</v>
      </c>
      <c r="B28" s="54">
        <f t="shared" si="3"/>
        <v>27</v>
      </c>
      <c r="C28" s="54">
        <v>3</v>
      </c>
      <c r="D28" s="54">
        <v>2022</v>
      </c>
      <c r="E28" s="38">
        <f>Water!C29</f>
        <v>1140</v>
      </c>
      <c r="F28" s="38">
        <f>Water!E29</f>
        <v>590</v>
      </c>
      <c r="G28" s="38">
        <f>Water!G29</f>
        <v>348.3</v>
      </c>
      <c r="H28" s="38">
        <f>Water!I29</f>
        <v>5.13</v>
      </c>
      <c r="I28" s="38">
        <f>ELECT.!F29</f>
        <v>12642</v>
      </c>
      <c r="J28" s="38">
        <f>ELECT.!H29</f>
        <v>36613</v>
      </c>
      <c r="K28" s="38">
        <f>ELECT.!K29</f>
        <v>9328</v>
      </c>
      <c r="L28" s="38">
        <f>ELECT.!M29</f>
        <v>5575</v>
      </c>
      <c r="M28" s="38">
        <f>ELECT.!O29</f>
        <v>6922</v>
      </c>
      <c r="N28" s="38">
        <f>ELECT.!Q29</f>
        <v>2574</v>
      </c>
      <c r="O28" s="38">
        <f>ELECT.!S29</f>
        <v>8996</v>
      </c>
      <c r="P28" s="38">
        <f>ELECT.!W29*2</f>
        <v>19534</v>
      </c>
      <c r="Q28" s="38">
        <f>ELECT.!D29</f>
        <v>320</v>
      </c>
      <c r="R28" s="39">
        <f>BTU!C29</f>
        <v>2.0970000000015716</v>
      </c>
      <c r="S28" s="39">
        <f>BTU!F29</f>
        <v>0.46000000000003638</v>
      </c>
      <c r="T28" s="39">
        <f>BTU!I29</f>
        <v>3</v>
      </c>
      <c r="U28" s="39">
        <f>BTU!O29</f>
        <v>1.0039999999999054</v>
      </c>
      <c r="V28" s="39">
        <f>BTU!L29</f>
        <v>0</v>
      </c>
      <c r="W28" s="39">
        <f>BTU!R29</f>
        <v>0</v>
      </c>
      <c r="X28" s="36">
        <f>ELECT.!B29</f>
        <v>311</v>
      </c>
      <c r="Y28" s="36">
        <f t="shared" si="0"/>
        <v>-3674</v>
      </c>
      <c r="Z28">
        <f>'Mall, Citadel, Rotana'!C29+'Mall, Citadel, Rotana'!E29+'Mall, Citadel, Rotana'!G29+'Mall, Citadel, Rotana'!I29</f>
        <v>1215</v>
      </c>
      <c r="AA28">
        <f>'Mall, Citadel, Rotana'!K29+'Mall, Citadel, Rotana'!M29</f>
        <v>3680</v>
      </c>
      <c r="AB28">
        <f>'Mall, Citadel, Rotana'!O29</f>
        <v>5</v>
      </c>
      <c r="AC28">
        <f>'Mall, Citadel, Rotana'!Q29+'Mall, Citadel, Rotana'!S29</f>
        <v>209</v>
      </c>
      <c r="AD28" s="36">
        <f t="shared" si="1"/>
        <v>124.00666599999998</v>
      </c>
      <c r="AE28" s="36">
        <f t="shared" si="2"/>
        <v>816.8633339999999</v>
      </c>
    </row>
    <row r="29" spans="1:31" x14ac:dyDescent="0.2">
      <c r="A29" s="49" t="s">
        <v>53</v>
      </c>
      <c r="B29" s="54">
        <f t="shared" si="3"/>
        <v>28</v>
      </c>
      <c r="C29" s="54">
        <v>3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 t="str">
        <f>ELECT.!F30</f>
        <v>0</v>
      </c>
      <c r="J29" s="38" t="str">
        <f>ELECT.!H30</f>
        <v>0</v>
      </c>
      <c r="K29" s="38">
        <f>ELECT.!K30</f>
        <v>0</v>
      </c>
      <c r="L29" s="38" t="str">
        <f>ELECT.!M30</f>
        <v>0</v>
      </c>
      <c r="M29" s="38">
        <f>ELECT.!O30</f>
        <v>0</v>
      </c>
      <c r="N29" s="38" t="str">
        <f>ELECT.!Q30</f>
        <v>0</v>
      </c>
      <c r="O29" s="38" t="str">
        <f>ELECT.!S30</f>
        <v>0</v>
      </c>
      <c r="P29" s="38">
        <f>ELECT.!W30*2</f>
        <v>0</v>
      </c>
      <c r="Q29" s="38">
        <f>ELECT.!D30</f>
        <v>0</v>
      </c>
      <c r="R29" s="39" t="str">
        <f>BTU!C30</f>
        <v>0</v>
      </c>
      <c r="S29" s="39" t="str">
        <f>BTU!F30</f>
        <v>0</v>
      </c>
      <c r="T29" s="39" t="str">
        <f>BTU!I30</f>
        <v>0</v>
      </c>
      <c r="U29" s="39" t="str">
        <f>BTU!O30</f>
        <v>0</v>
      </c>
      <c r="V29" s="39" t="str">
        <f>BTU!L30</f>
        <v>0</v>
      </c>
      <c r="W29" s="39" t="str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  <row r="30" spans="1:31" x14ac:dyDescent="0.2">
      <c r="A30" s="49" t="s">
        <v>53</v>
      </c>
      <c r="B30" s="54">
        <f t="shared" si="3"/>
        <v>29</v>
      </c>
      <c r="C30" s="54">
        <v>3</v>
      </c>
      <c r="D30" s="54">
        <v>2022</v>
      </c>
      <c r="E30" s="38">
        <f>[1]Water!C31</f>
        <v>0</v>
      </c>
      <c r="F30" s="38">
        <f>[1]Water!E31</f>
        <v>0</v>
      </c>
      <c r="G30" s="38">
        <f>[1]Water!E31</f>
        <v>0</v>
      </c>
      <c r="H30" s="38">
        <f>[1]Water!I31</f>
        <v>0</v>
      </c>
      <c r="I30" s="38">
        <f>[1]Water!G31</f>
        <v>0</v>
      </c>
      <c r="J30" s="38">
        <f>[1]ELECT.!H31</f>
        <v>0</v>
      </c>
      <c r="K30" s="38">
        <f>[1]Water!I31</f>
        <v>0</v>
      </c>
      <c r="L30" s="38">
        <f>[1]Water!J31</f>
        <v>0</v>
      </c>
      <c r="M30" s="38">
        <f>[1]Water!K31</f>
        <v>0</v>
      </c>
      <c r="N30" s="38">
        <f>[1]Water!L31</f>
        <v>0</v>
      </c>
      <c r="O30" s="38">
        <f>[1]Water!M31</f>
        <v>0</v>
      </c>
      <c r="P30" s="38">
        <f>[1]Water!N31</f>
        <v>0</v>
      </c>
      <c r="Q30" s="38">
        <f>[1]Water!O31</f>
        <v>0</v>
      </c>
      <c r="R30" s="143">
        <f>[1]BTU!C31</f>
        <v>0</v>
      </c>
      <c r="S30" s="143">
        <f>[1]BTU!F31</f>
        <v>0</v>
      </c>
      <c r="T30" s="143">
        <f>[1]BTU!I31</f>
        <v>0</v>
      </c>
      <c r="U30" s="143">
        <f>[1]BTU!O31</f>
        <v>0</v>
      </c>
      <c r="V30" s="143">
        <f>[1]BTU!L31</f>
        <v>0</v>
      </c>
      <c r="W30" s="143">
        <f>[1]BTU!R31</f>
        <v>0</v>
      </c>
      <c r="X30" s="36">
        <f>[1]ELECT.!B31</f>
        <v>0</v>
      </c>
      <c r="Y30" s="36">
        <f t="shared" si="0"/>
        <v>0</v>
      </c>
      <c r="Z30">
        <f>'[1]Mall, Citadel, Rotana'!C31+'[1]Mall, Citadel, Rotana'!E31+'[1]Mall, Citadel, Rotana'!G31+'[1]Mall, Citadel, Rotana'!I31</f>
        <v>0</v>
      </c>
      <c r="AA30">
        <f>'[1]Mall, Citadel, Rotana'!K31+'[1]Mall, Citadel, Rotana'!M31</f>
        <v>0</v>
      </c>
      <c r="AB30">
        <f>'[1]Mall, Citadel, Rotana'!O31</f>
        <v>0</v>
      </c>
      <c r="AC30">
        <f>'[1]Mall, Citadel, Rotana'!Q31+'[1]Mall, Citadel, Rotana'!S31</f>
        <v>0</v>
      </c>
      <c r="AD30" s="36">
        <f t="shared" si="1"/>
        <v>-25.569199999999999</v>
      </c>
      <c r="AE30" s="36">
        <f t="shared" si="2"/>
        <v>-168.4308</v>
      </c>
    </row>
    <row r="31" spans="1:31" x14ac:dyDescent="0.2">
      <c r="A31" s="49" t="s">
        <v>53</v>
      </c>
      <c r="B31" s="54">
        <f t="shared" si="3"/>
        <v>30</v>
      </c>
      <c r="C31" s="54">
        <v>3</v>
      </c>
      <c r="D31" s="54">
        <v>2022</v>
      </c>
      <c r="E31" s="38">
        <f>[1]Water!C32</f>
        <v>0</v>
      </c>
      <c r="F31" s="38">
        <f>[1]Water!E32</f>
        <v>0</v>
      </c>
      <c r="G31" s="38">
        <f>[1]Water!E32</f>
        <v>0</v>
      </c>
      <c r="H31" s="38">
        <f>[1]Water!I32</f>
        <v>0</v>
      </c>
      <c r="I31" s="38">
        <f>[1]Water!G32</f>
        <v>0</v>
      </c>
      <c r="J31" s="38">
        <f>[1]ELECT.!H32</f>
        <v>0</v>
      </c>
      <c r="K31" s="38">
        <f>[1]Water!I32</f>
        <v>0</v>
      </c>
      <c r="L31" s="38">
        <f>[1]Water!J32</f>
        <v>0</v>
      </c>
      <c r="M31" s="38">
        <f>[1]Water!K32</f>
        <v>0</v>
      </c>
      <c r="N31" s="38">
        <f>[1]Water!L32</f>
        <v>0</v>
      </c>
      <c r="O31" s="38">
        <f>[1]Water!M32</f>
        <v>0</v>
      </c>
      <c r="P31" s="38">
        <f>[1]Water!N32</f>
        <v>0</v>
      </c>
      <c r="Q31" s="38">
        <f>[1]Water!O32</f>
        <v>0</v>
      </c>
      <c r="R31" s="143">
        <f>[1]BTU!C32</f>
        <v>0</v>
      </c>
      <c r="S31" s="143">
        <f>[1]BTU!F32</f>
        <v>0</v>
      </c>
      <c r="T31" s="143">
        <f>[1]BTU!I32</f>
        <v>0</v>
      </c>
      <c r="U31" s="143">
        <f>[1]BTU!O32</f>
        <v>0</v>
      </c>
      <c r="V31" s="143">
        <f>[1]BTU!L32</f>
        <v>0</v>
      </c>
      <c r="W31" s="143">
        <f>[1]BTU!R32</f>
        <v>0</v>
      </c>
      <c r="X31" s="36">
        <f>[1]ELECT.!B32</f>
        <v>0</v>
      </c>
      <c r="Y31" s="36">
        <f t="shared" si="0"/>
        <v>0</v>
      </c>
      <c r="Z31">
        <f>'[1]Mall, Citadel, Rotana'!C32+'[1]Mall, Citadel, Rotana'!E32+'[1]Mall, Citadel, Rotana'!G32+'[1]Mall, Citadel, Rotana'!I32</f>
        <v>0</v>
      </c>
      <c r="AA31">
        <f>'[1]Mall, Citadel, Rotana'!K32+'[1]Mall, Citadel, Rotana'!M32</f>
        <v>0</v>
      </c>
      <c r="AB31">
        <f>'[1]Mall, Citadel, Rotana'!O32</f>
        <v>0</v>
      </c>
      <c r="AC31">
        <f>'[1]Mall, Citadel, Rotana'!Q32+'[1]Mall, Citadel, Rotana'!S32</f>
        <v>0</v>
      </c>
      <c r="AD31" s="36">
        <f t="shared" si="1"/>
        <v>-25.569199999999999</v>
      </c>
      <c r="AE31" s="36">
        <f t="shared" si="2"/>
        <v>-168.4308</v>
      </c>
    </row>
    <row r="32" spans="1:31" x14ac:dyDescent="0.2">
      <c r="A32" s="49" t="s">
        <v>53</v>
      </c>
      <c r="B32" s="54">
        <f t="shared" si="3"/>
        <v>31</v>
      </c>
      <c r="C32" s="54">
        <v>3</v>
      </c>
      <c r="D32" s="54">
        <v>2022</v>
      </c>
      <c r="E32" s="38">
        <f>[1]Water!C33</f>
        <v>0</v>
      </c>
      <c r="F32" s="38">
        <f>[1]Water!E33</f>
        <v>0</v>
      </c>
      <c r="G32" s="38">
        <f>[1]Water!E33</f>
        <v>0</v>
      </c>
      <c r="H32" s="38">
        <f>[1]Water!I33</f>
        <v>0</v>
      </c>
      <c r="I32" s="38">
        <f>[1]Water!G33</f>
        <v>0</v>
      </c>
      <c r="J32" s="38">
        <f>[1]ELECT.!H33</f>
        <v>0</v>
      </c>
      <c r="K32" s="38">
        <f>[1]Water!I33</f>
        <v>0</v>
      </c>
      <c r="L32" s="38">
        <f>[1]Water!J33</f>
        <v>0</v>
      </c>
      <c r="M32" s="38">
        <f>[1]Water!K33</f>
        <v>0</v>
      </c>
      <c r="N32" s="38">
        <f>[1]Water!L33</f>
        <v>0</v>
      </c>
      <c r="O32" s="38">
        <f>[1]Water!M33</f>
        <v>0</v>
      </c>
      <c r="P32" s="38">
        <f>[1]Water!N33</f>
        <v>0</v>
      </c>
      <c r="Q32" s="38">
        <f>[1]Water!O33</f>
        <v>0</v>
      </c>
      <c r="R32" s="143">
        <f>[1]BTU!C33</f>
        <v>0</v>
      </c>
      <c r="S32" s="143">
        <f>[1]BTU!F33</f>
        <v>0</v>
      </c>
      <c r="T32" s="143">
        <f>[1]BTU!I33</f>
        <v>0</v>
      </c>
      <c r="U32" s="143">
        <f>[1]BTU!O33</f>
        <v>0</v>
      </c>
      <c r="V32" s="143">
        <f>[1]BTU!L33</f>
        <v>0</v>
      </c>
      <c r="W32" s="143">
        <f>[1]BTU!R33</f>
        <v>0</v>
      </c>
      <c r="X32" s="36">
        <f>[1]ELECT.!B33</f>
        <v>0</v>
      </c>
      <c r="Y32" s="36">
        <f t="shared" si="0"/>
        <v>0</v>
      </c>
      <c r="Z32">
        <f>'[1]Mall, Citadel, Rotana'!C33+'[1]Mall, Citadel, Rotana'!E33+'[1]Mall, Citadel, Rotana'!G33+'[1]Mall, Citadel, Rotana'!I33</f>
        <v>0</v>
      </c>
      <c r="AA32">
        <f>'[1]Mall, Citadel, Rotana'!K33+'[1]Mall, Citadel, Rotana'!M33</f>
        <v>0</v>
      </c>
      <c r="AB32">
        <f>'[1]Mall, Citadel, Rotana'!O33</f>
        <v>0</v>
      </c>
      <c r="AC32">
        <f>'[1]Mall, Citadel, Rotana'!Q33+'[1]Mall, Citadel, Rotana'!S33</f>
        <v>0</v>
      </c>
      <c r="AD32" s="36">
        <f t="shared" si="1"/>
        <v>-25.569199999999999</v>
      </c>
      <c r="AE32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3"/>
  <sheetViews>
    <sheetView zoomScale="110" zoomScaleNormal="110" workbookViewId="0">
      <pane ySplit="1" topLeftCell="A2" activePane="bottomLeft" state="frozen"/>
      <selection pane="bottomLeft" activeCell="A29" sqref="A29:XFD29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44620</v>
      </c>
      <c r="B2" s="33">
        <v>46696</v>
      </c>
      <c r="C2" s="15"/>
      <c r="D2" s="33">
        <v>40344</v>
      </c>
      <c r="E2" s="15"/>
      <c r="F2" s="33">
        <v>21375</v>
      </c>
      <c r="G2" s="15"/>
      <c r="H2" s="33">
        <v>253987</v>
      </c>
      <c r="I2" s="15"/>
      <c r="J2" s="33">
        <v>303517</v>
      </c>
      <c r="K2" s="15"/>
      <c r="L2" s="33">
        <v>25898</v>
      </c>
      <c r="M2" s="15"/>
      <c r="N2" s="33">
        <v>225126</v>
      </c>
      <c r="O2" s="15"/>
      <c r="P2" s="33">
        <v>143493</v>
      </c>
      <c r="Q2" s="15"/>
      <c r="R2" s="1">
        <v>55047</v>
      </c>
      <c r="S2" s="15"/>
      <c r="T2" s="33">
        <v>3940</v>
      </c>
      <c r="U2" s="15"/>
    </row>
    <row r="3" spans="1:24" ht="13.5" thickBot="1" x14ac:dyDescent="0.25">
      <c r="A3" s="9">
        <v>44621</v>
      </c>
      <c r="B3" s="33">
        <v>46701</v>
      </c>
      <c r="C3" s="15">
        <f>(B3-B2)*800/5</f>
        <v>800</v>
      </c>
      <c r="D3" s="33">
        <v>40347</v>
      </c>
      <c r="E3" s="15">
        <f>(D3-D2)*800/5</f>
        <v>480</v>
      </c>
      <c r="F3" s="33">
        <v>21378</v>
      </c>
      <c r="G3" s="15">
        <f>(F3-F2)*100/5</f>
        <v>60</v>
      </c>
      <c r="H3" s="33">
        <v>253999</v>
      </c>
      <c r="I3" s="15">
        <f>(H3-H2)</f>
        <v>12</v>
      </c>
      <c r="J3" s="33">
        <v>303517</v>
      </c>
      <c r="K3" s="15">
        <f>(J3-J2)*800/5</f>
        <v>0</v>
      </c>
      <c r="L3" s="33">
        <v>25899</v>
      </c>
      <c r="M3" s="15">
        <f>(L3-L2)*800/5</f>
        <v>160</v>
      </c>
      <c r="N3" s="33">
        <v>225231</v>
      </c>
      <c r="O3" s="15">
        <f>N3-N2</f>
        <v>105</v>
      </c>
      <c r="P3" s="33">
        <v>143493</v>
      </c>
      <c r="Q3" s="15">
        <f t="shared" ref="Q3:Q29" si="0">P3-P2</f>
        <v>0</v>
      </c>
      <c r="R3" s="1">
        <v>55047</v>
      </c>
      <c r="S3" s="15">
        <v>0</v>
      </c>
      <c r="T3" s="33">
        <v>3941</v>
      </c>
      <c r="U3" s="15">
        <f>(T3-T2)*800/5</f>
        <v>160</v>
      </c>
    </row>
    <row r="4" spans="1:24" ht="13.5" thickBot="1" x14ac:dyDescent="0.25">
      <c r="A4" s="9">
        <v>44622</v>
      </c>
      <c r="B4" s="33">
        <v>46706</v>
      </c>
      <c r="C4" s="15">
        <f t="shared" ref="C4:C30" si="1">(B4-B3)*800/5</f>
        <v>800</v>
      </c>
      <c r="D4" s="33">
        <v>40351</v>
      </c>
      <c r="E4" s="15">
        <f t="shared" ref="E4:E30" si="2">(D4-D3)*800/5</f>
        <v>640</v>
      </c>
      <c r="F4" s="33">
        <v>21383</v>
      </c>
      <c r="G4" s="15">
        <f t="shared" ref="G4:G30" si="3">(F4-F3)*100/5</f>
        <v>100</v>
      </c>
      <c r="H4" s="33">
        <v>254013</v>
      </c>
      <c r="I4" s="15">
        <f t="shared" ref="I4:I30" si="4">(H4-H3)</f>
        <v>14</v>
      </c>
      <c r="J4" s="33">
        <v>303517</v>
      </c>
      <c r="K4" s="15">
        <f t="shared" ref="K4:K30" si="5">(J4-J3)*800/5</f>
        <v>0</v>
      </c>
      <c r="L4" s="33">
        <v>25905</v>
      </c>
      <c r="M4" s="15">
        <f t="shared" ref="M4:M30" si="6">(L4-L3)*800/5</f>
        <v>960</v>
      </c>
      <c r="N4" s="33">
        <v>225367</v>
      </c>
      <c r="O4" s="15">
        <f t="shared" ref="O4:O30" si="7">N4-N3</f>
        <v>136</v>
      </c>
      <c r="P4" s="33">
        <v>143493</v>
      </c>
      <c r="Q4" s="15">
        <f t="shared" si="0"/>
        <v>0</v>
      </c>
      <c r="R4" s="1">
        <v>55047</v>
      </c>
      <c r="S4" s="15">
        <f t="shared" ref="S4:S30" si="8">R4-R3</f>
        <v>0</v>
      </c>
      <c r="T4" s="33">
        <v>3942</v>
      </c>
      <c r="U4" s="15">
        <f t="shared" ref="U4:U30" si="9">(T4-T3)*800/5</f>
        <v>160</v>
      </c>
    </row>
    <row r="5" spans="1:24" ht="13.5" thickBot="1" x14ac:dyDescent="0.25">
      <c r="A5" s="9">
        <v>44623</v>
      </c>
      <c r="B5" s="33">
        <v>46711</v>
      </c>
      <c r="C5" s="15">
        <f t="shared" si="1"/>
        <v>800</v>
      </c>
      <c r="D5" s="33">
        <v>40355</v>
      </c>
      <c r="E5" s="15">
        <f t="shared" si="2"/>
        <v>640</v>
      </c>
      <c r="F5" s="33">
        <v>21388</v>
      </c>
      <c r="G5" s="15">
        <f t="shared" si="3"/>
        <v>100</v>
      </c>
      <c r="H5" s="33">
        <v>254025</v>
      </c>
      <c r="I5" s="15">
        <f t="shared" si="4"/>
        <v>12</v>
      </c>
      <c r="J5" s="33">
        <v>303517</v>
      </c>
      <c r="K5" s="15">
        <f t="shared" si="5"/>
        <v>0</v>
      </c>
      <c r="L5" s="33">
        <v>25908</v>
      </c>
      <c r="M5" s="15">
        <f t="shared" si="6"/>
        <v>480</v>
      </c>
      <c r="N5" s="33">
        <v>225498</v>
      </c>
      <c r="O5" s="15">
        <f t="shared" si="7"/>
        <v>131</v>
      </c>
      <c r="P5" s="33">
        <v>143493</v>
      </c>
      <c r="Q5" s="15">
        <f t="shared" si="0"/>
        <v>0</v>
      </c>
      <c r="R5" s="1">
        <v>55047</v>
      </c>
      <c r="S5" s="15">
        <f t="shared" si="8"/>
        <v>0</v>
      </c>
      <c r="T5" s="33">
        <v>3943</v>
      </c>
      <c r="U5" s="15">
        <f t="shared" si="9"/>
        <v>160</v>
      </c>
    </row>
    <row r="6" spans="1:24" ht="13.5" thickBot="1" x14ac:dyDescent="0.25">
      <c r="A6" s="9">
        <v>44624</v>
      </c>
      <c r="B6" s="33">
        <v>46715</v>
      </c>
      <c r="C6" s="15">
        <f t="shared" si="1"/>
        <v>640</v>
      </c>
      <c r="D6" s="33">
        <v>40357</v>
      </c>
      <c r="E6" s="15">
        <f t="shared" si="2"/>
        <v>320</v>
      </c>
      <c r="F6" s="33">
        <v>21390</v>
      </c>
      <c r="G6" s="15">
        <f t="shared" si="3"/>
        <v>40</v>
      </c>
      <c r="H6" s="33">
        <v>254044</v>
      </c>
      <c r="I6" s="15">
        <f t="shared" si="4"/>
        <v>19</v>
      </c>
      <c r="J6" s="33">
        <v>303517</v>
      </c>
      <c r="K6" s="15">
        <f t="shared" si="5"/>
        <v>0</v>
      </c>
      <c r="L6" s="33">
        <v>25910</v>
      </c>
      <c r="M6" s="15">
        <f t="shared" si="6"/>
        <v>320</v>
      </c>
      <c r="N6" s="33">
        <v>225553</v>
      </c>
      <c r="O6" s="15">
        <f t="shared" si="7"/>
        <v>55</v>
      </c>
      <c r="P6" s="33">
        <v>143493</v>
      </c>
      <c r="Q6" s="15">
        <f t="shared" si="0"/>
        <v>0</v>
      </c>
      <c r="R6" s="1">
        <v>55047</v>
      </c>
      <c r="S6" s="15">
        <v>0</v>
      </c>
      <c r="T6" s="33">
        <v>3944</v>
      </c>
      <c r="U6" s="15">
        <f t="shared" si="9"/>
        <v>160</v>
      </c>
    </row>
    <row r="7" spans="1:24" ht="13.5" thickBot="1" x14ac:dyDescent="0.25">
      <c r="A7" s="9">
        <v>44625</v>
      </c>
      <c r="B7" s="33">
        <v>46719</v>
      </c>
      <c r="C7" s="15">
        <f t="shared" si="1"/>
        <v>640</v>
      </c>
      <c r="D7" s="33">
        <v>40361</v>
      </c>
      <c r="E7" s="15">
        <f t="shared" si="2"/>
        <v>640</v>
      </c>
      <c r="F7" s="33">
        <v>21391</v>
      </c>
      <c r="G7" s="15">
        <f t="shared" si="3"/>
        <v>20</v>
      </c>
      <c r="H7" s="33">
        <f>H6</f>
        <v>254044</v>
      </c>
      <c r="I7" s="15">
        <f t="shared" si="4"/>
        <v>0</v>
      </c>
      <c r="J7" s="33">
        <v>303517</v>
      </c>
      <c r="K7" s="15">
        <f t="shared" si="5"/>
        <v>0</v>
      </c>
      <c r="L7" s="33">
        <v>25912</v>
      </c>
      <c r="M7" s="15">
        <f t="shared" si="6"/>
        <v>320</v>
      </c>
      <c r="N7" s="33">
        <v>225644</v>
      </c>
      <c r="O7" s="15">
        <f t="shared" si="7"/>
        <v>91</v>
      </c>
      <c r="P7" s="33">
        <v>143493</v>
      </c>
      <c r="Q7" s="15">
        <v>0</v>
      </c>
      <c r="R7" s="1">
        <v>55047</v>
      </c>
      <c r="S7" s="15">
        <v>0</v>
      </c>
      <c r="T7" s="33">
        <v>3945</v>
      </c>
      <c r="U7" s="15">
        <f t="shared" si="9"/>
        <v>160</v>
      </c>
    </row>
    <row r="8" spans="1:24" ht="13.5" thickBot="1" x14ac:dyDescent="0.25">
      <c r="A8" s="9">
        <v>44626</v>
      </c>
      <c r="B8" s="33">
        <v>46724</v>
      </c>
      <c r="C8" s="15">
        <f t="shared" si="1"/>
        <v>800</v>
      </c>
      <c r="D8" s="33">
        <v>40364</v>
      </c>
      <c r="E8" s="15">
        <f t="shared" si="2"/>
        <v>480</v>
      </c>
      <c r="F8" s="33">
        <v>21397</v>
      </c>
      <c r="G8" s="15">
        <f t="shared" si="3"/>
        <v>120</v>
      </c>
      <c r="H8" s="33">
        <v>254076</v>
      </c>
      <c r="I8" s="15">
        <f t="shared" si="4"/>
        <v>32</v>
      </c>
      <c r="J8" s="33">
        <v>303517</v>
      </c>
      <c r="K8" s="15">
        <f t="shared" si="5"/>
        <v>0</v>
      </c>
      <c r="L8" s="33">
        <v>25916</v>
      </c>
      <c r="M8" s="15">
        <f t="shared" si="6"/>
        <v>640</v>
      </c>
      <c r="N8" s="33">
        <v>225756</v>
      </c>
      <c r="O8" s="15">
        <f t="shared" si="7"/>
        <v>112</v>
      </c>
      <c r="P8" s="33">
        <v>143493</v>
      </c>
      <c r="Q8" s="15">
        <f t="shared" si="0"/>
        <v>0</v>
      </c>
      <c r="R8" s="1">
        <v>55047</v>
      </c>
      <c r="S8" s="15">
        <f>R8-R7</f>
        <v>0</v>
      </c>
      <c r="T8" s="33">
        <v>3952</v>
      </c>
      <c r="U8" s="15">
        <f t="shared" si="9"/>
        <v>1120</v>
      </c>
    </row>
    <row r="9" spans="1:24" ht="13.5" thickBot="1" x14ac:dyDescent="0.25">
      <c r="A9" s="9">
        <v>44627</v>
      </c>
      <c r="B9" s="33">
        <v>46728</v>
      </c>
      <c r="C9" s="15">
        <f t="shared" si="1"/>
        <v>640</v>
      </c>
      <c r="D9" s="33">
        <v>40367</v>
      </c>
      <c r="E9" s="15">
        <f t="shared" si="2"/>
        <v>480</v>
      </c>
      <c r="F9" s="33">
        <v>21400</v>
      </c>
      <c r="G9" s="15">
        <f t="shared" si="3"/>
        <v>60</v>
      </c>
      <c r="H9" s="33">
        <v>254089</v>
      </c>
      <c r="I9" s="15">
        <f t="shared" si="4"/>
        <v>13</v>
      </c>
      <c r="J9" s="33">
        <v>303677</v>
      </c>
      <c r="K9" s="15">
        <f t="shared" si="5"/>
        <v>25600</v>
      </c>
      <c r="L9" s="33">
        <v>25919</v>
      </c>
      <c r="M9" s="15">
        <f t="shared" si="6"/>
        <v>480</v>
      </c>
      <c r="N9" s="33">
        <v>225763</v>
      </c>
      <c r="O9" s="15">
        <f t="shared" si="7"/>
        <v>7</v>
      </c>
      <c r="P9" s="33">
        <v>143562</v>
      </c>
      <c r="Q9" s="15">
        <f>P9-P8</f>
        <v>69</v>
      </c>
      <c r="R9" s="1">
        <v>55047</v>
      </c>
      <c r="S9" s="15">
        <f>R9-R8</f>
        <v>0</v>
      </c>
      <c r="T9" s="33">
        <v>3953</v>
      </c>
      <c r="U9" s="15">
        <f t="shared" si="9"/>
        <v>160</v>
      </c>
    </row>
    <row r="10" spans="1:24" ht="13.5" thickBot="1" x14ac:dyDescent="0.25">
      <c r="A10" s="9">
        <v>44628</v>
      </c>
      <c r="B10" s="33">
        <v>46733</v>
      </c>
      <c r="C10" s="15">
        <f t="shared" si="1"/>
        <v>800</v>
      </c>
      <c r="D10" s="33">
        <v>40370</v>
      </c>
      <c r="E10" s="15">
        <f t="shared" si="2"/>
        <v>480</v>
      </c>
      <c r="F10" s="33">
        <v>21404</v>
      </c>
      <c r="G10" s="15">
        <f t="shared" si="3"/>
        <v>80</v>
      </c>
      <c r="H10" s="33">
        <v>254103</v>
      </c>
      <c r="I10" s="15">
        <f t="shared" si="4"/>
        <v>14</v>
      </c>
      <c r="J10" s="33">
        <v>303848</v>
      </c>
      <c r="K10" s="15">
        <f t="shared" si="5"/>
        <v>27360</v>
      </c>
      <c r="L10" s="33">
        <v>25922</v>
      </c>
      <c r="M10" s="15">
        <f t="shared" si="6"/>
        <v>480</v>
      </c>
      <c r="N10" s="33">
        <v>225766</v>
      </c>
      <c r="O10" s="15">
        <f t="shared" si="7"/>
        <v>3</v>
      </c>
      <c r="P10" s="33">
        <v>143711</v>
      </c>
      <c r="Q10" s="15">
        <f>P10-P9</f>
        <v>149</v>
      </c>
      <c r="R10" s="1">
        <v>55047</v>
      </c>
      <c r="S10" s="15">
        <f>R10-R9</f>
        <v>0</v>
      </c>
      <c r="T10" s="33">
        <v>3954</v>
      </c>
      <c r="U10" s="15">
        <f t="shared" si="9"/>
        <v>160</v>
      </c>
    </row>
    <row r="11" spans="1:24" ht="13.5" thickBot="1" x14ac:dyDescent="0.25">
      <c r="A11" s="9">
        <v>44629</v>
      </c>
      <c r="B11" s="33">
        <v>46738</v>
      </c>
      <c r="C11" s="15">
        <f t="shared" si="1"/>
        <v>800</v>
      </c>
      <c r="D11" s="33">
        <v>40373</v>
      </c>
      <c r="E11" s="15">
        <f t="shared" si="2"/>
        <v>480</v>
      </c>
      <c r="F11" s="33">
        <v>21407</v>
      </c>
      <c r="G11" s="15">
        <f t="shared" si="3"/>
        <v>60</v>
      </c>
      <c r="H11" s="33">
        <v>254117</v>
      </c>
      <c r="I11" s="15">
        <f t="shared" si="4"/>
        <v>14</v>
      </c>
      <c r="J11" s="33">
        <v>304017</v>
      </c>
      <c r="K11" s="15">
        <f t="shared" si="5"/>
        <v>27040</v>
      </c>
      <c r="L11" s="33">
        <v>25925</v>
      </c>
      <c r="M11" s="15">
        <f t="shared" si="6"/>
        <v>480</v>
      </c>
      <c r="N11" s="33">
        <v>225769</v>
      </c>
      <c r="O11" s="15">
        <f t="shared" si="7"/>
        <v>3</v>
      </c>
      <c r="P11" s="33">
        <f t="shared" ref="P11:P30" si="10">P10</f>
        <v>143711</v>
      </c>
      <c r="Q11" s="15">
        <f t="shared" si="0"/>
        <v>0</v>
      </c>
      <c r="R11" s="1">
        <v>55047</v>
      </c>
      <c r="S11" s="15">
        <f t="shared" si="8"/>
        <v>0</v>
      </c>
      <c r="T11" s="33">
        <v>3954</v>
      </c>
      <c r="U11" s="15">
        <f t="shared" si="9"/>
        <v>0</v>
      </c>
    </row>
    <row r="12" spans="1:24" ht="13.5" thickBot="1" x14ac:dyDescent="0.25">
      <c r="A12" s="9">
        <v>44630</v>
      </c>
      <c r="B12" s="33">
        <v>46742</v>
      </c>
      <c r="C12" s="15">
        <f t="shared" si="1"/>
        <v>640</v>
      </c>
      <c r="D12" s="33">
        <v>40376</v>
      </c>
      <c r="E12" s="15">
        <f t="shared" si="2"/>
        <v>480</v>
      </c>
      <c r="F12" s="33">
        <v>21411</v>
      </c>
      <c r="G12" s="15">
        <f t="shared" si="3"/>
        <v>80</v>
      </c>
      <c r="H12" s="33">
        <v>254124</v>
      </c>
      <c r="I12" s="15">
        <f t="shared" si="4"/>
        <v>7</v>
      </c>
      <c r="J12" s="33">
        <v>304208</v>
      </c>
      <c r="K12" s="15">
        <f t="shared" si="5"/>
        <v>30560</v>
      </c>
      <c r="L12" s="33">
        <v>25929</v>
      </c>
      <c r="M12" s="15">
        <f t="shared" si="6"/>
        <v>640</v>
      </c>
      <c r="N12" s="33">
        <v>225773</v>
      </c>
      <c r="O12" s="15">
        <f t="shared" si="7"/>
        <v>4</v>
      </c>
      <c r="P12" s="33">
        <v>143711</v>
      </c>
      <c r="Q12" s="15">
        <f t="shared" si="0"/>
        <v>0</v>
      </c>
      <c r="R12" s="1">
        <v>55047</v>
      </c>
      <c r="S12" s="15">
        <f t="shared" si="8"/>
        <v>0</v>
      </c>
      <c r="T12" s="33">
        <v>3955</v>
      </c>
      <c r="U12" s="15">
        <f t="shared" si="9"/>
        <v>160</v>
      </c>
    </row>
    <row r="13" spans="1:24" ht="13.5" thickBot="1" x14ac:dyDescent="0.25">
      <c r="A13" s="9">
        <v>44631</v>
      </c>
      <c r="B13" s="33">
        <v>46747</v>
      </c>
      <c r="C13" s="15">
        <f t="shared" si="1"/>
        <v>800</v>
      </c>
      <c r="D13" s="33">
        <v>40379</v>
      </c>
      <c r="E13" s="15">
        <f t="shared" si="2"/>
        <v>480</v>
      </c>
      <c r="F13" s="33">
        <v>21415</v>
      </c>
      <c r="G13" s="15">
        <f t="shared" si="3"/>
        <v>80</v>
      </c>
      <c r="H13" s="33">
        <v>254149</v>
      </c>
      <c r="I13" s="15">
        <f t="shared" si="4"/>
        <v>25</v>
      </c>
      <c r="J13" s="33">
        <v>304323</v>
      </c>
      <c r="K13" s="15">
        <f t="shared" si="5"/>
        <v>18400</v>
      </c>
      <c r="L13" s="33">
        <v>25931</v>
      </c>
      <c r="M13" s="15">
        <f t="shared" si="6"/>
        <v>320</v>
      </c>
      <c r="N13" s="33">
        <v>225776</v>
      </c>
      <c r="O13" s="15">
        <f t="shared" si="7"/>
        <v>3</v>
      </c>
      <c r="P13" s="33">
        <f t="shared" si="10"/>
        <v>143711</v>
      </c>
      <c r="Q13" s="15">
        <f t="shared" si="0"/>
        <v>0</v>
      </c>
      <c r="R13" s="1">
        <v>55047</v>
      </c>
      <c r="S13" s="15">
        <f t="shared" si="8"/>
        <v>0</v>
      </c>
      <c r="T13" s="33">
        <v>3956</v>
      </c>
      <c r="U13" s="15">
        <f t="shared" si="9"/>
        <v>160</v>
      </c>
    </row>
    <row r="14" spans="1:24" ht="13.5" thickBot="1" x14ac:dyDescent="0.25">
      <c r="A14" s="9">
        <v>44632</v>
      </c>
      <c r="B14" s="33">
        <v>46751</v>
      </c>
      <c r="C14" s="15">
        <f t="shared" si="1"/>
        <v>640</v>
      </c>
      <c r="D14" s="33">
        <v>40382</v>
      </c>
      <c r="E14" s="15">
        <f t="shared" si="2"/>
        <v>480</v>
      </c>
      <c r="F14" s="33">
        <v>21418</v>
      </c>
      <c r="G14" s="15">
        <f t="shared" si="3"/>
        <v>60</v>
      </c>
      <c r="H14" s="33">
        <v>254162</v>
      </c>
      <c r="I14" s="15">
        <f t="shared" si="4"/>
        <v>13</v>
      </c>
      <c r="J14" s="33">
        <v>304451</v>
      </c>
      <c r="K14" s="15">
        <f t="shared" si="5"/>
        <v>20480</v>
      </c>
      <c r="L14" s="33">
        <v>25932</v>
      </c>
      <c r="M14" s="15">
        <f t="shared" si="6"/>
        <v>160</v>
      </c>
      <c r="N14" s="33">
        <v>225779</v>
      </c>
      <c r="O14" s="15">
        <f t="shared" si="7"/>
        <v>3</v>
      </c>
      <c r="P14" s="33">
        <v>144195</v>
      </c>
      <c r="Q14" s="15">
        <f t="shared" si="0"/>
        <v>484</v>
      </c>
      <c r="R14" s="1">
        <v>55047</v>
      </c>
      <c r="S14" s="15">
        <v>0</v>
      </c>
      <c r="T14" s="33">
        <v>3956.5</v>
      </c>
      <c r="U14" s="15">
        <f t="shared" si="9"/>
        <v>80</v>
      </c>
    </row>
    <row r="15" spans="1:24" ht="13.5" thickBot="1" x14ac:dyDescent="0.25">
      <c r="A15" s="9">
        <v>44633</v>
      </c>
      <c r="B15" s="33">
        <v>46756</v>
      </c>
      <c r="C15" s="15">
        <f t="shared" si="1"/>
        <v>800</v>
      </c>
      <c r="D15" s="33">
        <v>40385</v>
      </c>
      <c r="E15" s="15">
        <f t="shared" si="2"/>
        <v>480</v>
      </c>
      <c r="F15" s="33">
        <v>21421</v>
      </c>
      <c r="G15" s="15">
        <f t="shared" ref="G15" si="11">(F15-F14)*100/5</f>
        <v>60</v>
      </c>
      <c r="H15" s="33">
        <v>254178</v>
      </c>
      <c r="I15" s="15">
        <f t="shared" ref="I15" si="12">(H15-H14)</f>
        <v>16</v>
      </c>
      <c r="J15" s="33">
        <v>304628</v>
      </c>
      <c r="K15" s="15">
        <f t="shared" si="5"/>
        <v>28320</v>
      </c>
      <c r="L15" s="33">
        <v>25937</v>
      </c>
      <c r="M15" s="15">
        <f t="shared" ref="M15" si="13">(L15-L14)*800/5</f>
        <v>800</v>
      </c>
      <c r="N15" s="33">
        <v>225782</v>
      </c>
      <c r="O15" s="15">
        <f t="shared" ref="O15" si="14">N15-N14</f>
        <v>3</v>
      </c>
      <c r="P15" s="33">
        <v>144320</v>
      </c>
      <c r="Q15" s="15">
        <f t="shared" ref="Q15" si="15">P15-P14</f>
        <v>125</v>
      </c>
      <c r="R15" s="1">
        <v>55047</v>
      </c>
      <c r="S15" s="15">
        <v>0</v>
      </c>
      <c r="T15" s="33">
        <v>3957</v>
      </c>
      <c r="U15" s="15">
        <f t="shared" ref="U15" si="16">(T15-T14)*800/5</f>
        <v>80</v>
      </c>
      <c r="X15" t="s">
        <v>12</v>
      </c>
    </row>
    <row r="16" spans="1:24" ht="13.5" thickBot="1" x14ac:dyDescent="0.25">
      <c r="A16" s="9">
        <v>44634</v>
      </c>
      <c r="B16" s="33">
        <v>46761</v>
      </c>
      <c r="C16" s="15">
        <f t="shared" si="1"/>
        <v>800</v>
      </c>
      <c r="D16" s="33">
        <v>40389</v>
      </c>
      <c r="E16" s="15">
        <f t="shared" si="2"/>
        <v>640</v>
      </c>
      <c r="F16" s="33">
        <v>21425</v>
      </c>
      <c r="G16" s="15">
        <f t="shared" si="3"/>
        <v>80</v>
      </c>
      <c r="H16" s="33">
        <v>254192</v>
      </c>
      <c r="I16" s="15">
        <f t="shared" si="4"/>
        <v>14</v>
      </c>
      <c r="J16" s="33">
        <v>304793</v>
      </c>
      <c r="K16" s="15">
        <f t="shared" si="5"/>
        <v>26400</v>
      </c>
      <c r="L16" s="33">
        <v>25941</v>
      </c>
      <c r="M16" s="15">
        <f t="shared" si="6"/>
        <v>640</v>
      </c>
      <c r="N16" s="33">
        <v>225785</v>
      </c>
      <c r="O16" s="15">
        <f t="shared" si="7"/>
        <v>3</v>
      </c>
      <c r="P16" s="33">
        <v>144430</v>
      </c>
      <c r="Q16" s="15">
        <f t="shared" si="0"/>
        <v>110</v>
      </c>
      <c r="R16" s="1">
        <v>55047</v>
      </c>
      <c r="S16" s="15">
        <f t="shared" si="8"/>
        <v>0</v>
      </c>
      <c r="T16" s="33">
        <v>3957.5</v>
      </c>
      <c r="U16" s="15">
        <f t="shared" si="9"/>
        <v>80</v>
      </c>
      <c r="W16" t="s">
        <v>12</v>
      </c>
    </row>
    <row r="17" spans="1:23" ht="13.5" thickBot="1" x14ac:dyDescent="0.25">
      <c r="A17" s="9">
        <v>44635</v>
      </c>
      <c r="B17" s="33">
        <v>46765</v>
      </c>
      <c r="C17" s="15">
        <f t="shared" si="1"/>
        <v>640</v>
      </c>
      <c r="D17" s="33">
        <v>40392</v>
      </c>
      <c r="E17" s="15">
        <f t="shared" si="2"/>
        <v>480</v>
      </c>
      <c r="F17" s="33">
        <v>21429</v>
      </c>
      <c r="G17" s="15">
        <f t="shared" si="3"/>
        <v>80</v>
      </c>
      <c r="H17" s="33">
        <v>254204</v>
      </c>
      <c r="I17" s="15">
        <f t="shared" si="4"/>
        <v>12</v>
      </c>
      <c r="J17" s="33">
        <v>304962</v>
      </c>
      <c r="K17" s="15">
        <f t="shared" si="5"/>
        <v>27040</v>
      </c>
      <c r="L17" s="33">
        <v>25943</v>
      </c>
      <c r="M17" s="15">
        <f t="shared" si="6"/>
        <v>320</v>
      </c>
      <c r="N17" s="33">
        <v>225788</v>
      </c>
      <c r="O17" s="15">
        <f t="shared" si="7"/>
        <v>3</v>
      </c>
      <c r="P17" s="33">
        <v>144649</v>
      </c>
      <c r="Q17" s="15">
        <f t="shared" si="0"/>
        <v>219</v>
      </c>
      <c r="R17" s="1">
        <v>55047</v>
      </c>
      <c r="S17" s="15">
        <f>S16</f>
        <v>0</v>
      </c>
      <c r="T17" s="33">
        <v>3958</v>
      </c>
      <c r="U17" s="15">
        <f t="shared" si="9"/>
        <v>80</v>
      </c>
    </row>
    <row r="18" spans="1:23" ht="13.5" thickBot="1" x14ac:dyDescent="0.25">
      <c r="A18" s="9">
        <v>44636</v>
      </c>
      <c r="B18" s="33">
        <v>46770</v>
      </c>
      <c r="C18" s="15">
        <f t="shared" si="1"/>
        <v>800</v>
      </c>
      <c r="D18" s="33">
        <v>40395</v>
      </c>
      <c r="E18" s="15">
        <f t="shared" si="2"/>
        <v>480</v>
      </c>
      <c r="F18" s="33">
        <v>21432</v>
      </c>
      <c r="G18" s="15">
        <f t="shared" si="3"/>
        <v>60</v>
      </c>
      <c r="H18" s="33">
        <v>254218</v>
      </c>
      <c r="I18" s="15">
        <f t="shared" si="4"/>
        <v>14</v>
      </c>
      <c r="J18" s="33">
        <v>305128</v>
      </c>
      <c r="K18" s="15">
        <f t="shared" si="5"/>
        <v>26560</v>
      </c>
      <c r="L18" s="33">
        <v>25947</v>
      </c>
      <c r="M18" s="15">
        <f t="shared" si="6"/>
        <v>640</v>
      </c>
      <c r="N18" s="33">
        <v>225791</v>
      </c>
      <c r="O18" s="15">
        <f t="shared" si="7"/>
        <v>3</v>
      </c>
      <c r="P18" s="33">
        <v>144770</v>
      </c>
      <c r="Q18" s="15">
        <f t="shared" si="0"/>
        <v>121</v>
      </c>
      <c r="R18" s="1">
        <v>55047</v>
      </c>
      <c r="S18" s="15">
        <f t="shared" si="8"/>
        <v>0</v>
      </c>
      <c r="T18" s="33">
        <v>3958.5</v>
      </c>
      <c r="U18" s="15">
        <f t="shared" si="9"/>
        <v>80</v>
      </c>
    </row>
    <row r="19" spans="1:23" ht="13.5" thickBot="1" x14ac:dyDescent="0.25">
      <c r="A19" s="9">
        <v>44637</v>
      </c>
      <c r="B19" s="33">
        <v>46774</v>
      </c>
      <c r="C19" s="15">
        <f t="shared" si="1"/>
        <v>640</v>
      </c>
      <c r="D19" s="33">
        <v>40399</v>
      </c>
      <c r="E19" s="15">
        <f t="shared" si="2"/>
        <v>640</v>
      </c>
      <c r="F19" s="33">
        <v>21436</v>
      </c>
      <c r="G19" s="15">
        <f t="shared" si="3"/>
        <v>80</v>
      </c>
      <c r="H19" s="33">
        <v>254229</v>
      </c>
      <c r="I19" s="15">
        <f t="shared" si="4"/>
        <v>11</v>
      </c>
      <c r="J19" s="33">
        <v>305293</v>
      </c>
      <c r="K19" s="15">
        <f t="shared" si="5"/>
        <v>26400</v>
      </c>
      <c r="L19" s="33">
        <v>25950</v>
      </c>
      <c r="M19" s="15">
        <f t="shared" si="6"/>
        <v>480</v>
      </c>
      <c r="N19" s="33">
        <v>225794</v>
      </c>
      <c r="O19" s="15">
        <f t="shared" si="7"/>
        <v>3</v>
      </c>
      <c r="P19" s="33">
        <v>144885</v>
      </c>
      <c r="Q19" s="15">
        <f t="shared" si="0"/>
        <v>115</v>
      </c>
      <c r="R19" s="1">
        <v>55047</v>
      </c>
      <c r="S19" s="15">
        <f t="shared" si="8"/>
        <v>0</v>
      </c>
      <c r="T19" s="33">
        <v>3959</v>
      </c>
      <c r="U19" s="15">
        <f t="shared" si="9"/>
        <v>80</v>
      </c>
      <c r="W19" t="s">
        <v>12</v>
      </c>
    </row>
    <row r="20" spans="1:23" ht="13.5" thickBot="1" x14ac:dyDescent="0.25">
      <c r="A20" s="9">
        <v>44638</v>
      </c>
      <c r="B20" s="33">
        <v>46779</v>
      </c>
      <c r="C20" s="15">
        <f t="shared" si="1"/>
        <v>800</v>
      </c>
      <c r="D20" s="33">
        <v>40402</v>
      </c>
      <c r="E20" s="15">
        <f t="shared" si="2"/>
        <v>480</v>
      </c>
      <c r="F20" s="33">
        <v>21440</v>
      </c>
      <c r="G20" s="15">
        <f t="shared" si="3"/>
        <v>80</v>
      </c>
      <c r="H20" s="33">
        <v>254243</v>
      </c>
      <c r="I20" s="15">
        <f t="shared" si="4"/>
        <v>14</v>
      </c>
      <c r="J20" s="33">
        <v>305424</v>
      </c>
      <c r="K20" s="15">
        <f t="shared" si="5"/>
        <v>20960</v>
      </c>
      <c r="L20" s="33">
        <v>25953</v>
      </c>
      <c r="M20" s="15">
        <f t="shared" si="6"/>
        <v>480</v>
      </c>
      <c r="N20" s="33">
        <v>225798</v>
      </c>
      <c r="O20" s="15">
        <f t="shared" si="7"/>
        <v>4</v>
      </c>
      <c r="P20" s="33">
        <f t="shared" si="10"/>
        <v>144885</v>
      </c>
      <c r="Q20" s="15">
        <f>P20-P19</f>
        <v>0</v>
      </c>
      <c r="R20" s="1">
        <v>55047</v>
      </c>
      <c r="S20" s="15">
        <f t="shared" si="8"/>
        <v>0</v>
      </c>
      <c r="T20" s="33">
        <v>3959.5</v>
      </c>
      <c r="U20" s="15">
        <f t="shared" si="9"/>
        <v>80</v>
      </c>
    </row>
    <row r="21" spans="1:23" ht="13.5" thickBot="1" x14ac:dyDescent="0.25">
      <c r="A21" s="9">
        <v>44639</v>
      </c>
      <c r="B21" s="33">
        <v>46784</v>
      </c>
      <c r="C21" s="15">
        <f t="shared" si="1"/>
        <v>800</v>
      </c>
      <c r="D21" s="33">
        <v>40405</v>
      </c>
      <c r="E21" s="15">
        <f t="shared" si="2"/>
        <v>480</v>
      </c>
      <c r="F21" s="33">
        <v>21444</v>
      </c>
      <c r="G21" s="15">
        <f t="shared" si="3"/>
        <v>80</v>
      </c>
      <c r="H21" s="33">
        <v>254255</v>
      </c>
      <c r="I21" s="15">
        <f t="shared" si="4"/>
        <v>12</v>
      </c>
      <c r="J21" s="33">
        <v>305559</v>
      </c>
      <c r="K21" s="15">
        <f t="shared" si="5"/>
        <v>21600</v>
      </c>
      <c r="L21" s="33">
        <v>25955</v>
      </c>
      <c r="M21" s="15">
        <f t="shared" si="6"/>
        <v>320</v>
      </c>
      <c r="N21" s="33">
        <v>225801</v>
      </c>
      <c r="O21" s="15">
        <f t="shared" si="7"/>
        <v>3</v>
      </c>
      <c r="P21" s="33">
        <v>145073</v>
      </c>
      <c r="Q21" s="15">
        <f t="shared" si="0"/>
        <v>188</v>
      </c>
      <c r="R21" s="1">
        <v>55047</v>
      </c>
      <c r="S21" s="15">
        <f t="shared" si="8"/>
        <v>0</v>
      </c>
      <c r="T21" s="33">
        <v>3960</v>
      </c>
      <c r="U21" s="15">
        <f t="shared" si="9"/>
        <v>80</v>
      </c>
    </row>
    <row r="22" spans="1:23" ht="13.5" thickBot="1" x14ac:dyDescent="0.25">
      <c r="A22" s="9">
        <v>44640</v>
      </c>
      <c r="B22" s="33">
        <v>46788</v>
      </c>
      <c r="C22" s="15">
        <f t="shared" si="1"/>
        <v>640</v>
      </c>
      <c r="D22" s="33">
        <v>40409</v>
      </c>
      <c r="E22" s="15">
        <f t="shared" si="2"/>
        <v>640</v>
      </c>
      <c r="F22" s="33">
        <v>21447</v>
      </c>
      <c r="G22" s="15">
        <f t="shared" si="3"/>
        <v>60</v>
      </c>
      <c r="H22" s="33">
        <v>254269</v>
      </c>
      <c r="I22" s="15">
        <f t="shared" si="4"/>
        <v>14</v>
      </c>
      <c r="J22" s="33">
        <v>305724</v>
      </c>
      <c r="K22" s="15">
        <f t="shared" si="5"/>
        <v>26400</v>
      </c>
      <c r="L22" s="33">
        <v>25959</v>
      </c>
      <c r="M22" s="15">
        <f t="shared" si="6"/>
        <v>640</v>
      </c>
      <c r="N22" s="33">
        <v>225804</v>
      </c>
      <c r="O22" s="15">
        <f t="shared" si="7"/>
        <v>3</v>
      </c>
      <c r="P22" s="33">
        <f t="shared" si="10"/>
        <v>145073</v>
      </c>
      <c r="Q22" s="15">
        <f>P22-P21</f>
        <v>0</v>
      </c>
      <c r="R22" s="1">
        <v>55047</v>
      </c>
      <c r="S22" s="15">
        <f t="shared" si="8"/>
        <v>0</v>
      </c>
      <c r="T22" s="33">
        <v>3961</v>
      </c>
      <c r="U22" s="15">
        <f t="shared" si="9"/>
        <v>160</v>
      </c>
    </row>
    <row r="23" spans="1:23" ht="13.5" thickBot="1" x14ac:dyDescent="0.25">
      <c r="A23" s="9">
        <v>44641</v>
      </c>
      <c r="B23" s="33">
        <v>46793</v>
      </c>
      <c r="C23" s="15">
        <f t="shared" si="1"/>
        <v>800</v>
      </c>
      <c r="D23" s="33">
        <v>40412</v>
      </c>
      <c r="E23" s="15">
        <f t="shared" si="2"/>
        <v>480</v>
      </c>
      <c r="F23" s="33">
        <v>21451</v>
      </c>
      <c r="G23" s="15">
        <f t="shared" si="3"/>
        <v>80</v>
      </c>
      <c r="H23" s="33">
        <v>254281</v>
      </c>
      <c r="I23" s="15">
        <f t="shared" si="4"/>
        <v>12</v>
      </c>
      <c r="J23" s="33">
        <v>305885</v>
      </c>
      <c r="K23" s="15">
        <f t="shared" si="5"/>
        <v>25760</v>
      </c>
      <c r="L23" s="33">
        <v>25962</v>
      </c>
      <c r="M23" s="15">
        <f t="shared" si="6"/>
        <v>480</v>
      </c>
      <c r="N23" s="33">
        <v>225807</v>
      </c>
      <c r="O23" s="15">
        <f t="shared" si="7"/>
        <v>3</v>
      </c>
      <c r="P23" s="33">
        <f t="shared" si="10"/>
        <v>145073</v>
      </c>
      <c r="Q23" s="15">
        <f t="shared" si="0"/>
        <v>0</v>
      </c>
      <c r="R23" s="1">
        <v>55047</v>
      </c>
      <c r="S23" s="15">
        <f t="shared" si="8"/>
        <v>0</v>
      </c>
      <c r="T23" s="33">
        <v>3962</v>
      </c>
      <c r="U23" s="15">
        <f t="shared" si="9"/>
        <v>160</v>
      </c>
    </row>
    <row r="24" spans="1:23" s="133" customFormat="1" ht="13.5" thickBot="1" x14ac:dyDescent="0.25">
      <c r="A24" s="9">
        <v>44642</v>
      </c>
      <c r="B24" s="33">
        <v>46797</v>
      </c>
      <c r="C24" s="15">
        <f t="shared" si="1"/>
        <v>640</v>
      </c>
      <c r="D24" s="33">
        <v>40416</v>
      </c>
      <c r="E24" s="15">
        <f t="shared" si="2"/>
        <v>640</v>
      </c>
      <c r="F24" s="33">
        <v>21454</v>
      </c>
      <c r="G24" s="15">
        <f t="shared" si="3"/>
        <v>60</v>
      </c>
      <c r="H24" s="33">
        <v>254296</v>
      </c>
      <c r="I24" s="15">
        <f t="shared" si="4"/>
        <v>15</v>
      </c>
      <c r="J24" s="33">
        <v>306052</v>
      </c>
      <c r="K24" s="15">
        <f t="shared" si="5"/>
        <v>26720</v>
      </c>
      <c r="L24" s="33">
        <v>25965</v>
      </c>
      <c r="M24" s="15">
        <f t="shared" si="6"/>
        <v>480</v>
      </c>
      <c r="N24" s="33">
        <v>225810</v>
      </c>
      <c r="O24" s="15">
        <f t="shared" si="7"/>
        <v>3</v>
      </c>
      <c r="P24" s="33">
        <f t="shared" si="10"/>
        <v>145073</v>
      </c>
      <c r="Q24" s="15">
        <f t="shared" si="0"/>
        <v>0</v>
      </c>
      <c r="R24" s="1">
        <v>55047</v>
      </c>
      <c r="S24" s="15">
        <f t="shared" si="8"/>
        <v>0</v>
      </c>
      <c r="T24" s="33">
        <v>3963</v>
      </c>
      <c r="U24" s="15">
        <f t="shared" si="9"/>
        <v>160</v>
      </c>
    </row>
    <row r="25" spans="1:23" ht="13.5" thickBot="1" x14ac:dyDescent="0.25">
      <c r="A25" s="9">
        <v>44643</v>
      </c>
      <c r="B25" s="33">
        <v>46802</v>
      </c>
      <c r="C25" s="15">
        <f t="shared" si="1"/>
        <v>800</v>
      </c>
      <c r="D25" s="33">
        <v>40419</v>
      </c>
      <c r="E25" s="15">
        <f t="shared" si="2"/>
        <v>480</v>
      </c>
      <c r="F25" s="33">
        <v>21458</v>
      </c>
      <c r="G25" s="15">
        <f t="shared" si="3"/>
        <v>80</v>
      </c>
      <c r="H25" s="33">
        <v>254311</v>
      </c>
      <c r="I25" s="15">
        <f t="shared" si="4"/>
        <v>15</v>
      </c>
      <c r="J25" s="33">
        <v>306223</v>
      </c>
      <c r="K25" s="15">
        <f t="shared" si="5"/>
        <v>27360</v>
      </c>
      <c r="L25" s="33">
        <v>25969</v>
      </c>
      <c r="M25" s="15">
        <f t="shared" si="6"/>
        <v>640</v>
      </c>
      <c r="N25" s="33">
        <v>225814</v>
      </c>
      <c r="O25" s="15">
        <f t="shared" si="7"/>
        <v>4</v>
      </c>
      <c r="P25" s="33">
        <f t="shared" si="10"/>
        <v>145073</v>
      </c>
      <c r="Q25" s="15">
        <f t="shared" si="0"/>
        <v>0</v>
      </c>
      <c r="R25" s="1">
        <v>55047</v>
      </c>
      <c r="S25" s="15">
        <f t="shared" si="8"/>
        <v>0</v>
      </c>
      <c r="T25" s="33">
        <v>3963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44644</v>
      </c>
      <c r="B26" s="33">
        <v>46807</v>
      </c>
      <c r="C26" s="15">
        <f t="shared" si="1"/>
        <v>800</v>
      </c>
      <c r="D26" s="33">
        <v>40423</v>
      </c>
      <c r="E26" s="15">
        <f t="shared" si="2"/>
        <v>640</v>
      </c>
      <c r="F26" s="33">
        <v>21461</v>
      </c>
      <c r="G26" s="15">
        <f t="shared" si="3"/>
        <v>60</v>
      </c>
      <c r="H26" s="33">
        <v>254325</v>
      </c>
      <c r="I26" s="15">
        <f t="shared" si="4"/>
        <v>14</v>
      </c>
      <c r="J26" s="33">
        <v>306394</v>
      </c>
      <c r="K26" s="15">
        <f t="shared" si="5"/>
        <v>27360</v>
      </c>
      <c r="L26" s="33">
        <v>25972</v>
      </c>
      <c r="M26" s="15">
        <f t="shared" si="6"/>
        <v>480</v>
      </c>
      <c r="N26" s="33">
        <v>225817</v>
      </c>
      <c r="O26" s="15">
        <f t="shared" si="7"/>
        <v>3</v>
      </c>
      <c r="P26" s="33">
        <v>145073</v>
      </c>
      <c r="Q26" s="15">
        <f t="shared" si="0"/>
        <v>0</v>
      </c>
      <c r="R26" s="1">
        <v>55047</v>
      </c>
      <c r="S26" s="15">
        <f t="shared" si="8"/>
        <v>0</v>
      </c>
      <c r="T26" s="33">
        <v>3964</v>
      </c>
      <c r="U26" s="15">
        <f t="shared" si="9"/>
        <v>160</v>
      </c>
      <c r="W26" t="s">
        <v>12</v>
      </c>
    </row>
    <row r="27" spans="1:23" ht="13.5" thickBot="1" x14ac:dyDescent="0.25">
      <c r="A27" s="9">
        <v>44645</v>
      </c>
      <c r="B27" s="33">
        <v>46811</v>
      </c>
      <c r="C27" s="15">
        <f t="shared" si="1"/>
        <v>640</v>
      </c>
      <c r="D27" s="33">
        <v>40426</v>
      </c>
      <c r="E27" s="15">
        <f t="shared" si="2"/>
        <v>480</v>
      </c>
      <c r="F27" s="33">
        <v>21465</v>
      </c>
      <c r="G27" s="15">
        <f t="shared" si="3"/>
        <v>80</v>
      </c>
      <c r="H27" s="33">
        <v>254341</v>
      </c>
      <c r="I27" s="15">
        <f t="shared" si="4"/>
        <v>16</v>
      </c>
      <c r="J27" s="33">
        <v>306518</v>
      </c>
      <c r="K27" s="15">
        <f t="shared" si="5"/>
        <v>19840</v>
      </c>
      <c r="L27" s="33">
        <v>25974</v>
      </c>
      <c r="M27" s="15">
        <f t="shared" si="6"/>
        <v>320</v>
      </c>
      <c r="N27" s="33">
        <v>225820</v>
      </c>
      <c r="O27" s="15">
        <f t="shared" si="7"/>
        <v>3</v>
      </c>
      <c r="P27" s="33">
        <f t="shared" si="10"/>
        <v>145073</v>
      </c>
      <c r="Q27" s="15">
        <f t="shared" si="0"/>
        <v>0</v>
      </c>
      <c r="R27" s="1">
        <v>55047</v>
      </c>
      <c r="S27" s="15">
        <f t="shared" si="8"/>
        <v>0</v>
      </c>
      <c r="T27" s="33">
        <f t="shared" ref="T27:T30" si="17">T26</f>
        <v>3964</v>
      </c>
      <c r="U27" s="15">
        <f>(T27-T26)*800/5</f>
        <v>0</v>
      </c>
    </row>
    <row r="28" spans="1:23" ht="13.5" thickBot="1" x14ac:dyDescent="0.25">
      <c r="A28" s="9">
        <v>44646</v>
      </c>
      <c r="B28" s="33">
        <v>46815</v>
      </c>
      <c r="C28" s="15">
        <f t="shared" si="1"/>
        <v>640</v>
      </c>
      <c r="D28" s="33">
        <v>40429</v>
      </c>
      <c r="E28" s="15">
        <f t="shared" si="2"/>
        <v>480</v>
      </c>
      <c r="F28" s="33">
        <v>21469</v>
      </c>
      <c r="G28" s="15">
        <f t="shared" si="3"/>
        <v>80</v>
      </c>
      <c r="H28" s="33">
        <v>254356</v>
      </c>
      <c r="I28" s="15">
        <f t="shared" si="4"/>
        <v>15</v>
      </c>
      <c r="J28" s="33">
        <v>306539</v>
      </c>
      <c r="K28" s="15">
        <f t="shared" si="5"/>
        <v>3360</v>
      </c>
      <c r="L28" s="33">
        <v>25977</v>
      </c>
      <c r="M28" s="15">
        <f t="shared" si="6"/>
        <v>480</v>
      </c>
      <c r="N28" s="33">
        <v>225824</v>
      </c>
      <c r="O28" s="15">
        <f t="shared" si="7"/>
        <v>4</v>
      </c>
      <c r="P28" s="33">
        <v>145773</v>
      </c>
      <c r="Q28" s="16">
        <f t="shared" si="0"/>
        <v>700</v>
      </c>
      <c r="R28" s="1">
        <v>55047</v>
      </c>
      <c r="S28" s="16">
        <f t="shared" si="8"/>
        <v>0</v>
      </c>
      <c r="T28" s="33">
        <v>3965</v>
      </c>
      <c r="U28" s="15">
        <f t="shared" si="9"/>
        <v>160</v>
      </c>
    </row>
    <row r="29" spans="1:23" ht="13.5" thickBot="1" x14ac:dyDescent="0.25">
      <c r="A29" s="9">
        <v>44647</v>
      </c>
      <c r="B29" s="33">
        <v>46819</v>
      </c>
      <c r="C29" s="15">
        <f t="shared" si="1"/>
        <v>640</v>
      </c>
      <c r="D29" s="33">
        <v>40432</v>
      </c>
      <c r="E29" s="15">
        <f t="shared" si="2"/>
        <v>480</v>
      </c>
      <c r="F29" s="33">
        <v>21473</v>
      </c>
      <c r="G29" s="15">
        <f t="shared" si="3"/>
        <v>80</v>
      </c>
      <c r="H29" s="33">
        <v>254371</v>
      </c>
      <c r="I29" s="15">
        <f t="shared" si="4"/>
        <v>15</v>
      </c>
      <c r="J29" s="33">
        <v>306560</v>
      </c>
      <c r="K29" s="15">
        <f t="shared" si="5"/>
        <v>3360</v>
      </c>
      <c r="L29" s="33">
        <v>25979</v>
      </c>
      <c r="M29" s="15">
        <f t="shared" si="6"/>
        <v>320</v>
      </c>
      <c r="N29" s="33">
        <v>225829</v>
      </c>
      <c r="O29" s="15">
        <f t="shared" si="7"/>
        <v>5</v>
      </c>
      <c r="P29" s="33">
        <v>145982</v>
      </c>
      <c r="Q29" s="15">
        <f t="shared" si="0"/>
        <v>209</v>
      </c>
      <c r="R29" s="1">
        <v>55047</v>
      </c>
      <c r="S29" s="15">
        <f t="shared" si="8"/>
        <v>0</v>
      </c>
      <c r="T29" s="33">
        <v>3965.5</v>
      </c>
      <c r="U29" s="15">
        <f t="shared" si="9"/>
        <v>80</v>
      </c>
    </row>
    <row r="30" spans="1:23" ht="13.5" thickBot="1" x14ac:dyDescent="0.25">
      <c r="A30" s="9">
        <v>44648</v>
      </c>
      <c r="B30" s="33">
        <f t="shared" ref="B29:B30" si="18">B29</f>
        <v>46819</v>
      </c>
      <c r="C30" s="15">
        <f t="shared" si="1"/>
        <v>0</v>
      </c>
      <c r="D30" s="33">
        <f t="shared" ref="D29:D30" si="19">D29</f>
        <v>40432</v>
      </c>
      <c r="E30" s="15">
        <f t="shared" si="2"/>
        <v>0</v>
      </c>
      <c r="F30" s="33">
        <f t="shared" ref="F29:F30" si="20">F29</f>
        <v>21473</v>
      </c>
      <c r="G30" s="15">
        <f t="shared" si="3"/>
        <v>0</v>
      </c>
      <c r="H30" s="33">
        <f t="shared" ref="H29:H30" si="21">H29</f>
        <v>254371</v>
      </c>
      <c r="I30" s="15">
        <f t="shared" si="4"/>
        <v>0</v>
      </c>
      <c r="J30" s="33">
        <f t="shared" ref="J29:J30" si="22">J29</f>
        <v>306560</v>
      </c>
      <c r="K30" s="15">
        <f t="shared" si="5"/>
        <v>0</v>
      </c>
      <c r="L30" s="33">
        <f t="shared" ref="L29:L30" si="23">L29</f>
        <v>25979</v>
      </c>
      <c r="M30" s="15">
        <f t="shared" si="6"/>
        <v>0</v>
      </c>
      <c r="N30" s="33">
        <f t="shared" ref="N29:N30" si="24">N29</f>
        <v>225829</v>
      </c>
      <c r="O30" s="15">
        <f t="shared" si="7"/>
        <v>0</v>
      </c>
      <c r="P30" s="33">
        <f t="shared" si="10"/>
        <v>145982</v>
      </c>
      <c r="Q30" s="15">
        <v>0</v>
      </c>
      <c r="R30" s="1">
        <v>55047</v>
      </c>
      <c r="S30" s="15">
        <f t="shared" si="8"/>
        <v>0</v>
      </c>
      <c r="T30" s="33">
        <f t="shared" si="17"/>
        <v>3965.5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18880</v>
      </c>
      <c r="D31" s="12"/>
      <c r="E31" s="10">
        <f>SUM(E4:E30)</f>
        <v>13600</v>
      </c>
      <c r="F31" s="12"/>
      <c r="G31" s="10">
        <f>SUM(G4:G30)</f>
        <v>1900</v>
      </c>
      <c r="H31" s="12"/>
      <c r="I31" s="10">
        <f>SUM(I4:I30)</f>
        <v>372</v>
      </c>
      <c r="J31" s="12"/>
      <c r="K31" s="10">
        <f>SUM(K4:K30)</f>
        <v>486880</v>
      </c>
      <c r="L31" s="12"/>
      <c r="M31" s="10">
        <f>SUM(M4:M30)</f>
        <v>12800</v>
      </c>
      <c r="N31" s="34"/>
      <c r="O31" s="10">
        <f>SUM(O4:O30)</f>
        <v>598</v>
      </c>
      <c r="P31" s="33"/>
      <c r="Q31" s="15">
        <v>0</v>
      </c>
      <c r="R31" s="1"/>
      <c r="S31" s="10">
        <f>SUM(S4:S30)</f>
        <v>0</v>
      </c>
      <c r="T31" s="1"/>
      <c r="U31" s="10">
        <f>SUM(U4:U30)</f>
        <v>3920</v>
      </c>
    </row>
    <row r="32" spans="1:23" x14ac:dyDescent="0.2">
      <c r="N32" s="18"/>
    </row>
    <row r="33" spans="14:14" x14ac:dyDescent="0.2">
      <c r="N33" s="18"/>
    </row>
    <row r="34" spans="14:14" x14ac:dyDescent="0.2">
      <c r="N34" s="18"/>
    </row>
    <row r="35" spans="14:14" x14ac:dyDescent="0.2">
      <c r="N35" s="18"/>
    </row>
    <row r="36" spans="14:14" x14ac:dyDescent="0.2">
      <c r="N36" s="18"/>
    </row>
    <row r="37" spans="14:14" x14ac:dyDescent="0.2">
      <c r="N37" s="18"/>
    </row>
    <row r="38" spans="14:14" x14ac:dyDescent="0.2">
      <c r="N38" s="18"/>
    </row>
    <row r="39" spans="14:14" x14ac:dyDescent="0.2">
      <c r="N39" s="18"/>
    </row>
    <row r="40" spans="14:14" x14ac:dyDescent="0.2">
      <c r="N40" s="18"/>
    </row>
    <row r="41" spans="14:14" x14ac:dyDescent="0.2">
      <c r="N41" s="18"/>
    </row>
    <row r="42" spans="14:14" x14ac:dyDescent="0.2">
      <c r="N42" s="18"/>
    </row>
    <row r="43" spans="14:14" x14ac:dyDescent="0.2">
      <c r="N43" s="18"/>
    </row>
    <row r="44" spans="14:14" x14ac:dyDescent="0.2">
      <c r="N44" s="18"/>
    </row>
    <row r="45" spans="14:14" x14ac:dyDescent="0.2">
      <c r="N45" s="18"/>
    </row>
    <row r="46" spans="14:14" x14ac:dyDescent="0.2">
      <c r="N46" s="18"/>
    </row>
    <row r="47" spans="14:14" x14ac:dyDescent="0.2">
      <c r="N47" s="18"/>
    </row>
    <row r="48" spans="14:14" x14ac:dyDescent="0.2">
      <c r="N48" s="18"/>
    </row>
    <row r="49" spans="12:15" x14ac:dyDescent="0.2">
      <c r="N49" s="18"/>
    </row>
    <row r="50" spans="12:15" x14ac:dyDescent="0.2">
      <c r="N50" s="18"/>
    </row>
    <row r="51" spans="12:15" x14ac:dyDescent="0.2">
      <c r="N51" s="18"/>
    </row>
    <row r="52" spans="12:15" x14ac:dyDescent="0.2">
      <c r="N52" s="18"/>
    </row>
    <row r="53" spans="12:15" x14ac:dyDescent="0.2">
      <c r="N53" s="18"/>
    </row>
    <row r="54" spans="12:15" x14ac:dyDescent="0.2">
      <c r="N54" s="18"/>
    </row>
    <row r="55" spans="12:15" x14ac:dyDescent="0.2">
      <c r="N55" s="18"/>
    </row>
    <row r="56" spans="12:15" x14ac:dyDescent="0.2">
      <c r="L56" s="19"/>
      <c r="M56" s="18"/>
      <c r="N56" s="19"/>
      <c r="O56" s="18"/>
    </row>
    <row r="57" spans="12:15" x14ac:dyDescent="0.2">
      <c r="L57" s="19"/>
      <c r="M57" s="18"/>
      <c r="N57" s="19"/>
      <c r="O57" s="18"/>
    </row>
    <row r="58" spans="12:15" x14ac:dyDescent="0.2">
      <c r="L58" s="19"/>
      <c r="M58" s="18"/>
      <c r="N58" s="19"/>
      <c r="O58" s="18"/>
    </row>
    <row r="59" spans="12:15" x14ac:dyDescent="0.2">
      <c r="L59" s="19"/>
      <c r="M59" s="18"/>
      <c r="N59" s="19"/>
      <c r="O59" s="18"/>
    </row>
    <row r="60" spans="12:15" x14ac:dyDescent="0.2">
      <c r="L60" s="19"/>
      <c r="M60" s="18"/>
      <c r="N60" s="19"/>
      <c r="O60" s="18"/>
    </row>
    <row r="61" spans="12:15" x14ac:dyDescent="0.2">
      <c r="L61" s="19"/>
      <c r="M61" s="18"/>
      <c r="N61" s="19"/>
      <c r="O61" s="18"/>
    </row>
    <row r="62" spans="12:15" x14ac:dyDescent="0.2">
      <c r="L62" s="19"/>
      <c r="M62" s="18"/>
      <c r="N62" s="19"/>
      <c r="O62" s="18"/>
    </row>
    <row r="63" spans="12:15" x14ac:dyDescent="0.2">
      <c r="L63" s="19"/>
      <c r="M63" s="18"/>
      <c r="N63" s="19"/>
      <c r="O63" s="18"/>
    </row>
    <row r="64" spans="12:15" x14ac:dyDescent="0.2">
      <c r="L64" s="19"/>
      <c r="M64" s="18"/>
      <c r="N64" s="19"/>
      <c r="O64" s="18"/>
    </row>
    <row r="65" spans="12:15" x14ac:dyDescent="0.2">
      <c r="L65" s="19"/>
      <c r="M65" s="18"/>
      <c r="N65" s="19"/>
      <c r="O65" s="18"/>
    </row>
    <row r="66" spans="12:15" x14ac:dyDescent="0.2">
      <c r="L66" s="19"/>
      <c r="M66" s="18"/>
      <c r="N66" s="19"/>
      <c r="O66" s="18"/>
    </row>
    <row r="67" spans="12:15" x14ac:dyDescent="0.2">
      <c r="L67" s="19"/>
      <c r="M67" s="18"/>
      <c r="N67" s="19"/>
      <c r="O67" s="18"/>
    </row>
    <row r="68" spans="12:15" x14ac:dyDescent="0.2">
      <c r="L68" s="19"/>
      <c r="N68" s="18"/>
    </row>
    <row r="69" spans="12:15" x14ac:dyDescent="0.2">
      <c r="N69" s="18"/>
    </row>
    <row r="70" spans="12:15" x14ac:dyDescent="0.2">
      <c r="N70" s="18"/>
    </row>
    <row r="71" spans="12:15" x14ac:dyDescent="0.2">
      <c r="N71" s="18"/>
    </row>
    <row r="72" spans="12:15" x14ac:dyDescent="0.2">
      <c r="N72" s="18"/>
    </row>
    <row r="73" spans="12:15" x14ac:dyDescent="0.2">
      <c r="N73" s="18"/>
    </row>
    <row r="74" spans="12:15" x14ac:dyDescent="0.2">
      <c r="N74" s="18"/>
    </row>
    <row r="75" spans="12:15" x14ac:dyDescent="0.2">
      <c r="N75" s="18"/>
    </row>
    <row r="76" spans="12:15" x14ac:dyDescent="0.2">
      <c r="N76" s="18"/>
    </row>
    <row r="77" spans="12:15" x14ac:dyDescent="0.2">
      <c r="N77" s="18"/>
    </row>
    <row r="78" spans="12:15" x14ac:dyDescent="0.2">
      <c r="N78" s="18"/>
    </row>
    <row r="79" spans="12:15" x14ac:dyDescent="0.2">
      <c r="N79" s="18"/>
    </row>
    <row r="80" spans="12:15" x14ac:dyDescent="0.2">
      <c r="N80" s="18"/>
    </row>
    <row r="81" spans="14:14" x14ac:dyDescent="0.2">
      <c r="N81" s="18"/>
    </row>
    <row r="82" spans="14:14" x14ac:dyDescent="0.2">
      <c r="N82" s="18"/>
    </row>
    <row r="83" spans="14:14" x14ac:dyDescent="0.2">
      <c r="N83" s="18"/>
    </row>
    <row r="84" spans="14:14" x14ac:dyDescent="0.2">
      <c r="N84" s="18"/>
    </row>
    <row r="85" spans="14:14" x14ac:dyDescent="0.2">
      <c r="N85" s="18"/>
    </row>
    <row r="86" spans="14:14" x14ac:dyDescent="0.2">
      <c r="N86" s="18"/>
    </row>
    <row r="87" spans="14:14" x14ac:dyDescent="0.2">
      <c r="N87" s="18"/>
    </row>
    <row r="88" spans="14:14" x14ac:dyDescent="0.2">
      <c r="N88" s="18"/>
    </row>
    <row r="89" spans="14:14" x14ac:dyDescent="0.2">
      <c r="N89" s="18"/>
    </row>
    <row r="90" spans="14:14" x14ac:dyDescent="0.2">
      <c r="N90" s="18"/>
    </row>
    <row r="91" spans="14:14" x14ac:dyDescent="0.2">
      <c r="N91" s="18"/>
    </row>
    <row r="92" spans="14:14" x14ac:dyDescent="0.2">
      <c r="N92" s="18"/>
    </row>
    <row r="93" spans="14:14" x14ac:dyDescent="0.2">
      <c r="N93" s="18"/>
    </row>
    <row r="94" spans="14:14" x14ac:dyDescent="0.2">
      <c r="N94" s="18"/>
    </row>
    <row r="95" spans="14:14" x14ac:dyDescent="0.2">
      <c r="N95" s="18"/>
    </row>
    <row r="96" spans="14:14" x14ac:dyDescent="0.2">
      <c r="N96" s="18"/>
    </row>
    <row r="97" spans="14:14" x14ac:dyDescent="0.2">
      <c r="N97" s="18"/>
    </row>
    <row r="98" spans="14:14" x14ac:dyDescent="0.2">
      <c r="N98" s="18"/>
    </row>
    <row r="99" spans="14:14" x14ac:dyDescent="0.2">
      <c r="N99" s="18"/>
    </row>
    <row r="100" spans="14:14" x14ac:dyDescent="0.2">
      <c r="N100" s="18"/>
    </row>
    <row r="101" spans="14:14" x14ac:dyDescent="0.2">
      <c r="N101" s="18"/>
    </row>
    <row r="102" spans="14:14" x14ac:dyDescent="0.2">
      <c r="N102" s="18"/>
    </row>
    <row r="103" spans="14:14" x14ac:dyDescent="0.2">
      <c r="N103" s="18"/>
    </row>
    <row r="104" spans="14:14" x14ac:dyDescent="0.2">
      <c r="N104" s="18"/>
    </row>
    <row r="105" spans="14:14" x14ac:dyDescent="0.2">
      <c r="N105" s="18"/>
    </row>
    <row r="106" spans="14:14" x14ac:dyDescent="0.2">
      <c r="N106" s="18"/>
    </row>
    <row r="107" spans="14:14" x14ac:dyDescent="0.2">
      <c r="N107" s="18"/>
    </row>
    <row r="108" spans="14:14" x14ac:dyDescent="0.2">
      <c r="N108" s="18"/>
    </row>
    <row r="109" spans="14:14" x14ac:dyDescent="0.2">
      <c r="N109" s="18"/>
    </row>
    <row r="110" spans="14:14" x14ac:dyDescent="0.2">
      <c r="N110" s="18"/>
    </row>
    <row r="111" spans="14:14" x14ac:dyDescent="0.2">
      <c r="N111" s="18"/>
    </row>
    <row r="112" spans="14:14" x14ac:dyDescent="0.2">
      <c r="N112" s="18"/>
    </row>
    <row r="113" spans="14:14" x14ac:dyDescent="0.2">
      <c r="N113" s="18"/>
    </row>
    <row r="114" spans="14:14" x14ac:dyDescent="0.2">
      <c r="N114" s="18"/>
    </row>
    <row r="115" spans="14:14" x14ac:dyDescent="0.2">
      <c r="N115" s="18"/>
    </row>
    <row r="116" spans="14:14" x14ac:dyDescent="0.2">
      <c r="N116" s="18"/>
    </row>
    <row r="117" spans="14:14" x14ac:dyDescent="0.2">
      <c r="N117" s="18"/>
    </row>
    <row r="118" spans="14:14" x14ac:dyDescent="0.2">
      <c r="N118" s="18"/>
    </row>
    <row r="119" spans="14:14" x14ac:dyDescent="0.2">
      <c r="N119" s="18"/>
    </row>
    <row r="120" spans="14:14" x14ac:dyDescent="0.2">
      <c r="N120" s="18"/>
    </row>
    <row r="121" spans="14:14" x14ac:dyDescent="0.2">
      <c r="N121" s="18"/>
    </row>
    <row r="122" spans="14:14" x14ac:dyDescent="0.2">
      <c r="N122" s="18"/>
    </row>
    <row r="123" spans="14:14" x14ac:dyDescent="0.2">
      <c r="N123" s="18"/>
    </row>
    <row r="124" spans="14:14" x14ac:dyDescent="0.2">
      <c r="N124" s="18"/>
    </row>
    <row r="125" spans="14:14" x14ac:dyDescent="0.2">
      <c r="N125" s="18"/>
    </row>
    <row r="126" spans="14:14" x14ac:dyDescent="0.2">
      <c r="N126" s="18"/>
    </row>
    <row r="127" spans="14:14" x14ac:dyDescent="0.2">
      <c r="N127" s="18"/>
    </row>
    <row r="128" spans="14:14" x14ac:dyDescent="0.2">
      <c r="N128" s="18"/>
    </row>
    <row r="129" spans="14:14" x14ac:dyDescent="0.2">
      <c r="N129" s="18"/>
    </row>
    <row r="130" spans="14:14" x14ac:dyDescent="0.2">
      <c r="N130" s="18"/>
    </row>
    <row r="131" spans="14:14" x14ac:dyDescent="0.2">
      <c r="N131" s="18"/>
    </row>
    <row r="132" spans="14:14" x14ac:dyDescent="0.2">
      <c r="N132" s="18"/>
    </row>
    <row r="133" spans="14:14" x14ac:dyDescent="0.2">
      <c r="N133" s="18"/>
    </row>
    <row r="134" spans="14:14" x14ac:dyDescent="0.2">
      <c r="N134" s="18"/>
    </row>
    <row r="135" spans="14:14" x14ac:dyDescent="0.2">
      <c r="N135" s="18"/>
    </row>
    <row r="136" spans="14:14" x14ac:dyDescent="0.2">
      <c r="N136" s="18"/>
    </row>
    <row r="137" spans="14:14" x14ac:dyDescent="0.2">
      <c r="N137" s="18"/>
    </row>
    <row r="138" spans="14:14" x14ac:dyDescent="0.2">
      <c r="N138" s="18"/>
    </row>
    <row r="139" spans="14:14" x14ac:dyDescent="0.2">
      <c r="N139" s="18"/>
    </row>
    <row r="140" spans="14:14" x14ac:dyDescent="0.2">
      <c r="N140" s="18"/>
    </row>
    <row r="141" spans="14:14" x14ac:dyDescent="0.2">
      <c r="N141" s="18"/>
    </row>
    <row r="142" spans="14:14" x14ac:dyDescent="0.2">
      <c r="N142" s="18"/>
    </row>
    <row r="143" spans="14:14" x14ac:dyDescent="0.2">
      <c r="N143" s="18"/>
    </row>
    <row r="144" spans="14:14" x14ac:dyDescent="0.2">
      <c r="N144" s="18"/>
    </row>
    <row r="145" spans="14:14" x14ac:dyDescent="0.2">
      <c r="N145" s="18"/>
    </row>
    <row r="146" spans="14:14" x14ac:dyDescent="0.2">
      <c r="N146" s="18"/>
    </row>
    <row r="147" spans="14:14" x14ac:dyDescent="0.2">
      <c r="N147" s="18"/>
    </row>
    <row r="148" spans="14:14" x14ac:dyDescent="0.2">
      <c r="N148" s="18"/>
    </row>
    <row r="149" spans="14:14" x14ac:dyDescent="0.2">
      <c r="N149" s="18"/>
    </row>
    <row r="150" spans="14:14" x14ac:dyDescent="0.2">
      <c r="N150" s="18"/>
    </row>
    <row r="151" spans="14:14" x14ac:dyDescent="0.2">
      <c r="N151" s="18"/>
    </row>
    <row r="152" spans="14:14" x14ac:dyDescent="0.2">
      <c r="N152" s="18"/>
    </row>
    <row r="153" spans="14:14" x14ac:dyDescent="0.2">
      <c r="N153" s="18"/>
    </row>
    <row r="154" spans="14:14" x14ac:dyDescent="0.2">
      <c r="N154" s="18"/>
    </row>
    <row r="155" spans="14:14" x14ac:dyDescent="0.2">
      <c r="N155" s="18"/>
    </row>
    <row r="156" spans="14:14" x14ac:dyDescent="0.2">
      <c r="N156" s="18"/>
    </row>
    <row r="157" spans="14:14" x14ac:dyDescent="0.2">
      <c r="N157" s="18"/>
    </row>
    <row r="158" spans="14:14" x14ac:dyDescent="0.2">
      <c r="N158" s="18"/>
    </row>
    <row r="159" spans="14:14" x14ac:dyDescent="0.2">
      <c r="N159" s="18"/>
    </row>
    <row r="160" spans="14:14" x14ac:dyDescent="0.2">
      <c r="N160" s="18"/>
    </row>
    <row r="161" spans="14:14" x14ac:dyDescent="0.2">
      <c r="N161" s="18"/>
    </row>
    <row r="162" spans="14:14" x14ac:dyDescent="0.2">
      <c r="N162" s="18"/>
    </row>
    <row r="163" spans="14:14" x14ac:dyDescent="0.2">
      <c r="N163" s="18"/>
    </row>
    <row r="164" spans="14:14" x14ac:dyDescent="0.2">
      <c r="N164" s="18"/>
    </row>
    <row r="165" spans="14:14" x14ac:dyDescent="0.2">
      <c r="N165" s="18"/>
    </row>
    <row r="166" spans="14:14" x14ac:dyDescent="0.2">
      <c r="N166" s="18"/>
    </row>
    <row r="167" spans="14:14" x14ac:dyDescent="0.2">
      <c r="N167" s="18"/>
    </row>
    <row r="168" spans="14:14" x14ac:dyDescent="0.2">
      <c r="N168" s="18"/>
    </row>
    <row r="169" spans="14:14" x14ac:dyDescent="0.2">
      <c r="N169" s="18"/>
    </row>
    <row r="170" spans="14:14" x14ac:dyDescent="0.2">
      <c r="N170" s="18"/>
    </row>
    <row r="171" spans="14:14" x14ac:dyDescent="0.2">
      <c r="N171" s="18"/>
    </row>
    <row r="172" spans="14:14" x14ac:dyDescent="0.2">
      <c r="N172" s="18"/>
    </row>
    <row r="173" spans="14:14" x14ac:dyDescent="0.2">
      <c r="N173" s="18"/>
    </row>
    <row r="174" spans="14:14" x14ac:dyDescent="0.2">
      <c r="N174" s="18"/>
    </row>
    <row r="175" spans="14:14" x14ac:dyDescent="0.2">
      <c r="N175" s="18"/>
    </row>
    <row r="176" spans="14:14" x14ac:dyDescent="0.2">
      <c r="N176" s="18"/>
    </row>
    <row r="177" spans="14:14" x14ac:dyDescent="0.2">
      <c r="N177" s="18"/>
    </row>
    <row r="178" spans="14:14" x14ac:dyDescent="0.2">
      <c r="N178" s="18"/>
    </row>
    <row r="179" spans="14:14" x14ac:dyDescent="0.2">
      <c r="N179" s="18"/>
    </row>
    <row r="180" spans="14:14" x14ac:dyDescent="0.2">
      <c r="N180" s="18"/>
    </row>
    <row r="181" spans="14:14" x14ac:dyDescent="0.2">
      <c r="N181" s="18"/>
    </row>
    <row r="182" spans="14:14" x14ac:dyDescent="0.2">
      <c r="N182" s="18"/>
    </row>
    <row r="183" spans="14:14" x14ac:dyDescent="0.2">
      <c r="N183" s="18"/>
    </row>
    <row r="184" spans="14:14" x14ac:dyDescent="0.2">
      <c r="N184" s="18"/>
    </row>
    <row r="185" spans="14:14" x14ac:dyDescent="0.2">
      <c r="N185" s="18"/>
    </row>
    <row r="186" spans="14:14" x14ac:dyDescent="0.2">
      <c r="N186" s="18"/>
    </row>
    <row r="187" spans="14:14" x14ac:dyDescent="0.2">
      <c r="N187" s="18"/>
    </row>
    <row r="188" spans="14:14" x14ac:dyDescent="0.2">
      <c r="N188" s="18"/>
    </row>
    <row r="189" spans="14:14" x14ac:dyDescent="0.2">
      <c r="N189" s="18"/>
    </row>
    <row r="190" spans="14:14" x14ac:dyDescent="0.2">
      <c r="N190" s="18"/>
    </row>
    <row r="191" spans="14:14" x14ac:dyDescent="0.2">
      <c r="N191" s="18"/>
    </row>
    <row r="192" spans="14:14" x14ac:dyDescent="0.2">
      <c r="N192" s="18"/>
    </row>
    <row r="193" spans="14:14" x14ac:dyDescent="0.2">
      <c r="N193" s="18"/>
    </row>
    <row r="194" spans="14:14" x14ac:dyDescent="0.2">
      <c r="N194" s="18"/>
    </row>
    <row r="195" spans="14:14" x14ac:dyDescent="0.2">
      <c r="N195" s="18"/>
    </row>
    <row r="196" spans="14:14" x14ac:dyDescent="0.2">
      <c r="N196" s="18"/>
    </row>
    <row r="197" spans="14:14" x14ac:dyDescent="0.2">
      <c r="N197" s="18"/>
    </row>
    <row r="198" spans="14:14" x14ac:dyDescent="0.2">
      <c r="N198" s="18"/>
    </row>
    <row r="199" spans="14:14" x14ac:dyDescent="0.2">
      <c r="N199" s="18"/>
    </row>
    <row r="200" spans="14:14" x14ac:dyDescent="0.2">
      <c r="N200" s="18"/>
    </row>
    <row r="201" spans="14:14" x14ac:dyDescent="0.2">
      <c r="N201" s="18"/>
    </row>
    <row r="202" spans="14:14" x14ac:dyDescent="0.2">
      <c r="N202" s="18"/>
    </row>
    <row r="203" spans="14:14" x14ac:dyDescent="0.2">
      <c r="N203" s="18"/>
    </row>
    <row r="204" spans="14:14" x14ac:dyDescent="0.2">
      <c r="N204" s="18"/>
    </row>
    <row r="205" spans="14:14" x14ac:dyDescent="0.2">
      <c r="N205" s="18"/>
    </row>
    <row r="206" spans="14:14" x14ac:dyDescent="0.2">
      <c r="N206" s="18"/>
    </row>
    <row r="207" spans="14:14" x14ac:dyDescent="0.2">
      <c r="N207" s="18"/>
    </row>
    <row r="208" spans="14:14" x14ac:dyDescent="0.2">
      <c r="N208" s="18"/>
    </row>
    <row r="209" spans="14:14" x14ac:dyDescent="0.2">
      <c r="N209" s="18"/>
    </row>
    <row r="210" spans="14:14" x14ac:dyDescent="0.2">
      <c r="N210" s="18"/>
    </row>
    <row r="211" spans="14:14" x14ac:dyDescent="0.2">
      <c r="N211" s="18"/>
    </row>
    <row r="212" spans="14:14" x14ac:dyDescent="0.2">
      <c r="N212" s="18"/>
    </row>
    <row r="213" spans="14:14" x14ac:dyDescent="0.2">
      <c r="N213" s="18"/>
    </row>
    <row r="214" spans="14:14" x14ac:dyDescent="0.2">
      <c r="N214" s="18"/>
    </row>
    <row r="215" spans="14:14" x14ac:dyDescent="0.2">
      <c r="N215" s="18"/>
    </row>
    <row r="216" spans="14:14" x14ac:dyDescent="0.2">
      <c r="N216" s="18"/>
    </row>
    <row r="217" spans="14:14" x14ac:dyDescent="0.2">
      <c r="N217" s="18"/>
    </row>
    <row r="218" spans="14:14" x14ac:dyDescent="0.2">
      <c r="N218" s="18"/>
    </row>
    <row r="219" spans="14:14" x14ac:dyDescent="0.2">
      <c r="N219" s="18"/>
    </row>
    <row r="220" spans="14:14" x14ac:dyDescent="0.2">
      <c r="N220" s="18"/>
    </row>
    <row r="221" spans="14:14" x14ac:dyDescent="0.2">
      <c r="N221" s="18"/>
    </row>
    <row r="222" spans="14:14" x14ac:dyDescent="0.2">
      <c r="N222" s="18"/>
    </row>
    <row r="223" spans="14:14" x14ac:dyDescent="0.2">
      <c r="N223" s="18"/>
    </row>
    <row r="224" spans="14:14" x14ac:dyDescent="0.2">
      <c r="N224" s="18"/>
    </row>
    <row r="225" spans="14:14" x14ac:dyDescent="0.2">
      <c r="N225" s="18"/>
    </row>
    <row r="226" spans="14:14" x14ac:dyDescent="0.2">
      <c r="N226" s="18"/>
    </row>
    <row r="227" spans="14:14" x14ac:dyDescent="0.2">
      <c r="N227" s="18"/>
    </row>
    <row r="228" spans="14:14" x14ac:dyDescent="0.2">
      <c r="N228" s="18"/>
    </row>
    <row r="229" spans="14:14" x14ac:dyDescent="0.2">
      <c r="N229" s="18"/>
    </row>
    <row r="230" spans="14:14" x14ac:dyDescent="0.2">
      <c r="N230" s="18"/>
    </row>
    <row r="231" spans="14:14" x14ac:dyDescent="0.2">
      <c r="N231" s="18"/>
    </row>
    <row r="232" spans="14:14" x14ac:dyDescent="0.2">
      <c r="N232" s="18"/>
    </row>
    <row r="233" spans="14:14" x14ac:dyDescent="0.2">
      <c r="N233" s="18"/>
    </row>
    <row r="234" spans="14:14" x14ac:dyDescent="0.2">
      <c r="N234" s="18"/>
    </row>
    <row r="235" spans="14:14" x14ac:dyDescent="0.2">
      <c r="N235" s="18"/>
    </row>
    <row r="236" spans="14:14" x14ac:dyDescent="0.2">
      <c r="N236" s="18"/>
    </row>
    <row r="237" spans="14:14" x14ac:dyDescent="0.2">
      <c r="N237" s="18"/>
    </row>
    <row r="238" spans="14:14" x14ac:dyDescent="0.2">
      <c r="N238" s="18"/>
    </row>
    <row r="239" spans="14:14" x14ac:dyDescent="0.2">
      <c r="N239" s="18"/>
    </row>
    <row r="240" spans="14:14" x14ac:dyDescent="0.2">
      <c r="N240" s="18"/>
    </row>
    <row r="241" spans="14:14" x14ac:dyDescent="0.2">
      <c r="N241" s="18"/>
    </row>
    <row r="242" spans="14:14" x14ac:dyDescent="0.2">
      <c r="N242" s="18"/>
    </row>
    <row r="243" spans="14:14" x14ac:dyDescent="0.2">
      <c r="N243" s="18"/>
    </row>
    <row r="244" spans="14:14" x14ac:dyDescent="0.2">
      <c r="N244" s="18"/>
    </row>
    <row r="245" spans="14:14" x14ac:dyDescent="0.2">
      <c r="N245" s="18"/>
    </row>
    <row r="246" spans="14:14" x14ac:dyDescent="0.2">
      <c r="N246" s="18"/>
    </row>
    <row r="247" spans="14:14" x14ac:dyDescent="0.2">
      <c r="N247" s="18"/>
    </row>
    <row r="248" spans="14:14" x14ac:dyDescent="0.2">
      <c r="N248" s="18"/>
    </row>
    <row r="249" spans="14:14" x14ac:dyDescent="0.2">
      <c r="N249" s="18"/>
    </row>
    <row r="250" spans="14:14" x14ac:dyDescent="0.2">
      <c r="N250" s="18"/>
    </row>
    <row r="251" spans="14:14" x14ac:dyDescent="0.2">
      <c r="N251" s="18"/>
    </row>
    <row r="252" spans="14:14" x14ac:dyDescent="0.2">
      <c r="N252" s="18"/>
    </row>
    <row r="253" spans="14:14" x14ac:dyDescent="0.2">
      <c r="N253" s="18"/>
    </row>
    <row r="254" spans="14:14" x14ac:dyDescent="0.2">
      <c r="N254" s="18"/>
    </row>
    <row r="255" spans="14:14" x14ac:dyDescent="0.2">
      <c r="N255" s="18"/>
    </row>
    <row r="256" spans="14:14" x14ac:dyDescent="0.2">
      <c r="N256" s="18"/>
    </row>
    <row r="257" spans="14:14" x14ac:dyDescent="0.2">
      <c r="N257" s="18"/>
    </row>
    <row r="258" spans="14:14" x14ac:dyDescent="0.2">
      <c r="N258" s="18"/>
    </row>
    <row r="259" spans="14:14" x14ac:dyDescent="0.2">
      <c r="N259" s="18"/>
    </row>
    <row r="260" spans="14:14" x14ac:dyDescent="0.2">
      <c r="N260" s="18"/>
    </row>
    <row r="261" spans="14:14" x14ac:dyDescent="0.2">
      <c r="N261" s="18"/>
    </row>
    <row r="262" spans="14:14" x14ac:dyDescent="0.2">
      <c r="N262" s="18"/>
    </row>
    <row r="263" spans="14:14" x14ac:dyDescent="0.2">
      <c r="N263" s="18"/>
    </row>
    <row r="264" spans="14:14" x14ac:dyDescent="0.2">
      <c r="N264" s="18"/>
    </row>
    <row r="265" spans="14:14" x14ac:dyDescent="0.2">
      <c r="N265" s="18"/>
    </row>
    <row r="266" spans="14:14" x14ac:dyDescent="0.2">
      <c r="N266" s="18"/>
    </row>
    <row r="267" spans="14:14" x14ac:dyDescent="0.2">
      <c r="N267" s="18"/>
    </row>
    <row r="268" spans="14:14" x14ac:dyDescent="0.2">
      <c r="N268" s="18"/>
    </row>
    <row r="269" spans="14:14" x14ac:dyDescent="0.2">
      <c r="N269" s="18"/>
    </row>
    <row r="270" spans="14:14" x14ac:dyDescent="0.2">
      <c r="N270" s="18"/>
    </row>
    <row r="271" spans="14:14" x14ac:dyDescent="0.2">
      <c r="N271" s="18"/>
    </row>
    <row r="272" spans="14:14" x14ac:dyDescent="0.2">
      <c r="N272" s="18"/>
    </row>
    <row r="273" spans="14:14" x14ac:dyDescent="0.2">
      <c r="N273" s="18"/>
    </row>
    <row r="274" spans="14:14" x14ac:dyDescent="0.2">
      <c r="N274" s="18"/>
    </row>
    <row r="275" spans="14:14" x14ac:dyDescent="0.2">
      <c r="N275" s="18"/>
    </row>
    <row r="276" spans="14:14" x14ac:dyDescent="0.2">
      <c r="N276" s="18"/>
    </row>
    <row r="277" spans="14:14" x14ac:dyDescent="0.2">
      <c r="N277" s="18"/>
    </row>
    <row r="278" spans="14:14" x14ac:dyDescent="0.2">
      <c r="N278" s="18"/>
    </row>
    <row r="279" spans="14:14" x14ac:dyDescent="0.2">
      <c r="N279" s="18"/>
    </row>
    <row r="280" spans="14:14" x14ac:dyDescent="0.2">
      <c r="N280" s="18"/>
    </row>
    <row r="281" spans="14:14" x14ac:dyDescent="0.2">
      <c r="N281" s="18"/>
    </row>
    <row r="282" spans="14:14" x14ac:dyDescent="0.2">
      <c r="N282" s="18"/>
    </row>
    <row r="283" spans="14:14" x14ac:dyDescent="0.2">
      <c r="N283" s="18"/>
    </row>
    <row r="284" spans="14:14" x14ac:dyDescent="0.2">
      <c r="N284" s="18"/>
    </row>
    <row r="285" spans="14:14" x14ac:dyDescent="0.2">
      <c r="N285" s="18"/>
    </row>
    <row r="286" spans="14:14" x14ac:dyDescent="0.2">
      <c r="N286" s="18"/>
    </row>
    <row r="287" spans="14:14" x14ac:dyDescent="0.2">
      <c r="N287" s="18"/>
    </row>
    <row r="288" spans="14:14" x14ac:dyDescent="0.2">
      <c r="N288" s="18"/>
    </row>
    <row r="289" spans="14:14" x14ac:dyDescent="0.2">
      <c r="N289" s="18"/>
    </row>
    <row r="290" spans="14:14" x14ac:dyDescent="0.2">
      <c r="N290" s="18"/>
    </row>
    <row r="291" spans="14:14" x14ac:dyDescent="0.2">
      <c r="N291" s="18"/>
    </row>
    <row r="292" spans="14:14" x14ac:dyDescent="0.2">
      <c r="N292" s="18"/>
    </row>
    <row r="293" spans="14:14" x14ac:dyDescent="0.2">
      <c r="N293" s="18"/>
    </row>
    <row r="294" spans="14:14" x14ac:dyDescent="0.2">
      <c r="N294" s="18"/>
    </row>
    <row r="295" spans="14:14" x14ac:dyDescent="0.2">
      <c r="N295" s="18"/>
    </row>
    <row r="296" spans="14:14" x14ac:dyDescent="0.2">
      <c r="N296" s="18"/>
    </row>
    <row r="297" spans="14:14" x14ac:dyDescent="0.2">
      <c r="N297" s="18"/>
    </row>
    <row r="298" spans="14:14" x14ac:dyDescent="0.2">
      <c r="N298" s="18"/>
    </row>
    <row r="299" spans="14:14" x14ac:dyDescent="0.2">
      <c r="N299" s="18"/>
    </row>
    <row r="300" spans="14:14" x14ac:dyDescent="0.2">
      <c r="N300" s="18"/>
    </row>
    <row r="301" spans="14:14" x14ac:dyDescent="0.2">
      <c r="N301" s="18"/>
    </row>
    <row r="302" spans="14:14" x14ac:dyDescent="0.2">
      <c r="N302" s="18"/>
    </row>
    <row r="303" spans="14:14" x14ac:dyDescent="0.2">
      <c r="N303" s="18"/>
    </row>
    <row r="304" spans="14:14" x14ac:dyDescent="0.2">
      <c r="N304" s="18"/>
    </row>
    <row r="305" spans="14:14" x14ac:dyDescent="0.2">
      <c r="N305" s="18"/>
    </row>
    <row r="306" spans="14:14" x14ac:dyDescent="0.2">
      <c r="N306" s="18"/>
    </row>
    <row r="307" spans="14:14" x14ac:dyDescent="0.2">
      <c r="N307" s="18"/>
    </row>
    <row r="308" spans="14:14" x14ac:dyDescent="0.2">
      <c r="N308" s="18"/>
    </row>
    <row r="309" spans="14:14" x14ac:dyDescent="0.2">
      <c r="N309" s="18"/>
    </row>
    <row r="310" spans="14:14" x14ac:dyDescent="0.2">
      <c r="N310" s="18"/>
    </row>
    <row r="311" spans="14:14" x14ac:dyDescent="0.2">
      <c r="N311" s="18"/>
    </row>
    <row r="312" spans="14:14" x14ac:dyDescent="0.2">
      <c r="N312" s="18"/>
    </row>
    <row r="313" spans="14:14" x14ac:dyDescent="0.2">
      <c r="N313" s="18"/>
    </row>
    <row r="314" spans="14:14" x14ac:dyDescent="0.2">
      <c r="N314" s="18"/>
    </row>
    <row r="315" spans="14:14" x14ac:dyDescent="0.2">
      <c r="N315" s="18"/>
    </row>
    <row r="316" spans="14:14" x14ac:dyDescent="0.2">
      <c r="N316" s="18"/>
    </row>
    <row r="317" spans="14:14" x14ac:dyDescent="0.2">
      <c r="N317" s="18"/>
    </row>
    <row r="318" spans="14:14" x14ac:dyDescent="0.2">
      <c r="N318" s="18"/>
    </row>
    <row r="319" spans="14:14" x14ac:dyDescent="0.2">
      <c r="N319" s="18"/>
    </row>
    <row r="320" spans="14:14" x14ac:dyDescent="0.2">
      <c r="N320" s="18"/>
    </row>
    <row r="321" spans="14:14" x14ac:dyDescent="0.2">
      <c r="N321" s="18"/>
    </row>
    <row r="322" spans="14:14" x14ac:dyDescent="0.2">
      <c r="N322" s="18"/>
    </row>
    <row r="323" spans="14:14" x14ac:dyDescent="0.2">
      <c r="N323" s="18"/>
    </row>
    <row r="324" spans="14:14" x14ac:dyDescent="0.2">
      <c r="N324" s="18"/>
    </row>
    <row r="325" spans="14:14" x14ac:dyDescent="0.2">
      <c r="N325" s="18"/>
    </row>
    <row r="326" spans="14:14" x14ac:dyDescent="0.2">
      <c r="N326" s="18"/>
    </row>
    <row r="327" spans="14:14" x14ac:dyDescent="0.2">
      <c r="N327" s="18"/>
    </row>
    <row r="328" spans="14:14" x14ac:dyDescent="0.2">
      <c r="N328" s="18"/>
    </row>
    <row r="329" spans="14:14" x14ac:dyDescent="0.2">
      <c r="N329" s="18"/>
    </row>
    <row r="330" spans="14:14" x14ac:dyDescent="0.2">
      <c r="N330" s="18"/>
    </row>
    <row r="331" spans="14:14" x14ac:dyDescent="0.2">
      <c r="N331" s="18"/>
    </row>
    <row r="332" spans="14:14" x14ac:dyDescent="0.2">
      <c r="N332" s="18"/>
    </row>
    <row r="333" spans="14:14" x14ac:dyDescent="0.2">
      <c r="N333" s="18"/>
    </row>
    <row r="334" spans="14:14" x14ac:dyDescent="0.2">
      <c r="N334" s="18"/>
    </row>
    <row r="335" spans="14:14" x14ac:dyDescent="0.2">
      <c r="N335" s="18"/>
    </row>
    <row r="336" spans="14:14" x14ac:dyDescent="0.2">
      <c r="N336" s="18"/>
    </row>
    <row r="337" spans="14:14" x14ac:dyDescent="0.2">
      <c r="N337" s="18"/>
    </row>
    <row r="338" spans="14:14" x14ac:dyDescent="0.2">
      <c r="N338" s="18"/>
    </row>
    <row r="339" spans="14:14" x14ac:dyDescent="0.2">
      <c r="N339" s="18"/>
    </row>
    <row r="340" spans="14:14" x14ac:dyDescent="0.2">
      <c r="N340" s="18"/>
    </row>
    <row r="341" spans="14:14" x14ac:dyDescent="0.2">
      <c r="N341" s="18"/>
    </row>
    <row r="342" spans="14:14" x14ac:dyDescent="0.2">
      <c r="N342" s="18"/>
    </row>
    <row r="343" spans="14:14" x14ac:dyDescent="0.2">
      <c r="N343" s="18"/>
    </row>
    <row r="344" spans="14:14" x14ac:dyDescent="0.2">
      <c r="N344" s="18"/>
    </row>
    <row r="345" spans="14:14" x14ac:dyDescent="0.2">
      <c r="N345" s="18"/>
    </row>
    <row r="346" spans="14:14" x14ac:dyDescent="0.2">
      <c r="N346" s="18"/>
    </row>
    <row r="347" spans="14:14" x14ac:dyDescent="0.2">
      <c r="N347" s="18"/>
    </row>
    <row r="348" spans="14:14" x14ac:dyDescent="0.2">
      <c r="N348" s="18"/>
    </row>
    <row r="349" spans="14:14" x14ac:dyDescent="0.2">
      <c r="N349" s="18"/>
    </row>
    <row r="350" spans="14:14" x14ac:dyDescent="0.2">
      <c r="N350" s="18"/>
    </row>
    <row r="351" spans="14:14" x14ac:dyDescent="0.2">
      <c r="N351" s="18"/>
    </row>
    <row r="352" spans="14:14" x14ac:dyDescent="0.2">
      <c r="N352" s="18"/>
    </row>
    <row r="353" spans="14:14" x14ac:dyDescent="0.2">
      <c r="N353" s="18"/>
    </row>
    <row r="354" spans="14:14" x14ac:dyDescent="0.2">
      <c r="N354" s="18"/>
    </row>
    <row r="355" spans="14:14" x14ac:dyDescent="0.2">
      <c r="N355" s="18"/>
    </row>
    <row r="356" spans="14:14" x14ac:dyDescent="0.2">
      <c r="N356" s="18"/>
    </row>
    <row r="357" spans="14:14" x14ac:dyDescent="0.2">
      <c r="N357" s="18"/>
    </row>
    <row r="358" spans="14:14" x14ac:dyDescent="0.2">
      <c r="N358" s="18"/>
    </row>
    <row r="359" spans="14:14" x14ac:dyDescent="0.2">
      <c r="N359" s="18"/>
    </row>
    <row r="360" spans="14:14" x14ac:dyDescent="0.2">
      <c r="N360" s="18"/>
    </row>
    <row r="361" spans="14:14" x14ac:dyDescent="0.2">
      <c r="N361" s="18"/>
    </row>
    <row r="362" spans="14:14" x14ac:dyDescent="0.2">
      <c r="N362" s="18"/>
    </row>
    <row r="363" spans="14:14" x14ac:dyDescent="0.2">
      <c r="N363" s="18"/>
    </row>
    <row r="364" spans="14:14" x14ac:dyDescent="0.2">
      <c r="N364" s="18"/>
    </row>
    <row r="365" spans="14:14" x14ac:dyDescent="0.2">
      <c r="N365" s="18"/>
    </row>
    <row r="366" spans="14:14" x14ac:dyDescent="0.2">
      <c r="N366" s="18"/>
    </row>
    <row r="367" spans="14:14" x14ac:dyDescent="0.2">
      <c r="N367" s="18"/>
    </row>
    <row r="368" spans="14:14" x14ac:dyDescent="0.2">
      <c r="N368" s="18"/>
    </row>
    <row r="369" spans="14:14" x14ac:dyDescent="0.2">
      <c r="N369" s="18"/>
    </row>
    <row r="370" spans="14:14" x14ac:dyDescent="0.2">
      <c r="N370" s="18"/>
    </row>
    <row r="371" spans="14:14" x14ac:dyDescent="0.2">
      <c r="N371" s="18"/>
    </row>
    <row r="372" spans="14:14" x14ac:dyDescent="0.2">
      <c r="N372" s="18"/>
    </row>
    <row r="373" spans="14:14" x14ac:dyDescent="0.2">
      <c r="N373" s="18"/>
    </row>
    <row r="374" spans="14:14" x14ac:dyDescent="0.2">
      <c r="N374" s="18"/>
    </row>
    <row r="375" spans="14:14" x14ac:dyDescent="0.2">
      <c r="N375" s="18"/>
    </row>
    <row r="376" spans="14:14" x14ac:dyDescent="0.2">
      <c r="N376" s="18"/>
    </row>
    <row r="377" spans="14:14" x14ac:dyDescent="0.2">
      <c r="N377" s="18"/>
    </row>
    <row r="378" spans="14:14" x14ac:dyDescent="0.2">
      <c r="N378" s="18"/>
    </row>
    <row r="379" spans="14:14" x14ac:dyDescent="0.2">
      <c r="N379" s="18"/>
    </row>
    <row r="380" spans="14:14" x14ac:dyDescent="0.2">
      <c r="N380" s="18"/>
    </row>
    <row r="381" spans="14:14" x14ac:dyDescent="0.2">
      <c r="N381" s="18"/>
    </row>
    <row r="382" spans="14:14" x14ac:dyDescent="0.2">
      <c r="N382" s="18"/>
    </row>
    <row r="383" spans="14:14" x14ac:dyDescent="0.2">
      <c r="N383" s="18"/>
    </row>
    <row r="384" spans="14:14" x14ac:dyDescent="0.2">
      <c r="N384" s="18"/>
    </row>
    <row r="385" spans="14:14" x14ac:dyDescent="0.2">
      <c r="N385" s="18"/>
    </row>
    <row r="386" spans="14:14" x14ac:dyDescent="0.2">
      <c r="N386" s="18"/>
    </row>
    <row r="387" spans="14:14" x14ac:dyDescent="0.2">
      <c r="N387" s="18"/>
    </row>
    <row r="388" spans="14:14" x14ac:dyDescent="0.2">
      <c r="N388" s="18"/>
    </row>
    <row r="389" spans="14:14" x14ac:dyDescent="0.2">
      <c r="N389" s="18"/>
    </row>
    <row r="390" spans="14:14" x14ac:dyDescent="0.2">
      <c r="N390" s="18"/>
    </row>
    <row r="391" spans="14:14" x14ac:dyDescent="0.2">
      <c r="N391" s="18"/>
    </row>
    <row r="392" spans="14:14" x14ac:dyDescent="0.2">
      <c r="N392" s="18"/>
    </row>
    <row r="393" spans="14:14" x14ac:dyDescent="0.2">
      <c r="N393" s="18"/>
    </row>
    <row r="394" spans="14:14" x14ac:dyDescent="0.2">
      <c r="N394" s="18"/>
    </row>
    <row r="395" spans="14:14" x14ac:dyDescent="0.2">
      <c r="N395" s="18"/>
    </row>
    <row r="396" spans="14:14" x14ac:dyDescent="0.2">
      <c r="N396" s="18"/>
    </row>
    <row r="397" spans="14:14" x14ac:dyDescent="0.2">
      <c r="N397" s="18"/>
    </row>
    <row r="398" spans="14:14" x14ac:dyDescent="0.2">
      <c r="N398" s="18"/>
    </row>
    <row r="399" spans="14:14" x14ac:dyDescent="0.2">
      <c r="N399" s="18"/>
    </row>
    <row r="400" spans="14:14" x14ac:dyDescent="0.2">
      <c r="N400" s="18"/>
    </row>
    <row r="401" spans="14:14" x14ac:dyDescent="0.2">
      <c r="N401" s="18"/>
    </row>
    <row r="402" spans="14:14" x14ac:dyDescent="0.2">
      <c r="N402" s="18"/>
    </row>
    <row r="403" spans="14:14" x14ac:dyDescent="0.2">
      <c r="N403" s="18"/>
    </row>
    <row r="404" spans="14:14" x14ac:dyDescent="0.2">
      <c r="N404" s="18"/>
    </row>
    <row r="405" spans="14:14" x14ac:dyDescent="0.2">
      <c r="N405" s="18"/>
    </row>
    <row r="406" spans="14:14" x14ac:dyDescent="0.2">
      <c r="N406" s="18"/>
    </row>
    <row r="407" spans="14:14" x14ac:dyDescent="0.2">
      <c r="N407" s="18"/>
    </row>
    <row r="408" spans="14:14" x14ac:dyDescent="0.2">
      <c r="N408" s="18"/>
    </row>
    <row r="409" spans="14:14" x14ac:dyDescent="0.2">
      <c r="N409" s="18"/>
    </row>
    <row r="410" spans="14:14" x14ac:dyDescent="0.2">
      <c r="N410" s="18"/>
    </row>
    <row r="411" spans="14:14" x14ac:dyDescent="0.2">
      <c r="N411" s="18"/>
    </row>
    <row r="412" spans="14:14" x14ac:dyDescent="0.2">
      <c r="N412" s="18"/>
    </row>
    <row r="413" spans="14:14" x14ac:dyDescent="0.2">
      <c r="N413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="110" zoomScaleNormal="110" zoomScaleSheetLayoutView="110" workbookViewId="0">
      <pane ySplit="1" topLeftCell="A2" activePane="bottomLeft" state="frozen"/>
      <selection pane="bottomLeft" activeCell="B29" sqref="B29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44620</v>
      </c>
      <c r="B2" s="40">
        <v>300</v>
      </c>
      <c r="C2" s="146">
        <v>19364</v>
      </c>
      <c r="D2" s="40"/>
      <c r="E2" s="147">
        <v>29954894</v>
      </c>
      <c r="F2" s="40"/>
      <c r="G2" s="148">
        <v>95625099</v>
      </c>
      <c r="H2" s="40"/>
      <c r="I2" s="149">
        <f t="shared" ref="I2" si="0">F2+H2</f>
        <v>0</v>
      </c>
      <c r="J2" s="147">
        <v>9508424</v>
      </c>
      <c r="K2" s="40"/>
      <c r="L2" s="150">
        <v>9536541</v>
      </c>
      <c r="M2" s="40"/>
      <c r="N2" s="147">
        <v>6361994</v>
      </c>
      <c r="O2" s="40"/>
      <c r="P2" s="150">
        <v>5933917</v>
      </c>
      <c r="Q2" s="40"/>
      <c r="R2" s="147">
        <v>20312853</v>
      </c>
      <c r="S2" s="40"/>
      <c r="T2" s="147">
        <v>0</v>
      </c>
      <c r="U2" s="151"/>
      <c r="V2" s="147">
        <v>8212115</v>
      </c>
      <c r="W2" s="40"/>
      <c r="X2" s="20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44621</v>
      </c>
      <c r="B3" s="40">
        <v>302</v>
      </c>
      <c r="C3" s="146">
        <v>19366</v>
      </c>
      <c r="D3" s="40">
        <f>IF((C3-C2)&lt;0,"0",(C3-C2))*160</f>
        <v>320</v>
      </c>
      <c r="E3" s="147">
        <v>29968110</v>
      </c>
      <c r="F3" s="40">
        <f>IF((E3-E2)&lt;0,"0",(E3-E2))</f>
        <v>13216</v>
      </c>
      <c r="G3" s="148">
        <v>95666644</v>
      </c>
      <c r="H3" s="40">
        <f>IF((G3-G2)&lt;0,"0",(G3-G2))</f>
        <v>41545</v>
      </c>
      <c r="I3" s="20">
        <f>F3+H3</f>
        <v>54761</v>
      </c>
      <c r="J3" s="147">
        <v>9513076</v>
      </c>
      <c r="K3" s="40">
        <f>(IF((J3-J2)&lt;L88,"0",(J3-J2)))*2</f>
        <v>9304</v>
      </c>
      <c r="L3" s="150">
        <v>9542916</v>
      </c>
      <c r="M3" s="40">
        <f>IF((L3-L2)&lt;0,"0",(L3-L2))</f>
        <v>6375</v>
      </c>
      <c r="N3" s="147">
        <v>6365344</v>
      </c>
      <c r="O3" s="40">
        <f>(IF((N3-N2)&lt;P88,"0",(N3-N2)))*2</f>
        <v>6700</v>
      </c>
      <c r="P3" s="150">
        <v>5936230</v>
      </c>
      <c r="Q3" s="40">
        <f>IF((P3-P2)&lt;0,"0",(P3-P2))</f>
        <v>2313</v>
      </c>
      <c r="R3" s="147">
        <v>20323401</v>
      </c>
      <c r="S3" s="40">
        <f>IF((R3-R2)&lt;0,"0",(R3-R2))</f>
        <v>10548</v>
      </c>
      <c r="T3" s="147">
        <v>0</v>
      </c>
      <c r="U3" s="151"/>
      <c r="V3" s="147">
        <v>8222750</v>
      </c>
      <c r="W3" s="40">
        <f>IF((V3-V2)&lt;0,"0",(V3-V2))</f>
        <v>10635</v>
      </c>
      <c r="X3" s="20">
        <f>K3+M3+O3+Q3+S3+U3+W3</f>
        <v>45875</v>
      </c>
      <c r="Y3" s="152">
        <f>I3-X3</f>
        <v>8886</v>
      </c>
      <c r="Z3" s="3">
        <f>(0.93352*(W3+S3)+0.5568*(Q3+O3))*0.26</f>
        <v>6446.2300655999998</v>
      </c>
      <c r="AA3" s="3">
        <f>SUM(Z1:Z3)</f>
        <v>6446.2300655999998</v>
      </c>
    </row>
    <row r="4" spans="1:27" ht="16.5" thickBot="1" x14ac:dyDescent="0.3">
      <c r="A4" s="9">
        <v>44622</v>
      </c>
      <c r="B4" s="40">
        <v>300</v>
      </c>
      <c r="C4" s="146">
        <v>19369</v>
      </c>
      <c r="D4" s="40">
        <f t="shared" ref="D4:D30" si="4">IF((C4-C3)&lt;0,"0",(C4-C3))*160</f>
        <v>480</v>
      </c>
      <c r="E4" s="147">
        <v>29984541</v>
      </c>
      <c r="F4" s="40">
        <f t="shared" ref="F4:F30" si="5">IF((E4-E3)&lt;0,"0",(E4-E3))</f>
        <v>16431</v>
      </c>
      <c r="G4" s="148">
        <v>95709094</v>
      </c>
      <c r="H4" s="40">
        <f t="shared" ref="H4:H30" si="6">IF((G4-G3)&lt;0,"0",(G4-G3))</f>
        <v>42450</v>
      </c>
      <c r="I4" s="149">
        <f t="shared" ref="I4:I30" si="7">F4+H4</f>
        <v>58881</v>
      </c>
      <c r="J4" s="147">
        <v>9517943</v>
      </c>
      <c r="K4" s="40">
        <f>(IF((J4-J3)&lt;L90,"0",(J4-J3)))*2</f>
        <v>9734</v>
      </c>
      <c r="L4" s="150">
        <v>9549794</v>
      </c>
      <c r="M4" s="40">
        <f t="shared" ref="M4:M30" si="8">IF((L4-L3)&lt;0,"0",(L4-L3))</f>
        <v>6878</v>
      </c>
      <c r="N4" s="147">
        <v>6370037</v>
      </c>
      <c r="O4" s="40">
        <f>(IF((N4-N3)&lt;P90,"0",(N4-N3)))*2</f>
        <v>9386</v>
      </c>
      <c r="P4" s="150">
        <v>5939085</v>
      </c>
      <c r="Q4" s="40">
        <f t="shared" ref="Q4:Q30" si="9">IF((P4-P3)&lt;0,"0",(P4-P3))</f>
        <v>2855</v>
      </c>
      <c r="R4" s="147">
        <v>20334192</v>
      </c>
      <c r="S4" s="40">
        <f t="shared" ref="S4:S30" si="10">IF((R4-R3)&lt;0,"0",(R4-R3))</f>
        <v>10791</v>
      </c>
      <c r="T4" s="147">
        <v>0</v>
      </c>
      <c r="U4" s="151"/>
      <c r="V4" s="147">
        <v>8234075</v>
      </c>
      <c r="W4" s="40">
        <f t="shared" ref="W4:W30" si="11">IF((V4-V3)&lt;0,"0",(V4-V3))</f>
        <v>11325</v>
      </c>
      <c r="X4" s="20">
        <f t="shared" ref="X4:X30" si="12">K4+M4+O4+Q4+S4+U4+W4</f>
        <v>50969</v>
      </c>
      <c r="Y4" s="152">
        <f t="shared" ref="Y4:Y30" si="13">I4-X4</f>
        <v>7912</v>
      </c>
      <c r="Z4" s="3">
        <f t="shared" ref="Z4:Z30" si="14">(0.93352*(W4+S4)+0.5568*(Q4+O4))*0.26</f>
        <v>7139.9944512000002</v>
      </c>
      <c r="AA4" s="3">
        <f>SUM(Z2:Z4)</f>
        <v>13586.224516800001</v>
      </c>
    </row>
    <row r="5" spans="1:27" ht="16.5" thickBot="1" x14ac:dyDescent="0.3">
      <c r="A5" s="9">
        <v>44623</v>
      </c>
      <c r="B5" s="40">
        <v>313</v>
      </c>
      <c r="C5" s="146">
        <v>19372</v>
      </c>
      <c r="D5" s="40">
        <f t="shared" si="4"/>
        <v>480</v>
      </c>
      <c r="E5" s="147">
        <v>29995179</v>
      </c>
      <c r="F5" s="40">
        <f t="shared" si="5"/>
        <v>10638</v>
      </c>
      <c r="G5" s="148">
        <v>95739849</v>
      </c>
      <c r="H5" s="40">
        <f t="shared" si="6"/>
        <v>30755</v>
      </c>
      <c r="I5" s="149">
        <f t="shared" si="7"/>
        <v>41393</v>
      </c>
      <c r="J5" s="147">
        <v>9521610</v>
      </c>
      <c r="K5" s="40">
        <f t="shared" ref="K5:K30" si="15">(IF((J5-J4)&lt;0,"0",(J5-J4)))*2</f>
        <v>7334</v>
      </c>
      <c r="L5" s="150">
        <v>9554941</v>
      </c>
      <c r="M5" s="40">
        <f t="shared" si="8"/>
        <v>5147</v>
      </c>
      <c r="N5" s="147">
        <v>6372715</v>
      </c>
      <c r="O5" s="40">
        <f t="shared" ref="O5:O30" si="16">(IF((N5-N4)&lt;0,"0",(N5-N4)))*2</f>
        <v>5356</v>
      </c>
      <c r="P5" s="150">
        <v>5940946</v>
      </c>
      <c r="Q5" s="40">
        <f t="shared" si="9"/>
        <v>1861</v>
      </c>
      <c r="R5" s="147">
        <v>20341682</v>
      </c>
      <c r="S5" s="40">
        <f t="shared" si="10"/>
        <v>7490</v>
      </c>
      <c r="T5" s="147">
        <v>0</v>
      </c>
      <c r="U5" s="151"/>
      <c r="V5" s="147">
        <v>8242479</v>
      </c>
      <c r="W5" s="40">
        <f t="shared" si="11"/>
        <v>8404</v>
      </c>
      <c r="X5" s="20">
        <f t="shared" si="12"/>
        <v>35592</v>
      </c>
      <c r="Y5" s="152">
        <f t="shared" si="13"/>
        <v>5801</v>
      </c>
      <c r="Z5" s="3">
        <f t="shared" si="14"/>
        <v>4902.5060448000004</v>
      </c>
      <c r="AA5" s="3">
        <f>SUM(Z3:Z5)</f>
        <v>18488.730561600001</v>
      </c>
    </row>
    <row r="6" spans="1:27" ht="16.5" thickBot="1" x14ac:dyDescent="0.3">
      <c r="A6" s="9">
        <v>44624</v>
      </c>
      <c r="B6" s="40">
        <v>291</v>
      </c>
      <c r="C6" s="146">
        <v>19375</v>
      </c>
      <c r="D6" s="40">
        <f t="shared" si="4"/>
        <v>480</v>
      </c>
      <c r="E6" s="147">
        <v>30008029</v>
      </c>
      <c r="F6" s="40">
        <f t="shared" si="5"/>
        <v>12850</v>
      </c>
      <c r="G6" s="148">
        <v>95780007</v>
      </c>
      <c r="H6" s="40">
        <f t="shared" si="6"/>
        <v>40158</v>
      </c>
      <c r="I6" s="149">
        <f t="shared" si="7"/>
        <v>53008</v>
      </c>
      <c r="J6" s="147">
        <v>9525648</v>
      </c>
      <c r="K6" s="40">
        <f t="shared" si="15"/>
        <v>8076</v>
      </c>
      <c r="L6" s="150">
        <v>9561057</v>
      </c>
      <c r="M6" s="40">
        <f t="shared" si="8"/>
        <v>6116</v>
      </c>
      <c r="N6" s="147">
        <v>6375988</v>
      </c>
      <c r="O6" s="40">
        <f t="shared" si="16"/>
        <v>6546</v>
      </c>
      <c r="P6" s="150">
        <v>5943382</v>
      </c>
      <c r="Q6" s="40">
        <f t="shared" si="9"/>
        <v>2436</v>
      </c>
      <c r="R6" s="147">
        <v>20351608</v>
      </c>
      <c r="S6" s="40">
        <f t="shared" si="10"/>
        <v>9926</v>
      </c>
      <c r="T6" s="147">
        <v>0</v>
      </c>
      <c r="U6" s="151"/>
      <c r="V6" s="147">
        <v>8253715</v>
      </c>
      <c r="W6" s="40">
        <f t="shared" si="11"/>
        <v>11236</v>
      </c>
      <c r="X6" s="20">
        <f t="shared" si="12"/>
        <v>44336</v>
      </c>
      <c r="Y6" s="152">
        <f t="shared" si="13"/>
        <v>8672</v>
      </c>
      <c r="Z6" s="3">
        <f t="shared" si="14"/>
        <v>6436.6452383999995</v>
      </c>
      <c r="AA6" s="3">
        <f>SUM(Z4:Z6)</f>
        <v>18479.145734400001</v>
      </c>
    </row>
    <row r="7" spans="1:27" ht="16.5" thickBot="1" x14ac:dyDescent="0.3">
      <c r="A7" s="9">
        <v>44625</v>
      </c>
      <c r="B7" s="40">
        <v>308</v>
      </c>
      <c r="C7" s="146">
        <v>19377</v>
      </c>
      <c r="D7" s="40">
        <f t="shared" si="4"/>
        <v>320</v>
      </c>
      <c r="E7" s="147">
        <v>30021360</v>
      </c>
      <c r="F7" s="40">
        <f t="shared" si="5"/>
        <v>13331</v>
      </c>
      <c r="G7" s="148">
        <v>95821834</v>
      </c>
      <c r="H7" s="40">
        <f t="shared" si="6"/>
        <v>41827</v>
      </c>
      <c r="I7" s="149">
        <f t="shared" si="7"/>
        <v>55158</v>
      </c>
      <c r="J7" s="147">
        <v>9530176</v>
      </c>
      <c r="K7" s="40">
        <f t="shared" si="15"/>
        <v>9056</v>
      </c>
      <c r="L7" s="150">
        <v>9567196</v>
      </c>
      <c r="M7" s="40">
        <f t="shared" si="8"/>
        <v>6139</v>
      </c>
      <c r="N7" s="147">
        <v>6379520</v>
      </c>
      <c r="O7" s="40">
        <f t="shared" si="16"/>
        <v>7064</v>
      </c>
      <c r="P7" s="150">
        <v>5945826</v>
      </c>
      <c r="Q7" s="40">
        <f t="shared" si="9"/>
        <v>2444</v>
      </c>
      <c r="R7" s="147">
        <v>20361952</v>
      </c>
      <c r="S7" s="40">
        <f t="shared" si="10"/>
        <v>10344</v>
      </c>
      <c r="T7" s="147">
        <v>0</v>
      </c>
      <c r="U7" s="151"/>
      <c r="V7" s="147">
        <v>8265379</v>
      </c>
      <c r="W7" s="40">
        <f t="shared" si="11"/>
        <v>11664</v>
      </c>
      <c r="X7" s="20">
        <f t="shared" si="12"/>
        <v>46711</v>
      </c>
      <c r="Y7" s="152">
        <f t="shared" si="13"/>
        <v>8447</v>
      </c>
      <c r="Z7" s="3">
        <f t="shared" si="14"/>
        <v>6718.1302655999998</v>
      </c>
      <c r="AA7" s="3">
        <f t="shared" ref="AA7:AA30" si="17">SUM(Z4:Z7)</f>
        <v>25197.276000000002</v>
      </c>
    </row>
    <row r="8" spans="1:27" ht="16.5" thickBot="1" x14ac:dyDescent="0.3">
      <c r="A8" s="9">
        <v>44626</v>
      </c>
      <c r="B8" s="40">
        <v>218</v>
      </c>
      <c r="C8" s="146">
        <v>19379</v>
      </c>
      <c r="D8" s="40">
        <f t="shared" si="4"/>
        <v>320</v>
      </c>
      <c r="E8" s="147">
        <v>30032320</v>
      </c>
      <c r="F8" s="40">
        <f t="shared" si="5"/>
        <v>10960</v>
      </c>
      <c r="G8" s="148">
        <v>95855880</v>
      </c>
      <c r="H8" s="40">
        <f t="shared" si="6"/>
        <v>34046</v>
      </c>
      <c r="I8" s="149">
        <f t="shared" si="7"/>
        <v>45006</v>
      </c>
      <c r="J8" s="147">
        <v>9534097</v>
      </c>
      <c r="K8" s="40">
        <f t="shared" si="15"/>
        <v>7842</v>
      </c>
      <c r="L8" s="150">
        <v>9572046</v>
      </c>
      <c r="M8" s="40">
        <f t="shared" si="8"/>
        <v>4850</v>
      </c>
      <c r="N8" s="147">
        <v>6382506</v>
      </c>
      <c r="O8" s="40">
        <f t="shared" si="16"/>
        <v>5972</v>
      </c>
      <c r="P8" s="150">
        <v>5947962</v>
      </c>
      <c r="Q8" s="40">
        <f t="shared" si="9"/>
        <v>2136</v>
      </c>
      <c r="R8" s="147">
        <v>20370338</v>
      </c>
      <c r="S8" s="40">
        <f t="shared" si="10"/>
        <v>8386</v>
      </c>
      <c r="T8" s="147">
        <v>0</v>
      </c>
      <c r="U8" s="151"/>
      <c r="V8" s="147">
        <v>8274635</v>
      </c>
      <c r="W8" s="40">
        <f t="shared" si="11"/>
        <v>9256</v>
      </c>
      <c r="X8" s="20">
        <f t="shared" si="12"/>
        <v>38442</v>
      </c>
      <c r="Y8" s="152">
        <f t="shared" si="13"/>
        <v>6564</v>
      </c>
      <c r="Z8" s="3">
        <f t="shared" si="14"/>
        <v>5455.7605024000004</v>
      </c>
      <c r="AA8" s="3">
        <f t="shared" si="17"/>
        <v>23513.042051200002</v>
      </c>
    </row>
    <row r="9" spans="1:27" ht="16.5" thickBot="1" x14ac:dyDescent="0.3">
      <c r="A9" s="9">
        <v>44627</v>
      </c>
      <c r="B9" s="40">
        <v>155</v>
      </c>
      <c r="C9" s="146">
        <v>19382</v>
      </c>
      <c r="D9" s="40">
        <f t="shared" si="4"/>
        <v>480</v>
      </c>
      <c r="E9" s="147">
        <v>30043303</v>
      </c>
      <c r="F9" s="40">
        <f t="shared" si="5"/>
        <v>10983</v>
      </c>
      <c r="G9" s="148">
        <v>95889599</v>
      </c>
      <c r="H9" s="40">
        <f t="shared" si="6"/>
        <v>33719</v>
      </c>
      <c r="I9" s="149">
        <f t="shared" si="7"/>
        <v>44702</v>
      </c>
      <c r="J9" s="147">
        <v>9538056</v>
      </c>
      <c r="K9" s="40">
        <f t="shared" si="15"/>
        <v>7918</v>
      </c>
      <c r="L9" s="150">
        <v>9576861</v>
      </c>
      <c r="M9" s="40">
        <f t="shared" si="8"/>
        <v>4815</v>
      </c>
      <c r="N9" s="147">
        <v>6383494</v>
      </c>
      <c r="O9" s="40">
        <f t="shared" si="16"/>
        <v>1976</v>
      </c>
      <c r="P9" s="150">
        <v>5950359</v>
      </c>
      <c r="Q9" s="40">
        <f t="shared" si="9"/>
        <v>2397</v>
      </c>
      <c r="R9" s="147">
        <v>20379059</v>
      </c>
      <c r="S9" s="40">
        <f t="shared" si="10"/>
        <v>8721</v>
      </c>
      <c r="T9" s="147">
        <v>0</v>
      </c>
      <c r="U9" s="151"/>
      <c r="V9" s="147">
        <v>8283494</v>
      </c>
      <c r="W9" s="40">
        <f t="shared" si="11"/>
        <v>8859</v>
      </c>
      <c r="X9" s="20">
        <f t="shared" si="12"/>
        <v>34686</v>
      </c>
      <c r="Y9" s="152">
        <f t="shared" si="13"/>
        <v>10016</v>
      </c>
      <c r="Z9" s="3">
        <f t="shared" si="14"/>
        <v>4900.0036800000007</v>
      </c>
      <c r="AA9" s="3">
        <f t="shared" si="17"/>
        <v>23510.539686399999</v>
      </c>
    </row>
    <row r="10" spans="1:27" ht="16.5" thickBot="1" x14ac:dyDescent="0.3">
      <c r="A10" s="9">
        <v>44628</v>
      </c>
      <c r="B10" s="40">
        <v>313</v>
      </c>
      <c r="C10" s="146">
        <v>19384</v>
      </c>
      <c r="D10" s="40">
        <f t="shared" si="4"/>
        <v>320</v>
      </c>
      <c r="E10" s="147">
        <v>30057154</v>
      </c>
      <c r="F10" s="40">
        <f t="shared" si="5"/>
        <v>13851</v>
      </c>
      <c r="G10" s="148">
        <v>95934302</v>
      </c>
      <c r="H10" s="40">
        <f t="shared" si="6"/>
        <v>44703</v>
      </c>
      <c r="I10" s="149">
        <f t="shared" si="7"/>
        <v>58554</v>
      </c>
      <c r="J10" s="147">
        <v>9543052</v>
      </c>
      <c r="K10" s="40">
        <f t="shared" si="15"/>
        <v>9992</v>
      </c>
      <c r="L10" s="150">
        <v>9582806</v>
      </c>
      <c r="M10" s="40">
        <f t="shared" si="8"/>
        <v>5945</v>
      </c>
      <c r="N10" s="147">
        <v>6389387</v>
      </c>
      <c r="O10" s="40">
        <f t="shared" si="16"/>
        <v>11786</v>
      </c>
      <c r="P10" s="150">
        <v>5953510</v>
      </c>
      <c r="Q10" s="40">
        <f t="shared" si="9"/>
        <v>3151</v>
      </c>
      <c r="R10" s="147">
        <v>20390580</v>
      </c>
      <c r="S10" s="40">
        <f t="shared" si="10"/>
        <v>11521</v>
      </c>
      <c r="T10" s="147">
        <v>0</v>
      </c>
      <c r="U10" s="151"/>
      <c r="V10" s="147">
        <v>8295459</v>
      </c>
      <c r="W10" s="40">
        <f t="shared" si="11"/>
        <v>11965</v>
      </c>
      <c r="X10" s="20">
        <f t="shared" si="12"/>
        <v>54360</v>
      </c>
      <c r="Y10" s="152">
        <f t="shared" si="13"/>
        <v>4194</v>
      </c>
      <c r="Z10" s="3">
        <f t="shared" si="14"/>
        <v>7862.8088032000005</v>
      </c>
      <c r="AA10" s="3">
        <f t="shared" si="17"/>
        <v>24936.703251200004</v>
      </c>
    </row>
    <row r="11" spans="1:27" ht="15.75" customHeight="1" thickBot="1" x14ac:dyDescent="0.3">
      <c r="A11" s="9">
        <v>44629</v>
      </c>
      <c r="B11" s="40">
        <v>163</v>
      </c>
      <c r="C11" s="146">
        <v>19387</v>
      </c>
      <c r="D11" s="40">
        <f t="shared" si="4"/>
        <v>480</v>
      </c>
      <c r="E11" s="147">
        <v>30067888</v>
      </c>
      <c r="F11" s="40">
        <f t="shared" si="5"/>
        <v>10734</v>
      </c>
      <c r="G11" s="148">
        <v>95967009</v>
      </c>
      <c r="H11" s="40">
        <f t="shared" si="6"/>
        <v>32707</v>
      </c>
      <c r="I11" s="149">
        <f t="shared" si="7"/>
        <v>43441</v>
      </c>
      <c r="J11" s="147">
        <v>9546739</v>
      </c>
      <c r="K11" s="40">
        <f t="shared" si="15"/>
        <v>7374</v>
      </c>
      <c r="L11" s="150">
        <v>9587794</v>
      </c>
      <c r="M11" s="40">
        <f t="shared" si="8"/>
        <v>4988</v>
      </c>
      <c r="N11" s="147">
        <v>6392189</v>
      </c>
      <c r="O11" s="40">
        <f t="shared" si="16"/>
        <v>5604</v>
      </c>
      <c r="P11" s="150">
        <v>5955764</v>
      </c>
      <c r="Q11" s="40">
        <f t="shared" si="9"/>
        <v>2254</v>
      </c>
      <c r="R11" s="147">
        <v>20398876</v>
      </c>
      <c r="S11" s="40">
        <f t="shared" si="10"/>
        <v>8296</v>
      </c>
      <c r="T11" s="147">
        <v>0</v>
      </c>
      <c r="U11" s="151"/>
      <c r="V11" s="147">
        <v>8304283</v>
      </c>
      <c r="W11" s="40">
        <f t="shared" si="11"/>
        <v>8824</v>
      </c>
      <c r="X11" s="20">
        <f t="shared" si="12"/>
        <v>37340</v>
      </c>
      <c r="Y11" s="152">
        <f t="shared" si="13"/>
        <v>6101</v>
      </c>
      <c r="Z11" s="3">
        <f t="shared" si="14"/>
        <v>5292.8711679999997</v>
      </c>
      <c r="AA11" s="3">
        <f t="shared" si="17"/>
        <v>23511.444153600001</v>
      </c>
    </row>
    <row r="12" spans="1:27" ht="16.5" thickBot="1" x14ac:dyDescent="0.3">
      <c r="A12" s="9">
        <v>44630</v>
      </c>
      <c r="B12" s="40">
        <v>240</v>
      </c>
      <c r="C12" s="146">
        <v>19390</v>
      </c>
      <c r="D12" s="40">
        <f t="shared" si="4"/>
        <v>480</v>
      </c>
      <c r="E12" s="147">
        <v>30078586</v>
      </c>
      <c r="F12" s="40">
        <f t="shared" si="5"/>
        <v>10698</v>
      </c>
      <c r="G12" s="148">
        <v>96002111</v>
      </c>
      <c r="H12" s="40">
        <f t="shared" si="6"/>
        <v>35102</v>
      </c>
      <c r="I12" s="149">
        <f t="shared" si="7"/>
        <v>45800</v>
      </c>
      <c r="J12" s="147">
        <v>9550653</v>
      </c>
      <c r="K12" s="40">
        <f t="shared" si="15"/>
        <v>7828</v>
      </c>
      <c r="L12" s="150">
        <v>9592639</v>
      </c>
      <c r="M12" s="40">
        <f t="shared" si="8"/>
        <v>4845</v>
      </c>
      <c r="N12" s="147">
        <v>6395048</v>
      </c>
      <c r="O12" s="40">
        <f t="shared" si="16"/>
        <v>5718</v>
      </c>
      <c r="P12" s="150">
        <v>5958528</v>
      </c>
      <c r="Q12" s="40">
        <f t="shared" si="9"/>
        <v>2764</v>
      </c>
      <c r="R12" s="147">
        <v>20407765</v>
      </c>
      <c r="S12" s="40">
        <f t="shared" si="10"/>
        <v>8889</v>
      </c>
      <c r="T12" s="147">
        <v>0</v>
      </c>
      <c r="U12" s="151"/>
      <c r="V12" s="147">
        <v>8313624</v>
      </c>
      <c r="W12" s="40">
        <f t="shared" si="11"/>
        <v>9341</v>
      </c>
      <c r="X12" s="20">
        <f t="shared" si="12"/>
        <v>39385</v>
      </c>
      <c r="Y12" s="152">
        <f t="shared" si="13"/>
        <v>6415</v>
      </c>
      <c r="Z12" s="3">
        <f t="shared" si="14"/>
        <v>5652.6202719999992</v>
      </c>
      <c r="AA12" s="3">
        <f t="shared" si="17"/>
        <v>23708.303923200001</v>
      </c>
    </row>
    <row r="13" spans="1:27" ht="16.5" thickBot="1" x14ac:dyDescent="0.3">
      <c r="A13" s="9">
        <v>44631</v>
      </c>
      <c r="B13" s="40">
        <v>218</v>
      </c>
      <c r="C13" s="146">
        <v>19393</v>
      </c>
      <c r="D13" s="40">
        <f t="shared" ref="D13" si="18">IF((C13-C12)&lt;0,"0",(C13-C12))*160</f>
        <v>480</v>
      </c>
      <c r="E13" s="147">
        <v>30093217</v>
      </c>
      <c r="F13" s="40">
        <f t="shared" ref="F13" si="19">IF((E13-E12)&lt;0,"0",(E13-E12))</f>
        <v>14631</v>
      </c>
      <c r="G13" s="148">
        <v>96045667</v>
      </c>
      <c r="H13" s="40">
        <f t="shared" ref="H13" si="20">IF((G13-G12)&lt;0,"0",(G13-G12))</f>
        <v>43556</v>
      </c>
      <c r="I13" s="149">
        <f t="shared" ref="I13" si="21">F13+H13</f>
        <v>58187</v>
      </c>
      <c r="J13" s="147">
        <v>9555236</v>
      </c>
      <c r="K13" s="40">
        <f t="shared" ref="K13" si="22">(IF((J13-J12)&lt;0,"0",(J13-J12)))*2</f>
        <v>9166</v>
      </c>
      <c r="L13" s="150">
        <v>9599238</v>
      </c>
      <c r="M13" s="40">
        <f t="shared" ref="M13" si="23">IF((L13-L12)&lt;0,"0",(L13-L12))</f>
        <v>6599</v>
      </c>
      <c r="N13" s="147">
        <v>6398962</v>
      </c>
      <c r="O13" s="40">
        <f t="shared" ref="O13" si="24">(IF((N13-N12)&lt;0,"0",(N13-N12)))*2</f>
        <v>7828</v>
      </c>
      <c r="P13" s="150">
        <v>5962015</v>
      </c>
      <c r="Q13" s="40">
        <f t="shared" ref="Q13" si="25">IF((P13-P12)&lt;0,"0",(P13-P12))</f>
        <v>3487</v>
      </c>
      <c r="R13" s="147">
        <v>20419260</v>
      </c>
      <c r="S13" s="40">
        <f t="shared" ref="S13" si="26">IF((R13-R12)&lt;0,"0",(R13-R12))</f>
        <v>11495</v>
      </c>
      <c r="T13" s="147">
        <v>0</v>
      </c>
      <c r="U13" s="151"/>
      <c r="V13" s="147">
        <v>8325055</v>
      </c>
      <c r="W13" s="40">
        <f t="shared" ref="W13" si="27">IF((V13-V12)&lt;0,"0",(V13-V12))</f>
        <v>11431</v>
      </c>
      <c r="X13" s="20">
        <f t="shared" ref="X13" si="28">K13+M13+O13+Q13+S13+U13+W13</f>
        <v>50006</v>
      </c>
      <c r="Y13" s="152">
        <f t="shared" ref="Y13" si="29">I13-X13</f>
        <v>8181</v>
      </c>
      <c r="Z13" s="3">
        <f t="shared" ref="Z13" si="30">(0.93352*(W13+S13)+0.5568*(Q13+O13))*0.26</f>
        <v>7202.5385951999997</v>
      </c>
      <c r="AA13" s="3">
        <f t="shared" si="17"/>
        <v>26010.838838399999</v>
      </c>
    </row>
    <row r="14" spans="1:27" ht="16.5" thickBot="1" x14ac:dyDescent="0.3">
      <c r="A14" s="9">
        <v>44632</v>
      </c>
      <c r="B14" s="40">
        <v>269</v>
      </c>
      <c r="C14" s="146">
        <v>19396</v>
      </c>
      <c r="D14" s="40">
        <f t="shared" si="4"/>
        <v>480</v>
      </c>
      <c r="E14" s="147">
        <v>30104495</v>
      </c>
      <c r="F14" s="40">
        <f t="shared" si="5"/>
        <v>11278</v>
      </c>
      <c r="G14" s="148">
        <v>96079883</v>
      </c>
      <c r="H14" s="40">
        <f t="shared" si="6"/>
        <v>34216</v>
      </c>
      <c r="I14" s="149">
        <f t="shared" si="7"/>
        <v>45494</v>
      </c>
      <c r="J14" s="147">
        <v>9558918</v>
      </c>
      <c r="K14" s="40">
        <f t="shared" si="15"/>
        <v>7364</v>
      </c>
      <c r="L14" s="150">
        <v>9604413</v>
      </c>
      <c r="M14" s="40">
        <f t="shared" si="8"/>
        <v>5175</v>
      </c>
      <c r="N14" s="147">
        <v>6401956</v>
      </c>
      <c r="O14" s="40">
        <f t="shared" si="16"/>
        <v>5988</v>
      </c>
      <c r="P14" s="150">
        <v>5964769</v>
      </c>
      <c r="Q14" s="40">
        <f t="shared" si="9"/>
        <v>2754</v>
      </c>
      <c r="R14" s="147">
        <v>20428472</v>
      </c>
      <c r="S14" s="40">
        <f>IF((R14-R13)&lt;0,"0",(R14-R13))</f>
        <v>9212</v>
      </c>
      <c r="T14" s="147">
        <v>0</v>
      </c>
      <c r="U14" s="151"/>
      <c r="V14" s="147">
        <v>8333987</v>
      </c>
      <c r="W14" s="40">
        <f t="shared" si="11"/>
        <v>8932</v>
      </c>
      <c r="X14" s="20">
        <f t="shared" si="12"/>
        <v>39425</v>
      </c>
      <c r="Y14" s="152">
        <f t="shared" si="13"/>
        <v>6069</v>
      </c>
      <c r="Z14" s="3">
        <f t="shared" si="14"/>
        <v>5669.3864447999995</v>
      </c>
      <c r="AA14" s="3">
        <f t="shared" si="17"/>
        <v>23817.416479999996</v>
      </c>
    </row>
    <row r="15" spans="1:27" ht="16.5" thickBot="1" x14ac:dyDescent="0.3">
      <c r="A15" s="9">
        <v>44633</v>
      </c>
      <c r="B15" s="40">
        <v>294</v>
      </c>
      <c r="C15" s="146">
        <v>19399</v>
      </c>
      <c r="D15" s="40">
        <f t="shared" si="4"/>
        <v>480</v>
      </c>
      <c r="E15" s="147">
        <v>30116992</v>
      </c>
      <c r="F15" s="40">
        <f t="shared" si="5"/>
        <v>12497</v>
      </c>
      <c r="G15" s="148">
        <v>96117531</v>
      </c>
      <c r="H15" s="40">
        <f t="shared" si="6"/>
        <v>37648</v>
      </c>
      <c r="I15" s="149">
        <f t="shared" si="7"/>
        <v>50145</v>
      </c>
      <c r="J15" s="147">
        <v>9563520</v>
      </c>
      <c r="K15" s="40">
        <f t="shared" si="15"/>
        <v>9204</v>
      </c>
      <c r="L15" s="150">
        <v>9610377</v>
      </c>
      <c r="M15" s="40">
        <f t="shared" si="8"/>
        <v>5964</v>
      </c>
      <c r="N15" s="147">
        <v>6405156</v>
      </c>
      <c r="O15" s="40">
        <f t="shared" si="16"/>
        <v>6400</v>
      </c>
      <c r="P15" s="150">
        <v>5967767</v>
      </c>
      <c r="Q15" s="40">
        <f t="shared" si="9"/>
        <v>2998</v>
      </c>
      <c r="R15" s="147">
        <v>20438400</v>
      </c>
      <c r="S15" s="40">
        <f>IF((R15-R14)&lt;0,"0",(R15-R14))</f>
        <v>9928</v>
      </c>
      <c r="T15" s="147">
        <v>0</v>
      </c>
      <c r="U15" s="151"/>
      <c r="V15" s="147">
        <v>8343643</v>
      </c>
      <c r="W15" s="40">
        <f t="shared" si="11"/>
        <v>9656</v>
      </c>
      <c r="X15" s="20">
        <f t="shared" si="12"/>
        <v>44150</v>
      </c>
      <c r="Y15" s="152">
        <f t="shared" si="13"/>
        <v>5995</v>
      </c>
      <c r="Z15" s="3">
        <f t="shared" si="14"/>
        <v>6113.8641408000003</v>
      </c>
      <c r="AA15" s="3">
        <f t="shared" si="17"/>
        <v>24638.409452799999</v>
      </c>
    </row>
    <row r="16" spans="1:27" ht="16.5" thickBot="1" x14ac:dyDescent="0.3">
      <c r="A16" s="9">
        <v>44634</v>
      </c>
      <c r="B16" s="40">
        <v>271</v>
      </c>
      <c r="C16" s="146">
        <v>19401</v>
      </c>
      <c r="D16" s="40">
        <f t="shared" si="4"/>
        <v>320</v>
      </c>
      <c r="E16" s="147">
        <v>30130737</v>
      </c>
      <c r="F16" s="40">
        <f t="shared" si="5"/>
        <v>13745</v>
      </c>
      <c r="G16" s="148">
        <v>96162118</v>
      </c>
      <c r="H16" s="40">
        <f t="shared" si="6"/>
        <v>44587</v>
      </c>
      <c r="I16" s="149">
        <f t="shared" si="7"/>
        <v>58332</v>
      </c>
      <c r="J16" s="147">
        <v>9568892</v>
      </c>
      <c r="K16" s="40">
        <f t="shared" si="15"/>
        <v>10744</v>
      </c>
      <c r="L16" s="150">
        <v>9617120</v>
      </c>
      <c r="M16" s="40">
        <f t="shared" si="8"/>
        <v>6743</v>
      </c>
      <c r="N16" s="147">
        <v>6408568</v>
      </c>
      <c r="O16" s="40">
        <f t="shared" si="16"/>
        <v>6824</v>
      </c>
      <c r="P16" s="150">
        <v>5971160</v>
      </c>
      <c r="Q16" s="40">
        <f t="shared" si="9"/>
        <v>3393</v>
      </c>
      <c r="R16" s="147">
        <v>20450028</v>
      </c>
      <c r="S16" s="40">
        <f t="shared" si="10"/>
        <v>11628</v>
      </c>
      <c r="T16" s="147">
        <v>0</v>
      </c>
      <c r="U16" s="151"/>
      <c r="V16" s="147">
        <v>8355215</v>
      </c>
      <c r="W16" s="40">
        <f t="shared" si="11"/>
        <v>11572</v>
      </c>
      <c r="X16" s="20">
        <f t="shared" si="12"/>
        <v>50904</v>
      </c>
      <c r="Y16" s="152">
        <f t="shared" si="13"/>
        <v>7428</v>
      </c>
      <c r="Z16" s="3">
        <f t="shared" si="14"/>
        <v>7110.0872960000006</v>
      </c>
      <c r="AA16" s="3">
        <f t="shared" si="17"/>
        <v>26095.8764768</v>
      </c>
    </row>
    <row r="17" spans="1:27" s="132" customFormat="1" ht="16.5" thickBot="1" x14ac:dyDescent="0.3">
      <c r="A17" s="9">
        <v>44635</v>
      </c>
      <c r="B17" s="40">
        <v>316</v>
      </c>
      <c r="C17" s="146">
        <v>19406</v>
      </c>
      <c r="D17" s="40">
        <f t="shared" si="4"/>
        <v>800</v>
      </c>
      <c r="E17" s="147">
        <v>30140918</v>
      </c>
      <c r="F17" s="40">
        <f t="shared" si="5"/>
        <v>10181</v>
      </c>
      <c r="G17" s="148">
        <v>96193276</v>
      </c>
      <c r="H17" s="40">
        <f t="shared" si="6"/>
        <v>31158</v>
      </c>
      <c r="I17" s="153">
        <f t="shared" si="7"/>
        <v>41339</v>
      </c>
      <c r="J17" s="147">
        <v>9572766</v>
      </c>
      <c r="K17" s="131">
        <f t="shared" si="15"/>
        <v>7748</v>
      </c>
      <c r="L17" s="150">
        <v>9622230</v>
      </c>
      <c r="M17" s="131">
        <f t="shared" si="8"/>
        <v>5110</v>
      </c>
      <c r="N17" s="147">
        <v>6411035</v>
      </c>
      <c r="O17" s="131">
        <f t="shared" si="16"/>
        <v>4934</v>
      </c>
      <c r="P17" s="150">
        <v>5973588</v>
      </c>
      <c r="Q17" s="131">
        <f t="shared" si="9"/>
        <v>2428</v>
      </c>
      <c r="R17" s="147">
        <v>20458085</v>
      </c>
      <c r="S17" s="131">
        <f t="shared" si="10"/>
        <v>8057</v>
      </c>
      <c r="T17" s="154">
        <v>0</v>
      </c>
      <c r="U17" s="151"/>
      <c r="V17" s="147">
        <v>8363270</v>
      </c>
      <c r="W17" s="131">
        <f t="shared" si="11"/>
        <v>8055</v>
      </c>
      <c r="X17" s="20">
        <f t="shared" si="12"/>
        <v>36332</v>
      </c>
      <c r="Y17" s="155">
        <f t="shared" si="13"/>
        <v>5007</v>
      </c>
      <c r="Z17" s="156">
        <f t="shared" si="14"/>
        <v>4976.4093184000003</v>
      </c>
      <c r="AA17" s="3">
        <f t="shared" si="17"/>
        <v>23869.747200000002</v>
      </c>
    </row>
    <row r="18" spans="1:27" s="132" customFormat="1" ht="16.5" thickBot="1" x14ac:dyDescent="0.3">
      <c r="A18" s="9">
        <v>44636</v>
      </c>
      <c r="B18" s="40">
        <v>319</v>
      </c>
      <c r="C18" s="146">
        <v>19409</v>
      </c>
      <c r="D18" s="40">
        <f t="shared" si="4"/>
        <v>480</v>
      </c>
      <c r="E18" s="147">
        <v>30155318</v>
      </c>
      <c r="F18" s="40">
        <f t="shared" si="5"/>
        <v>14400</v>
      </c>
      <c r="G18" s="148">
        <v>96239339</v>
      </c>
      <c r="H18" s="40">
        <f t="shared" si="6"/>
        <v>46063</v>
      </c>
      <c r="I18" s="153">
        <f t="shared" si="7"/>
        <v>60463</v>
      </c>
      <c r="J18" s="147">
        <v>9578793</v>
      </c>
      <c r="K18" s="131">
        <f t="shared" si="15"/>
        <v>12054</v>
      </c>
      <c r="L18" s="150">
        <v>9629086</v>
      </c>
      <c r="M18" s="131">
        <f t="shared" si="8"/>
        <v>6856</v>
      </c>
      <c r="N18" s="147">
        <v>6414724</v>
      </c>
      <c r="O18" s="131">
        <f t="shared" si="16"/>
        <v>7378</v>
      </c>
      <c r="P18" s="150">
        <v>5977051</v>
      </c>
      <c r="Q18" s="131">
        <f t="shared" si="9"/>
        <v>3463</v>
      </c>
      <c r="R18" s="147">
        <v>20470014</v>
      </c>
      <c r="S18" s="131">
        <f t="shared" si="10"/>
        <v>11929</v>
      </c>
      <c r="T18" s="154">
        <v>0</v>
      </c>
      <c r="U18" s="151"/>
      <c r="V18" s="147">
        <v>8375070</v>
      </c>
      <c r="W18" s="131">
        <f t="shared" si="11"/>
        <v>11800</v>
      </c>
      <c r="X18" s="20">
        <f t="shared" si="12"/>
        <v>53480</v>
      </c>
      <c r="Y18" s="155">
        <f t="shared" si="13"/>
        <v>6983</v>
      </c>
      <c r="Z18" s="156">
        <f t="shared" si="14"/>
        <v>7328.8188688000009</v>
      </c>
      <c r="AA18" s="3">
        <f t="shared" si="17"/>
        <v>25529.179624000004</v>
      </c>
    </row>
    <row r="19" spans="1:27" s="132" customFormat="1" ht="16.5" thickBot="1" x14ac:dyDescent="0.3">
      <c r="A19" s="9">
        <v>44637</v>
      </c>
      <c r="B19" s="40">
        <v>295</v>
      </c>
      <c r="C19" s="146">
        <v>19412</v>
      </c>
      <c r="D19" s="40">
        <f t="shared" si="4"/>
        <v>480</v>
      </c>
      <c r="E19" s="147">
        <v>30165062</v>
      </c>
      <c r="F19" s="40">
        <f t="shared" si="5"/>
        <v>9744</v>
      </c>
      <c r="G19" s="148">
        <v>96269134</v>
      </c>
      <c r="H19" s="40">
        <f t="shared" si="6"/>
        <v>29795</v>
      </c>
      <c r="I19" s="153">
        <f t="shared" si="7"/>
        <v>39539</v>
      </c>
      <c r="J19" s="147">
        <v>9583172</v>
      </c>
      <c r="K19" s="131">
        <f t="shared" si="15"/>
        <v>8758</v>
      </c>
      <c r="L19" s="150">
        <v>9633768</v>
      </c>
      <c r="M19" s="131">
        <f t="shared" si="8"/>
        <v>4682</v>
      </c>
      <c r="N19" s="147">
        <v>6417191</v>
      </c>
      <c r="O19" s="131">
        <f t="shared" si="16"/>
        <v>4934</v>
      </c>
      <c r="P19" s="150">
        <v>5979225</v>
      </c>
      <c r="Q19" s="131">
        <f t="shared" si="9"/>
        <v>2174</v>
      </c>
      <c r="R19" s="147">
        <v>20477272</v>
      </c>
      <c r="S19" s="131">
        <f t="shared" si="10"/>
        <v>7258</v>
      </c>
      <c r="T19" s="154">
        <v>0</v>
      </c>
      <c r="U19" s="151"/>
      <c r="V19" s="147">
        <v>8382743</v>
      </c>
      <c r="W19" s="131">
        <f t="shared" si="11"/>
        <v>7673</v>
      </c>
      <c r="X19" s="20">
        <f t="shared" si="12"/>
        <v>35479</v>
      </c>
      <c r="Y19" s="155">
        <f t="shared" si="13"/>
        <v>4060</v>
      </c>
      <c r="Z19" s="156">
        <f t="shared" si="14"/>
        <v>4652.9915952000001</v>
      </c>
      <c r="AA19" s="3">
        <f t="shared" si="17"/>
        <v>24068.307078400001</v>
      </c>
    </row>
    <row r="20" spans="1:27" s="132" customFormat="1" ht="16.5" thickBot="1" x14ac:dyDescent="0.3">
      <c r="A20" s="9">
        <v>44638</v>
      </c>
      <c r="B20" s="40">
        <v>300</v>
      </c>
      <c r="C20" s="146">
        <v>19416</v>
      </c>
      <c r="D20" s="40">
        <f t="shared" si="4"/>
        <v>640</v>
      </c>
      <c r="E20" s="147">
        <v>30178412</v>
      </c>
      <c r="F20" s="40">
        <f t="shared" si="5"/>
        <v>13350</v>
      </c>
      <c r="G20" s="148">
        <v>96308699</v>
      </c>
      <c r="H20" s="40">
        <f t="shared" si="6"/>
        <v>39565</v>
      </c>
      <c r="I20" s="153">
        <f t="shared" si="7"/>
        <v>52915</v>
      </c>
      <c r="J20" s="147">
        <v>9587938</v>
      </c>
      <c r="K20" s="131">
        <f t="shared" si="15"/>
        <v>9532</v>
      </c>
      <c r="L20" s="150">
        <v>9639789</v>
      </c>
      <c r="M20" s="131">
        <f t="shared" si="8"/>
        <v>6021</v>
      </c>
      <c r="N20" s="147">
        <v>6420761</v>
      </c>
      <c r="O20" s="131">
        <f t="shared" si="16"/>
        <v>7140</v>
      </c>
      <c r="P20" s="150">
        <v>5982130</v>
      </c>
      <c r="Q20" s="131">
        <f t="shared" si="9"/>
        <v>2905</v>
      </c>
      <c r="R20" s="147">
        <v>20487558</v>
      </c>
      <c r="S20" s="131">
        <f t="shared" si="10"/>
        <v>10286</v>
      </c>
      <c r="T20" s="154">
        <v>0</v>
      </c>
      <c r="U20" s="151"/>
      <c r="V20" s="147">
        <v>8393051</v>
      </c>
      <c r="W20" s="131">
        <f t="shared" si="11"/>
        <v>10308</v>
      </c>
      <c r="X20" s="20">
        <f t="shared" si="12"/>
        <v>46192</v>
      </c>
      <c r="Y20" s="155">
        <f t="shared" si="13"/>
        <v>6723</v>
      </c>
      <c r="Z20" s="156">
        <f t="shared" si="14"/>
        <v>6452.6713888000004</v>
      </c>
      <c r="AA20" s="3">
        <f t="shared" si="17"/>
        <v>23410.891171200004</v>
      </c>
    </row>
    <row r="21" spans="1:27" s="132" customFormat="1" ht="16.5" thickBot="1" x14ac:dyDescent="0.3">
      <c r="A21" s="9">
        <v>44639</v>
      </c>
      <c r="B21" s="40">
        <v>290</v>
      </c>
      <c r="C21" s="146">
        <v>19419</v>
      </c>
      <c r="D21" s="40">
        <f t="shared" si="4"/>
        <v>480</v>
      </c>
      <c r="E21" s="147">
        <v>30190308</v>
      </c>
      <c r="F21" s="40">
        <f t="shared" si="5"/>
        <v>11896</v>
      </c>
      <c r="G21" s="148">
        <v>96343673</v>
      </c>
      <c r="H21" s="40">
        <f t="shared" si="6"/>
        <v>34974</v>
      </c>
      <c r="I21" s="153">
        <f t="shared" si="7"/>
        <v>46870</v>
      </c>
      <c r="J21" s="147">
        <v>9592345</v>
      </c>
      <c r="K21" s="131">
        <f t="shared" si="15"/>
        <v>8814</v>
      </c>
      <c r="L21" s="150">
        <v>9645178</v>
      </c>
      <c r="M21" s="131">
        <f t="shared" si="8"/>
        <v>5389</v>
      </c>
      <c r="N21" s="147">
        <v>6423957</v>
      </c>
      <c r="O21" s="131">
        <f t="shared" si="16"/>
        <v>6392</v>
      </c>
      <c r="P21" s="150">
        <v>5984668</v>
      </c>
      <c r="Q21" s="131">
        <f t="shared" si="9"/>
        <v>2538</v>
      </c>
      <c r="R21" s="147">
        <v>20496720</v>
      </c>
      <c r="S21" s="131">
        <f t="shared" si="10"/>
        <v>9162</v>
      </c>
      <c r="T21" s="154">
        <v>0</v>
      </c>
      <c r="U21" s="151"/>
      <c r="V21" s="147">
        <v>8402121</v>
      </c>
      <c r="W21" s="131">
        <f t="shared" si="11"/>
        <v>9070</v>
      </c>
      <c r="X21" s="20">
        <f t="shared" si="12"/>
        <v>41365</v>
      </c>
      <c r="Y21" s="155">
        <f t="shared" si="13"/>
        <v>5505</v>
      </c>
      <c r="Z21" s="156">
        <f t="shared" si="14"/>
        <v>5717.9617663999998</v>
      </c>
      <c r="AA21" s="3">
        <f t="shared" si="17"/>
        <v>24152.443619200003</v>
      </c>
    </row>
    <row r="22" spans="1:27" ht="16.5" thickBot="1" x14ac:dyDescent="0.3">
      <c r="A22" s="9">
        <v>44640</v>
      </c>
      <c r="B22" s="40">
        <v>304</v>
      </c>
      <c r="C22" s="146">
        <v>19422</v>
      </c>
      <c r="D22" s="40">
        <f t="shared" si="4"/>
        <v>480</v>
      </c>
      <c r="E22" s="147">
        <v>30204939</v>
      </c>
      <c r="F22" s="40">
        <f t="shared" si="5"/>
        <v>14631</v>
      </c>
      <c r="G22" s="148">
        <v>96389365</v>
      </c>
      <c r="H22" s="40">
        <f t="shared" si="6"/>
        <v>45692</v>
      </c>
      <c r="I22" s="149">
        <f t="shared" si="7"/>
        <v>60323</v>
      </c>
      <c r="J22" s="147">
        <v>9598056</v>
      </c>
      <c r="K22" s="40">
        <f t="shared" si="15"/>
        <v>11422</v>
      </c>
      <c r="L22" s="150">
        <v>9652099</v>
      </c>
      <c r="M22" s="40">
        <f t="shared" si="8"/>
        <v>6921</v>
      </c>
      <c r="N22" s="147">
        <v>6427718</v>
      </c>
      <c r="O22" s="40">
        <f t="shared" si="16"/>
        <v>7522</v>
      </c>
      <c r="P22" s="150">
        <v>5987881</v>
      </c>
      <c r="Q22" s="40">
        <f t="shared" si="9"/>
        <v>3213</v>
      </c>
      <c r="R22" s="147">
        <v>20508574</v>
      </c>
      <c r="S22" s="40">
        <f t="shared" si="10"/>
        <v>11854</v>
      </c>
      <c r="T22" s="147">
        <v>0</v>
      </c>
      <c r="U22" s="151"/>
      <c r="V22" s="147">
        <v>8414093</v>
      </c>
      <c r="W22" s="40">
        <f t="shared" si="11"/>
        <v>11972</v>
      </c>
      <c r="X22" s="20">
        <f t="shared" si="12"/>
        <v>52904</v>
      </c>
      <c r="Y22" s="152">
        <f t="shared" si="13"/>
        <v>7419</v>
      </c>
      <c r="Z22" s="3">
        <f t="shared" si="14"/>
        <v>7337.0168352000001</v>
      </c>
      <c r="AA22" s="3">
        <f t="shared" si="17"/>
        <v>24160.641585599999</v>
      </c>
    </row>
    <row r="23" spans="1:27" ht="16.5" thickBot="1" x14ac:dyDescent="0.3">
      <c r="A23" s="9">
        <v>44641</v>
      </c>
      <c r="B23" s="40">
        <v>228</v>
      </c>
      <c r="C23" s="146">
        <v>19425</v>
      </c>
      <c r="D23" s="40">
        <f t="shared" si="4"/>
        <v>480</v>
      </c>
      <c r="E23" s="147">
        <v>30216736</v>
      </c>
      <c r="F23" s="40">
        <f t="shared" si="5"/>
        <v>11797</v>
      </c>
      <c r="G23" s="148">
        <v>96426458</v>
      </c>
      <c r="H23" s="40">
        <f t="shared" si="6"/>
        <v>37093</v>
      </c>
      <c r="I23" s="149">
        <f t="shared" si="7"/>
        <v>48890</v>
      </c>
      <c r="J23" s="147">
        <v>9602880</v>
      </c>
      <c r="K23" s="40">
        <f t="shared" si="15"/>
        <v>9648</v>
      </c>
      <c r="L23" s="150">
        <v>9657840</v>
      </c>
      <c r="M23" s="40">
        <f t="shared" si="8"/>
        <v>5741</v>
      </c>
      <c r="N23" s="147">
        <v>6430683</v>
      </c>
      <c r="O23" s="40">
        <f t="shared" si="16"/>
        <v>5930</v>
      </c>
      <c r="P23" s="150">
        <v>5990356</v>
      </c>
      <c r="Q23" s="40">
        <f t="shared" si="9"/>
        <v>2475</v>
      </c>
      <c r="R23" s="147">
        <v>20517604</v>
      </c>
      <c r="S23" s="40">
        <f t="shared" si="10"/>
        <v>9030</v>
      </c>
      <c r="T23" s="147">
        <v>0</v>
      </c>
      <c r="U23" s="151"/>
      <c r="V23" s="147">
        <v>8424072</v>
      </c>
      <c r="W23" s="40">
        <f t="shared" si="11"/>
        <v>9979</v>
      </c>
      <c r="X23" s="20">
        <f t="shared" si="12"/>
        <v>42803</v>
      </c>
      <c r="Y23" s="152">
        <f t="shared" si="13"/>
        <v>6087</v>
      </c>
      <c r="Z23" s="3">
        <f t="shared" si="14"/>
        <v>5830.5482768000002</v>
      </c>
      <c r="AA23" s="3">
        <f t="shared" si="17"/>
        <v>25338.198267200001</v>
      </c>
    </row>
    <row r="24" spans="1:27" ht="16.5" thickBot="1" x14ac:dyDescent="0.3">
      <c r="A24" s="9">
        <v>44642</v>
      </c>
      <c r="B24" s="40">
        <v>230</v>
      </c>
      <c r="C24" s="146">
        <v>19428</v>
      </c>
      <c r="D24" s="40">
        <f t="shared" si="4"/>
        <v>480</v>
      </c>
      <c r="E24" s="147">
        <v>30227473</v>
      </c>
      <c r="F24" s="40">
        <f t="shared" si="5"/>
        <v>10737</v>
      </c>
      <c r="G24" s="148">
        <v>96460950</v>
      </c>
      <c r="H24" s="40">
        <f t="shared" si="6"/>
        <v>34492</v>
      </c>
      <c r="I24" s="149">
        <f t="shared" si="7"/>
        <v>45229</v>
      </c>
      <c r="J24" s="147">
        <v>9607560</v>
      </c>
      <c r="K24" s="40">
        <f t="shared" si="15"/>
        <v>9360</v>
      </c>
      <c r="L24" s="150">
        <v>9663055</v>
      </c>
      <c r="M24" s="40">
        <f t="shared" si="8"/>
        <v>5215</v>
      </c>
      <c r="N24" s="147">
        <v>6433375</v>
      </c>
      <c r="O24" s="40">
        <f t="shared" si="16"/>
        <v>5384</v>
      </c>
      <c r="P24" s="150">
        <v>5998513</v>
      </c>
      <c r="Q24" s="40">
        <f t="shared" si="9"/>
        <v>8157</v>
      </c>
      <c r="R24" s="147">
        <v>20525740</v>
      </c>
      <c r="S24" s="40">
        <f t="shared" si="10"/>
        <v>8136</v>
      </c>
      <c r="T24" s="147">
        <v>0</v>
      </c>
      <c r="U24" s="151"/>
      <c r="V24" s="147">
        <v>8433304</v>
      </c>
      <c r="W24" s="40">
        <f t="shared" si="11"/>
        <v>9232</v>
      </c>
      <c r="X24" s="20">
        <f t="shared" si="12"/>
        <v>45484</v>
      </c>
      <c r="Y24" s="152">
        <f t="shared" si="13"/>
        <v>-255</v>
      </c>
      <c r="Z24" s="3">
        <f t="shared" si="14"/>
        <v>6175.7810816000001</v>
      </c>
      <c r="AA24" s="3">
        <f t="shared" si="17"/>
        <v>25061.307959999998</v>
      </c>
    </row>
    <row r="25" spans="1:27" ht="16.5" thickBot="1" x14ac:dyDescent="0.3">
      <c r="A25" s="9">
        <v>44643</v>
      </c>
      <c r="B25" s="40">
        <v>209</v>
      </c>
      <c r="C25" s="146">
        <v>19431</v>
      </c>
      <c r="D25" s="40">
        <f t="shared" si="4"/>
        <v>480</v>
      </c>
      <c r="E25" s="147">
        <v>30239373</v>
      </c>
      <c r="F25" s="40">
        <f t="shared" si="5"/>
        <v>11900</v>
      </c>
      <c r="G25" s="148">
        <v>96498299</v>
      </c>
      <c r="H25" s="40">
        <f t="shared" si="6"/>
        <v>37349</v>
      </c>
      <c r="I25" s="149">
        <f t="shared" si="7"/>
        <v>49249</v>
      </c>
      <c r="J25" s="147">
        <v>9612343</v>
      </c>
      <c r="K25" s="40">
        <f t="shared" si="15"/>
        <v>9566</v>
      </c>
      <c r="L25" s="150">
        <v>9668700</v>
      </c>
      <c r="M25" s="40">
        <f t="shared" si="8"/>
        <v>5645</v>
      </c>
      <c r="N25" s="147">
        <v>6436428</v>
      </c>
      <c r="O25" s="40">
        <f t="shared" si="16"/>
        <v>6106</v>
      </c>
      <c r="P25" s="150">
        <v>5999572</v>
      </c>
      <c r="Q25" s="40">
        <f t="shared" si="9"/>
        <v>1059</v>
      </c>
      <c r="R25" s="147">
        <v>20534653</v>
      </c>
      <c r="S25" s="40">
        <f t="shared" si="10"/>
        <v>8913</v>
      </c>
      <c r="T25" s="147">
        <v>0</v>
      </c>
      <c r="U25" s="151"/>
      <c r="V25" s="147">
        <v>8443382</v>
      </c>
      <c r="W25" s="40">
        <f t="shared" si="11"/>
        <v>10078</v>
      </c>
      <c r="X25" s="20">
        <f t="shared" si="12"/>
        <v>41367</v>
      </c>
      <c r="Y25" s="152">
        <f t="shared" si="13"/>
        <v>7882</v>
      </c>
      <c r="Z25" s="3">
        <f t="shared" si="14"/>
        <v>5646.6670832000009</v>
      </c>
      <c r="AA25" s="3">
        <f t="shared" si="17"/>
        <v>24990.013276800004</v>
      </c>
    </row>
    <row r="26" spans="1:27" ht="16.5" thickBot="1" x14ac:dyDescent="0.3">
      <c r="A26" s="9">
        <v>44644</v>
      </c>
      <c r="B26" s="40">
        <v>223</v>
      </c>
      <c r="C26" s="146">
        <v>19434</v>
      </c>
      <c r="D26" s="40">
        <f t="shared" si="4"/>
        <v>480</v>
      </c>
      <c r="E26" s="147">
        <v>30253887</v>
      </c>
      <c r="F26" s="40">
        <f t="shared" si="5"/>
        <v>14514</v>
      </c>
      <c r="G26" s="148">
        <v>96546584</v>
      </c>
      <c r="H26" s="40">
        <f t="shared" si="6"/>
        <v>48285</v>
      </c>
      <c r="I26" s="149">
        <f t="shared" si="7"/>
        <v>62799</v>
      </c>
      <c r="J26" s="147">
        <v>9618417</v>
      </c>
      <c r="K26" s="40">
        <f t="shared" si="15"/>
        <v>12148</v>
      </c>
      <c r="L26" s="150">
        <v>9675489</v>
      </c>
      <c r="M26" s="40">
        <f t="shared" si="8"/>
        <v>6789</v>
      </c>
      <c r="N26" s="147">
        <v>6440205</v>
      </c>
      <c r="O26" s="40">
        <f t="shared" si="16"/>
        <v>7554</v>
      </c>
      <c r="P26" s="150">
        <v>5999974</v>
      </c>
      <c r="Q26" s="40">
        <f t="shared" si="9"/>
        <v>402</v>
      </c>
      <c r="R26" s="147">
        <v>20546505</v>
      </c>
      <c r="S26" s="40">
        <f t="shared" si="10"/>
        <v>11852</v>
      </c>
      <c r="T26" s="147">
        <v>0</v>
      </c>
      <c r="U26" s="151"/>
      <c r="V26" s="147">
        <v>8456492</v>
      </c>
      <c r="W26" s="40">
        <f t="shared" si="11"/>
        <v>13110</v>
      </c>
      <c r="X26" s="20">
        <f t="shared" si="12"/>
        <v>51855</v>
      </c>
      <c r="Y26" s="152">
        <f t="shared" si="13"/>
        <v>10944</v>
      </c>
      <c r="Z26" s="3">
        <f t="shared" si="14"/>
        <v>7210.4310304000001</v>
      </c>
      <c r="AA26" s="3">
        <f t="shared" si="17"/>
        <v>24863.427471999999</v>
      </c>
    </row>
    <row r="27" spans="1:27" ht="16.5" thickBot="1" x14ac:dyDescent="0.3">
      <c r="A27" s="9">
        <v>44645</v>
      </c>
      <c r="B27" s="40">
        <v>200</v>
      </c>
      <c r="C27" s="146">
        <v>19438</v>
      </c>
      <c r="D27" s="40">
        <f t="shared" si="4"/>
        <v>640</v>
      </c>
      <c r="E27" s="147">
        <v>30264206</v>
      </c>
      <c r="F27" s="40">
        <f t="shared" si="5"/>
        <v>10319</v>
      </c>
      <c r="G27" s="148">
        <v>96580574</v>
      </c>
      <c r="H27" s="40">
        <f t="shared" si="6"/>
        <v>33990</v>
      </c>
      <c r="I27" s="149">
        <f t="shared" si="7"/>
        <v>44309</v>
      </c>
      <c r="J27" s="147">
        <v>9622365</v>
      </c>
      <c r="K27" s="40">
        <f t="shared" si="15"/>
        <v>7896</v>
      </c>
      <c r="L27" s="150">
        <v>9680046</v>
      </c>
      <c r="M27" s="40">
        <f t="shared" si="8"/>
        <v>4557</v>
      </c>
      <c r="N27" s="147">
        <v>6442970</v>
      </c>
      <c r="O27" s="40">
        <f t="shared" si="16"/>
        <v>5530</v>
      </c>
      <c r="P27" s="150">
        <v>6000969</v>
      </c>
      <c r="Q27" s="40">
        <f t="shared" si="9"/>
        <v>995</v>
      </c>
      <c r="R27" s="147">
        <v>20555300</v>
      </c>
      <c r="S27" s="40">
        <f t="shared" si="10"/>
        <v>8795</v>
      </c>
      <c r="T27" s="147">
        <v>0</v>
      </c>
      <c r="U27" s="151"/>
      <c r="V27" s="147">
        <v>8464562</v>
      </c>
      <c r="W27" s="40">
        <f t="shared" si="11"/>
        <v>8070</v>
      </c>
      <c r="X27" s="20">
        <f t="shared" si="12"/>
        <v>35843</v>
      </c>
      <c r="Y27" s="152">
        <f t="shared" si="13"/>
        <v>8466</v>
      </c>
      <c r="Z27" s="3">
        <f t="shared" si="14"/>
        <v>5038.0030479999996</v>
      </c>
      <c r="AA27" s="3">
        <f t="shared" si="17"/>
        <v>24070.882243199998</v>
      </c>
    </row>
    <row r="28" spans="1:27" ht="16.5" thickBot="1" x14ac:dyDescent="0.3">
      <c r="A28" s="9">
        <v>44646</v>
      </c>
      <c r="B28" s="40">
        <v>320</v>
      </c>
      <c r="C28" s="146">
        <v>19441</v>
      </c>
      <c r="D28" s="40">
        <f t="shared" si="4"/>
        <v>480</v>
      </c>
      <c r="E28" s="147">
        <v>30276290</v>
      </c>
      <c r="F28" s="40">
        <f t="shared" si="5"/>
        <v>12084</v>
      </c>
      <c r="G28" s="148">
        <v>96618760</v>
      </c>
      <c r="H28" s="40">
        <f t="shared" si="6"/>
        <v>38186</v>
      </c>
      <c r="I28" s="149">
        <f t="shared" si="7"/>
        <v>50270</v>
      </c>
      <c r="J28" s="147">
        <v>9627047</v>
      </c>
      <c r="K28" s="40">
        <f t="shared" si="15"/>
        <v>9364</v>
      </c>
      <c r="L28" s="150">
        <v>9685346</v>
      </c>
      <c r="M28" s="40">
        <f t="shared" si="8"/>
        <v>5300</v>
      </c>
      <c r="N28" s="147">
        <v>6446330</v>
      </c>
      <c r="O28" s="40">
        <f t="shared" si="16"/>
        <v>6720</v>
      </c>
      <c r="P28" s="150">
        <v>6003633</v>
      </c>
      <c r="Q28" s="40">
        <f t="shared" si="9"/>
        <v>2664</v>
      </c>
      <c r="R28" s="147">
        <v>20564836</v>
      </c>
      <c r="S28" s="40">
        <f t="shared" si="10"/>
        <v>9536</v>
      </c>
      <c r="T28" s="147">
        <v>0</v>
      </c>
      <c r="U28" s="151"/>
      <c r="V28" s="147">
        <v>8475765</v>
      </c>
      <c r="W28" s="40">
        <f t="shared" si="11"/>
        <v>11203</v>
      </c>
      <c r="X28" s="20">
        <f t="shared" si="12"/>
        <v>44787</v>
      </c>
      <c r="Y28" s="152">
        <f t="shared" si="13"/>
        <v>5483</v>
      </c>
      <c r="Z28" s="3">
        <f t="shared" si="14"/>
        <v>6392.1734448000007</v>
      </c>
      <c r="AA28" s="3">
        <f t="shared" si="17"/>
        <v>24287.274606400002</v>
      </c>
    </row>
    <row r="29" spans="1:27" ht="16.5" thickBot="1" x14ac:dyDescent="0.3">
      <c r="A29" s="9">
        <v>44647</v>
      </c>
      <c r="B29" s="40">
        <v>311</v>
      </c>
      <c r="C29" s="146">
        <v>19443</v>
      </c>
      <c r="D29" s="40">
        <f t="shared" si="4"/>
        <v>320</v>
      </c>
      <c r="E29" s="147">
        <v>30288932</v>
      </c>
      <c r="F29" s="40">
        <f t="shared" si="5"/>
        <v>12642</v>
      </c>
      <c r="G29" s="148">
        <v>96655373</v>
      </c>
      <c r="H29" s="40">
        <f t="shared" si="6"/>
        <v>36613</v>
      </c>
      <c r="I29" s="149">
        <f t="shared" si="7"/>
        <v>49255</v>
      </c>
      <c r="J29" s="147">
        <v>9631711</v>
      </c>
      <c r="K29" s="40">
        <f t="shared" si="15"/>
        <v>9328</v>
      </c>
      <c r="L29" s="150">
        <v>9690921</v>
      </c>
      <c r="M29" s="40">
        <f t="shared" si="8"/>
        <v>5575</v>
      </c>
      <c r="N29" s="147">
        <v>6449791</v>
      </c>
      <c r="O29" s="40">
        <f t="shared" si="16"/>
        <v>6922</v>
      </c>
      <c r="P29" s="150">
        <v>6006207</v>
      </c>
      <c r="Q29" s="40">
        <f t="shared" si="9"/>
        <v>2574</v>
      </c>
      <c r="R29" s="147">
        <v>20573832</v>
      </c>
      <c r="S29" s="40">
        <f t="shared" si="10"/>
        <v>8996</v>
      </c>
      <c r="T29" s="147">
        <v>0</v>
      </c>
      <c r="U29" s="151"/>
      <c r="V29" s="147">
        <v>8485532</v>
      </c>
      <c r="W29" s="40">
        <f t="shared" si="11"/>
        <v>9767</v>
      </c>
      <c r="X29" s="20">
        <f t="shared" si="12"/>
        <v>43162</v>
      </c>
      <c r="Y29" s="152">
        <f t="shared" si="13"/>
        <v>6093</v>
      </c>
      <c r="Z29" s="3">
        <f t="shared" si="14"/>
        <v>5928.7822256000009</v>
      </c>
      <c r="AA29" s="3">
        <f t="shared" si="17"/>
        <v>24569.3897488</v>
      </c>
    </row>
    <row r="30" spans="1:27" ht="16.5" thickBot="1" x14ac:dyDescent="0.3">
      <c r="A30" s="9">
        <v>44648</v>
      </c>
      <c r="B30" s="40"/>
      <c r="C30" s="146"/>
      <c r="D30" s="40">
        <f t="shared" si="4"/>
        <v>0</v>
      </c>
      <c r="E30" s="147"/>
      <c r="F30" s="40" t="str">
        <f t="shared" si="5"/>
        <v>0</v>
      </c>
      <c r="G30" s="148"/>
      <c r="H30" s="40" t="str">
        <f t="shared" si="6"/>
        <v>0</v>
      </c>
      <c r="I30" s="149">
        <f t="shared" si="7"/>
        <v>0</v>
      </c>
      <c r="J30" s="147"/>
      <c r="K30" s="40">
        <f t="shared" si="15"/>
        <v>0</v>
      </c>
      <c r="L30" s="150"/>
      <c r="M30" s="40" t="str">
        <f t="shared" si="8"/>
        <v>0</v>
      </c>
      <c r="N30" s="147"/>
      <c r="O30" s="40">
        <f t="shared" si="16"/>
        <v>0</v>
      </c>
      <c r="P30" s="150"/>
      <c r="Q30" s="40" t="str">
        <f t="shared" si="9"/>
        <v>0</v>
      </c>
      <c r="R30" s="147"/>
      <c r="S30" s="40" t="str">
        <f t="shared" si="10"/>
        <v>0</v>
      </c>
      <c r="T30" s="147">
        <v>0</v>
      </c>
      <c r="U30" s="151"/>
      <c r="V30" s="147"/>
      <c r="W30" s="40" t="str">
        <f t="shared" si="11"/>
        <v>0</v>
      </c>
      <c r="X30" s="20">
        <f t="shared" si="12"/>
        <v>0</v>
      </c>
      <c r="Y30" s="152">
        <f t="shared" si="13"/>
        <v>0</v>
      </c>
      <c r="Z30" s="3">
        <f t="shared" si="14"/>
        <v>0</v>
      </c>
      <c r="AA30" s="3">
        <f t="shared" si="17"/>
        <v>17358.958718400001</v>
      </c>
    </row>
    <row r="31" spans="1:27" ht="16.5" thickBot="1" x14ac:dyDescent="0.3">
      <c r="A31" s="6" t="s">
        <v>23</v>
      </c>
      <c r="B31" s="138">
        <f>SUM(B3:B30)</f>
        <v>7200</v>
      </c>
      <c r="C31" s="138"/>
      <c r="D31" s="138">
        <f>SUM(D3:D30)</f>
        <v>12640</v>
      </c>
      <c r="E31" s="57">
        <v>0</v>
      </c>
      <c r="F31" s="57">
        <f>SUM(F3:F30)</f>
        <v>334038</v>
      </c>
      <c r="G31" s="57">
        <v>0</v>
      </c>
      <c r="H31" s="57">
        <f>SUM(H3:H30)</f>
        <v>1030274</v>
      </c>
      <c r="I31" s="57">
        <f>SUM(I6:I30)</f>
        <v>1209277</v>
      </c>
      <c r="J31" s="57">
        <v>0</v>
      </c>
      <c r="K31" s="57">
        <f>SUM(K3:K30)</f>
        <v>246574</v>
      </c>
      <c r="L31" s="57">
        <v>0</v>
      </c>
      <c r="M31" s="57">
        <f>SUM(M3:M30)</f>
        <v>154380</v>
      </c>
      <c r="N31" s="57">
        <v>0</v>
      </c>
      <c r="O31" s="57">
        <f>SUM(O3:O30)</f>
        <v>175594</v>
      </c>
      <c r="P31" s="57">
        <v>0</v>
      </c>
      <c r="Q31" s="57">
        <f>SUM(Q3:Q30)</f>
        <v>72290</v>
      </c>
      <c r="R31" s="57">
        <v>0</v>
      </c>
      <c r="S31" s="57">
        <f>SUM(S3:S30)</f>
        <v>260979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273417</v>
      </c>
      <c r="X31" s="57">
        <f>SUM(X6:X30)</f>
        <v>1050798</v>
      </c>
      <c r="Y31" s="57">
        <f>SUM(Y3:Y30)</f>
        <v>181078</v>
      </c>
      <c r="Z31" s="57">
        <f>SUM(Z3:Z30)</f>
        <v>165591.70293120004</v>
      </c>
      <c r="AA31" s="57">
        <f>SUM(AA3:AA30)</f>
        <v>637670.84376319987</v>
      </c>
    </row>
    <row r="34" spans="1:27" x14ac:dyDescent="0.25">
      <c r="D34" s="165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11" activePane="bottomLeft" state="frozen"/>
      <selection pane="bottomLeft" activeCell="A29" sqref="A29:XFD29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44620</v>
      </c>
      <c r="B2" s="3">
        <v>440739</v>
      </c>
      <c r="C2" s="40"/>
      <c r="D2" s="3">
        <v>4136</v>
      </c>
      <c r="E2" s="40"/>
      <c r="F2" s="3">
        <v>7956100</v>
      </c>
      <c r="G2" s="40"/>
      <c r="H2" s="3">
        <v>777261</v>
      </c>
      <c r="I2" s="45"/>
      <c r="J2" s="20"/>
      <c r="K2" s="21"/>
    </row>
    <row r="3" spans="1:14" ht="16.5" thickBot="1" x14ac:dyDescent="0.3">
      <c r="A3" s="9">
        <v>44621</v>
      </c>
      <c r="B3" s="3">
        <v>440827</v>
      </c>
      <c r="C3" s="40">
        <f t="shared" ref="C3:E18" si="0">(IF((B3-B2)&lt;0,"0",(B3-B2)))*10</f>
        <v>880</v>
      </c>
      <c r="D3" s="3">
        <v>4183</v>
      </c>
      <c r="E3" s="40">
        <f t="shared" si="0"/>
        <v>470</v>
      </c>
      <c r="F3" s="3">
        <v>7968000</v>
      </c>
      <c r="G3" s="40">
        <f>(IF((F3-F2)&lt;0,"0",(F3-F2)))*0.027</f>
        <v>321.3</v>
      </c>
      <c r="H3" s="3">
        <v>777431</v>
      </c>
      <c r="I3" s="45">
        <f>(IF((H3-H2)&lt;0,"0",(H3-H2)))*0.027</f>
        <v>4.59</v>
      </c>
      <c r="J3" s="20">
        <f>C3+E3+G3+I3</f>
        <v>1675.8899999999999</v>
      </c>
      <c r="K3" s="21">
        <f>J3*5.86</f>
        <v>9820.7153999999991</v>
      </c>
    </row>
    <row r="4" spans="1:14" ht="16.5" thickBot="1" x14ac:dyDescent="0.3">
      <c r="A4" s="9">
        <v>44622</v>
      </c>
      <c r="B4" s="3">
        <v>440922</v>
      </c>
      <c r="C4" s="40">
        <f t="shared" si="0"/>
        <v>950</v>
      </c>
      <c r="D4" s="3">
        <v>4230</v>
      </c>
      <c r="E4" s="40">
        <f t="shared" si="0"/>
        <v>470</v>
      </c>
      <c r="F4" s="3">
        <v>7982700</v>
      </c>
      <c r="G4" s="40">
        <f>(IF((F4-F3)&lt;0,"0",(F4-F3)))*0.027</f>
        <v>396.9</v>
      </c>
      <c r="H4" s="3">
        <v>777621</v>
      </c>
      <c r="I4" s="45">
        <f>(IF((H4-H3)&lt;0,"0",(H4-H3)))*0.027</f>
        <v>5.13</v>
      </c>
      <c r="J4" s="20">
        <f t="shared" ref="J4:J30" si="1">C4+E4+G4+I4</f>
        <v>1822.0300000000002</v>
      </c>
      <c r="K4" s="21">
        <f t="shared" ref="K4:K30" si="2">J4*5.86</f>
        <v>10677.095800000001</v>
      </c>
    </row>
    <row r="5" spans="1:14" ht="16.5" thickBot="1" x14ac:dyDescent="0.3">
      <c r="A5" s="9">
        <v>44623</v>
      </c>
      <c r="B5" s="3">
        <v>441013</v>
      </c>
      <c r="C5" s="40">
        <f t="shared" si="0"/>
        <v>910</v>
      </c>
      <c r="D5" s="3">
        <v>4284</v>
      </c>
      <c r="E5" s="40">
        <f t="shared" si="0"/>
        <v>540</v>
      </c>
      <c r="F5" s="3">
        <v>7997400</v>
      </c>
      <c r="G5" s="40">
        <f t="shared" ref="G5:G30" si="3">(IF((F5-F4)&lt;0,"0",(F5-F4)))*0.027</f>
        <v>396.9</v>
      </c>
      <c r="H5" s="3">
        <v>777800</v>
      </c>
      <c r="I5" s="45">
        <f t="shared" ref="I5:I30" si="4">(IF((H5-H4)&lt;0,"0",(H5-H4)))*0.027</f>
        <v>4.8330000000000002</v>
      </c>
      <c r="J5" s="20">
        <f t="shared" si="1"/>
        <v>1851.7330000000002</v>
      </c>
      <c r="K5" s="21">
        <f t="shared" si="2"/>
        <v>10851.155380000002</v>
      </c>
    </row>
    <row r="6" spans="1:14" ht="16.5" thickBot="1" x14ac:dyDescent="0.3">
      <c r="A6" s="9">
        <v>44624</v>
      </c>
      <c r="B6" s="3">
        <v>441099</v>
      </c>
      <c r="C6" s="40">
        <f t="shared" si="0"/>
        <v>860</v>
      </c>
      <c r="D6" s="3">
        <v>4321</v>
      </c>
      <c r="E6" s="40">
        <f t="shared" si="0"/>
        <v>370</v>
      </c>
      <c r="F6" s="3">
        <v>8009800</v>
      </c>
      <c r="G6" s="40">
        <f t="shared" si="3"/>
        <v>334.8</v>
      </c>
      <c r="H6" s="3">
        <v>777903</v>
      </c>
      <c r="I6" s="45">
        <f t="shared" si="4"/>
        <v>2.7810000000000001</v>
      </c>
      <c r="J6" s="20">
        <f t="shared" si="1"/>
        <v>1567.5809999999999</v>
      </c>
      <c r="K6" s="21">
        <f t="shared" si="2"/>
        <v>9186.0246599999991</v>
      </c>
    </row>
    <row r="7" spans="1:14" ht="16.5" thickBot="1" x14ac:dyDescent="0.3">
      <c r="A7" s="9">
        <v>44625</v>
      </c>
      <c r="B7" s="3">
        <v>441188</v>
      </c>
      <c r="C7" s="40">
        <f t="shared" si="0"/>
        <v>890</v>
      </c>
      <c r="D7" s="3">
        <v>4364</v>
      </c>
      <c r="E7" s="40">
        <f t="shared" si="0"/>
        <v>430</v>
      </c>
      <c r="F7" s="3">
        <v>8022100</v>
      </c>
      <c r="G7" s="40">
        <f t="shared" si="3"/>
        <v>332.1</v>
      </c>
      <c r="H7" s="3">
        <v>778040</v>
      </c>
      <c r="I7" s="45">
        <f t="shared" si="4"/>
        <v>3.6989999999999998</v>
      </c>
      <c r="J7" s="20">
        <f t="shared" si="1"/>
        <v>1655.799</v>
      </c>
      <c r="K7" s="21">
        <f t="shared" si="2"/>
        <v>9702.9821400000001</v>
      </c>
      <c r="L7" t="s">
        <v>12</v>
      </c>
      <c r="N7" t="s">
        <v>12</v>
      </c>
    </row>
    <row r="8" spans="1:14" ht="16.5" thickBot="1" x14ac:dyDescent="0.3">
      <c r="A8" s="9">
        <v>44626</v>
      </c>
      <c r="B8" s="3">
        <v>441278</v>
      </c>
      <c r="C8" s="40">
        <f t="shared" si="0"/>
        <v>900</v>
      </c>
      <c r="D8" s="3">
        <v>4412</v>
      </c>
      <c r="E8" s="40">
        <f t="shared" si="0"/>
        <v>480</v>
      </c>
      <c r="F8" s="3">
        <v>8035200</v>
      </c>
      <c r="G8" s="40">
        <f t="shared" si="3"/>
        <v>353.7</v>
      </c>
      <c r="H8" s="3">
        <v>778177</v>
      </c>
      <c r="I8" s="45">
        <f t="shared" si="4"/>
        <v>3.6989999999999998</v>
      </c>
      <c r="J8" s="20">
        <f t="shared" si="1"/>
        <v>1737.3990000000001</v>
      </c>
      <c r="K8" s="21">
        <f t="shared" si="2"/>
        <v>10181.158140000001</v>
      </c>
    </row>
    <row r="9" spans="1:14" ht="16.5" thickBot="1" x14ac:dyDescent="0.3">
      <c r="A9" s="9">
        <v>44627</v>
      </c>
      <c r="B9" s="3">
        <v>441375</v>
      </c>
      <c r="C9" s="40">
        <f t="shared" ref="C9:C30" si="5">(IF((B9-B8)&lt;0,"0",(B9-B8)))*10</f>
        <v>970</v>
      </c>
      <c r="D9" s="3">
        <v>4462</v>
      </c>
      <c r="E9" s="40">
        <f t="shared" si="0"/>
        <v>500</v>
      </c>
      <c r="F9" s="3">
        <v>8047500</v>
      </c>
      <c r="G9" s="40">
        <f t="shared" si="3"/>
        <v>332.1</v>
      </c>
      <c r="H9" s="3">
        <v>778302</v>
      </c>
      <c r="I9" s="45">
        <f t="shared" si="4"/>
        <v>3.375</v>
      </c>
      <c r="J9" s="20">
        <f t="shared" si="1"/>
        <v>1805.4749999999999</v>
      </c>
      <c r="K9" s="21">
        <f t="shared" si="2"/>
        <v>10580.083500000001</v>
      </c>
    </row>
    <row r="10" spans="1:14" ht="16.5" thickBot="1" x14ac:dyDescent="0.3">
      <c r="A10" s="9">
        <v>44628</v>
      </c>
      <c r="B10" s="3">
        <v>441479</v>
      </c>
      <c r="C10" s="40">
        <f>(IF((B10-B9)&lt;0,"0",(B10-B9)))*10</f>
        <v>1040</v>
      </c>
      <c r="D10" s="3">
        <v>4511</v>
      </c>
      <c r="E10" s="40">
        <f t="shared" si="0"/>
        <v>490</v>
      </c>
      <c r="F10" s="3">
        <v>8062000</v>
      </c>
      <c r="G10" s="40">
        <f t="shared" si="3"/>
        <v>391.5</v>
      </c>
      <c r="H10" s="3">
        <v>778444</v>
      </c>
      <c r="I10" s="45">
        <f t="shared" si="4"/>
        <v>3.8340000000000001</v>
      </c>
      <c r="J10" s="20">
        <f t="shared" si="1"/>
        <v>1925.3340000000001</v>
      </c>
      <c r="K10" s="21">
        <f t="shared" si="2"/>
        <v>11282.457240000002</v>
      </c>
    </row>
    <row r="11" spans="1:14" ht="16.5" thickBot="1" x14ac:dyDescent="0.3">
      <c r="A11" s="9">
        <v>44629</v>
      </c>
      <c r="B11" s="3">
        <v>441582</v>
      </c>
      <c r="C11" s="40">
        <f t="shared" si="5"/>
        <v>1030</v>
      </c>
      <c r="D11" s="3">
        <v>4563</v>
      </c>
      <c r="E11" s="40">
        <f t="shared" si="0"/>
        <v>520</v>
      </c>
      <c r="F11" s="3">
        <v>8075700</v>
      </c>
      <c r="G11" s="40">
        <f t="shared" si="3"/>
        <v>369.9</v>
      </c>
      <c r="H11" s="3">
        <v>778588</v>
      </c>
      <c r="I11" s="45">
        <f t="shared" si="4"/>
        <v>3.8879999999999999</v>
      </c>
      <c r="J11" s="20">
        <f t="shared" si="1"/>
        <v>1923.788</v>
      </c>
      <c r="K11" s="21">
        <f t="shared" si="2"/>
        <v>11273.39768</v>
      </c>
      <c r="N11" t="s">
        <v>12</v>
      </c>
    </row>
    <row r="12" spans="1:14" ht="16.5" thickBot="1" x14ac:dyDescent="0.3">
      <c r="A12" s="9">
        <v>44630</v>
      </c>
      <c r="B12" s="3">
        <v>441754</v>
      </c>
      <c r="C12" s="40">
        <f t="shared" si="5"/>
        <v>1720</v>
      </c>
      <c r="D12" s="3">
        <v>4686</v>
      </c>
      <c r="E12" s="40">
        <f t="shared" si="0"/>
        <v>1230</v>
      </c>
      <c r="F12" s="3">
        <v>8089100</v>
      </c>
      <c r="G12" s="40">
        <f t="shared" si="3"/>
        <v>361.8</v>
      </c>
      <c r="H12" s="3">
        <v>778744</v>
      </c>
      <c r="I12" s="45">
        <f t="shared" si="4"/>
        <v>4.2119999999999997</v>
      </c>
      <c r="J12" s="20">
        <f t="shared" si="1"/>
        <v>3316.0120000000002</v>
      </c>
      <c r="K12" s="21">
        <f t="shared" si="2"/>
        <v>19431.830320000001</v>
      </c>
    </row>
    <row r="13" spans="1:14" ht="16.5" thickBot="1" x14ac:dyDescent="0.3">
      <c r="A13" s="9">
        <v>44631</v>
      </c>
      <c r="B13" s="3">
        <v>441856</v>
      </c>
      <c r="C13" s="40">
        <f t="shared" si="5"/>
        <v>1020</v>
      </c>
      <c r="D13" s="3">
        <v>4737</v>
      </c>
      <c r="E13" s="40">
        <f t="shared" si="0"/>
        <v>510</v>
      </c>
      <c r="F13" s="3">
        <v>8103600</v>
      </c>
      <c r="G13" s="40">
        <f t="shared" si="3"/>
        <v>391.5</v>
      </c>
      <c r="H13" s="3">
        <v>778920</v>
      </c>
      <c r="I13" s="45">
        <f t="shared" si="4"/>
        <v>4.7519999999999998</v>
      </c>
      <c r="J13" s="20">
        <f t="shared" si="1"/>
        <v>1926.252</v>
      </c>
      <c r="K13" s="21">
        <f t="shared" si="2"/>
        <v>11287.836720000001</v>
      </c>
    </row>
    <row r="14" spans="1:14" ht="16.5" thickBot="1" x14ac:dyDescent="0.3">
      <c r="A14" s="9">
        <v>44632</v>
      </c>
      <c r="B14" s="3">
        <v>441961</v>
      </c>
      <c r="C14" s="40">
        <f t="shared" si="5"/>
        <v>1050</v>
      </c>
      <c r="D14" s="3">
        <v>4787</v>
      </c>
      <c r="E14" s="40">
        <f t="shared" si="0"/>
        <v>500</v>
      </c>
      <c r="F14" s="3">
        <v>8117400</v>
      </c>
      <c r="G14" s="40">
        <f t="shared" si="3"/>
        <v>372.6</v>
      </c>
      <c r="H14" s="3">
        <v>779101</v>
      </c>
      <c r="I14" s="45">
        <f t="shared" si="4"/>
        <v>4.8869999999999996</v>
      </c>
      <c r="J14" s="20">
        <f t="shared" si="1"/>
        <v>1927.4869999999999</v>
      </c>
      <c r="K14" s="21">
        <f t="shared" si="2"/>
        <v>11295.07382</v>
      </c>
    </row>
    <row r="15" spans="1:14" ht="16.5" thickBot="1" x14ac:dyDescent="0.3">
      <c r="A15" s="9">
        <v>44633</v>
      </c>
      <c r="B15" s="3">
        <v>442066</v>
      </c>
      <c r="C15" s="40">
        <f t="shared" si="5"/>
        <v>1050</v>
      </c>
      <c r="D15" s="3">
        <v>4835</v>
      </c>
      <c r="E15" s="40">
        <f t="shared" si="0"/>
        <v>480</v>
      </c>
      <c r="F15" s="3">
        <v>8132000</v>
      </c>
      <c r="G15" s="40">
        <f t="shared" si="3"/>
        <v>394.2</v>
      </c>
      <c r="H15" s="3">
        <v>779288</v>
      </c>
      <c r="I15" s="45">
        <f t="shared" si="4"/>
        <v>5.0490000000000004</v>
      </c>
      <c r="J15" s="20">
        <f t="shared" si="1"/>
        <v>1929.249</v>
      </c>
      <c r="K15" s="21">
        <f t="shared" si="2"/>
        <v>11305.399140000001</v>
      </c>
    </row>
    <row r="16" spans="1:14" ht="16.5" thickBot="1" x14ac:dyDescent="0.3">
      <c r="A16" s="9">
        <v>44634</v>
      </c>
      <c r="B16" s="3">
        <v>442173</v>
      </c>
      <c r="C16" s="40">
        <f t="shared" si="5"/>
        <v>1070</v>
      </c>
      <c r="D16" s="3">
        <v>4889</v>
      </c>
      <c r="E16" s="40">
        <f t="shared" si="0"/>
        <v>540</v>
      </c>
      <c r="F16" s="3">
        <v>8148500</v>
      </c>
      <c r="G16" s="40">
        <f t="shared" si="3"/>
        <v>445.5</v>
      </c>
      <c r="H16" s="3">
        <v>779510</v>
      </c>
      <c r="I16" s="45">
        <f t="shared" si="4"/>
        <v>5.9939999999999998</v>
      </c>
      <c r="J16" s="20">
        <f t="shared" si="1"/>
        <v>2061.4940000000001</v>
      </c>
      <c r="K16" s="21">
        <f t="shared" si="2"/>
        <v>12080.354840000002</v>
      </c>
    </row>
    <row r="17" spans="1:25" ht="16.5" thickBot="1" x14ac:dyDescent="0.3">
      <c r="A17" s="9">
        <v>44635</v>
      </c>
      <c r="B17" s="3">
        <v>442282</v>
      </c>
      <c r="C17" s="40">
        <f t="shared" si="5"/>
        <v>1090</v>
      </c>
      <c r="D17" s="3">
        <v>4936</v>
      </c>
      <c r="E17" s="40">
        <f t="shared" si="0"/>
        <v>470</v>
      </c>
      <c r="F17" s="3">
        <v>8161000</v>
      </c>
      <c r="G17" s="40">
        <f t="shared" si="3"/>
        <v>337.5</v>
      </c>
      <c r="H17" s="3">
        <v>779716</v>
      </c>
      <c r="I17" s="45">
        <f t="shared" si="4"/>
        <v>5.5620000000000003</v>
      </c>
      <c r="J17" s="20">
        <f t="shared" si="1"/>
        <v>1903.0619999999999</v>
      </c>
      <c r="K17" s="21">
        <f t="shared" si="2"/>
        <v>11151.94332</v>
      </c>
      <c r="P17" t="s">
        <v>12</v>
      </c>
      <c r="R17" t="s">
        <v>12</v>
      </c>
    </row>
    <row r="18" spans="1:25" ht="16.5" thickBot="1" x14ac:dyDescent="0.3">
      <c r="A18" s="9">
        <v>44636</v>
      </c>
      <c r="B18" s="3">
        <v>442392</v>
      </c>
      <c r="C18" s="40">
        <f t="shared" si="5"/>
        <v>1100</v>
      </c>
      <c r="D18" s="3">
        <v>4986</v>
      </c>
      <c r="E18" s="40">
        <f t="shared" si="0"/>
        <v>500</v>
      </c>
      <c r="F18" s="3">
        <v>8174800</v>
      </c>
      <c r="G18" s="40">
        <f t="shared" si="3"/>
        <v>372.6</v>
      </c>
      <c r="H18" s="3">
        <v>779941</v>
      </c>
      <c r="I18" s="45">
        <f t="shared" si="4"/>
        <v>6.0750000000000002</v>
      </c>
      <c r="J18" s="20">
        <f t="shared" si="1"/>
        <v>1978.675</v>
      </c>
      <c r="K18" s="21">
        <f t="shared" si="2"/>
        <v>11595.0355</v>
      </c>
      <c r="Q18" t="s">
        <v>43</v>
      </c>
    </row>
    <row r="19" spans="1:25" ht="16.5" thickBot="1" x14ac:dyDescent="0.3">
      <c r="A19" s="9">
        <v>44637</v>
      </c>
      <c r="B19" s="3">
        <v>442502</v>
      </c>
      <c r="C19" s="40">
        <f t="shared" si="5"/>
        <v>1100</v>
      </c>
      <c r="D19" s="3">
        <v>5036</v>
      </c>
      <c r="E19" s="40">
        <f t="shared" ref="E19:E30" si="6">(IF((D19-D18)&lt;0,"0",(D19-D18)))*10</f>
        <v>500</v>
      </c>
      <c r="F19" s="3">
        <v>8188600</v>
      </c>
      <c r="G19" s="40">
        <f t="shared" si="3"/>
        <v>372.6</v>
      </c>
      <c r="H19" s="3">
        <v>780166</v>
      </c>
      <c r="I19" s="45">
        <f t="shared" si="4"/>
        <v>6.0750000000000002</v>
      </c>
      <c r="J19" s="20">
        <f t="shared" si="1"/>
        <v>1978.675</v>
      </c>
      <c r="K19" s="21">
        <f t="shared" si="2"/>
        <v>11595.0355</v>
      </c>
      <c r="Q19" t="s">
        <v>12</v>
      </c>
    </row>
    <row r="20" spans="1:25" ht="16.5" thickBot="1" x14ac:dyDescent="0.3">
      <c r="A20" s="9">
        <v>44638</v>
      </c>
      <c r="B20" s="3">
        <v>442545</v>
      </c>
      <c r="C20" s="40">
        <f t="shared" si="5"/>
        <v>430</v>
      </c>
      <c r="D20" s="3">
        <v>5083</v>
      </c>
      <c r="E20" s="40">
        <f t="shared" si="6"/>
        <v>470</v>
      </c>
      <c r="F20" s="3">
        <v>8199600</v>
      </c>
      <c r="G20" s="40">
        <f t="shared" si="3"/>
        <v>297</v>
      </c>
      <c r="H20" s="3">
        <v>780330</v>
      </c>
      <c r="I20" s="45">
        <f t="shared" si="4"/>
        <v>4.4279999999999999</v>
      </c>
      <c r="J20" s="20">
        <f t="shared" si="1"/>
        <v>1201.4280000000001</v>
      </c>
      <c r="K20" s="21">
        <f t="shared" si="2"/>
        <v>7040.3680800000011</v>
      </c>
    </row>
    <row r="21" spans="1:25" ht="16.5" thickBot="1" x14ac:dyDescent="0.3">
      <c r="A21" s="9">
        <v>44639</v>
      </c>
      <c r="B21" s="3">
        <v>442639</v>
      </c>
      <c r="C21" s="40">
        <f t="shared" si="5"/>
        <v>940</v>
      </c>
      <c r="D21" s="3">
        <v>5131</v>
      </c>
      <c r="E21" s="40">
        <f t="shared" si="6"/>
        <v>480</v>
      </c>
      <c r="F21" s="3">
        <v>8212800</v>
      </c>
      <c r="G21" s="40">
        <f t="shared" si="3"/>
        <v>356.4</v>
      </c>
      <c r="H21" s="3">
        <v>780501</v>
      </c>
      <c r="I21" s="45">
        <f t="shared" si="4"/>
        <v>4.617</v>
      </c>
      <c r="J21" s="20">
        <f t="shared" si="1"/>
        <v>1781.0170000000001</v>
      </c>
      <c r="K21" s="21">
        <f t="shared" si="2"/>
        <v>10436.759620000001</v>
      </c>
    </row>
    <row r="22" spans="1:25" ht="16.5" thickBot="1" x14ac:dyDescent="0.3">
      <c r="A22" s="9">
        <v>44640</v>
      </c>
      <c r="B22" s="3">
        <v>442797</v>
      </c>
      <c r="C22" s="40">
        <f t="shared" si="5"/>
        <v>1580</v>
      </c>
      <c r="D22" s="3">
        <v>5184</v>
      </c>
      <c r="E22" s="40">
        <f t="shared" si="6"/>
        <v>530</v>
      </c>
      <c r="F22" s="3">
        <v>8226000</v>
      </c>
      <c r="G22" s="40">
        <f t="shared" si="3"/>
        <v>356.4</v>
      </c>
      <c r="H22" s="3">
        <v>780695</v>
      </c>
      <c r="I22" s="45">
        <f t="shared" si="4"/>
        <v>5.2379999999999995</v>
      </c>
      <c r="J22" s="20">
        <f t="shared" si="1"/>
        <v>2471.6379999999999</v>
      </c>
      <c r="K22" s="21">
        <f t="shared" si="2"/>
        <v>14483.79868</v>
      </c>
      <c r="P22" t="s">
        <v>12</v>
      </c>
      <c r="S22" s="27" t="s">
        <v>12</v>
      </c>
    </row>
    <row r="23" spans="1:25" ht="16.5" thickBot="1" x14ac:dyDescent="0.3">
      <c r="A23" s="9">
        <v>44641</v>
      </c>
      <c r="B23" s="3">
        <v>442895</v>
      </c>
      <c r="C23" s="40">
        <f t="shared" si="5"/>
        <v>980</v>
      </c>
      <c r="D23" s="3">
        <v>5236</v>
      </c>
      <c r="E23" s="40">
        <f t="shared" si="6"/>
        <v>520</v>
      </c>
      <c r="F23" s="3">
        <v>8238700</v>
      </c>
      <c r="G23" s="40">
        <f t="shared" si="3"/>
        <v>342.9</v>
      </c>
      <c r="H23" s="3">
        <v>780880</v>
      </c>
      <c r="I23" s="45">
        <f t="shared" si="4"/>
        <v>4.9950000000000001</v>
      </c>
      <c r="J23" s="20">
        <f t="shared" si="1"/>
        <v>1847.895</v>
      </c>
      <c r="K23" s="21">
        <f t="shared" si="2"/>
        <v>10828.664700000001</v>
      </c>
      <c r="Q23" t="s">
        <v>12</v>
      </c>
    </row>
    <row r="24" spans="1:25" ht="16.5" thickBot="1" x14ac:dyDescent="0.3">
      <c r="A24" s="9">
        <v>44642</v>
      </c>
      <c r="B24" s="3">
        <v>443008</v>
      </c>
      <c r="C24" s="40">
        <f t="shared" si="5"/>
        <v>1130</v>
      </c>
      <c r="D24" s="3">
        <v>5310</v>
      </c>
      <c r="E24" s="40">
        <f t="shared" si="6"/>
        <v>740</v>
      </c>
      <c r="F24" s="3">
        <v>8249100</v>
      </c>
      <c r="G24" s="40">
        <f t="shared" si="3"/>
        <v>280.8</v>
      </c>
      <c r="H24" s="3">
        <v>781091</v>
      </c>
      <c r="I24" s="45">
        <f t="shared" si="4"/>
        <v>5.6970000000000001</v>
      </c>
      <c r="J24" s="20">
        <f t="shared" si="1"/>
        <v>2156.4970000000003</v>
      </c>
      <c r="K24" s="21">
        <f t="shared" si="2"/>
        <v>12637.072420000002</v>
      </c>
    </row>
    <row r="25" spans="1:25" ht="17.25" customHeight="1" thickBot="1" x14ac:dyDescent="0.4">
      <c r="A25" s="9">
        <v>44643</v>
      </c>
      <c r="B25" s="3">
        <v>443112</v>
      </c>
      <c r="C25" s="40">
        <f t="shared" si="5"/>
        <v>1040</v>
      </c>
      <c r="D25" s="3">
        <v>5368</v>
      </c>
      <c r="E25" s="40">
        <f t="shared" si="6"/>
        <v>580</v>
      </c>
      <c r="F25" s="3">
        <v>8260700</v>
      </c>
      <c r="G25" s="40">
        <f t="shared" si="3"/>
        <v>313.2</v>
      </c>
      <c r="H25" s="3">
        <v>781091</v>
      </c>
      <c r="I25" s="45">
        <f t="shared" si="4"/>
        <v>0</v>
      </c>
      <c r="J25" s="20">
        <f t="shared" si="1"/>
        <v>1933.2</v>
      </c>
      <c r="K25" s="21">
        <f t="shared" si="2"/>
        <v>11328.552000000001</v>
      </c>
      <c r="Y25" s="56"/>
    </row>
    <row r="26" spans="1:25" ht="16.5" thickBot="1" x14ac:dyDescent="0.3">
      <c r="A26" s="9">
        <v>44644</v>
      </c>
      <c r="B26" s="3">
        <v>443216</v>
      </c>
      <c r="C26" s="40">
        <f t="shared" si="5"/>
        <v>1040</v>
      </c>
      <c r="D26" s="3">
        <v>5426</v>
      </c>
      <c r="E26" s="40">
        <f t="shared" si="6"/>
        <v>580</v>
      </c>
      <c r="F26" s="3">
        <v>8272300</v>
      </c>
      <c r="G26" s="40">
        <f t="shared" si="3"/>
        <v>313.2</v>
      </c>
      <c r="H26" s="3">
        <v>781312</v>
      </c>
      <c r="I26" s="45">
        <f t="shared" si="4"/>
        <v>5.9669999999999996</v>
      </c>
      <c r="J26" s="20">
        <f t="shared" si="1"/>
        <v>1939.1670000000001</v>
      </c>
      <c r="K26" s="21">
        <f t="shared" si="2"/>
        <v>11363.518620000001</v>
      </c>
      <c r="L26" t="s">
        <v>12</v>
      </c>
    </row>
    <row r="27" spans="1:25" ht="16.5" thickBot="1" x14ac:dyDescent="0.3">
      <c r="A27" s="9">
        <v>44645</v>
      </c>
      <c r="B27" s="3">
        <v>443304</v>
      </c>
      <c r="C27" s="40">
        <f t="shared" si="5"/>
        <v>880</v>
      </c>
      <c r="D27" s="3">
        <v>5475</v>
      </c>
      <c r="E27" s="40">
        <f t="shared" si="6"/>
        <v>490</v>
      </c>
      <c r="F27" s="3">
        <v>8284800</v>
      </c>
      <c r="G27" s="40">
        <f t="shared" si="3"/>
        <v>337.5</v>
      </c>
      <c r="H27" s="3">
        <v>781657</v>
      </c>
      <c r="I27" s="45">
        <f t="shared" si="4"/>
        <v>9.3149999999999995</v>
      </c>
      <c r="J27" s="20">
        <f t="shared" si="1"/>
        <v>1716.8150000000001</v>
      </c>
      <c r="K27" s="21">
        <f t="shared" si="2"/>
        <v>10060.535900000001</v>
      </c>
      <c r="O27" t="s">
        <v>12</v>
      </c>
    </row>
    <row r="28" spans="1:25" ht="16.5" thickBot="1" x14ac:dyDescent="0.3">
      <c r="A28" s="9">
        <v>44646</v>
      </c>
      <c r="B28" s="3">
        <v>443377</v>
      </c>
      <c r="C28" s="40">
        <f t="shared" si="5"/>
        <v>730</v>
      </c>
      <c r="D28" s="3">
        <v>5527</v>
      </c>
      <c r="E28" s="40">
        <f t="shared" si="6"/>
        <v>520</v>
      </c>
      <c r="F28" s="3">
        <v>8295500</v>
      </c>
      <c r="G28" s="40">
        <f t="shared" si="3"/>
        <v>288.89999999999998</v>
      </c>
      <c r="H28" s="3">
        <v>781833</v>
      </c>
      <c r="I28" s="45">
        <f t="shared" si="4"/>
        <v>4.7519999999999998</v>
      </c>
      <c r="J28" s="20">
        <f t="shared" si="1"/>
        <v>1543.652</v>
      </c>
      <c r="K28" s="21">
        <f t="shared" si="2"/>
        <v>9045.8007200000011</v>
      </c>
    </row>
    <row r="29" spans="1:25" ht="16.5" thickBot="1" x14ac:dyDescent="0.3">
      <c r="A29" s="9">
        <v>44647</v>
      </c>
      <c r="B29" s="3">
        <v>443491</v>
      </c>
      <c r="C29" s="40">
        <f t="shared" si="5"/>
        <v>1140</v>
      </c>
      <c r="D29" s="3">
        <v>5586</v>
      </c>
      <c r="E29" s="40">
        <f t="shared" si="6"/>
        <v>590</v>
      </c>
      <c r="F29" s="3">
        <v>8308400</v>
      </c>
      <c r="G29" s="40">
        <f t="shared" si="3"/>
        <v>348.3</v>
      </c>
      <c r="H29" s="3">
        <v>782023</v>
      </c>
      <c r="I29" s="45">
        <f t="shared" si="4"/>
        <v>5.13</v>
      </c>
      <c r="J29" s="20">
        <f t="shared" si="1"/>
        <v>2083.4300000000003</v>
      </c>
      <c r="K29" s="21">
        <f t="shared" si="2"/>
        <v>12208.899800000003</v>
      </c>
    </row>
    <row r="30" spans="1:25" ht="16.5" thickBot="1" x14ac:dyDescent="0.3">
      <c r="A30" s="9">
        <v>44648</v>
      </c>
      <c r="B30" s="3"/>
      <c r="C30" s="40">
        <f t="shared" si="5"/>
        <v>0</v>
      </c>
      <c r="D30" s="3"/>
      <c r="E30" s="40">
        <f t="shared" si="6"/>
        <v>0</v>
      </c>
      <c r="F30" s="3"/>
      <c r="G30" s="40">
        <f t="shared" si="3"/>
        <v>0</v>
      </c>
      <c r="H30" s="3"/>
      <c r="I30" s="45">
        <f t="shared" si="4"/>
        <v>0</v>
      </c>
      <c r="J30" s="20">
        <f t="shared" si="1"/>
        <v>0</v>
      </c>
      <c r="K30" s="21">
        <f t="shared" si="2"/>
        <v>0</v>
      </c>
    </row>
    <row r="31" spans="1:25" ht="16.5" thickBot="1" x14ac:dyDescent="0.3">
      <c r="A31" s="57" t="s">
        <v>23</v>
      </c>
      <c r="B31" s="3"/>
      <c r="C31" s="57">
        <f>SUM(C4:C30)</f>
        <v>26640</v>
      </c>
      <c r="D31" s="3"/>
      <c r="E31" s="57">
        <f>SUM(E4:E30)</f>
        <v>14030</v>
      </c>
      <c r="F31" s="3"/>
      <c r="G31" s="57">
        <f>SUM(G4:G30)</f>
        <v>9190.7999999999993</v>
      </c>
      <c r="H31" s="3"/>
      <c r="I31" s="57">
        <f>SUM(I4:I30)</f>
        <v>123.98400000000001</v>
      </c>
      <c r="J31" s="57">
        <f>SUM(J4:J30)</f>
        <v>49984.784</v>
      </c>
      <c r="K31" s="57">
        <f>SUM(K4:K30)</f>
        <v>292910.83424000005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A29" sqref="A29:XFD29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44620</v>
      </c>
      <c r="B2" s="134">
        <v>18058989</v>
      </c>
      <c r="C2" s="46"/>
    </row>
    <row r="3" spans="1:9" ht="24" thickBot="1" x14ac:dyDescent="0.4">
      <c r="A3" s="9">
        <v>44621</v>
      </c>
      <c r="B3" s="134">
        <v>18062140</v>
      </c>
      <c r="C3" s="46">
        <f>IF((B3-B2)&lt;0,"0",(B3-B2))</f>
        <v>3151</v>
      </c>
    </row>
    <row r="4" spans="1:9" ht="24" thickBot="1" x14ac:dyDescent="0.4">
      <c r="A4" s="9">
        <v>44622</v>
      </c>
      <c r="B4" s="134">
        <v>18065424</v>
      </c>
      <c r="C4" s="46">
        <f t="shared" ref="C4:C30" si="0">IF((B4-B3)&lt;0,"0",(B4-B3))</f>
        <v>3284</v>
      </c>
    </row>
    <row r="5" spans="1:9" ht="24" thickBot="1" x14ac:dyDescent="0.4">
      <c r="A5" s="9">
        <v>44623</v>
      </c>
      <c r="B5" s="134">
        <v>18067954</v>
      </c>
      <c r="C5" s="46">
        <f t="shared" si="0"/>
        <v>2530</v>
      </c>
    </row>
    <row r="6" spans="1:9" ht="24" thickBot="1" x14ac:dyDescent="0.4">
      <c r="A6" s="9">
        <v>44624</v>
      </c>
      <c r="B6" s="134">
        <v>18071153</v>
      </c>
      <c r="C6" s="46">
        <f>IF((B6-B5)&lt;0,"0",(B6-B5))</f>
        <v>3199</v>
      </c>
    </row>
    <row r="7" spans="1:9" ht="24" thickBot="1" x14ac:dyDescent="0.4">
      <c r="A7" s="9">
        <v>44625</v>
      </c>
      <c r="B7" s="134">
        <v>18071798</v>
      </c>
      <c r="C7" s="46">
        <f>IF((B7-B6)&lt;0,"0",(B7-B6))</f>
        <v>645</v>
      </c>
    </row>
    <row r="8" spans="1:9" ht="24" thickBot="1" x14ac:dyDescent="0.4">
      <c r="A8" s="9">
        <v>44626</v>
      </c>
      <c r="B8" s="134">
        <v>18074851</v>
      </c>
      <c r="C8" s="46">
        <f>IF((B8-B7)&lt;0,"0",(B8-B7))</f>
        <v>3053</v>
      </c>
    </row>
    <row r="9" spans="1:9" ht="24" thickBot="1" x14ac:dyDescent="0.4">
      <c r="A9" s="9">
        <v>44627</v>
      </c>
      <c r="B9" s="134">
        <v>18077451</v>
      </c>
      <c r="C9" s="46">
        <f>IF((B9-B8)&lt;0,"0",(B9-B8))</f>
        <v>2600</v>
      </c>
    </row>
    <row r="10" spans="1:9" ht="24" thickBot="1" x14ac:dyDescent="0.4">
      <c r="A10" s="9">
        <v>44628</v>
      </c>
      <c r="B10" s="134">
        <v>18079846</v>
      </c>
      <c r="C10" s="46">
        <f t="shared" si="0"/>
        <v>2395</v>
      </c>
    </row>
    <row r="11" spans="1:9" ht="24" thickBot="1" x14ac:dyDescent="0.4">
      <c r="A11" s="9">
        <v>44629</v>
      </c>
      <c r="B11" s="134">
        <v>18083209</v>
      </c>
      <c r="C11" s="46">
        <f>IF((B11-B10)&lt;0,"0",(B11-B10))</f>
        <v>3363</v>
      </c>
    </row>
    <row r="12" spans="1:9" ht="24" thickBot="1" x14ac:dyDescent="0.4">
      <c r="A12" s="9">
        <v>44630</v>
      </c>
      <c r="B12" s="134">
        <v>18085941</v>
      </c>
      <c r="C12" s="46">
        <f t="shared" si="0"/>
        <v>2732</v>
      </c>
    </row>
    <row r="13" spans="1:9" ht="24" thickBot="1" x14ac:dyDescent="0.4">
      <c r="A13" s="9">
        <v>44631</v>
      </c>
      <c r="B13" s="134">
        <v>18088945</v>
      </c>
      <c r="C13" s="46">
        <f t="shared" si="0"/>
        <v>3004</v>
      </c>
    </row>
    <row r="14" spans="1:9" ht="24" thickBot="1" x14ac:dyDescent="0.4">
      <c r="A14" s="9">
        <v>44632</v>
      </c>
      <c r="B14" s="134">
        <v>18091993</v>
      </c>
      <c r="C14" s="46">
        <f t="shared" si="0"/>
        <v>3048</v>
      </c>
    </row>
    <row r="15" spans="1:9" ht="24" thickBot="1" x14ac:dyDescent="0.4">
      <c r="A15" s="9">
        <v>44633</v>
      </c>
      <c r="B15" s="134">
        <v>18095021</v>
      </c>
      <c r="C15" s="46">
        <f t="shared" si="0"/>
        <v>3028</v>
      </c>
      <c r="I15" t="s">
        <v>12</v>
      </c>
    </row>
    <row r="16" spans="1:9" ht="26.25" customHeight="1" thickBot="1" x14ac:dyDescent="0.4">
      <c r="A16" s="9">
        <v>44634</v>
      </c>
      <c r="B16" s="134">
        <v>18098827</v>
      </c>
      <c r="C16" s="46">
        <f t="shared" si="0"/>
        <v>3806</v>
      </c>
      <c r="F16" s="157"/>
    </row>
    <row r="17" spans="1:9" ht="25.5" customHeight="1" thickBot="1" x14ac:dyDescent="0.4">
      <c r="A17" s="9">
        <v>44635</v>
      </c>
      <c r="B17" s="134">
        <v>18102182</v>
      </c>
      <c r="C17" s="46">
        <f t="shared" si="0"/>
        <v>3355</v>
      </c>
    </row>
    <row r="18" spans="1:9" ht="24" thickBot="1" x14ac:dyDescent="0.4">
      <c r="A18" s="9">
        <v>44636</v>
      </c>
      <c r="B18" s="134">
        <v>18105637</v>
      </c>
      <c r="C18" s="46">
        <f t="shared" si="0"/>
        <v>3455</v>
      </c>
      <c r="I18" s="36"/>
    </row>
    <row r="19" spans="1:9" ht="24" thickBot="1" x14ac:dyDescent="0.4">
      <c r="A19" s="9">
        <v>44637</v>
      </c>
      <c r="B19" s="134">
        <v>18108865</v>
      </c>
      <c r="C19" s="46">
        <f t="shared" si="0"/>
        <v>3228</v>
      </c>
    </row>
    <row r="20" spans="1:9" ht="24" thickBot="1" x14ac:dyDescent="0.4">
      <c r="A20" s="9">
        <v>44638</v>
      </c>
      <c r="B20" s="134">
        <v>18111989</v>
      </c>
      <c r="C20" s="46">
        <f t="shared" si="0"/>
        <v>3124</v>
      </c>
    </row>
    <row r="21" spans="1:9" ht="24" thickBot="1" x14ac:dyDescent="0.4">
      <c r="A21" s="9">
        <v>44639</v>
      </c>
      <c r="B21" s="134">
        <v>18115032</v>
      </c>
      <c r="C21" s="46">
        <f t="shared" si="0"/>
        <v>3043</v>
      </c>
    </row>
    <row r="22" spans="1:9" ht="24" thickBot="1" x14ac:dyDescent="0.4">
      <c r="A22" s="9">
        <v>44640</v>
      </c>
      <c r="B22" s="134">
        <v>18118315</v>
      </c>
      <c r="C22" s="46">
        <f t="shared" si="0"/>
        <v>3283</v>
      </c>
    </row>
    <row r="23" spans="1:9" ht="24" thickBot="1" x14ac:dyDescent="0.4">
      <c r="A23" s="9">
        <v>44641</v>
      </c>
      <c r="B23" s="134">
        <v>18121463</v>
      </c>
      <c r="C23" s="46">
        <f t="shared" si="0"/>
        <v>3148</v>
      </c>
      <c r="F23" t="s">
        <v>12</v>
      </c>
    </row>
    <row r="24" spans="1:9" ht="24" thickBot="1" x14ac:dyDescent="0.4">
      <c r="A24" s="9">
        <v>44642</v>
      </c>
      <c r="B24" s="134">
        <v>18124212</v>
      </c>
      <c r="C24" s="46">
        <f t="shared" si="0"/>
        <v>2749</v>
      </c>
      <c r="E24" t="s">
        <v>12</v>
      </c>
    </row>
    <row r="25" spans="1:9" ht="24" thickBot="1" x14ac:dyDescent="0.4">
      <c r="A25" s="9">
        <v>44643</v>
      </c>
      <c r="B25" s="134">
        <v>18126945</v>
      </c>
      <c r="C25" s="46">
        <f t="shared" si="0"/>
        <v>2733</v>
      </c>
    </row>
    <row r="26" spans="1:9" ht="24" thickBot="1" x14ac:dyDescent="0.4">
      <c r="A26" s="9">
        <v>44644</v>
      </c>
      <c r="B26" s="134">
        <v>18130287</v>
      </c>
      <c r="C26" s="46">
        <f t="shared" si="0"/>
        <v>3342</v>
      </c>
    </row>
    <row r="27" spans="1:9" ht="24" thickBot="1" x14ac:dyDescent="0.4">
      <c r="A27" s="9">
        <v>44645</v>
      </c>
      <c r="B27" s="134">
        <v>18133785</v>
      </c>
      <c r="C27" s="46">
        <f t="shared" si="0"/>
        <v>3498</v>
      </c>
    </row>
    <row r="28" spans="1:9" ht="24" thickBot="1" x14ac:dyDescent="0.4">
      <c r="A28" s="9">
        <v>44646</v>
      </c>
      <c r="B28" s="134">
        <v>18140555</v>
      </c>
      <c r="C28" s="46">
        <f t="shared" si="0"/>
        <v>6770</v>
      </c>
      <c r="I28" t="s">
        <v>12</v>
      </c>
    </row>
    <row r="29" spans="1:9" ht="24" thickBot="1" x14ac:dyDescent="0.4">
      <c r="A29" s="9">
        <v>44647</v>
      </c>
      <c r="B29" s="134">
        <v>18143969</v>
      </c>
      <c r="C29" s="46">
        <f t="shared" si="0"/>
        <v>3414</v>
      </c>
    </row>
    <row r="30" spans="1:9" ht="24" thickBot="1" x14ac:dyDescent="0.4">
      <c r="A30" s="9">
        <v>44648</v>
      </c>
      <c r="B30" s="134"/>
      <c r="C30" s="46" t="str">
        <f t="shared" si="0"/>
        <v>0</v>
      </c>
    </row>
    <row r="31" spans="1:9" ht="24" thickBot="1" x14ac:dyDescent="0.4">
      <c r="A31" s="167" t="s">
        <v>138</v>
      </c>
      <c r="B31" s="168"/>
      <c r="C31" s="136">
        <f>SUM(C4:C30)</f>
        <v>81829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zoomScaleNormal="100" workbookViewId="0">
      <pane ySplit="1" topLeftCell="A2" activePane="bottomLeft" state="frozen"/>
      <selection pane="bottomLeft" activeCell="A29" sqref="A29:XFD29"/>
    </sheetView>
  </sheetViews>
  <sheetFormatPr defaultRowHeight="12.75" x14ac:dyDescent="0.2"/>
  <cols>
    <col min="1" max="1" width="20.85546875" bestFit="1" customWidth="1"/>
    <col min="2" max="2" width="12.85546875" style="163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7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60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s="23" customFormat="1" ht="16.5" thickBot="1" x14ac:dyDescent="0.25">
      <c r="A2" s="9">
        <v>44620</v>
      </c>
      <c r="B2" s="161">
        <v>22911.144</v>
      </c>
      <c r="C2" s="45"/>
      <c r="D2" s="29">
        <f t="shared" ref="D2" si="0">C2*1.9*1000</f>
        <v>0</v>
      </c>
      <c r="E2" s="1">
        <v>4115.74</v>
      </c>
      <c r="F2" s="45"/>
      <c r="G2" s="29">
        <f t="shared" ref="G2" si="1">F2*1.9*1000</f>
        <v>0</v>
      </c>
      <c r="H2" s="1">
        <v>4819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3432.3589999999999</v>
      </c>
      <c r="O2" s="45"/>
      <c r="P2" s="29">
        <f t="shared" ref="P2" si="4">O2*1.9*1000</f>
        <v>0</v>
      </c>
      <c r="Q2" s="7">
        <v>5291.37</v>
      </c>
      <c r="R2" s="45"/>
      <c r="S2" s="29">
        <f t="shared" ref="S2" si="5">R2*1.9*1000</f>
        <v>0</v>
      </c>
      <c r="T2" s="8"/>
      <c r="U2" s="31"/>
      <c r="V2"/>
      <c r="W2" s="158">
        <v>44589</v>
      </c>
      <c r="X2" s="159">
        <v>164983</v>
      </c>
      <c r="Y2" s="164">
        <f t="shared" ref="Y2" si="6">X2-X1</f>
        <v>164983</v>
      </c>
      <c r="Z2" s="159">
        <v>8541</v>
      </c>
      <c r="AA2" s="164">
        <f>Z2-Z1</f>
        <v>8541</v>
      </c>
      <c r="AB2" s="159">
        <v>20</v>
      </c>
      <c r="AC2" s="164"/>
      <c r="AD2" s="159">
        <v>254</v>
      </c>
      <c r="AE2" s="164"/>
      <c r="AF2" s="159">
        <v>5782</v>
      </c>
      <c r="AG2" s="164"/>
    </row>
    <row r="3" spans="1:33" ht="16.5" thickBot="1" x14ac:dyDescent="0.25">
      <c r="A3" s="9">
        <v>44621</v>
      </c>
      <c r="B3" s="161">
        <v>22913.921999999999</v>
      </c>
      <c r="C3" s="45">
        <f t="shared" ref="C3" si="7">IF((B3-B2)&lt;0,"0",(B3-B2))</f>
        <v>2.7779999999984284</v>
      </c>
      <c r="D3" s="29">
        <f t="shared" ref="D3" si="8">C3*1.9*1000</f>
        <v>5278.1999999970139</v>
      </c>
      <c r="E3" s="1">
        <v>4116.54</v>
      </c>
      <c r="F3" s="45">
        <f t="shared" ref="F3" si="9">IF((E3-E2)&lt;0,"0",(E3-E2))</f>
        <v>0.8000000000001819</v>
      </c>
      <c r="G3" s="29">
        <f t="shared" ref="G3" si="10">F3*1.9*1000</f>
        <v>1520.0000000003456</v>
      </c>
      <c r="H3" s="1">
        <v>4824</v>
      </c>
      <c r="I3" s="45">
        <f t="shared" ref="I3" si="11">IF((H3-H2)&lt;0,"0",(H3-H2))</f>
        <v>5</v>
      </c>
      <c r="J3" s="29">
        <f t="shared" ref="J3" si="12">I3*1.9*1000</f>
        <v>9500</v>
      </c>
      <c r="K3" s="7">
        <v>13889.7</v>
      </c>
      <c r="L3" s="45">
        <f t="shared" ref="L3" si="13">IF((K3-K2)&lt;0,"0",(K3-K2))</f>
        <v>0</v>
      </c>
      <c r="M3" s="29">
        <f t="shared" ref="M3" si="14">L3*1.9*1000</f>
        <v>0</v>
      </c>
      <c r="N3" s="7">
        <v>3433.3589999999999</v>
      </c>
      <c r="O3" s="45">
        <f t="shared" ref="O3" si="15">IF((N3-N2)&lt;0,"0",(N3-N2))</f>
        <v>1</v>
      </c>
      <c r="P3" s="29">
        <f t="shared" ref="P3" si="16">O3*1.9*1000</f>
        <v>1900</v>
      </c>
      <c r="Q3" s="7">
        <v>5291.51</v>
      </c>
      <c r="R3" s="45">
        <f t="shared" ref="R3" si="17">IF((Q3-Q2)&lt;0,"0",(Q3-Q2))</f>
        <v>0.14000000000032742</v>
      </c>
      <c r="S3" s="29">
        <f t="shared" ref="S3" si="18">R3*1.9*1000</f>
        <v>266.00000000062209</v>
      </c>
      <c r="T3" s="8">
        <f>C3+F3+I3+L3+O3+R3</f>
        <v>9.7179999999989377</v>
      </c>
      <c r="U3" s="31">
        <f t="shared" ref="U3" si="19">T3*1.9*1000</f>
        <v>18464.199999997982</v>
      </c>
      <c r="W3" s="158">
        <v>44621</v>
      </c>
      <c r="X3" s="159">
        <v>165021</v>
      </c>
      <c r="Y3" s="164">
        <f t="shared" ref="Y3:AG30" si="20">IF((X3-X2)&lt;0,"0",(X3-X2))</f>
        <v>38</v>
      </c>
      <c r="Z3" s="159">
        <v>8547</v>
      </c>
      <c r="AA3" s="164">
        <f t="shared" si="20"/>
        <v>6</v>
      </c>
      <c r="AB3" s="159">
        <v>20</v>
      </c>
      <c r="AC3" s="164">
        <f t="shared" si="20"/>
        <v>0</v>
      </c>
      <c r="AD3" s="159">
        <v>258</v>
      </c>
      <c r="AE3" s="164">
        <f t="shared" si="20"/>
        <v>4</v>
      </c>
      <c r="AF3" s="159">
        <v>5791</v>
      </c>
      <c r="AG3" s="164">
        <f t="shared" si="20"/>
        <v>9</v>
      </c>
    </row>
    <row r="4" spans="1:33" ht="16.5" thickBot="1" x14ac:dyDescent="0.25">
      <c r="A4" s="9">
        <v>44622</v>
      </c>
      <c r="B4" s="161">
        <v>22919.360000000001</v>
      </c>
      <c r="C4" s="45">
        <f t="shared" ref="C4:C30" si="21">IF((B4-B3)&lt;0,"0",(B4-B3))</f>
        <v>5.4380000000019209</v>
      </c>
      <c r="D4" s="29">
        <f t="shared" ref="D4:D30" si="22">C4*1.9*1000</f>
        <v>10332.20000000365</v>
      </c>
      <c r="E4" s="1">
        <v>4118.2889999999998</v>
      </c>
      <c r="F4" s="45">
        <f t="shared" ref="F4:F30" si="23">IF((E4-E3)&lt;0,"0",(E4-E3))</f>
        <v>1.7489999999997963</v>
      </c>
      <c r="G4" s="29">
        <f t="shared" ref="G4:G30" si="24">F4*1.9*1000</f>
        <v>3323.0999999996129</v>
      </c>
      <c r="H4" s="1">
        <v>4831</v>
      </c>
      <c r="I4" s="45">
        <f t="shared" ref="I4:I30" si="25">IF((H4-H3)&lt;0,"0",(H4-H3))</f>
        <v>7</v>
      </c>
      <c r="J4" s="29">
        <f t="shared" ref="J4:J30" si="26">I4*1.9*1000</f>
        <v>13299.999999999998</v>
      </c>
      <c r="K4" s="7">
        <v>13889.7</v>
      </c>
      <c r="L4" s="45">
        <f t="shared" ref="L4:L30" si="27">IF((K4-K3)&lt;0,"0",(K4-K3))</f>
        <v>0</v>
      </c>
      <c r="M4" s="29">
        <f t="shared" ref="M4:M30" si="28">L4*1.9*1000</f>
        <v>0</v>
      </c>
      <c r="N4" s="7">
        <v>3435.0219999999999</v>
      </c>
      <c r="O4" s="45">
        <f t="shared" ref="O4:O30" si="29">IF((N4-N3)&lt;0,"0",(N4-N3))</f>
        <v>1.6630000000000109</v>
      </c>
      <c r="P4" s="29">
        <f t="shared" ref="P4:P30" si="30">O4*1.9*1000</f>
        <v>3159.7000000000203</v>
      </c>
      <c r="Q4" s="7">
        <v>5291.51</v>
      </c>
      <c r="R4" s="45">
        <f t="shared" ref="R4:R30" si="31">IF((Q4-Q3)&lt;0,"0",(Q4-Q3))</f>
        <v>0</v>
      </c>
      <c r="S4" s="29">
        <f t="shared" ref="S4:S30" si="32">R4*1.9*1000</f>
        <v>0</v>
      </c>
      <c r="T4" s="8">
        <f>C4+F4+I4+L4+O4+R4</f>
        <v>15.850000000001728</v>
      </c>
      <c r="U4" s="31">
        <f t="shared" ref="U4:U30" si="33">T4*1.9*1000</f>
        <v>30115.000000003281</v>
      </c>
      <c r="W4" s="158">
        <v>44622</v>
      </c>
      <c r="X4" s="159">
        <v>165134</v>
      </c>
      <c r="Y4" s="164">
        <f t="shared" si="20"/>
        <v>113</v>
      </c>
      <c r="Z4" s="159">
        <v>8557</v>
      </c>
      <c r="AA4" s="164">
        <f t="shared" si="20"/>
        <v>10</v>
      </c>
      <c r="AB4" s="159">
        <v>20</v>
      </c>
      <c r="AC4" s="164">
        <f t="shared" si="20"/>
        <v>0</v>
      </c>
      <c r="AD4" s="159">
        <v>263</v>
      </c>
      <c r="AE4" s="164">
        <f t="shared" si="20"/>
        <v>5</v>
      </c>
      <c r="AF4" s="159">
        <v>5804</v>
      </c>
      <c r="AG4" s="164">
        <f t="shared" si="20"/>
        <v>13</v>
      </c>
    </row>
    <row r="5" spans="1:33" ht="16.5" thickBot="1" x14ac:dyDescent="0.25">
      <c r="A5" s="9">
        <v>44623</v>
      </c>
      <c r="B5" s="161">
        <v>22927.725999999999</v>
      </c>
      <c r="C5" s="45">
        <f t="shared" si="21"/>
        <v>8.3659999999981665</v>
      </c>
      <c r="D5" s="29">
        <f t="shared" si="22"/>
        <v>15895.399999996514</v>
      </c>
      <c r="E5" s="1">
        <v>4119.2510000000002</v>
      </c>
      <c r="F5" s="45">
        <f t="shared" si="23"/>
        <v>0.96200000000044383</v>
      </c>
      <c r="G5" s="29">
        <f t="shared" si="24"/>
        <v>1827.8000000008433</v>
      </c>
      <c r="H5" s="1">
        <v>4836</v>
      </c>
      <c r="I5" s="45">
        <f t="shared" si="25"/>
        <v>5</v>
      </c>
      <c r="J5" s="29">
        <f t="shared" si="26"/>
        <v>9500</v>
      </c>
      <c r="K5" s="7">
        <v>13889.7</v>
      </c>
      <c r="L5" s="45">
        <f t="shared" si="27"/>
        <v>0</v>
      </c>
      <c r="M5" s="29">
        <f t="shared" si="28"/>
        <v>0</v>
      </c>
      <c r="N5" s="7">
        <v>3436.355</v>
      </c>
      <c r="O5" s="45">
        <f t="shared" si="29"/>
        <v>1.3330000000000837</v>
      </c>
      <c r="P5" s="29">
        <f t="shared" si="30"/>
        <v>2532.7000000001585</v>
      </c>
      <c r="Q5" s="7">
        <v>5291.51</v>
      </c>
      <c r="R5" s="45">
        <f t="shared" si="31"/>
        <v>0</v>
      </c>
      <c r="S5" s="29">
        <f t="shared" si="32"/>
        <v>0</v>
      </c>
      <c r="T5" s="8">
        <f>C5+F5+I5+L5+O5+R5</f>
        <v>15.660999999998694</v>
      </c>
      <c r="U5" s="31">
        <f t="shared" si="33"/>
        <v>29755.899999997517</v>
      </c>
      <c r="W5" s="158">
        <v>44623</v>
      </c>
      <c r="X5" s="159">
        <v>165182</v>
      </c>
      <c r="Y5" s="164">
        <f t="shared" si="20"/>
        <v>48</v>
      </c>
      <c r="Z5" s="159">
        <v>8562</v>
      </c>
      <c r="AA5" s="164">
        <f t="shared" si="20"/>
        <v>5</v>
      </c>
      <c r="AB5" s="159">
        <v>21.5</v>
      </c>
      <c r="AC5" s="164">
        <f t="shared" si="20"/>
        <v>1.5</v>
      </c>
      <c r="AD5" s="159">
        <v>266</v>
      </c>
      <c r="AE5" s="164">
        <f t="shared" si="20"/>
        <v>3</v>
      </c>
      <c r="AF5" s="159">
        <v>5818</v>
      </c>
      <c r="AG5" s="164">
        <f t="shared" si="20"/>
        <v>14</v>
      </c>
    </row>
    <row r="6" spans="1:33" ht="16.5" thickBot="1" x14ac:dyDescent="0.25">
      <c r="A6" s="9">
        <v>44624</v>
      </c>
      <c r="B6" s="161">
        <v>22929.728999999999</v>
      </c>
      <c r="C6" s="45">
        <f t="shared" si="21"/>
        <v>2.0030000000006112</v>
      </c>
      <c r="D6" s="29">
        <f t="shared" si="22"/>
        <v>3805.7000000011612</v>
      </c>
      <c r="E6" s="1">
        <v>4119.6040000000003</v>
      </c>
      <c r="F6" s="45">
        <f t="shared" si="23"/>
        <v>0.35300000000006548</v>
      </c>
      <c r="G6" s="29">
        <f t="shared" si="24"/>
        <v>670.70000000012442</v>
      </c>
      <c r="H6" s="1">
        <v>4841</v>
      </c>
      <c r="I6" s="45">
        <f t="shared" si="25"/>
        <v>5</v>
      </c>
      <c r="J6" s="29">
        <f t="shared" si="26"/>
        <v>9500</v>
      </c>
      <c r="K6" s="7">
        <v>13889.7</v>
      </c>
      <c r="L6" s="45">
        <f t="shared" si="27"/>
        <v>0</v>
      </c>
      <c r="M6" s="29">
        <f t="shared" si="28"/>
        <v>0</v>
      </c>
      <c r="N6" s="7">
        <v>3437.596</v>
      </c>
      <c r="O6" s="45">
        <f t="shared" si="29"/>
        <v>1.2409999999999854</v>
      </c>
      <c r="P6" s="29">
        <f t="shared" si="30"/>
        <v>2357.8999999999724</v>
      </c>
      <c r="Q6" s="7">
        <v>5291.51</v>
      </c>
      <c r="R6" s="45">
        <f t="shared" si="31"/>
        <v>0</v>
      </c>
      <c r="S6" s="29">
        <f t="shared" si="32"/>
        <v>0</v>
      </c>
      <c r="T6" s="8">
        <f t="shared" ref="T6:T30" si="34">C6+F6+I6+L6+O6+R6</f>
        <v>8.5970000000006621</v>
      </c>
      <c r="U6" s="31">
        <f t="shared" si="33"/>
        <v>16334.300000001256</v>
      </c>
      <c r="W6" s="158">
        <v>44624</v>
      </c>
      <c r="X6" s="159">
        <v>165232</v>
      </c>
      <c r="Y6" s="164">
        <f t="shared" si="20"/>
        <v>50</v>
      </c>
      <c r="Z6" s="159">
        <v>8569</v>
      </c>
      <c r="AA6" s="164">
        <f t="shared" si="20"/>
        <v>7</v>
      </c>
      <c r="AB6" s="159">
        <v>22.5</v>
      </c>
      <c r="AC6" s="164">
        <f t="shared" si="20"/>
        <v>1</v>
      </c>
      <c r="AD6" s="159">
        <v>269</v>
      </c>
      <c r="AE6" s="164">
        <f t="shared" si="20"/>
        <v>3</v>
      </c>
      <c r="AF6" s="159">
        <v>5832</v>
      </c>
      <c r="AG6" s="164">
        <f t="shared" si="20"/>
        <v>14</v>
      </c>
    </row>
    <row r="7" spans="1:33" ht="16.5" thickBot="1" x14ac:dyDescent="0.25">
      <c r="A7" s="9">
        <v>44625</v>
      </c>
      <c r="B7" s="161">
        <v>22930.093000000001</v>
      </c>
      <c r="C7" s="45">
        <f t="shared" si="21"/>
        <v>0.36400000000139698</v>
      </c>
      <c r="D7" s="29">
        <f t="shared" si="22"/>
        <v>691.60000000265416</v>
      </c>
      <c r="E7" s="1">
        <v>4120.0209999999997</v>
      </c>
      <c r="F7" s="45">
        <f t="shared" si="23"/>
        <v>0.41699999999946158</v>
      </c>
      <c r="G7" s="29">
        <f t="shared" si="24"/>
        <v>792.29999999897689</v>
      </c>
      <c r="H7" s="1">
        <v>4845</v>
      </c>
      <c r="I7" s="45">
        <f t="shared" si="25"/>
        <v>4</v>
      </c>
      <c r="J7" s="29">
        <f t="shared" si="26"/>
        <v>7600</v>
      </c>
      <c r="K7" s="7">
        <v>13889.7</v>
      </c>
      <c r="L7" s="45">
        <f t="shared" si="27"/>
        <v>0</v>
      </c>
      <c r="M7" s="29">
        <f t="shared" si="28"/>
        <v>0</v>
      </c>
      <c r="N7" s="7">
        <v>3438.28</v>
      </c>
      <c r="O7" s="45">
        <f t="shared" si="29"/>
        <v>0.68400000000019645</v>
      </c>
      <c r="P7" s="29">
        <f t="shared" si="30"/>
        <v>1299.600000000373</v>
      </c>
      <c r="Q7" s="7">
        <v>5291.51</v>
      </c>
      <c r="R7" s="45">
        <f t="shared" si="31"/>
        <v>0</v>
      </c>
      <c r="S7" s="29">
        <f t="shared" si="32"/>
        <v>0</v>
      </c>
      <c r="T7" s="8">
        <f t="shared" si="34"/>
        <v>5.465000000001055</v>
      </c>
      <c r="U7" s="31">
        <f t="shared" si="33"/>
        <v>10383.500000002003</v>
      </c>
      <c r="W7" s="158">
        <v>44625</v>
      </c>
      <c r="X7" s="159">
        <v>165248</v>
      </c>
      <c r="Y7" s="164">
        <f t="shared" si="20"/>
        <v>16</v>
      </c>
      <c r="Z7" s="159">
        <v>8569</v>
      </c>
      <c r="AA7" s="164">
        <f t="shared" si="20"/>
        <v>0</v>
      </c>
      <c r="AB7" s="159">
        <v>22.6</v>
      </c>
      <c r="AC7" s="164">
        <f t="shared" si="20"/>
        <v>0.10000000000000142</v>
      </c>
      <c r="AD7" s="159">
        <v>271</v>
      </c>
      <c r="AE7" s="164">
        <f t="shared" si="20"/>
        <v>2</v>
      </c>
      <c r="AF7" s="159">
        <v>5837</v>
      </c>
      <c r="AG7" s="164">
        <f t="shared" si="20"/>
        <v>5</v>
      </c>
    </row>
    <row r="8" spans="1:33" ht="16.5" thickBot="1" x14ac:dyDescent="0.25">
      <c r="A8" s="9">
        <v>44626</v>
      </c>
      <c r="B8" s="161">
        <v>22931.52</v>
      </c>
      <c r="C8" s="45">
        <f t="shared" si="21"/>
        <v>1.4269999999996799</v>
      </c>
      <c r="D8" s="29">
        <f t="shared" si="22"/>
        <v>2711.2999999993917</v>
      </c>
      <c r="E8" s="1">
        <v>4120.8549999999996</v>
      </c>
      <c r="F8" s="45">
        <f t="shared" si="23"/>
        <v>0.83399999999983265</v>
      </c>
      <c r="G8" s="29">
        <f t="shared" si="24"/>
        <v>1584.599999999682</v>
      </c>
      <c r="H8" s="1">
        <v>4850</v>
      </c>
      <c r="I8" s="45">
        <f t="shared" si="25"/>
        <v>5</v>
      </c>
      <c r="J8" s="29">
        <f t="shared" si="26"/>
        <v>9500</v>
      </c>
      <c r="K8" s="7">
        <v>13889.7</v>
      </c>
      <c r="L8" s="45">
        <f t="shared" si="27"/>
        <v>0</v>
      </c>
      <c r="M8" s="29">
        <f t="shared" si="28"/>
        <v>0</v>
      </c>
      <c r="N8" s="7">
        <v>3439.471</v>
      </c>
      <c r="O8" s="45">
        <f t="shared" si="29"/>
        <v>1.1909999999998035</v>
      </c>
      <c r="P8" s="29">
        <f t="shared" si="30"/>
        <v>2262.8999999996267</v>
      </c>
      <c r="Q8" s="7">
        <v>5292.1</v>
      </c>
      <c r="R8" s="45">
        <f t="shared" si="31"/>
        <v>0.59000000000014552</v>
      </c>
      <c r="S8" s="29">
        <f t="shared" si="32"/>
        <v>1121.0000000002765</v>
      </c>
      <c r="T8" s="8">
        <f t="shared" si="34"/>
        <v>9.0419999999994616</v>
      </c>
      <c r="U8" s="31">
        <f t="shared" si="33"/>
        <v>17179.799999998977</v>
      </c>
      <c r="W8" s="158">
        <v>44626</v>
      </c>
      <c r="X8" s="159">
        <v>165312</v>
      </c>
      <c r="Y8" s="164">
        <f t="shared" si="20"/>
        <v>64</v>
      </c>
      <c r="Z8" s="159">
        <v>8580</v>
      </c>
      <c r="AA8" s="164">
        <f t="shared" si="20"/>
        <v>11</v>
      </c>
      <c r="AB8" s="159">
        <v>22.7</v>
      </c>
      <c r="AC8" s="164">
        <f t="shared" si="20"/>
        <v>9.9999999999997868E-2</v>
      </c>
      <c r="AD8" s="159">
        <v>274</v>
      </c>
      <c r="AE8" s="164">
        <f t="shared" si="20"/>
        <v>3</v>
      </c>
      <c r="AF8" s="159">
        <v>5846</v>
      </c>
      <c r="AG8" s="164">
        <f t="shared" si="20"/>
        <v>9</v>
      </c>
    </row>
    <row r="9" spans="1:33" ht="16.5" thickBot="1" x14ac:dyDescent="0.25">
      <c r="A9" s="9">
        <v>44627</v>
      </c>
      <c r="B9" s="161">
        <v>22935.685000000001</v>
      </c>
      <c r="C9" s="45">
        <f t="shared" si="21"/>
        <v>4.1650000000008731</v>
      </c>
      <c r="D9" s="29">
        <f t="shared" si="22"/>
        <v>7913.500000001658</v>
      </c>
      <c r="E9" s="1">
        <v>4121.9449999999997</v>
      </c>
      <c r="F9" s="45">
        <f t="shared" si="23"/>
        <v>1.0900000000001455</v>
      </c>
      <c r="G9" s="29">
        <f t="shared" si="24"/>
        <v>2071.0000000002765</v>
      </c>
      <c r="H9" s="1">
        <v>4855</v>
      </c>
      <c r="I9" s="45">
        <f t="shared" si="25"/>
        <v>5</v>
      </c>
      <c r="J9" s="29">
        <f t="shared" si="26"/>
        <v>9500</v>
      </c>
      <c r="K9" s="7">
        <v>13889.7</v>
      </c>
      <c r="L9" s="45">
        <f t="shared" si="27"/>
        <v>0</v>
      </c>
      <c r="M9" s="29">
        <f t="shared" si="28"/>
        <v>0</v>
      </c>
      <c r="N9" s="7">
        <v>3440.6759999999999</v>
      </c>
      <c r="O9" s="45">
        <f t="shared" si="29"/>
        <v>1.2049999999999272</v>
      </c>
      <c r="P9" s="29">
        <f t="shared" si="30"/>
        <v>2289.4999999998618</v>
      </c>
      <c r="Q9" s="7">
        <v>5292.64</v>
      </c>
      <c r="R9" s="45">
        <f t="shared" si="31"/>
        <v>0.53999999999996362</v>
      </c>
      <c r="S9" s="29">
        <f t="shared" si="32"/>
        <v>1025.9999999999307</v>
      </c>
      <c r="T9" s="8">
        <f t="shared" si="34"/>
        <v>12.000000000000909</v>
      </c>
      <c r="U9" s="31">
        <f t="shared" si="33"/>
        <v>22800.000000001728</v>
      </c>
      <c r="W9" s="158">
        <v>44627</v>
      </c>
      <c r="X9" s="159">
        <v>165408</v>
      </c>
      <c r="Y9" s="164">
        <f t="shared" si="20"/>
        <v>96</v>
      </c>
      <c r="Z9" s="159">
        <v>8593</v>
      </c>
      <c r="AA9" s="164">
        <f t="shared" si="20"/>
        <v>13</v>
      </c>
      <c r="AB9" s="159">
        <v>22.9</v>
      </c>
      <c r="AC9" s="164">
        <f t="shared" si="20"/>
        <v>0.19999999999999929</v>
      </c>
      <c r="AD9" s="159">
        <v>278</v>
      </c>
      <c r="AE9" s="164">
        <f t="shared" si="20"/>
        <v>4</v>
      </c>
      <c r="AF9" s="159">
        <v>5858</v>
      </c>
      <c r="AG9" s="164">
        <f t="shared" si="20"/>
        <v>12</v>
      </c>
    </row>
    <row r="10" spans="1:33" ht="16.5" thickBot="1" x14ac:dyDescent="0.25">
      <c r="A10" s="9">
        <v>44628</v>
      </c>
      <c r="B10" s="161">
        <v>22939.67</v>
      </c>
      <c r="C10" s="45">
        <f t="shared" si="21"/>
        <v>3.9849999999969441</v>
      </c>
      <c r="D10" s="29">
        <f t="shared" si="22"/>
        <v>7571.4999999941938</v>
      </c>
      <c r="E10" s="1">
        <v>4122.9930000000004</v>
      </c>
      <c r="F10" s="45">
        <f t="shared" si="23"/>
        <v>1.0480000000006839</v>
      </c>
      <c r="G10" s="29">
        <f t="shared" si="24"/>
        <v>1991.2000000012995</v>
      </c>
      <c r="H10" s="1">
        <v>4861</v>
      </c>
      <c r="I10" s="45">
        <f t="shared" si="25"/>
        <v>6</v>
      </c>
      <c r="J10" s="29">
        <f t="shared" si="26"/>
        <v>11399.999999999998</v>
      </c>
      <c r="K10" s="7">
        <v>13889.7</v>
      </c>
      <c r="L10" s="45">
        <f t="shared" si="27"/>
        <v>0</v>
      </c>
      <c r="M10" s="29">
        <f t="shared" si="28"/>
        <v>0</v>
      </c>
      <c r="N10" s="7">
        <v>3441.8150000000001</v>
      </c>
      <c r="O10" s="45">
        <f>IF((N10-N9)&lt;0,"0",(N10-N9))</f>
        <v>1.1390000000001237</v>
      </c>
      <c r="P10" s="29">
        <f t="shared" si="30"/>
        <v>2164.100000000235</v>
      </c>
      <c r="Q10" s="7">
        <v>5293.04</v>
      </c>
      <c r="R10" s="45">
        <f t="shared" si="31"/>
        <v>0.3999999999996362</v>
      </c>
      <c r="S10" s="29">
        <f t="shared" si="32"/>
        <v>759.99999999930878</v>
      </c>
      <c r="T10" s="8">
        <f t="shared" si="34"/>
        <v>12.571999999997388</v>
      </c>
      <c r="U10" s="31">
        <f t="shared" si="33"/>
        <v>23886.799999995033</v>
      </c>
      <c r="W10" s="158">
        <v>44628</v>
      </c>
      <c r="X10" s="159">
        <v>165515</v>
      </c>
      <c r="Y10" s="164">
        <f t="shared" si="20"/>
        <v>107</v>
      </c>
      <c r="Z10" s="159">
        <v>8609</v>
      </c>
      <c r="AA10" s="164">
        <f t="shared" si="20"/>
        <v>16</v>
      </c>
      <c r="AB10" s="159">
        <v>23</v>
      </c>
      <c r="AC10" s="164">
        <f t="shared" si="20"/>
        <v>0.10000000000000142</v>
      </c>
      <c r="AD10" s="159">
        <v>280</v>
      </c>
      <c r="AE10" s="164">
        <f t="shared" si="20"/>
        <v>2</v>
      </c>
      <c r="AF10" s="159">
        <v>5877</v>
      </c>
      <c r="AG10" s="164">
        <f t="shared" si="20"/>
        <v>19</v>
      </c>
    </row>
    <row r="11" spans="1:33" ht="16.5" thickBot="1" x14ac:dyDescent="0.25">
      <c r="A11" s="9">
        <v>44629</v>
      </c>
      <c r="B11" s="161">
        <v>22943.712</v>
      </c>
      <c r="C11" s="45">
        <f t="shared" si="21"/>
        <v>4.0420000000012806</v>
      </c>
      <c r="D11" s="29">
        <f t="shared" si="22"/>
        <v>7679.8000000024331</v>
      </c>
      <c r="E11" s="1">
        <v>4124.5959999999995</v>
      </c>
      <c r="F11" s="45">
        <f t="shared" si="23"/>
        <v>1.602999999999156</v>
      </c>
      <c r="G11" s="29">
        <f t="shared" si="24"/>
        <v>3045.6999999983959</v>
      </c>
      <c r="H11" s="1">
        <v>4867</v>
      </c>
      <c r="I11" s="45">
        <f t="shared" si="25"/>
        <v>6</v>
      </c>
      <c r="J11" s="29">
        <f t="shared" si="26"/>
        <v>11399.999999999998</v>
      </c>
      <c r="K11" s="7">
        <v>13889.7</v>
      </c>
      <c r="L11" s="45">
        <f t="shared" si="27"/>
        <v>0</v>
      </c>
      <c r="M11" s="29">
        <f t="shared" si="28"/>
        <v>0</v>
      </c>
      <c r="N11" s="7">
        <v>3443.2190000000001</v>
      </c>
      <c r="O11" s="45">
        <f t="shared" si="29"/>
        <v>1.4039999999999964</v>
      </c>
      <c r="P11" s="29">
        <f t="shared" si="30"/>
        <v>2667.5999999999931</v>
      </c>
      <c r="Q11" s="7">
        <v>5293.64</v>
      </c>
      <c r="R11" s="45">
        <f t="shared" si="31"/>
        <v>0.6000000000003638</v>
      </c>
      <c r="S11" s="29">
        <f t="shared" si="32"/>
        <v>1140.0000000006912</v>
      </c>
      <c r="T11" s="8">
        <f t="shared" si="34"/>
        <v>13.649000000000797</v>
      </c>
      <c r="U11" s="31">
        <f t="shared" si="33"/>
        <v>25933.100000001512</v>
      </c>
      <c r="W11" s="158">
        <v>44629</v>
      </c>
      <c r="X11" s="159">
        <v>165612</v>
      </c>
      <c r="Y11" s="164">
        <f t="shared" si="20"/>
        <v>97</v>
      </c>
      <c r="Z11" s="159">
        <v>8622</v>
      </c>
      <c r="AA11" s="164">
        <f t="shared" si="20"/>
        <v>13</v>
      </c>
      <c r="AB11" s="159">
        <v>23</v>
      </c>
      <c r="AC11" s="164">
        <f t="shared" si="20"/>
        <v>0</v>
      </c>
      <c r="AD11" s="159">
        <v>284</v>
      </c>
      <c r="AE11" s="164">
        <f t="shared" si="20"/>
        <v>4</v>
      </c>
      <c r="AF11" s="159">
        <v>5896</v>
      </c>
      <c r="AG11" s="164">
        <f t="shared" si="20"/>
        <v>19</v>
      </c>
    </row>
    <row r="12" spans="1:33" ht="16.5" thickBot="1" x14ac:dyDescent="0.25">
      <c r="A12" s="9">
        <v>44630</v>
      </c>
      <c r="B12" s="161">
        <v>22947.323</v>
      </c>
      <c r="C12" s="45">
        <f t="shared" si="21"/>
        <v>3.6110000000007858</v>
      </c>
      <c r="D12" s="29">
        <f t="shared" si="22"/>
        <v>6860.900000001493</v>
      </c>
      <c r="E12" s="1">
        <v>4125.7280000000001</v>
      </c>
      <c r="F12" s="45">
        <f t="shared" si="23"/>
        <v>1.1320000000005166</v>
      </c>
      <c r="G12" s="29">
        <f t="shared" si="24"/>
        <v>2150.8000000009811</v>
      </c>
      <c r="H12" s="1">
        <v>4873</v>
      </c>
      <c r="I12" s="45">
        <f t="shared" si="25"/>
        <v>6</v>
      </c>
      <c r="J12" s="29">
        <f t="shared" si="26"/>
        <v>11399.999999999998</v>
      </c>
      <c r="K12" s="7">
        <v>13889.7</v>
      </c>
      <c r="L12" s="45">
        <f t="shared" si="27"/>
        <v>0</v>
      </c>
      <c r="M12" s="29">
        <f t="shared" si="28"/>
        <v>0</v>
      </c>
      <c r="N12" s="7">
        <v>3444.634</v>
      </c>
      <c r="O12" s="45">
        <f t="shared" si="29"/>
        <v>1.4149999999999636</v>
      </c>
      <c r="P12" s="29">
        <f t="shared" si="30"/>
        <v>2688.4999999999304</v>
      </c>
      <c r="Q12" s="7">
        <v>5293.64</v>
      </c>
      <c r="R12" s="45">
        <f t="shared" si="31"/>
        <v>0</v>
      </c>
      <c r="S12" s="29">
        <f t="shared" si="32"/>
        <v>0</v>
      </c>
      <c r="T12" s="8">
        <f t="shared" si="34"/>
        <v>12.158000000001266</v>
      </c>
      <c r="U12" s="31">
        <f t="shared" si="33"/>
        <v>23100.200000002402</v>
      </c>
      <c r="W12" s="158">
        <v>44630</v>
      </c>
      <c r="X12" s="159">
        <v>165699</v>
      </c>
      <c r="Y12" s="164">
        <f t="shared" si="20"/>
        <v>87</v>
      </c>
      <c r="Z12" s="159">
        <v>8632</v>
      </c>
      <c r="AA12" s="164">
        <f t="shared" si="20"/>
        <v>10</v>
      </c>
      <c r="AB12" s="159">
        <v>23</v>
      </c>
      <c r="AC12" s="164">
        <f t="shared" si="20"/>
        <v>0</v>
      </c>
      <c r="AD12" s="159">
        <v>286</v>
      </c>
      <c r="AE12" s="164">
        <f t="shared" si="20"/>
        <v>2</v>
      </c>
      <c r="AF12" s="159">
        <v>5908</v>
      </c>
      <c r="AG12" s="164">
        <f t="shared" si="20"/>
        <v>12</v>
      </c>
    </row>
    <row r="13" spans="1:33" ht="16.5" thickBot="1" x14ac:dyDescent="0.25">
      <c r="A13" s="9">
        <v>44631</v>
      </c>
      <c r="B13" s="161">
        <v>22950</v>
      </c>
      <c r="C13" s="45">
        <f t="shared" si="21"/>
        <v>2.6769999999996799</v>
      </c>
      <c r="D13" s="29">
        <f t="shared" si="22"/>
        <v>5086.2999999993908</v>
      </c>
      <c r="E13" s="1">
        <v>4126.2619999999997</v>
      </c>
      <c r="F13" s="45">
        <f t="shared" si="23"/>
        <v>0.53399999999965075</v>
      </c>
      <c r="G13" s="29">
        <f t="shared" si="24"/>
        <v>1014.5999999993364</v>
      </c>
      <c r="H13" s="1">
        <v>4879</v>
      </c>
      <c r="I13" s="45">
        <f t="shared" si="25"/>
        <v>6</v>
      </c>
      <c r="J13" s="29">
        <f t="shared" si="26"/>
        <v>11399.999999999998</v>
      </c>
      <c r="K13" s="7">
        <v>13889.7</v>
      </c>
      <c r="L13" s="45">
        <f t="shared" si="27"/>
        <v>0</v>
      </c>
      <c r="M13" s="29">
        <f t="shared" si="28"/>
        <v>0</v>
      </c>
      <c r="N13" s="7">
        <v>3445.886</v>
      </c>
      <c r="O13" s="45">
        <f t="shared" si="29"/>
        <v>1.2519999999999527</v>
      </c>
      <c r="P13" s="29">
        <f t="shared" si="30"/>
        <v>2378.7999999999097</v>
      </c>
      <c r="Q13" s="7">
        <v>5293.67</v>
      </c>
      <c r="R13" s="45">
        <f t="shared" si="31"/>
        <v>2.9999999999745341E-2</v>
      </c>
      <c r="S13" s="29">
        <f t="shared" si="32"/>
        <v>56.999999999516149</v>
      </c>
      <c r="T13" s="8">
        <f t="shared" si="34"/>
        <v>10.492999999999029</v>
      </c>
      <c r="U13" s="31">
        <f t="shared" si="33"/>
        <v>19936.699999998156</v>
      </c>
      <c r="W13" s="158">
        <v>44631</v>
      </c>
      <c r="X13" s="159">
        <v>165795</v>
      </c>
      <c r="Y13" s="164">
        <f t="shared" si="20"/>
        <v>96</v>
      </c>
      <c r="Z13" s="159">
        <v>8645</v>
      </c>
      <c r="AA13" s="164">
        <f t="shared" si="20"/>
        <v>13</v>
      </c>
      <c r="AB13" s="159">
        <v>23.5</v>
      </c>
      <c r="AC13" s="164">
        <f t="shared" si="20"/>
        <v>0.5</v>
      </c>
      <c r="AD13" s="159">
        <v>289</v>
      </c>
      <c r="AE13" s="164">
        <f t="shared" si="20"/>
        <v>3</v>
      </c>
      <c r="AF13" s="159">
        <v>5935</v>
      </c>
      <c r="AG13" s="164">
        <f t="shared" si="20"/>
        <v>27</v>
      </c>
    </row>
    <row r="14" spans="1:33" ht="16.5" thickBot="1" x14ac:dyDescent="0.25">
      <c r="A14" s="9">
        <v>44632</v>
      </c>
      <c r="B14" s="161">
        <v>22952.909</v>
      </c>
      <c r="C14" s="45">
        <f t="shared" si="21"/>
        <v>2.9089999999996508</v>
      </c>
      <c r="D14" s="29">
        <f t="shared" si="22"/>
        <v>5527.0999999993364</v>
      </c>
      <c r="E14" s="1">
        <v>4126.8029999999999</v>
      </c>
      <c r="F14" s="45">
        <f t="shared" si="23"/>
        <v>0.54100000000016735</v>
      </c>
      <c r="G14" s="29">
        <f t="shared" si="24"/>
        <v>1027.900000000318</v>
      </c>
      <c r="H14" s="1">
        <v>4884</v>
      </c>
      <c r="I14" s="45">
        <f t="shared" si="25"/>
        <v>5</v>
      </c>
      <c r="J14" s="29">
        <f t="shared" si="26"/>
        <v>9500</v>
      </c>
      <c r="K14" s="7">
        <v>13889.7</v>
      </c>
      <c r="L14" s="45">
        <f t="shared" si="27"/>
        <v>0</v>
      </c>
      <c r="M14" s="29">
        <f t="shared" si="28"/>
        <v>0</v>
      </c>
      <c r="N14" s="7">
        <v>3447.069</v>
      </c>
      <c r="O14" s="45">
        <f>IF((N14-N13)&lt;0,"0",(N14-N13))</f>
        <v>1.1829999999999927</v>
      </c>
      <c r="P14" s="29">
        <f t="shared" si="30"/>
        <v>2247.6999999999862</v>
      </c>
      <c r="Q14" s="7">
        <v>5293.67</v>
      </c>
      <c r="R14" s="45">
        <f t="shared" si="31"/>
        <v>0</v>
      </c>
      <c r="S14" s="29">
        <f t="shared" si="32"/>
        <v>0</v>
      </c>
      <c r="T14" s="8">
        <f t="shared" si="34"/>
        <v>9.6329999999998108</v>
      </c>
      <c r="U14" s="31">
        <f t="shared" si="33"/>
        <v>18302.699999999641</v>
      </c>
      <c r="W14" s="158">
        <v>44632</v>
      </c>
      <c r="X14" s="159">
        <v>165884</v>
      </c>
      <c r="Y14" s="164">
        <f t="shared" si="20"/>
        <v>89</v>
      </c>
      <c r="Z14" s="159">
        <v>8651</v>
      </c>
      <c r="AA14" s="164">
        <f t="shared" si="20"/>
        <v>6</v>
      </c>
      <c r="AB14" s="159">
        <v>23.5</v>
      </c>
      <c r="AC14" s="164">
        <f t="shared" si="20"/>
        <v>0</v>
      </c>
      <c r="AD14" s="159">
        <v>292</v>
      </c>
      <c r="AE14" s="164">
        <f t="shared" si="20"/>
        <v>3</v>
      </c>
      <c r="AF14" s="159">
        <v>5964</v>
      </c>
      <c r="AG14" s="164">
        <f t="shared" si="20"/>
        <v>29</v>
      </c>
    </row>
    <row r="15" spans="1:33" ht="16.5" thickBot="1" x14ac:dyDescent="0.25">
      <c r="A15" s="9">
        <v>44633</v>
      </c>
      <c r="B15" s="161">
        <v>22954.996999999999</v>
      </c>
      <c r="C15" s="45">
        <f t="shared" ref="C15" si="35">IF((B15-B14)&lt;0,"0",(B15-B14))</f>
        <v>2.0879999999997381</v>
      </c>
      <c r="D15" s="29">
        <f t="shared" ref="D15" si="36">C15*1.9*1000</f>
        <v>3967.1999999995023</v>
      </c>
      <c r="E15" s="1">
        <v>4127.5460000000003</v>
      </c>
      <c r="F15" s="45">
        <f t="shared" ref="F15" si="37">IF((E15-E14)&lt;0,"0",(E15-E14))</f>
        <v>0.7430000000003929</v>
      </c>
      <c r="G15" s="29">
        <f t="shared" ref="G15" si="38">F15*1.9*1000</f>
        <v>1411.7000000007465</v>
      </c>
      <c r="H15" s="1">
        <v>4889</v>
      </c>
      <c r="I15" s="45">
        <f t="shared" ref="I15" si="39">IF((H15-H14)&lt;0,"0",(H15-H14))</f>
        <v>5</v>
      </c>
      <c r="J15" s="29">
        <f t="shared" ref="J15" si="40">I15*1.9*1000</f>
        <v>9500</v>
      </c>
      <c r="K15" s="7">
        <v>13889.7</v>
      </c>
      <c r="L15" s="45">
        <f t="shared" ref="L15" si="41">IF((K15-K14)&lt;0,"0",(K15-K14))</f>
        <v>0</v>
      </c>
      <c r="M15" s="29">
        <f t="shared" ref="M15" si="42">L15*1.9*1000</f>
        <v>0</v>
      </c>
      <c r="N15" s="7">
        <v>3448.1709999999998</v>
      </c>
      <c r="O15" s="45">
        <f>IF((N15-N14)&lt;0,"0",(N15-N14))</f>
        <v>1.1019999999998618</v>
      </c>
      <c r="P15" s="29">
        <f t="shared" ref="P15" si="43">O15*1.9*1000</f>
        <v>2093.7999999997373</v>
      </c>
      <c r="Q15" s="7">
        <v>5293.67</v>
      </c>
      <c r="R15" s="45">
        <f t="shared" ref="R15" si="44">IF((Q15-Q14)&lt;0,"0",(Q15-Q14))</f>
        <v>0</v>
      </c>
      <c r="S15" s="29">
        <f t="shared" ref="S15" si="45">R15*1.9*1000</f>
        <v>0</v>
      </c>
      <c r="T15" s="8">
        <f t="shared" ref="T15" si="46">C15+F15+I15+L15+O15+R15</f>
        <v>8.9329999999999927</v>
      </c>
      <c r="U15" s="31">
        <f t="shared" ref="U15" si="47">T15*1.9*1000</f>
        <v>16972.699999999986</v>
      </c>
      <c r="W15" s="158">
        <v>44633</v>
      </c>
      <c r="X15" s="159">
        <v>165967</v>
      </c>
      <c r="Y15" s="164">
        <f t="shared" si="20"/>
        <v>83</v>
      </c>
      <c r="Z15" s="159">
        <v>8661</v>
      </c>
      <c r="AA15" s="164">
        <f t="shared" si="20"/>
        <v>10</v>
      </c>
      <c r="AB15" s="159">
        <v>23.8</v>
      </c>
      <c r="AC15" s="164">
        <f t="shared" si="20"/>
        <v>0.30000000000000071</v>
      </c>
      <c r="AD15" s="159">
        <v>295</v>
      </c>
      <c r="AE15" s="164">
        <f t="shared" si="20"/>
        <v>3</v>
      </c>
      <c r="AF15" s="159">
        <v>5985</v>
      </c>
      <c r="AG15" s="164">
        <f t="shared" si="20"/>
        <v>21</v>
      </c>
    </row>
    <row r="16" spans="1:33" ht="16.5" thickBot="1" x14ac:dyDescent="0.25">
      <c r="A16" s="9">
        <v>44634</v>
      </c>
      <c r="B16" s="161">
        <v>22957.228999999999</v>
      </c>
      <c r="C16" s="45">
        <f t="shared" si="21"/>
        <v>2.2319999999999709</v>
      </c>
      <c r="D16" s="29">
        <f t="shared" si="22"/>
        <v>4240.7999999999438</v>
      </c>
      <c r="E16" s="1">
        <v>4127.9660000000003</v>
      </c>
      <c r="F16" s="45">
        <f t="shared" si="23"/>
        <v>0.42000000000007276</v>
      </c>
      <c r="G16" s="29">
        <f t="shared" si="24"/>
        <v>798.00000000013813</v>
      </c>
      <c r="H16" s="1">
        <v>4896</v>
      </c>
      <c r="I16" s="45">
        <f t="shared" si="25"/>
        <v>7</v>
      </c>
      <c r="J16" s="29">
        <f t="shared" si="26"/>
        <v>13299.999999999998</v>
      </c>
      <c r="K16" s="7">
        <v>13889.7</v>
      </c>
      <c r="L16" s="45">
        <f t="shared" si="27"/>
        <v>0</v>
      </c>
      <c r="M16" s="29">
        <f t="shared" si="28"/>
        <v>0</v>
      </c>
      <c r="N16" s="7">
        <v>3449.4810000000002</v>
      </c>
      <c r="O16" s="45">
        <f t="shared" si="29"/>
        <v>1.3100000000004002</v>
      </c>
      <c r="P16" s="29">
        <f t="shared" si="30"/>
        <v>2489.0000000007603</v>
      </c>
      <c r="Q16" s="7">
        <v>5293.68</v>
      </c>
      <c r="R16" s="45">
        <f t="shared" si="31"/>
        <v>1.0000000000218279E-2</v>
      </c>
      <c r="S16" s="29">
        <f t="shared" si="32"/>
        <v>19.00000000041473</v>
      </c>
      <c r="T16" s="8">
        <f t="shared" si="34"/>
        <v>10.972000000000662</v>
      </c>
      <c r="U16" s="31">
        <f t="shared" si="33"/>
        <v>20846.800000001254</v>
      </c>
      <c r="W16" s="158">
        <v>44634</v>
      </c>
      <c r="X16" s="159">
        <v>166049</v>
      </c>
      <c r="Y16" s="164">
        <f t="shared" si="20"/>
        <v>82</v>
      </c>
      <c r="Z16" s="159">
        <v>8669</v>
      </c>
      <c r="AA16" s="164">
        <f t="shared" si="20"/>
        <v>8</v>
      </c>
      <c r="AB16" s="159">
        <v>23.8</v>
      </c>
      <c r="AC16" s="164">
        <f t="shared" si="20"/>
        <v>0</v>
      </c>
      <c r="AD16" s="159">
        <v>298</v>
      </c>
      <c r="AE16" s="164">
        <f t="shared" si="20"/>
        <v>3</v>
      </c>
      <c r="AF16" s="159">
        <v>6013</v>
      </c>
      <c r="AG16" s="164">
        <f t="shared" si="20"/>
        <v>28</v>
      </c>
    </row>
    <row r="17" spans="1:33" ht="16.5" thickBot="1" x14ac:dyDescent="0.25">
      <c r="A17" s="9">
        <v>44635</v>
      </c>
      <c r="B17" s="161">
        <v>22959.453000000001</v>
      </c>
      <c r="C17" s="45">
        <f t="shared" si="21"/>
        <v>2.2240000000019791</v>
      </c>
      <c r="D17" s="29">
        <f t="shared" si="22"/>
        <v>4225.6000000037593</v>
      </c>
      <c r="E17" s="1">
        <v>4128.78</v>
      </c>
      <c r="F17" s="45">
        <f t="shared" si="23"/>
        <v>0.8139999999993961</v>
      </c>
      <c r="G17" s="29">
        <f t="shared" si="24"/>
        <v>1546.5999999988524</v>
      </c>
      <c r="H17" s="1">
        <v>4902</v>
      </c>
      <c r="I17" s="45">
        <f t="shared" si="25"/>
        <v>6</v>
      </c>
      <c r="J17" s="29">
        <f t="shared" si="26"/>
        <v>11399.999999999998</v>
      </c>
      <c r="K17" s="7">
        <v>13889.7</v>
      </c>
      <c r="L17" s="45">
        <f t="shared" si="27"/>
        <v>0</v>
      </c>
      <c r="M17" s="29">
        <f t="shared" si="28"/>
        <v>0</v>
      </c>
      <c r="N17" s="7">
        <v>3450.7620000000002</v>
      </c>
      <c r="O17" s="45">
        <f t="shared" si="29"/>
        <v>1.2809999999999491</v>
      </c>
      <c r="P17" s="29">
        <f t="shared" si="30"/>
        <v>2433.8999999999032</v>
      </c>
      <c r="Q17" s="7">
        <v>5293.68</v>
      </c>
      <c r="R17" s="45">
        <f t="shared" si="31"/>
        <v>0</v>
      </c>
      <c r="S17" s="29">
        <f t="shared" si="32"/>
        <v>0</v>
      </c>
      <c r="T17" s="8">
        <f t="shared" si="34"/>
        <v>10.319000000001324</v>
      </c>
      <c r="U17" s="31">
        <f t="shared" si="33"/>
        <v>19606.100000002516</v>
      </c>
      <c r="W17" s="158">
        <v>44635</v>
      </c>
      <c r="X17" s="159">
        <v>166083</v>
      </c>
      <c r="Y17" s="164">
        <f t="shared" si="20"/>
        <v>34</v>
      </c>
      <c r="Z17" s="159">
        <v>8677</v>
      </c>
      <c r="AA17" s="164">
        <f t="shared" si="20"/>
        <v>8</v>
      </c>
      <c r="AB17" s="159">
        <v>23.8</v>
      </c>
      <c r="AC17" s="164">
        <f t="shared" si="20"/>
        <v>0</v>
      </c>
      <c r="AD17" s="159">
        <v>301</v>
      </c>
      <c r="AE17" s="164">
        <f t="shared" si="20"/>
        <v>3</v>
      </c>
      <c r="AF17" s="159">
        <v>6041</v>
      </c>
      <c r="AG17" s="164">
        <f t="shared" si="20"/>
        <v>28</v>
      </c>
    </row>
    <row r="18" spans="1:33" ht="16.5" thickBot="1" x14ac:dyDescent="0.25">
      <c r="A18" s="9">
        <v>44636</v>
      </c>
      <c r="B18" s="161">
        <v>22961.352999999999</v>
      </c>
      <c r="C18" s="45">
        <f t="shared" si="21"/>
        <v>1.8999999999978172</v>
      </c>
      <c r="D18" s="29">
        <f t="shared" si="22"/>
        <v>3609.9999999958527</v>
      </c>
      <c r="E18" s="1">
        <v>4129.3969999999999</v>
      </c>
      <c r="F18" s="45">
        <f t="shared" si="23"/>
        <v>0.61700000000018917</v>
      </c>
      <c r="G18" s="29">
        <f t="shared" si="24"/>
        <v>1172.3000000003594</v>
      </c>
      <c r="H18" s="1">
        <v>4907</v>
      </c>
      <c r="I18" s="45">
        <f t="shared" si="25"/>
        <v>5</v>
      </c>
      <c r="J18" s="29">
        <f t="shared" si="26"/>
        <v>9500</v>
      </c>
      <c r="K18" s="7">
        <v>13889.7</v>
      </c>
      <c r="L18" s="45">
        <f t="shared" si="27"/>
        <v>0</v>
      </c>
      <c r="M18" s="29">
        <f t="shared" si="28"/>
        <v>0</v>
      </c>
      <c r="N18" s="7">
        <v>3451.933</v>
      </c>
      <c r="O18" s="45">
        <f t="shared" si="29"/>
        <v>1.1709999999998217</v>
      </c>
      <c r="P18" s="29">
        <f t="shared" si="30"/>
        <v>2224.8999999996608</v>
      </c>
      <c r="Q18" s="7">
        <v>5293.68</v>
      </c>
      <c r="R18" s="45">
        <f t="shared" si="31"/>
        <v>0</v>
      </c>
      <c r="S18" s="29">
        <f t="shared" si="32"/>
        <v>0</v>
      </c>
      <c r="T18" s="8">
        <f t="shared" si="34"/>
        <v>8.6879999999978281</v>
      </c>
      <c r="U18" s="31">
        <f t="shared" si="33"/>
        <v>16507.199999995872</v>
      </c>
      <c r="W18" s="158">
        <v>44636</v>
      </c>
      <c r="X18" s="159">
        <v>166164</v>
      </c>
      <c r="Y18" s="164">
        <f t="shared" si="20"/>
        <v>81</v>
      </c>
      <c r="Z18" s="159">
        <v>8685</v>
      </c>
      <c r="AA18" s="164">
        <f t="shared" si="20"/>
        <v>8</v>
      </c>
      <c r="AB18" s="159">
        <v>23.85</v>
      </c>
      <c r="AC18" s="164">
        <f t="shared" si="20"/>
        <v>5.0000000000000711E-2</v>
      </c>
      <c r="AD18" s="159">
        <v>304</v>
      </c>
      <c r="AE18" s="164">
        <f t="shared" si="20"/>
        <v>3</v>
      </c>
      <c r="AF18" s="159">
        <v>6065</v>
      </c>
      <c r="AG18" s="164">
        <f t="shared" si="20"/>
        <v>24</v>
      </c>
    </row>
    <row r="19" spans="1:33" ht="16.5" thickBot="1" x14ac:dyDescent="0.25">
      <c r="A19" s="9">
        <v>44637</v>
      </c>
      <c r="B19" s="161">
        <v>22963.413</v>
      </c>
      <c r="C19" s="45">
        <f t="shared" si="21"/>
        <v>2.0600000000013097</v>
      </c>
      <c r="D19" s="29">
        <f t="shared" si="22"/>
        <v>3914.0000000024884</v>
      </c>
      <c r="E19" s="1">
        <v>4129.9650000000001</v>
      </c>
      <c r="F19" s="45">
        <f t="shared" si="23"/>
        <v>0.568000000000211</v>
      </c>
      <c r="G19" s="29">
        <f t="shared" si="24"/>
        <v>1079.2000000004009</v>
      </c>
      <c r="H19" s="1">
        <v>4913</v>
      </c>
      <c r="I19" s="45">
        <f t="shared" si="25"/>
        <v>6</v>
      </c>
      <c r="J19" s="29">
        <f t="shared" si="26"/>
        <v>11399.999999999998</v>
      </c>
      <c r="K19" s="7">
        <v>13889.7</v>
      </c>
      <c r="L19" s="45">
        <f t="shared" si="27"/>
        <v>0</v>
      </c>
      <c r="M19" s="29">
        <f t="shared" si="28"/>
        <v>0</v>
      </c>
      <c r="N19" s="7">
        <v>3453.1190000000001</v>
      </c>
      <c r="O19" s="45">
        <f t="shared" si="29"/>
        <v>1.1860000000001492</v>
      </c>
      <c r="P19" s="29">
        <f t="shared" si="30"/>
        <v>2253.4000000002834</v>
      </c>
      <c r="Q19" s="7">
        <v>5293.69</v>
      </c>
      <c r="R19" s="45">
        <f t="shared" si="31"/>
        <v>9.999999999308784E-3</v>
      </c>
      <c r="S19" s="29">
        <f t="shared" si="32"/>
        <v>18.99999999868669</v>
      </c>
      <c r="T19" s="8">
        <f t="shared" si="34"/>
        <v>9.8240000000009786</v>
      </c>
      <c r="U19" s="31">
        <f t="shared" si="33"/>
        <v>18665.600000001861</v>
      </c>
      <c r="W19" s="158">
        <v>44637</v>
      </c>
      <c r="X19" s="159">
        <v>166239</v>
      </c>
      <c r="Y19" s="164">
        <f t="shared" si="20"/>
        <v>75</v>
      </c>
      <c r="Z19" s="159">
        <v>8692</v>
      </c>
      <c r="AA19" s="164">
        <f t="shared" si="20"/>
        <v>7</v>
      </c>
      <c r="AB19" s="159">
        <v>23.85</v>
      </c>
      <c r="AC19" s="164">
        <f t="shared" si="20"/>
        <v>0</v>
      </c>
      <c r="AD19" s="159">
        <v>308</v>
      </c>
      <c r="AE19" s="164">
        <f t="shared" si="20"/>
        <v>4</v>
      </c>
      <c r="AF19" s="159">
        <v>6092</v>
      </c>
      <c r="AG19" s="164">
        <f t="shared" si="20"/>
        <v>27</v>
      </c>
    </row>
    <row r="20" spans="1:33" ht="16.5" thickBot="1" x14ac:dyDescent="0.25">
      <c r="A20" s="9">
        <v>44638</v>
      </c>
      <c r="B20" s="161">
        <v>22965.825000000001</v>
      </c>
      <c r="C20" s="45">
        <f t="shared" si="21"/>
        <v>2.4120000000002619</v>
      </c>
      <c r="D20" s="29">
        <f t="shared" si="22"/>
        <v>4582.8000000004968</v>
      </c>
      <c r="E20" s="1">
        <v>4130.51</v>
      </c>
      <c r="F20" s="45">
        <f t="shared" si="23"/>
        <v>0.54500000000007276</v>
      </c>
      <c r="G20" s="29">
        <f t="shared" si="24"/>
        <v>1035.5000000001382</v>
      </c>
      <c r="H20" s="1">
        <v>4918</v>
      </c>
      <c r="I20" s="45">
        <f t="shared" si="25"/>
        <v>5</v>
      </c>
      <c r="J20" s="29">
        <f t="shared" si="26"/>
        <v>9500</v>
      </c>
      <c r="K20" s="7">
        <v>13889.7</v>
      </c>
      <c r="L20" s="45">
        <f t="shared" si="27"/>
        <v>0</v>
      </c>
      <c r="M20" s="29">
        <f t="shared" si="28"/>
        <v>0</v>
      </c>
      <c r="N20" s="7">
        <v>3454.3850000000002</v>
      </c>
      <c r="O20" s="45">
        <f t="shared" si="29"/>
        <v>1.2660000000000764</v>
      </c>
      <c r="P20" s="29">
        <f t="shared" si="30"/>
        <v>2405.4000000001452</v>
      </c>
      <c r="Q20" s="7">
        <v>5293.73</v>
      </c>
      <c r="R20" s="45">
        <f t="shared" si="31"/>
        <v>3.999999999996362E-2</v>
      </c>
      <c r="S20" s="29">
        <f t="shared" si="32"/>
        <v>75.999999999930878</v>
      </c>
      <c r="T20" s="8">
        <f t="shared" si="34"/>
        <v>9.2630000000003747</v>
      </c>
      <c r="U20" s="31">
        <f t="shared" si="33"/>
        <v>17599.700000000714</v>
      </c>
      <c r="W20" s="158">
        <v>44638</v>
      </c>
      <c r="X20" s="159">
        <v>166266</v>
      </c>
      <c r="Y20" s="164">
        <f t="shared" si="20"/>
        <v>27</v>
      </c>
      <c r="Z20" s="159">
        <v>8697</v>
      </c>
      <c r="AA20" s="164">
        <f t="shared" si="20"/>
        <v>5</v>
      </c>
      <c r="AB20" s="159">
        <v>23.85</v>
      </c>
      <c r="AC20" s="164">
        <f t="shared" si="20"/>
        <v>0</v>
      </c>
      <c r="AD20" s="159">
        <v>309</v>
      </c>
      <c r="AE20" s="164">
        <f t="shared" si="20"/>
        <v>1</v>
      </c>
      <c r="AF20" s="159">
        <v>6118</v>
      </c>
      <c r="AG20" s="164">
        <f t="shared" si="20"/>
        <v>26</v>
      </c>
    </row>
    <row r="21" spans="1:33" ht="16.5" thickBot="1" x14ac:dyDescent="0.25">
      <c r="A21" s="9">
        <v>44639</v>
      </c>
      <c r="B21" s="161">
        <v>22968.226999999999</v>
      </c>
      <c r="C21" s="45">
        <f t="shared" si="21"/>
        <v>2.4019999999982247</v>
      </c>
      <c r="D21" s="29">
        <f t="shared" si="22"/>
        <v>4563.799999996626</v>
      </c>
      <c r="E21" s="1">
        <v>4130.9269999999997</v>
      </c>
      <c r="F21" s="45">
        <f t="shared" si="23"/>
        <v>0.41699999999946158</v>
      </c>
      <c r="G21" s="29">
        <f t="shared" si="24"/>
        <v>792.29999999897689</v>
      </c>
      <c r="H21" s="1">
        <v>4924</v>
      </c>
      <c r="I21" s="45">
        <f t="shared" si="25"/>
        <v>6</v>
      </c>
      <c r="J21" s="29">
        <f t="shared" si="26"/>
        <v>11399.999999999998</v>
      </c>
      <c r="K21" s="7">
        <v>13889.7</v>
      </c>
      <c r="L21" s="45">
        <f t="shared" si="27"/>
        <v>0</v>
      </c>
      <c r="M21" s="29">
        <f t="shared" si="28"/>
        <v>0</v>
      </c>
      <c r="N21" s="7">
        <v>3455.634</v>
      </c>
      <c r="O21" s="45">
        <f t="shared" si="29"/>
        <v>1.2489999999997963</v>
      </c>
      <c r="P21" s="29">
        <f t="shared" si="30"/>
        <v>2373.0999999996129</v>
      </c>
      <c r="Q21" s="7">
        <v>5293.79</v>
      </c>
      <c r="R21" s="45">
        <f t="shared" si="31"/>
        <v>6.0000000000400178E-2</v>
      </c>
      <c r="S21" s="29">
        <f t="shared" si="32"/>
        <v>114.00000000076032</v>
      </c>
      <c r="T21" s="8">
        <f t="shared" si="34"/>
        <v>10.127999999997883</v>
      </c>
      <c r="U21" s="31">
        <f t="shared" si="33"/>
        <v>19243.199999995977</v>
      </c>
      <c r="W21" s="158">
        <v>44639</v>
      </c>
      <c r="X21" s="159">
        <v>166296</v>
      </c>
      <c r="Y21" s="164">
        <f t="shared" si="20"/>
        <v>30</v>
      </c>
      <c r="Z21" s="159">
        <v>8701</v>
      </c>
      <c r="AA21" s="164">
        <f t="shared" si="20"/>
        <v>4</v>
      </c>
      <c r="AB21" s="159">
        <v>23.85</v>
      </c>
      <c r="AC21" s="164">
        <f t="shared" si="20"/>
        <v>0</v>
      </c>
      <c r="AD21" s="159">
        <v>310</v>
      </c>
      <c r="AE21" s="164">
        <f t="shared" si="20"/>
        <v>1</v>
      </c>
      <c r="AF21" s="159">
        <v>6147</v>
      </c>
      <c r="AG21" s="164">
        <f t="shared" si="20"/>
        <v>29</v>
      </c>
    </row>
    <row r="22" spans="1:33" ht="16.5" thickBot="1" x14ac:dyDescent="0.25">
      <c r="A22" s="9">
        <v>44640</v>
      </c>
      <c r="B22" s="161">
        <v>22971.243999999999</v>
      </c>
      <c r="C22" s="45">
        <f t="shared" si="21"/>
        <v>3.0169999999998254</v>
      </c>
      <c r="D22" s="29">
        <f t="shared" si="22"/>
        <v>5732.2999999996682</v>
      </c>
      <c r="E22" s="1">
        <v>4131.8239999999996</v>
      </c>
      <c r="F22" s="45">
        <f t="shared" si="23"/>
        <v>0.89699999999993452</v>
      </c>
      <c r="G22" s="29">
        <f t="shared" si="24"/>
        <v>1704.2999999998756</v>
      </c>
      <c r="H22" s="1">
        <v>4931</v>
      </c>
      <c r="I22" s="45">
        <f t="shared" si="25"/>
        <v>7</v>
      </c>
      <c r="J22" s="29">
        <f t="shared" si="26"/>
        <v>13299.999999999998</v>
      </c>
      <c r="K22" s="7">
        <v>13889.7</v>
      </c>
      <c r="L22" s="45">
        <f t="shared" si="27"/>
        <v>0</v>
      </c>
      <c r="M22" s="29">
        <f t="shared" si="28"/>
        <v>0</v>
      </c>
      <c r="N22" s="7">
        <v>3457.134</v>
      </c>
      <c r="O22" s="45">
        <f t="shared" si="29"/>
        <v>1.5</v>
      </c>
      <c r="P22" s="29">
        <f t="shared" si="30"/>
        <v>2849.9999999999995</v>
      </c>
      <c r="Q22" s="7">
        <v>5293.79</v>
      </c>
      <c r="R22" s="45">
        <f t="shared" si="31"/>
        <v>0</v>
      </c>
      <c r="S22" s="29">
        <f t="shared" si="32"/>
        <v>0</v>
      </c>
      <c r="T22" s="8">
        <f t="shared" si="34"/>
        <v>12.41399999999976</v>
      </c>
      <c r="U22" s="31">
        <f t="shared" si="33"/>
        <v>23586.599999999544</v>
      </c>
      <c r="W22" s="158">
        <v>44640</v>
      </c>
      <c r="X22" s="159">
        <v>166364</v>
      </c>
      <c r="Y22" s="164">
        <f t="shared" si="20"/>
        <v>68</v>
      </c>
      <c r="Z22" s="159">
        <v>8712</v>
      </c>
      <c r="AA22" s="164">
        <f t="shared" si="20"/>
        <v>11</v>
      </c>
      <c r="AB22" s="159">
        <v>23.85</v>
      </c>
      <c r="AC22" s="164">
        <f t="shared" si="20"/>
        <v>0</v>
      </c>
      <c r="AD22" s="159">
        <v>314</v>
      </c>
      <c r="AE22" s="164">
        <f t="shared" si="20"/>
        <v>4</v>
      </c>
      <c r="AF22" s="159">
        <v>6178</v>
      </c>
      <c r="AG22" s="164">
        <f t="shared" si="20"/>
        <v>31</v>
      </c>
    </row>
    <row r="23" spans="1:33" ht="16.5" thickBot="1" x14ac:dyDescent="0.25">
      <c r="A23" s="9">
        <v>44641</v>
      </c>
      <c r="B23" s="161">
        <v>22973.241000000002</v>
      </c>
      <c r="C23" s="45">
        <f t="shared" si="21"/>
        <v>1.9970000000030268</v>
      </c>
      <c r="D23" s="29">
        <f t="shared" si="22"/>
        <v>3794.3000000057509</v>
      </c>
      <c r="E23" s="1">
        <v>4132.5379999999996</v>
      </c>
      <c r="F23" s="45">
        <f t="shared" si="23"/>
        <v>0.71399999999994179</v>
      </c>
      <c r="G23" s="29">
        <f t="shared" si="24"/>
        <v>1356.5999999998894</v>
      </c>
      <c r="H23" s="1">
        <v>4937</v>
      </c>
      <c r="I23" s="45">
        <f t="shared" si="25"/>
        <v>6</v>
      </c>
      <c r="J23" s="29">
        <f t="shared" si="26"/>
        <v>11399.999999999998</v>
      </c>
      <c r="K23" s="7">
        <v>13889.7</v>
      </c>
      <c r="L23" s="45">
        <f t="shared" si="27"/>
        <v>0</v>
      </c>
      <c r="M23" s="29">
        <f t="shared" si="28"/>
        <v>0</v>
      </c>
      <c r="N23" s="7">
        <v>3458.252</v>
      </c>
      <c r="O23" s="45">
        <f t="shared" si="29"/>
        <v>1.1179999999999382</v>
      </c>
      <c r="P23" s="29">
        <f t="shared" si="30"/>
        <v>2124.1999999998825</v>
      </c>
      <c r="Q23" s="7">
        <v>5293.87</v>
      </c>
      <c r="R23" s="45">
        <f t="shared" si="31"/>
        <v>7.999999999992724E-2</v>
      </c>
      <c r="S23" s="29">
        <f t="shared" si="32"/>
        <v>151.99999999986176</v>
      </c>
      <c r="T23" s="8">
        <f t="shared" si="34"/>
        <v>9.909000000002834</v>
      </c>
      <c r="U23" s="31">
        <f t="shared" si="33"/>
        <v>18827.100000005383</v>
      </c>
      <c r="W23" s="158">
        <v>44641</v>
      </c>
      <c r="X23" s="159">
        <v>166396</v>
      </c>
      <c r="Y23" s="164">
        <f t="shared" si="20"/>
        <v>32</v>
      </c>
      <c r="Z23" s="159">
        <v>8723</v>
      </c>
      <c r="AA23" s="164">
        <f t="shared" si="20"/>
        <v>11</v>
      </c>
      <c r="AB23" s="159">
        <v>23.85</v>
      </c>
      <c r="AC23" s="164">
        <f t="shared" si="20"/>
        <v>0</v>
      </c>
      <c r="AD23" s="159">
        <v>316</v>
      </c>
      <c r="AE23" s="164">
        <f t="shared" si="20"/>
        <v>2</v>
      </c>
      <c r="AF23" s="159">
        <v>6207</v>
      </c>
      <c r="AG23" s="164">
        <f t="shared" si="20"/>
        <v>29</v>
      </c>
    </row>
    <row r="24" spans="1:33" ht="16.5" thickBot="1" x14ac:dyDescent="0.25">
      <c r="A24" s="9">
        <v>44642</v>
      </c>
      <c r="B24" s="161">
        <v>22974.956999999999</v>
      </c>
      <c r="C24" s="45">
        <f t="shared" si="21"/>
        <v>1.7159999999967113</v>
      </c>
      <c r="D24" s="29">
        <f t="shared" si="22"/>
        <v>3260.3999999937514</v>
      </c>
      <c r="E24" s="1">
        <v>4133.1059999999998</v>
      </c>
      <c r="F24" s="45">
        <f t="shared" si="23"/>
        <v>0.568000000000211</v>
      </c>
      <c r="G24" s="29">
        <f t="shared" si="24"/>
        <v>1079.2000000004009</v>
      </c>
      <c r="H24" s="1">
        <v>4941</v>
      </c>
      <c r="I24" s="45">
        <f t="shared" si="25"/>
        <v>4</v>
      </c>
      <c r="J24" s="29">
        <f t="shared" si="26"/>
        <v>7600</v>
      </c>
      <c r="K24" s="7">
        <v>13889.7</v>
      </c>
      <c r="L24" s="45">
        <f t="shared" si="27"/>
        <v>0</v>
      </c>
      <c r="M24" s="29">
        <f t="shared" si="28"/>
        <v>0</v>
      </c>
      <c r="N24" s="7">
        <v>3459.2669999999998</v>
      </c>
      <c r="O24" s="45">
        <f t="shared" si="29"/>
        <v>1.0149999999998727</v>
      </c>
      <c r="P24" s="29">
        <f t="shared" si="30"/>
        <v>1928.4999999997581</v>
      </c>
      <c r="Q24" s="7">
        <v>5293.87</v>
      </c>
      <c r="R24" s="45">
        <f t="shared" si="31"/>
        <v>0</v>
      </c>
      <c r="S24" s="29">
        <f t="shared" si="32"/>
        <v>0</v>
      </c>
      <c r="T24" s="8">
        <f t="shared" si="34"/>
        <v>7.2989999999967949</v>
      </c>
      <c r="U24" s="31">
        <f t="shared" si="33"/>
        <v>13868.099999993909</v>
      </c>
      <c r="W24" s="158">
        <v>44642</v>
      </c>
      <c r="X24" s="159">
        <v>166417</v>
      </c>
      <c r="Y24" s="164">
        <f t="shared" si="20"/>
        <v>21</v>
      </c>
      <c r="Z24" s="159">
        <v>8724</v>
      </c>
      <c r="AA24" s="164">
        <f t="shared" si="20"/>
        <v>1</v>
      </c>
      <c r="AB24" s="159">
        <v>23.85</v>
      </c>
      <c r="AC24" s="164">
        <f t="shared" si="20"/>
        <v>0</v>
      </c>
      <c r="AD24" s="159">
        <v>318</v>
      </c>
      <c r="AE24" s="164">
        <f t="shared" si="20"/>
        <v>2</v>
      </c>
      <c r="AF24" s="159">
        <v>6235</v>
      </c>
      <c r="AG24" s="164">
        <f t="shared" si="20"/>
        <v>28</v>
      </c>
    </row>
    <row r="25" spans="1:33" ht="16.5" thickBot="1" x14ac:dyDescent="0.25">
      <c r="A25" s="9">
        <v>44643</v>
      </c>
      <c r="B25" s="161">
        <v>22976.580999999998</v>
      </c>
      <c r="C25" s="45">
        <f t="shared" si="21"/>
        <v>1.6239999999997963</v>
      </c>
      <c r="D25" s="29">
        <f t="shared" si="22"/>
        <v>3085.5999999996125</v>
      </c>
      <c r="E25" s="1">
        <v>4133.6729999999998</v>
      </c>
      <c r="F25" s="45">
        <f t="shared" si="23"/>
        <v>0.56700000000000728</v>
      </c>
      <c r="G25" s="29">
        <f t="shared" si="24"/>
        <v>1077.3000000000136</v>
      </c>
      <c r="H25" s="1">
        <v>4946</v>
      </c>
      <c r="I25" s="45">
        <f t="shared" si="25"/>
        <v>5</v>
      </c>
      <c r="J25" s="29">
        <f t="shared" si="26"/>
        <v>9500</v>
      </c>
      <c r="K25" s="7">
        <v>13889.7</v>
      </c>
      <c r="L25" s="45">
        <f t="shared" si="27"/>
        <v>0</v>
      </c>
      <c r="M25" s="29">
        <f t="shared" si="28"/>
        <v>0</v>
      </c>
      <c r="N25" s="7">
        <v>3460.0949999999998</v>
      </c>
      <c r="O25" s="45">
        <f t="shared" si="29"/>
        <v>0.82799999999997453</v>
      </c>
      <c r="P25" s="29">
        <f t="shared" si="30"/>
        <v>1573.1999999999516</v>
      </c>
      <c r="Q25" s="7">
        <v>5293.87</v>
      </c>
      <c r="R25" s="45">
        <f t="shared" si="31"/>
        <v>0</v>
      </c>
      <c r="S25" s="29">
        <f t="shared" si="32"/>
        <v>0</v>
      </c>
      <c r="T25" s="8">
        <f t="shared" si="34"/>
        <v>8.0189999999997781</v>
      </c>
      <c r="U25" s="31">
        <f t="shared" si="33"/>
        <v>15236.099999999578</v>
      </c>
      <c r="W25" s="158">
        <v>44643</v>
      </c>
      <c r="X25" s="159">
        <v>166437</v>
      </c>
      <c r="Y25" s="164">
        <f t="shared" si="20"/>
        <v>20</v>
      </c>
      <c r="Z25" s="159">
        <v>8726</v>
      </c>
      <c r="AA25" s="164">
        <f t="shared" si="20"/>
        <v>2</v>
      </c>
      <c r="AB25" s="159">
        <v>24</v>
      </c>
      <c r="AC25" s="164">
        <f t="shared" si="20"/>
        <v>0.14999999999999858</v>
      </c>
      <c r="AD25" s="159">
        <v>319</v>
      </c>
      <c r="AE25" s="164">
        <f t="shared" si="20"/>
        <v>1</v>
      </c>
      <c r="AF25" s="159">
        <v>6255</v>
      </c>
      <c r="AG25" s="164">
        <f t="shared" si="20"/>
        <v>20</v>
      </c>
    </row>
    <row r="26" spans="1:33" ht="16.5" thickBot="1" x14ac:dyDescent="0.25">
      <c r="A26" s="9">
        <v>44644</v>
      </c>
      <c r="B26" s="161">
        <v>22978.080000000002</v>
      </c>
      <c r="C26" s="45">
        <f t="shared" si="21"/>
        <v>1.4990000000034343</v>
      </c>
      <c r="D26" s="29">
        <f t="shared" si="22"/>
        <v>2848.1000000065251</v>
      </c>
      <c r="E26" s="1">
        <v>4134.0810000000001</v>
      </c>
      <c r="F26" s="45">
        <f t="shared" si="23"/>
        <v>0.40800000000035652</v>
      </c>
      <c r="G26" s="29">
        <f t="shared" si="24"/>
        <v>775.20000000067739</v>
      </c>
      <c r="H26" s="1">
        <v>4948</v>
      </c>
      <c r="I26" s="45">
        <f t="shared" si="25"/>
        <v>2</v>
      </c>
      <c r="J26" s="29">
        <f t="shared" si="26"/>
        <v>3800</v>
      </c>
      <c r="K26" s="7">
        <v>13889.7</v>
      </c>
      <c r="L26" s="45">
        <f>IF((K26-K25)&lt;0,"0",(K26-K25))</f>
        <v>0</v>
      </c>
      <c r="M26" s="29">
        <f t="shared" si="28"/>
        <v>0</v>
      </c>
      <c r="N26" s="7">
        <v>3460.9450000000002</v>
      </c>
      <c r="O26" s="45">
        <f t="shared" si="29"/>
        <v>0.8500000000003638</v>
      </c>
      <c r="P26" s="29">
        <f t="shared" si="30"/>
        <v>1615.0000000006912</v>
      </c>
      <c r="Q26" s="7">
        <v>5293.87</v>
      </c>
      <c r="R26" s="45">
        <f t="shared" si="31"/>
        <v>0</v>
      </c>
      <c r="S26" s="29">
        <f t="shared" si="32"/>
        <v>0</v>
      </c>
      <c r="T26" s="8">
        <f t="shared" si="34"/>
        <v>4.7570000000041546</v>
      </c>
      <c r="U26" s="31">
        <f t="shared" si="33"/>
        <v>9038.3000000078937</v>
      </c>
      <c r="V26" t="s">
        <v>12</v>
      </c>
      <c r="W26" s="158">
        <v>44644</v>
      </c>
      <c r="X26" s="159">
        <v>166464</v>
      </c>
      <c r="Y26" s="164">
        <f t="shared" si="20"/>
        <v>27</v>
      </c>
      <c r="Z26" s="159">
        <v>8728</v>
      </c>
      <c r="AA26" s="164">
        <f t="shared" si="20"/>
        <v>2</v>
      </c>
      <c r="AB26" s="159">
        <v>24</v>
      </c>
      <c r="AC26" s="164">
        <f t="shared" si="20"/>
        <v>0</v>
      </c>
      <c r="AD26" s="159">
        <v>320</v>
      </c>
      <c r="AE26" s="164">
        <f t="shared" si="20"/>
        <v>1</v>
      </c>
      <c r="AF26" s="159">
        <v>6281</v>
      </c>
      <c r="AG26" s="164">
        <f t="shared" si="20"/>
        <v>26</v>
      </c>
    </row>
    <row r="27" spans="1:33" ht="16.5" thickBot="1" x14ac:dyDescent="0.25">
      <c r="A27" s="9">
        <v>44645</v>
      </c>
      <c r="B27" s="161">
        <v>22979.951000000001</v>
      </c>
      <c r="C27" s="45">
        <f t="shared" si="21"/>
        <v>1.8709999999991851</v>
      </c>
      <c r="D27" s="29">
        <f t="shared" si="22"/>
        <v>3554.8999999984512</v>
      </c>
      <c r="E27" s="1">
        <v>4134.3630000000003</v>
      </c>
      <c r="F27" s="45">
        <f t="shared" si="23"/>
        <v>0.2820000000001528</v>
      </c>
      <c r="G27" s="29">
        <f t="shared" si="24"/>
        <v>535.80000000029031</v>
      </c>
      <c r="H27" s="1">
        <v>4951</v>
      </c>
      <c r="I27" s="45">
        <f t="shared" si="25"/>
        <v>3</v>
      </c>
      <c r="J27" s="29">
        <f t="shared" si="26"/>
        <v>5699.9999999999991</v>
      </c>
      <c r="K27" s="7">
        <v>13889.7</v>
      </c>
      <c r="L27" s="45">
        <f t="shared" si="27"/>
        <v>0</v>
      </c>
      <c r="M27" s="29">
        <f t="shared" si="28"/>
        <v>0</v>
      </c>
      <c r="N27" s="7">
        <v>3462.0189999999998</v>
      </c>
      <c r="O27" s="45">
        <f t="shared" si="29"/>
        <v>1.0739999999996144</v>
      </c>
      <c r="P27" s="29">
        <f t="shared" si="30"/>
        <v>2040.5999999992673</v>
      </c>
      <c r="Q27" s="7">
        <v>5293.88</v>
      </c>
      <c r="R27" s="45">
        <f t="shared" si="31"/>
        <v>1.0000000000218279E-2</v>
      </c>
      <c r="S27" s="29">
        <f t="shared" si="32"/>
        <v>19.00000000041473</v>
      </c>
      <c r="T27" s="8">
        <f t="shared" si="34"/>
        <v>6.2369999999991705</v>
      </c>
      <c r="U27" s="31">
        <f t="shared" si="33"/>
        <v>11850.299999998424</v>
      </c>
      <c r="V27" t="s">
        <v>12</v>
      </c>
      <c r="W27" s="158">
        <v>44645</v>
      </c>
      <c r="X27" s="159">
        <v>166485</v>
      </c>
      <c r="Y27" s="164">
        <f t="shared" si="20"/>
        <v>21</v>
      </c>
      <c r="Z27" s="159">
        <v>8730</v>
      </c>
      <c r="AA27" s="164">
        <f t="shared" si="20"/>
        <v>2</v>
      </c>
      <c r="AB27" s="159">
        <v>24</v>
      </c>
      <c r="AC27" s="164">
        <f t="shared" si="20"/>
        <v>0</v>
      </c>
      <c r="AD27" s="159">
        <v>322</v>
      </c>
      <c r="AE27" s="164">
        <f t="shared" si="20"/>
        <v>2</v>
      </c>
      <c r="AF27" s="159">
        <v>6310</v>
      </c>
      <c r="AG27" s="164">
        <f t="shared" si="20"/>
        <v>29</v>
      </c>
    </row>
    <row r="28" spans="1:33" ht="16.5" thickBot="1" x14ac:dyDescent="0.25">
      <c r="A28" s="9">
        <v>44646</v>
      </c>
      <c r="B28" s="161">
        <v>22982.569</v>
      </c>
      <c r="C28" s="45">
        <f t="shared" si="21"/>
        <v>2.6179999999985739</v>
      </c>
      <c r="D28" s="29">
        <f t="shared" si="22"/>
        <v>4974.1999999972895</v>
      </c>
      <c r="E28" s="1">
        <v>4134.6710000000003</v>
      </c>
      <c r="F28" s="45">
        <f t="shared" si="23"/>
        <v>0.30799999999999272</v>
      </c>
      <c r="G28" s="29">
        <f t="shared" si="24"/>
        <v>585.19999999998618</v>
      </c>
      <c r="H28" s="1">
        <v>4954</v>
      </c>
      <c r="I28" s="45">
        <f t="shared" si="25"/>
        <v>3</v>
      </c>
      <c r="J28" s="29">
        <f t="shared" si="26"/>
        <v>5699.9999999999991</v>
      </c>
      <c r="K28" s="7">
        <v>13889.7</v>
      </c>
      <c r="L28" s="45">
        <f t="shared" si="27"/>
        <v>0</v>
      </c>
      <c r="M28" s="29">
        <f t="shared" si="28"/>
        <v>0</v>
      </c>
      <c r="N28" s="7">
        <v>3463.0709999999999</v>
      </c>
      <c r="O28" s="45">
        <f t="shared" si="29"/>
        <v>1.0520000000001346</v>
      </c>
      <c r="P28" s="29">
        <f t="shared" si="30"/>
        <v>1998.8000000002557</v>
      </c>
      <c r="Q28" s="7">
        <v>5293.93</v>
      </c>
      <c r="R28" s="45">
        <f t="shared" si="31"/>
        <v>5.0000000000181899E-2</v>
      </c>
      <c r="S28" s="29">
        <f t="shared" si="32"/>
        <v>95.000000000345594</v>
      </c>
      <c r="T28" s="8">
        <f t="shared" si="34"/>
        <v>7.0279999999988831</v>
      </c>
      <c r="U28" s="31">
        <f t="shared" si="33"/>
        <v>13353.199999997876</v>
      </c>
      <c r="W28" s="158">
        <v>44646</v>
      </c>
      <c r="X28" s="159">
        <v>166504</v>
      </c>
      <c r="Y28" s="164">
        <f t="shared" si="20"/>
        <v>19</v>
      </c>
      <c r="Z28" s="159">
        <v>8735</v>
      </c>
      <c r="AA28" s="164">
        <f t="shared" si="20"/>
        <v>5</v>
      </c>
      <c r="AB28" s="159">
        <v>24</v>
      </c>
      <c r="AC28" s="164">
        <f t="shared" si="20"/>
        <v>0</v>
      </c>
      <c r="AD28" s="159">
        <v>325</v>
      </c>
      <c r="AE28" s="164">
        <f t="shared" si="20"/>
        <v>3</v>
      </c>
      <c r="AF28" s="159">
        <v>6338</v>
      </c>
      <c r="AG28" s="164">
        <f t="shared" si="20"/>
        <v>28</v>
      </c>
    </row>
    <row r="29" spans="1:33" ht="16.5" thickBot="1" x14ac:dyDescent="0.25">
      <c r="A29" s="9">
        <v>44647</v>
      </c>
      <c r="B29" s="161">
        <v>22984.666000000001</v>
      </c>
      <c r="C29" s="45">
        <f t="shared" si="21"/>
        <v>2.0970000000015716</v>
      </c>
      <c r="D29" s="29">
        <f t="shared" si="22"/>
        <v>3984.3000000029856</v>
      </c>
      <c r="E29" s="1">
        <v>4135.1310000000003</v>
      </c>
      <c r="F29" s="45">
        <f t="shared" si="23"/>
        <v>0.46000000000003638</v>
      </c>
      <c r="G29" s="29">
        <f t="shared" si="24"/>
        <v>874.00000000006901</v>
      </c>
      <c r="H29" s="1">
        <v>4957</v>
      </c>
      <c r="I29" s="45">
        <f t="shared" si="25"/>
        <v>3</v>
      </c>
      <c r="J29" s="29">
        <f t="shared" si="26"/>
        <v>5699.9999999999991</v>
      </c>
      <c r="K29" s="7">
        <v>13889.7</v>
      </c>
      <c r="L29" s="45">
        <f t="shared" si="27"/>
        <v>0</v>
      </c>
      <c r="M29" s="29">
        <f t="shared" si="28"/>
        <v>0</v>
      </c>
      <c r="N29" s="7">
        <v>3464.0749999999998</v>
      </c>
      <c r="O29" s="45">
        <f t="shared" si="29"/>
        <v>1.0039999999999054</v>
      </c>
      <c r="P29" s="29">
        <f t="shared" si="30"/>
        <v>1907.5999999998201</v>
      </c>
      <c r="Q29" s="7">
        <v>5293.93</v>
      </c>
      <c r="R29" s="45">
        <f t="shared" si="31"/>
        <v>0</v>
      </c>
      <c r="S29" s="29">
        <f t="shared" si="32"/>
        <v>0</v>
      </c>
      <c r="T29" s="8">
        <f t="shared" si="34"/>
        <v>6.5610000000015134</v>
      </c>
      <c r="U29" s="31">
        <f t="shared" si="33"/>
        <v>12465.900000002875</v>
      </c>
      <c r="W29" s="158">
        <v>44647</v>
      </c>
      <c r="X29" s="159">
        <v>166549</v>
      </c>
      <c r="Y29" s="164">
        <f t="shared" si="20"/>
        <v>45</v>
      </c>
      <c r="Z29" s="159">
        <v>8741</v>
      </c>
      <c r="AA29" s="164">
        <f t="shared" si="20"/>
        <v>6</v>
      </c>
      <c r="AB29" s="159">
        <v>24</v>
      </c>
      <c r="AC29" s="164">
        <f t="shared" si="20"/>
        <v>0</v>
      </c>
      <c r="AD29" s="159">
        <v>328</v>
      </c>
      <c r="AE29" s="164">
        <f t="shared" si="20"/>
        <v>3</v>
      </c>
      <c r="AF29" s="159">
        <v>6366</v>
      </c>
      <c r="AG29" s="164">
        <f t="shared" si="20"/>
        <v>28</v>
      </c>
    </row>
    <row r="30" spans="1:33" ht="16.5" thickBot="1" x14ac:dyDescent="0.25">
      <c r="A30" s="9">
        <v>44648</v>
      </c>
      <c r="B30" s="161"/>
      <c r="C30" s="45" t="str">
        <f t="shared" si="21"/>
        <v>0</v>
      </c>
      <c r="D30" s="29">
        <f t="shared" si="22"/>
        <v>0</v>
      </c>
      <c r="E30" s="1"/>
      <c r="F30" s="45" t="str">
        <f t="shared" si="23"/>
        <v>0</v>
      </c>
      <c r="G30" s="29">
        <f t="shared" si="24"/>
        <v>0</v>
      </c>
      <c r="H30" s="1"/>
      <c r="I30" s="45" t="str">
        <f t="shared" si="25"/>
        <v>0</v>
      </c>
      <c r="J30" s="29">
        <f t="shared" si="26"/>
        <v>0</v>
      </c>
      <c r="K30" s="7"/>
      <c r="L30" s="45" t="str">
        <f t="shared" si="27"/>
        <v>0</v>
      </c>
      <c r="M30" s="29">
        <f t="shared" si="28"/>
        <v>0</v>
      </c>
      <c r="N30" s="7"/>
      <c r="O30" s="45" t="str">
        <f t="shared" si="29"/>
        <v>0</v>
      </c>
      <c r="P30" s="29">
        <f t="shared" si="30"/>
        <v>0</v>
      </c>
      <c r="Q30" s="7"/>
      <c r="R30" s="45" t="str">
        <f t="shared" si="31"/>
        <v>0</v>
      </c>
      <c r="S30" s="29">
        <f t="shared" si="32"/>
        <v>0</v>
      </c>
      <c r="T30" s="8">
        <f t="shared" si="34"/>
        <v>0</v>
      </c>
      <c r="U30" s="31">
        <f t="shared" si="33"/>
        <v>0</v>
      </c>
      <c r="W30" s="158">
        <v>44648</v>
      </c>
      <c r="X30" s="159"/>
      <c r="Y30" s="164" t="str">
        <f t="shared" si="20"/>
        <v>0</v>
      </c>
      <c r="Z30" s="159"/>
      <c r="AA30" s="164" t="str">
        <f t="shared" si="20"/>
        <v>0</v>
      </c>
      <c r="AB30" s="159"/>
      <c r="AC30" s="164" t="str">
        <f t="shared" si="20"/>
        <v>0</v>
      </c>
      <c r="AD30" s="159"/>
      <c r="AE30" s="164" t="str">
        <f t="shared" si="20"/>
        <v>0</v>
      </c>
      <c r="AF30" s="159"/>
      <c r="AG30" s="164" t="str">
        <f t="shared" si="20"/>
        <v>0</v>
      </c>
    </row>
    <row r="31" spans="1:33" s="23" customFormat="1" ht="16.5" thickBot="1" x14ac:dyDescent="0.25">
      <c r="A31" s="6" t="s">
        <v>23</v>
      </c>
      <c r="B31" s="162"/>
      <c r="C31" s="45">
        <f>SUM(C2:C30)</f>
        <v>73.522000000000844</v>
      </c>
      <c r="D31" s="138">
        <f>SUM(D3:D30)</f>
        <v>139691.80000000159</v>
      </c>
      <c r="E31" s="138"/>
      <c r="F31" s="45">
        <f>SUM(F2:F30)</f>
        <v>19.391000000000531</v>
      </c>
      <c r="G31" s="138">
        <f>SUM(G3:G30)</f>
        <v>36842.900000001006</v>
      </c>
      <c r="H31" s="138"/>
      <c r="I31" s="45">
        <f>SUM(I2:I30)</f>
        <v>138</v>
      </c>
      <c r="J31" s="138">
        <f>SUM(J3:J30)</f>
        <v>262200</v>
      </c>
      <c r="K31" s="138"/>
      <c r="L31" s="45">
        <f>SUM(L2:L30)</f>
        <v>0</v>
      </c>
      <c r="M31" s="138">
        <f>SUM(M3:M30)</f>
        <v>0</v>
      </c>
      <c r="N31" s="138"/>
      <c r="O31" s="45">
        <f>SUM(O2:O30)</f>
        <v>31.715999999999894</v>
      </c>
      <c r="P31" s="138">
        <f>SUM(P3:P30)</f>
        <v>60260.399999999798</v>
      </c>
      <c r="Q31" s="138"/>
      <c r="R31" s="45">
        <f>SUM(R3:R30)</f>
        <v>2.5600000000004002</v>
      </c>
      <c r="S31" s="138">
        <f>SUM(S3:S30)</f>
        <v>4864.0000000007603</v>
      </c>
      <c r="T31" s="138">
        <f>SUM(T3:T30)</f>
        <v>265.18900000000167</v>
      </c>
      <c r="U31" s="138">
        <f>SUM(U3:U30)</f>
        <v>503859.10000000324</v>
      </c>
      <c r="V31"/>
      <c r="W31" s="138" t="s">
        <v>141</v>
      </c>
      <c r="X31" s="138"/>
      <c r="Y31" s="138">
        <f>SUM(Y2:Y30)</f>
        <v>166549</v>
      </c>
      <c r="Z31" s="138"/>
      <c r="AA31" s="138">
        <f>SUM(AA2:AA30)</f>
        <v>8741</v>
      </c>
      <c r="AB31" s="138"/>
      <c r="AC31" s="138">
        <f>SUM(AC2:AC30)</f>
        <v>4</v>
      </c>
      <c r="AD31" s="138"/>
      <c r="AE31" s="138">
        <f>SUM(AE2:AE30)</f>
        <v>74</v>
      </c>
      <c r="AF31" s="138">
        <v>0</v>
      </c>
      <c r="AG31" s="138">
        <f>SUM(AG2:AG30)</f>
        <v>584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K36" sqref="K3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1" ht="24" thickBot="1" x14ac:dyDescent="0.25">
      <c r="A1" s="173" t="s">
        <v>148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96"/>
      <c r="B2" s="97" t="s">
        <v>92</v>
      </c>
      <c r="C2" s="98">
        <f>K8+K9+K14</f>
        <v>-69797945</v>
      </c>
      <c r="D2" s="98">
        <f>C2*1.27</f>
        <v>-88643390.150000006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29954894</v>
      </c>
      <c r="J3" s="135">
        <f>ELECT.!E30</f>
        <v>0</v>
      </c>
      <c r="K3" s="93">
        <f>J3-I3</f>
        <v>-29954894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95625099</v>
      </c>
      <c r="J4" s="135">
        <f>ELECT.!G30</f>
        <v>0</v>
      </c>
      <c r="K4" s="93">
        <f>J4-I4</f>
        <v>-95625099</v>
      </c>
    </row>
    <row r="5" spans="1:11" ht="13.5" thickBot="1" x14ac:dyDescent="0.25">
      <c r="A5" s="96"/>
      <c r="B5" s="102" t="s">
        <v>27</v>
      </c>
      <c r="C5" s="106">
        <f>(K10+K12)*0.842284+K26</f>
        <v>-34041297.217572004</v>
      </c>
      <c r="D5" s="106">
        <f t="shared" ref="D5:D11" si="0">C5*1.27</f>
        <v>-43232447.466316447</v>
      </c>
      <c r="E5" s="107"/>
      <c r="F5" s="96"/>
      <c r="G5" s="96"/>
      <c r="H5" s="102" t="s">
        <v>23</v>
      </c>
      <c r="I5" s="108"/>
      <c r="J5" s="108"/>
      <c r="K5" s="128">
        <f>K3+K4</f>
        <v>-125579993</v>
      </c>
    </row>
    <row r="6" spans="1:11" ht="13.5" thickBot="1" x14ac:dyDescent="0.25">
      <c r="A6" s="96"/>
      <c r="B6" s="102" t="s">
        <v>99</v>
      </c>
      <c r="C6" s="106">
        <f>(K10+K12+K26)*0.1488</f>
        <v>-5927496.0623999992</v>
      </c>
      <c r="D6" s="106">
        <f t="shared" si="0"/>
        <v>-7527919.9992479989</v>
      </c>
      <c r="E6" s="107"/>
      <c r="F6" s="96"/>
      <c r="G6" s="96"/>
      <c r="H6" s="102" t="s">
        <v>100</v>
      </c>
      <c r="I6" s="139">
        <f>ELECT.!J2</f>
        <v>9508424</v>
      </c>
      <c r="J6" s="135">
        <f>ELECT.!J30</f>
        <v>0</v>
      </c>
      <c r="K6" s="93">
        <f>J6-I6</f>
        <v>-9508424</v>
      </c>
    </row>
    <row r="7" spans="1:11" ht="13.5" thickBot="1" x14ac:dyDescent="0.25">
      <c r="A7" s="96"/>
      <c r="B7" s="102" t="s">
        <v>101</v>
      </c>
      <c r="C7" s="106">
        <f>(K6+K7)-(C8+C9+C10+C11+K26)</f>
        <v>-16485021</v>
      </c>
      <c r="D7" s="106">
        <f t="shared" si="0"/>
        <v>-20935976.670000002</v>
      </c>
      <c r="E7" s="107"/>
      <c r="F7" s="96"/>
      <c r="G7" s="96"/>
      <c r="H7" s="102" t="s">
        <v>102</v>
      </c>
      <c r="I7" s="139">
        <f>ELECT.!L2</f>
        <v>9536541</v>
      </c>
      <c r="J7" s="135">
        <f>ELECT.!L30</f>
        <v>0</v>
      </c>
      <c r="K7" s="93">
        <f>J7-I7</f>
        <v>-9536541</v>
      </c>
    </row>
    <row r="8" spans="1:11" ht="13.5" thickBot="1" x14ac:dyDescent="0.25">
      <c r="A8" s="96"/>
      <c r="B8" s="102" t="s">
        <v>103</v>
      </c>
      <c r="C8" s="106">
        <f>K21+K22+K23+K24</f>
        <v>31184</v>
      </c>
      <c r="D8" s="106">
        <f t="shared" si="0"/>
        <v>39603.68</v>
      </c>
      <c r="E8" s="107"/>
      <c r="F8" s="96"/>
      <c r="G8" s="96"/>
      <c r="H8" s="102" t="s">
        <v>104</v>
      </c>
      <c r="I8" s="139">
        <f>ELECT.!N2</f>
        <v>6361994</v>
      </c>
      <c r="J8" s="135">
        <f>ELECT.!N30</f>
        <v>0</v>
      </c>
      <c r="K8" s="93">
        <f>(J8-I8)*2</f>
        <v>-12723988</v>
      </c>
    </row>
    <row r="9" spans="1:11" ht="13.5" thickBot="1" x14ac:dyDescent="0.25">
      <c r="A9" s="96"/>
      <c r="B9" s="102" t="s">
        <v>137</v>
      </c>
      <c r="C9" s="106">
        <f>K25+K16+K17</f>
        <v>491663</v>
      </c>
      <c r="D9" s="106">
        <f t="shared" si="0"/>
        <v>624412.01</v>
      </c>
      <c r="E9" s="107"/>
      <c r="F9" s="96"/>
      <c r="G9" s="96"/>
      <c r="H9" s="102" t="s">
        <v>105</v>
      </c>
      <c r="I9" s="139">
        <f>ELECT.!P2</f>
        <v>5933917</v>
      </c>
      <c r="J9" s="135">
        <f>ELECT.!P30</f>
        <v>0</v>
      </c>
      <c r="K9" s="93">
        <f>J9-I9</f>
        <v>-5933917</v>
      </c>
    </row>
    <row r="10" spans="1:11" ht="13.5" thickBot="1" x14ac:dyDescent="0.25">
      <c r="A10" s="96"/>
      <c r="B10" s="102" t="s">
        <v>106</v>
      </c>
      <c r="C10" s="106">
        <f>K18</f>
        <v>12960</v>
      </c>
      <c r="D10" s="106">
        <f t="shared" si="0"/>
        <v>16459.2</v>
      </c>
      <c r="E10" s="107"/>
      <c r="F10" s="96"/>
      <c r="G10" s="96"/>
      <c r="H10" s="102" t="s">
        <v>107</v>
      </c>
      <c r="I10" s="139">
        <f>ELECT.!R2</f>
        <v>20312853</v>
      </c>
      <c r="J10" s="135">
        <f>ELECT.!R30</f>
        <v>0</v>
      </c>
      <c r="K10" s="93">
        <f>J10-I10</f>
        <v>-20312853</v>
      </c>
    </row>
    <row r="11" spans="1:11" ht="13.5" thickBot="1" x14ac:dyDescent="0.25">
      <c r="A11" s="96"/>
      <c r="B11" s="102" t="s">
        <v>108</v>
      </c>
      <c r="C11" s="106">
        <f>K19+K20</f>
        <v>2489</v>
      </c>
      <c r="D11" s="106">
        <f t="shared" si="0"/>
        <v>3161.03</v>
      </c>
      <c r="E11" s="107"/>
      <c r="F11" s="96"/>
      <c r="G11" s="96"/>
      <c r="H11" s="102" t="s">
        <v>109</v>
      </c>
      <c r="I11" s="109">
        <v>0</v>
      </c>
      <c r="J11" s="135">
        <f>ELECT.!G37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39">
        <f>ELECT.!V2</f>
        <v>8212115</v>
      </c>
      <c r="J12" s="135">
        <f>ELECT.!V30</f>
        <v>0</v>
      </c>
      <c r="K12" s="93">
        <f>(J12-I12)*2</f>
        <v>-16424230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>
        <f>SUM(K6:K12)</f>
        <v>-74439953</v>
      </c>
    </row>
    <row r="14" spans="1:11" ht="13.5" thickBot="1" x14ac:dyDescent="0.25">
      <c r="A14" s="96"/>
      <c r="B14" s="102" t="s">
        <v>42</v>
      </c>
      <c r="C14" s="106">
        <f>K29</f>
        <v>-4407390</v>
      </c>
      <c r="D14" s="114">
        <f t="shared" ref="D14:D22" si="1">C14*10.03</f>
        <v>-44206121.699999996</v>
      </c>
      <c r="E14" s="115"/>
      <c r="F14" s="96"/>
      <c r="G14" s="96"/>
      <c r="H14" s="102" t="s">
        <v>114</v>
      </c>
      <c r="I14" s="111"/>
      <c r="J14" s="112"/>
      <c r="K14" s="94">
        <f>K5-K13</f>
        <v>-51140040</v>
      </c>
    </row>
    <row r="15" spans="1:11" ht="13.5" thickBot="1" x14ac:dyDescent="0.25">
      <c r="A15" s="96"/>
      <c r="B15" s="102" t="s">
        <v>115</v>
      </c>
      <c r="C15" s="116">
        <f>K30</f>
        <v>-20986.046999999999</v>
      </c>
      <c r="D15" s="114">
        <f t="shared" si="1"/>
        <v>-210490.05140999999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>
        <f>(C14-C15-C17-C18-C19-C20-C21)*0.1318</f>
        <v>-578895.11700540001</v>
      </c>
      <c r="D16" s="114">
        <f t="shared" si="1"/>
        <v>-5806318.0235641617</v>
      </c>
      <c r="E16" s="115"/>
      <c r="F16" s="96"/>
      <c r="G16" s="96"/>
      <c r="H16" s="117" t="s">
        <v>136</v>
      </c>
      <c r="I16" s="118">
        <f>'Mall, Citadel, Rotana'!T2</f>
        <v>3940</v>
      </c>
      <c r="J16" s="118">
        <f>'Mall, Citadel, Rotana'!T30</f>
        <v>3965.5</v>
      </c>
      <c r="K16" s="95">
        <f>(J16-I16)*160</f>
        <v>4080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>
        <f>'Mall, Citadel, Rotana'!J30</f>
        <v>306560</v>
      </c>
      <c r="K17" s="95">
        <f>(J17-I17)*160</f>
        <v>486880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25898</v>
      </c>
      <c r="J18" s="118">
        <f>'Mall, Citadel, Rotana'!L30</f>
        <v>25979</v>
      </c>
      <c r="K18" s="95">
        <f>(J18-I18)*160</f>
        <v>12960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4" t="s">
        <v>116</v>
      </c>
      <c r="F19" s="175"/>
      <c r="G19" s="96"/>
      <c r="H19" s="117" t="s">
        <v>117</v>
      </c>
      <c r="I19" s="118">
        <f>'Mall, Citadel, Rotana'!P2</f>
        <v>143493</v>
      </c>
      <c r="J19" s="118">
        <f>'Mall, Citadel, Rotana'!P30</f>
        <v>145982</v>
      </c>
      <c r="K19" s="95">
        <f>J19-I19</f>
        <v>2489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>
        <f>'Mall, Citadel, Rotana'!R30</f>
        <v>55047</v>
      </c>
      <c r="K20" s="95">
        <f>J20-I20</f>
        <v>0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46696</v>
      </c>
      <c r="J21" s="118">
        <f>'Mall, Citadel, Rotana'!B30</f>
        <v>46819</v>
      </c>
      <c r="K21" s="95">
        <f>(J21-I21)*120</f>
        <v>14760</v>
      </c>
    </row>
    <row r="22" spans="1:11" ht="13.5" thickBot="1" x14ac:dyDescent="0.25">
      <c r="A22" s="96"/>
      <c r="B22" s="102" t="s">
        <v>119</v>
      </c>
      <c r="C22" s="114">
        <f>C14-(C15+C16+C17+C18+C19+C20+C21)</f>
        <v>-3813328.8359945999</v>
      </c>
      <c r="D22" s="114">
        <f t="shared" si="1"/>
        <v>-38247688.225025833</v>
      </c>
      <c r="E22" s="115"/>
      <c r="F22" s="96"/>
      <c r="G22" s="96"/>
      <c r="H22" s="117" t="s">
        <v>15</v>
      </c>
      <c r="I22" s="118">
        <f>'Mall, Citadel, Rotana'!D2</f>
        <v>40344</v>
      </c>
      <c r="J22" s="118">
        <f>'Mall, Citadel, Rotana'!D30</f>
        <v>40432</v>
      </c>
      <c r="K22" s="95">
        <f>(J22-I22)*160</f>
        <v>14080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21375</v>
      </c>
      <c r="J23" s="118">
        <f>'Mall, Citadel, Rotana'!F30</f>
        <v>21473</v>
      </c>
      <c r="K23" s="95">
        <f>(J23-I23)*20</f>
        <v>1960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253987</v>
      </c>
      <c r="J24" s="118">
        <f>'Mall, Citadel, Rotana'!H30</f>
        <v>254371</v>
      </c>
      <c r="K24" s="95">
        <f>J24-I24</f>
        <v>384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225126</v>
      </c>
      <c r="J25" s="118">
        <f>'Mall, Citadel, Rotana'!N30</f>
        <v>225829</v>
      </c>
      <c r="K25" s="95">
        <f>J25-I25</f>
        <v>703</v>
      </c>
    </row>
    <row r="26" spans="1:11" ht="13.5" thickBot="1" x14ac:dyDescent="0.25">
      <c r="A26" s="96"/>
      <c r="B26" s="102" t="s">
        <v>42</v>
      </c>
      <c r="C26" s="120">
        <f>K35</f>
        <v>-18058989</v>
      </c>
      <c r="D26" s="106">
        <f>C26*3.65</f>
        <v>-65915309.850000001</v>
      </c>
      <c r="E26" s="107"/>
      <c r="F26" s="96"/>
      <c r="G26" s="96"/>
      <c r="H26" s="117" t="s">
        <v>123</v>
      </c>
      <c r="I26" s="127">
        <f>ELECT.!C2</f>
        <v>19364</v>
      </c>
      <c r="J26" s="127">
        <f>ELECT.!C30</f>
        <v>0</v>
      </c>
      <c r="K26" s="95">
        <f>(J26-I26)*160</f>
        <v>-3098240</v>
      </c>
    </row>
    <row r="27" spans="1:11" ht="13.5" thickBot="1" x14ac:dyDescent="0.25">
      <c r="A27" s="96"/>
      <c r="B27" s="97" t="s">
        <v>124</v>
      </c>
      <c r="C27" s="120">
        <f>C26</f>
        <v>-18058989</v>
      </c>
      <c r="D27" s="106">
        <f>C27*3.65</f>
        <v>-65915309.850000001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440739</v>
      </c>
      <c r="J29" s="118">
        <f>Water!B30</f>
        <v>0</v>
      </c>
      <c r="K29" s="95">
        <f>(J29-I29)*10</f>
        <v>-4407390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777261</v>
      </c>
      <c r="J30" s="118">
        <f>Water!H30</f>
        <v>0</v>
      </c>
      <c r="K30" s="95">
        <f>(J30-I30)*0.027</f>
        <v>-20986.046999999999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4136</v>
      </c>
      <c r="J31" s="118">
        <f>Water!D30</f>
        <v>0</v>
      </c>
      <c r="K31" s="95">
        <f>(J31-I31)*0.027</f>
        <v>-111.672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7956100</v>
      </c>
      <c r="J32" s="118">
        <f>Water!F30</f>
        <v>0</v>
      </c>
      <c r="K32" s="95">
        <f>(J32-I32)*0.027</f>
        <v>-214814.7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18058989</v>
      </c>
      <c r="J35" s="137">
        <f>Gas!B30</f>
        <v>0</v>
      </c>
      <c r="K35" s="126">
        <f>J35-I35</f>
        <v>-18058989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71" sqref="J7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145</v>
      </c>
      <c r="F1" s="60" t="s">
        <v>146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146</v>
      </c>
      <c r="M1" s="60" t="s">
        <v>147</v>
      </c>
      <c r="N1" s="60" t="s">
        <v>91</v>
      </c>
      <c r="O1" s="61" t="s">
        <v>79</v>
      </c>
    </row>
    <row r="2" spans="2:15" ht="15" x14ac:dyDescent="0.2">
      <c r="B2" s="58"/>
      <c r="C2" s="176">
        <v>6</v>
      </c>
      <c r="D2" s="62" t="s">
        <v>80</v>
      </c>
      <c r="E2" s="63">
        <v>284105</v>
      </c>
      <c r="F2" s="63">
        <v>284537</v>
      </c>
      <c r="G2" s="64">
        <f>F2-E2</f>
        <v>432</v>
      </c>
      <c r="H2" s="65"/>
      <c r="J2" s="176">
        <v>6</v>
      </c>
      <c r="K2" s="62" t="s">
        <v>80</v>
      </c>
      <c r="L2" s="63">
        <v>284537</v>
      </c>
      <c r="M2" s="63">
        <v>285244</v>
      </c>
      <c r="N2" s="64">
        <f>M2-L2</f>
        <v>707</v>
      </c>
      <c r="O2" s="65"/>
    </row>
    <row r="3" spans="2:15" ht="15" x14ac:dyDescent="0.2">
      <c r="B3" s="58"/>
      <c r="C3" s="178"/>
      <c r="D3" s="62" t="s">
        <v>81</v>
      </c>
      <c r="E3" s="63">
        <v>246986</v>
      </c>
      <c r="F3" s="63">
        <v>247802</v>
      </c>
      <c r="G3" s="64">
        <f t="shared" ref="G3:G43" si="0">F3-E3</f>
        <v>816</v>
      </c>
      <c r="H3" s="65"/>
      <c r="J3" s="178"/>
      <c r="K3" s="62" t="s">
        <v>81</v>
      </c>
      <c r="L3" s="63">
        <v>247802</v>
      </c>
      <c r="M3" s="63">
        <v>248873</v>
      </c>
      <c r="N3" s="64">
        <f t="shared" ref="N3:N60" si="1">M3-L3</f>
        <v>1071</v>
      </c>
      <c r="O3" s="65"/>
    </row>
    <row r="4" spans="2:15" ht="15" x14ac:dyDescent="0.2">
      <c r="B4" s="58"/>
      <c r="C4" s="177"/>
      <c r="D4" s="62" t="s">
        <v>82</v>
      </c>
      <c r="E4" s="63">
        <v>193547</v>
      </c>
      <c r="F4" s="63">
        <v>194082</v>
      </c>
      <c r="G4" s="64">
        <f t="shared" si="0"/>
        <v>535</v>
      </c>
      <c r="H4" s="65"/>
      <c r="J4" s="177"/>
      <c r="K4" s="62" t="s">
        <v>82</v>
      </c>
      <c r="L4" s="63">
        <v>194082</v>
      </c>
      <c r="M4" s="63">
        <v>194618</v>
      </c>
      <c r="N4" s="64">
        <f t="shared" si="1"/>
        <v>536</v>
      </c>
      <c r="O4" s="65"/>
    </row>
    <row r="5" spans="2:15" ht="15" x14ac:dyDescent="0.2">
      <c r="B5" s="58"/>
      <c r="C5" s="176">
        <v>7</v>
      </c>
      <c r="D5" s="62" t="s">
        <v>80</v>
      </c>
      <c r="E5" s="63">
        <v>247931</v>
      </c>
      <c r="F5" s="63">
        <v>249276</v>
      </c>
      <c r="G5" s="64">
        <f t="shared" si="0"/>
        <v>1345</v>
      </c>
      <c r="H5" s="65"/>
      <c r="J5" s="176">
        <v>7</v>
      </c>
      <c r="K5" s="62" t="s">
        <v>80</v>
      </c>
      <c r="L5" s="63">
        <v>249276</v>
      </c>
      <c r="M5" s="63">
        <v>250252</v>
      </c>
      <c r="N5" s="64">
        <f t="shared" si="1"/>
        <v>976</v>
      </c>
      <c r="O5" s="65"/>
    </row>
    <row r="6" spans="2:15" ht="15" x14ac:dyDescent="0.2">
      <c r="B6" s="58"/>
      <c r="C6" s="178"/>
      <c r="D6" s="62" t="s">
        <v>81</v>
      </c>
      <c r="E6" s="63">
        <v>154189</v>
      </c>
      <c r="F6" s="63">
        <v>154971</v>
      </c>
      <c r="G6" s="64">
        <f t="shared" si="0"/>
        <v>782</v>
      </c>
      <c r="H6" s="65"/>
      <c r="J6" s="178"/>
      <c r="K6" s="62" t="s">
        <v>81</v>
      </c>
      <c r="L6" s="63">
        <v>154971</v>
      </c>
      <c r="M6" s="63">
        <v>155059</v>
      </c>
      <c r="N6" s="64">
        <f t="shared" si="1"/>
        <v>88</v>
      </c>
      <c r="O6" s="65"/>
    </row>
    <row r="7" spans="2:15" ht="15" x14ac:dyDescent="0.2">
      <c r="B7" s="58"/>
      <c r="C7" s="177"/>
      <c r="D7" s="62" t="s">
        <v>82</v>
      </c>
      <c r="E7" s="63">
        <v>124119</v>
      </c>
      <c r="F7" s="63">
        <v>127915</v>
      </c>
      <c r="G7" s="64">
        <f t="shared" si="0"/>
        <v>3796</v>
      </c>
      <c r="H7" s="65"/>
      <c r="J7" s="177"/>
      <c r="K7" s="62" t="s">
        <v>82</v>
      </c>
      <c r="L7" s="63">
        <v>127915</v>
      </c>
      <c r="M7" s="63">
        <v>129125</v>
      </c>
      <c r="N7" s="64">
        <f t="shared" si="1"/>
        <v>1210</v>
      </c>
      <c r="O7" s="65"/>
    </row>
    <row r="8" spans="2:15" ht="15" x14ac:dyDescent="0.2">
      <c r="B8" s="58"/>
      <c r="C8" s="176">
        <v>8</v>
      </c>
      <c r="D8" s="62" t="s">
        <v>80</v>
      </c>
      <c r="E8" s="63">
        <v>77296</v>
      </c>
      <c r="F8" s="63">
        <v>77530</v>
      </c>
      <c r="G8" s="64">
        <f t="shared" si="0"/>
        <v>234</v>
      </c>
      <c r="H8" s="65"/>
      <c r="J8" s="176">
        <v>8</v>
      </c>
      <c r="K8" s="62" t="s">
        <v>80</v>
      </c>
      <c r="L8" s="63">
        <v>77530</v>
      </c>
      <c r="M8" s="63">
        <v>77730</v>
      </c>
      <c r="N8" s="64">
        <f t="shared" si="1"/>
        <v>200</v>
      </c>
      <c r="O8" s="65"/>
    </row>
    <row r="9" spans="2:15" ht="15" x14ac:dyDescent="0.2">
      <c r="B9" s="58"/>
      <c r="C9" s="178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78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77"/>
      <c r="D10" s="62" t="s">
        <v>82</v>
      </c>
      <c r="E10" s="63">
        <v>101106</v>
      </c>
      <c r="F10" s="63">
        <v>101664</v>
      </c>
      <c r="G10" s="64">
        <f t="shared" si="0"/>
        <v>558</v>
      </c>
      <c r="H10" s="65"/>
      <c r="J10" s="177"/>
      <c r="K10" s="62" t="s">
        <v>82</v>
      </c>
      <c r="L10" s="63">
        <v>101664</v>
      </c>
      <c r="M10" s="63">
        <v>102300</v>
      </c>
      <c r="N10" s="64">
        <f t="shared" si="1"/>
        <v>636</v>
      </c>
      <c r="O10" s="65"/>
    </row>
    <row r="11" spans="2:15" ht="15" x14ac:dyDescent="0.2">
      <c r="B11" s="58"/>
      <c r="C11" s="176">
        <v>9</v>
      </c>
      <c r="D11" s="62" t="s">
        <v>80</v>
      </c>
      <c r="E11" s="63">
        <v>34764</v>
      </c>
      <c r="F11" s="63">
        <v>34790</v>
      </c>
      <c r="G11" s="64">
        <f t="shared" si="0"/>
        <v>26</v>
      </c>
      <c r="H11" s="65"/>
      <c r="J11" s="176">
        <v>9</v>
      </c>
      <c r="K11" s="62" t="s">
        <v>80</v>
      </c>
      <c r="L11" s="63">
        <v>34790</v>
      </c>
      <c r="M11" s="63">
        <v>34798</v>
      </c>
      <c r="N11" s="64">
        <f t="shared" si="1"/>
        <v>8</v>
      </c>
      <c r="O11" s="65"/>
    </row>
    <row r="12" spans="2:15" ht="15" x14ac:dyDescent="0.2">
      <c r="B12" s="58"/>
      <c r="C12" s="178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78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77"/>
      <c r="D13" s="62" t="s">
        <v>82</v>
      </c>
      <c r="E13" s="63">
        <v>29073</v>
      </c>
      <c r="F13" s="63">
        <v>29140</v>
      </c>
      <c r="G13" s="64">
        <f t="shared" si="0"/>
        <v>67</v>
      </c>
      <c r="H13" s="65"/>
      <c r="I13" s="67"/>
      <c r="J13" s="177"/>
      <c r="K13" s="62" t="s">
        <v>82</v>
      </c>
      <c r="L13" s="63">
        <v>29140</v>
      </c>
      <c r="M13" s="63">
        <v>29204</v>
      </c>
      <c r="N13" s="64">
        <f t="shared" si="1"/>
        <v>64</v>
      </c>
      <c r="O13" s="65"/>
    </row>
    <row r="14" spans="2:15" ht="15" x14ac:dyDescent="0.2">
      <c r="B14" s="58"/>
      <c r="C14" s="176">
        <v>10</v>
      </c>
      <c r="D14" s="62" t="s">
        <v>80</v>
      </c>
      <c r="E14" s="63">
        <v>206953</v>
      </c>
      <c r="F14" s="63">
        <v>209658</v>
      </c>
      <c r="G14" s="64">
        <f t="shared" si="0"/>
        <v>2705</v>
      </c>
      <c r="H14" s="65"/>
      <c r="I14" s="68"/>
      <c r="J14" s="176">
        <v>10</v>
      </c>
      <c r="K14" s="62" t="s">
        <v>80</v>
      </c>
      <c r="L14" s="63">
        <v>209658</v>
      </c>
      <c r="M14" s="63">
        <v>211813</v>
      </c>
      <c r="N14" s="64">
        <f t="shared" si="1"/>
        <v>2155</v>
      </c>
      <c r="O14" s="65"/>
    </row>
    <row r="15" spans="2:15" ht="15" x14ac:dyDescent="0.2">
      <c r="B15" s="58"/>
      <c r="C15" s="178"/>
      <c r="D15" s="62" t="s">
        <v>81</v>
      </c>
      <c r="E15" s="63">
        <v>8002</v>
      </c>
      <c r="F15" s="63">
        <v>8002</v>
      </c>
      <c r="G15" s="64">
        <f t="shared" si="0"/>
        <v>0</v>
      </c>
      <c r="H15" s="65"/>
      <c r="I15" s="68"/>
      <c r="J15" s="178"/>
      <c r="K15" s="62" t="s">
        <v>81</v>
      </c>
      <c r="L15" s="63">
        <v>8002</v>
      </c>
      <c r="M15" s="63">
        <v>8006</v>
      </c>
      <c r="N15" s="64">
        <f t="shared" si="1"/>
        <v>4</v>
      </c>
      <c r="O15" s="65"/>
    </row>
    <row r="16" spans="2:15" ht="15" x14ac:dyDescent="0.2">
      <c r="B16" s="58"/>
      <c r="C16" s="177"/>
      <c r="D16" s="62" t="s">
        <v>82</v>
      </c>
      <c r="E16" s="63">
        <v>189492</v>
      </c>
      <c r="F16" s="63">
        <v>190512</v>
      </c>
      <c r="G16" s="64">
        <f t="shared" si="0"/>
        <v>1020</v>
      </c>
      <c r="H16" s="65"/>
      <c r="I16" s="68"/>
      <c r="J16" s="177"/>
      <c r="K16" s="62" t="s">
        <v>82</v>
      </c>
      <c r="L16" s="63">
        <v>190512</v>
      </c>
      <c r="M16" s="63">
        <v>194420</v>
      </c>
      <c r="N16" s="64">
        <f t="shared" si="1"/>
        <v>3908</v>
      </c>
      <c r="O16" s="65"/>
    </row>
    <row r="17" spans="2:15" ht="15" x14ac:dyDescent="0.2">
      <c r="B17" s="58"/>
      <c r="C17" s="176">
        <v>11</v>
      </c>
      <c r="D17" s="62" t="s">
        <v>80</v>
      </c>
      <c r="E17" s="64">
        <v>66319</v>
      </c>
      <c r="F17" s="64">
        <v>66425</v>
      </c>
      <c r="G17" s="64">
        <f t="shared" si="0"/>
        <v>106</v>
      </c>
      <c r="H17" s="65"/>
      <c r="I17" s="68"/>
      <c r="J17" s="176">
        <v>11</v>
      </c>
      <c r="K17" s="62" t="s">
        <v>80</v>
      </c>
      <c r="L17" s="64">
        <v>66425</v>
      </c>
      <c r="M17" s="64">
        <v>66985</v>
      </c>
      <c r="N17" s="64">
        <f t="shared" si="1"/>
        <v>560</v>
      </c>
      <c r="O17" s="65"/>
    </row>
    <row r="18" spans="2:15" ht="15" x14ac:dyDescent="0.2">
      <c r="B18" s="58"/>
      <c r="C18" s="178"/>
      <c r="D18" s="62" t="s">
        <v>81</v>
      </c>
      <c r="E18" s="64">
        <v>218410</v>
      </c>
      <c r="F18" s="64">
        <v>221609</v>
      </c>
      <c r="G18" s="64">
        <f t="shared" si="0"/>
        <v>3199</v>
      </c>
      <c r="H18" s="65"/>
      <c r="I18" s="68"/>
      <c r="J18" s="178"/>
      <c r="K18" s="62" t="s">
        <v>81</v>
      </c>
      <c r="L18" s="64">
        <v>221609</v>
      </c>
      <c r="M18" s="64">
        <v>222780</v>
      </c>
      <c r="N18" s="64">
        <f t="shared" si="1"/>
        <v>1171</v>
      </c>
      <c r="O18" s="65"/>
    </row>
    <row r="19" spans="2:15" ht="15" x14ac:dyDescent="0.2">
      <c r="B19" s="58"/>
      <c r="C19" s="177"/>
      <c r="D19" s="62" t="s">
        <v>82</v>
      </c>
      <c r="E19" s="63">
        <v>31038</v>
      </c>
      <c r="F19" s="63">
        <v>31076</v>
      </c>
      <c r="G19" s="64">
        <f t="shared" si="0"/>
        <v>38</v>
      </c>
      <c r="H19" s="65"/>
      <c r="I19" s="68"/>
      <c r="J19" s="177"/>
      <c r="K19" s="62" t="s">
        <v>82</v>
      </c>
      <c r="L19" s="63">
        <v>31076</v>
      </c>
      <c r="M19" s="63">
        <v>31138</v>
      </c>
      <c r="N19" s="64">
        <f t="shared" si="1"/>
        <v>62</v>
      </c>
      <c r="O19" s="65"/>
    </row>
    <row r="20" spans="2:15" ht="15" x14ac:dyDescent="0.2">
      <c r="B20" s="58"/>
      <c r="C20" s="176">
        <v>12</v>
      </c>
      <c r="D20" s="62" t="s">
        <v>80</v>
      </c>
      <c r="E20" s="144">
        <v>146609</v>
      </c>
      <c r="F20" s="144">
        <v>146699</v>
      </c>
      <c r="G20" s="64">
        <f t="shared" si="0"/>
        <v>90</v>
      </c>
      <c r="H20" s="65"/>
      <c r="I20" s="68"/>
      <c r="J20" s="176">
        <v>12</v>
      </c>
      <c r="K20" s="62" t="s">
        <v>80</v>
      </c>
      <c r="L20" s="144">
        <v>146699</v>
      </c>
      <c r="M20" s="144">
        <v>146776</v>
      </c>
      <c r="N20" s="64">
        <f t="shared" si="1"/>
        <v>77</v>
      </c>
      <c r="O20" s="65"/>
    </row>
    <row r="21" spans="2:15" ht="15" x14ac:dyDescent="0.2">
      <c r="B21" s="58"/>
      <c r="C21" s="178"/>
      <c r="D21" s="62" t="s">
        <v>81</v>
      </c>
      <c r="E21" s="63">
        <v>22540</v>
      </c>
      <c r="F21" s="63">
        <v>22561</v>
      </c>
      <c r="G21" s="64">
        <f t="shared" si="0"/>
        <v>21</v>
      </c>
      <c r="H21" s="65"/>
      <c r="I21" s="69" t="s">
        <v>12</v>
      </c>
      <c r="J21" s="178"/>
      <c r="K21" s="62" t="s">
        <v>81</v>
      </c>
      <c r="L21" s="63">
        <v>22561</v>
      </c>
      <c r="M21" s="63">
        <v>22614</v>
      </c>
      <c r="N21" s="64">
        <f t="shared" si="1"/>
        <v>53</v>
      </c>
      <c r="O21" s="65"/>
    </row>
    <row r="22" spans="2:15" ht="15" x14ac:dyDescent="0.2">
      <c r="B22" s="58"/>
      <c r="C22" s="177"/>
      <c r="D22" s="62" t="s">
        <v>82</v>
      </c>
      <c r="E22" s="63">
        <v>247487</v>
      </c>
      <c r="F22" s="63">
        <v>250241</v>
      </c>
      <c r="G22" s="64">
        <f t="shared" si="0"/>
        <v>2754</v>
      </c>
      <c r="H22" s="65"/>
      <c r="I22" s="68"/>
      <c r="J22" s="177"/>
      <c r="K22" s="62" t="s">
        <v>82</v>
      </c>
      <c r="L22" s="63">
        <v>250241</v>
      </c>
      <c r="M22" s="63">
        <v>252574</v>
      </c>
      <c r="N22" s="64">
        <f t="shared" si="1"/>
        <v>2333</v>
      </c>
      <c r="O22" s="65"/>
    </row>
    <row r="23" spans="2:15" ht="15" x14ac:dyDescent="0.2">
      <c r="B23" s="58"/>
      <c r="C23" s="176">
        <v>14</v>
      </c>
      <c r="D23" s="62" t="s">
        <v>80</v>
      </c>
      <c r="E23" s="63">
        <v>117854</v>
      </c>
      <c r="F23" s="63">
        <v>118067</v>
      </c>
      <c r="G23" s="64">
        <f t="shared" si="0"/>
        <v>213</v>
      </c>
      <c r="H23" s="65"/>
      <c r="I23" s="68"/>
      <c r="J23" s="176">
        <v>14</v>
      </c>
      <c r="K23" s="62" t="s">
        <v>80</v>
      </c>
      <c r="L23" s="63">
        <v>118067</v>
      </c>
      <c r="M23" s="63">
        <v>118249</v>
      </c>
      <c r="N23" s="64">
        <f t="shared" si="1"/>
        <v>182</v>
      </c>
      <c r="O23" s="65"/>
    </row>
    <row r="24" spans="2:15" ht="15" x14ac:dyDescent="0.2">
      <c r="B24" s="58"/>
      <c r="C24" s="178"/>
      <c r="D24" s="62" t="s">
        <v>81</v>
      </c>
      <c r="E24" s="63">
        <v>29043</v>
      </c>
      <c r="F24" s="63">
        <v>31608</v>
      </c>
      <c r="G24" s="64">
        <f t="shared" si="0"/>
        <v>2565</v>
      </c>
      <c r="H24" s="65"/>
      <c r="I24" s="68"/>
      <c r="J24" s="178"/>
      <c r="K24" s="62" t="s">
        <v>81</v>
      </c>
      <c r="L24" s="63">
        <v>31608</v>
      </c>
      <c r="M24" s="70">
        <v>32974</v>
      </c>
      <c r="N24" s="64">
        <f t="shared" si="1"/>
        <v>1366</v>
      </c>
      <c r="O24" s="65"/>
    </row>
    <row r="25" spans="2:15" ht="15" x14ac:dyDescent="0.2">
      <c r="B25" s="58"/>
      <c r="C25" s="177"/>
      <c r="D25" s="62" t="s">
        <v>82</v>
      </c>
      <c r="E25" s="63">
        <v>1832</v>
      </c>
      <c r="F25" s="63">
        <v>1857</v>
      </c>
      <c r="G25" s="64">
        <f t="shared" si="0"/>
        <v>25</v>
      </c>
      <c r="H25" s="65"/>
      <c r="I25" s="68"/>
      <c r="J25" s="177"/>
      <c r="K25" s="62" t="s">
        <v>82</v>
      </c>
      <c r="L25" s="63">
        <v>1857</v>
      </c>
      <c r="M25" s="63">
        <v>1884</v>
      </c>
      <c r="N25" s="64">
        <f t="shared" si="1"/>
        <v>27</v>
      </c>
      <c r="O25" s="65"/>
    </row>
    <row r="26" spans="2:15" ht="15" x14ac:dyDescent="0.2">
      <c r="B26" s="58"/>
      <c r="C26" s="176">
        <v>15</v>
      </c>
      <c r="D26" s="62" t="s">
        <v>80</v>
      </c>
      <c r="E26" s="144">
        <v>39352</v>
      </c>
      <c r="F26" s="144">
        <v>39352</v>
      </c>
      <c r="G26" s="64">
        <f t="shared" si="0"/>
        <v>0</v>
      </c>
      <c r="H26" s="65"/>
      <c r="I26" s="69" t="s">
        <v>12</v>
      </c>
      <c r="J26" s="176">
        <v>15</v>
      </c>
      <c r="K26" s="62" t="s">
        <v>80</v>
      </c>
      <c r="L26" s="144">
        <v>39352</v>
      </c>
      <c r="M26" s="144">
        <v>39352</v>
      </c>
      <c r="N26" s="64">
        <f t="shared" si="1"/>
        <v>0</v>
      </c>
      <c r="O26" s="65"/>
    </row>
    <row r="27" spans="2:15" ht="15" x14ac:dyDescent="0.2">
      <c r="B27" s="58"/>
      <c r="C27" s="178"/>
      <c r="D27" s="62" t="s">
        <v>81</v>
      </c>
      <c r="E27" s="63">
        <v>82681</v>
      </c>
      <c r="F27" s="63">
        <v>83088</v>
      </c>
      <c r="G27" s="64">
        <f t="shared" si="0"/>
        <v>407</v>
      </c>
      <c r="H27" s="65"/>
      <c r="I27" s="69" t="s">
        <v>12</v>
      </c>
      <c r="J27" s="178"/>
      <c r="K27" s="62" t="s">
        <v>81</v>
      </c>
      <c r="L27" s="63">
        <v>83088</v>
      </c>
      <c r="M27" s="63">
        <v>83536</v>
      </c>
      <c r="N27" s="64">
        <f t="shared" si="1"/>
        <v>448</v>
      </c>
      <c r="O27" s="65"/>
    </row>
    <row r="28" spans="2:15" ht="15" x14ac:dyDescent="0.2">
      <c r="B28" s="58"/>
      <c r="C28" s="177"/>
      <c r="D28" s="62" t="s">
        <v>82</v>
      </c>
      <c r="E28" s="63">
        <v>159338</v>
      </c>
      <c r="F28" s="63">
        <v>160195</v>
      </c>
      <c r="G28" s="64">
        <f t="shared" si="0"/>
        <v>857</v>
      </c>
      <c r="H28" s="65"/>
      <c r="I28" s="68"/>
      <c r="J28" s="177"/>
      <c r="K28" s="62" t="s">
        <v>82</v>
      </c>
      <c r="L28" s="63">
        <v>160195</v>
      </c>
      <c r="M28" s="63">
        <v>160978</v>
      </c>
      <c r="N28" s="64">
        <f t="shared" si="1"/>
        <v>783</v>
      </c>
      <c r="O28" s="65"/>
    </row>
    <row r="29" spans="2:15" ht="15" x14ac:dyDescent="0.2">
      <c r="B29" s="58"/>
      <c r="C29" s="176">
        <v>16</v>
      </c>
      <c r="D29" s="62" t="s">
        <v>80</v>
      </c>
      <c r="E29" s="144">
        <v>97792</v>
      </c>
      <c r="F29" s="144">
        <v>97792</v>
      </c>
      <c r="G29" s="64">
        <f t="shared" si="0"/>
        <v>0</v>
      </c>
      <c r="H29" s="66" t="s">
        <v>12</v>
      </c>
      <c r="I29" s="68"/>
      <c r="J29" s="176">
        <v>16</v>
      </c>
      <c r="K29" s="62" t="s">
        <v>80</v>
      </c>
      <c r="L29" s="144">
        <v>97792</v>
      </c>
      <c r="M29" s="144">
        <v>97792</v>
      </c>
      <c r="N29" s="64">
        <f t="shared" si="1"/>
        <v>0</v>
      </c>
      <c r="O29" s="66" t="s">
        <v>12</v>
      </c>
    </row>
    <row r="30" spans="2:15" ht="15" x14ac:dyDescent="0.2">
      <c r="B30" s="58"/>
      <c r="C30" s="178"/>
      <c r="D30" s="62" t="s">
        <v>81</v>
      </c>
      <c r="E30" s="144">
        <v>61655</v>
      </c>
      <c r="F30" s="144">
        <v>62114</v>
      </c>
      <c r="G30" s="64">
        <f t="shared" si="0"/>
        <v>459</v>
      </c>
      <c r="H30" s="65"/>
      <c r="I30" s="68"/>
      <c r="J30" s="178"/>
      <c r="K30" s="62" t="s">
        <v>81</v>
      </c>
      <c r="L30" s="144">
        <v>62114</v>
      </c>
      <c r="M30" s="144">
        <v>62805</v>
      </c>
      <c r="N30" s="64">
        <f t="shared" si="1"/>
        <v>691</v>
      </c>
      <c r="O30" s="65"/>
    </row>
    <row r="31" spans="2:15" ht="15" x14ac:dyDescent="0.2">
      <c r="B31" s="58"/>
      <c r="C31" s="177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77"/>
      <c r="K31" s="62" t="s">
        <v>82</v>
      </c>
      <c r="L31" s="63">
        <v>68462</v>
      </c>
      <c r="M31" s="63">
        <v>68544</v>
      </c>
      <c r="N31" s="64">
        <f t="shared" si="1"/>
        <v>82</v>
      </c>
      <c r="O31" s="71"/>
    </row>
    <row r="32" spans="2:15" ht="15" x14ac:dyDescent="0.2">
      <c r="B32" s="58"/>
      <c r="C32" s="176">
        <v>17</v>
      </c>
      <c r="D32" s="62" t="s">
        <v>80</v>
      </c>
      <c r="E32" s="63">
        <v>34445</v>
      </c>
      <c r="F32" s="63">
        <v>35693</v>
      </c>
      <c r="G32" s="64">
        <f t="shared" si="0"/>
        <v>1248</v>
      </c>
      <c r="H32" s="65"/>
      <c r="I32" s="68"/>
      <c r="J32" s="176">
        <v>17</v>
      </c>
      <c r="K32" s="62" t="s">
        <v>80</v>
      </c>
      <c r="L32" s="63">
        <v>35693</v>
      </c>
      <c r="M32" s="63">
        <v>35909</v>
      </c>
      <c r="N32" s="64">
        <f t="shared" si="1"/>
        <v>216</v>
      </c>
      <c r="O32" s="65"/>
    </row>
    <row r="33" spans="2:16" ht="15" x14ac:dyDescent="0.2">
      <c r="B33" s="58"/>
      <c r="C33" s="178"/>
      <c r="D33" s="62" t="s">
        <v>81</v>
      </c>
      <c r="E33" s="63">
        <v>64234</v>
      </c>
      <c r="F33" s="63">
        <v>64255</v>
      </c>
      <c r="G33" s="64">
        <f t="shared" si="0"/>
        <v>21</v>
      </c>
      <c r="H33" s="65"/>
      <c r="I33" s="68"/>
      <c r="J33" s="178"/>
      <c r="K33" s="62" t="s">
        <v>81</v>
      </c>
      <c r="L33" s="63">
        <v>64255</v>
      </c>
      <c r="M33" s="63">
        <v>64134</v>
      </c>
      <c r="N33" s="64">
        <f t="shared" si="1"/>
        <v>-121</v>
      </c>
      <c r="O33" s="65"/>
    </row>
    <row r="34" spans="2:16" ht="15" x14ac:dyDescent="0.2">
      <c r="B34" s="58"/>
      <c r="C34" s="177"/>
      <c r="D34" s="62" t="s">
        <v>82</v>
      </c>
      <c r="E34" s="63">
        <v>11846</v>
      </c>
      <c r="F34" s="63">
        <v>11880</v>
      </c>
      <c r="G34" s="64">
        <f t="shared" si="0"/>
        <v>34</v>
      </c>
      <c r="H34" s="71"/>
      <c r="I34" s="68"/>
      <c r="J34" s="177"/>
      <c r="K34" s="62" t="s">
        <v>82</v>
      </c>
      <c r="L34" s="63">
        <v>11880</v>
      </c>
      <c r="M34" s="63">
        <v>11959</v>
      </c>
      <c r="N34" s="64">
        <f t="shared" si="1"/>
        <v>79</v>
      </c>
      <c r="O34" s="71"/>
    </row>
    <row r="35" spans="2:16" ht="15" x14ac:dyDescent="0.2">
      <c r="B35" s="58"/>
      <c r="C35" s="176">
        <v>18</v>
      </c>
      <c r="D35" s="62" t="s">
        <v>80</v>
      </c>
      <c r="E35" s="63">
        <v>247016</v>
      </c>
      <c r="F35" s="63">
        <v>248756</v>
      </c>
      <c r="G35" s="64">
        <f t="shared" si="0"/>
        <v>1740</v>
      </c>
      <c r="H35" s="71"/>
      <c r="I35" s="68"/>
      <c r="J35" s="176">
        <v>18</v>
      </c>
      <c r="K35" s="62" t="s">
        <v>80</v>
      </c>
      <c r="L35" s="63">
        <v>248756</v>
      </c>
      <c r="M35" s="63">
        <v>250002</v>
      </c>
      <c r="N35" s="64">
        <f t="shared" si="1"/>
        <v>1246</v>
      </c>
      <c r="O35" s="71"/>
      <c r="P35" s="157"/>
    </row>
    <row r="36" spans="2:16" ht="15" x14ac:dyDescent="0.2">
      <c r="B36" s="58"/>
      <c r="C36" s="178"/>
      <c r="D36" s="62" t="s">
        <v>81</v>
      </c>
      <c r="E36" s="63">
        <v>17669</v>
      </c>
      <c r="F36" s="63">
        <v>17669</v>
      </c>
      <c r="G36" s="64">
        <f t="shared" si="0"/>
        <v>0</v>
      </c>
      <c r="H36" s="65"/>
      <c r="I36" s="68"/>
      <c r="J36" s="178"/>
      <c r="K36" s="62" t="s">
        <v>81</v>
      </c>
      <c r="L36" s="63">
        <v>17669</v>
      </c>
      <c r="M36" s="70">
        <v>18064</v>
      </c>
      <c r="N36" s="64">
        <f t="shared" si="1"/>
        <v>395</v>
      </c>
      <c r="O36" s="65"/>
      <c r="P36" s="166"/>
    </row>
    <row r="37" spans="2:16" ht="15" x14ac:dyDescent="0.2">
      <c r="B37" s="58"/>
      <c r="C37" s="177"/>
      <c r="D37" s="62" t="s">
        <v>82</v>
      </c>
      <c r="E37" s="63">
        <v>86391</v>
      </c>
      <c r="F37" s="63">
        <v>87815</v>
      </c>
      <c r="G37" s="64">
        <f t="shared" si="0"/>
        <v>1424</v>
      </c>
      <c r="H37" s="65"/>
      <c r="I37" s="68"/>
      <c r="J37" s="177"/>
      <c r="K37" s="62" t="s">
        <v>82</v>
      </c>
      <c r="L37" s="63">
        <v>87815</v>
      </c>
      <c r="M37" s="63">
        <v>89012</v>
      </c>
      <c r="N37" s="64">
        <f t="shared" si="1"/>
        <v>1197</v>
      </c>
      <c r="O37" s="65"/>
    </row>
    <row r="38" spans="2:16" ht="15" x14ac:dyDescent="0.2">
      <c r="B38" s="58"/>
      <c r="C38" s="176">
        <v>19</v>
      </c>
      <c r="D38" s="62" t="s">
        <v>80</v>
      </c>
      <c r="E38" s="63">
        <v>22479</v>
      </c>
      <c r="F38" s="63">
        <v>22663</v>
      </c>
      <c r="G38" s="64">
        <f t="shared" si="0"/>
        <v>184</v>
      </c>
      <c r="H38" s="65"/>
      <c r="I38" s="68"/>
      <c r="J38" s="176">
        <v>19</v>
      </c>
      <c r="K38" s="62" t="s">
        <v>80</v>
      </c>
      <c r="L38" s="63">
        <v>22663</v>
      </c>
      <c r="M38" s="63">
        <v>22878</v>
      </c>
      <c r="N38" s="64">
        <f t="shared" si="1"/>
        <v>215</v>
      </c>
      <c r="O38" s="65"/>
    </row>
    <row r="39" spans="2:16" ht="15" x14ac:dyDescent="0.2">
      <c r="B39" s="58"/>
      <c r="C39" s="178"/>
      <c r="D39" s="62" t="s">
        <v>81</v>
      </c>
      <c r="E39" s="144">
        <v>84082</v>
      </c>
      <c r="F39" s="144">
        <v>84211</v>
      </c>
      <c r="G39" s="64">
        <f t="shared" si="0"/>
        <v>129</v>
      </c>
      <c r="H39" s="71"/>
      <c r="I39" s="68"/>
      <c r="J39" s="178"/>
      <c r="K39" s="62" t="s">
        <v>81</v>
      </c>
      <c r="L39" s="144">
        <v>84211</v>
      </c>
      <c r="M39" s="144">
        <v>84350</v>
      </c>
      <c r="N39" s="64">
        <f t="shared" si="1"/>
        <v>139</v>
      </c>
      <c r="O39" s="71"/>
    </row>
    <row r="40" spans="2:16" ht="15" x14ac:dyDescent="0.2">
      <c r="B40" s="58"/>
      <c r="C40" s="177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77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76">
        <v>20</v>
      </c>
      <c r="D41" s="62" t="s">
        <v>80</v>
      </c>
      <c r="E41" s="63">
        <v>120095</v>
      </c>
      <c r="F41" s="63">
        <v>120337</v>
      </c>
      <c r="G41" s="64">
        <f t="shared" si="0"/>
        <v>242</v>
      </c>
      <c r="H41" s="65"/>
      <c r="I41" s="68"/>
      <c r="J41" s="176">
        <v>20</v>
      </c>
      <c r="K41" s="62" t="s">
        <v>80</v>
      </c>
      <c r="L41" s="63">
        <v>120337</v>
      </c>
      <c r="M41" s="63">
        <v>120636</v>
      </c>
      <c r="N41" s="64">
        <f t="shared" si="1"/>
        <v>299</v>
      </c>
      <c r="O41" s="65"/>
    </row>
    <row r="42" spans="2:16" ht="15" x14ac:dyDescent="0.2">
      <c r="B42" s="58"/>
      <c r="C42" s="178"/>
      <c r="D42" s="62" t="s">
        <v>81</v>
      </c>
      <c r="E42" s="144">
        <v>69860</v>
      </c>
      <c r="F42" s="144">
        <v>69989</v>
      </c>
      <c r="G42" s="64">
        <f t="shared" si="0"/>
        <v>129</v>
      </c>
      <c r="H42" s="65"/>
      <c r="J42" s="178"/>
      <c r="K42" s="62" t="s">
        <v>81</v>
      </c>
      <c r="L42" s="144">
        <v>69989</v>
      </c>
      <c r="M42" s="144">
        <v>70567</v>
      </c>
      <c r="N42" s="64">
        <f t="shared" si="1"/>
        <v>578</v>
      </c>
      <c r="O42" s="65"/>
    </row>
    <row r="43" spans="2:16" ht="15" x14ac:dyDescent="0.2">
      <c r="B43" s="58"/>
      <c r="C43" s="177"/>
      <c r="D43" s="62" t="s">
        <v>82</v>
      </c>
      <c r="E43" s="63">
        <v>3319</v>
      </c>
      <c r="F43" s="63">
        <v>3391</v>
      </c>
      <c r="G43" s="64">
        <f t="shared" si="0"/>
        <v>72</v>
      </c>
      <c r="H43" s="65"/>
      <c r="J43" s="177"/>
      <c r="K43" s="62" t="s">
        <v>82</v>
      </c>
      <c r="L43" s="63">
        <v>3391</v>
      </c>
      <c r="M43" s="63">
        <v>3402</v>
      </c>
      <c r="N43" s="64">
        <f t="shared" si="1"/>
        <v>11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76">
        <v>21</v>
      </c>
      <c r="D45" s="76" t="s">
        <v>83</v>
      </c>
      <c r="E45" s="63">
        <v>3617</v>
      </c>
      <c r="F45" s="63">
        <v>3763</v>
      </c>
      <c r="G45" s="64">
        <f t="shared" ref="G45:G50" si="2">F45-E45</f>
        <v>146</v>
      </c>
      <c r="H45" s="66" t="s">
        <v>12</v>
      </c>
      <c r="J45" s="176">
        <v>21</v>
      </c>
      <c r="K45" s="76" t="s">
        <v>83</v>
      </c>
      <c r="L45" s="63">
        <v>3763</v>
      </c>
      <c r="M45" s="63">
        <v>3769</v>
      </c>
      <c r="N45" s="64">
        <f t="shared" si="1"/>
        <v>6</v>
      </c>
      <c r="O45" s="66" t="s">
        <v>12</v>
      </c>
    </row>
    <row r="46" spans="2:16" ht="15" x14ac:dyDescent="0.2">
      <c r="B46" s="58"/>
      <c r="C46" s="178"/>
      <c r="D46" s="76" t="s">
        <v>82</v>
      </c>
      <c r="E46" s="63">
        <v>42697</v>
      </c>
      <c r="F46" s="63">
        <v>43519</v>
      </c>
      <c r="G46" s="64">
        <f t="shared" si="2"/>
        <v>822</v>
      </c>
      <c r="H46" s="65"/>
      <c r="J46" s="178"/>
      <c r="K46" s="76" t="s">
        <v>82</v>
      </c>
      <c r="L46" s="63">
        <v>43519</v>
      </c>
      <c r="M46" s="63">
        <v>44244</v>
      </c>
      <c r="N46" s="64">
        <f t="shared" si="1"/>
        <v>725</v>
      </c>
      <c r="O46" s="65"/>
    </row>
    <row r="47" spans="2:16" ht="15" x14ac:dyDescent="0.2">
      <c r="B47" s="58"/>
      <c r="C47" s="176">
        <v>22</v>
      </c>
      <c r="D47" s="76" t="s">
        <v>83</v>
      </c>
      <c r="E47" s="63">
        <v>13661</v>
      </c>
      <c r="F47" s="63">
        <v>13685</v>
      </c>
      <c r="G47" s="64">
        <f t="shared" si="2"/>
        <v>24</v>
      </c>
      <c r="H47" s="65"/>
      <c r="I47" t="s">
        <v>12</v>
      </c>
      <c r="J47" s="176">
        <v>22</v>
      </c>
      <c r="K47" s="76" t="s">
        <v>83</v>
      </c>
      <c r="L47" s="63">
        <v>13685</v>
      </c>
      <c r="M47" s="77">
        <v>13711</v>
      </c>
      <c r="N47" s="64">
        <f t="shared" si="1"/>
        <v>26</v>
      </c>
      <c r="O47" s="65"/>
    </row>
    <row r="48" spans="2:16" ht="15" x14ac:dyDescent="0.2">
      <c r="B48" s="58"/>
      <c r="C48" s="178"/>
      <c r="D48" s="76" t="s">
        <v>82</v>
      </c>
      <c r="E48" s="63">
        <v>20506</v>
      </c>
      <c r="F48" s="63">
        <v>20650</v>
      </c>
      <c r="G48" s="64">
        <f t="shared" si="2"/>
        <v>144</v>
      </c>
      <c r="H48" s="65"/>
      <c r="J48" s="178"/>
      <c r="K48" s="76" t="s">
        <v>82</v>
      </c>
      <c r="L48" s="63">
        <v>20650</v>
      </c>
      <c r="M48" s="77">
        <v>20778</v>
      </c>
      <c r="N48" s="64">
        <f t="shared" si="1"/>
        <v>128</v>
      </c>
      <c r="O48" s="65"/>
    </row>
    <row r="49" spans="1:15" ht="15" x14ac:dyDescent="0.2">
      <c r="B49" s="58"/>
      <c r="C49" s="176">
        <v>23</v>
      </c>
      <c r="D49" s="62" t="s">
        <v>83</v>
      </c>
      <c r="E49" s="63"/>
      <c r="F49" s="63"/>
      <c r="G49" s="64">
        <f t="shared" si="2"/>
        <v>0</v>
      </c>
      <c r="H49" s="65"/>
      <c r="J49" s="176">
        <v>23</v>
      </c>
      <c r="K49" s="62" t="s">
        <v>83</v>
      </c>
      <c r="L49" s="63"/>
      <c r="M49" s="77"/>
      <c r="N49" s="64">
        <f t="shared" si="1"/>
        <v>0</v>
      </c>
      <c r="O49" s="65"/>
    </row>
    <row r="50" spans="1:15" ht="15" x14ac:dyDescent="0.2">
      <c r="B50" s="58"/>
      <c r="C50" s="178"/>
      <c r="D50" s="62" t="s">
        <v>82</v>
      </c>
      <c r="E50" s="63"/>
      <c r="F50" s="63"/>
      <c r="G50" s="64">
        <f t="shared" si="2"/>
        <v>0</v>
      </c>
      <c r="H50" s="65"/>
      <c r="J50" s="178"/>
      <c r="K50" s="62" t="s">
        <v>82</v>
      </c>
      <c r="L50" s="63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79">
        <v>24</v>
      </c>
      <c r="D52" s="62" t="s">
        <v>84</v>
      </c>
      <c r="E52" s="144">
        <v>247615</v>
      </c>
      <c r="F52" s="144">
        <v>250045</v>
      </c>
      <c r="G52" s="64">
        <f t="shared" ref="G52:G60" si="3">F52-E52</f>
        <v>2430</v>
      </c>
      <c r="H52" s="79"/>
      <c r="J52" s="179">
        <v>24</v>
      </c>
      <c r="K52" s="62" t="s">
        <v>84</v>
      </c>
      <c r="L52" s="144">
        <v>250045</v>
      </c>
      <c r="M52" s="144">
        <v>251533</v>
      </c>
      <c r="N52" s="64">
        <f t="shared" si="1"/>
        <v>1488</v>
      </c>
      <c r="O52" s="79"/>
    </row>
    <row r="53" spans="1:15" ht="15" x14ac:dyDescent="0.2">
      <c r="B53" s="58"/>
      <c r="C53" s="180"/>
      <c r="D53" s="62" t="s">
        <v>85</v>
      </c>
      <c r="E53" s="144">
        <v>538600</v>
      </c>
      <c r="F53" s="144">
        <v>539089</v>
      </c>
      <c r="G53" s="64">
        <f t="shared" si="3"/>
        <v>489</v>
      </c>
      <c r="H53" s="71"/>
      <c r="J53" s="180"/>
      <c r="K53" s="62" t="s">
        <v>85</v>
      </c>
      <c r="L53" s="144">
        <v>539089</v>
      </c>
      <c r="M53" s="144">
        <v>539540</v>
      </c>
      <c r="N53" s="64">
        <f t="shared" si="1"/>
        <v>451</v>
      </c>
      <c r="O53" s="71"/>
    </row>
    <row r="54" spans="1:15" ht="15" x14ac:dyDescent="0.2">
      <c r="B54" s="58"/>
      <c r="C54" s="181"/>
      <c r="D54" s="62" t="s">
        <v>84</v>
      </c>
      <c r="E54" s="144">
        <v>34567</v>
      </c>
      <c r="F54" s="144">
        <v>34567</v>
      </c>
      <c r="G54" s="64">
        <f t="shared" si="3"/>
        <v>0</v>
      </c>
      <c r="H54" s="80" t="s">
        <v>12</v>
      </c>
      <c r="J54" s="181"/>
      <c r="K54" s="62" t="s">
        <v>84</v>
      </c>
      <c r="L54" s="144">
        <v>34567</v>
      </c>
      <c r="M54" s="144">
        <v>34567</v>
      </c>
      <c r="N54" s="64">
        <f t="shared" si="1"/>
        <v>0</v>
      </c>
      <c r="O54" s="80" t="s">
        <v>12</v>
      </c>
    </row>
    <row r="55" spans="1:15" ht="15" x14ac:dyDescent="0.2">
      <c r="B55" s="58"/>
      <c r="C55" s="176">
        <v>25</v>
      </c>
      <c r="D55" s="62" t="s">
        <v>84</v>
      </c>
      <c r="E55" s="63">
        <v>330</v>
      </c>
      <c r="F55" s="63">
        <v>330</v>
      </c>
      <c r="G55" s="64">
        <f t="shared" si="3"/>
        <v>0</v>
      </c>
      <c r="H55" s="65"/>
      <c r="J55" s="176">
        <v>25</v>
      </c>
      <c r="K55" s="62" t="s">
        <v>84</v>
      </c>
      <c r="L55" s="63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77"/>
      <c r="D56" s="62" t="s">
        <v>85</v>
      </c>
      <c r="E56" s="63">
        <v>3</v>
      </c>
      <c r="F56" s="63">
        <v>3</v>
      </c>
      <c r="G56" s="64">
        <f t="shared" si="3"/>
        <v>0</v>
      </c>
      <c r="H56" s="65"/>
      <c r="J56" s="177"/>
      <c r="K56" s="62" t="s">
        <v>85</v>
      </c>
      <c r="L56" s="63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76">
        <v>26</v>
      </c>
      <c r="D57" s="62" t="s">
        <v>84</v>
      </c>
      <c r="E57" s="63">
        <v>722987</v>
      </c>
      <c r="F57" s="63">
        <v>726808</v>
      </c>
      <c r="G57" s="64">
        <f t="shared" si="3"/>
        <v>3821</v>
      </c>
      <c r="H57" s="65"/>
      <c r="J57" s="176">
        <v>26</v>
      </c>
      <c r="K57" s="62" t="s">
        <v>84</v>
      </c>
      <c r="L57" s="63">
        <v>726808</v>
      </c>
      <c r="M57" s="63">
        <v>730301</v>
      </c>
      <c r="N57" s="64">
        <f t="shared" si="1"/>
        <v>3493</v>
      </c>
      <c r="O57" s="65"/>
    </row>
    <row r="58" spans="1:15" ht="15" x14ac:dyDescent="0.2">
      <c r="A58" s="68"/>
      <c r="B58" s="58"/>
      <c r="C58" s="177"/>
      <c r="D58" s="62" t="s">
        <v>85</v>
      </c>
      <c r="E58" s="63">
        <v>795064</v>
      </c>
      <c r="F58" s="63">
        <v>799887</v>
      </c>
      <c r="G58" s="64">
        <f t="shared" si="3"/>
        <v>4823</v>
      </c>
      <c r="H58" s="71"/>
      <c r="I58" s="68"/>
      <c r="J58" s="177"/>
      <c r="K58" s="62" t="s">
        <v>85</v>
      </c>
      <c r="L58" s="63">
        <v>799887</v>
      </c>
      <c r="M58" s="63">
        <v>804405</v>
      </c>
      <c r="N58" s="64">
        <f t="shared" si="1"/>
        <v>4518</v>
      </c>
      <c r="O58" s="71"/>
    </row>
    <row r="59" spans="1:15" ht="15" x14ac:dyDescent="0.2">
      <c r="A59" s="68"/>
      <c r="B59" s="58"/>
      <c r="C59" s="176">
        <v>27</v>
      </c>
      <c r="D59" s="62" t="s">
        <v>84</v>
      </c>
      <c r="E59" s="63">
        <v>245231</v>
      </c>
      <c r="F59" s="63">
        <v>246605</v>
      </c>
      <c r="G59" s="64">
        <f t="shared" si="3"/>
        <v>1374</v>
      </c>
      <c r="H59" s="65"/>
      <c r="I59" s="68"/>
      <c r="J59" s="176">
        <v>27</v>
      </c>
      <c r="K59" s="62" t="s">
        <v>84</v>
      </c>
      <c r="L59" s="63">
        <v>246605</v>
      </c>
      <c r="M59" s="63">
        <v>247819</v>
      </c>
      <c r="N59" s="64">
        <f t="shared" si="1"/>
        <v>1214</v>
      </c>
      <c r="O59" s="65"/>
    </row>
    <row r="60" spans="1:15" ht="15" x14ac:dyDescent="0.2">
      <c r="A60" s="68"/>
      <c r="B60" s="58"/>
      <c r="C60" s="177"/>
      <c r="D60" s="62" t="s">
        <v>85</v>
      </c>
      <c r="E60" s="63">
        <v>103692</v>
      </c>
      <c r="F60" s="63">
        <v>104368</v>
      </c>
      <c r="G60" s="64">
        <f t="shared" si="3"/>
        <v>676</v>
      </c>
      <c r="H60" s="65"/>
      <c r="I60" s="68"/>
      <c r="J60" s="177"/>
      <c r="K60" s="62" t="s">
        <v>85</v>
      </c>
      <c r="L60" s="63">
        <v>104368</v>
      </c>
      <c r="M60" s="63">
        <v>104997</v>
      </c>
      <c r="N60" s="64">
        <f t="shared" si="1"/>
        <v>629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76">
        <v>28</v>
      </c>
      <c r="D62" s="185" t="s">
        <v>86</v>
      </c>
      <c r="E62" s="63"/>
      <c r="F62" s="63"/>
      <c r="G62" s="64"/>
      <c r="H62" s="187" t="s">
        <v>87</v>
      </c>
      <c r="I62" s="68"/>
      <c r="J62" s="176">
        <v>28</v>
      </c>
      <c r="K62" s="185" t="s">
        <v>86</v>
      </c>
      <c r="L62" s="63"/>
      <c r="M62" s="63"/>
      <c r="N62" s="64"/>
      <c r="O62" s="187" t="s">
        <v>87</v>
      </c>
    </row>
    <row r="63" spans="1:15" ht="15" x14ac:dyDescent="0.2">
      <c r="A63" s="68"/>
      <c r="B63" s="58"/>
      <c r="C63" s="177"/>
      <c r="D63" s="186"/>
      <c r="E63" s="63"/>
      <c r="F63" s="63"/>
      <c r="G63" s="64"/>
      <c r="H63" s="188"/>
      <c r="I63" s="68"/>
      <c r="J63" s="177"/>
      <c r="K63" s="186"/>
      <c r="L63" s="63"/>
      <c r="M63" s="63"/>
      <c r="N63" s="64"/>
      <c r="O63" s="188"/>
    </row>
    <row r="64" spans="1:15" x14ac:dyDescent="0.2">
      <c r="A64" s="68"/>
      <c r="B64" s="58"/>
      <c r="C64" s="189" t="s">
        <v>88</v>
      </c>
      <c r="D64" s="189"/>
      <c r="E64" s="189"/>
      <c r="F64" s="189"/>
      <c r="G64" s="82">
        <f>SUM(G2:G63)</f>
        <v>43022</v>
      </c>
      <c r="H64" s="83"/>
      <c r="I64" s="68"/>
      <c r="J64" s="189" t="s">
        <v>88</v>
      </c>
      <c r="K64" s="189"/>
      <c r="L64" s="189"/>
      <c r="M64" s="189"/>
      <c r="N64" s="82">
        <f>SUM(N2:N63)</f>
        <v>36330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90">
        <v>44562</v>
      </c>
      <c r="C69" s="191"/>
      <c r="D69" s="191"/>
      <c r="E69" s="192"/>
      <c r="F69" s="86"/>
      <c r="G69" s="193">
        <v>44593</v>
      </c>
      <c r="H69" s="194"/>
      <c r="I69" s="194"/>
      <c r="J69" s="195"/>
      <c r="K69" s="86"/>
      <c r="L69" s="182" t="s">
        <v>25</v>
      </c>
      <c r="M69" s="183"/>
      <c r="N69" s="183"/>
      <c r="O69" s="184"/>
    </row>
    <row r="70" spans="1:15" ht="13.5" thickBot="1" x14ac:dyDescent="0.25">
      <c r="A70" s="84"/>
      <c r="B70" s="145" t="s">
        <v>139</v>
      </c>
      <c r="C70" s="145">
        <v>30</v>
      </c>
      <c r="D70" s="145" t="s">
        <v>89</v>
      </c>
      <c r="E70" s="145" t="s">
        <v>90</v>
      </c>
      <c r="F70" s="84"/>
      <c r="G70" s="145" t="s">
        <v>139</v>
      </c>
      <c r="H70" s="145">
        <v>30</v>
      </c>
      <c r="I70" s="145" t="s">
        <v>89</v>
      </c>
      <c r="J70" s="145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96241</v>
      </c>
      <c r="D71" s="90">
        <v>57979</v>
      </c>
      <c r="E71" s="91">
        <v>78996</v>
      </c>
      <c r="F71" s="84"/>
      <c r="G71" s="88">
        <v>6</v>
      </c>
      <c r="H71" s="89">
        <v>96921</v>
      </c>
      <c r="I71" s="90">
        <v>58571</v>
      </c>
      <c r="J71" s="91">
        <v>78883</v>
      </c>
      <c r="K71" s="84"/>
      <c r="L71" s="87">
        <v>6</v>
      </c>
      <c r="M71" s="92">
        <f>H71-C71</f>
        <v>680</v>
      </c>
      <c r="N71" s="92">
        <f>I71-D71</f>
        <v>592</v>
      </c>
      <c r="O71" s="92">
        <f>J71-E71</f>
        <v>-113</v>
      </c>
    </row>
    <row r="72" spans="1:15" ht="15.75" thickBot="1" x14ac:dyDescent="0.25">
      <c r="A72" s="84"/>
      <c r="B72" s="88">
        <v>7</v>
      </c>
      <c r="C72" s="89">
        <v>99153</v>
      </c>
      <c r="D72" s="90">
        <v>105190</v>
      </c>
      <c r="E72" s="91">
        <v>65945</v>
      </c>
      <c r="F72" s="84"/>
      <c r="G72" s="88">
        <v>7</v>
      </c>
      <c r="H72" s="89">
        <v>100746</v>
      </c>
      <c r="I72" s="90">
        <v>105558</v>
      </c>
      <c r="J72" s="91">
        <v>67142</v>
      </c>
      <c r="K72" s="84"/>
      <c r="L72" s="87">
        <v>7</v>
      </c>
      <c r="M72" s="92">
        <f t="shared" ref="M72:O94" si="4">H72-C72</f>
        <v>1593</v>
      </c>
      <c r="N72" s="92">
        <f t="shared" si="4"/>
        <v>368</v>
      </c>
      <c r="O72" s="92">
        <f t="shared" si="4"/>
        <v>1197</v>
      </c>
    </row>
    <row r="73" spans="1:15" ht="15.75" thickBot="1" x14ac:dyDescent="0.25">
      <c r="A73" s="84"/>
      <c r="B73" s="88">
        <v>8</v>
      </c>
      <c r="C73" s="89">
        <v>116554</v>
      </c>
      <c r="D73" s="90">
        <v>259995</v>
      </c>
      <c r="E73" s="91">
        <v>112442</v>
      </c>
      <c r="F73" s="84"/>
      <c r="G73" s="88">
        <v>8</v>
      </c>
      <c r="H73" s="89">
        <v>118030</v>
      </c>
      <c r="I73" s="90">
        <v>261539</v>
      </c>
      <c r="J73" s="91">
        <v>112622</v>
      </c>
      <c r="K73" s="84"/>
      <c r="L73" s="87">
        <v>8</v>
      </c>
      <c r="M73" s="92">
        <f t="shared" si="4"/>
        <v>1476</v>
      </c>
      <c r="N73" s="92">
        <f t="shared" si="4"/>
        <v>1544</v>
      </c>
      <c r="O73" s="92">
        <f t="shared" si="4"/>
        <v>180</v>
      </c>
    </row>
    <row r="74" spans="1:15" ht="15.75" thickBot="1" x14ac:dyDescent="0.25">
      <c r="A74" s="84"/>
      <c r="B74" s="88">
        <v>9</v>
      </c>
      <c r="C74" s="89">
        <v>69440</v>
      </c>
      <c r="D74" s="90">
        <v>155691</v>
      </c>
      <c r="E74" s="91">
        <v>162462</v>
      </c>
      <c r="F74" s="84"/>
      <c r="G74" s="88">
        <v>9</v>
      </c>
      <c r="H74" s="89">
        <v>69480</v>
      </c>
      <c r="I74" s="90">
        <v>155877</v>
      </c>
      <c r="J74" s="91">
        <v>162864</v>
      </c>
      <c r="K74" s="84"/>
      <c r="L74" s="87">
        <v>9</v>
      </c>
      <c r="M74" s="92">
        <f t="shared" si="4"/>
        <v>40</v>
      </c>
      <c r="N74" s="92">
        <f t="shared" si="4"/>
        <v>186</v>
      </c>
      <c r="O74" s="92">
        <f t="shared" si="4"/>
        <v>402</v>
      </c>
    </row>
    <row r="75" spans="1:15" ht="15.75" thickBot="1" x14ac:dyDescent="0.25">
      <c r="A75" s="84"/>
      <c r="B75" s="88">
        <v>10</v>
      </c>
      <c r="C75" s="89">
        <v>75414</v>
      </c>
      <c r="D75" s="90">
        <v>120601</v>
      </c>
      <c r="E75" s="91">
        <v>151552</v>
      </c>
      <c r="F75" s="84"/>
      <c r="G75" s="88">
        <v>10</v>
      </c>
      <c r="H75" s="89">
        <v>76028</v>
      </c>
      <c r="I75" s="90">
        <v>122362</v>
      </c>
      <c r="J75" s="91">
        <v>152035</v>
      </c>
      <c r="K75" s="84"/>
      <c r="L75" s="87">
        <v>10</v>
      </c>
      <c r="M75" s="92">
        <f t="shared" si="4"/>
        <v>614</v>
      </c>
      <c r="N75" s="92">
        <f t="shared" si="4"/>
        <v>1761</v>
      </c>
      <c r="O75" s="92">
        <f t="shared" si="4"/>
        <v>483</v>
      </c>
    </row>
    <row r="76" spans="1:15" ht="15.75" thickBot="1" x14ac:dyDescent="0.25">
      <c r="A76" s="84"/>
      <c r="B76" s="88">
        <v>11</v>
      </c>
      <c r="C76" s="89">
        <v>160234</v>
      </c>
      <c r="D76" s="90">
        <v>187087</v>
      </c>
      <c r="E76" s="91">
        <v>213604</v>
      </c>
      <c r="F76" s="84"/>
      <c r="G76" s="88">
        <v>11</v>
      </c>
      <c r="H76" s="89">
        <v>160860</v>
      </c>
      <c r="I76" s="90">
        <v>187684</v>
      </c>
      <c r="J76" s="91">
        <v>213789</v>
      </c>
      <c r="K76" s="84"/>
      <c r="L76" s="87">
        <v>11</v>
      </c>
      <c r="M76" s="92">
        <f t="shared" si="4"/>
        <v>626</v>
      </c>
      <c r="N76" s="92">
        <f t="shared" si="4"/>
        <v>597</v>
      </c>
      <c r="O76" s="92">
        <f t="shared" si="4"/>
        <v>185</v>
      </c>
    </row>
    <row r="77" spans="1:15" ht="15.75" thickBot="1" x14ac:dyDescent="0.25">
      <c r="A77" s="84"/>
      <c r="B77" s="88">
        <v>12</v>
      </c>
      <c r="C77" s="89">
        <v>154103</v>
      </c>
      <c r="D77" s="90">
        <v>97979</v>
      </c>
      <c r="E77" s="91">
        <v>100805</v>
      </c>
      <c r="F77" s="84"/>
      <c r="G77" s="88">
        <v>12</v>
      </c>
      <c r="H77" s="89">
        <v>154866</v>
      </c>
      <c r="I77" s="90">
        <v>98098</v>
      </c>
      <c r="J77" s="91">
        <v>100979</v>
      </c>
      <c r="K77" s="84"/>
      <c r="L77" s="87">
        <v>12</v>
      </c>
      <c r="M77" s="92">
        <f t="shared" si="4"/>
        <v>763</v>
      </c>
      <c r="N77" s="92">
        <f>I77-D77</f>
        <v>119</v>
      </c>
      <c r="O77" s="92">
        <f t="shared" si="4"/>
        <v>174</v>
      </c>
    </row>
    <row r="78" spans="1:15" ht="15.75" thickBot="1" x14ac:dyDescent="0.25">
      <c r="A78" s="84"/>
      <c r="B78" s="88">
        <v>14</v>
      </c>
      <c r="C78" s="89">
        <v>123663</v>
      </c>
      <c r="D78" s="90">
        <v>48670</v>
      </c>
      <c r="E78" s="91">
        <v>51624</v>
      </c>
      <c r="F78" s="84"/>
      <c r="G78" s="88">
        <v>14</v>
      </c>
      <c r="H78" s="89">
        <v>123663</v>
      </c>
      <c r="I78" s="90">
        <v>48790</v>
      </c>
      <c r="J78" s="91">
        <v>51722</v>
      </c>
      <c r="K78" s="84"/>
      <c r="L78" s="87">
        <v>14</v>
      </c>
      <c r="M78" s="92">
        <f t="shared" si="4"/>
        <v>0</v>
      </c>
      <c r="N78" s="92">
        <f t="shared" si="4"/>
        <v>120</v>
      </c>
      <c r="O78" s="92">
        <f t="shared" si="4"/>
        <v>98</v>
      </c>
    </row>
    <row r="79" spans="1:15" ht="15.75" thickBot="1" x14ac:dyDescent="0.25">
      <c r="A79" s="84"/>
      <c r="B79" s="88">
        <v>15</v>
      </c>
      <c r="C79" s="89">
        <v>173715</v>
      </c>
      <c r="D79" s="90">
        <v>151139</v>
      </c>
      <c r="E79" s="91">
        <v>162272</v>
      </c>
      <c r="F79" s="84"/>
      <c r="G79" s="88">
        <v>15</v>
      </c>
      <c r="H79" s="89">
        <v>174745</v>
      </c>
      <c r="I79" s="90">
        <v>151401</v>
      </c>
      <c r="J79" s="91">
        <v>162986</v>
      </c>
      <c r="K79" s="84"/>
      <c r="L79" s="87">
        <v>15</v>
      </c>
      <c r="M79" s="92">
        <f t="shared" si="4"/>
        <v>1030</v>
      </c>
      <c r="N79" s="92">
        <f t="shared" si="4"/>
        <v>262</v>
      </c>
      <c r="O79" s="92">
        <f t="shared" si="4"/>
        <v>714</v>
      </c>
    </row>
    <row r="80" spans="1:15" ht="15.75" thickBot="1" x14ac:dyDescent="0.25">
      <c r="A80" s="84"/>
      <c r="B80" s="88">
        <v>16</v>
      </c>
      <c r="C80" s="89">
        <v>126099</v>
      </c>
      <c r="D80" s="90">
        <v>153497</v>
      </c>
      <c r="E80" s="91">
        <v>219346</v>
      </c>
      <c r="F80" s="84"/>
      <c r="G80" s="88">
        <v>16</v>
      </c>
      <c r="H80" s="89">
        <v>128474</v>
      </c>
      <c r="I80" s="90">
        <v>154577</v>
      </c>
      <c r="J80" s="91">
        <v>220156</v>
      </c>
      <c r="K80" s="84"/>
      <c r="L80" s="87">
        <v>16</v>
      </c>
      <c r="M80" s="92">
        <f t="shared" si="4"/>
        <v>2375</v>
      </c>
      <c r="N80" s="92">
        <f t="shared" si="4"/>
        <v>1080</v>
      </c>
      <c r="O80" s="92">
        <f t="shared" si="4"/>
        <v>810</v>
      </c>
    </row>
    <row r="81" spans="1:15" ht="15.75" thickBot="1" x14ac:dyDescent="0.25">
      <c r="A81" s="84"/>
      <c r="B81" s="88">
        <v>17</v>
      </c>
      <c r="C81" s="89">
        <v>38476</v>
      </c>
      <c r="D81" s="90">
        <v>87639</v>
      </c>
      <c r="E81" s="91">
        <v>203158</v>
      </c>
      <c r="F81" s="84"/>
      <c r="G81" s="88">
        <v>17</v>
      </c>
      <c r="H81" s="89">
        <v>38476</v>
      </c>
      <c r="I81" s="90">
        <v>88280</v>
      </c>
      <c r="J81" s="91">
        <v>203390</v>
      </c>
      <c r="K81" s="84"/>
      <c r="L81" s="87">
        <v>17</v>
      </c>
      <c r="M81" s="92">
        <f t="shared" si="4"/>
        <v>0</v>
      </c>
      <c r="N81" s="92">
        <f t="shared" si="4"/>
        <v>641</v>
      </c>
      <c r="O81" s="92">
        <f t="shared" si="4"/>
        <v>232</v>
      </c>
    </row>
    <row r="82" spans="1:15" ht="15.75" thickBot="1" x14ac:dyDescent="0.25">
      <c r="A82" s="84"/>
      <c r="B82" s="88">
        <v>18</v>
      </c>
      <c r="C82" s="89">
        <v>139676</v>
      </c>
      <c r="D82" s="90">
        <v>74819</v>
      </c>
      <c r="E82" s="91">
        <v>165245</v>
      </c>
      <c r="F82" s="84"/>
      <c r="G82" s="88">
        <v>18</v>
      </c>
      <c r="H82" s="89">
        <v>139948</v>
      </c>
      <c r="I82" s="90">
        <v>75336</v>
      </c>
      <c r="J82" s="91">
        <v>165407</v>
      </c>
      <c r="K82" s="84"/>
      <c r="L82" s="87">
        <v>18</v>
      </c>
      <c r="M82" s="92">
        <f t="shared" si="4"/>
        <v>272</v>
      </c>
      <c r="N82" s="92">
        <f t="shared" si="4"/>
        <v>517</v>
      </c>
      <c r="O82" s="92">
        <f t="shared" si="4"/>
        <v>162</v>
      </c>
    </row>
    <row r="83" spans="1:15" ht="15.75" thickBot="1" x14ac:dyDescent="0.25">
      <c r="A83" s="84"/>
      <c r="B83" s="88">
        <v>19</v>
      </c>
      <c r="C83" s="89">
        <v>78022</v>
      </c>
      <c r="D83" s="90">
        <v>174641</v>
      </c>
      <c r="E83" s="91">
        <v>127034</v>
      </c>
      <c r="F83" s="84"/>
      <c r="G83" s="88">
        <v>19</v>
      </c>
      <c r="H83" s="89">
        <v>78096</v>
      </c>
      <c r="I83" s="90">
        <v>175049</v>
      </c>
      <c r="J83" s="91">
        <v>128104</v>
      </c>
      <c r="K83" s="84"/>
      <c r="L83" s="87">
        <v>19</v>
      </c>
      <c r="M83" s="92">
        <f t="shared" si="4"/>
        <v>74</v>
      </c>
      <c r="N83" s="92">
        <f t="shared" si="4"/>
        <v>408</v>
      </c>
      <c r="O83" s="92">
        <f t="shared" si="4"/>
        <v>1070</v>
      </c>
    </row>
    <row r="84" spans="1:15" ht="15.75" thickBot="1" x14ac:dyDescent="0.25">
      <c r="A84" s="84"/>
      <c r="B84" s="88">
        <v>20</v>
      </c>
      <c r="C84" s="89">
        <v>145788</v>
      </c>
      <c r="D84" s="90">
        <v>176795</v>
      </c>
      <c r="E84" s="91">
        <v>89713</v>
      </c>
      <c r="F84" s="84"/>
      <c r="G84" s="88">
        <v>20</v>
      </c>
      <c r="H84" s="89">
        <v>146171</v>
      </c>
      <c r="I84" s="90">
        <v>177596</v>
      </c>
      <c r="J84" s="91">
        <v>89808</v>
      </c>
      <c r="K84" s="84"/>
      <c r="L84" s="87">
        <v>20</v>
      </c>
      <c r="M84" s="92">
        <f>H84-C84</f>
        <v>383</v>
      </c>
      <c r="N84" s="92">
        <f t="shared" si="4"/>
        <v>801</v>
      </c>
      <c r="O84" s="92">
        <f t="shared" si="4"/>
        <v>95</v>
      </c>
    </row>
    <row r="85" spans="1:15" ht="15.75" thickBot="1" x14ac:dyDescent="0.25">
      <c r="A85" s="84"/>
      <c r="B85" s="88">
        <v>21</v>
      </c>
      <c r="C85" s="89">
        <v>193349</v>
      </c>
      <c r="D85" s="90">
        <v>91372</v>
      </c>
      <c r="E85" s="91">
        <v>116339</v>
      </c>
      <c r="F85" s="84"/>
      <c r="G85" s="88">
        <v>21</v>
      </c>
      <c r="H85" s="89">
        <v>193497</v>
      </c>
      <c r="I85" s="90">
        <v>91747</v>
      </c>
      <c r="J85" s="91">
        <v>116887</v>
      </c>
      <c r="K85" s="84"/>
      <c r="L85" s="87">
        <v>21</v>
      </c>
      <c r="M85" s="92">
        <f t="shared" si="4"/>
        <v>148</v>
      </c>
      <c r="N85" s="92">
        <f t="shared" si="4"/>
        <v>375</v>
      </c>
      <c r="O85" s="92">
        <f t="shared" si="4"/>
        <v>548</v>
      </c>
    </row>
    <row r="86" spans="1:15" ht="15.75" thickBot="1" x14ac:dyDescent="0.25">
      <c r="A86" s="84"/>
      <c r="B86" s="88">
        <v>22</v>
      </c>
      <c r="C86" s="89">
        <v>140622</v>
      </c>
      <c r="D86" s="90">
        <v>99307</v>
      </c>
      <c r="E86" s="91">
        <v>121877</v>
      </c>
      <c r="F86" s="84"/>
      <c r="G86" s="88">
        <v>22</v>
      </c>
      <c r="H86" s="89">
        <v>140927</v>
      </c>
      <c r="I86" s="90">
        <v>99640</v>
      </c>
      <c r="J86" s="91">
        <v>122423</v>
      </c>
      <c r="K86" s="84"/>
      <c r="L86" s="87">
        <v>22</v>
      </c>
      <c r="M86" s="92">
        <f t="shared" si="4"/>
        <v>305</v>
      </c>
      <c r="N86" s="92">
        <f t="shared" si="4"/>
        <v>333</v>
      </c>
      <c r="O86" s="92">
        <f t="shared" si="4"/>
        <v>546</v>
      </c>
    </row>
    <row r="87" spans="1:15" ht="15.75" thickBot="1" x14ac:dyDescent="0.25">
      <c r="A87" s="84"/>
      <c r="B87" s="88">
        <v>23</v>
      </c>
      <c r="C87" s="89">
        <v>130015</v>
      </c>
      <c r="D87" s="90">
        <v>157707</v>
      </c>
      <c r="E87" s="91">
        <v>295733</v>
      </c>
      <c r="F87" s="84"/>
      <c r="G87" s="88">
        <v>23</v>
      </c>
      <c r="H87" s="89">
        <v>130464</v>
      </c>
      <c r="I87" s="90">
        <v>158172</v>
      </c>
      <c r="J87" s="91">
        <v>296312</v>
      </c>
      <c r="K87" s="84"/>
      <c r="L87" s="87">
        <v>23</v>
      </c>
      <c r="M87" s="92">
        <f t="shared" si="4"/>
        <v>449</v>
      </c>
      <c r="N87" s="92">
        <f t="shared" si="4"/>
        <v>465</v>
      </c>
      <c r="O87" s="92">
        <f t="shared" si="4"/>
        <v>579</v>
      </c>
    </row>
    <row r="88" spans="1:15" ht="15.75" thickBot="1" x14ac:dyDescent="0.25">
      <c r="A88" s="84"/>
      <c r="B88" s="88">
        <v>24</v>
      </c>
      <c r="C88" s="89">
        <v>79515</v>
      </c>
      <c r="D88" s="90">
        <v>153249</v>
      </c>
      <c r="E88" s="91">
        <v>101955</v>
      </c>
      <c r="F88" s="84"/>
      <c r="G88" s="88">
        <v>24</v>
      </c>
      <c r="H88" s="89">
        <v>80910</v>
      </c>
      <c r="I88" s="90">
        <v>153615</v>
      </c>
      <c r="J88" s="91">
        <v>102057</v>
      </c>
      <c r="K88" s="84"/>
      <c r="L88" s="87">
        <v>24</v>
      </c>
      <c r="M88" s="92">
        <f t="shared" si="4"/>
        <v>1395</v>
      </c>
      <c r="N88" s="92">
        <f t="shared" si="4"/>
        <v>366</v>
      </c>
      <c r="O88" s="92">
        <f>J88-E88</f>
        <v>102</v>
      </c>
    </row>
    <row r="89" spans="1:15" ht="15.75" thickBot="1" x14ac:dyDescent="0.25">
      <c r="A89" s="84"/>
      <c r="B89" s="88">
        <v>25</v>
      </c>
      <c r="C89" s="89">
        <v>124207</v>
      </c>
      <c r="D89" s="90">
        <v>181033</v>
      </c>
      <c r="E89" s="91">
        <v>166899</v>
      </c>
      <c r="F89" s="84"/>
      <c r="G89" s="88">
        <v>25</v>
      </c>
      <c r="H89" s="89">
        <v>124806</v>
      </c>
      <c r="I89" s="90">
        <v>181251</v>
      </c>
      <c r="J89" s="91">
        <v>167959</v>
      </c>
      <c r="K89" s="84"/>
      <c r="L89" s="87">
        <v>25</v>
      </c>
      <c r="M89" s="92">
        <f t="shared" si="4"/>
        <v>599</v>
      </c>
      <c r="N89" s="92">
        <f t="shared" si="4"/>
        <v>218</v>
      </c>
      <c r="O89" s="92">
        <f>J89-E89</f>
        <v>1060</v>
      </c>
    </row>
    <row r="90" spans="1:15" ht="15.75" thickBot="1" x14ac:dyDescent="0.25">
      <c r="A90" s="84"/>
      <c r="B90" s="88">
        <v>26</v>
      </c>
      <c r="C90" s="89">
        <v>119899</v>
      </c>
      <c r="D90" s="90">
        <v>53904</v>
      </c>
      <c r="E90" s="91">
        <v>56188</v>
      </c>
      <c r="F90" s="84"/>
      <c r="G90" s="88">
        <v>26</v>
      </c>
      <c r="H90" s="89">
        <v>120255</v>
      </c>
      <c r="I90" s="90">
        <v>54430</v>
      </c>
      <c r="J90" s="91">
        <v>57447</v>
      </c>
      <c r="K90" s="84"/>
      <c r="L90" s="87">
        <v>26</v>
      </c>
      <c r="M90" s="92">
        <f t="shared" si="4"/>
        <v>356</v>
      </c>
      <c r="N90" s="92">
        <f t="shared" si="4"/>
        <v>526</v>
      </c>
      <c r="O90" s="92">
        <f t="shared" si="4"/>
        <v>1259</v>
      </c>
    </row>
    <row r="91" spans="1:15" ht="15.75" thickBot="1" x14ac:dyDescent="0.25">
      <c r="A91" s="84"/>
      <c r="B91" s="88">
        <v>27</v>
      </c>
      <c r="C91" s="89">
        <v>103120</v>
      </c>
      <c r="D91" s="90">
        <v>111873</v>
      </c>
      <c r="E91" s="91">
        <v>124358</v>
      </c>
      <c r="F91" s="84"/>
      <c r="G91" s="88">
        <v>27</v>
      </c>
      <c r="H91" s="89">
        <v>103739</v>
      </c>
      <c r="I91" s="90">
        <v>112579</v>
      </c>
      <c r="J91" s="91">
        <v>125220</v>
      </c>
      <c r="K91" s="84"/>
      <c r="L91" s="87">
        <v>27</v>
      </c>
      <c r="M91" s="92">
        <f t="shared" si="4"/>
        <v>619</v>
      </c>
      <c r="N91" s="92">
        <f t="shared" si="4"/>
        <v>706</v>
      </c>
      <c r="O91" s="92">
        <f t="shared" si="4"/>
        <v>862</v>
      </c>
    </row>
    <row r="92" spans="1:15" ht="15.75" thickBot="1" x14ac:dyDescent="0.25">
      <c r="A92" s="84"/>
      <c r="B92" s="88">
        <v>28</v>
      </c>
      <c r="C92" s="89">
        <v>200774</v>
      </c>
      <c r="D92" s="90">
        <v>102861</v>
      </c>
      <c r="E92" s="91">
        <v>112454</v>
      </c>
      <c r="F92" s="84"/>
      <c r="G92" s="88">
        <v>28</v>
      </c>
      <c r="H92" s="89">
        <v>202616</v>
      </c>
      <c r="I92" s="90">
        <v>102933</v>
      </c>
      <c r="J92" s="91">
        <v>112587</v>
      </c>
      <c r="K92" s="84"/>
      <c r="L92" s="87">
        <v>28</v>
      </c>
      <c r="M92" s="92">
        <f t="shared" si="4"/>
        <v>1842</v>
      </c>
      <c r="N92" s="92">
        <f t="shared" si="4"/>
        <v>72</v>
      </c>
      <c r="O92" s="92">
        <f t="shared" si="4"/>
        <v>133</v>
      </c>
    </row>
    <row r="93" spans="1:15" ht="15.75" thickBot="1" x14ac:dyDescent="0.25">
      <c r="A93" s="84"/>
      <c r="B93" s="88">
        <v>29</v>
      </c>
      <c r="C93" s="89"/>
      <c r="D93" s="90">
        <v>86217</v>
      </c>
      <c r="E93" s="91"/>
      <c r="F93" s="84"/>
      <c r="G93" s="88">
        <v>29</v>
      </c>
      <c r="H93" s="89"/>
      <c r="I93" s="90">
        <v>86217</v>
      </c>
      <c r="J93" s="91"/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2022-03-28T02:51:08Z</dcterms:modified>
</cp:coreProperties>
</file>