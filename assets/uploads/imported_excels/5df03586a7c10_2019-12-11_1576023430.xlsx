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G12" i="6"/>
  <c r="AW12" i="6"/>
  <c r="F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<sst xmlns="http://schemas.openxmlformats.org/spreadsheetml/2006/main" count="296" uniqueCount="138">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</sst>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13" borderId="4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15" fontId="4" fillId="7" borderId="11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 t="e">
        <f>Submetering!E12+Submetering!F12+Submetering!G12+Submetering!H12-Submetering!AV12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12</v>
      </c>
      <c r="D2" s="58">
        <v>2019</v>
      </c>
      <c r="E2" s="62">
        <f>'FS Desroches Daily'!D4</f>
        <v>1400.0000000000678</v>
      </c>
      <c r="F2" s="63">
        <f>'FS Desroches Daily'!F4</f>
        <v>3000.0000000001137</v>
      </c>
      <c r="G2" s="62">
        <f>'FS Desroches Daily'!H4</f>
        <v>3100.0000000003247</v>
      </c>
      <c r="H2" s="63">
        <f>'FS Desroches Daily'!J4</f>
        <v>1379.9999999999955</v>
      </c>
      <c r="I2" s="62">
        <f>'FS Desroches Daily'!L4</f>
        <v>2599.9999999999359</v>
      </c>
      <c r="J2" s="63">
        <f>'FS Desroches Daily'!N4</f>
        <v>1689.9999999999409</v>
      </c>
      <c r="K2" s="13">
        <f>'FS Desroches Daily'!P4</f>
        <v>21</v>
      </c>
      <c r="L2" s="62">
        <f>'FS Desroches Daily'!R4</f>
        <v>9</v>
      </c>
      <c r="M2" s="62">
        <f>'FS Desroches Daily'!T4</f>
        <v>786</v>
      </c>
      <c r="N2" s="62">
        <f>'FS Desroches Daily'!V4</f>
        <v>236</v>
      </c>
      <c r="O2" s="62">
        <f>'FS Desroches Daily'!X4</f>
        <v>250</v>
      </c>
      <c r="P2" s="62">
        <f>'FS Desroches Daily'!Z4</f>
        <v>2600.0000000001578</v>
      </c>
      <c r="Q2" s="62">
        <f>'FS Desroches Daily'!AB4</f>
        <v>420.00000000001592</v>
      </c>
      <c r="R2" s="62">
        <f>'FS Desroches Daily'!AD4</f>
        <v>329.99999999998408</v>
      </c>
      <c r="S2" s="62">
        <f>'FS Desroches Daily'!AF4</f>
        <v>759.99999999999091</v>
      </c>
      <c r="T2" s="62">
        <f>'FS Desroches Daily'!AH4</f>
        <v>1.6000000000000227</v>
      </c>
      <c r="U2" s="66">
        <f>'FS Desroches Daily'!AJ4</f>
        <v>370.00000000000455</v>
      </c>
      <c r="V2" s="66">
        <f>'FS Desroches Daily'!AL4</f>
        <v>4.9999999999997158E-2</v>
      </c>
      <c r="W2" s="66">
        <f>'FS Desroches Daily'!AN4</f>
        <v>0.17000000000000171</v>
      </c>
      <c r="X2" s="66">
        <f>'FS Desroches Daily'!AP4</f>
        <v>9.0000000000003411E-2</v>
      </c>
      <c r="Y2" s="66">
        <f>'FS Desroches Daily'!AR4</f>
        <v>60.000000000002274</v>
      </c>
      <c r="Z2" s="66">
        <f>'FS Desroches Daily'!AT4</f>
        <v>60.000000000002274</v>
      </c>
      <c r="AA2" s="66">
        <f>'FS Desroches Daily'!AT4</f>
        <v>60.000000000002274</v>
      </c>
      <c r="AB2" s="66">
        <f>'FS Desroches Daily'!AV4</f>
        <v>90.000000000003411</v>
      </c>
      <c r="AC2" s="66">
        <f>'FS Desroches Daily'!AZ4</f>
        <v>40.000000000020464</v>
      </c>
      <c r="AD2" s="66">
        <f>'FS Desroches Daily'!BB4</f>
        <v>30.000000000029559</v>
      </c>
      <c r="AE2" s="66">
        <f>'FS Desroches Daily'!BD4</f>
        <v>0</v>
      </c>
      <c r="AF2" s="62">
        <f>'FS Desroches Daily'!BF4</f>
        <v>52</v>
      </c>
      <c r="AG2" s="63">
        <f>'FS Desroches Daily'!BH4</f>
        <v>20.000000000010232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30.000000000001137</v>
      </c>
      <c r="AK2" s="63">
        <f>'FS Desroches Daily'!BP4</f>
        <v>40.000000000020464</v>
      </c>
      <c r="AL2" s="63">
        <f>'FS Desroches Daily'!BR4</f>
        <v>130</v>
      </c>
      <c r="AM2" s="63">
        <f>'FS Desroches Daily'!BT4</f>
        <v>30.000000000001137</v>
      </c>
      <c r="AN2" s="63">
        <f>'FS Desroches Daily'!BV4</f>
        <v>25</v>
      </c>
      <c r="AO2" s="63">
        <f>'FS Desroches Daily'!BX4</f>
        <v>30.000000000001137</v>
      </c>
      <c r="AP2" s="63">
        <f>'FS Desroches Daily'!BZ4</f>
        <v>47</v>
      </c>
      <c r="AQ2" s="62">
        <f>'FS Desroches Daily'!CB4</f>
        <v>28.5</v>
      </c>
      <c r="AR2" s="62">
        <f>'FS Desroches Daily'!CD4</f>
        <v>12.200000000000728</v>
      </c>
      <c r="AS2" s="62">
        <f>'FS Desroches Daily'!CF4</f>
        <v>15.600000000000364</v>
      </c>
      <c r="AT2" s="62">
        <f>'FS Desroches Daily'!CH4</f>
        <v>72.19999999999709</v>
      </c>
      <c r="AU2" s="62">
        <f>'FS Desroches Daily'!CJ4</f>
        <v>258</v>
      </c>
      <c r="AV2" s="62">
        <f>'FS Desroches Daily'!CL4</f>
        <v>629.99999999999545</v>
      </c>
      <c r="AW2" s="62">
        <f>'FS Desroches Daily'!CM4</f>
        <v>75</v>
      </c>
      <c r="AX2" s="62">
        <f>IF(LPG!F9-LPG!F8&lt;0,"0",(LPG!F9-LPG!F8)*1.8315)</f>
        <v>10.988999999999999</v>
      </c>
      <c r="AY2" s="62">
        <f>IF(LPG!H9-LPG!H8&lt;0,"0",(LPG!H9-LPG!H8)*1.8315)</f>
        <v>1.8314999999999999</v>
      </c>
      <c r="AZ2" s="62">
        <f>IF(LPG!J9-LPG!J8&lt;0,"0",(LPG!J9-LPG!J8)*1.8315)</f>
        <v>1.8314999999999999</v>
      </c>
      <c r="BA2" s="62">
        <f>IF(LPG!M9-LPG!M8&lt;0,"0",(LPG!M9-LPG!M8)*1.8315)</f>
        <v>3.6629999999999998</v>
      </c>
      <c r="BB2" s="62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12</v>
      </c>
      <c r="D3" s="58">
        <v>2019</v>
      </c>
      <c r="E3" s="62">
        <f>'FS Desroches Daily'!D5</f>
        <v>1099.9999999998788</v>
      </c>
      <c r="F3" s="63">
        <f>'FS Desroches Daily'!F5</f>
        <v>2600.0000000001578</v>
      </c>
      <c r="G3" s="62">
        <f>'FS Desroches Daily'!H5</f>
        <v>2599.9999999997135</v>
      </c>
      <c r="H3" s="63">
        <f>'FS Desroches Daily'!J5</f>
        <v>1039.9999999999636</v>
      </c>
      <c r="I3" s="62">
        <f>'FS Desroches Daily'!L5</f>
        <v>2299.9999999999686</v>
      </c>
      <c r="J3" s="63">
        <f>'FS Desroches Daily'!N5</f>
        <v>1290.0000000000773</v>
      </c>
      <c r="K3" s="13">
        <f>'FS Desroches Daily'!P5</f>
        <v>18</v>
      </c>
      <c r="L3" s="62">
        <f>'FS Desroches Daily'!R5</f>
        <v>8</v>
      </c>
      <c r="M3" s="62">
        <f>'FS Desroches Daily'!T5</f>
        <v>1107</v>
      </c>
      <c r="N3" s="62">
        <f>'FS Desroches Daily'!V5</f>
        <v>478</v>
      </c>
      <c r="O3" s="62">
        <f>'FS Desroches Daily'!X5</f>
        <v>250</v>
      </c>
      <c r="P3" s="62">
        <f>'FS Desroches Daily'!Z5</f>
        <v>2499.9999999999468</v>
      </c>
      <c r="Q3" s="62">
        <f>'FS Desroches Daily'!AB5</f>
        <v>379.99999999999545</v>
      </c>
      <c r="R3" s="62">
        <f>'FS Desroches Daily'!AD5</f>
        <v>250</v>
      </c>
      <c r="S3" s="62">
        <f>'FS Desroches Daily'!AF5</f>
        <v>620.00000000000455</v>
      </c>
      <c r="T3" s="62">
        <f>'FS Desroches Daily'!AH5</f>
        <v>1.1000000000000227</v>
      </c>
      <c r="U3" s="66">
        <f>'FS Desroches Daily'!AJ5</f>
        <v>269.99999999998181</v>
      </c>
      <c r="V3" s="66">
        <f>'FS Desroches Daily'!AL5</f>
        <v>7.000000000000739E-2</v>
      </c>
      <c r="W3" s="66">
        <f>'FS Desroches Daily'!AN5</f>
        <v>0.13000000000000966</v>
      </c>
      <c r="X3" s="66">
        <f>'FS Desroches Daily'!AP5</f>
        <v>7.9999999999998295E-2</v>
      </c>
      <c r="Y3" s="66">
        <f>'FS Desroches Daily'!AR5</f>
        <v>50.000000000011369</v>
      </c>
      <c r="Z3" s="66">
        <f>'FS Desroches Daily'!AT5</f>
        <v>69.999999999993179</v>
      </c>
      <c r="AA3" s="66">
        <f>'FS Desroches Daily'!AT5</f>
        <v>69.999999999993179</v>
      </c>
      <c r="AB3" s="66">
        <f>'FS Desroches Daily'!AV5</f>
        <v>99.999999999994316</v>
      </c>
      <c r="AC3" s="66">
        <f>'FS Desroches Daily'!AZ5</f>
        <v>40.000000000020464</v>
      </c>
      <c r="AD3" s="66">
        <f>'FS Desroches Daily'!BB5</f>
        <v>40.000000000020464</v>
      </c>
      <c r="AE3" s="66">
        <f>'FS Desroches Daily'!BD5</f>
        <v>30.000000000001137</v>
      </c>
      <c r="AF3" s="62">
        <f>'FS Desroches Daily'!BF5</f>
        <v>60</v>
      </c>
      <c r="AG3" s="63">
        <f>'FS Desroches Daily'!BH5</f>
        <v>19.99999999998181</v>
      </c>
      <c r="AH3" s="63">
        <f>'FS Desroches Daily'!BJ5</f>
        <v>29.999999999972715</v>
      </c>
      <c r="AI3" s="63">
        <f>'FS Desroches Daily'!BL5</f>
        <v>30.000000000001137</v>
      </c>
      <c r="AJ3" s="63">
        <f>'FS Desroches Daily'!BN5</f>
        <v>30.000000000001137</v>
      </c>
      <c r="AK3" s="63">
        <f>'FS Desroches Daily'!BP5</f>
        <v>29.999999999972715</v>
      </c>
      <c r="AL3" s="63">
        <f>'FS Desroches Daily'!BR5</f>
        <v>25</v>
      </c>
      <c r="AM3" s="63">
        <f>'FS Desroches Daily'!BT5</f>
        <v>29.999999999972715</v>
      </c>
      <c r="AN3" s="63">
        <f>'FS Desroches Daily'!BV5</f>
        <v>25</v>
      </c>
      <c r="AO3" s="63">
        <f>'FS Desroches Daily'!BX5</f>
        <v>19.99999999998181</v>
      </c>
      <c r="AP3" s="63">
        <f>'FS Desroches Daily'!BZ5</f>
        <v>36</v>
      </c>
      <c r="AQ3" s="62">
        <f>'FS Desroches Daily'!CB5</f>
        <v>28.400000000001455</v>
      </c>
      <c r="AR3" s="62">
        <f>'FS Desroches Daily'!CD5</f>
        <v>12.600000000000364</v>
      </c>
      <c r="AS3" s="62">
        <f>'FS Desroches Daily'!CF5</f>
        <v>14.5</v>
      </c>
      <c r="AT3" s="62">
        <f>'FS Desroches Daily'!CH5</f>
        <v>40.80000000000291</v>
      </c>
      <c r="AU3" s="62">
        <f>'FS Desroches Daily'!CJ5</f>
        <v>233</v>
      </c>
      <c r="AV3" s="62">
        <f>'FS Desroches Daily'!CL5</f>
        <v>599.99999999996589</v>
      </c>
      <c r="AW3" s="62">
        <f>'FS Desroches Daily'!CM5</f>
        <v>67.900000000000006</v>
      </c>
      <c r="AX3" s="62">
        <f>IF(LPG!F10-LPG!F9&lt;0,"0",(LPG!F10-LPG!F9)*1.8315)</f>
        <v>14.651999999999999</v>
      </c>
      <c r="AY3" s="62">
        <f>IF(LPG!H10-LPG!H9&lt;0,"0",(LPG!H10-LPG!H9)*1.8315)</f>
        <v>3.6629999999999998</v>
      </c>
      <c r="AZ3" s="62">
        <f>IF(LPG!J10-LPG!J9&lt;0,"0",(LPG!J10-LPG!J9)*1.8315)</f>
        <v>0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12</v>
      </c>
      <c r="D4" s="58">
        <v>2019</v>
      </c>
      <c r="E4" s="62">
        <f>'FS Desroches Daily'!D6</f>
        <v>1200.0000000000898</v>
      </c>
      <c r="F4" s="63">
        <f>'FS Desroches Daily'!F6</f>
        <v>2899.9999999999027</v>
      </c>
      <c r="G4" s="62">
        <f>'FS Desroches Daily'!H6</f>
        <v>2699.9999999999245</v>
      </c>
      <c r="H4" s="63">
        <f>'FS Desroches Daily'!J6</f>
        <v>1120.0000000000045</v>
      </c>
      <c r="I4" s="62">
        <f>'FS Desroches Daily'!L6</f>
        <v>2199.9999999999795</v>
      </c>
      <c r="J4" s="63">
        <f>'FS Desroches Daily'!N6</f>
        <v>1240.0000000000091</v>
      </c>
      <c r="K4" s="13">
        <f>'FS Desroches Daily'!P6</f>
        <v>19</v>
      </c>
      <c r="L4" s="62">
        <f>'FS Desroches Daily'!R6</f>
        <v>0</v>
      </c>
      <c r="M4" s="62" t="str">
        <f>'FS Desroches Daily'!T6</f>
        <v/>
      </c>
      <c r="N4" s="62">
        <f>'FS Desroches Daily'!V6</f>
        <v>289</v>
      </c>
      <c r="O4" s="62">
        <f>'FS Desroches Daily'!X6</f>
        <v>0</v>
      </c>
      <c r="P4" s="62">
        <f>'FS Desroches Daily'!Z6</f>
        <v>2499.9999999999468</v>
      </c>
      <c r="Q4" s="62">
        <f>'FS Desroches Daily'!AB6</f>
        <v>199.99999999998863</v>
      </c>
      <c r="R4" s="62">
        <f>'FS Desroches Daily'!AD6</f>
        <v>289.99999999999204</v>
      </c>
      <c r="S4" s="62">
        <f>'FS Desroches Daily'!AF6</f>
        <v>610.00000000001364</v>
      </c>
      <c r="T4" s="62">
        <f>'FS Desroches Daily'!AH6</f>
        <v>1.2000000000000455</v>
      </c>
      <c r="U4" s="66">
        <f>'FS Desroches Daily'!AJ6</f>
        <v>279.99999999997272</v>
      </c>
      <c r="V4" s="66">
        <f>'FS Desroches Daily'!AL6</f>
        <v>7.9999999999998295E-2</v>
      </c>
      <c r="W4" s="66">
        <f>'FS Desroches Daily'!AN6</f>
        <v>0.12999999999999545</v>
      </c>
      <c r="X4" s="66" t="str">
        <f>'FS Desroches Daily'!AP6</f>
        <v/>
      </c>
      <c r="Y4" s="66">
        <f>'FS Desroches Daily'!AR6</f>
        <v>39.999999999992042</v>
      </c>
      <c r="Z4" s="66">
        <f>'FS Desroches Daily'!AT6</f>
        <v>79.999999999984084</v>
      </c>
      <c r="AA4" s="66">
        <f>'FS Desroches Daily'!AT6</f>
        <v>79.999999999984084</v>
      </c>
      <c r="AB4" s="66">
        <f>'FS Desroches Daily'!AV6</f>
        <v>110.00000000001364</v>
      </c>
      <c r="AC4" s="66">
        <f>'FS Desroches Daily'!AZ6</f>
        <v>29.999999999972715</v>
      </c>
      <c r="AD4" s="66">
        <f>'FS Desroches Daily'!BB6</f>
        <v>39.99999999996362</v>
      </c>
      <c r="AE4" s="66">
        <f>'FS Desroches Daily'!BD6</f>
        <v>19.99999999998181</v>
      </c>
      <c r="AF4" s="62">
        <f>'FS Desroches Daily'!BF6</f>
        <v>48</v>
      </c>
      <c r="AG4" s="63">
        <f>'FS Desroches Daily'!BH6</f>
        <v>20.000000000010232</v>
      </c>
      <c r="AH4" s="63">
        <f>'FS Desroches Daily'!BJ6</f>
        <v>19.99999999998181</v>
      </c>
      <c r="AI4" s="63">
        <f>'FS Desroches Daily'!BL6</f>
        <v>30.000000000001137</v>
      </c>
      <c r="AJ4" s="63">
        <f>'FS Desroches Daily'!BN6</f>
        <v>30.000000000001137</v>
      </c>
      <c r="AK4" s="63">
        <f>'FS Desroches Daily'!BP6</f>
        <v>20.000000000038654</v>
      </c>
      <c r="AL4" s="63">
        <f>'FS Desroches Daily'!BR6</f>
        <v>23</v>
      </c>
      <c r="AM4" s="63">
        <f>'FS Desroches Daily'!BT6</f>
        <v>30.000000000001137</v>
      </c>
      <c r="AN4" s="63">
        <f>'FS Desroches Daily'!BV6</f>
        <v>22</v>
      </c>
      <c r="AO4" s="63">
        <f>'FS Desroches Daily'!BX6</f>
        <v>30.000000000001137</v>
      </c>
      <c r="AP4" s="63">
        <f>'FS Desroches Daily'!BZ6</f>
        <v>33</v>
      </c>
      <c r="AQ4" s="62">
        <f>'FS Desroches Daily'!CB6</f>
        <v>27.599999999998545</v>
      </c>
      <c r="AR4" s="62">
        <f>'FS Desroches Daily'!CD6</f>
        <v>12.600000000000364</v>
      </c>
      <c r="AS4" s="62">
        <f>'FS Desroches Daily'!CF6</f>
        <v>0.3999999999996362</v>
      </c>
      <c r="AT4" s="62">
        <f>'FS Desroches Daily'!CH6</f>
        <v>51</v>
      </c>
      <c r="AU4" s="62">
        <f>'FS Desroches Daily'!CJ6</f>
        <v>236</v>
      </c>
      <c r="AV4" s="62">
        <f>'FS Desroches Daily'!CL6</f>
        <v>670.00000000001592</v>
      </c>
      <c r="AW4" s="62">
        <f>'FS Desroches Daily'!CM6</f>
        <v>72</v>
      </c>
      <c r="AX4" s="62">
        <f>IF(LPG!F11-LPG!F10&lt;0,"0",(LPG!F11-LPG!F10)*1.8315)</f>
        <v>12.820499999999999</v>
      </c>
      <c r="AY4" s="62">
        <f>IF(LPG!H11-LPG!H10&lt;0,"0",(LPG!H11-LPG!H10)*1.8315)</f>
        <v>3.6629999999999998</v>
      </c>
      <c r="AZ4" s="62">
        <f>IF(LPG!J11-LPG!J10&lt;0,"0",(LPG!J11-LPG!J10)*1.8315)</f>
        <v>0</v>
      </c>
      <c r="BA4" s="62">
        <f>IF(LPG!M11-LPG!M10&lt;0,"0",(LPG!M11-LPG!M10)*1.8315)</f>
        <v>0</v>
      </c>
      <c r="BB4" s="62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12</v>
      </c>
      <c r="D5" s="58">
        <v>2019</v>
      </c>
      <c r="E5" s="62">
        <f>'FS Desroches Daily'!D7</f>
        <v>1299.9999999998568</v>
      </c>
      <c r="F5" s="63">
        <f>'FS Desroches Daily'!F7</f>
        <v>2800.0000000001355</v>
      </c>
      <c r="G5" s="62">
        <f>'FS Desroches Daily'!H7</f>
        <v>2900.0000000003465</v>
      </c>
      <c r="H5" s="63">
        <f>'FS Desroches Daily'!J7</f>
        <v>1180.0000000000637</v>
      </c>
      <c r="I5" s="62">
        <f>'FS Desroches Daily'!L7</f>
        <v>2299.9999999999686</v>
      </c>
      <c r="J5" s="63">
        <f>'FS Desroches Daily'!N7</f>
        <v>1359.9999999999</v>
      </c>
      <c r="K5" s="13">
        <f>'FS Desroches Daily'!P7</f>
        <v>19</v>
      </c>
      <c r="L5" s="62">
        <f>'FS Desroches Daily'!R7</f>
        <v>6</v>
      </c>
      <c r="M5" s="62">
        <f>'FS Desroches Daily'!T7</f>
        <v>1148</v>
      </c>
      <c r="N5" s="62">
        <f>'FS Desroches Daily'!V7</f>
        <v>341</v>
      </c>
      <c r="O5" s="62">
        <f>'FS Desroches Daily'!X7</f>
        <v>319.99999999999318</v>
      </c>
      <c r="P5" s="62">
        <f>'FS Desroches Daily'!Z7</f>
        <v>2600.0000000001578</v>
      </c>
      <c r="Q5" s="62">
        <f>'FS Desroches Daily'!AB7</f>
        <v>389.99999999998636</v>
      </c>
      <c r="R5" s="62">
        <f>'FS Desroches Daily'!AD7</f>
        <v>250</v>
      </c>
      <c r="S5" s="62">
        <f>'FS Desroches Daily'!AF7</f>
        <v>620.00000000000455</v>
      </c>
      <c r="T5" s="62">
        <f>'FS Desroches Daily'!AH7</f>
        <v>1.2999999999999545</v>
      </c>
      <c r="U5" s="66">
        <f>'FS Desroches Daily'!AJ7</f>
        <v>290.00000000002046</v>
      </c>
      <c r="V5" s="66">
        <f>'FS Desroches Daily'!AL7</f>
        <v>7.9999999999998295E-2</v>
      </c>
      <c r="W5" s="66">
        <f>'FS Desroches Daily'!AN7</f>
        <v>0.17000000000000171</v>
      </c>
      <c r="X5" s="66">
        <f>'FS Desroches Daily'!AP7</f>
        <v>0.51000000000000512</v>
      </c>
      <c r="Y5" s="66">
        <f>'FS Desroches Daily'!AR7</f>
        <v>50.000000000011369</v>
      </c>
      <c r="Z5" s="66">
        <f>'FS Desroches Daily'!AT7</f>
        <v>69.999999999993179</v>
      </c>
      <c r="AA5" s="66">
        <f>'FS Desroches Daily'!AT7</f>
        <v>69.999999999993179</v>
      </c>
      <c r="AB5" s="66">
        <f>'FS Desroches Daily'!AV7</f>
        <v>110.00000000001364</v>
      </c>
      <c r="AC5" s="66">
        <f>'FS Desroches Daily'!AZ7</f>
        <v>40.000000000020464</v>
      </c>
      <c r="AD5" s="66">
        <f>'FS Desroches Daily'!BB7</f>
        <v>30.000000000029559</v>
      </c>
      <c r="AE5" s="66">
        <f>'FS Desroches Daily'!BD7</f>
        <v>20.000000000010232</v>
      </c>
      <c r="AF5" s="62">
        <f>'FS Desroches Daily'!BF7</f>
        <v>25</v>
      </c>
      <c r="AG5" s="63">
        <f>'FS Desroches Daily'!BH7</f>
        <v>20.000000000010232</v>
      </c>
      <c r="AH5" s="63">
        <f>'FS Desroches Daily'!BJ7</f>
        <v>30.000000000029559</v>
      </c>
      <c r="AI5" s="63">
        <f>'FS Desroches Daily'!BL7</f>
        <v>39.999999999992042</v>
      </c>
      <c r="AJ5" s="63">
        <f>'FS Desroches Daily'!BN7</f>
        <v>29.999999999972715</v>
      </c>
      <c r="AK5" s="63">
        <f>'FS Desroches Daily'!BP7</f>
        <v>29.999999999972715</v>
      </c>
      <c r="AL5" s="63">
        <f>'FS Desroches Daily'!BR7</f>
        <v>23</v>
      </c>
      <c r="AM5" s="63">
        <f>'FS Desroches Daily'!BT7</f>
        <v>30.000000000001137</v>
      </c>
      <c r="AN5" s="63">
        <f>'FS Desroches Daily'!BV7</f>
        <v>26</v>
      </c>
      <c r="AO5" s="63">
        <f>'FS Desroches Daily'!BX7</f>
        <v>30.000000000001137</v>
      </c>
      <c r="AP5" s="63">
        <f>'FS Desroches Daily'!BZ7</f>
        <v>42</v>
      </c>
      <c r="AQ5" s="62">
        <f>'FS Desroches Daily'!CB7</f>
        <v>23.200000000000728</v>
      </c>
      <c r="AR5" s="62">
        <f>'FS Desroches Daily'!CD7</f>
        <v>5.5999999999985448</v>
      </c>
      <c r="AS5" s="62">
        <f>'FS Desroches Daily'!CF7</f>
        <v>11.600000000000364</v>
      </c>
      <c r="AT5" s="62">
        <f>'FS Desroches Daily'!CH7</f>
        <v>92.299999999995634</v>
      </c>
      <c r="AU5" s="62">
        <f>'FS Desroches Daily'!CJ7</f>
        <v>258</v>
      </c>
      <c r="AV5" s="62">
        <f>'FS Desroches Daily'!CL7</f>
        <v>689.99999999999773</v>
      </c>
      <c r="AW5" s="62">
        <f>'FS Desroches Daily'!CM7</f>
        <v>79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3.6629999999999998</v>
      </c>
      <c r="BB5" s="62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12</v>
      </c>
      <c r="D6" s="58">
        <v>2019</v>
      </c>
      <c r="E6" s="62">
        <f>'FS Desroches Daily'!D8</f>
        <v>1400.0000000000678</v>
      </c>
      <c r="F6" s="63">
        <f>'FS Desroches Daily'!F8</f>
        <v>2499.9999999999468</v>
      </c>
      <c r="G6" s="62">
        <f>'FS Desroches Daily'!H8</f>
        <v>2699.9999999999245</v>
      </c>
      <c r="H6" s="63">
        <f>'FS Desroches Daily'!J8</f>
        <v>1210.0000000000364</v>
      </c>
      <c r="I6" s="62">
        <f>'FS Desroches Daily'!L8</f>
        <v>2200.0000000002019</v>
      </c>
      <c r="J6" s="63">
        <f>'FS Desroches Daily'!N8</f>
        <v>1130.0000000001091</v>
      </c>
      <c r="K6" s="13">
        <f>'FS Desroches Daily'!P8</f>
        <v>18</v>
      </c>
      <c r="L6" s="62">
        <f>'FS Desroches Daily'!R8</f>
        <v>6</v>
      </c>
      <c r="M6" s="62">
        <f>'FS Desroches Daily'!T8</f>
        <v>1856</v>
      </c>
      <c r="N6" s="62">
        <f>'FS Desroches Daily'!V8</f>
        <v>381</v>
      </c>
      <c r="O6" s="62">
        <f>'FS Desroches Daily'!X8</f>
        <v>300.00000000001137</v>
      </c>
      <c r="P6" s="62">
        <f>'FS Desroches Daily'!Z8</f>
        <v>2199.9999999999795</v>
      </c>
      <c r="Q6" s="62">
        <f>'FS Desroches Daily'!AB8</f>
        <v>280.00000000002956</v>
      </c>
      <c r="R6" s="62">
        <f>'FS Desroches Daily'!AD8</f>
        <v>270.00000000001023</v>
      </c>
      <c r="S6" s="62">
        <f>'FS Desroches Daily'!AF8</f>
        <v>489.99999999995225</v>
      </c>
      <c r="T6" s="62">
        <f>'FS Desroches Daily'!AH8</f>
        <v>1.2999999999999545</v>
      </c>
      <c r="U6" s="66">
        <f>'FS Desroches Daily'!AJ8</f>
        <v>310.00000000000227</v>
      </c>
      <c r="V6" s="66">
        <f>'FS Desroches Daily'!AL8</f>
        <v>7.9999999999998295E-2</v>
      </c>
      <c r="W6" s="66">
        <f>'FS Desroches Daily'!AN8</f>
        <v>0.14000000000000057</v>
      </c>
      <c r="X6" s="66">
        <f>'FS Desroches Daily'!AP8</f>
        <v>8.99999999999892E-2</v>
      </c>
      <c r="Y6" s="66">
        <f>'FS Desroches Daily'!AR8</f>
        <v>39.999999999992042</v>
      </c>
      <c r="Z6" s="66">
        <f>'FS Desroches Daily'!AT8</f>
        <v>80.000000000040927</v>
      </c>
      <c r="AA6" s="66">
        <f>'FS Desroches Daily'!AT8</f>
        <v>80.000000000040927</v>
      </c>
      <c r="AB6" s="66">
        <f>'FS Desroches Daily'!AV8</f>
        <v>109.99999999998522</v>
      </c>
      <c r="AC6" s="66">
        <f>'FS Desroches Daily'!AZ8</f>
        <v>50.000000000011369</v>
      </c>
      <c r="AD6" s="66">
        <f>'FS Desroches Daily'!BB8</f>
        <v>39.99999999996362</v>
      </c>
      <c r="AE6" s="66">
        <f>'FS Desroches Daily'!BD8</f>
        <v>20.000000000010232</v>
      </c>
      <c r="AF6" s="62">
        <f>'FS Desroches Daily'!BF8</f>
        <v>21</v>
      </c>
      <c r="AG6" s="63">
        <f>'FS Desroches Daily'!BH8</f>
        <v>19.99999999998181</v>
      </c>
      <c r="AH6" s="63">
        <f>'FS Desroches Daily'!BJ8</f>
        <v>29.999999999972715</v>
      </c>
      <c r="AI6" s="63">
        <f>'FS Desroches Daily'!BL8</f>
        <v>30.000000000001137</v>
      </c>
      <c r="AJ6" s="63">
        <f>'FS Desroches Daily'!BN8</f>
        <v>30.000000000001137</v>
      </c>
      <c r="AK6" s="63">
        <f>'FS Desroches Daily'!BP8</f>
        <v>30.000000000029559</v>
      </c>
      <c r="AL6" s="63">
        <f>'FS Desroches Daily'!BR8</f>
        <v>26</v>
      </c>
      <c r="AM6" s="63">
        <f>'FS Desroches Daily'!BT8</f>
        <v>20.000000000010232</v>
      </c>
      <c r="AN6" s="63">
        <f>'FS Desroches Daily'!BV8</f>
        <v>20</v>
      </c>
      <c r="AO6" s="63">
        <f>'FS Desroches Daily'!BX8</f>
        <v>30.000000000001137</v>
      </c>
      <c r="AP6" s="63">
        <f>'FS Desroches Daily'!BZ8</f>
        <v>57</v>
      </c>
      <c r="AQ6" s="62">
        <f>'FS Desroches Daily'!CB8</f>
        <v>16.799999999999272</v>
      </c>
      <c r="AR6" s="62">
        <f>'FS Desroches Daily'!CD8</f>
        <v>10.700000000000728</v>
      </c>
      <c r="AS6" s="62">
        <f>'FS Desroches Daily'!CF8</f>
        <v>0.3000000000001819</v>
      </c>
      <c r="AT6" s="62">
        <f>'FS Desroches Daily'!CH8</f>
        <v>30.700000000004366</v>
      </c>
      <c r="AU6" s="62">
        <f>'FS Desroches Daily'!CJ8</f>
        <v>248</v>
      </c>
      <c r="AV6" s="62">
        <f>'FS Desroches Daily'!CL8</f>
        <v>620.00000000000455</v>
      </c>
      <c r="AW6" s="62">
        <f>'FS Desroches Daily'!CM8</f>
        <v>77</v>
      </c>
      <c r="AX6" s="62">
        <f>IF(LPG!F13-LPG!F12&lt;0,"0",(LPG!F13-LPG!F12)*1.8315)</f>
        <v>12.820499999999999</v>
      </c>
      <c r="AY6" s="62">
        <f>IF(LPG!H13-LPG!H12&lt;0,"0",(LPG!H13-LPG!H12)*1.8315)</f>
        <v>3.6629999999999998</v>
      </c>
      <c r="AZ6" s="62">
        <f>IF(LPG!J13-LPG!J12&lt;0,"0",(LPG!J13-LPG!J12)*1.8315)</f>
        <v>0</v>
      </c>
      <c r="BA6" s="62">
        <f>IF(LPG!M13-LPG!M12&lt;0,"0",(LPG!M13-LPG!M12)*1.8315)</f>
        <v>0</v>
      </c>
      <c r="BB6" s="62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12</v>
      </c>
      <c r="D7" s="58">
        <v>2019</v>
      </c>
      <c r="E7" s="62">
        <f>'FS Desroches Daily'!D9</f>
        <v>1200.0000000000898</v>
      </c>
      <c r="F7" s="63">
        <f>'FS Desroches Daily'!F9</f>
        <v>2800.0000000001355</v>
      </c>
      <c r="G7" s="62">
        <f>'FS Desroches Daily'!H9</f>
        <v>3099.9999999998809</v>
      </c>
      <c r="H7" s="63">
        <f>'FS Desroches Daily'!J9</f>
        <v>1389.9999999999864</v>
      </c>
      <c r="I7" s="62">
        <f>'FS Desroches Daily'!L9</f>
        <v>2399.9999999999577</v>
      </c>
      <c r="J7" s="63">
        <f>'FS Desroches Daily'!N9</f>
        <v>1259.9999999999909</v>
      </c>
      <c r="K7" s="13">
        <f>'FS Desroches Daily'!P9</f>
        <v>17</v>
      </c>
      <c r="L7" s="62">
        <f>'FS Desroches Daily'!R9</f>
        <v>8</v>
      </c>
      <c r="M7" s="62">
        <f>'FS Desroches Daily'!T9</f>
        <v>903</v>
      </c>
      <c r="N7" s="62">
        <f>'FS Desroches Daily'!V9</f>
        <v>385</v>
      </c>
      <c r="O7" s="62">
        <f>'FS Desroches Daily'!X9</f>
        <v>290.00000000002046</v>
      </c>
      <c r="P7" s="62">
        <f>'FS Desroches Daily'!Z9</f>
        <v>2399.9999999999577</v>
      </c>
      <c r="Q7" s="62">
        <f>'FS Desroches Daily'!AB9</f>
        <v>379.99999999999545</v>
      </c>
      <c r="R7" s="62">
        <f>'FS Desroches Daily'!AD9</f>
        <v>259.99999999999091</v>
      </c>
      <c r="S7" s="62">
        <f>'FS Desroches Daily'!AF9</f>
        <v>500</v>
      </c>
      <c r="T7" s="62">
        <f>'FS Desroches Daily'!AH9</f>
        <v>1.1000000000000227</v>
      </c>
      <c r="U7" s="66">
        <f>'FS Desroches Daily'!AJ9</f>
        <v>319.99999999999318</v>
      </c>
      <c r="V7" s="66">
        <f>'FS Desroches Daily'!AL9</f>
        <v>9.0000000000003411E-2</v>
      </c>
      <c r="W7" s="66">
        <f>'FS Desroches Daily'!AN9</f>
        <v>0.14999999999999147</v>
      </c>
      <c r="X7" s="66">
        <f>'FS Desroches Daily'!AP9</f>
        <v>7.9999999999998295E-2</v>
      </c>
      <c r="Y7" s="66">
        <f>'FS Desroches Daily'!AR9</f>
        <v>30.000000000001137</v>
      </c>
      <c r="Z7" s="66">
        <f>'FS Desroches Daily'!AT9</f>
        <v>79.999999999984084</v>
      </c>
      <c r="AA7" s="66">
        <f>'FS Desroches Daily'!AT9</f>
        <v>79.999999999984084</v>
      </c>
      <c r="AB7" s="66">
        <f>'FS Desroches Daily'!AV9</f>
        <v>80.000000000012506</v>
      </c>
      <c r="AC7" s="66">
        <f>'FS Desroches Daily'!AZ9</f>
        <v>39.99999999996362</v>
      </c>
      <c r="AD7" s="66">
        <f>'FS Desroches Daily'!BB9</f>
        <v>40.000000000020464</v>
      </c>
      <c r="AE7" s="66">
        <f>'FS Desroches Daily'!BD9</f>
        <v>19.99999999998181</v>
      </c>
      <c r="AF7" s="62">
        <f>'FS Desroches Daily'!BF9</f>
        <v>45</v>
      </c>
      <c r="AG7" s="63">
        <f>'FS Desroches Daily'!BH9</f>
        <v>20.000000000010232</v>
      </c>
      <c r="AH7" s="63">
        <f>'FS Desroches Daily'!BJ9</f>
        <v>40.000000000020464</v>
      </c>
      <c r="AI7" s="63">
        <f>'FS Desroches Daily'!BL9</f>
        <v>20.000000000010232</v>
      </c>
      <c r="AJ7" s="63">
        <f>'FS Desroches Daily'!BN9</f>
        <v>30.000000000001137</v>
      </c>
      <c r="AK7" s="63">
        <f>'FS Desroches Daily'!BP9</f>
        <v>39.99999999996362</v>
      </c>
      <c r="AL7" s="63">
        <f>'FS Desroches Daily'!BR9</f>
        <v>28</v>
      </c>
      <c r="AM7" s="63">
        <f>'FS Desroches Daily'!BT9</f>
        <v>39.999999999992042</v>
      </c>
      <c r="AN7" s="63">
        <f>'FS Desroches Daily'!BV9</f>
        <v>20</v>
      </c>
      <c r="AO7" s="63">
        <f>'FS Desroches Daily'!BX9</f>
        <v>30.000000000001137</v>
      </c>
      <c r="AP7" s="63">
        <f>'FS Desroches Daily'!BZ9</f>
        <v>61</v>
      </c>
      <c r="AQ7" s="62">
        <f>'FS Desroches Daily'!CB9</f>
        <v>21.5</v>
      </c>
      <c r="AR7" s="62">
        <f>'FS Desroches Daily'!CD9</f>
        <v>11.399999999999636</v>
      </c>
      <c r="AS7" s="62">
        <f>'FS Desroches Daily'!CF9</f>
        <v>10.099999999999454</v>
      </c>
      <c r="AT7" s="62">
        <f>'FS Desroches Daily'!CH9</f>
        <v>41</v>
      </c>
      <c r="AU7" s="62">
        <f>'FS Desroches Daily'!CJ9</f>
        <v>279</v>
      </c>
      <c r="AV7" s="62">
        <f>'FS Desroches Daily'!CL9</f>
        <v>670.00000000001592</v>
      </c>
      <c r="AW7" s="62">
        <f>'FS Desroches Daily'!CM9</f>
        <v>78</v>
      </c>
      <c r="AX7" s="62">
        <f>IF(LPG!F14-LPG!F13&lt;0,"0",(LPG!F14-LPG!F13)*1.8315)</f>
        <v>9.1574999999999989</v>
      </c>
      <c r="AY7" s="62">
        <f>IF(LPG!H14-LPG!H13&lt;0,"0",(LPG!H14-LPG!H13)*1.8315)</f>
        <v>3.6629999999999998</v>
      </c>
      <c r="AZ7" s="62">
        <f>IF(LPG!J14-LPG!J13&lt;0,"0",(LPG!J14-LPG!J13)*1.8315)</f>
        <v>0</v>
      </c>
      <c r="BA7" s="62">
        <f>IF(LPG!M14-LPG!M13&lt;0,"0",(LPG!M14-LPG!M13)*1.8315)</f>
        <v>3.6629999999999998</v>
      </c>
      <c r="BB7" s="62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12</v>
      </c>
      <c r="D8" s="58">
        <v>2019</v>
      </c>
      <c r="E8" s="62">
        <f>'FS Desroches Daily'!D10</f>
        <v>1099.9999999998788</v>
      </c>
      <c r="F8" s="63">
        <f>'FS Desroches Daily'!F10</f>
        <v>2699.9999999999245</v>
      </c>
      <c r="G8" s="62">
        <f>'FS Desroches Daily'!H10</f>
        <v>2699.9999999999245</v>
      </c>
      <c r="H8" s="63">
        <f>'FS Desroches Daily'!J10</f>
        <v>1439.9999999999409</v>
      </c>
      <c r="I8" s="62">
        <f>'FS Desroches Daily'!L10</f>
        <v>2399.9999999999577</v>
      </c>
      <c r="J8" s="63">
        <f>'FS Desroches Daily'!N10</f>
        <v>1099.9999999999091</v>
      </c>
      <c r="K8" s="13">
        <f>'FS Desroches Daily'!P10</f>
        <v>20</v>
      </c>
      <c r="L8" s="62">
        <f>'FS Desroches Daily'!R10</f>
        <v>6</v>
      </c>
      <c r="M8" s="62">
        <f>'FS Desroches Daily'!T10</f>
        <v>790</v>
      </c>
      <c r="N8" s="62">
        <f>'FS Desroches Daily'!V10</f>
        <v>409</v>
      </c>
      <c r="O8" s="62">
        <f>'FS Desroches Daily'!X10</f>
        <v>339.99999999997499</v>
      </c>
      <c r="P8" s="62">
        <f>'FS Desroches Daily'!Z10</f>
        <v>2299.9999999999686</v>
      </c>
      <c r="Q8" s="62">
        <f>'FS Desroches Daily'!AB10</f>
        <v>269.99999999998181</v>
      </c>
      <c r="R8" s="62">
        <f>'FS Desroches Daily'!AD10</f>
        <v>240.00000000000909</v>
      </c>
      <c r="S8" s="62">
        <f>'FS Desroches Daily'!AF10</f>
        <v>510.00000000004775</v>
      </c>
      <c r="T8" s="62">
        <f>'FS Desroches Daily'!AH10</f>
        <v>1.8000000000000682</v>
      </c>
      <c r="U8" s="66">
        <f>'FS Desroches Daily'!AJ10</f>
        <v>300.00000000001137</v>
      </c>
      <c r="V8" s="66">
        <f>'FS Desroches Daily'!AL10</f>
        <v>0.14000000000000057</v>
      </c>
      <c r="W8" s="66">
        <f>'FS Desroches Daily'!AN10</f>
        <v>0.10999999999999943</v>
      </c>
      <c r="X8" s="66">
        <f>'FS Desroches Daily'!AP10</f>
        <v>5.0000000000011369E-2</v>
      </c>
      <c r="Y8" s="66">
        <f>'FS Desroches Daily'!AR10</f>
        <v>39.999999999992042</v>
      </c>
      <c r="Z8" s="66">
        <f>'FS Desroches Daily'!AT10</f>
        <v>69.999999999993179</v>
      </c>
      <c r="AA8" s="66">
        <f>'FS Desroches Daily'!AT10</f>
        <v>69.999999999993179</v>
      </c>
      <c r="AB8" s="66">
        <f>'FS Desroches Daily'!AV10</f>
        <v>60.000000000002274</v>
      </c>
      <c r="AC8" s="66">
        <f>'FS Desroches Daily'!AZ10</f>
        <v>30.000000000029559</v>
      </c>
      <c r="AD8" s="66">
        <f>'FS Desroches Daily'!BB10</f>
        <v>60.000000000002274</v>
      </c>
      <c r="AE8" s="66">
        <f>'FS Desroches Daily'!BD10</f>
        <v>20.000000000010232</v>
      </c>
      <c r="AF8" s="62">
        <f>'FS Desroches Daily'!BF10</f>
        <v>54</v>
      </c>
      <c r="AG8" s="63">
        <f>'FS Desroches Daily'!BH10</f>
        <v>30.000000000001137</v>
      </c>
      <c r="AH8" s="63">
        <f>'FS Desroches Daily'!BJ10</f>
        <v>40.000000000020464</v>
      </c>
      <c r="AI8" s="63">
        <f>'FS Desroches Daily'!BL10</f>
        <v>39.999999999992042</v>
      </c>
      <c r="AJ8" s="63">
        <f>'FS Desroches Daily'!BN10</f>
        <v>40.000000000020464</v>
      </c>
      <c r="AK8" s="63">
        <f>'FS Desroches Daily'!BP10</f>
        <v>50.000000000011369</v>
      </c>
      <c r="AL8" s="63">
        <f>'FS Desroches Daily'!BR10</f>
        <v>36</v>
      </c>
      <c r="AM8" s="63">
        <f>'FS Desroches Daily'!BT10</f>
        <v>30.000000000001137</v>
      </c>
      <c r="AN8" s="63">
        <f>'FS Desroches Daily'!BV10</f>
        <v>37</v>
      </c>
      <c r="AO8" s="63">
        <f>'FS Desroches Daily'!BX10</f>
        <v>40.000000000020464</v>
      </c>
      <c r="AP8" s="63">
        <f>'FS Desroches Daily'!BZ10</f>
        <v>87</v>
      </c>
      <c r="AQ8" s="62">
        <f>'FS Desroches Daily'!CB10</f>
        <v>26.5</v>
      </c>
      <c r="AR8" s="62">
        <f>'FS Desroches Daily'!CD10</f>
        <v>10.399999999999636</v>
      </c>
      <c r="AS8" s="62">
        <f>'FS Desroches Daily'!CF10</f>
        <v>5</v>
      </c>
      <c r="AT8" s="62">
        <f>'FS Desroches Daily'!CH10</f>
        <v>84.69999999999709</v>
      </c>
      <c r="AU8" s="62">
        <f>'FS Desroches Daily'!CJ10</f>
        <v>317</v>
      </c>
      <c r="AV8" s="62">
        <f>'FS Desroches Daily'!CL10</f>
        <v>609.9999999999568</v>
      </c>
      <c r="AW8" s="62">
        <f>'FS Desroches Daily'!CM10</f>
        <v>73</v>
      </c>
      <c r="AX8" s="62">
        <f>IF(LPG!F15-LPG!F14&lt;0,"0",(LPG!F15-LPG!F14)*1.8315)</f>
        <v>10.988999999999999</v>
      </c>
      <c r="AY8" s="62">
        <f>IF(LPG!H15-LPG!H14&lt;0,"0",(LPG!H15-LPG!H14)*1.8315)</f>
        <v>1.8314999999999999</v>
      </c>
      <c r="AZ8" s="62">
        <f>IF(LPG!J15-LPG!J14&lt;0,"0",(LPG!J15-LPG!J14)*1.8315)</f>
        <v>1.8314999999999999</v>
      </c>
      <c r="BA8" s="62">
        <f>IF(LPG!M15-LPG!M14&lt;0,"0",(LPG!M15-LPG!M14)*1.8315)</f>
        <v>0</v>
      </c>
      <c r="BB8" s="62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12</v>
      </c>
      <c r="D9" s="58">
        <v>2019</v>
      </c>
      <c r="E9" s="62">
        <f>'FS Desroches Daily'!D11</f>
        <v>1200.0000000000898</v>
      </c>
      <c r="F9" s="63">
        <f>'FS Desroches Daily'!F11</f>
        <v>2699.9999999999245</v>
      </c>
      <c r="G9" s="62">
        <f>'FS Desroches Daily'!H11</f>
        <v>2699.9999999999245</v>
      </c>
      <c r="H9" s="63">
        <f>'FS Desroches Daily'!J11</f>
        <v>1490.0000000000091</v>
      </c>
      <c r="I9" s="62">
        <f>'FS Desroches Daily'!L11</f>
        <v>2399.9999999999577</v>
      </c>
      <c r="J9" s="63">
        <f>'FS Desroches Daily'!N11</f>
        <v>1530.0000000000864</v>
      </c>
      <c r="K9" s="13">
        <f>'FS Desroches Daily'!P11</f>
        <v>1</v>
      </c>
      <c r="L9" s="62">
        <f>'FS Desroches Daily'!R11</f>
        <v>9</v>
      </c>
      <c r="M9" s="62">
        <f>'FS Desroches Daily'!T11</f>
        <v>957</v>
      </c>
      <c r="N9" s="62">
        <f>'FS Desroches Daily'!V11</f>
        <v>380</v>
      </c>
      <c r="O9" s="62">
        <f>'FS Desroches Daily'!X11</f>
        <v>310.00000000000227</v>
      </c>
      <c r="P9" s="62">
        <f>'FS Desroches Daily'!Z11</f>
        <v>2399.9999999999577</v>
      </c>
      <c r="Q9" s="62">
        <f>'FS Desroches Daily'!AB11</f>
        <v>420.00000000001592</v>
      </c>
      <c r="R9" s="62">
        <f>'FS Desroches Daily'!AD11</f>
        <v>250</v>
      </c>
      <c r="S9" s="62">
        <f>'FS Desroches Daily'!AF11</f>
        <v>679.99999999994998</v>
      </c>
      <c r="T9" s="62">
        <f>'FS Desroches Daily'!AH11</f>
        <v>1.6999999999999318</v>
      </c>
      <c r="U9" s="66">
        <f>'FS Desroches Daily'!AJ11</f>
        <v>319.99999999999318</v>
      </c>
      <c r="V9" s="66">
        <f>'FS Desroches Daily'!AL11</f>
        <v>0.14999999999999147</v>
      </c>
      <c r="W9" s="66">
        <f>'FS Desroches Daily'!AN11</f>
        <v>9.0000000000003411E-2</v>
      </c>
      <c r="X9" s="66">
        <f>'FS Desroches Daily'!AP11</f>
        <v>3.9999999999992042E-2</v>
      </c>
      <c r="Y9" s="66">
        <f>'FS Desroches Daily'!AR11</f>
        <v>30.000000000001137</v>
      </c>
      <c r="Z9" s="66">
        <f>'FS Desroches Daily'!AT11</f>
        <v>69.999999999993179</v>
      </c>
      <c r="AA9" s="66">
        <f>'FS Desroches Daily'!AT11</f>
        <v>69.999999999993179</v>
      </c>
      <c r="AB9" s="66">
        <f>'FS Desroches Daily'!AV11</f>
        <v>69.999999999993179</v>
      </c>
      <c r="AC9" s="66">
        <f>'FS Desroches Daily'!AZ11</f>
        <v>39.99999999996362</v>
      </c>
      <c r="AD9" s="66">
        <f>'FS Desroches Daily'!BB11</f>
        <v>40.000000000020464</v>
      </c>
      <c r="AE9" s="66">
        <f>'FS Desroches Daily'!BD11</f>
        <v>0</v>
      </c>
      <c r="AF9" s="62">
        <f>'FS Desroches Daily'!BF11</f>
        <v>48</v>
      </c>
      <c r="AG9" s="63">
        <f>'FS Desroches Daily'!BH11</f>
        <v>30.000000000001137</v>
      </c>
      <c r="AH9" s="63">
        <f>'FS Desroches Daily'!BJ11</f>
        <v>49.999999999954525</v>
      </c>
      <c r="AI9" s="63">
        <f>'FS Desroches Daily'!BL11</f>
        <v>50.000000000011369</v>
      </c>
      <c r="AJ9" s="63">
        <f>'FS Desroches Daily'!BN11</f>
        <v>39.999999999992042</v>
      </c>
      <c r="AK9" s="63">
        <f>'FS Desroches Daily'!BP11</f>
        <v>40.000000000020464</v>
      </c>
      <c r="AL9" s="63">
        <f>'FS Desroches Daily'!BR11</f>
        <v>34</v>
      </c>
      <c r="AM9" s="63">
        <f>'FS Desroches Daily'!BT11</f>
        <v>30.000000000001137</v>
      </c>
      <c r="AN9" s="63">
        <f>'FS Desroches Daily'!BV11</f>
        <v>42</v>
      </c>
      <c r="AO9" s="63">
        <f>'FS Desroches Daily'!BX11</f>
        <v>39.999999999992042</v>
      </c>
      <c r="AP9" s="63">
        <f>'FS Desroches Daily'!BZ11</f>
        <v>63</v>
      </c>
      <c r="AQ9" s="62">
        <f>'FS Desroches Daily'!CB11</f>
        <v>33.299999999999272</v>
      </c>
      <c r="AR9" s="62">
        <f>'FS Desroches Daily'!CD11</f>
        <v>12.800000000001091</v>
      </c>
      <c r="AS9" s="62">
        <f>'FS Desroches Daily'!CF11</f>
        <v>4.8000000000001819</v>
      </c>
      <c r="AT9" s="62">
        <f>'FS Desroches Daily'!CH11</f>
        <v>56.599999999998545</v>
      </c>
      <c r="AU9" s="62">
        <f>'FS Desroches Daily'!CJ11</f>
        <v>309</v>
      </c>
      <c r="AV9" s="62">
        <f>'FS Desroches Daily'!CL11</f>
        <v>550.00000000001137</v>
      </c>
      <c r="AW9" s="62">
        <f>'FS Desroches Daily'!CM11</f>
        <v>60.9</v>
      </c>
      <c r="AX9" s="62">
        <f>IF(LPG!F16-LPG!F15&lt;0,"0",(LPG!F16-LPG!F15)*1.8315)</f>
        <v>12.820499999999999</v>
      </c>
      <c r="AY9" s="62">
        <f>IF(LPG!H16-LPG!H15&lt;0,"0",(LPG!H16-LPG!H15)*1.8315)</f>
        <v>1.8314999999999999</v>
      </c>
      <c r="AZ9" s="62">
        <f>IF(LPG!J16-LPG!J15&lt;0,"0",(LPG!J16-LPG!J15)*1.8315)</f>
        <v>0</v>
      </c>
      <c r="BA9" s="62">
        <f>IF(LPG!M16-LPG!M15&lt;0,"0",(LPG!M16-LPG!M15)*1.8315)</f>
        <v>5.4944999999999995</v>
      </c>
      <c r="BB9" s="62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12</v>
      </c>
      <c r="D10" s="58">
        <v>2019</v>
      </c>
      <c r="E10" s="62">
        <f>'FS Desroches Daily'!D12</f>
        <v>1800.0000000000239</v>
      </c>
      <c r="F10" s="63">
        <f>'FS Desroches Daily'!F12</f>
        <v>2800.0000000001355</v>
      </c>
      <c r="G10" s="62">
        <f>'FS Desroches Daily'!H12</f>
        <v>2900.0000000003465</v>
      </c>
      <c r="H10" s="63">
        <f>'FS Desroches Daily'!J12</f>
        <v>1419.9999999999591</v>
      </c>
      <c r="I10" s="62">
        <f>'FS Desroches Daily'!L12</f>
        <v>2399.9999999999577</v>
      </c>
      <c r="J10" s="63">
        <f>'FS Desroches Daily'!N12</f>
        <v>1500</v>
      </c>
      <c r="K10" s="13">
        <f>'FS Desroches Daily'!P12</f>
        <v>20</v>
      </c>
      <c r="L10" s="62">
        <f>'FS Desroches Daily'!R12</f>
        <v>9</v>
      </c>
      <c r="M10" s="62">
        <f>'FS Desroches Daily'!T12</f>
        <v>854</v>
      </c>
      <c r="N10" s="62">
        <f>'FS Desroches Daily'!V12</f>
        <v>394</v>
      </c>
      <c r="O10" s="62">
        <f>'FS Desroches Daily'!X12</f>
        <v>269.99999999998181</v>
      </c>
      <c r="P10" s="62">
        <f>'FS Desroches Daily'!Z12</f>
        <v>2599.9999999999359</v>
      </c>
      <c r="Q10" s="62">
        <f>'FS Desroches Daily'!AB12</f>
        <v>469.99999999997044</v>
      </c>
      <c r="R10" s="62">
        <f>'FS Desroches Daily'!AD12</f>
        <v>280.00000000000114</v>
      </c>
      <c r="S10" s="62">
        <f>'FS Desroches Daily'!AF12</f>
        <v>670.00000000001592</v>
      </c>
      <c r="T10" s="62">
        <f>'FS Desroches Daily'!AH12</f>
        <v>2</v>
      </c>
      <c r="U10" s="66">
        <f>'FS Desroches Daily'!AJ12</f>
        <v>300.00000000001137</v>
      </c>
      <c r="V10" s="66">
        <f>'FS Desroches Daily'!AL12</f>
        <v>0.29000000000000625</v>
      </c>
      <c r="W10" s="66">
        <f>'FS Desroches Daily'!AN12</f>
        <v>0.17000000000000171</v>
      </c>
      <c r="X10" s="66">
        <f>'FS Desroches Daily'!AP12</f>
        <v>7.000000000000739E-2</v>
      </c>
      <c r="Y10" s="66">
        <f>'FS Desroches Daily'!AR12</f>
        <v>69.999999999993179</v>
      </c>
      <c r="Z10" s="66">
        <f>'FS Desroches Daily'!AT12</f>
        <v>69.999999999993179</v>
      </c>
      <c r="AA10" s="66">
        <f>'FS Desroches Daily'!AT12</f>
        <v>69.999999999993179</v>
      </c>
      <c r="AB10" s="66">
        <f>'FS Desroches Daily'!AV12</f>
        <v>159.99999999999659</v>
      </c>
      <c r="AC10" s="66">
        <f>'FS Desroches Daily'!AZ12</f>
        <v>20.000000000038654</v>
      </c>
      <c r="AD10" s="66">
        <f>'FS Desroches Daily'!BB12</f>
        <v>119.9999999999477</v>
      </c>
      <c r="AE10" s="66">
        <f>'FS Desroches Daily'!BD12</f>
        <v>20.000000000010232</v>
      </c>
      <c r="AF10" s="62">
        <f>'FS Desroches Daily'!BF12</f>
        <v>34</v>
      </c>
      <c r="AG10" s="63">
        <f>'FS Desroches Daily'!BH12</f>
        <v>30.000000000001137</v>
      </c>
      <c r="AH10" s="63">
        <f>'FS Desroches Daily'!BJ12</f>
        <v>40.000000000020464</v>
      </c>
      <c r="AI10" s="63">
        <f>'FS Desroches Daily'!BL12</f>
        <v>30.000000000001137</v>
      </c>
      <c r="AJ10" s="63">
        <f>'FS Desroches Daily'!BN12</f>
        <v>30.000000000001137</v>
      </c>
      <c r="AK10" s="63">
        <f>'FS Desroches Daily'!BP12</f>
        <v>39.99999999996362</v>
      </c>
      <c r="AL10" s="63">
        <f>'FS Desroches Daily'!BR12</f>
        <v>29</v>
      </c>
      <c r="AM10" s="63">
        <f>'FS Desroches Daily'!BT12</f>
        <v>30.000000000001137</v>
      </c>
      <c r="AN10" s="63">
        <f>'FS Desroches Daily'!BV12</f>
        <v>29</v>
      </c>
      <c r="AO10" s="63">
        <f>'FS Desroches Daily'!BX12</f>
        <v>39.999999999992042</v>
      </c>
      <c r="AP10" s="63">
        <f>'FS Desroches Daily'!BZ12</f>
        <v>70</v>
      </c>
      <c r="AQ10" s="62">
        <f>'FS Desroches Daily'!CB12</f>
        <v>34.400000000001455</v>
      </c>
      <c r="AR10" s="62">
        <f>'FS Desroches Daily'!CD12</f>
        <v>11.799999999999272</v>
      </c>
      <c r="AS10" s="62">
        <f>'FS Desroches Daily'!CF12</f>
        <v>7.3000000000001819</v>
      </c>
      <c r="AT10" s="62">
        <f>'FS Desroches Daily'!CH12</f>
        <v>55</v>
      </c>
      <c r="AU10" s="62">
        <f>'FS Desroches Daily'!CJ12</f>
        <v>315</v>
      </c>
      <c r="AV10" s="62">
        <f>'FS Desroches Daily'!CL12</f>
        <v>699.99999999998863</v>
      </c>
      <c r="AW10" s="62">
        <f>'FS Desroches Daily'!CM12</f>
        <v>79.599999999999994</v>
      </c>
      <c r="AX10" s="62">
        <f>IF(LPG!F17-LPG!F16&lt;0,"0",(LPG!F17-LPG!F16)*1.8315)</f>
        <v>9.1574999999999989</v>
      </c>
      <c r="AY10" s="62">
        <f>IF(LPG!H17-LPG!H16&lt;0,"0",(LPG!H17-LPG!H16)*1.8315)</f>
        <v>3.6629999999999998</v>
      </c>
      <c r="AZ10" s="62">
        <f>IF(LPG!J17-LPG!J16&lt;0,"0",(LPG!J17-LPG!J16)*1.8315)</f>
        <v>1.8314999999999999</v>
      </c>
      <c r="BA10" s="62">
        <f>IF(LPG!M17-LPG!M16&lt;0,"0",(LPG!M17-LPG!M16)*1.8315)</f>
        <v>3.6629999999999998</v>
      </c>
      <c r="BB10" s="62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12</v>
      </c>
      <c r="D11" s="58">
        <v>2019</v>
      </c>
      <c r="E11" s="62">
        <f>'FS Desroches Daily'!D13</f>
        <v>1800.0000000000239</v>
      </c>
      <c r="F11" s="63">
        <f>'FS Desroches Daily'!F13</f>
        <v>2599.9999999997135</v>
      </c>
      <c r="G11" s="62">
        <f>'FS Desroches Daily'!H13</f>
        <v>2499.9999999999468</v>
      </c>
      <c r="H11" s="63">
        <f>'FS Desroches Daily'!J13</f>
        <v>1200.0000000000455</v>
      </c>
      <c r="I11" s="62">
        <f>'FS Desroches Daily'!L13</f>
        <v>2000.0000000000018</v>
      </c>
      <c r="J11" s="63">
        <f>'FS Desroches Daily'!N13</f>
        <v>1240.0000000000091</v>
      </c>
      <c r="K11" s="13">
        <f>'FS Desroches Daily'!P13</f>
        <v>19</v>
      </c>
      <c r="L11" s="62">
        <f>'FS Desroches Daily'!R13</f>
        <v>6</v>
      </c>
      <c r="M11" s="62">
        <f>'FS Desroches Daily'!T13</f>
        <v>933</v>
      </c>
      <c r="N11" s="62">
        <f>'FS Desroches Daily'!V13</f>
        <v>428</v>
      </c>
      <c r="O11" s="62">
        <f>'FS Desroches Daily'!X13</f>
        <v>230.00000000001819</v>
      </c>
      <c r="P11" s="62">
        <f>'FS Desroches Daily'!Z13</f>
        <v>2400.0000000001796</v>
      </c>
      <c r="Q11" s="62">
        <f>'FS Desroches Daily'!AB13</f>
        <v>370.00000000000455</v>
      </c>
      <c r="R11" s="62">
        <f>'FS Desroches Daily'!AD13</f>
        <v>370.00000000000455</v>
      </c>
      <c r="S11" s="62">
        <f>'FS Desroches Daily'!AF13</f>
        <v>569.99999999999318</v>
      </c>
      <c r="T11" s="62">
        <f>'FS Desroches Daily'!AH13</f>
        <v>2.2000000000000455</v>
      </c>
      <c r="U11" s="66">
        <f>'FS Desroches Daily'!AJ13</f>
        <v>389.99999999998636</v>
      </c>
      <c r="V11" s="66">
        <f>'FS Desroches Daily'!AL13</f>
        <v>0.25</v>
      </c>
      <c r="W11" s="66">
        <f>'FS Desroches Daily'!AN13</f>
        <v>0.23000000000000398</v>
      </c>
      <c r="X11" s="66">
        <f>'FS Desroches Daily'!AP13</f>
        <v>0.18999999999999773</v>
      </c>
      <c r="Y11" s="66">
        <f>'FS Desroches Daily'!AR13</f>
        <v>70.0000000000216</v>
      </c>
      <c r="Z11" s="66">
        <f>'FS Desroches Daily'!AT13</f>
        <v>60.000000000002274</v>
      </c>
      <c r="AA11" s="66">
        <f>'FS Desroches Daily'!AT13</f>
        <v>60.000000000002274</v>
      </c>
      <c r="AB11" s="66">
        <f>'FS Desroches Daily'!AV13</f>
        <v>129.99999999999545</v>
      </c>
      <c r="AC11" s="66">
        <f>'FS Desroches Daily'!AZ13</f>
        <v>39.99999999996362</v>
      </c>
      <c r="AD11" s="66">
        <f>'FS Desroches Daily'!BB13</f>
        <v>110.00000000001364</v>
      </c>
      <c r="AE11" s="66">
        <f>'FS Desroches Daily'!BD13</f>
        <v>49.999999999982947</v>
      </c>
      <c r="AF11" s="62" t="str">
        <f>'FS Desroches Daily'!BF13</f>
        <v/>
      </c>
      <c r="AG11" s="63">
        <f>'FS Desroches Daily'!BH13</f>
        <v>20.000000000010232</v>
      </c>
      <c r="AH11" s="63">
        <f>'FS Desroches Daily'!BJ13</f>
        <v>40.000000000020464</v>
      </c>
      <c r="AI11" s="63">
        <f>'FS Desroches Daily'!BL13</f>
        <v>39.999999999992042</v>
      </c>
      <c r="AJ11" s="63">
        <f>'FS Desroches Daily'!BN13</f>
        <v>30.000000000001137</v>
      </c>
      <c r="AK11" s="63">
        <f>'FS Desroches Daily'!BP13</f>
        <v>40.000000000020464</v>
      </c>
      <c r="AL11" s="63">
        <f>'FS Desroches Daily'!BR13</f>
        <v>28</v>
      </c>
      <c r="AM11" s="63">
        <f>'FS Desroches Daily'!BT13</f>
        <v>39.999999999992042</v>
      </c>
      <c r="AN11" s="63">
        <f>'FS Desroches Daily'!BV13</f>
        <v>32</v>
      </c>
      <c r="AO11" s="63">
        <f>'FS Desroches Daily'!BX13</f>
        <v>30.000000000001137</v>
      </c>
      <c r="AP11" s="63">
        <f>'FS Desroches Daily'!BZ13</f>
        <v>73</v>
      </c>
      <c r="AQ11" s="62">
        <f>'FS Desroches Daily'!CB13</f>
        <v>41.5</v>
      </c>
      <c r="AR11" s="62">
        <f>'FS Desroches Daily'!CD13</f>
        <v>9.2000000000007276</v>
      </c>
      <c r="AS11" s="62">
        <f>'FS Desroches Daily'!CF13</f>
        <v>0.3999999999996362</v>
      </c>
      <c r="AT11" s="62">
        <f>'FS Desroches Daily'!CH13</f>
        <v>51</v>
      </c>
      <c r="AU11" s="62">
        <f>'FS Desroches Daily'!CJ13</f>
        <v>241</v>
      </c>
      <c r="AV11" s="62">
        <f>'FS Desroches Daily'!CL13</f>
        <v>510.00000000004775</v>
      </c>
      <c r="AW11" s="62">
        <f>'FS Desroches Daily'!CM13</f>
        <v>88</v>
      </c>
      <c r="AX11" s="62">
        <f>IF(LPG!F18-LPG!F17&lt;0,"0",(LPG!F18-LPG!F17)*1.8315)</f>
        <v>12.820499999999999</v>
      </c>
      <c r="AY11" s="62">
        <f>IF(LPG!H18-LPG!H17&lt;0,"0",(LPG!H18-LPG!H17)*1.8315)</f>
        <v>3.6629999999999998</v>
      </c>
      <c r="AZ11" s="62">
        <f>IF(LPG!J18-LPG!J17&lt;0,"0",(LPG!J18-LPG!J17)*1.8315)</f>
        <v>1.8314999999999999</v>
      </c>
      <c r="BA11" s="62">
        <f>IF(LPG!M18-LPG!M17&lt;0,"0",(LPG!M18-LPG!M17)*1.8315)</f>
        <v>0</v>
      </c>
      <c r="BB11" s="62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12</v>
      </c>
      <c r="D12" s="58">
        <v>2019</v>
      </c>
      <c r="E12" s="62" t="str">
        <f>'FS Desroches Daily'!D14</f>
        <v>0</v>
      </c>
      <c r="F12" s="63" t="str">
        <f>'FS Desroches Daily'!F14</f>
        <v>0</v>
      </c>
      <c r="G12" s="62" t="str">
        <f>'FS Desroches Daily'!H14</f>
        <v>0</v>
      </c>
      <c r="H12" s="63" t="str">
        <f>'FS Desroches Daily'!J14</f>
        <v>0</v>
      </c>
      <c r="I12" s="62" t="str">
        <f>'FS Desroches Daily'!L14</f>
        <v>0</v>
      </c>
      <c r="J12" s="63" t="str">
        <f>'FS Desroches Daily'!N14</f>
        <v/>
      </c>
      <c r="K12" s="13" t="str">
        <f>'FS Desroches Daily'!P14</f>
        <v/>
      </c>
      <c r="L12" s="62" t="str">
        <f>'FS Desroches Daily'!R14</f>
        <v/>
      </c>
      <c r="M12" s="62" t="str">
        <f>'FS Desroches Daily'!T14</f>
        <v/>
      </c>
      <c r="N12" s="62" t="str">
        <f>'FS Desroches Daily'!V14</f>
        <v/>
      </c>
      <c r="O12" s="62" t="str">
        <f>'FS Desroches Daily'!X14</f>
        <v/>
      </c>
      <c r="P12" s="62" t="str">
        <f>'FS Desroches Daily'!Z14</f>
        <v/>
      </c>
      <c r="Q12" s="62" t="str">
        <f>'FS Desroches Daily'!AB14</f>
        <v/>
      </c>
      <c r="R12" s="62" t="str">
        <f>'FS Desroches Daily'!AD14</f>
        <v/>
      </c>
      <c r="S12" s="62" t="str">
        <f>'FS Desroches Daily'!AF14</f>
        <v/>
      </c>
      <c r="T12" s="62" t="str">
        <f>'FS Desroches Daily'!AH14</f>
        <v/>
      </c>
      <c r="U12" s="66" t="str">
        <f>'FS Desroches Daily'!AJ14</f>
        <v/>
      </c>
      <c r="V12" s="66" t="str">
        <f>'FS Desroches Daily'!AL14</f>
        <v/>
      </c>
      <c r="W12" s="66" t="str">
        <f>'FS Desroches Daily'!AN14</f>
        <v/>
      </c>
      <c r="X12" s="66" t="str">
        <f>'FS Desroches Daily'!AP14</f>
        <v/>
      </c>
      <c r="Y12" s="66" t="str">
        <f>'FS Desroches Daily'!AR14</f>
        <v/>
      </c>
      <c r="Z12" s="66" t="str">
        <f>'FS Desroches Daily'!AT14</f>
        <v/>
      </c>
      <c r="AA12" s="66" t="str">
        <f>'FS Desroches Daily'!AT14</f>
        <v/>
      </c>
      <c r="AB12" s="66" t="str">
        <f>'FS Desroches Daily'!AV14</f>
        <v/>
      </c>
      <c r="AC12" s="66" t="str">
        <f>'FS Desroches Daily'!AZ14</f>
        <v/>
      </c>
      <c r="AD12" s="66" t="str">
        <f>'FS Desroches Daily'!BB14</f>
        <v/>
      </c>
      <c r="AE12" s="66" t="str">
        <f>'FS Desroches Daily'!BD14</f>
        <v/>
      </c>
      <c r="AF12" s="62">
        <f>'FS Desroches Daily'!BF14</f>
        <v>0</v>
      </c>
      <c r="AG12" s="63" t="str">
        <f>'FS Desroches Daily'!BH14</f>
        <v/>
      </c>
      <c r="AH12" s="63" t="str">
        <f>'FS Desroches Daily'!BJ14</f>
        <v/>
      </c>
      <c r="AI12" s="63" t="str">
        <f>'FS Desroches Daily'!BL14</f>
        <v/>
      </c>
      <c r="AJ12" s="63" t="str">
        <f>'FS Desroches Daily'!BN14</f>
        <v/>
      </c>
      <c r="AK12" s="63" t="str">
        <f>'FS Desroches Daily'!BP14</f>
        <v/>
      </c>
      <c r="AL12" s="63" t="str">
        <f>'FS Desroches Daily'!BR14</f>
        <v/>
      </c>
      <c r="AM12" s="63" t="str">
        <f>'FS Desroches Daily'!BT14</f>
        <v/>
      </c>
      <c r="AN12" s="63" t="str">
        <f>'FS Desroches Daily'!BV14</f>
        <v/>
      </c>
      <c r="AO12" s="63" t="str">
        <f>'FS Desroches Daily'!BX14</f>
        <v/>
      </c>
      <c r="AP12" s="63" t="str">
        <f>'FS Desroches Daily'!BZ14</f>
        <v/>
      </c>
      <c r="AQ12" s="62" t="str">
        <f>'FS Desroches Daily'!CB14</f>
        <v/>
      </c>
      <c r="AR12" s="62" t="str">
        <f>'FS Desroches Daily'!CD14</f>
        <v/>
      </c>
      <c r="AS12" s="62" t="str">
        <f>'FS Desroches Daily'!CF14</f>
        <v/>
      </c>
      <c r="AT12" s="62" t="str">
        <f>'FS Desroches Daily'!CH14</f>
        <v/>
      </c>
      <c r="AU12" s="62" t="str">
        <f>'FS Desroches Daily'!CJ14</f>
        <v/>
      </c>
      <c r="AV12" s="62" t="str">
        <f>'FS Desroches Daily'!CL14</f>
        <v/>
      </c>
      <c r="AW12" s="62">
        <f>'FS Desroches Daily'!CM14</f>
        <v>0</v>
      </c>
      <c r="AX12" s="62" t="str">
        <f>IF(LPG!F19-LPG!F18&lt;0,"0",(LPG!F19-LPG!F18)*1.8315)</f>
        <v>0</v>
      </c>
      <c r="AY12" s="62" t="str">
        <f>IF(LPG!H19-LPG!H18&lt;0,"0",(LPG!H19-LPG!H18)*1.8315)</f>
        <v>0</v>
      </c>
      <c r="AZ12" s="62" t="str">
        <f>IF(LPG!J19-LPG!J18&lt;0,"0",(LPG!J19-LPG!J18)*1.8315)</f>
        <v>0</v>
      </c>
      <c r="BA12" s="62" t="str">
        <f>IF(LPG!M19-LPG!M18&lt;0,"0",(LPG!M19-LPG!M18)*1.8315)</f>
        <v>0</v>
      </c>
      <c r="BB12" s="62" t="str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12</v>
      </c>
      <c r="D13" s="58">
        <v>2019</v>
      </c>
      <c r="E13" s="62">
        <f>'FS Desroches Daily'!D15</f>
        <v>0</v>
      </c>
      <c r="F13" s="63">
        <f>'FS Desroches Daily'!F15</f>
        <v>0</v>
      </c>
      <c r="G13" s="62">
        <f>'FS Desroches Daily'!H15</f>
        <v>0</v>
      </c>
      <c r="H13" s="63">
        <f>'FS Desroches Daily'!J15</f>
        <v>0</v>
      </c>
      <c r="I13" s="62">
        <f>'FS Desroches Daily'!L15</f>
        <v>0</v>
      </c>
      <c r="J13" s="63">
        <f>'FS Desroches Daily'!N15</f>
        <v>0</v>
      </c>
      <c r="K13" s="13">
        <f>'FS Desroches Daily'!P15</f>
        <v>0</v>
      </c>
      <c r="L13" s="62">
        <f>'FS Desroches Daily'!R15</f>
        <v>0</v>
      </c>
      <c r="M13" s="62">
        <f>'FS Desroches Daily'!T15</f>
        <v>0</v>
      </c>
      <c r="N13" s="62">
        <f>'FS Desroches Daily'!V15</f>
        <v>0</v>
      </c>
      <c r="O13" s="62">
        <f>'FS Desroches Daily'!X15</f>
        <v>0</v>
      </c>
      <c r="P13" s="62">
        <f>'FS Desroches Daily'!Z15</f>
        <v>0</v>
      </c>
      <c r="Q13" s="62">
        <f>'FS Desroches Daily'!AB15</f>
        <v>0</v>
      </c>
      <c r="R13" s="62">
        <f>'FS Desroches Daily'!AD15</f>
        <v>0</v>
      </c>
      <c r="S13" s="62">
        <f>'FS Desroches Daily'!AF15</f>
        <v>0</v>
      </c>
      <c r="T13" s="62">
        <f>'FS Desroches Daily'!AH15</f>
        <v>0</v>
      </c>
      <c r="U13" s="66">
        <f>'FS Desroches Daily'!AJ15</f>
        <v>0</v>
      </c>
      <c r="V13" s="66">
        <f>'FS Desroches Daily'!AL15</f>
        <v>0</v>
      </c>
      <c r="W13" s="66">
        <f>'FS Desroches Daily'!AN15</f>
        <v>0</v>
      </c>
      <c r="X13" s="66">
        <f>'FS Desroches Daily'!AP15</f>
        <v>0</v>
      </c>
      <c r="Y13" s="66">
        <f>'FS Desroches Daily'!AR15</f>
        <v>0</v>
      </c>
      <c r="Z13" s="66">
        <f>'FS Desroches Daily'!AT15</f>
        <v>0</v>
      </c>
      <c r="AA13" s="66">
        <f>'FS Desroches Daily'!AT15</f>
        <v>0</v>
      </c>
      <c r="AB13" s="66">
        <f>'FS Desroches Daily'!AV15</f>
        <v>0</v>
      </c>
      <c r="AC13" s="66">
        <f>'FS Desroches Daily'!AZ15</f>
        <v>0</v>
      </c>
      <c r="AD13" s="66">
        <f>'FS Desroches Daily'!BB15</f>
        <v>0</v>
      </c>
      <c r="AE13" s="66">
        <f>'FS Desroches Daily'!BD15</f>
        <v>0</v>
      </c>
      <c r="AF13" s="62">
        <f>'FS Desroches Daily'!BF15</f>
        <v>0</v>
      </c>
      <c r="AG13" s="63">
        <f>'FS Desroches Daily'!BH15</f>
        <v>0</v>
      </c>
      <c r="AH13" s="63">
        <f>'FS Desroches Daily'!BJ15</f>
        <v>0</v>
      </c>
      <c r="AI13" s="63">
        <f>'FS Desroches Daily'!BL15</f>
        <v>0</v>
      </c>
      <c r="AJ13" s="63">
        <f>'FS Desroches Daily'!BN15</f>
        <v>0</v>
      </c>
      <c r="AK13" s="63">
        <f>'FS Desroches Daily'!BP15</f>
        <v>0</v>
      </c>
      <c r="AL13" s="63">
        <f>'FS Desroches Daily'!BR15</f>
        <v>0</v>
      </c>
      <c r="AM13" s="63">
        <f>'FS Desroches Daily'!BT15</f>
        <v>0</v>
      </c>
      <c r="AN13" s="63">
        <f>'FS Desroches Daily'!BV15</f>
        <v>0</v>
      </c>
      <c r="AO13" s="63">
        <f>'FS Desroches Daily'!BX15</f>
        <v>0</v>
      </c>
      <c r="AP13" s="63">
        <f>'FS Desroches Daily'!BZ15</f>
        <v>0</v>
      </c>
      <c r="AQ13" s="62">
        <f>'FS Desroches Daily'!CB15</f>
        <v>0</v>
      </c>
      <c r="AR13" s="62">
        <f>'FS Desroches Daily'!CD15</f>
        <v>0</v>
      </c>
      <c r="AS13" s="62">
        <f>'FS Desroches Daily'!CF15</f>
        <v>0</v>
      </c>
      <c r="AT13" s="62">
        <f>'FS Desroches Daily'!CH15</f>
        <v>0</v>
      </c>
      <c r="AU13" s="62">
        <f>'FS Desroches Daily'!CJ15</f>
        <v>0</v>
      </c>
      <c r="AV13" s="62">
        <f>'FS Desroches Daily'!CL15</f>
        <v>0</v>
      </c>
      <c r="AW13" s="62">
        <f>'FS Desroches Daily'!CM15</f>
        <v>0</v>
      </c>
      <c r="AX13" s="62">
        <f>IF(LPG!F20-LPG!F19&lt;0,"0",(LPG!F20-LPG!F19)*1.8315)</f>
        <v>0</v>
      </c>
      <c r="AY13" s="62">
        <f>IF(LPG!H20-LPG!H19&lt;0,"0",(LPG!H20-LPG!H19)*1.8315)</f>
        <v>0</v>
      </c>
      <c r="AZ13" s="62">
        <f>IF(LPG!J20-LPG!J19&lt;0,"0",(LPG!J20-LPG!J19)*1.8315)</f>
        <v>0</v>
      </c>
      <c r="BA13" s="62">
        <f>IF(LPG!M20-LPG!M19&lt;0,"0",(LPG!M20-LPG!M19)*1.8315)</f>
        <v>0</v>
      </c>
      <c r="BB13" s="6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12</v>
      </c>
      <c r="D14" s="58">
        <v>2019</v>
      </c>
      <c r="E14" s="62">
        <f>'FS Desroches Daily'!D16</f>
        <v>0</v>
      </c>
      <c r="F14" s="63">
        <f>'FS Desroches Daily'!F16</f>
        <v>0</v>
      </c>
      <c r="G14" s="62">
        <f>'FS Desroches Daily'!H16</f>
        <v>0</v>
      </c>
      <c r="H14" s="63">
        <f>'FS Desroches Daily'!J16</f>
        <v>0</v>
      </c>
      <c r="I14" s="62">
        <f>'FS Desroches Daily'!L16</f>
        <v>0</v>
      </c>
      <c r="J14" s="63">
        <f>'FS Desroches Daily'!N16</f>
        <v>0</v>
      </c>
      <c r="K14" s="13">
        <f>'FS Desroches Daily'!P16</f>
        <v>0</v>
      </c>
      <c r="L14" s="62">
        <f>'FS Desroches Daily'!R16</f>
        <v>0</v>
      </c>
      <c r="M14" s="62">
        <f>'FS Desroches Daily'!T16</f>
        <v>0</v>
      </c>
      <c r="N14" s="62">
        <f>'FS Desroches Daily'!V16</f>
        <v>0</v>
      </c>
      <c r="O14" s="62">
        <f>'FS Desroches Daily'!X16</f>
        <v>0</v>
      </c>
      <c r="P14" s="62">
        <f>'FS Desroches Daily'!Z16</f>
        <v>0</v>
      </c>
      <c r="Q14" s="62">
        <f>'FS Desroches Daily'!AB16</f>
        <v>0</v>
      </c>
      <c r="R14" s="62">
        <f>'FS Desroches Daily'!AD16</f>
        <v>0</v>
      </c>
      <c r="S14" s="62">
        <f>'FS Desroches Daily'!AF16</f>
        <v>0</v>
      </c>
      <c r="T14" s="62">
        <f>'FS Desroches Daily'!AH16</f>
        <v>0</v>
      </c>
      <c r="U14" s="66">
        <f>'FS Desroches Daily'!AJ16</f>
        <v>0</v>
      </c>
      <c r="V14" s="66">
        <f>'FS Desroches Daily'!AL16</f>
        <v>0</v>
      </c>
      <c r="W14" s="66">
        <f>'FS Desroches Daily'!AN16</f>
        <v>0</v>
      </c>
      <c r="X14" s="66">
        <f>'FS Desroches Daily'!AP16</f>
        <v>0</v>
      </c>
      <c r="Y14" s="66">
        <f>'FS Desroches Daily'!AR16</f>
        <v>0</v>
      </c>
      <c r="Z14" s="66">
        <f>'FS Desroches Daily'!AT16</f>
        <v>0</v>
      </c>
      <c r="AA14" s="66">
        <f>'FS Desroches Daily'!AT16</f>
        <v>0</v>
      </c>
      <c r="AB14" s="66">
        <f>'FS Desroches Daily'!AV16</f>
        <v>0</v>
      </c>
      <c r="AC14" s="66">
        <f>'FS Desroches Daily'!AZ16</f>
        <v>0</v>
      </c>
      <c r="AD14" s="66">
        <f>'FS Desroches Daily'!BB16</f>
        <v>0</v>
      </c>
      <c r="AE14" s="66">
        <f>'FS Desroches Daily'!BD16</f>
        <v>0</v>
      </c>
      <c r="AF14" s="62">
        <f>'FS Desroches Daily'!BF16</f>
        <v>0</v>
      </c>
      <c r="AG14" s="63">
        <f>'FS Desroches Daily'!BH16</f>
        <v>0</v>
      </c>
      <c r="AH14" s="63">
        <f>'FS Desroches Daily'!BJ16</f>
        <v>0</v>
      </c>
      <c r="AI14" s="63">
        <f>'FS Desroches Daily'!BL16</f>
        <v>0</v>
      </c>
      <c r="AJ14" s="63">
        <f>'FS Desroches Daily'!BN16</f>
        <v>0</v>
      </c>
      <c r="AK14" s="63">
        <f>'FS Desroches Daily'!BP16</f>
        <v>0</v>
      </c>
      <c r="AL14" s="63">
        <f>'FS Desroches Daily'!BR16</f>
        <v>0</v>
      </c>
      <c r="AM14" s="63">
        <f>'FS Desroches Daily'!BT16</f>
        <v>0</v>
      </c>
      <c r="AN14" s="63">
        <f>'FS Desroches Daily'!BV16</f>
        <v>0</v>
      </c>
      <c r="AO14" s="63">
        <f>'FS Desroches Daily'!BX16</f>
        <v>0</v>
      </c>
      <c r="AP14" s="63">
        <f>'FS Desroches Daily'!BZ16</f>
        <v>0</v>
      </c>
      <c r="AQ14" s="62">
        <f>'FS Desroches Daily'!CB16</f>
        <v>0</v>
      </c>
      <c r="AR14" s="62">
        <f>'FS Desroches Daily'!CD16</f>
        <v>0</v>
      </c>
      <c r="AS14" s="62">
        <f>'FS Desroches Daily'!CF16</f>
        <v>0</v>
      </c>
      <c r="AT14" s="62">
        <f>'FS Desroches Daily'!CH16</f>
        <v>0</v>
      </c>
      <c r="AU14" s="62">
        <f>'FS Desroches Daily'!CJ16</f>
        <v>0</v>
      </c>
      <c r="AV14" s="62">
        <f>'FS Desroches Daily'!CL16</f>
        <v>0</v>
      </c>
      <c r="AW14" s="62">
        <f>'FS Desroches Daily'!CM16</f>
        <v>0</v>
      </c>
      <c r="AX14" s="62">
        <f>IF(LPG!F21-LPG!F20&lt;0,"0",(LPG!F21-LPG!F20)*1.8315)</f>
        <v>0</v>
      </c>
      <c r="AY14" s="62">
        <f>IF(LPG!H21-LPG!H20&lt;0,"0",(LPG!H21-LPG!H20)*1.8315)</f>
        <v>0</v>
      </c>
      <c r="AZ14" s="62">
        <f>IF(LPG!J21-LPG!J20&lt;0,"0",(LPG!J21-LPG!J20)*1.8315)</f>
        <v>0</v>
      </c>
      <c r="BA14" s="62">
        <f>IF(LPG!M21-LPG!M20&lt;0,"0",(LPG!M21-LPG!M20)*1.8315)</f>
        <v>0</v>
      </c>
      <c r="BB14" s="6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12</v>
      </c>
      <c r="D15" s="58">
        <v>2019</v>
      </c>
      <c r="E15" s="62">
        <f>'FS Desroches Daily'!D17</f>
        <v>0</v>
      </c>
      <c r="F15" s="63">
        <f>'FS Desroches Daily'!F17</f>
        <v>0</v>
      </c>
      <c r="G15" s="62">
        <f>'FS Desroches Daily'!H17</f>
        <v>0</v>
      </c>
      <c r="H15" s="63">
        <f>'FS Desroches Daily'!J17</f>
        <v>0</v>
      </c>
      <c r="I15" s="62">
        <f>'FS Desroches Daily'!L17</f>
        <v>0</v>
      </c>
      <c r="J15" s="63">
        <f>'FS Desroches Daily'!N17</f>
        <v>0</v>
      </c>
      <c r="K15" s="13">
        <f>'FS Desroches Daily'!P17</f>
        <v>0</v>
      </c>
      <c r="L15" s="62">
        <f>'FS Desroches Daily'!R17</f>
        <v>0</v>
      </c>
      <c r="M15" s="62">
        <f>'FS Desroches Daily'!T17</f>
        <v>0</v>
      </c>
      <c r="N15" s="62">
        <f>'FS Desroches Daily'!V17</f>
        <v>0</v>
      </c>
      <c r="O15" s="62">
        <f>'FS Desroches Daily'!X17</f>
        <v>0</v>
      </c>
      <c r="P15" s="62">
        <f>'FS Desroches Daily'!Z17</f>
        <v>0</v>
      </c>
      <c r="Q15" s="62">
        <f>'FS Desroches Daily'!AB17</f>
        <v>0</v>
      </c>
      <c r="R15" s="62">
        <f>'FS Desroches Daily'!AD17</f>
        <v>0</v>
      </c>
      <c r="S15" s="62">
        <f>'FS Desroches Daily'!AF17</f>
        <v>0</v>
      </c>
      <c r="T15" s="62">
        <f>'FS Desroches Daily'!AH17</f>
        <v>0</v>
      </c>
      <c r="U15" s="66">
        <f>'FS Desroches Daily'!AJ17</f>
        <v>0</v>
      </c>
      <c r="V15" s="66">
        <f>'FS Desroches Daily'!AL17</f>
        <v>0</v>
      </c>
      <c r="W15" s="66">
        <f>'FS Desroches Daily'!AN17</f>
        <v>0</v>
      </c>
      <c r="X15" s="66">
        <f>'FS Desroches Daily'!AP17</f>
        <v>0</v>
      </c>
      <c r="Y15" s="66">
        <f>'FS Desroches Daily'!AR17</f>
        <v>0</v>
      </c>
      <c r="Z15" s="66">
        <f>'FS Desroches Daily'!AT17</f>
        <v>0</v>
      </c>
      <c r="AA15" s="66">
        <f>'FS Desroches Daily'!AT17</f>
        <v>0</v>
      </c>
      <c r="AB15" s="66">
        <f>'FS Desroches Daily'!AV17</f>
        <v>0</v>
      </c>
      <c r="AC15" s="66">
        <f>'FS Desroches Daily'!AZ17</f>
        <v>0</v>
      </c>
      <c r="AD15" s="66">
        <f>'FS Desroches Daily'!BB17</f>
        <v>0</v>
      </c>
      <c r="AE15" s="66">
        <f>'FS Desroches Daily'!BD17</f>
        <v>0</v>
      </c>
      <c r="AF15" s="62">
        <f>'FS Desroches Daily'!BF17</f>
        <v>0</v>
      </c>
      <c r="AG15" s="63">
        <f>'FS Desroches Daily'!BH17</f>
        <v>0</v>
      </c>
      <c r="AH15" s="63">
        <f>'FS Desroches Daily'!BJ17</f>
        <v>0</v>
      </c>
      <c r="AI15" s="63">
        <f>'FS Desroches Daily'!BL17</f>
        <v>0</v>
      </c>
      <c r="AJ15" s="63">
        <f>'FS Desroches Daily'!BN17</f>
        <v>0</v>
      </c>
      <c r="AK15" s="63">
        <f>'FS Desroches Daily'!BP17</f>
        <v>0</v>
      </c>
      <c r="AL15" s="63">
        <f>'FS Desroches Daily'!BR17</f>
        <v>0</v>
      </c>
      <c r="AM15" s="63">
        <f>'FS Desroches Daily'!BT17</f>
        <v>0</v>
      </c>
      <c r="AN15" s="63">
        <f>'FS Desroches Daily'!BV17</f>
        <v>0</v>
      </c>
      <c r="AO15" s="63">
        <f>'FS Desroches Daily'!BX17</f>
        <v>0</v>
      </c>
      <c r="AP15" s="63">
        <f>'FS Desroches Daily'!BZ17</f>
        <v>0</v>
      </c>
      <c r="AQ15" s="62">
        <f>'FS Desroches Daily'!CB17</f>
        <v>0</v>
      </c>
      <c r="AR15" s="62">
        <f>'FS Desroches Daily'!CD17</f>
        <v>0</v>
      </c>
      <c r="AS15" s="62">
        <f>'FS Desroches Daily'!CF17</f>
        <v>0</v>
      </c>
      <c r="AT15" s="62">
        <f>'FS Desroches Daily'!CH17</f>
        <v>0</v>
      </c>
      <c r="AU15" s="62">
        <f>'FS Desroches Daily'!CJ17</f>
        <v>0</v>
      </c>
      <c r="AV15" s="62">
        <f>'FS Desroches Daily'!CL17</f>
        <v>0</v>
      </c>
      <c r="AW15" s="62">
        <f>'FS Desroches Daily'!CM17</f>
        <v>0</v>
      </c>
      <c r="AX15" s="62">
        <f>IF(LPG!F22-LPG!F21&lt;0,"0",(LPG!F22-LPG!F21)*1.8315)</f>
        <v>0</v>
      </c>
      <c r="AY15" s="62">
        <f>IF(LPG!H22-LPG!H21&lt;0,"0",(LPG!H22-LPG!H21)*1.8315)</f>
        <v>0</v>
      </c>
      <c r="AZ15" s="62">
        <f>IF(LPG!J22-LPG!J21&lt;0,"0",(LPG!J22-LPG!J21)*1.8315)</f>
        <v>0</v>
      </c>
      <c r="BA15" s="62">
        <f>IF(LPG!M22-LPG!M21&lt;0,"0",(LPG!M22-LPG!M21)*1.8315)</f>
        <v>0</v>
      </c>
      <c r="BB15" s="6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12</v>
      </c>
      <c r="D16" s="58">
        <v>2019</v>
      </c>
      <c r="E16" s="62">
        <f>'FS Desroches Daily'!D18</f>
        <v>0</v>
      </c>
      <c r="F16" s="63">
        <f>'FS Desroches Daily'!F18</f>
        <v>0</v>
      </c>
      <c r="G16" s="62">
        <f>'FS Desroches Daily'!H18</f>
        <v>0</v>
      </c>
      <c r="H16" s="63">
        <f>'FS Desroches Daily'!J18</f>
        <v>0</v>
      </c>
      <c r="I16" s="62">
        <f>'FS Desroches Daily'!L18</f>
        <v>0</v>
      </c>
      <c r="J16" s="63">
        <f>'FS Desroches Daily'!N18</f>
        <v>0</v>
      </c>
      <c r="K16" s="13">
        <f>'FS Desroches Daily'!P18</f>
        <v>0</v>
      </c>
      <c r="L16" s="62">
        <f>'FS Desroches Daily'!R18</f>
        <v>0</v>
      </c>
      <c r="M16" s="62">
        <f>'FS Desroches Daily'!T18</f>
        <v>0</v>
      </c>
      <c r="N16" s="62">
        <f>'FS Desroches Daily'!V18</f>
        <v>0</v>
      </c>
      <c r="O16" s="62">
        <f>'FS Desroches Daily'!X18</f>
        <v>0</v>
      </c>
      <c r="P16" s="62">
        <f>'FS Desroches Daily'!Z18</f>
        <v>0</v>
      </c>
      <c r="Q16" s="62">
        <f>'FS Desroches Daily'!AB18</f>
        <v>0</v>
      </c>
      <c r="R16" s="62">
        <f>'FS Desroches Daily'!AD18</f>
        <v>0</v>
      </c>
      <c r="S16" s="62">
        <f>'FS Desroches Daily'!AF18</f>
        <v>0</v>
      </c>
      <c r="T16" s="62">
        <f>'FS Desroches Daily'!AH18</f>
        <v>0</v>
      </c>
      <c r="U16" s="66">
        <f>'FS Desroches Daily'!AJ18</f>
        <v>0</v>
      </c>
      <c r="V16" s="66">
        <f>'FS Desroches Daily'!AL18</f>
        <v>0</v>
      </c>
      <c r="W16" s="66">
        <f>'FS Desroches Daily'!AN18</f>
        <v>0</v>
      </c>
      <c r="X16" s="66">
        <f>'FS Desroches Daily'!AP18</f>
        <v>0</v>
      </c>
      <c r="Y16" s="66">
        <f>'FS Desroches Daily'!AR18</f>
        <v>0</v>
      </c>
      <c r="Z16" s="66">
        <f>'FS Desroches Daily'!AT18</f>
        <v>0</v>
      </c>
      <c r="AA16" s="66">
        <f>'FS Desroches Daily'!AT18</f>
        <v>0</v>
      </c>
      <c r="AB16" s="66">
        <f>'FS Desroches Daily'!AV18</f>
        <v>0</v>
      </c>
      <c r="AC16" s="66">
        <f>'FS Desroches Daily'!AZ18</f>
        <v>0</v>
      </c>
      <c r="AD16" s="66">
        <f>'FS Desroches Daily'!BB18</f>
        <v>0</v>
      </c>
      <c r="AE16" s="66">
        <f>'FS Desroches Daily'!BD18</f>
        <v>0</v>
      </c>
      <c r="AF16" s="62">
        <f>'FS Desroches Daily'!BF18</f>
        <v>0</v>
      </c>
      <c r="AG16" s="63">
        <f>'FS Desroches Daily'!BH18</f>
        <v>0</v>
      </c>
      <c r="AH16" s="63">
        <f>'FS Desroches Daily'!BJ18</f>
        <v>0</v>
      </c>
      <c r="AI16" s="63">
        <f>'FS Desroches Daily'!BL18</f>
        <v>0</v>
      </c>
      <c r="AJ16" s="63">
        <f>'FS Desroches Daily'!BN18</f>
        <v>0</v>
      </c>
      <c r="AK16" s="63">
        <f>'FS Desroches Daily'!BP18</f>
        <v>0</v>
      </c>
      <c r="AL16" s="63">
        <f>'FS Desroches Daily'!BR18</f>
        <v>0</v>
      </c>
      <c r="AM16" s="63">
        <f>'FS Desroches Daily'!BT18</f>
        <v>0</v>
      </c>
      <c r="AN16" s="63">
        <f>'FS Desroches Daily'!BV18</f>
        <v>0</v>
      </c>
      <c r="AO16" s="63">
        <f>'FS Desroches Daily'!BX18</f>
        <v>0</v>
      </c>
      <c r="AP16" s="63">
        <f>'FS Desroches Daily'!BZ18</f>
        <v>0</v>
      </c>
      <c r="AQ16" s="62">
        <f>'FS Desroches Daily'!CB18</f>
        <v>0</v>
      </c>
      <c r="AR16" s="62">
        <f>'FS Desroches Daily'!CD18</f>
        <v>0</v>
      </c>
      <c r="AS16" s="62">
        <f>'FS Desroches Daily'!CF18</f>
        <v>0</v>
      </c>
      <c r="AT16" s="62">
        <f>'FS Desroches Daily'!CH18</f>
        <v>0</v>
      </c>
      <c r="AU16" s="62">
        <f>'FS Desroches Daily'!CJ18</f>
        <v>0</v>
      </c>
      <c r="AV16" s="62">
        <f>'FS Desroches Daily'!CL18</f>
        <v>0</v>
      </c>
      <c r="AW16" s="62">
        <f>'FS Desroches Daily'!CM18</f>
        <v>0</v>
      </c>
      <c r="AX16" s="62">
        <f>IF(LPG!F23-LPG!F22&lt;0,"0",(LPG!F23-LPG!F22)*1.8315)</f>
        <v>0</v>
      </c>
      <c r="AY16" s="62">
        <f>IF(LPG!H23-LPG!H22&lt;0,"0",(LPG!H23-LPG!H22)*1.8315)</f>
        <v>0</v>
      </c>
      <c r="AZ16" s="62">
        <f>IF(LPG!J23-LPG!J22&lt;0,"0",(LPG!J23-LPG!J22)*1.8315)</f>
        <v>0</v>
      </c>
      <c r="BA16" s="62">
        <f>IF(LPG!M23-LPG!M22&lt;0,"0",(LPG!M23-LPG!M22)*1.8315)</f>
        <v>0</v>
      </c>
      <c r="BB16" s="6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12</v>
      </c>
      <c r="D17" s="58">
        <v>2019</v>
      </c>
      <c r="E17" s="62">
        <f>'FS Desroches Daily'!D19</f>
        <v>0</v>
      </c>
      <c r="F17" s="63">
        <f>'FS Desroches Daily'!F19</f>
        <v>0</v>
      </c>
      <c r="G17" s="62">
        <f>'FS Desroches Daily'!H19</f>
        <v>0</v>
      </c>
      <c r="H17" s="63">
        <f>'FS Desroches Daily'!J19</f>
        <v>0</v>
      </c>
      <c r="I17" s="62">
        <f>'FS Desroches Daily'!L19</f>
        <v>0</v>
      </c>
      <c r="J17" s="63">
        <f>'FS Desroches Daily'!N19</f>
        <v>0</v>
      </c>
      <c r="K17" s="13">
        <f>'FS Desroches Daily'!P19</f>
        <v>0</v>
      </c>
      <c r="L17" s="62">
        <f>'FS Desroches Daily'!R19</f>
        <v>0</v>
      </c>
      <c r="M17" s="62">
        <f>'FS Desroches Daily'!T19</f>
        <v>0</v>
      </c>
      <c r="N17" s="62">
        <f>'FS Desroches Daily'!V19</f>
        <v>0</v>
      </c>
      <c r="O17" s="62">
        <f>'FS Desroches Daily'!X19</f>
        <v>0</v>
      </c>
      <c r="P17" s="62">
        <f>'FS Desroches Daily'!Z19</f>
        <v>0</v>
      </c>
      <c r="Q17" s="62">
        <f>'FS Desroches Daily'!AB19</f>
        <v>0</v>
      </c>
      <c r="R17" s="62">
        <f>'FS Desroches Daily'!AD19</f>
        <v>0</v>
      </c>
      <c r="S17" s="62">
        <f>'FS Desroches Daily'!AF19</f>
        <v>0</v>
      </c>
      <c r="T17" s="62">
        <f>'FS Desroches Daily'!AH19</f>
        <v>0</v>
      </c>
      <c r="U17" s="66">
        <f>'FS Desroches Daily'!AJ19</f>
        <v>0</v>
      </c>
      <c r="V17" s="66">
        <f>'FS Desroches Daily'!AL19</f>
        <v>0</v>
      </c>
      <c r="W17" s="66">
        <f>'FS Desroches Daily'!AN19</f>
        <v>0</v>
      </c>
      <c r="X17" s="66">
        <f>'FS Desroches Daily'!AP19</f>
        <v>0</v>
      </c>
      <c r="Y17" s="66">
        <f>'FS Desroches Daily'!AR19</f>
        <v>0</v>
      </c>
      <c r="Z17" s="66">
        <f>'FS Desroches Daily'!AT19</f>
        <v>0</v>
      </c>
      <c r="AA17" s="66">
        <f>'FS Desroches Daily'!AT19</f>
        <v>0</v>
      </c>
      <c r="AB17" s="66">
        <f>'FS Desroches Daily'!AV19</f>
        <v>0</v>
      </c>
      <c r="AC17" s="66">
        <f>'FS Desroches Daily'!AZ19</f>
        <v>0</v>
      </c>
      <c r="AD17" s="66">
        <f>'FS Desroches Daily'!BB19</f>
        <v>0</v>
      </c>
      <c r="AE17" s="66">
        <f>'FS Desroches Daily'!BD19</f>
        <v>0</v>
      </c>
      <c r="AF17" s="62">
        <f>'FS Desroches Daily'!BF19</f>
        <v>0</v>
      </c>
      <c r="AG17" s="63">
        <f>'FS Desroches Daily'!BH19</f>
        <v>0</v>
      </c>
      <c r="AH17" s="63">
        <f>'FS Desroches Daily'!BJ19</f>
        <v>0</v>
      </c>
      <c r="AI17" s="63">
        <f>'FS Desroches Daily'!BL19</f>
        <v>0</v>
      </c>
      <c r="AJ17" s="63">
        <f>'FS Desroches Daily'!BN19</f>
        <v>0</v>
      </c>
      <c r="AK17" s="63">
        <f>'FS Desroches Daily'!BP19</f>
        <v>0</v>
      </c>
      <c r="AL17" s="63">
        <f>'FS Desroches Daily'!BR19</f>
        <v>0</v>
      </c>
      <c r="AM17" s="63">
        <f>'FS Desroches Daily'!BT19</f>
        <v>0</v>
      </c>
      <c r="AN17" s="63">
        <f>'FS Desroches Daily'!BV19</f>
        <v>0</v>
      </c>
      <c r="AO17" s="63">
        <f>'FS Desroches Daily'!BX19</f>
        <v>0</v>
      </c>
      <c r="AP17" s="63">
        <f>'FS Desroches Daily'!BZ19</f>
        <v>0</v>
      </c>
      <c r="AQ17" s="62">
        <f>'FS Desroches Daily'!CB19</f>
        <v>0</v>
      </c>
      <c r="AR17" s="62">
        <f>'FS Desroches Daily'!CD19</f>
        <v>0</v>
      </c>
      <c r="AS17" s="62">
        <f>'FS Desroches Daily'!CF19</f>
        <v>0</v>
      </c>
      <c r="AT17" s="62">
        <f>'FS Desroches Daily'!CH19</f>
        <v>0</v>
      </c>
      <c r="AU17" s="62">
        <f>'FS Desroches Daily'!CJ19</f>
        <v>0</v>
      </c>
      <c r="AV17" s="62">
        <f>'FS Desroches Daily'!CL19</f>
        <v>0</v>
      </c>
      <c r="AW17" s="62">
        <f>'FS Desroches Daily'!CM19</f>
        <v>0</v>
      </c>
      <c r="AX17" s="62">
        <f>IF(LPG!F24-LPG!F23&lt;0,"0",(LPG!F24-LPG!F23)*1.8315)</f>
        <v>0</v>
      </c>
      <c r="AY17" s="62">
        <f>IF(LPG!H24-LPG!H23&lt;0,"0",(LPG!H24-LPG!H23)*1.8315)</f>
        <v>0</v>
      </c>
      <c r="AZ17" s="62">
        <f>IF(LPG!J24-LPG!J23&lt;0,"0",(LPG!J24-LPG!J23)*1.8315)</f>
        <v>0</v>
      </c>
      <c r="BA17" s="62">
        <f>IF(LPG!M24-LPG!M23&lt;0,"0",(LPG!M24-LPG!M23)*1.8315)</f>
        <v>0</v>
      </c>
      <c r="BB17" s="6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12</v>
      </c>
      <c r="D18" s="58">
        <v>2019</v>
      </c>
      <c r="E18" s="62">
        <f>'FS Desroches Daily'!D20</f>
        <v>0</v>
      </c>
      <c r="F18" s="63">
        <f>'FS Desroches Daily'!F20</f>
        <v>0</v>
      </c>
      <c r="G18" s="62">
        <f>'FS Desroches Daily'!H20</f>
        <v>0</v>
      </c>
      <c r="H18" s="63">
        <f>'FS Desroches Daily'!J20</f>
        <v>0</v>
      </c>
      <c r="I18" s="62">
        <f>'FS Desroches Daily'!L20</f>
        <v>0</v>
      </c>
      <c r="J18" s="63">
        <f>'FS Desroches Daily'!N20</f>
        <v>0</v>
      </c>
      <c r="K18" s="13">
        <f>'FS Desroches Daily'!P20</f>
        <v>0</v>
      </c>
      <c r="L18" s="62">
        <f>'FS Desroches Daily'!R20</f>
        <v>0</v>
      </c>
      <c r="M18" s="62">
        <f>'FS Desroches Daily'!T20</f>
        <v>0</v>
      </c>
      <c r="N18" s="62">
        <f>'FS Desroches Daily'!V20</f>
        <v>0</v>
      </c>
      <c r="O18" s="62">
        <f>'FS Desroches Daily'!X20</f>
        <v>0</v>
      </c>
      <c r="P18" s="62">
        <f>'FS Desroches Daily'!Z20</f>
        <v>0</v>
      </c>
      <c r="Q18" s="62">
        <f>'FS Desroches Daily'!AB20</f>
        <v>0</v>
      </c>
      <c r="R18" s="62">
        <f>'FS Desroches Daily'!AD20</f>
        <v>0</v>
      </c>
      <c r="S18" s="62">
        <f>'FS Desroches Daily'!AF20</f>
        <v>0</v>
      </c>
      <c r="T18" s="62">
        <f>'FS Desroches Daily'!AH20</f>
        <v>0</v>
      </c>
      <c r="U18" s="66">
        <f>'FS Desroches Daily'!AJ20</f>
        <v>0</v>
      </c>
      <c r="V18" s="66">
        <f>'FS Desroches Daily'!AL20</f>
        <v>0</v>
      </c>
      <c r="W18" s="66">
        <f>'FS Desroches Daily'!AN20</f>
        <v>0</v>
      </c>
      <c r="X18" s="66">
        <f>'FS Desroches Daily'!AP20</f>
        <v>0</v>
      </c>
      <c r="Y18" s="66">
        <f>'FS Desroches Daily'!AR20</f>
        <v>0</v>
      </c>
      <c r="Z18" s="66">
        <f>'FS Desroches Daily'!AT20</f>
        <v>0</v>
      </c>
      <c r="AA18" s="66">
        <f>'FS Desroches Daily'!AT20</f>
        <v>0</v>
      </c>
      <c r="AB18" s="66">
        <f>'FS Desroches Daily'!AV20</f>
        <v>0</v>
      </c>
      <c r="AC18" s="66">
        <f>'FS Desroches Daily'!AZ20</f>
        <v>0</v>
      </c>
      <c r="AD18" s="66">
        <f>'FS Desroches Daily'!BB20</f>
        <v>0</v>
      </c>
      <c r="AE18" s="66">
        <f>'FS Desroches Daily'!BD20</f>
        <v>0</v>
      </c>
      <c r="AF18" s="62">
        <f>'FS Desroches Daily'!BF20</f>
        <v>0</v>
      </c>
      <c r="AG18" s="63">
        <f>'FS Desroches Daily'!BH20</f>
        <v>0</v>
      </c>
      <c r="AH18" s="63">
        <f>'FS Desroches Daily'!BJ20</f>
        <v>0</v>
      </c>
      <c r="AI18" s="63">
        <f>'FS Desroches Daily'!BL20</f>
        <v>0</v>
      </c>
      <c r="AJ18" s="63">
        <f>'FS Desroches Daily'!BN20</f>
        <v>0</v>
      </c>
      <c r="AK18" s="63">
        <f>'FS Desroches Daily'!BP20</f>
        <v>0</v>
      </c>
      <c r="AL18" s="63">
        <f>'FS Desroches Daily'!BR20</f>
        <v>0</v>
      </c>
      <c r="AM18" s="63">
        <f>'FS Desroches Daily'!BT20</f>
        <v>0</v>
      </c>
      <c r="AN18" s="63">
        <f>'FS Desroches Daily'!BV20</f>
        <v>0</v>
      </c>
      <c r="AO18" s="63">
        <f>'FS Desroches Daily'!BX20</f>
        <v>0</v>
      </c>
      <c r="AP18" s="63">
        <f>'FS Desroches Daily'!BZ20</f>
        <v>0</v>
      </c>
      <c r="AQ18" s="62">
        <f>'FS Desroches Daily'!CB20</f>
        <v>0</v>
      </c>
      <c r="AR18" s="62">
        <f>'FS Desroches Daily'!CD20</f>
        <v>0</v>
      </c>
      <c r="AS18" s="62">
        <f>'FS Desroches Daily'!CF20</f>
        <v>0</v>
      </c>
      <c r="AT18" s="62">
        <f>'FS Desroches Daily'!CH20</f>
        <v>0</v>
      </c>
      <c r="AU18" s="62">
        <f>'FS Desroches Daily'!CJ20</f>
        <v>0</v>
      </c>
      <c r="AV18" s="62">
        <f>'FS Desroches Daily'!CL20</f>
        <v>0</v>
      </c>
      <c r="AW18" s="62">
        <f>'FS Desroches Daily'!CM20</f>
        <v>0</v>
      </c>
      <c r="AX18" s="62">
        <f>IF(LPG!F25-LPG!F24&lt;0,"0",(LPG!F25-LPG!F24)*1.8315)</f>
        <v>0</v>
      </c>
      <c r="AY18" s="62">
        <f>IF(LPG!H25-LPG!H24&lt;0,"0",(LPG!H25-LPG!H24)*1.8315)</f>
        <v>0</v>
      </c>
      <c r="AZ18" s="62">
        <f>IF(LPG!J25-LPG!J24&lt;0,"0",(LPG!J25-LPG!J24)*1.8315)</f>
        <v>0</v>
      </c>
      <c r="BA18" s="62">
        <f>IF(LPG!M25-LPG!M24&lt;0,"0",(LPG!M25-LPG!M24)*1.8315)</f>
        <v>0</v>
      </c>
      <c r="BB18" s="6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12</v>
      </c>
      <c r="D19" s="58">
        <v>2019</v>
      </c>
      <c r="E19" s="62">
        <f>'FS Desroches Daily'!D21</f>
        <v>0</v>
      </c>
      <c r="F19" s="63">
        <f>'FS Desroches Daily'!F21</f>
        <v>0</v>
      </c>
      <c r="G19" s="62">
        <f>'FS Desroches Daily'!H21</f>
        <v>0</v>
      </c>
      <c r="H19" s="63">
        <f>'FS Desroches Daily'!J21</f>
        <v>0</v>
      </c>
      <c r="I19" s="62">
        <f>'FS Desroches Daily'!L21</f>
        <v>0</v>
      </c>
      <c r="J19" s="63">
        <f>'FS Desroches Daily'!N21</f>
        <v>0</v>
      </c>
      <c r="K19" s="13">
        <f>'FS Desroches Daily'!P21</f>
        <v>0</v>
      </c>
      <c r="L19" s="62">
        <f>'FS Desroches Daily'!R21</f>
        <v>0</v>
      </c>
      <c r="M19" s="62">
        <f>'FS Desroches Daily'!T21</f>
        <v>0</v>
      </c>
      <c r="N19" s="62">
        <f>'FS Desroches Daily'!V21</f>
        <v>0</v>
      </c>
      <c r="O19" s="62">
        <f>'FS Desroches Daily'!X21</f>
        <v>0</v>
      </c>
      <c r="P19" s="62">
        <f>'FS Desroches Daily'!Z21</f>
        <v>0</v>
      </c>
      <c r="Q19" s="62">
        <f>'FS Desroches Daily'!AB21</f>
        <v>0</v>
      </c>
      <c r="R19" s="62">
        <f>'FS Desroches Daily'!AD21</f>
        <v>0</v>
      </c>
      <c r="S19" s="62">
        <f>'FS Desroches Daily'!AF21</f>
        <v>0</v>
      </c>
      <c r="T19" s="62">
        <f>'FS Desroches Daily'!AH21</f>
        <v>0</v>
      </c>
      <c r="U19" s="66">
        <f>'FS Desroches Daily'!AJ21</f>
        <v>0</v>
      </c>
      <c r="V19" s="66">
        <f>'FS Desroches Daily'!AL21</f>
        <v>0</v>
      </c>
      <c r="W19" s="66">
        <f>'FS Desroches Daily'!AN21</f>
        <v>0</v>
      </c>
      <c r="X19" s="66">
        <f>'FS Desroches Daily'!AP21</f>
        <v>0</v>
      </c>
      <c r="Y19" s="66">
        <f>'FS Desroches Daily'!AR21</f>
        <v>0</v>
      </c>
      <c r="Z19" s="66">
        <f>'FS Desroches Daily'!AT21</f>
        <v>0</v>
      </c>
      <c r="AA19" s="66">
        <f>'FS Desroches Daily'!AT21</f>
        <v>0</v>
      </c>
      <c r="AB19" s="66">
        <f>'FS Desroches Daily'!AV21</f>
        <v>0</v>
      </c>
      <c r="AC19" s="66">
        <f>'FS Desroches Daily'!AZ21</f>
        <v>0</v>
      </c>
      <c r="AD19" s="66">
        <f>'FS Desroches Daily'!BB21</f>
        <v>0</v>
      </c>
      <c r="AE19" s="66">
        <f>'FS Desroches Daily'!BD21</f>
        <v>0</v>
      </c>
      <c r="AF19" s="62">
        <f>'FS Desroches Daily'!BF21</f>
        <v>0</v>
      </c>
      <c r="AG19" s="63">
        <f>'FS Desroches Daily'!BH21</f>
        <v>0</v>
      </c>
      <c r="AH19" s="63">
        <f>'FS Desroches Daily'!BJ21</f>
        <v>0</v>
      </c>
      <c r="AI19" s="63">
        <f>'FS Desroches Daily'!BL21</f>
        <v>0</v>
      </c>
      <c r="AJ19" s="63">
        <f>'FS Desroches Daily'!BN21</f>
        <v>0</v>
      </c>
      <c r="AK19" s="63">
        <f>'FS Desroches Daily'!BP21</f>
        <v>0</v>
      </c>
      <c r="AL19" s="63">
        <f>'FS Desroches Daily'!BR21</f>
        <v>0</v>
      </c>
      <c r="AM19" s="63">
        <f>'FS Desroches Daily'!BT21</f>
        <v>0</v>
      </c>
      <c r="AN19" s="63">
        <f>'FS Desroches Daily'!BV21</f>
        <v>0</v>
      </c>
      <c r="AO19" s="63">
        <f>'FS Desroches Daily'!BX21</f>
        <v>0</v>
      </c>
      <c r="AP19" s="63">
        <f>'FS Desroches Daily'!BZ21</f>
        <v>0</v>
      </c>
      <c r="AQ19" s="62">
        <f>'FS Desroches Daily'!CB21</f>
        <v>0</v>
      </c>
      <c r="AR19" s="62">
        <f>'FS Desroches Daily'!CD21</f>
        <v>0</v>
      </c>
      <c r="AS19" s="62">
        <f>'FS Desroches Daily'!CF21</f>
        <v>0</v>
      </c>
      <c r="AT19" s="62">
        <f>'FS Desroches Daily'!CH21</f>
        <v>0</v>
      </c>
      <c r="AU19" s="62">
        <f>'FS Desroches Daily'!CJ21</f>
        <v>0</v>
      </c>
      <c r="AV19" s="62">
        <f>'FS Desroches Daily'!CL21</f>
        <v>0</v>
      </c>
      <c r="AW19" s="62">
        <f>'FS Desroches Daily'!CM21</f>
        <v>0</v>
      </c>
      <c r="AX19" s="62">
        <f>IF(LPG!F26-LPG!F25&lt;0,"0",(LPG!F26-LPG!F25)*1.8315)</f>
        <v>0</v>
      </c>
      <c r="AY19" s="62">
        <f>IF(LPG!H26-LPG!H25&lt;0,"0",(LPG!H26-LPG!H25)*1.8315)</f>
        <v>0</v>
      </c>
      <c r="AZ19" s="62">
        <f>IF(LPG!J26-LPG!J25&lt;0,"0",(LPG!J26-LPG!J25)*1.8315)</f>
        <v>0</v>
      </c>
      <c r="BA19" s="62">
        <f>IF(LPG!M26-LPG!M25&lt;0,"0",(LPG!M26-LPG!M25)*1.8315)</f>
        <v>0</v>
      </c>
      <c r="BB19" s="6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12</v>
      </c>
      <c r="D20" s="58">
        <v>2019</v>
      </c>
      <c r="E20" s="62">
        <f>'FS Desroches Daily'!D22</f>
        <v>0</v>
      </c>
      <c r="F20" s="63">
        <f>'FS Desroches Daily'!F22</f>
        <v>0</v>
      </c>
      <c r="G20" s="62">
        <f>'FS Desroches Daily'!H22</f>
        <v>0</v>
      </c>
      <c r="H20" s="63">
        <f>'FS Desroches Daily'!J22</f>
        <v>0</v>
      </c>
      <c r="I20" s="62">
        <f>'FS Desroches Daily'!L22</f>
        <v>0</v>
      </c>
      <c r="J20" s="63">
        <f>'FS Desroches Daily'!N22</f>
        <v>0</v>
      </c>
      <c r="K20" s="13">
        <f>'FS Desroches Daily'!P22</f>
        <v>0</v>
      </c>
      <c r="L20" s="62">
        <f>'FS Desroches Daily'!R22</f>
        <v>0</v>
      </c>
      <c r="M20" s="62">
        <f>'FS Desroches Daily'!T22</f>
        <v>0</v>
      </c>
      <c r="N20" s="62">
        <f>'FS Desroches Daily'!V22</f>
        <v>0</v>
      </c>
      <c r="O20" s="62">
        <f>'FS Desroches Daily'!X22</f>
        <v>0</v>
      </c>
      <c r="P20" s="62">
        <f>'FS Desroches Daily'!Z22</f>
        <v>0</v>
      </c>
      <c r="Q20" s="62">
        <f>'FS Desroches Daily'!AB22</f>
        <v>0</v>
      </c>
      <c r="R20" s="62">
        <f>'FS Desroches Daily'!AD22</f>
        <v>0</v>
      </c>
      <c r="S20" s="62">
        <f>'FS Desroches Daily'!AF22</f>
        <v>0</v>
      </c>
      <c r="T20" s="62">
        <f>'FS Desroches Daily'!AH22</f>
        <v>0</v>
      </c>
      <c r="U20" s="66">
        <f>'FS Desroches Daily'!AJ22</f>
        <v>0</v>
      </c>
      <c r="V20" s="66">
        <f>'FS Desroches Daily'!AL22</f>
        <v>0</v>
      </c>
      <c r="W20" s="66">
        <f>'FS Desroches Daily'!AN22</f>
        <v>0</v>
      </c>
      <c r="X20" s="66">
        <f>'FS Desroches Daily'!AP22</f>
        <v>0</v>
      </c>
      <c r="Y20" s="66">
        <f>'FS Desroches Daily'!AR22</f>
        <v>0</v>
      </c>
      <c r="Z20" s="66">
        <f>'FS Desroches Daily'!AT22</f>
        <v>0</v>
      </c>
      <c r="AA20" s="66">
        <f>'FS Desroches Daily'!AT22</f>
        <v>0</v>
      </c>
      <c r="AB20" s="66">
        <f>'FS Desroches Daily'!AV22</f>
        <v>0</v>
      </c>
      <c r="AC20" s="66">
        <f>'FS Desroches Daily'!AZ22</f>
        <v>0</v>
      </c>
      <c r="AD20" s="66">
        <f>'FS Desroches Daily'!BB22</f>
        <v>0</v>
      </c>
      <c r="AE20" s="66">
        <f>'FS Desroches Daily'!BD22</f>
        <v>0</v>
      </c>
      <c r="AF20" s="62">
        <f>'FS Desroches Daily'!BF22</f>
        <v>0</v>
      </c>
      <c r="AG20" s="63">
        <f>'FS Desroches Daily'!BH22</f>
        <v>0</v>
      </c>
      <c r="AH20" s="63">
        <f>'FS Desroches Daily'!BJ22</f>
        <v>0</v>
      </c>
      <c r="AI20" s="63">
        <f>'FS Desroches Daily'!BL22</f>
        <v>0</v>
      </c>
      <c r="AJ20" s="63">
        <f>'FS Desroches Daily'!BN22</f>
        <v>0</v>
      </c>
      <c r="AK20" s="63">
        <f>'FS Desroches Daily'!BP22</f>
        <v>0</v>
      </c>
      <c r="AL20" s="63">
        <f>'FS Desroches Daily'!BR22</f>
        <v>0</v>
      </c>
      <c r="AM20" s="63">
        <f>'FS Desroches Daily'!BT22</f>
        <v>0</v>
      </c>
      <c r="AN20" s="63">
        <f>'FS Desroches Daily'!BV22</f>
        <v>0</v>
      </c>
      <c r="AO20" s="63">
        <f>'FS Desroches Daily'!BX22</f>
        <v>0</v>
      </c>
      <c r="AP20" s="63">
        <f>'FS Desroches Daily'!BZ22</f>
        <v>0</v>
      </c>
      <c r="AQ20" s="62">
        <f>'FS Desroches Daily'!CB22</f>
        <v>0</v>
      </c>
      <c r="AR20" s="62">
        <f>'FS Desroches Daily'!CD22</f>
        <v>0</v>
      </c>
      <c r="AS20" s="62">
        <f>'FS Desroches Daily'!CF22</f>
        <v>0</v>
      </c>
      <c r="AT20" s="62">
        <f>'FS Desroches Daily'!CH22</f>
        <v>0</v>
      </c>
      <c r="AU20" s="62">
        <f>'FS Desroches Daily'!CJ22</f>
        <v>0</v>
      </c>
      <c r="AV20" s="62">
        <f>'FS Desroches Daily'!CL22</f>
        <v>0</v>
      </c>
      <c r="AW20" s="62">
        <f>'FS Desroches Daily'!CM22</f>
        <v>0</v>
      </c>
      <c r="AX20" s="62">
        <f>IF(LPG!F27-LPG!F26&lt;0,"0",(LPG!F27-LPG!F26)*1.8315)</f>
        <v>0</v>
      </c>
      <c r="AY20" s="62">
        <f>IF(LPG!H27-LPG!H26&lt;0,"0",(LPG!H27-LPG!H26)*1.8315)</f>
        <v>0</v>
      </c>
      <c r="AZ20" s="62">
        <f>IF(LPG!J27-LPG!J26&lt;0,"0",(LPG!J27-LPG!J26)*1.8315)</f>
        <v>0</v>
      </c>
      <c r="BA20" s="62">
        <f>IF(LPG!M27-LPG!M26&lt;0,"0",(LPG!M27-LPG!M26)*1.8315)</f>
        <v>0</v>
      </c>
      <c r="BB20" s="6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12</v>
      </c>
      <c r="D21" s="58">
        <v>2019</v>
      </c>
      <c r="E21" s="62">
        <f>'FS Desroches Daily'!D23</f>
        <v>0</v>
      </c>
      <c r="F21" s="63">
        <f>'FS Desroches Daily'!F23</f>
        <v>0</v>
      </c>
      <c r="G21" s="62">
        <f>'FS Desroches Daily'!H23</f>
        <v>0</v>
      </c>
      <c r="H21" s="63">
        <f>'FS Desroches Daily'!J23</f>
        <v>0</v>
      </c>
      <c r="I21" s="62">
        <f>'FS Desroches Daily'!L23</f>
        <v>0</v>
      </c>
      <c r="J21" s="63">
        <f>'FS Desroches Daily'!N23</f>
        <v>0</v>
      </c>
      <c r="K21" s="13">
        <f>'FS Desroches Daily'!P23</f>
        <v>0</v>
      </c>
      <c r="L21" s="62">
        <f>'FS Desroches Daily'!R23</f>
        <v>0</v>
      </c>
      <c r="M21" s="62">
        <f>'FS Desroches Daily'!T23</f>
        <v>0</v>
      </c>
      <c r="N21" s="62">
        <f>'FS Desroches Daily'!V23</f>
        <v>0</v>
      </c>
      <c r="O21" s="62">
        <f>'FS Desroches Daily'!X23</f>
        <v>0</v>
      </c>
      <c r="P21" s="62">
        <f>'FS Desroches Daily'!Z23</f>
        <v>0</v>
      </c>
      <c r="Q21" s="62">
        <f>'FS Desroches Daily'!AB23</f>
        <v>0</v>
      </c>
      <c r="R21" s="62">
        <f>'FS Desroches Daily'!AD23</f>
        <v>0</v>
      </c>
      <c r="S21" s="62">
        <f>'FS Desroches Daily'!AF23</f>
        <v>0</v>
      </c>
      <c r="T21" s="62">
        <f>'FS Desroches Daily'!AH23</f>
        <v>0</v>
      </c>
      <c r="U21" s="66">
        <f>'FS Desroches Daily'!AJ23</f>
        <v>0</v>
      </c>
      <c r="V21" s="66">
        <f>'FS Desroches Daily'!AL23</f>
        <v>0</v>
      </c>
      <c r="W21" s="66">
        <f>'FS Desroches Daily'!AN23</f>
        <v>0</v>
      </c>
      <c r="X21" s="66">
        <f>'FS Desroches Daily'!AP23</f>
        <v>0</v>
      </c>
      <c r="Y21" s="66">
        <f>'FS Desroches Daily'!AR23</f>
        <v>0</v>
      </c>
      <c r="Z21" s="66">
        <f>'FS Desroches Daily'!AT23</f>
        <v>0</v>
      </c>
      <c r="AA21" s="66">
        <f>'FS Desroches Daily'!AT23</f>
        <v>0</v>
      </c>
      <c r="AB21" s="66">
        <f>'FS Desroches Daily'!AV23</f>
        <v>0</v>
      </c>
      <c r="AC21" s="66">
        <f>'FS Desroches Daily'!AZ23</f>
        <v>0</v>
      </c>
      <c r="AD21" s="66">
        <f>'FS Desroches Daily'!BB23</f>
        <v>0</v>
      </c>
      <c r="AE21" s="66">
        <f>'FS Desroches Daily'!BD23</f>
        <v>0</v>
      </c>
      <c r="AF21" s="62">
        <f>'FS Desroches Daily'!BF23</f>
        <v>0</v>
      </c>
      <c r="AG21" s="63">
        <f>'FS Desroches Daily'!BH23</f>
        <v>0</v>
      </c>
      <c r="AH21" s="63">
        <f>'FS Desroches Daily'!BJ23</f>
        <v>0</v>
      </c>
      <c r="AI21" s="63">
        <f>'FS Desroches Daily'!BL23</f>
        <v>0</v>
      </c>
      <c r="AJ21" s="63">
        <f>'FS Desroches Daily'!BN23</f>
        <v>0</v>
      </c>
      <c r="AK21" s="63">
        <f>'FS Desroches Daily'!BP23</f>
        <v>0</v>
      </c>
      <c r="AL21" s="63">
        <f>'FS Desroches Daily'!BR23</f>
        <v>0</v>
      </c>
      <c r="AM21" s="63">
        <f>'FS Desroches Daily'!BT23</f>
        <v>0</v>
      </c>
      <c r="AN21" s="63">
        <f>'FS Desroches Daily'!BV23</f>
        <v>0</v>
      </c>
      <c r="AO21" s="63">
        <f>'FS Desroches Daily'!BX23</f>
        <v>0</v>
      </c>
      <c r="AP21" s="63">
        <f>'FS Desroches Daily'!BZ23</f>
        <v>0</v>
      </c>
      <c r="AQ21" s="62">
        <f>'FS Desroches Daily'!CB23</f>
        <v>0</v>
      </c>
      <c r="AR21" s="62">
        <f>'FS Desroches Daily'!CD23</f>
        <v>0</v>
      </c>
      <c r="AS21" s="62">
        <f>'FS Desroches Daily'!CF23</f>
        <v>0</v>
      </c>
      <c r="AT21" s="62">
        <f>'FS Desroches Daily'!CH23</f>
        <v>0</v>
      </c>
      <c r="AU21" s="62">
        <f>'FS Desroches Daily'!CJ23</f>
        <v>0</v>
      </c>
      <c r="AV21" s="62">
        <f>'FS Desroches Daily'!CL23</f>
        <v>0</v>
      </c>
      <c r="AW21" s="62">
        <f>'FS Desroches Daily'!CM23</f>
        <v>0</v>
      </c>
      <c r="AX21" s="62">
        <f>IF(LPG!F28-LPG!F27&lt;0,"0",(LPG!F28-LPG!F27)*1.8315)</f>
        <v>0</v>
      </c>
      <c r="AY21" s="62">
        <f>IF(LPG!H28-LPG!H27&lt;0,"0",(LPG!H28-LPG!H27)*1.8315)</f>
        <v>0</v>
      </c>
      <c r="AZ21" s="62">
        <f>IF(LPG!J28-LPG!J27&lt;0,"0",(LPG!J28-LPG!J27)*1.8315)</f>
        <v>0</v>
      </c>
      <c r="BA21" s="62">
        <f>IF(LPG!M28-LPG!M27&lt;0,"0",(LPG!M28-LPG!M27)*1.8315)</f>
        <v>0</v>
      </c>
      <c r="BB21" s="6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12</v>
      </c>
      <c r="D22" s="58">
        <v>2019</v>
      </c>
      <c r="E22" s="62">
        <f>'FS Desroches Daily'!D24</f>
        <v>0</v>
      </c>
      <c r="F22" s="63">
        <f>'FS Desroches Daily'!F24</f>
        <v>0</v>
      </c>
      <c r="G22" s="62">
        <f>'FS Desroches Daily'!H24</f>
        <v>0</v>
      </c>
      <c r="H22" s="63">
        <f>'FS Desroches Daily'!J24</f>
        <v>0</v>
      </c>
      <c r="I22" s="62">
        <f>'FS Desroches Daily'!L24</f>
        <v>0</v>
      </c>
      <c r="J22" s="63">
        <f>'FS Desroches Daily'!N24</f>
        <v>0</v>
      </c>
      <c r="K22" s="13">
        <f>'FS Desroches Daily'!P24</f>
        <v>0</v>
      </c>
      <c r="L22" s="62">
        <f>'FS Desroches Daily'!R24</f>
        <v>0</v>
      </c>
      <c r="M22" s="62">
        <f>'FS Desroches Daily'!T24</f>
        <v>0</v>
      </c>
      <c r="N22" s="62">
        <f>'FS Desroches Daily'!V24</f>
        <v>0</v>
      </c>
      <c r="O22" s="62">
        <f>'FS Desroches Daily'!X24</f>
        <v>0</v>
      </c>
      <c r="P22" s="62">
        <f>'FS Desroches Daily'!Z24</f>
        <v>0</v>
      </c>
      <c r="Q22" s="62">
        <f>'FS Desroches Daily'!AB24</f>
        <v>0</v>
      </c>
      <c r="R22" s="62">
        <f>'FS Desroches Daily'!AD24</f>
        <v>0</v>
      </c>
      <c r="S22" s="62">
        <f>'FS Desroches Daily'!AF24</f>
        <v>0</v>
      </c>
      <c r="T22" s="62">
        <f>'FS Desroches Daily'!AH24</f>
        <v>0</v>
      </c>
      <c r="U22" s="66">
        <f>'FS Desroches Daily'!AJ24</f>
        <v>0</v>
      </c>
      <c r="V22" s="66">
        <f>'FS Desroches Daily'!AL24</f>
        <v>0</v>
      </c>
      <c r="W22" s="66">
        <f>'FS Desroches Daily'!AN24</f>
        <v>0</v>
      </c>
      <c r="X22" s="66">
        <f>'FS Desroches Daily'!AP24</f>
        <v>0</v>
      </c>
      <c r="Y22" s="66">
        <f>'FS Desroches Daily'!AR24</f>
        <v>0</v>
      </c>
      <c r="Z22" s="66">
        <f>'FS Desroches Daily'!AT24</f>
        <v>0</v>
      </c>
      <c r="AA22" s="66">
        <f>'FS Desroches Daily'!AT24</f>
        <v>0</v>
      </c>
      <c r="AB22" s="66">
        <f>'FS Desroches Daily'!AV24</f>
        <v>0</v>
      </c>
      <c r="AC22" s="66">
        <f>'FS Desroches Daily'!AZ24</f>
        <v>0</v>
      </c>
      <c r="AD22" s="66">
        <f>'FS Desroches Daily'!BB24</f>
        <v>0</v>
      </c>
      <c r="AE22" s="66">
        <f>'FS Desroches Daily'!BD24</f>
        <v>0</v>
      </c>
      <c r="AF22" s="62">
        <f>'FS Desroches Daily'!BF24</f>
        <v>0</v>
      </c>
      <c r="AG22" s="63">
        <f>'FS Desroches Daily'!BH24</f>
        <v>0</v>
      </c>
      <c r="AH22" s="63">
        <f>'FS Desroches Daily'!BJ24</f>
        <v>0</v>
      </c>
      <c r="AI22" s="63">
        <f>'FS Desroches Daily'!BL24</f>
        <v>0</v>
      </c>
      <c r="AJ22" s="63">
        <f>'FS Desroches Daily'!BN24</f>
        <v>0</v>
      </c>
      <c r="AK22" s="63">
        <f>'FS Desroches Daily'!BP24</f>
        <v>0</v>
      </c>
      <c r="AL22" s="63">
        <f>'FS Desroches Daily'!BR24</f>
        <v>0</v>
      </c>
      <c r="AM22" s="63">
        <f>'FS Desroches Daily'!BT24</f>
        <v>0</v>
      </c>
      <c r="AN22" s="63">
        <f>'FS Desroches Daily'!BV24</f>
        <v>0</v>
      </c>
      <c r="AO22" s="63">
        <f>'FS Desroches Daily'!BX24</f>
        <v>0</v>
      </c>
      <c r="AP22" s="63">
        <f>'FS Desroches Daily'!BZ24</f>
        <v>0</v>
      </c>
      <c r="AQ22" s="62">
        <f>'FS Desroches Daily'!CB24</f>
        <v>0</v>
      </c>
      <c r="AR22" s="62">
        <f>'FS Desroches Daily'!CD24</f>
        <v>0</v>
      </c>
      <c r="AS22" s="62">
        <f>'FS Desroches Daily'!CF24</f>
        <v>0</v>
      </c>
      <c r="AT22" s="62">
        <f>'FS Desroches Daily'!CH24</f>
        <v>0</v>
      </c>
      <c r="AU22" s="62">
        <f>'FS Desroches Daily'!CJ24</f>
        <v>0</v>
      </c>
      <c r="AV22" s="62">
        <f>'FS Desroches Daily'!CL24</f>
        <v>0</v>
      </c>
      <c r="AW22" s="62">
        <f>'FS Desroches Daily'!CM24</f>
        <v>0</v>
      </c>
      <c r="AX22" s="62">
        <f>IF(LPG!F29-LPG!F28&lt;0,"0",(LPG!F29-LPG!F28)*1.8315)</f>
        <v>0</v>
      </c>
      <c r="AY22" s="62">
        <f>IF(LPG!H29-LPG!H28&lt;0,"0",(LPG!H29-LPG!H28)*1.8315)</f>
        <v>0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12</v>
      </c>
      <c r="D23" s="58">
        <v>2019</v>
      </c>
      <c r="E23" s="62">
        <f>'FS Desroches Daily'!D25</f>
        <v>0</v>
      </c>
      <c r="F23" s="63">
        <f>'FS Desroches Daily'!F25</f>
        <v>0</v>
      </c>
      <c r="G23" s="62">
        <f>'FS Desroches Daily'!H25</f>
        <v>0</v>
      </c>
      <c r="H23" s="63">
        <f>'FS Desroches Daily'!J25</f>
        <v>0</v>
      </c>
      <c r="I23" s="62">
        <f>'FS Desroches Daily'!L25</f>
        <v>0</v>
      </c>
      <c r="J23" s="63">
        <f>'FS Desroches Daily'!N25</f>
        <v>0</v>
      </c>
      <c r="K23" s="13">
        <f>'FS Desroches Daily'!P25</f>
        <v>0</v>
      </c>
      <c r="L23" s="62">
        <f>'FS Desroches Daily'!R25</f>
        <v>0</v>
      </c>
      <c r="M23" s="62">
        <f>'FS Desroches Daily'!T25</f>
        <v>0</v>
      </c>
      <c r="N23" s="62">
        <f>'FS Desroches Daily'!V25</f>
        <v>0</v>
      </c>
      <c r="O23" s="62">
        <f>'FS Desroches Daily'!X25</f>
        <v>0</v>
      </c>
      <c r="P23" s="62">
        <f>'FS Desroches Daily'!Z25</f>
        <v>0</v>
      </c>
      <c r="Q23" s="62">
        <f>'FS Desroches Daily'!AB25</f>
        <v>0</v>
      </c>
      <c r="R23" s="62">
        <f>'FS Desroches Daily'!AD25</f>
        <v>0</v>
      </c>
      <c r="S23" s="62">
        <f>'FS Desroches Daily'!AF25</f>
        <v>0</v>
      </c>
      <c r="T23" s="62">
        <f>'FS Desroches Daily'!AH25</f>
        <v>0</v>
      </c>
      <c r="U23" s="66">
        <f>'FS Desroches Daily'!AJ25</f>
        <v>0</v>
      </c>
      <c r="V23" s="66">
        <f>'FS Desroches Daily'!AL25</f>
        <v>0</v>
      </c>
      <c r="W23" s="66">
        <f>'FS Desroches Daily'!AN25</f>
        <v>0</v>
      </c>
      <c r="X23" s="66">
        <f>'FS Desroches Daily'!AP25</f>
        <v>0</v>
      </c>
      <c r="Y23" s="66">
        <f>'FS Desroches Daily'!AR25</f>
        <v>0</v>
      </c>
      <c r="Z23" s="66">
        <f>'FS Desroches Daily'!AT25</f>
        <v>0</v>
      </c>
      <c r="AA23" s="66">
        <f>'FS Desroches Daily'!AT25</f>
        <v>0</v>
      </c>
      <c r="AB23" s="66">
        <f>'FS Desroches Daily'!AV25</f>
        <v>0</v>
      </c>
      <c r="AC23" s="66">
        <f>'FS Desroches Daily'!AZ25</f>
        <v>0</v>
      </c>
      <c r="AD23" s="66">
        <f>'FS Desroches Daily'!BB25</f>
        <v>0</v>
      </c>
      <c r="AE23" s="66">
        <f>'FS Desroches Daily'!BD25</f>
        <v>0</v>
      </c>
      <c r="AF23" s="62">
        <f>'FS Desroches Daily'!BF25</f>
        <v>0</v>
      </c>
      <c r="AG23" s="63">
        <f>'FS Desroches Daily'!BH25</f>
        <v>0</v>
      </c>
      <c r="AH23" s="63">
        <f>'FS Desroches Daily'!BJ25</f>
        <v>0</v>
      </c>
      <c r="AI23" s="63">
        <f>'FS Desroches Daily'!BL25</f>
        <v>0</v>
      </c>
      <c r="AJ23" s="63">
        <f>'FS Desroches Daily'!BN25</f>
        <v>0</v>
      </c>
      <c r="AK23" s="63">
        <f>'FS Desroches Daily'!BP25</f>
        <v>0</v>
      </c>
      <c r="AL23" s="63">
        <f>'FS Desroches Daily'!BR25</f>
        <v>0</v>
      </c>
      <c r="AM23" s="63">
        <f>'FS Desroches Daily'!BT25</f>
        <v>0</v>
      </c>
      <c r="AN23" s="63">
        <f>'FS Desroches Daily'!BV25</f>
        <v>0</v>
      </c>
      <c r="AO23" s="63">
        <f>'FS Desroches Daily'!BX25</f>
        <v>0</v>
      </c>
      <c r="AP23" s="63">
        <f>'FS Desroches Daily'!BZ25</f>
        <v>0</v>
      </c>
      <c r="AQ23" s="62">
        <f>'FS Desroches Daily'!CB25</f>
        <v>0</v>
      </c>
      <c r="AR23" s="62">
        <f>'FS Desroches Daily'!CD25</f>
        <v>0</v>
      </c>
      <c r="AS23" s="62">
        <f>'FS Desroches Daily'!CF25</f>
        <v>0</v>
      </c>
      <c r="AT23" s="62">
        <f>'FS Desroches Daily'!CH25</f>
        <v>0</v>
      </c>
      <c r="AU23" s="62">
        <f>'FS Desroches Daily'!CJ25</f>
        <v>0</v>
      </c>
      <c r="AV23" s="62">
        <f>'FS Desroches Daily'!CL25</f>
        <v>0</v>
      </c>
      <c r="AW23" s="62">
        <f>'FS Desroches Daily'!CM25</f>
        <v>0</v>
      </c>
      <c r="AX23" s="62">
        <f>IF(LPG!F30-LPG!F29&lt;0,"0",(LPG!F30-LPG!F29)*1.8315)</f>
        <v>0</v>
      </c>
      <c r="AY23" s="62">
        <f>IF(LPG!H30-LPG!H29&lt;0,"0",(LPG!H30-LPG!H29)*1.8315)</f>
        <v>0</v>
      </c>
      <c r="AZ23" s="62">
        <f>IF(LPG!J30-LPG!J29&lt;0,"0",(LPG!J30-LPG!J29)*1.8315)</f>
        <v>0</v>
      </c>
      <c r="BA23" s="62">
        <f>IF(LPG!M30-LPG!M29&lt;0,"0",(LPG!M30-LPG!M29)*1.8315)</f>
        <v>0</v>
      </c>
      <c r="BB23" s="6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12</v>
      </c>
      <c r="D24" s="58">
        <v>2019</v>
      </c>
      <c r="E24" s="62">
        <f>'FS Desroches Daily'!D26</f>
        <v>0</v>
      </c>
      <c r="F24" s="63">
        <f>'FS Desroches Daily'!F26</f>
        <v>0</v>
      </c>
      <c r="G24" s="62">
        <f>'FS Desroches Daily'!H26</f>
        <v>0</v>
      </c>
      <c r="H24" s="63">
        <f>'FS Desroches Daily'!J26</f>
        <v>0</v>
      </c>
      <c r="I24" s="62">
        <f>'FS Desroches Daily'!L26</f>
        <v>0</v>
      </c>
      <c r="J24" s="63">
        <f>'FS Desroches Daily'!N26</f>
        <v>0</v>
      </c>
      <c r="K24" s="13">
        <f>'FS Desroches Daily'!P26</f>
        <v>0</v>
      </c>
      <c r="L24" s="62">
        <f>'FS Desroches Daily'!R26</f>
        <v>0</v>
      </c>
      <c r="M24" s="62">
        <f>'FS Desroches Daily'!T26</f>
        <v>0</v>
      </c>
      <c r="N24" s="62">
        <f>'FS Desroches Daily'!V26</f>
        <v>0</v>
      </c>
      <c r="O24" s="62">
        <f>'FS Desroches Daily'!X26</f>
        <v>0</v>
      </c>
      <c r="P24" s="62">
        <f>'FS Desroches Daily'!Z26</f>
        <v>0</v>
      </c>
      <c r="Q24" s="62">
        <f>'FS Desroches Daily'!AB26</f>
        <v>0</v>
      </c>
      <c r="R24" s="62">
        <f>'FS Desroches Daily'!AD26</f>
        <v>0</v>
      </c>
      <c r="S24" s="62">
        <f>'FS Desroches Daily'!AF26</f>
        <v>0</v>
      </c>
      <c r="T24" s="62">
        <f>'FS Desroches Daily'!AH26</f>
        <v>0</v>
      </c>
      <c r="U24" s="66">
        <f>'FS Desroches Daily'!AJ26</f>
        <v>0</v>
      </c>
      <c r="V24" s="66">
        <f>'FS Desroches Daily'!AL26</f>
        <v>0</v>
      </c>
      <c r="W24" s="66">
        <f>'FS Desroches Daily'!AN26</f>
        <v>0</v>
      </c>
      <c r="X24" s="66">
        <f>'FS Desroches Daily'!AP26</f>
        <v>0</v>
      </c>
      <c r="Y24" s="66">
        <f>'FS Desroches Daily'!AR26</f>
        <v>0</v>
      </c>
      <c r="Z24" s="66">
        <f>'FS Desroches Daily'!AT26</f>
        <v>0</v>
      </c>
      <c r="AA24" s="66">
        <f>'FS Desroches Daily'!AT26</f>
        <v>0</v>
      </c>
      <c r="AB24" s="66">
        <f>'FS Desroches Daily'!AV26</f>
        <v>0</v>
      </c>
      <c r="AC24" s="66">
        <f>'FS Desroches Daily'!AZ26</f>
        <v>0</v>
      </c>
      <c r="AD24" s="66">
        <f>'FS Desroches Daily'!BB26</f>
        <v>0</v>
      </c>
      <c r="AE24" s="66">
        <f>'FS Desroches Daily'!BD26</f>
        <v>0</v>
      </c>
      <c r="AF24" s="62">
        <f>'FS Desroches Daily'!BF26</f>
        <v>0</v>
      </c>
      <c r="AG24" s="63">
        <f>'FS Desroches Daily'!BH26</f>
        <v>0</v>
      </c>
      <c r="AH24" s="63">
        <f>'FS Desroches Daily'!BJ26</f>
        <v>0</v>
      </c>
      <c r="AI24" s="63">
        <f>'FS Desroches Daily'!BL26</f>
        <v>0</v>
      </c>
      <c r="AJ24" s="63">
        <f>'FS Desroches Daily'!BN26</f>
        <v>0</v>
      </c>
      <c r="AK24" s="63">
        <f>'FS Desroches Daily'!BP26</f>
        <v>0</v>
      </c>
      <c r="AL24" s="63">
        <f>'FS Desroches Daily'!BR26</f>
        <v>0</v>
      </c>
      <c r="AM24" s="63">
        <f>'FS Desroches Daily'!BT26</f>
        <v>0</v>
      </c>
      <c r="AN24" s="63">
        <f>'FS Desroches Daily'!BV26</f>
        <v>0</v>
      </c>
      <c r="AO24" s="63">
        <f>'FS Desroches Daily'!BX26</f>
        <v>0</v>
      </c>
      <c r="AP24" s="63">
        <f>'FS Desroches Daily'!BZ26</f>
        <v>0</v>
      </c>
      <c r="AQ24" s="62">
        <f>'FS Desroches Daily'!CB26</f>
        <v>0</v>
      </c>
      <c r="AR24" s="62">
        <f>'FS Desroches Daily'!CD26</f>
        <v>0</v>
      </c>
      <c r="AS24" s="62">
        <f>'FS Desroches Daily'!CF26</f>
        <v>0</v>
      </c>
      <c r="AT24" s="62">
        <f>'FS Desroches Daily'!CH26</f>
        <v>0</v>
      </c>
      <c r="AU24" s="62">
        <f>'FS Desroches Daily'!CJ26</f>
        <v>0</v>
      </c>
      <c r="AV24" s="62">
        <f>'FS Desroches Daily'!CL26</f>
        <v>0</v>
      </c>
      <c r="AW24" s="62">
        <f>'FS Desroches Daily'!CM26</f>
        <v>0</v>
      </c>
      <c r="AX24" s="62">
        <f>IF(LPG!F31-LPG!F30&lt;0,"0",(LPG!F31-LPG!F30)*1.8315)</f>
        <v>0</v>
      </c>
      <c r="AY24" s="62">
        <f>IF(LPG!H31-LPG!H30&lt;0,"0",(LPG!H31-LPG!H30)*1.8315)</f>
        <v>0</v>
      </c>
      <c r="AZ24" s="62">
        <f>IF(LPG!J31-LPG!J30&lt;0,"0",(LPG!J31-LPG!J30)*1.8315)</f>
        <v>0</v>
      </c>
      <c r="BA24" s="62">
        <f>IF(LPG!M31-LPG!M30&lt;0,"0",(LPG!M31-LPG!M30)*1.8315)</f>
        <v>0</v>
      </c>
      <c r="BB24" s="6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12</v>
      </c>
      <c r="D25" s="58">
        <v>2019</v>
      </c>
      <c r="E25" s="62">
        <f>'FS Desroches Daily'!D27</f>
        <v>0</v>
      </c>
      <c r="F25" s="63">
        <f>'FS Desroches Daily'!F27</f>
        <v>0</v>
      </c>
      <c r="G25" s="62">
        <f>'FS Desroches Daily'!H27</f>
        <v>0</v>
      </c>
      <c r="H25" s="63">
        <f>'FS Desroches Daily'!J27</f>
        <v>0</v>
      </c>
      <c r="I25" s="62">
        <f>'FS Desroches Daily'!L27</f>
        <v>0</v>
      </c>
      <c r="J25" s="63">
        <f>'FS Desroches Daily'!N27</f>
        <v>0</v>
      </c>
      <c r="K25" s="13">
        <f>'FS Desroches Daily'!P27</f>
        <v>0</v>
      </c>
      <c r="L25" s="62">
        <f>'FS Desroches Daily'!R27</f>
        <v>0</v>
      </c>
      <c r="M25" s="62">
        <f>'FS Desroches Daily'!T27</f>
        <v>0</v>
      </c>
      <c r="N25" s="62">
        <f>'FS Desroches Daily'!V27</f>
        <v>0</v>
      </c>
      <c r="O25" s="62">
        <f>'FS Desroches Daily'!X27</f>
        <v>0</v>
      </c>
      <c r="P25" s="62">
        <f>'FS Desroches Daily'!Z27</f>
        <v>0</v>
      </c>
      <c r="Q25" s="62">
        <f>'FS Desroches Daily'!AB27</f>
        <v>0</v>
      </c>
      <c r="R25" s="62">
        <f>'FS Desroches Daily'!AD27</f>
        <v>0</v>
      </c>
      <c r="S25" s="62">
        <f>'FS Desroches Daily'!AF27</f>
        <v>0</v>
      </c>
      <c r="T25" s="62">
        <f>'FS Desroches Daily'!AH27</f>
        <v>0</v>
      </c>
      <c r="U25" s="66">
        <f>'FS Desroches Daily'!AJ27</f>
        <v>0</v>
      </c>
      <c r="V25" s="66">
        <f>'FS Desroches Daily'!AL27</f>
        <v>0</v>
      </c>
      <c r="W25" s="66">
        <f>'FS Desroches Daily'!AN27</f>
        <v>0</v>
      </c>
      <c r="X25" s="66">
        <f>'FS Desroches Daily'!AP27</f>
        <v>0</v>
      </c>
      <c r="Y25" s="66">
        <f>'FS Desroches Daily'!AR27</f>
        <v>0</v>
      </c>
      <c r="Z25" s="66">
        <f>'FS Desroches Daily'!AT27</f>
        <v>0</v>
      </c>
      <c r="AA25" s="66">
        <f>'FS Desroches Daily'!AT27</f>
        <v>0</v>
      </c>
      <c r="AB25" s="66">
        <f>'FS Desroches Daily'!AV27</f>
        <v>0</v>
      </c>
      <c r="AC25" s="66">
        <f>'FS Desroches Daily'!AZ27</f>
        <v>0</v>
      </c>
      <c r="AD25" s="66">
        <f>'FS Desroches Daily'!BB27</f>
        <v>0</v>
      </c>
      <c r="AE25" s="66">
        <f>'FS Desroches Daily'!BD27</f>
        <v>0</v>
      </c>
      <c r="AF25" s="62">
        <f>'FS Desroches Daily'!BF27</f>
        <v>0</v>
      </c>
      <c r="AG25" s="63">
        <f>'FS Desroches Daily'!BH27</f>
        <v>0</v>
      </c>
      <c r="AH25" s="63">
        <f>'FS Desroches Daily'!BJ27</f>
        <v>0</v>
      </c>
      <c r="AI25" s="63">
        <f>'FS Desroches Daily'!BL27</f>
        <v>0</v>
      </c>
      <c r="AJ25" s="63">
        <f>'FS Desroches Daily'!BN27</f>
        <v>0</v>
      </c>
      <c r="AK25" s="63">
        <f>'FS Desroches Daily'!BP27</f>
        <v>0</v>
      </c>
      <c r="AL25" s="63">
        <f>'FS Desroches Daily'!BR27</f>
        <v>0</v>
      </c>
      <c r="AM25" s="63">
        <f>'FS Desroches Daily'!BT27</f>
        <v>0</v>
      </c>
      <c r="AN25" s="63">
        <f>'FS Desroches Daily'!BV27</f>
        <v>0</v>
      </c>
      <c r="AO25" s="63">
        <f>'FS Desroches Daily'!BX27</f>
        <v>0</v>
      </c>
      <c r="AP25" s="63">
        <f>'FS Desroches Daily'!BZ27</f>
        <v>0</v>
      </c>
      <c r="AQ25" s="62">
        <f>'FS Desroches Daily'!CB27</f>
        <v>0</v>
      </c>
      <c r="AR25" s="62">
        <f>'FS Desroches Daily'!CD27</f>
        <v>0</v>
      </c>
      <c r="AS25" s="62">
        <f>'FS Desroches Daily'!CF27</f>
        <v>0</v>
      </c>
      <c r="AT25" s="62">
        <f>'FS Desroches Daily'!CH27</f>
        <v>0</v>
      </c>
      <c r="AU25" s="62">
        <f>'FS Desroches Daily'!CJ27</f>
        <v>0</v>
      </c>
      <c r="AV25" s="62">
        <f>'FS Desroches Daily'!CL27</f>
        <v>0</v>
      </c>
      <c r="AW25" s="62">
        <f>'FS Desroches Daily'!CM27</f>
        <v>0</v>
      </c>
      <c r="AX25" s="62">
        <f>IF(LPG!F32-LPG!F31&lt;0,"0",(LPG!F32-LPG!F31)*1.8315)</f>
        <v>0</v>
      </c>
      <c r="AY25" s="62">
        <f>IF(LPG!H32-LPG!H31&lt;0,"0",(LPG!H32-LPG!H31)*1.8315)</f>
        <v>0</v>
      </c>
      <c r="AZ25" s="62">
        <f>IF(LPG!J32-LPG!J31&lt;0,"0",(LPG!J32-LPG!J31)*1.8315)</f>
        <v>0</v>
      </c>
      <c r="BA25" s="62">
        <f>IF(LPG!M32-LPG!M31&lt;0,"0",(LPG!M32-LPG!M31)*1.8315)</f>
        <v>0</v>
      </c>
      <c r="BB25" s="6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12</v>
      </c>
      <c r="D26" s="58">
        <v>2019</v>
      </c>
      <c r="E26" s="62">
        <f>'FS Desroches Daily'!D28</f>
        <v>0</v>
      </c>
      <c r="F26" s="63">
        <f>'FS Desroches Daily'!F28</f>
        <v>0</v>
      </c>
      <c r="G26" s="62">
        <f>'FS Desroches Daily'!H28</f>
        <v>0</v>
      </c>
      <c r="H26" s="63">
        <f>'FS Desroches Daily'!J28</f>
        <v>0</v>
      </c>
      <c r="I26" s="62">
        <f>'FS Desroches Daily'!L28</f>
        <v>0</v>
      </c>
      <c r="J26" s="63">
        <f>'FS Desroches Daily'!N28</f>
        <v>0</v>
      </c>
      <c r="K26" s="13">
        <f>'FS Desroches Daily'!P28</f>
        <v>0</v>
      </c>
      <c r="L26" s="62">
        <f>'FS Desroches Daily'!R28</f>
        <v>0</v>
      </c>
      <c r="M26" s="62">
        <f>'FS Desroches Daily'!T28</f>
        <v>0</v>
      </c>
      <c r="N26" s="62">
        <f>'FS Desroches Daily'!V28</f>
        <v>0</v>
      </c>
      <c r="O26" s="62">
        <f>'FS Desroches Daily'!X28</f>
        <v>0</v>
      </c>
      <c r="P26" s="62">
        <f>'FS Desroches Daily'!Z28</f>
        <v>0</v>
      </c>
      <c r="Q26" s="62">
        <f>'FS Desroches Daily'!AB28</f>
        <v>0</v>
      </c>
      <c r="R26" s="62">
        <f>'FS Desroches Daily'!AD28</f>
        <v>0</v>
      </c>
      <c r="S26" s="62">
        <f>'FS Desroches Daily'!AF28</f>
        <v>0</v>
      </c>
      <c r="T26" s="62">
        <f>'FS Desroches Daily'!AH28</f>
        <v>0</v>
      </c>
      <c r="U26" s="66">
        <f>'FS Desroches Daily'!AJ28</f>
        <v>0</v>
      </c>
      <c r="V26" s="66">
        <f>'FS Desroches Daily'!AL28</f>
        <v>0</v>
      </c>
      <c r="W26" s="66">
        <f>'FS Desroches Daily'!AN28</f>
        <v>0</v>
      </c>
      <c r="X26" s="66">
        <f>'FS Desroches Daily'!AP28</f>
        <v>0</v>
      </c>
      <c r="Y26" s="66">
        <f>'FS Desroches Daily'!AR28</f>
        <v>0</v>
      </c>
      <c r="Z26" s="66">
        <f>'FS Desroches Daily'!AT28</f>
        <v>0</v>
      </c>
      <c r="AA26" s="66">
        <f>'FS Desroches Daily'!AT28</f>
        <v>0</v>
      </c>
      <c r="AB26" s="66">
        <f>'FS Desroches Daily'!AV28</f>
        <v>0</v>
      </c>
      <c r="AC26" s="66">
        <f>'FS Desroches Daily'!AZ28</f>
        <v>0</v>
      </c>
      <c r="AD26" s="66">
        <f>'FS Desroches Daily'!BB28</f>
        <v>0</v>
      </c>
      <c r="AE26" s="66">
        <f>'FS Desroches Daily'!BD28</f>
        <v>0</v>
      </c>
      <c r="AF26" s="62">
        <f>'FS Desroches Daily'!BF28</f>
        <v>0</v>
      </c>
      <c r="AG26" s="63">
        <f>'FS Desroches Daily'!BH28</f>
        <v>0</v>
      </c>
      <c r="AH26" s="63">
        <f>'FS Desroches Daily'!BJ28</f>
        <v>0</v>
      </c>
      <c r="AI26" s="63">
        <f>'FS Desroches Daily'!BL28</f>
        <v>0</v>
      </c>
      <c r="AJ26" s="63">
        <f>'FS Desroches Daily'!BN28</f>
        <v>0</v>
      </c>
      <c r="AK26" s="63">
        <f>'FS Desroches Daily'!BP28</f>
        <v>0</v>
      </c>
      <c r="AL26" s="63">
        <f>'FS Desroches Daily'!BR28</f>
        <v>0</v>
      </c>
      <c r="AM26" s="63">
        <f>'FS Desroches Daily'!BT28</f>
        <v>0</v>
      </c>
      <c r="AN26" s="63">
        <f>'FS Desroches Daily'!BV28</f>
        <v>0</v>
      </c>
      <c r="AO26" s="63">
        <f>'FS Desroches Daily'!BX28</f>
        <v>0</v>
      </c>
      <c r="AP26" s="63">
        <f>'FS Desroches Daily'!BZ28</f>
        <v>0</v>
      </c>
      <c r="AQ26" s="62">
        <f>'FS Desroches Daily'!CB28</f>
        <v>0</v>
      </c>
      <c r="AR26" s="62">
        <f>'FS Desroches Daily'!CD28</f>
        <v>0</v>
      </c>
      <c r="AS26" s="62">
        <f>'FS Desroches Daily'!CF28</f>
        <v>0</v>
      </c>
      <c r="AT26" s="62">
        <f>'FS Desroches Daily'!CH28</f>
        <v>0</v>
      </c>
      <c r="AU26" s="62">
        <f>'FS Desroches Daily'!CJ28</f>
        <v>0</v>
      </c>
      <c r="AV26" s="62">
        <f>'FS Desroches Daily'!CL28</f>
        <v>0</v>
      </c>
      <c r="AW26" s="62">
        <f>'FS Desroches Daily'!CM28</f>
        <v>0</v>
      </c>
      <c r="AX26" s="62">
        <f>IF(LPG!F33-LPG!F32&lt;0,"0",(LPG!F33-LPG!F32)*1.8315)</f>
        <v>0</v>
      </c>
      <c r="AY26" s="62">
        <f>IF(LPG!H33-LPG!H32&lt;0,"0",(LPG!H33-LPG!H32)*1.8315)</f>
        <v>0</v>
      </c>
      <c r="AZ26" s="62">
        <f>IF(LPG!J33-LPG!J32&lt;0,"0",(LPG!J33-LPG!J32)*1.8315)</f>
        <v>0</v>
      </c>
      <c r="BA26" s="62">
        <f>IF(LPG!M33-LPG!M32&lt;0,"0",(LPG!M33-LPG!M32)*1.8315)</f>
        <v>0</v>
      </c>
      <c r="BB26" s="6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12</v>
      </c>
      <c r="D27" s="58">
        <v>2019</v>
      </c>
      <c r="E27" s="62">
        <f>'FS Desroches Daily'!D29</f>
        <v>0</v>
      </c>
      <c r="F27" s="63">
        <f>'FS Desroches Daily'!F29</f>
        <v>0</v>
      </c>
      <c r="G27" s="62">
        <f>'FS Desroches Daily'!H29</f>
        <v>0</v>
      </c>
      <c r="H27" s="63">
        <f>'FS Desroches Daily'!J29</f>
        <v>0</v>
      </c>
      <c r="I27" s="62">
        <f>'FS Desroches Daily'!L29</f>
        <v>0</v>
      </c>
      <c r="J27" s="63">
        <f>'FS Desroches Daily'!N29</f>
        <v>0</v>
      </c>
      <c r="K27" s="13">
        <f>'FS Desroches Daily'!P29</f>
        <v>0</v>
      </c>
      <c r="L27" s="62">
        <f>'FS Desroches Daily'!R29</f>
        <v>0</v>
      </c>
      <c r="M27" s="62">
        <f>'FS Desroches Daily'!T29</f>
        <v>0</v>
      </c>
      <c r="N27" s="62">
        <f>'FS Desroches Daily'!V29</f>
        <v>0</v>
      </c>
      <c r="O27" s="62">
        <f>'FS Desroches Daily'!X29</f>
        <v>0</v>
      </c>
      <c r="P27" s="62">
        <f>'FS Desroches Daily'!Z29</f>
        <v>0</v>
      </c>
      <c r="Q27" s="62">
        <f>'FS Desroches Daily'!AB29</f>
        <v>0</v>
      </c>
      <c r="R27" s="62">
        <f>'FS Desroches Daily'!AD29</f>
        <v>0</v>
      </c>
      <c r="S27" s="62">
        <f>'FS Desroches Daily'!AF29</f>
        <v>0</v>
      </c>
      <c r="T27" s="62">
        <f>'FS Desroches Daily'!AH29</f>
        <v>0</v>
      </c>
      <c r="U27" s="66">
        <f>'FS Desroches Daily'!AJ29</f>
        <v>0</v>
      </c>
      <c r="V27" s="66">
        <f>'FS Desroches Daily'!AL29</f>
        <v>0</v>
      </c>
      <c r="W27" s="66">
        <f>'FS Desroches Daily'!AN29</f>
        <v>0</v>
      </c>
      <c r="X27" s="66">
        <f>'FS Desroches Daily'!AP29</f>
        <v>0</v>
      </c>
      <c r="Y27" s="66">
        <f>'FS Desroches Daily'!AR29</f>
        <v>0</v>
      </c>
      <c r="Z27" s="66">
        <f>'FS Desroches Daily'!AT29</f>
        <v>0</v>
      </c>
      <c r="AA27" s="66">
        <f>'FS Desroches Daily'!AT29</f>
        <v>0</v>
      </c>
      <c r="AB27" s="66">
        <f>'FS Desroches Daily'!AV29</f>
        <v>0</v>
      </c>
      <c r="AC27" s="66">
        <f>'FS Desroches Daily'!AZ29</f>
        <v>0</v>
      </c>
      <c r="AD27" s="66">
        <f>'FS Desroches Daily'!BB29</f>
        <v>0</v>
      </c>
      <c r="AE27" s="66">
        <f>'FS Desroches Daily'!BD29</f>
        <v>0</v>
      </c>
      <c r="AF27" s="62">
        <f>'FS Desroches Daily'!BF29</f>
        <v>0</v>
      </c>
      <c r="AG27" s="63">
        <f>'FS Desroches Daily'!BH29</f>
        <v>0</v>
      </c>
      <c r="AH27" s="63">
        <f>'FS Desroches Daily'!BJ29</f>
        <v>0</v>
      </c>
      <c r="AI27" s="63">
        <f>'FS Desroches Daily'!BL29</f>
        <v>0</v>
      </c>
      <c r="AJ27" s="63">
        <f>'FS Desroches Daily'!BN29</f>
        <v>0</v>
      </c>
      <c r="AK27" s="63">
        <f>'FS Desroches Daily'!BP29</f>
        <v>0</v>
      </c>
      <c r="AL27" s="63">
        <f>'FS Desroches Daily'!BR29</f>
        <v>0</v>
      </c>
      <c r="AM27" s="63">
        <f>'FS Desroches Daily'!BT29</f>
        <v>0</v>
      </c>
      <c r="AN27" s="63">
        <f>'FS Desroches Daily'!BV29</f>
        <v>0</v>
      </c>
      <c r="AO27" s="63">
        <f>'FS Desroches Daily'!BX29</f>
        <v>0</v>
      </c>
      <c r="AP27" s="63">
        <f>'FS Desroches Daily'!BZ29</f>
        <v>0</v>
      </c>
      <c r="AQ27" s="62">
        <f>'FS Desroches Daily'!CB29</f>
        <v>0</v>
      </c>
      <c r="AR27" s="62">
        <f>'FS Desroches Daily'!CD29</f>
        <v>0</v>
      </c>
      <c r="AS27" s="62">
        <f>'FS Desroches Daily'!CF29</f>
        <v>0</v>
      </c>
      <c r="AT27" s="62">
        <f>'FS Desroches Daily'!CH29</f>
        <v>0</v>
      </c>
      <c r="AU27" s="62">
        <f>'FS Desroches Daily'!CJ29</f>
        <v>0</v>
      </c>
      <c r="AV27" s="62">
        <f>'FS Desroches Daily'!CL29</f>
        <v>0</v>
      </c>
      <c r="AW27" s="62">
        <f>'FS Desroches Daily'!CM29</f>
        <v>0</v>
      </c>
      <c r="AX27" s="62">
        <f>IF(LPG!F34-LPG!F33&lt;0,"0",(LPG!F34-LPG!F33)*1.8315)</f>
        <v>0</v>
      </c>
      <c r="AY27" s="62">
        <f>IF(LPG!H34-LPG!H33&lt;0,"0",(LPG!H34-LPG!H33)*1.8315)</f>
        <v>0</v>
      </c>
      <c r="AZ27" s="62">
        <f>IF(LPG!J34-LPG!J33&lt;0,"0",(LPG!J34-LPG!J33)*1.8315)</f>
        <v>0</v>
      </c>
      <c r="BA27" s="62">
        <f>IF(LPG!M34-LPG!M33&lt;0,"0",(LPG!M34-LPG!M33)*1.8315)</f>
        <v>0</v>
      </c>
      <c r="BB27" s="6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12</v>
      </c>
      <c r="D28" s="58">
        <v>2019</v>
      </c>
      <c r="E28" s="62">
        <f>'FS Desroches Daily'!D30</f>
        <v>0</v>
      </c>
      <c r="F28" s="63">
        <f>'FS Desroches Daily'!F30</f>
        <v>0</v>
      </c>
      <c r="G28" s="62">
        <f>'FS Desroches Daily'!H30</f>
        <v>0</v>
      </c>
      <c r="H28" s="63">
        <f>'FS Desroches Daily'!J30</f>
        <v>0</v>
      </c>
      <c r="I28" s="62">
        <f>'FS Desroches Daily'!L30</f>
        <v>0</v>
      </c>
      <c r="J28" s="63">
        <f>'FS Desroches Daily'!N30</f>
        <v>0</v>
      </c>
      <c r="K28" s="13">
        <f>'FS Desroches Daily'!P30</f>
        <v>0</v>
      </c>
      <c r="L28" s="62">
        <f>'FS Desroches Daily'!R30</f>
        <v>0</v>
      </c>
      <c r="M28" s="62">
        <f>'FS Desroches Daily'!T30</f>
        <v>0</v>
      </c>
      <c r="N28" s="62">
        <f>'FS Desroches Daily'!V30</f>
        <v>0</v>
      </c>
      <c r="O28" s="62">
        <f>'FS Desroches Daily'!X30</f>
        <v>0</v>
      </c>
      <c r="P28" s="62">
        <f>'FS Desroches Daily'!Z30</f>
        <v>0</v>
      </c>
      <c r="Q28" s="62">
        <f>'FS Desroches Daily'!AB30</f>
        <v>0</v>
      </c>
      <c r="R28" s="62">
        <f>'FS Desroches Daily'!AD30</f>
        <v>0</v>
      </c>
      <c r="S28" s="62">
        <f>'FS Desroches Daily'!AF30</f>
        <v>0</v>
      </c>
      <c r="T28" s="62">
        <f>'FS Desroches Daily'!AH30</f>
        <v>0</v>
      </c>
      <c r="U28" s="66">
        <f>'FS Desroches Daily'!AJ30</f>
        <v>0</v>
      </c>
      <c r="V28" s="66">
        <f>'FS Desroches Daily'!AL30</f>
        <v>0</v>
      </c>
      <c r="W28" s="66">
        <f>'FS Desroches Daily'!AN30</f>
        <v>0</v>
      </c>
      <c r="X28" s="66">
        <f>'FS Desroches Daily'!AP30</f>
        <v>0</v>
      </c>
      <c r="Y28" s="66">
        <f>'FS Desroches Daily'!AR30</f>
        <v>0</v>
      </c>
      <c r="Z28" s="66">
        <f>'FS Desroches Daily'!AT30</f>
        <v>0</v>
      </c>
      <c r="AA28" s="66">
        <f>'FS Desroches Daily'!AT30</f>
        <v>0</v>
      </c>
      <c r="AB28" s="66">
        <f>'FS Desroches Daily'!AV30</f>
        <v>0</v>
      </c>
      <c r="AC28" s="66">
        <f>'FS Desroches Daily'!AZ30</f>
        <v>0</v>
      </c>
      <c r="AD28" s="66">
        <f>'FS Desroches Daily'!BB30</f>
        <v>0</v>
      </c>
      <c r="AE28" s="66">
        <f>'FS Desroches Daily'!BD30</f>
        <v>0</v>
      </c>
      <c r="AF28" s="62">
        <f>'FS Desroches Daily'!BF30</f>
        <v>0</v>
      </c>
      <c r="AG28" s="63">
        <f>'FS Desroches Daily'!BH30</f>
        <v>0</v>
      </c>
      <c r="AH28" s="63">
        <f>'FS Desroches Daily'!BJ30</f>
        <v>0</v>
      </c>
      <c r="AI28" s="63">
        <f>'FS Desroches Daily'!BL30</f>
        <v>0</v>
      </c>
      <c r="AJ28" s="63">
        <f>'FS Desroches Daily'!BN30</f>
        <v>0</v>
      </c>
      <c r="AK28" s="63">
        <f>'FS Desroches Daily'!BP30</f>
        <v>0</v>
      </c>
      <c r="AL28" s="63">
        <f>'FS Desroches Daily'!BR30</f>
        <v>0</v>
      </c>
      <c r="AM28" s="63">
        <f>'FS Desroches Daily'!BT30</f>
        <v>0</v>
      </c>
      <c r="AN28" s="63">
        <f>'FS Desroches Daily'!BV30</f>
        <v>0</v>
      </c>
      <c r="AO28" s="63">
        <f>'FS Desroches Daily'!BX30</f>
        <v>0</v>
      </c>
      <c r="AP28" s="63">
        <f>'FS Desroches Daily'!BZ30</f>
        <v>0</v>
      </c>
      <c r="AQ28" s="62">
        <f>'FS Desroches Daily'!CB30</f>
        <v>0</v>
      </c>
      <c r="AR28" s="62">
        <f>'FS Desroches Daily'!CD30</f>
        <v>0</v>
      </c>
      <c r="AS28" s="62">
        <f>'FS Desroches Daily'!CF30</f>
        <v>0</v>
      </c>
      <c r="AT28" s="62">
        <f>'FS Desroches Daily'!CH30</f>
        <v>0</v>
      </c>
      <c r="AU28" s="62">
        <f>'FS Desroches Daily'!CJ30</f>
        <v>0</v>
      </c>
      <c r="AV28" s="62">
        <f>'FS Desroches Daily'!CL30</f>
        <v>0</v>
      </c>
      <c r="AW28" s="62">
        <f>'FS Desroches Daily'!CM30</f>
        <v>0</v>
      </c>
      <c r="AX28" s="62">
        <f>IF(LPG!F35-LPG!F34&lt;0,"0",(LPG!F35-LPG!F34)*1.8315)</f>
        <v>0</v>
      </c>
      <c r="AY28" s="62">
        <f>IF(LPG!H35-LPG!H34&lt;0,"0",(LPG!H35-LPG!H34)*1.8315)</f>
        <v>0</v>
      </c>
      <c r="AZ28" s="62">
        <f>IF(LPG!J35-LPG!J34&lt;0,"0",(LPG!J35-LPG!J34)*1.8315)</f>
        <v>0</v>
      </c>
      <c r="BA28" s="62">
        <f>IF(LPG!M35-LPG!M34&lt;0,"0",(LPG!M35-LPG!M34)*1.8315)</f>
        <v>0</v>
      </c>
      <c r="BB28" s="6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12</v>
      </c>
      <c r="D29" s="58">
        <v>2019</v>
      </c>
      <c r="E29" s="62">
        <f>'FS Desroches Daily'!D31</f>
        <v>0</v>
      </c>
      <c r="F29" s="63">
        <f>'FS Desroches Daily'!F31</f>
        <v>0</v>
      </c>
      <c r="G29" s="62">
        <f>'FS Desroches Daily'!H31</f>
        <v>0</v>
      </c>
      <c r="H29" s="63">
        <f>'FS Desroches Daily'!J31</f>
        <v>0</v>
      </c>
      <c r="I29" s="62">
        <f>'FS Desroches Daily'!L31</f>
        <v>0</v>
      </c>
      <c r="J29" s="63">
        <f>'FS Desroches Daily'!N31</f>
        <v>0</v>
      </c>
      <c r="K29" s="13">
        <f>'FS Desroches Daily'!P31</f>
        <v>0</v>
      </c>
      <c r="L29" s="62">
        <f>'FS Desroches Daily'!R31</f>
        <v>0</v>
      </c>
      <c r="M29" s="62">
        <f>'FS Desroches Daily'!T31</f>
        <v>0</v>
      </c>
      <c r="N29" s="62">
        <f>'FS Desroches Daily'!V31</f>
        <v>0</v>
      </c>
      <c r="O29" s="62">
        <f>'FS Desroches Daily'!X31</f>
        <v>0</v>
      </c>
      <c r="P29" s="62">
        <f>'FS Desroches Daily'!Z31</f>
        <v>0</v>
      </c>
      <c r="Q29" s="62">
        <f>'FS Desroches Daily'!AB31</f>
        <v>0</v>
      </c>
      <c r="R29" s="62">
        <f>'FS Desroches Daily'!AD31</f>
        <v>0</v>
      </c>
      <c r="S29" s="62">
        <f>'FS Desroches Daily'!AF31</f>
        <v>0</v>
      </c>
      <c r="T29" s="62">
        <f>'FS Desroches Daily'!AH31</f>
        <v>0</v>
      </c>
      <c r="U29" s="66">
        <f>'FS Desroches Daily'!AJ31</f>
        <v>0</v>
      </c>
      <c r="V29" s="66">
        <f>'FS Desroches Daily'!AL31</f>
        <v>0</v>
      </c>
      <c r="W29" s="66">
        <f>'FS Desroches Daily'!AN31</f>
        <v>0</v>
      </c>
      <c r="X29" s="66">
        <f>'FS Desroches Daily'!AP31</f>
        <v>0</v>
      </c>
      <c r="Y29" s="66">
        <f>'FS Desroches Daily'!AR31</f>
        <v>0</v>
      </c>
      <c r="Z29" s="66">
        <f>'FS Desroches Daily'!AT31</f>
        <v>0</v>
      </c>
      <c r="AA29" s="66">
        <f>'FS Desroches Daily'!AT31</f>
        <v>0</v>
      </c>
      <c r="AB29" s="66">
        <f>'FS Desroches Daily'!AV31</f>
        <v>0</v>
      </c>
      <c r="AC29" s="66">
        <f>'FS Desroches Daily'!AZ31</f>
        <v>0</v>
      </c>
      <c r="AD29" s="66">
        <f>'FS Desroches Daily'!BB31</f>
        <v>0</v>
      </c>
      <c r="AE29" s="66">
        <f>'FS Desroches Daily'!BD31</f>
        <v>0</v>
      </c>
      <c r="AF29" s="62">
        <f>'FS Desroches Daily'!BF31</f>
        <v>0</v>
      </c>
      <c r="AG29" s="63">
        <f>'FS Desroches Daily'!BH31</f>
        <v>0</v>
      </c>
      <c r="AH29" s="63">
        <f>'FS Desroches Daily'!BJ31</f>
        <v>0</v>
      </c>
      <c r="AI29" s="63">
        <f>'FS Desroches Daily'!BL31</f>
        <v>0</v>
      </c>
      <c r="AJ29" s="63">
        <f>'FS Desroches Daily'!BN31</f>
        <v>0</v>
      </c>
      <c r="AK29" s="63">
        <f>'FS Desroches Daily'!BP31</f>
        <v>0</v>
      </c>
      <c r="AL29" s="63">
        <f>'FS Desroches Daily'!BR31</f>
        <v>0</v>
      </c>
      <c r="AM29" s="63">
        <f>'FS Desroches Daily'!BT31</f>
        <v>0</v>
      </c>
      <c r="AN29" s="63">
        <f>'FS Desroches Daily'!BV31</f>
        <v>0</v>
      </c>
      <c r="AO29" s="63">
        <f>'FS Desroches Daily'!BX31</f>
        <v>0</v>
      </c>
      <c r="AP29" s="63">
        <f>'FS Desroches Daily'!BZ31</f>
        <v>0</v>
      </c>
      <c r="AQ29" s="62">
        <f>'FS Desroches Daily'!CB31</f>
        <v>0</v>
      </c>
      <c r="AR29" s="62">
        <f>'FS Desroches Daily'!CD31</f>
        <v>0</v>
      </c>
      <c r="AS29" s="62">
        <f>'FS Desroches Daily'!CF31</f>
        <v>0</v>
      </c>
      <c r="AT29" s="62">
        <f>'FS Desroches Daily'!CH31</f>
        <v>0</v>
      </c>
      <c r="AU29" s="62">
        <f>'FS Desroches Daily'!CJ31</f>
        <v>0</v>
      </c>
      <c r="AV29" s="62">
        <f>'FS Desroches Daily'!CL31</f>
        <v>0</v>
      </c>
      <c r="AW29" s="62">
        <f>'FS Desroches Daily'!CM31</f>
        <v>0</v>
      </c>
      <c r="AX29" s="62">
        <f>IF(LPG!F36-LPG!F35&lt;0,"0",(LPG!F36-LPG!F35)*1.8315)</f>
        <v>0</v>
      </c>
      <c r="AY29" s="62">
        <f>IF(LPG!H36-LPG!H35&lt;0,"0",(LPG!H36-LPG!H35)*1.8315)</f>
        <v>0</v>
      </c>
      <c r="AZ29" s="62">
        <f>IF(LPG!J36-LPG!J35&lt;0,"0",(LPG!J36-LPG!J35)*1.8315)</f>
        <v>0</v>
      </c>
      <c r="BA29" s="62">
        <f>IF(LPG!M36-LPG!M35&lt;0,"0",(LPG!M36-LPG!M35)*1.8315)</f>
        <v>0</v>
      </c>
      <c r="BB29" s="6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12</v>
      </c>
      <c r="D30" s="58">
        <v>2019</v>
      </c>
      <c r="E30" s="62">
        <f>'FS Desroches Daily'!D32</f>
        <v>0</v>
      </c>
      <c r="F30" s="63">
        <f>'FS Desroches Daily'!F32</f>
        <v>0</v>
      </c>
      <c r="G30" s="62">
        <f>'FS Desroches Daily'!H32</f>
        <v>0</v>
      </c>
      <c r="H30" s="63">
        <f>'FS Desroches Daily'!J32</f>
        <v>0</v>
      </c>
      <c r="I30" s="62">
        <f>'FS Desroches Daily'!L32</f>
        <v>0</v>
      </c>
      <c r="J30" s="63">
        <f>'FS Desroches Daily'!N32</f>
        <v>0</v>
      </c>
      <c r="K30" s="13">
        <f>'FS Desroches Daily'!P32</f>
        <v>0</v>
      </c>
      <c r="L30" s="62">
        <f>'FS Desroches Daily'!R32</f>
        <v>0</v>
      </c>
      <c r="M30" s="62">
        <f>'FS Desroches Daily'!T32</f>
        <v>0</v>
      </c>
      <c r="N30" s="62">
        <f>'FS Desroches Daily'!V32</f>
        <v>0</v>
      </c>
      <c r="O30" s="62">
        <f>'FS Desroches Daily'!X32</f>
        <v>0</v>
      </c>
      <c r="P30" s="62">
        <f>'FS Desroches Daily'!Z32</f>
        <v>0</v>
      </c>
      <c r="Q30" s="62">
        <f>'FS Desroches Daily'!AB32</f>
        <v>0</v>
      </c>
      <c r="R30" s="62">
        <f>'FS Desroches Daily'!AD32</f>
        <v>0</v>
      </c>
      <c r="S30" s="62">
        <f>'FS Desroches Daily'!AF32</f>
        <v>0</v>
      </c>
      <c r="T30" s="62">
        <f>'FS Desroches Daily'!AH32</f>
        <v>0</v>
      </c>
      <c r="U30" s="66">
        <f>'FS Desroches Daily'!AJ32</f>
        <v>0</v>
      </c>
      <c r="V30" s="66">
        <f>'FS Desroches Daily'!AL32</f>
        <v>0</v>
      </c>
      <c r="W30" s="66">
        <f>'FS Desroches Daily'!AN32</f>
        <v>0</v>
      </c>
      <c r="X30" s="66">
        <f>'FS Desroches Daily'!AP32</f>
        <v>0</v>
      </c>
      <c r="Y30" s="66">
        <f>'FS Desroches Daily'!AR32</f>
        <v>0</v>
      </c>
      <c r="Z30" s="66">
        <f>'FS Desroches Daily'!AT32</f>
        <v>0</v>
      </c>
      <c r="AA30" s="66">
        <f>'FS Desroches Daily'!AT32</f>
        <v>0</v>
      </c>
      <c r="AB30" s="66">
        <f>'FS Desroches Daily'!AV32</f>
        <v>0</v>
      </c>
      <c r="AC30" s="66">
        <f>'FS Desroches Daily'!AZ32</f>
        <v>0</v>
      </c>
      <c r="AD30" s="66">
        <f>'FS Desroches Daily'!BB32</f>
        <v>0</v>
      </c>
      <c r="AE30" s="66">
        <f>'FS Desroches Daily'!BD32</f>
        <v>0</v>
      </c>
      <c r="AF30" s="62">
        <f>'FS Desroches Daily'!BF32</f>
        <v>0</v>
      </c>
      <c r="AG30" s="63">
        <f>'FS Desroches Daily'!BH32</f>
        <v>0</v>
      </c>
      <c r="AH30" s="63">
        <f>'FS Desroches Daily'!BJ32</f>
        <v>0</v>
      </c>
      <c r="AI30" s="63">
        <f>'FS Desroches Daily'!BL32</f>
        <v>0</v>
      </c>
      <c r="AJ30" s="63">
        <f>'FS Desroches Daily'!BN32</f>
        <v>0</v>
      </c>
      <c r="AK30" s="63">
        <f>'FS Desroches Daily'!BP32</f>
        <v>0</v>
      </c>
      <c r="AL30" s="63">
        <f>'FS Desroches Daily'!BR32</f>
        <v>0</v>
      </c>
      <c r="AM30" s="63">
        <f>'FS Desroches Daily'!BT32</f>
        <v>0</v>
      </c>
      <c r="AN30" s="63">
        <f>'FS Desroches Daily'!BV32</f>
        <v>0</v>
      </c>
      <c r="AO30" s="63">
        <f>'FS Desroches Daily'!BX32</f>
        <v>0</v>
      </c>
      <c r="AP30" s="63">
        <f>'FS Desroches Daily'!BZ32</f>
        <v>0</v>
      </c>
      <c r="AQ30" s="62">
        <f>'FS Desroches Daily'!CB32</f>
        <v>0</v>
      </c>
      <c r="AR30" s="62">
        <f>'FS Desroches Daily'!CD32</f>
        <v>0</v>
      </c>
      <c r="AS30" s="62">
        <f>'FS Desroches Daily'!CF32</f>
        <v>0</v>
      </c>
      <c r="AT30" s="62">
        <f>'FS Desroches Daily'!CH32</f>
        <v>0</v>
      </c>
      <c r="AU30" s="62">
        <f>'FS Desroches Daily'!CJ32</f>
        <v>0</v>
      </c>
      <c r="AV30" s="62">
        <f>'FS Desroches Daily'!CL32</f>
        <v>0</v>
      </c>
      <c r="AW30" s="62">
        <f>'FS Desroches Daily'!CM32</f>
        <v>0</v>
      </c>
      <c r="AX30" s="62">
        <f>IF(LPG!F37-LPG!F36&lt;0,"0",(LPG!F37-LPG!F36)*1.8315)</f>
        <v>0</v>
      </c>
      <c r="AY30" s="62">
        <f>IF(LPG!H37-LPG!H36&lt;0,"0",(LPG!H37-LPG!H36)*1.8315)</f>
        <v>0</v>
      </c>
      <c r="AZ30" s="62">
        <f>IF(LPG!J37-LPG!J36&lt;0,"0",(LPG!J37-LPG!J36)*1.8315)</f>
        <v>0</v>
      </c>
      <c r="BA30" s="62">
        <f>IF(LPG!M37-LPG!M36&lt;0,"0",(LPG!M37-LPG!M36)*1.8315)</f>
        <v>0</v>
      </c>
      <c r="BB30" s="6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12</v>
      </c>
      <c r="D31" s="58">
        <v>2019</v>
      </c>
      <c r="E31" s="62">
        <f>'FS Desroches Daily'!D33</f>
        <v>0</v>
      </c>
      <c r="F31" s="63">
        <f>'FS Desroches Daily'!F33</f>
        <v>0</v>
      </c>
      <c r="G31" s="62">
        <f>'FS Desroches Daily'!H33</f>
        <v>0</v>
      </c>
      <c r="H31" s="63">
        <f>'FS Desroches Daily'!J33</f>
        <v>0</v>
      </c>
      <c r="I31" s="62">
        <f>'FS Desroches Daily'!L33</f>
        <v>0</v>
      </c>
      <c r="J31" s="63">
        <f>'FS Desroches Daily'!N33</f>
        <v>0</v>
      </c>
      <c r="K31" s="13">
        <f>'FS Desroches Daily'!P33</f>
        <v>0</v>
      </c>
      <c r="L31" s="62">
        <f>'FS Desroches Daily'!R33</f>
        <v>0</v>
      </c>
      <c r="M31" s="62">
        <f>'FS Desroches Daily'!T33</f>
        <v>0</v>
      </c>
      <c r="N31" s="62">
        <f>'FS Desroches Daily'!V33</f>
        <v>0</v>
      </c>
      <c r="O31" s="62">
        <f>'FS Desroches Daily'!X33</f>
        <v>0</v>
      </c>
      <c r="P31" s="62">
        <f>'FS Desroches Daily'!Z33</f>
        <v>0</v>
      </c>
      <c r="Q31" s="62">
        <f>'FS Desroches Daily'!AB33</f>
        <v>0</v>
      </c>
      <c r="R31" s="62">
        <f>'FS Desroches Daily'!AD33</f>
        <v>0</v>
      </c>
      <c r="S31" s="62">
        <f>'FS Desroches Daily'!AF33</f>
        <v>0</v>
      </c>
      <c r="T31" s="62">
        <f>'FS Desroches Daily'!AH33</f>
        <v>0</v>
      </c>
      <c r="U31" s="66">
        <f>'FS Desroches Daily'!AJ33</f>
        <v>0</v>
      </c>
      <c r="V31" s="66">
        <f>'FS Desroches Daily'!AL33</f>
        <v>0</v>
      </c>
      <c r="W31" s="66">
        <f>'FS Desroches Daily'!AN33</f>
        <v>0</v>
      </c>
      <c r="X31" s="66">
        <f>'FS Desroches Daily'!AP33</f>
        <v>0</v>
      </c>
      <c r="Y31" s="66">
        <f>'FS Desroches Daily'!AR33</f>
        <v>0</v>
      </c>
      <c r="Z31" s="66">
        <f>'FS Desroches Daily'!AT33</f>
        <v>0</v>
      </c>
      <c r="AA31" s="66">
        <f>'FS Desroches Daily'!AT33</f>
        <v>0</v>
      </c>
      <c r="AB31" s="66">
        <f>'FS Desroches Daily'!AV33</f>
        <v>0</v>
      </c>
      <c r="AC31" s="66">
        <f>'FS Desroches Daily'!AZ33</f>
        <v>0</v>
      </c>
      <c r="AD31" s="66">
        <f>'FS Desroches Daily'!BB33</f>
        <v>0</v>
      </c>
      <c r="AE31" s="66">
        <f>'FS Desroches Daily'!BD33</f>
        <v>0</v>
      </c>
      <c r="AF31" s="62">
        <f>'FS Desroches Daily'!BF33</f>
        <v>0</v>
      </c>
      <c r="AG31" s="63">
        <f>'FS Desroches Daily'!BH33</f>
        <v>0</v>
      </c>
      <c r="AH31" s="63">
        <f>'FS Desroches Daily'!BJ33</f>
        <v>0</v>
      </c>
      <c r="AI31" s="63">
        <f>'FS Desroches Daily'!BL33</f>
        <v>0</v>
      </c>
      <c r="AJ31" s="63">
        <f>'FS Desroches Daily'!BN33</f>
        <v>0</v>
      </c>
      <c r="AK31" s="63">
        <f>'FS Desroches Daily'!BP33</f>
        <v>0</v>
      </c>
      <c r="AL31" s="63">
        <f>'FS Desroches Daily'!BR33</f>
        <v>0</v>
      </c>
      <c r="AM31" s="63">
        <f>'FS Desroches Daily'!BT33</f>
        <v>0</v>
      </c>
      <c r="AN31" s="63">
        <f>'FS Desroches Daily'!BV33</f>
        <v>0</v>
      </c>
      <c r="AO31" s="63">
        <f>'FS Desroches Daily'!BX33</f>
        <v>0</v>
      </c>
      <c r="AP31" s="63">
        <f>'FS Desroches Daily'!BZ33</f>
        <v>0</v>
      </c>
      <c r="AQ31" s="62">
        <f>'FS Desroches Daily'!CB33</f>
        <v>0</v>
      </c>
      <c r="AR31" s="62">
        <f>'FS Desroches Daily'!CD33</f>
        <v>0</v>
      </c>
      <c r="AS31" s="62">
        <f>'FS Desroches Daily'!CF33</f>
        <v>0</v>
      </c>
      <c r="AT31" s="62">
        <f>'FS Desroches Daily'!CH33</f>
        <v>0</v>
      </c>
      <c r="AU31" s="62">
        <f>'FS Desroches Daily'!CJ33</f>
        <v>0</v>
      </c>
      <c r="AV31" s="62">
        <f>'FS Desroches Daily'!CL33</f>
        <v>0</v>
      </c>
      <c r="AW31" s="62">
        <f>'FS Desroches Daily'!CM33</f>
        <v>0</v>
      </c>
      <c r="AX31" s="62">
        <f>IF(LPG!F38-LPG!F37&lt;0,"0",(LPG!F38-LPG!F37)*1.8315)</f>
        <v>0</v>
      </c>
      <c r="AY31" s="62">
        <f>IF(LPG!H38-LPG!H37&lt;0,"0",(LPG!H38-LPG!H37)*1.8315)</f>
        <v>0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12</v>
      </c>
      <c r="D32" s="58">
        <v>2019</v>
      </c>
      <c r="E32" s="62">
        <f>'FS Desroches Daily'!D34</f>
        <v>0</v>
      </c>
      <c r="F32" s="63">
        <f>'FS Desroches Daily'!F34</f>
        <v>0</v>
      </c>
      <c r="G32" s="62">
        <f>'FS Desroches Daily'!H34</f>
        <v>0</v>
      </c>
      <c r="H32" s="63">
        <f>'FS Desroches Daily'!J34</f>
        <v>0</v>
      </c>
      <c r="I32" s="62">
        <f>'FS Desroches Daily'!L34</f>
        <v>0</v>
      </c>
      <c r="J32" s="63">
        <f>'FS Desroches Daily'!N34</f>
        <v>0</v>
      </c>
      <c r="K32" s="13">
        <f>'FS Desroches Daily'!P34</f>
        <v>0</v>
      </c>
      <c r="L32" s="62">
        <f>'FS Desroches Daily'!R34</f>
        <v>0</v>
      </c>
      <c r="M32" s="62">
        <f>'FS Desroches Daily'!T34</f>
        <v>0</v>
      </c>
      <c r="N32" s="62">
        <f>'FS Desroches Daily'!V34</f>
        <v>0</v>
      </c>
      <c r="O32" s="62">
        <f>'FS Desroches Daily'!X34</f>
        <v>0</v>
      </c>
      <c r="P32" s="62">
        <f>'FS Desroches Daily'!Z34</f>
        <v>0</v>
      </c>
      <c r="Q32" s="62">
        <f>'FS Desroches Daily'!AB34</f>
        <v>0</v>
      </c>
      <c r="R32" s="62">
        <f>'FS Desroches Daily'!AD34</f>
        <v>0</v>
      </c>
      <c r="S32" s="62">
        <f>'FS Desroches Daily'!AF34</f>
        <v>0</v>
      </c>
      <c r="T32" s="62">
        <f>'FS Desroches Daily'!AH34</f>
        <v>0</v>
      </c>
      <c r="U32" s="66">
        <f>'FS Desroches Daily'!AJ34</f>
        <v>0</v>
      </c>
      <c r="V32" s="66">
        <f>'FS Desroches Daily'!AL34</f>
        <v>0</v>
      </c>
      <c r="W32" s="66">
        <f>'FS Desroches Daily'!AN34</f>
        <v>0</v>
      </c>
      <c r="X32" s="66">
        <f>'FS Desroches Daily'!AP34</f>
        <v>0</v>
      </c>
      <c r="Y32" s="66">
        <f>'FS Desroches Daily'!AR34</f>
        <v>0</v>
      </c>
      <c r="Z32" s="66">
        <f>'FS Desroches Daily'!AT34</f>
        <v>0</v>
      </c>
      <c r="AA32" s="66">
        <f>'FS Desroches Daily'!AT34</f>
        <v>0</v>
      </c>
      <c r="AB32" s="66">
        <f>'FS Desroches Daily'!AV34</f>
        <v>0</v>
      </c>
      <c r="AC32" s="66">
        <f>'FS Desroches Daily'!AZ34</f>
        <v>0</v>
      </c>
      <c r="AD32" s="66">
        <f>'FS Desroches Daily'!BB34</f>
        <v>0</v>
      </c>
      <c r="AE32" s="66">
        <f>'FS Desroches Daily'!BD34</f>
        <v>0</v>
      </c>
      <c r="AF32" s="62">
        <f>'FS Desroches Daily'!BF34</f>
        <v>0</v>
      </c>
      <c r="AG32" s="63">
        <f>'FS Desroches Daily'!BH34</f>
        <v>0</v>
      </c>
      <c r="AH32" s="63">
        <f>'FS Desroches Daily'!BJ34</f>
        <v>0</v>
      </c>
      <c r="AI32" s="63">
        <f>'FS Desroches Daily'!BL34</f>
        <v>0</v>
      </c>
      <c r="AJ32" s="63">
        <f>'FS Desroches Daily'!BN34</f>
        <v>0</v>
      </c>
      <c r="AK32" s="63">
        <f>'FS Desroches Daily'!BP34</f>
        <v>0</v>
      </c>
      <c r="AL32" s="63">
        <f>'FS Desroches Daily'!BR34</f>
        <v>0</v>
      </c>
      <c r="AM32" s="63">
        <f>'FS Desroches Daily'!BT34</f>
        <v>0</v>
      </c>
      <c r="AN32" s="63">
        <f>'FS Desroches Daily'!BV34</f>
        <v>0</v>
      </c>
      <c r="AO32" s="63">
        <f>'FS Desroches Daily'!BX34</f>
        <v>0</v>
      </c>
      <c r="AP32" s="63">
        <f>'FS Desroches Daily'!BZ34</f>
        <v>0</v>
      </c>
      <c r="AQ32" s="62">
        <f>'FS Desroches Daily'!CB34</f>
        <v>0</v>
      </c>
      <c r="AR32" s="62">
        <f>'FS Desroches Daily'!CD34</f>
        <v>0</v>
      </c>
      <c r="AS32" s="62">
        <f>'FS Desroches Daily'!CF34</f>
        <v>0</v>
      </c>
      <c r="AT32" s="62">
        <f>'FS Desroches Daily'!CH34</f>
        <v>0</v>
      </c>
      <c r="AU32" s="62">
        <f>'FS Desroches Daily'!CJ34</f>
        <v>0</v>
      </c>
      <c r="AV32" s="62">
        <f>'FS Desroches Daily'!CL34</f>
        <v>0</v>
      </c>
      <c r="AW32" s="62">
        <f>'FS Desroches Daily'!CM34</f>
        <v>0</v>
      </c>
      <c r="AX32" s="62">
        <f>IF(LPG!F39-LPG!F38&lt;0,"0",(LPG!F39-LPG!F38)*1.8315)</f>
        <v>0</v>
      </c>
      <c r="AY32" s="62">
        <f>IF(LPG!H39-LPG!H38&lt;0,"0",(LPG!H39-LPG!H38)*1.8315)</f>
        <v>0</v>
      </c>
      <c r="AZ32" s="62">
        <f>IF(LPG!J39-LPG!J38&lt;0,"0",(LPG!J39-LPG!J38)*1.8315)</f>
        <v>0</v>
      </c>
      <c r="BA32" s="62">
        <f>IF(LPG!M39-LPG!M38&lt;0,"0",(LPG!M39-LPG!M38)*1.8315)</f>
        <v>0</v>
      </c>
      <c r="BB32" s="6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13500.000000000065</v>
      </c>
      <c r="F33" s="17">
        <f t="shared" ref="F33:BC33" si="1">SUM(F2:F32)</f>
        <v>27400.000000000087</v>
      </c>
      <c r="G33" s="17">
        <f t="shared" si="1"/>
        <v>27900.000000000251</v>
      </c>
      <c r="H33" s="17">
        <f t="shared" si="1"/>
        <v>12870.000000000005</v>
      </c>
      <c r="I33" s="17">
        <f t="shared" si="1"/>
        <v>23199.999999999884</v>
      </c>
      <c r="J33" s="17">
        <f t="shared" si="1"/>
        <v>13340.000000000031</v>
      </c>
      <c r="K33" s="17">
        <f t="shared" si="1"/>
        <v>172</v>
      </c>
      <c r="L33" s="17">
        <f t="shared" si="1"/>
        <v>67</v>
      </c>
      <c r="M33" s="17">
        <f t="shared" si="1"/>
        <v>9334</v>
      </c>
      <c r="N33" s="17">
        <f t="shared" si="1"/>
        <v>3721</v>
      </c>
      <c r="O33" s="17">
        <f t="shared" si="1"/>
        <v>2560.0000000000023</v>
      </c>
      <c r="P33" s="17">
        <f t="shared" si="1"/>
        <v>24500.000000000186</v>
      </c>
      <c r="Q33" s="17">
        <f t="shared" si="1"/>
        <v>3579.9999999999841</v>
      </c>
      <c r="R33" s="17">
        <f t="shared" si="1"/>
        <v>2789.9999999999918</v>
      </c>
      <c r="S33" s="17">
        <f t="shared" si="1"/>
        <v>6029.9999999999727</v>
      </c>
      <c r="T33" s="17">
        <f t="shared" si="1"/>
        <v>15.300000000000068</v>
      </c>
      <c r="U33" s="66">
        <f t="shared" si="1"/>
        <v>3149.9999999999773</v>
      </c>
      <c r="V33" s="66">
        <f t="shared" si="1"/>
        <v>1.2800000000000011</v>
      </c>
      <c r="W33" s="66">
        <f t="shared" si="1"/>
        <v>1.4900000000000091</v>
      </c>
      <c r="X33" s="66">
        <f t="shared" si="1"/>
        <v>1.2000000000000028</v>
      </c>
      <c r="Y33" s="66">
        <f t="shared" si="1"/>
        <v>480.00000000001819</v>
      </c>
      <c r="Z33" s="66">
        <f t="shared" si="1"/>
        <v>709.99999999997954</v>
      </c>
      <c r="AA33" s="66">
        <f t="shared" si="1"/>
        <v>709.99999999997954</v>
      </c>
      <c r="AB33" s="66">
        <f t="shared" si="1"/>
        <v>1020.0000000000102</v>
      </c>
      <c r="AC33" s="66">
        <f t="shared" si="1"/>
        <v>370.00000000000455</v>
      </c>
      <c r="AD33" s="66">
        <f t="shared" si="1"/>
        <v>550.00000000001137</v>
      </c>
      <c r="AE33" s="66">
        <f t="shared" si="1"/>
        <v>199.99999999998863</v>
      </c>
      <c r="AF33" s="17">
        <f t="shared" si="1"/>
        <v>387</v>
      </c>
      <c r="AG33" s="63">
        <f t="shared" si="1"/>
        <v>230.00000000001819</v>
      </c>
      <c r="AH33" s="63">
        <f t="shared" si="1"/>
        <v>350.00000000002274</v>
      </c>
      <c r="AI33" s="63">
        <f t="shared" si="1"/>
        <v>340.00000000000341</v>
      </c>
      <c r="AJ33" s="63">
        <f t="shared" si="1"/>
        <v>319.99999999999318</v>
      </c>
      <c r="AK33" s="63">
        <f t="shared" si="1"/>
        <v>360.00000000001364</v>
      </c>
      <c r="AL33" s="63">
        <f t="shared" si="1"/>
        <v>382</v>
      </c>
      <c r="AM33" s="63">
        <f t="shared" si="1"/>
        <v>309.99999999997385</v>
      </c>
      <c r="AN33" s="63">
        <f t="shared" si="1"/>
        <v>278</v>
      </c>
      <c r="AO33" s="63">
        <f t="shared" si="1"/>
        <v>319.99999999999318</v>
      </c>
      <c r="AP33" s="63">
        <f t="shared" si="1"/>
        <v>569</v>
      </c>
      <c r="AQ33" s="17">
        <f t="shared" si="1"/>
        <v>281.70000000000073</v>
      </c>
      <c r="AR33" s="17">
        <f t="shared" si="1"/>
        <v>109.30000000000109</v>
      </c>
      <c r="AS33" s="17">
        <f t="shared" si="1"/>
        <v>70</v>
      </c>
      <c r="AT33" s="17">
        <f t="shared" si="1"/>
        <v>575.29999999999563</v>
      </c>
      <c r="AU33" s="17">
        <f t="shared" si="1"/>
        <v>2694</v>
      </c>
      <c r="AV33" s="17">
        <f t="shared" si="1"/>
        <v>6250</v>
      </c>
      <c r="AW33" s="17">
        <f t="shared" si="1"/>
        <v>750.4</v>
      </c>
      <c r="AX33" s="17">
        <f t="shared" si="1"/>
        <v>120.87899999999999</v>
      </c>
      <c r="AY33" s="17">
        <f t="shared" si="1"/>
        <v>31.135499999999997</v>
      </c>
      <c r="AZ33" s="17">
        <f t="shared" si="1"/>
        <v>7.3259999999999996</v>
      </c>
      <c r="BA33" s="17">
        <f t="shared" si="1"/>
        <v>21.977999999999998</v>
      </c>
      <c r="BB33" s="17">
        <f t="shared" si="1"/>
        <v>54.945</v>
      </c>
      <c r="BC33" s="17">
        <f t="shared" si="1"/>
        <v>126</v>
      </c>
    </row>
    <row r="35" spans="5:55" x14ac:dyDescent="0.25">
      <c r="E35" s="69">
        <f>E33/E37</f>
        <v>0.15670706226493938</v>
      </c>
      <c r="G35" s="60">
        <f>G33-M36</f>
        <v>14845.000000000251</v>
      </c>
      <c r="AE35" s="66">
        <f>SUM(U33:AE33)</f>
        <v>7193.9699999999702</v>
      </c>
      <c r="AG35" s="63">
        <f>SUM(AG33:AP33)</f>
        <v>3459.0000000000182</v>
      </c>
    </row>
    <row r="36" spans="5:55" x14ac:dyDescent="0.25">
      <c r="G36" s="60">
        <f>G35-633*14</f>
        <v>5983.000000000251</v>
      </c>
      <c r="M36" s="60">
        <f>M33+N33</f>
        <v>13055</v>
      </c>
    </row>
    <row r="37" spans="5:55" x14ac:dyDescent="0.25">
      <c r="E37" s="17">
        <f>E33+F33+G33+H33+J33-633*14</f>
        <v>86148.000000000437</v>
      </c>
      <c r="G37" s="68">
        <f>M36/E37</f>
        <v>0.1515415331754647</v>
      </c>
      <c r="M37" s="66">
        <f>AE35</f>
        <v>7193.9699999999702</v>
      </c>
    </row>
    <row r="38" spans="5:55" x14ac:dyDescent="0.25">
      <c r="L38" s="58">
        <f>M38/E37</f>
        <v>4.0151831731438929E-2</v>
      </c>
      <c r="M38" s="60">
        <f>AG35</f>
        <v>3459.0000000000182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opLeftCell="AM1" zoomScale="70" zoomScaleNormal="70" workbookViewId="0">
      <pane ySplit="1" topLeftCell="A2" activePane="bottomLeft" state="frozen"/>
      <selection pane="bottomLeft" activeCell="CO13" sqref="CO13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6" t="s">
        <v>14</v>
      </c>
      <c r="D1" s="87"/>
      <c r="E1" s="86" t="s">
        <v>15</v>
      </c>
      <c r="F1" s="87"/>
      <c r="G1" s="86" t="s">
        <v>16</v>
      </c>
      <c r="H1" s="87"/>
      <c r="I1" s="86" t="s">
        <v>17</v>
      </c>
      <c r="J1" s="87"/>
      <c r="K1" s="86" t="s">
        <v>18</v>
      </c>
      <c r="L1" s="87"/>
      <c r="M1" s="86" t="s">
        <v>19</v>
      </c>
      <c r="N1" s="87"/>
      <c r="O1" s="86" t="s">
        <v>20</v>
      </c>
      <c r="P1" s="87"/>
      <c r="Q1" s="86" t="s">
        <v>21</v>
      </c>
      <c r="R1" s="87"/>
      <c r="S1" s="86" t="s">
        <v>119</v>
      </c>
      <c r="T1" s="87"/>
      <c r="U1" s="86" t="s">
        <v>120</v>
      </c>
      <c r="V1" s="87"/>
      <c r="W1" s="88" t="s">
        <v>121</v>
      </c>
      <c r="X1" s="89"/>
      <c r="Y1" s="86" t="s">
        <v>122</v>
      </c>
      <c r="Z1" s="87"/>
      <c r="AA1" s="86" t="s">
        <v>123</v>
      </c>
      <c r="AB1" s="87"/>
      <c r="AC1" s="86" t="s">
        <v>124</v>
      </c>
      <c r="AD1" s="87"/>
      <c r="AE1" s="86" t="s">
        <v>125</v>
      </c>
      <c r="AF1" s="87"/>
      <c r="AG1" s="86" t="s">
        <v>22</v>
      </c>
      <c r="AH1" s="87"/>
      <c r="AI1" s="86" t="s">
        <v>126</v>
      </c>
      <c r="AJ1" s="87"/>
      <c r="AK1" s="86" t="s">
        <v>127</v>
      </c>
      <c r="AL1" s="87"/>
      <c r="AM1" s="86" t="s">
        <v>128</v>
      </c>
      <c r="AN1" s="87"/>
      <c r="AO1" s="86" t="s">
        <v>129</v>
      </c>
      <c r="AP1" s="87"/>
      <c r="AQ1" s="86" t="s">
        <v>130</v>
      </c>
      <c r="AR1" s="87"/>
      <c r="AS1" s="86" t="s">
        <v>131</v>
      </c>
      <c r="AT1" s="87"/>
      <c r="AU1" s="86" t="s">
        <v>137</v>
      </c>
      <c r="AV1" s="87"/>
      <c r="AW1" s="86" t="s">
        <v>136</v>
      </c>
      <c r="AX1" s="87"/>
      <c r="AY1" s="86" t="s">
        <v>135</v>
      </c>
      <c r="AZ1" s="87"/>
      <c r="BA1" s="86" t="s">
        <v>134</v>
      </c>
      <c r="BB1" s="87"/>
      <c r="BC1" s="86" t="s">
        <v>23</v>
      </c>
      <c r="BD1" s="87"/>
      <c r="BE1" s="86" t="s">
        <v>132</v>
      </c>
      <c r="BF1" s="87"/>
      <c r="BG1" s="86" t="s">
        <v>24</v>
      </c>
      <c r="BH1" s="87"/>
      <c r="BI1" s="86" t="s">
        <v>25</v>
      </c>
      <c r="BJ1" s="87"/>
      <c r="BK1" s="86" t="s">
        <v>26</v>
      </c>
      <c r="BL1" s="87"/>
      <c r="BM1" s="86" t="s">
        <v>27</v>
      </c>
      <c r="BN1" s="87"/>
      <c r="BO1" s="86" t="s">
        <v>28</v>
      </c>
      <c r="BP1" s="87"/>
      <c r="BQ1" s="86" t="s">
        <v>29</v>
      </c>
      <c r="BR1" s="87"/>
      <c r="BS1" s="86" t="s">
        <v>30</v>
      </c>
      <c r="BT1" s="87"/>
      <c r="BU1" s="86" t="s">
        <v>31</v>
      </c>
      <c r="BV1" s="87"/>
      <c r="BW1" s="86" t="s">
        <v>32</v>
      </c>
      <c r="BX1" s="87"/>
      <c r="BY1" s="86" t="s">
        <v>33</v>
      </c>
      <c r="BZ1" s="87"/>
      <c r="CA1" s="86" t="s">
        <v>133</v>
      </c>
      <c r="CB1" s="87"/>
      <c r="CC1" s="86" t="s">
        <v>34</v>
      </c>
      <c r="CD1" s="87"/>
      <c r="CE1" s="86" t="s">
        <v>35</v>
      </c>
      <c r="CF1" s="87"/>
      <c r="CG1" s="86" t="s">
        <v>36</v>
      </c>
      <c r="CH1" s="87"/>
      <c r="CI1" s="86" t="s">
        <v>50</v>
      </c>
      <c r="CJ1" s="87"/>
      <c r="CK1" s="86" t="s">
        <v>38</v>
      </c>
      <c r="CL1" s="87"/>
      <c r="CM1" s="73" t="s">
        <v>48</v>
      </c>
      <c r="CN1" s="71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0" t="s">
        <v>46</v>
      </c>
      <c r="CL2" s="29" t="s">
        <v>40</v>
      </c>
      <c r="CM2" s="72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85">
        <v>43799</v>
      </c>
      <c r="B3" s="45"/>
      <c r="C3" s="20">
        <v>1.3163</v>
      </c>
      <c r="D3" s="80"/>
      <c r="E3" s="20">
        <v>2.2174999999999998</v>
      </c>
      <c r="F3" s="81"/>
      <c r="G3" s="20">
        <v>2.0558999999999998</v>
      </c>
      <c r="H3" s="82"/>
      <c r="I3" s="20">
        <v>959.14</v>
      </c>
      <c r="J3" s="82"/>
      <c r="K3" s="20">
        <v>1.4674</v>
      </c>
      <c r="L3" s="82"/>
      <c r="M3" s="20">
        <v>920.23</v>
      </c>
      <c r="N3" s="83"/>
      <c r="O3" s="20">
        <v>10262</v>
      </c>
      <c r="P3" s="83"/>
      <c r="Q3" s="20">
        <v>4080</v>
      </c>
      <c r="R3" s="83"/>
      <c r="S3" s="20">
        <v>671888</v>
      </c>
      <c r="T3" s="83"/>
      <c r="U3" s="20">
        <v>272003</v>
      </c>
      <c r="V3" s="83"/>
      <c r="W3" s="20">
        <v>267.63</v>
      </c>
      <c r="X3" s="83"/>
      <c r="Y3" s="20">
        <v>1.9706999999999999</v>
      </c>
      <c r="Z3" s="83"/>
      <c r="AA3" s="20">
        <v>264.18</v>
      </c>
      <c r="AB3" s="83"/>
      <c r="AC3" s="20">
        <v>241.55</v>
      </c>
      <c r="AD3" s="83"/>
      <c r="AE3" s="20">
        <v>351.74</v>
      </c>
      <c r="AF3" s="83"/>
      <c r="AG3" s="20">
        <v>929.3</v>
      </c>
      <c r="AH3" s="83"/>
      <c r="AI3" s="20">
        <v>333.79</v>
      </c>
      <c r="AJ3" s="83"/>
      <c r="AK3" s="20">
        <v>114.06</v>
      </c>
      <c r="AL3" s="83"/>
      <c r="AM3" s="20">
        <v>115.96</v>
      </c>
      <c r="AN3" s="83"/>
      <c r="AO3" s="20">
        <v>115.53</v>
      </c>
      <c r="AP3" s="83"/>
      <c r="AQ3" s="20">
        <v>192.54</v>
      </c>
      <c r="AR3" s="83"/>
      <c r="AS3" s="20">
        <v>314.68</v>
      </c>
      <c r="AT3" s="83"/>
      <c r="AU3" s="20">
        <v>239.45</v>
      </c>
      <c r="AV3" s="83"/>
      <c r="AW3" s="20">
        <v>270.91000000000003</v>
      </c>
      <c r="AX3" s="83"/>
      <c r="AY3" s="20">
        <v>324.20999999999998</v>
      </c>
      <c r="AZ3" s="83"/>
      <c r="BA3" s="20">
        <v>341.65</v>
      </c>
      <c r="BB3" s="83"/>
      <c r="BC3" s="20">
        <v>195.9</v>
      </c>
      <c r="BD3" s="83"/>
      <c r="BE3" s="21">
        <v>20597</v>
      </c>
      <c r="BF3" s="83"/>
      <c r="BG3" s="22">
        <v>218.35</v>
      </c>
      <c r="BH3" s="83"/>
      <c r="BI3" s="21">
        <v>274.38</v>
      </c>
      <c r="BJ3" s="83"/>
      <c r="BK3" s="21">
        <v>222.26</v>
      </c>
      <c r="BL3" s="83"/>
      <c r="BM3" s="21">
        <v>205.52</v>
      </c>
      <c r="BN3" s="83"/>
      <c r="BO3" s="21">
        <v>269.02</v>
      </c>
      <c r="BP3" s="83"/>
      <c r="BQ3" s="21">
        <v>32427</v>
      </c>
      <c r="BR3" s="83"/>
      <c r="BS3" s="21">
        <v>186.58</v>
      </c>
      <c r="BT3" s="83"/>
      <c r="BU3" s="21">
        <v>23440</v>
      </c>
      <c r="BV3" s="83"/>
      <c r="BW3" s="21">
        <v>215.9</v>
      </c>
      <c r="BX3" s="83"/>
      <c r="BY3" s="78">
        <v>38567</v>
      </c>
      <c r="BZ3" s="83"/>
      <c r="CA3" s="84">
        <v>22930.3</v>
      </c>
      <c r="CB3" s="83"/>
      <c r="CC3" s="84">
        <v>9814.2999999999993</v>
      </c>
      <c r="CD3" s="83"/>
      <c r="CE3" s="84">
        <v>4602.8999999999996</v>
      </c>
      <c r="CF3" s="83"/>
      <c r="CG3" s="84">
        <v>34740.300000000003</v>
      </c>
      <c r="CH3" s="83"/>
      <c r="CI3" s="84">
        <v>805009</v>
      </c>
      <c r="CJ3" s="83"/>
      <c r="CK3" s="84">
        <v>467.47</v>
      </c>
      <c r="CL3" s="82"/>
      <c r="CM3" s="1">
        <v>82</v>
      </c>
      <c r="CN3" s="33">
        <v>21</v>
      </c>
      <c r="CO3" s="33">
        <v>42</v>
      </c>
    </row>
    <row r="4" spans="1:93" ht="25.5" customHeight="1" thickBot="1" x14ac:dyDescent="0.45">
      <c r="A4" s="31">
        <v>43800</v>
      </c>
      <c r="B4" s="45"/>
      <c r="C4" s="20">
        <v>1.3177000000000001</v>
      </c>
      <c r="D4" s="44">
        <f>IF((C4-C3&lt;0), "0",(C4-C3)*1000000)</f>
        <v>1400.0000000000678</v>
      </c>
      <c r="E4" s="20">
        <v>2.2204999999999999</v>
      </c>
      <c r="F4" s="44">
        <f>IF((E4-E3&lt;0), "0",(E4-E3)*1000000)</f>
        <v>3000.0000000001137</v>
      </c>
      <c r="G4" s="20">
        <v>2.0590000000000002</v>
      </c>
      <c r="H4" s="44">
        <f>IF((G4-G3&lt;0), "0",(G4-G3)*1000000)</f>
        <v>3100.0000000003247</v>
      </c>
      <c r="I4" s="20">
        <v>960.52</v>
      </c>
      <c r="J4" s="44">
        <f>IF((I4-I3&lt;0), "0",(I4-I3)*1000)</f>
        <v>1379.9999999999955</v>
      </c>
      <c r="K4" s="20">
        <v>1.47</v>
      </c>
      <c r="L4" s="44">
        <f t="shared" ref="L4:L34" si="0">IF((K4-K3&lt;0), "0",(K4-K3)*1000000)</f>
        <v>2599.9999999999359</v>
      </c>
      <c r="M4" s="20">
        <v>921.92</v>
      </c>
      <c r="N4" s="44">
        <f>IF((M4-M3&lt;0), "",(M4-M3)*1000)</f>
        <v>1689.9999999999409</v>
      </c>
      <c r="O4" s="20">
        <v>10283</v>
      </c>
      <c r="P4" s="44">
        <f>IF((O4-O3&lt;0), "",O4-O3)</f>
        <v>21</v>
      </c>
      <c r="Q4" s="20">
        <v>4089</v>
      </c>
      <c r="R4" s="44">
        <f>IF((Q4-Q3&lt;0), "",Q4-Q3)</f>
        <v>9</v>
      </c>
      <c r="S4" s="20">
        <v>672674</v>
      </c>
      <c r="T4" s="44">
        <f>IF((S4-S3&lt;0), "",S4-S3)</f>
        <v>786</v>
      </c>
      <c r="U4" s="20">
        <v>272239</v>
      </c>
      <c r="V4" s="44">
        <f>IF((U4-U3&lt;0), "",U4-U3)</f>
        <v>236</v>
      </c>
      <c r="W4" s="20">
        <v>267.88</v>
      </c>
      <c r="X4" s="44">
        <f>IF((W4-W3&lt;0), "",(W4-W3)*1000)</f>
        <v>250</v>
      </c>
      <c r="Y4" s="20">
        <v>1.9733000000000001</v>
      </c>
      <c r="Z4" s="44">
        <f>IF((Y4-Y3&lt;0), "",(Y4-Y3)*1000000)</f>
        <v>2600.0000000001578</v>
      </c>
      <c r="AA4" s="20">
        <v>264.60000000000002</v>
      </c>
      <c r="AB4" s="44">
        <f>IF((AA4-AA3&lt;0), "",(AA4-AA3)*1000)</f>
        <v>420.00000000001592</v>
      </c>
      <c r="AC4" s="20">
        <v>241.88</v>
      </c>
      <c r="AD4" s="44">
        <f>IF((AC4-AC3&lt;0), "",(AC4-AC3)*1000)</f>
        <v>329.99999999998408</v>
      </c>
      <c r="AE4" s="20">
        <v>352.5</v>
      </c>
      <c r="AF4" s="44">
        <f>IF((AE4-AE3&lt;0), "",(AE4-AE3)*1000)</f>
        <v>759.99999999999091</v>
      </c>
      <c r="AG4" s="20">
        <v>930.9</v>
      </c>
      <c r="AH4" s="44">
        <f>IF((AG4-AG3&lt;0), "",AG4-AG3)</f>
        <v>1.6000000000000227</v>
      </c>
      <c r="AI4" s="20">
        <v>334.16</v>
      </c>
      <c r="AJ4" s="44">
        <f>IF((AI4-AI3&lt;0), "",(AI4-AI3)*1000)</f>
        <v>370.00000000000455</v>
      </c>
      <c r="AK4" s="20">
        <v>114.11</v>
      </c>
      <c r="AL4" s="44">
        <f>IF((AK4-AK3&lt;0), "",AK4-AK3)</f>
        <v>4.9999999999997158E-2</v>
      </c>
      <c r="AM4" s="20">
        <v>116.13</v>
      </c>
      <c r="AN4" s="44">
        <f>IF((AM4-AM3&lt;0), "",AM4-AM3)</f>
        <v>0.17000000000000171</v>
      </c>
      <c r="AO4" s="20">
        <v>115.62</v>
      </c>
      <c r="AP4" s="44">
        <f>IF((AO4-AO3&lt;0), "",AO4-AO3)</f>
        <v>9.0000000000003411E-2</v>
      </c>
      <c r="AQ4" s="20">
        <v>192.6</v>
      </c>
      <c r="AR4" s="44">
        <f>IF((AQ4-AQ3&lt;0), "",(AQ4-AQ3)*1000)</f>
        <v>60.000000000002274</v>
      </c>
      <c r="AS4" s="20">
        <v>314.74</v>
      </c>
      <c r="AT4" s="44">
        <f>IF((AS4-AS3&lt;0), "",(AS4-AS3)*1000)</f>
        <v>60.000000000002274</v>
      </c>
      <c r="AU4" s="20">
        <v>239.54</v>
      </c>
      <c r="AV4" s="44">
        <f>IF((AU4-AU3&lt;0), "",(AU4-AU3)*1000)</f>
        <v>90.000000000003411</v>
      </c>
      <c r="AW4" s="20">
        <v>271</v>
      </c>
      <c r="AX4" s="44">
        <f>IF((AW4-AW3&lt;0), "",(AW4-AW3)*1000)</f>
        <v>89.999999999974989</v>
      </c>
      <c r="AY4" s="20">
        <v>324.25</v>
      </c>
      <c r="AZ4" s="44">
        <f>IF((AY4-AY3&lt;0), "",(AY4-AY3)*1000)</f>
        <v>40.000000000020464</v>
      </c>
      <c r="BA4" s="20">
        <v>341.68</v>
      </c>
      <c r="BB4" s="44">
        <f>IF((BA4-BA3&lt;0), "",(BA4-BA3)*1000)</f>
        <v>30.000000000029559</v>
      </c>
      <c r="BC4" s="20">
        <v>195.9</v>
      </c>
      <c r="BD4" s="44">
        <f>IF((BC4-BC3&lt;0), "",(BC4-BC3)*1000)</f>
        <v>0</v>
      </c>
      <c r="BE4" s="21">
        <v>20649</v>
      </c>
      <c r="BF4" s="44">
        <f>IF((BE4-BE3&lt;0), "",BE4-BE3)</f>
        <v>52</v>
      </c>
      <c r="BG4" s="21">
        <v>218.37</v>
      </c>
      <c r="BH4" s="44">
        <f>IF((BG4-BG3&lt;0), "",(BG4-BG3)*1000)</f>
        <v>20.000000000010232</v>
      </c>
      <c r="BI4" s="21">
        <v>274.41000000000003</v>
      </c>
      <c r="BJ4" s="44">
        <f>IF((BI4-BI3&lt;0), "",(BI4-BI3)*1000)</f>
        <v>30.000000000029559</v>
      </c>
      <c r="BK4" s="21">
        <v>222.29</v>
      </c>
      <c r="BL4" s="44">
        <f>IF((BK4-BK3&lt;0), "",(BK4-BK3)*1000)</f>
        <v>30.000000000001137</v>
      </c>
      <c r="BM4" s="21">
        <v>205.55</v>
      </c>
      <c r="BN4" s="44">
        <f>IF((BM4-BM3&lt;0), "",(BM4-BM3)*1000)</f>
        <v>30.000000000001137</v>
      </c>
      <c r="BO4" s="21">
        <v>269.06</v>
      </c>
      <c r="BP4" s="44">
        <f>IF((BO4-BO3&lt;0), "",(BO4-BO3)*1000)</f>
        <v>40.000000000020464</v>
      </c>
      <c r="BQ4" s="21">
        <v>32557</v>
      </c>
      <c r="BR4" s="44">
        <f>IF((BQ4-BQ3&lt;0), "",BQ4-BQ3)</f>
        <v>130</v>
      </c>
      <c r="BS4" s="21">
        <v>186.61</v>
      </c>
      <c r="BT4" s="44">
        <f>IF((BS4-BS3&lt;0), "",(BS4-BS3)*1000)</f>
        <v>30.000000000001137</v>
      </c>
      <c r="BU4" s="21">
        <v>23465</v>
      </c>
      <c r="BV4" s="44">
        <f>IF((BU4-BU3&lt;0), "",BU4-BU3)</f>
        <v>25</v>
      </c>
      <c r="BW4" s="21">
        <v>215.93</v>
      </c>
      <c r="BX4" s="44">
        <f>IF((BW4-BW3&lt;0), "",(BW4-BW3)*1000)</f>
        <v>30.000000000001137</v>
      </c>
      <c r="BY4" s="78">
        <v>38614</v>
      </c>
      <c r="BZ4" s="44">
        <f>IF((BY4-BY3&lt;0), "",BY4-BY3)</f>
        <v>47</v>
      </c>
      <c r="CA4" s="84">
        <v>22958.799999999999</v>
      </c>
      <c r="CB4" s="44">
        <f>IF((CA4-CA3&lt;0), "",CA4-CA3)</f>
        <v>28.5</v>
      </c>
      <c r="CC4" s="84">
        <v>9826.5</v>
      </c>
      <c r="CD4" s="44">
        <f>IF((CC4-CC3&lt;0), "",CC4-CC3)</f>
        <v>12.200000000000728</v>
      </c>
      <c r="CE4" s="84">
        <v>4618.5</v>
      </c>
      <c r="CF4" s="44">
        <f>IF((CE4-CE3&lt;0), "",CE4-CE3)</f>
        <v>15.600000000000364</v>
      </c>
      <c r="CG4" s="84">
        <v>34812.5</v>
      </c>
      <c r="CH4" s="44">
        <f>IF((CG4-CG3&lt;0), "",CG4-CG3)</f>
        <v>72.19999999999709</v>
      </c>
      <c r="CI4" s="84">
        <v>805267</v>
      </c>
      <c r="CJ4" s="34">
        <f t="shared" ref="CJ4:CJ34" si="1">IF((CI4-CI3&lt;0), "",CI4-CI3)</f>
        <v>258</v>
      </c>
      <c r="CK4" s="84">
        <v>468.1</v>
      </c>
      <c r="CL4" s="44">
        <f>IF((CK4-CK3&lt;0), "",(CK4-CK3)*1000)</f>
        <v>629.99999999999545</v>
      </c>
      <c r="CM4" s="44">
        <v>75</v>
      </c>
      <c r="CN4" s="33">
        <v>24</v>
      </c>
      <c r="CO4" s="33">
        <v>46</v>
      </c>
    </row>
    <row r="5" spans="1:93" ht="25.5" customHeight="1" thickBot="1" x14ac:dyDescent="0.45">
      <c r="A5" s="31">
        <v>43801</v>
      </c>
      <c r="B5" s="45"/>
      <c r="C5" s="20">
        <v>1.3188</v>
      </c>
      <c r="D5" s="44">
        <f t="shared" ref="D5:D34" si="2">IF((C5-C4&lt;0), "0",(C5-C4)*1000000)</f>
        <v>1099.9999999998788</v>
      </c>
      <c r="E5" s="20">
        <v>2.2231000000000001</v>
      </c>
      <c r="F5" s="44">
        <f t="shared" ref="F5:F34" si="3">IF((E5-E4&lt;0), "0",(E5-E4)*1000000)</f>
        <v>2600.0000000001578</v>
      </c>
      <c r="G5" s="20">
        <v>2.0615999999999999</v>
      </c>
      <c r="H5" s="44">
        <f t="shared" ref="H5:H34" si="4">IF((G5-G4&lt;0), "0",(G5-G4)*1000000)</f>
        <v>2599.9999999997135</v>
      </c>
      <c r="I5" s="20">
        <v>961.56</v>
      </c>
      <c r="J5" s="44">
        <f t="shared" ref="J5:J34" si="5">IF((I5-I4&lt;0), "0",(I5-I4)*1000)</f>
        <v>1039.9999999999636</v>
      </c>
      <c r="K5" s="20">
        <v>1.4722999999999999</v>
      </c>
      <c r="L5" s="44">
        <f t="shared" si="0"/>
        <v>2299.9999999999686</v>
      </c>
      <c r="M5" s="20">
        <v>923.21</v>
      </c>
      <c r="N5" s="34">
        <f>IF((M5-M4&lt;0), "",(M5-M4)*1000)</f>
        <v>1290.0000000000773</v>
      </c>
      <c r="O5" s="20">
        <v>10301</v>
      </c>
      <c r="P5" s="34">
        <f t="shared" ref="P5:P32" si="6">IF((O5-O4&lt;0), "",O5-O4)</f>
        <v>18</v>
      </c>
      <c r="Q5" s="20">
        <v>4097</v>
      </c>
      <c r="R5" s="34">
        <f t="shared" ref="R5:R34" si="7">IF((Q5-Q4&lt;0), "",Q5-Q4)</f>
        <v>8</v>
      </c>
      <c r="S5" s="20">
        <v>673781</v>
      </c>
      <c r="T5" s="34">
        <f t="shared" ref="T5:T34" si="8">IF((S5-S4&lt;0), "",S5-S4)</f>
        <v>1107</v>
      </c>
      <c r="U5" s="20">
        <v>272717</v>
      </c>
      <c r="V5" s="34">
        <f t="shared" ref="V5:V34" si="9">IF((U5-U4&lt;0), "",U5-U4)</f>
        <v>478</v>
      </c>
      <c r="W5" s="20">
        <v>268.13</v>
      </c>
      <c r="X5" s="34">
        <f>IF((W5-W4&lt;0), "",(W5-W4)*1000)</f>
        <v>250</v>
      </c>
      <c r="Y5" s="20">
        <v>1.9758</v>
      </c>
      <c r="Z5" s="34">
        <f>IF((Y5-Y4&lt;0), "",(Y5-Y4)*1000000)</f>
        <v>2499.9999999999468</v>
      </c>
      <c r="AA5" s="20">
        <v>264.98</v>
      </c>
      <c r="AB5" s="34">
        <f>IF((AA5-AA4&lt;0), "",(AA5-AA4)*1000)</f>
        <v>379.99999999999545</v>
      </c>
      <c r="AC5" s="20">
        <v>242.13</v>
      </c>
      <c r="AD5" s="34">
        <f>IF((AC5-AC4&lt;0), "",(AC5-AC4)*1000)</f>
        <v>250</v>
      </c>
      <c r="AE5" s="20">
        <v>353.12</v>
      </c>
      <c r="AF5" s="34">
        <f>IF((AE5-AE4&lt;0), "",(AE5-AE4)*1000)</f>
        <v>620.00000000000455</v>
      </c>
      <c r="AG5" s="20">
        <v>932</v>
      </c>
      <c r="AH5" s="34">
        <f t="shared" ref="AH5:AH34" si="10">IF((AG5-AG4&lt;0), "",AG5-AG4)</f>
        <v>1.1000000000000227</v>
      </c>
      <c r="AI5" s="20">
        <v>334.43</v>
      </c>
      <c r="AJ5" s="34">
        <f>IF((AI5-AI4&lt;0), "",(AI5-AI4)*1000)</f>
        <v>269.99999999998181</v>
      </c>
      <c r="AK5" s="20">
        <v>114.18</v>
      </c>
      <c r="AL5" s="34">
        <f t="shared" ref="AL5:AL34" si="11">IF((AK5-AK4&lt;0), "",AK5-AK4)</f>
        <v>7.000000000000739E-2</v>
      </c>
      <c r="AM5" s="20">
        <v>116.26</v>
      </c>
      <c r="AN5" s="34">
        <f t="shared" ref="AN5:AN34" si="12">IF((AM5-AM4&lt;0), "",AM5-AM4)</f>
        <v>0.13000000000000966</v>
      </c>
      <c r="AO5" s="20">
        <v>115.7</v>
      </c>
      <c r="AP5" s="34">
        <f t="shared" ref="AP5:AP34" si="13">IF((AO5-AO4&lt;0), "",AO5-AO4)</f>
        <v>7.9999999999998295E-2</v>
      </c>
      <c r="AQ5" s="20">
        <v>192.65</v>
      </c>
      <c r="AR5" s="34">
        <f>IF((AQ5-AQ4&lt;0), "",(AQ5-AQ4)*1000)</f>
        <v>50.000000000011369</v>
      </c>
      <c r="AS5" s="20">
        <v>314.81</v>
      </c>
      <c r="AT5" s="34">
        <f>IF((AS5-AS4&lt;0), "",(AS5-AS4)*1000)</f>
        <v>69.999999999993179</v>
      </c>
      <c r="AU5" s="20">
        <v>239.64</v>
      </c>
      <c r="AV5" s="34">
        <f>IF((AU5-AU4&lt;0), "",(AU5-AU4)*1000)</f>
        <v>99.999999999994316</v>
      </c>
      <c r="AW5" s="20">
        <v>271.08</v>
      </c>
      <c r="AX5" s="34">
        <f>IF((AW5-AW4&lt;0), "",(AW5-AW4)*1000)</f>
        <v>79.999999999984084</v>
      </c>
      <c r="AY5" s="20">
        <v>324.29000000000002</v>
      </c>
      <c r="AZ5" s="34">
        <f>IF((AY5-AY4&lt;0), "",(AY5-AY4)*1000)</f>
        <v>40.000000000020464</v>
      </c>
      <c r="BA5" s="20">
        <v>341.72</v>
      </c>
      <c r="BB5" s="34">
        <f>IF((BA5-BA4&lt;0), "",(BA5-BA4)*1000)</f>
        <v>40.000000000020464</v>
      </c>
      <c r="BC5" s="20">
        <v>195.93</v>
      </c>
      <c r="BD5" s="34">
        <f>IF((BC5-BC4&lt;0), "",(BC5-BC4)*1000)</f>
        <v>30.000000000001137</v>
      </c>
      <c r="BE5" s="21">
        <v>20709</v>
      </c>
      <c r="BF5" s="34">
        <f t="shared" ref="BF5:BF33" si="14">IF((BE5-BE4&lt;0), "",BE5-BE4)</f>
        <v>60</v>
      </c>
      <c r="BG5" s="21">
        <v>218.39</v>
      </c>
      <c r="BH5" s="34">
        <f>IF((BG5-BG4&lt;0), "",(BG5-BG4)*1000)</f>
        <v>19.99999999998181</v>
      </c>
      <c r="BI5" s="21">
        <v>274.44</v>
      </c>
      <c r="BJ5" s="34">
        <f>IF((BI5-BI4&lt;0), "",(BI5-BI4)*1000)</f>
        <v>29.999999999972715</v>
      </c>
      <c r="BK5" s="21">
        <v>222.32</v>
      </c>
      <c r="BL5" s="34">
        <f>IF((BK5-BK4&lt;0), "",(BK5-BK4)*1000)</f>
        <v>30.000000000001137</v>
      </c>
      <c r="BM5" s="21">
        <v>205.58</v>
      </c>
      <c r="BN5" s="34">
        <f>IF((BM5-BM4&lt;0), "",(BM5-BM4)*1000)</f>
        <v>30.000000000001137</v>
      </c>
      <c r="BO5" s="21">
        <v>269.08999999999997</v>
      </c>
      <c r="BP5" s="34">
        <f>IF((BO5-BO4&lt;0), "",(BO5-BO4)*1000)</f>
        <v>29.999999999972715</v>
      </c>
      <c r="BQ5" s="21">
        <v>32582</v>
      </c>
      <c r="BR5" s="34">
        <f t="shared" ref="BR5:BR34" si="15">IF((BQ5-BQ4&lt;0), "",BQ5-BQ4)</f>
        <v>25</v>
      </c>
      <c r="BS5" s="21">
        <v>186.64</v>
      </c>
      <c r="BT5" s="34">
        <f>IF((BS5-BS4&lt;0), "",(BS5-BS4)*1000)</f>
        <v>29.999999999972715</v>
      </c>
      <c r="BU5" s="21">
        <v>23490</v>
      </c>
      <c r="BV5" s="34">
        <f t="shared" ref="BV5:BV35" si="16">IF((BU5-BU4&lt;0), "",BU5-BU4)</f>
        <v>25</v>
      </c>
      <c r="BW5" s="21">
        <v>215.95</v>
      </c>
      <c r="BX5" s="34">
        <f>IF((BW5-BW4&lt;0), "",(BW5-BW4)*1000)</f>
        <v>19.99999999998181</v>
      </c>
      <c r="BY5" s="78">
        <v>38650</v>
      </c>
      <c r="BZ5" s="34">
        <f t="shared" ref="BZ5:BZ34" si="17">IF((BY5-BY4&lt;0), "",BY5-BY4)</f>
        <v>36</v>
      </c>
      <c r="CA5" s="84">
        <v>22987.200000000001</v>
      </c>
      <c r="CB5" s="34">
        <f t="shared" ref="CB5:CB34" si="18">IF((CA5-CA4&lt;0), "",CA5-CA4)</f>
        <v>28.400000000001455</v>
      </c>
      <c r="CC5" s="84">
        <v>9839.1</v>
      </c>
      <c r="CD5" s="34">
        <f t="shared" ref="CD5:CD34" si="19">IF((CC5-CC4&lt;0), "",CC5-CC4)</f>
        <v>12.600000000000364</v>
      </c>
      <c r="CE5" s="84">
        <v>4633</v>
      </c>
      <c r="CF5" s="34">
        <f t="shared" ref="CF5:CF34" si="20">IF((CE5-CE4&lt;0), "",CE5-CE4)</f>
        <v>14.5</v>
      </c>
      <c r="CG5" s="84">
        <v>34853.300000000003</v>
      </c>
      <c r="CH5" s="34">
        <f t="shared" ref="CH5:CH34" si="21">IF((CG5-CG4&lt;0), "",CG5-CG4)</f>
        <v>40.80000000000291</v>
      </c>
      <c r="CI5" s="84">
        <v>805500</v>
      </c>
      <c r="CJ5" s="34">
        <f t="shared" si="1"/>
        <v>233</v>
      </c>
      <c r="CK5" s="84">
        <v>468.7</v>
      </c>
      <c r="CL5" s="44">
        <f t="shared" ref="CL5:CL34" si="22">IF((CK5-CK4&lt;0), "",(CK5-CK4)*1000)</f>
        <v>599.99999999996589</v>
      </c>
      <c r="CM5" s="34">
        <v>67.900000000000006</v>
      </c>
      <c r="CN5" s="35">
        <v>22</v>
      </c>
      <c r="CO5" s="35">
        <v>42</v>
      </c>
    </row>
    <row r="6" spans="1:93" ht="25.5" customHeight="1" thickBot="1" x14ac:dyDescent="0.45">
      <c r="A6" s="31">
        <v>43802</v>
      </c>
      <c r="B6" s="45"/>
      <c r="C6" s="20">
        <v>1.32</v>
      </c>
      <c r="D6" s="44">
        <f t="shared" si="2"/>
        <v>1200.0000000000898</v>
      </c>
      <c r="E6" s="20">
        <v>2.226</v>
      </c>
      <c r="F6" s="44">
        <f t="shared" si="3"/>
        <v>2899.9999999999027</v>
      </c>
      <c r="G6" s="20">
        <v>2.0642999999999998</v>
      </c>
      <c r="H6" s="44">
        <f t="shared" si="4"/>
        <v>2699.9999999999245</v>
      </c>
      <c r="I6" s="20">
        <v>962.68</v>
      </c>
      <c r="J6" s="44">
        <f t="shared" si="5"/>
        <v>1120.0000000000045</v>
      </c>
      <c r="K6" s="20">
        <v>1.4744999999999999</v>
      </c>
      <c r="L6" s="44">
        <f t="shared" si="0"/>
        <v>2199.9999999999795</v>
      </c>
      <c r="M6" s="20">
        <v>924.45</v>
      </c>
      <c r="N6" s="34">
        <f t="shared" ref="N6:N34" si="23">IF((M6-M5&lt;0), "",(M6-M5)*1000)</f>
        <v>1240.0000000000091</v>
      </c>
      <c r="O6" s="20">
        <v>10320</v>
      </c>
      <c r="P6" s="34">
        <f t="shared" si="6"/>
        <v>19</v>
      </c>
      <c r="Q6" s="20">
        <v>4097</v>
      </c>
      <c r="R6" s="34">
        <f t="shared" si="7"/>
        <v>0</v>
      </c>
      <c r="S6" s="20">
        <v>673388</v>
      </c>
      <c r="T6" s="34" t="str">
        <f t="shared" si="8"/>
        <v/>
      </c>
      <c r="U6" s="20">
        <v>273006</v>
      </c>
      <c r="V6" s="34">
        <f t="shared" si="9"/>
        <v>289</v>
      </c>
      <c r="W6" s="20">
        <v>268.45</v>
      </c>
      <c r="X6" s="34"/>
      <c r="Y6" s="20">
        <v>1.9782999999999999</v>
      </c>
      <c r="Z6" s="34">
        <f t="shared" ref="Z6:Z34" si="24">IF((Y6-Y5&lt;0), "",(Y6-Y5)*1000000)</f>
        <v>2499.9999999999468</v>
      </c>
      <c r="AA6" s="20">
        <v>265.18</v>
      </c>
      <c r="AB6" s="34">
        <f t="shared" ref="AB6:AB34" si="25">IF((AA6-AA5&lt;0), "",(AA6-AA5)*1000)</f>
        <v>199.99999999998863</v>
      </c>
      <c r="AC6" s="20">
        <v>242.42</v>
      </c>
      <c r="AD6" s="34">
        <f t="shared" ref="AD6:AD34" si="26">IF((AC6-AC5&lt;0), "",(AC6-AC5)*1000)</f>
        <v>289.99999999999204</v>
      </c>
      <c r="AE6" s="20">
        <v>353.73</v>
      </c>
      <c r="AF6" s="34">
        <f t="shared" ref="AF6:AF34" si="27">IF((AE6-AE5&lt;0), "",(AE6-AE5)*1000)</f>
        <v>610.00000000001364</v>
      </c>
      <c r="AG6" s="20">
        <v>933.2</v>
      </c>
      <c r="AH6" s="34">
        <f t="shared" si="10"/>
        <v>1.2000000000000455</v>
      </c>
      <c r="AI6" s="20">
        <v>334.71</v>
      </c>
      <c r="AJ6" s="34">
        <f t="shared" ref="AJ6:AJ34" si="28">IF((AI6-AI5&lt;0), "",(AI6-AI5)*1000)</f>
        <v>279.99999999997272</v>
      </c>
      <c r="AK6" s="20">
        <v>114.26</v>
      </c>
      <c r="AL6" s="34">
        <f t="shared" si="11"/>
        <v>7.9999999999998295E-2</v>
      </c>
      <c r="AM6" s="20">
        <v>116.39</v>
      </c>
      <c r="AN6" s="34">
        <f t="shared" si="12"/>
        <v>0.12999999999999545</v>
      </c>
      <c r="AO6" s="20">
        <v>115.39</v>
      </c>
      <c r="AP6" s="34" t="str">
        <f t="shared" si="13"/>
        <v/>
      </c>
      <c r="AQ6" s="20">
        <v>192.69</v>
      </c>
      <c r="AR6" s="34">
        <f t="shared" ref="AR6:AR34" si="29">IF((AQ6-AQ5&lt;0), "",(AQ6-AQ5)*1000)</f>
        <v>39.999999999992042</v>
      </c>
      <c r="AS6" s="20">
        <v>314.89</v>
      </c>
      <c r="AT6" s="34">
        <f t="shared" ref="AT6:AT34" si="30">IF((AS6-AS5&lt;0), "",(AS6-AS5)*1000)</f>
        <v>79.999999999984084</v>
      </c>
      <c r="AU6" s="20">
        <v>239.75</v>
      </c>
      <c r="AV6" s="34">
        <f t="shared" ref="AV6:AV34" si="31">IF((AU6-AU5&lt;0), "",(AU6-AU5)*1000)</f>
        <v>110.00000000001364</v>
      </c>
      <c r="AW6" s="20">
        <v>271.14999999999998</v>
      </c>
      <c r="AX6" s="34">
        <f t="shared" ref="AX6:AX37" si="32">IF((AW6-AW5&lt;0), "",(AW6-AW5)*1000)</f>
        <v>69.999999999993179</v>
      </c>
      <c r="AY6" s="20">
        <v>324.32</v>
      </c>
      <c r="AZ6" s="34">
        <f t="shared" ref="AZ6:AZ34" si="33">IF((AY6-AY5&lt;0), "",(AY6-AY5)*1000)</f>
        <v>29.999999999972715</v>
      </c>
      <c r="BA6" s="20">
        <v>341.76</v>
      </c>
      <c r="BB6" s="34">
        <f t="shared" ref="BB6:BB34" si="34">IF((BA6-BA5&lt;0), "",(BA6-BA5)*1000)</f>
        <v>39.99999999996362</v>
      </c>
      <c r="BC6" s="20">
        <v>195.95</v>
      </c>
      <c r="BD6" s="34">
        <f t="shared" ref="BD6:BD34" si="35">IF((BC6-BC5&lt;0), "",(BC6-BC5)*1000)</f>
        <v>19.99999999998181</v>
      </c>
      <c r="BE6" s="21">
        <v>20757</v>
      </c>
      <c r="BF6" s="34">
        <f t="shared" si="14"/>
        <v>48</v>
      </c>
      <c r="BG6" s="21">
        <v>218.41</v>
      </c>
      <c r="BH6" s="34">
        <f t="shared" ref="BH6:BH34" si="36">IF((BG6-BG5&lt;0), "",(BG6-BG5)*1000)</f>
        <v>20.000000000010232</v>
      </c>
      <c r="BI6" s="21">
        <v>274.45999999999998</v>
      </c>
      <c r="BJ6" s="34">
        <f t="shared" ref="BJ6:BJ35" si="37">IF((BI6-BI5&lt;0), "",(BI6-BI5)*1000)</f>
        <v>19.99999999998181</v>
      </c>
      <c r="BK6" s="21">
        <v>222.35</v>
      </c>
      <c r="BL6" s="34">
        <f t="shared" ref="BL6:BL35" si="38">IF((BK6-BK5&lt;0), "",(BK6-BK5)*1000)</f>
        <v>30.000000000001137</v>
      </c>
      <c r="BM6" s="21">
        <v>205.61</v>
      </c>
      <c r="BN6" s="34">
        <f t="shared" ref="BN6:BN34" si="39">IF((BM6-BM5&lt;0), "",(BM6-BM5)*1000)</f>
        <v>30.000000000001137</v>
      </c>
      <c r="BO6" s="21">
        <v>269.11</v>
      </c>
      <c r="BP6" s="34">
        <f t="shared" ref="BP6:BP34" si="40">IF((BO6-BO5&lt;0), "",(BO6-BO5)*1000)</f>
        <v>20.000000000038654</v>
      </c>
      <c r="BQ6" s="21">
        <v>32605</v>
      </c>
      <c r="BR6" s="34">
        <f t="shared" si="15"/>
        <v>23</v>
      </c>
      <c r="BS6" s="21">
        <v>186.67</v>
      </c>
      <c r="BT6" s="34">
        <f t="shared" ref="BT6:BT35" si="41">IF((BS6-BS5&lt;0), "",(BS6-BS5)*1000)</f>
        <v>30.000000000001137</v>
      </c>
      <c r="BU6" s="21">
        <v>23512</v>
      </c>
      <c r="BV6" s="34">
        <f t="shared" si="16"/>
        <v>22</v>
      </c>
      <c r="BW6" s="21">
        <v>215.98</v>
      </c>
      <c r="BX6" s="34">
        <f t="shared" ref="BX6:BX34" si="42">IF((BW6-BW5&lt;0), "",(BW6-BW5)*1000)</f>
        <v>30.000000000001137</v>
      </c>
      <c r="BY6" s="78">
        <v>38683</v>
      </c>
      <c r="BZ6" s="34">
        <f t="shared" si="17"/>
        <v>33</v>
      </c>
      <c r="CA6" s="84">
        <v>23014.799999999999</v>
      </c>
      <c r="CB6" s="34">
        <f t="shared" si="18"/>
        <v>27.599999999998545</v>
      </c>
      <c r="CC6" s="84">
        <v>9851.7000000000007</v>
      </c>
      <c r="CD6" s="34">
        <f t="shared" si="19"/>
        <v>12.600000000000364</v>
      </c>
      <c r="CE6" s="84">
        <v>4633.3999999999996</v>
      </c>
      <c r="CF6" s="34">
        <f t="shared" si="20"/>
        <v>0.3999999999996362</v>
      </c>
      <c r="CG6" s="84">
        <v>34904.300000000003</v>
      </c>
      <c r="CH6" s="34">
        <f t="shared" si="21"/>
        <v>51</v>
      </c>
      <c r="CI6" s="84">
        <v>805736</v>
      </c>
      <c r="CJ6" s="34">
        <f t="shared" si="1"/>
        <v>236</v>
      </c>
      <c r="CK6" s="84">
        <v>469.37</v>
      </c>
      <c r="CL6" s="44">
        <f t="shared" si="22"/>
        <v>670.00000000001592</v>
      </c>
      <c r="CM6" s="34">
        <v>72</v>
      </c>
      <c r="CN6" s="35">
        <v>20</v>
      </c>
      <c r="CO6" s="35">
        <v>37</v>
      </c>
    </row>
    <row r="7" spans="1:93" ht="25.5" customHeight="1" thickBot="1" x14ac:dyDescent="0.45">
      <c r="A7" s="31">
        <v>43803</v>
      </c>
      <c r="B7" s="45"/>
      <c r="C7" s="20">
        <v>1.3212999999999999</v>
      </c>
      <c r="D7" s="44">
        <f t="shared" si="2"/>
        <v>1299.9999999998568</v>
      </c>
      <c r="E7" s="20">
        <v>2.2288000000000001</v>
      </c>
      <c r="F7" s="44">
        <f t="shared" si="3"/>
        <v>2800.0000000001355</v>
      </c>
      <c r="G7" s="20">
        <v>2.0672000000000001</v>
      </c>
      <c r="H7" s="44">
        <f t="shared" si="4"/>
        <v>2900.0000000003465</v>
      </c>
      <c r="I7" s="20">
        <v>963.86</v>
      </c>
      <c r="J7" s="44">
        <f t="shared" si="5"/>
        <v>1180.0000000000637</v>
      </c>
      <c r="K7" s="20">
        <v>1.4767999999999999</v>
      </c>
      <c r="L7" s="44">
        <f t="shared" si="0"/>
        <v>2299.9999999999686</v>
      </c>
      <c r="M7" s="20">
        <v>925.81</v>
      </c>
      <c r="N7" s="34">
        <f t="shared" si="23"/>
        <v>1359.9999999999</v>
      </c>
      <c r="O7" s="20">
        <v>10339</v>
      </c>
      <c r="P7" s="34">
        <f t="shared" si="6"/>
        <v>19</v>
      </c>
      <c r="Q7" s="20">
        <v>4103</v>
      </c>
      <c r="R7" s="34">
        <f t="shared" si="7"/>
        <v>6</v>
      </c>
      <c r="S7" s="20">
        <v>674536</v>
      </c>
      <c r="T7" s="34">
        <f t="shared" si="8"/>
        <v>1148</v>
      </c>
      <c r="U7" s="20">
        <v>273347</v>
      </c>
      <c r="V7" s="34">
        <f t="shared" si="9"/>
        <v>341</v>
      </c>
      <c r="W7" s="20">
        <v>268.77</v>
      </c>
      <c r="X7" s="34">
        <f t="shared" ref="X7:X34" si="43">IF((W7-W6&lt;0), "",(W7-W6)*1000)</f>
        <v>319.99999999999318</v>
      </c>
      <c r="Y7" s="20">
        <v>1.9809000000000001</v>
      </c>
      <c r="Z7" s="34">
        <f t="shared" si="24"/>
        <v>2600.0000000001578</v>
      </c>
      <c r="AA7" s="20">
        <v>265.57</v>
      </c>
      <c r="AB7" s="34">
        <f t="shared" si="25"/>
        <v>389.99999999998636</v>
      </c>
      <c r="AC7" s="20">
        <v>242.67</v>
      </c>
      <c r="AD7" s="34">
        <f t="shared" si="26"/>
        <v>250</v>
      </c>
      <c r="AE7" s="20">
        <v>354.35</v>
      </c>
      <c r="AF7" s="34">
        <f t="shared" si="27"/>
        <v>620.00000000000455</v>
      </c>
      <c r="AG7" s="20">
        <v>934.5</v>
      </c>
      <c r="AH7" s="34">
        <f t="shared" si="10"/>
        <v>1.2999999999999545</v>
      </c>
      <c r="AI7" s="20">
        <v>335</v>
      </c>
      <c r="AJ7" s="34">
        <f t="shared" si="28"/>
        <v>290.00000000002046</v>
      </c>
      <c r="AK7" s="20">
        <v>114.34</v>
      </c>
      <c r="AL7" s="34">
        <f t="shared" si="11"/>
        <v>7.9999999999998295E-2</v>
      </c>
      <c r="AM7" s="20">
        <v>116.56</v>
      </c>
      <c r="AN7" s="34">
        <f t="shared" si="12"/>
        <v>0.17000000000000171</v>
      </c>
      <c r="AO7" s="20">
        <v>115.9</v>
      </c>
      <c r="AP7" s="34">
        <f t="shared" si="13"/>
        <v>0.51000000000000512</v>
      </c>
      <c r="AQ7" s="20">
        <v>192.74</v>
      </c>
      <c r="AR7" s="34">
        <f t="shared" si="29"/>
        <v>50.000000000011369</v>
      </c>
      <c r="AS7" s="20">
        <v>314.95999999999998</v>
      </c>
      <c r="AT7" s="34">
        <f t="shared" si="30"/>
        <v>69.999999999993179</v>
      </c>
      <c r="AU7" s="20">
        <v>239.86</v>
      </c>
      <c r="AV7" s="34">
        <f t="shared" si="31"/>
        <v>110.00000000001364</v>
      </c>
      <c r="AW7" s="20">
        <v>271.25</v>
      </c>
      <c r="AX7" s="34">
        <f t="shared" si="32"/>
        <v>100.00000000002274</v>
      </c>
      <c r="AY7" s="20">
        <v>324.36</v>
      </c>
      <c r="AZ7" s="34">
        <f t="shared" si="33"/>
        <v>40.000000000020464</v>
      </c>
      <c r="BA7" s="20">
        <v>341.79</v>
      </c>
      <c r="BB7" s="34">
        <f t="shared" si="34"/>
        <v>30.000000000029559</v>
      </c>
      <c r="BC7" s="20">
        <v>195.97</v>
      </c>
      <c r="BD7" s="34">
        <f t="shared" si="35"/>
        <v>20.000000000010232</v>
      </c>
      <c r="BE7" s="21">
        <v>20782</v>
      </c>
      <c r="BF7" s="34">
        <f t="shared" si="14"/>
        <v>25</v>
      </c>
      <c r="BG7" s="21">
        <v>218.43</v>
      </c>
      <c r="BH7" s="34">
        <f t="shared" si="36"/>
        <v>20.000000000010232</v>
      </c>
      <c r="BI7" s="21">
        <v>274.49</v>
      </c>
      <c r="BJ7" s="34">
        <f t="shared" si="37"/>
        <v>30.000000000029559</v>
      </c>
      <c r="BK7" s="21">
        <v>222.39</v>
      </c>
      <c r="BL7" s="34">
        <f t="shared" si="38"/>
        <v>39.999999999992042</v>
      </c>
      <c r="BM7" s="21">
        <v>205.64</v>
      </c>
      <c r="BN7" s="34">
        <f t="shared" si="39"/>
        <v>29.999999999972715</v>
      </c>
      <c r="BO7" s="21">
        <v>269.14</v>
      </c>
      <c r="BP7" s="34">
        <f t="shared" si="40"/>
        <v>29.999999999972715</v>
      </c>
      <c r="BQ7" s="21">
        <v>32628</v>
      </c>
      <c r="BR7" s="34">
        <f t="shared" si="15"/>
        <v>23</v>
      </c>
      <c r="BS7" s="21">
        <v>186.7</v>
      </c>
      <c r="BT7" s="34">
        <f t="shared" si="41"/>
        <v>30.000000000001137</v>
      </c>
      <c r="BU7" s="21">
        <v>23538</v>
      </c>
      <c r="BV7" s="34">
        <f t="shared" si="16"/>
        <v>26</v>
      </c>
      <c r="BW7" s="21">
        <v>216.01</v>
      </c>
      <c r="BX7" s="34">
        <f t="shared" si="42"/>
        <v>30.000000000001137</v>
      </c>
      <c r="BY7" s="78">
        <v>38725</v>
      </c>
      <c r="BZ7" s="34">
        <f t="shared" si="17"/>
        <v>42</v>
      </c>
      <c r="CA7" s="84">
        <v>23038</v>
      </c>
      <c r="CB7" s="34">
        <f t="shared" si="18"/>
        <v>23.200000000000728</v>
      </c>
      <c r="CC7" s="84">
        <v>9857.2999999999993</v>
      </c>
      <c r="CD7" s="34">
        <f t="shared" si="19"/>
        <v>5.5999999999985448</v>
      </c>
      <c r="CE7" s="84">
        <v>4645</v>
      </c>
      <c r="CF7" s="34">
        <f t="shared" si="20"/>
        <v>11.600000000000364</v>
      </c>
      <c r="CG7" s="84">
        <v>34996.6</v>
      </c>
      <c r="CH7" s="34">
        <f t="shared" si="21"/>
        <v>92.299999999995634</v>
      </c>
      <c r="CI7" s="84">
        <v>805994</v>
      </c>
      <c r="CJ7" s="34">
        <f t="shared" si="1"/>
        <v>258</v>
      </c>
      <c r="CK7" s="84">
        <v>470.06</v>
      </c>
      <c r="CL7" s="44">
        <f t="shared" si="22"/>
        <v>689.99999999999773</v>
      </c>
      <c r="CM7" s="34">
        <v>79</v>
      </c>
      <c r="CN7" s="35">
        <v>17</v>
      </c>
      <c r="CO7" s="35">
        <v>35</v>
      </c>
    </row>
    <row r="8" spans="1:93" ht="25.5" customHeight="1" thickBot="1" x14ac:dyDescent="0.45">
      <c r="A8" s="31">
        <v>43804</v>
      </c>
      <c r="B8" s="45"/>
      <c r="C8" s="20">
        <v>1.3227</v>
      </c>
      <c r="D8" s="44">
        <f t="shared" si="2"/>
        <v>1400.0000000000678</v>
      </c>
      <c r="E8" s="20">
        <v>2.2313000000000001</v>
      </c>
      <c r="F8" s="44">
        <f t="shared" si="3"/>
        <v>2499.9999999999468</v>
      </c>
      <c r="G8" s="20">
        <v>2.0699000000000001</v>
      </c>
      <c r="H8" s="44">
        <f t="shared" si="4"/>
        <v>2699.9999999999245</v>
      </c>
      <c r="I8" s="20">
        <v>965.07</v>
      </c>
      <c r="J8" s="44">
        <f t="shared" si="5"/>
        <v>1210.0000000000364</v>
      </c>
      <c r="K8" s="20">
        <v>1.4790000000000001</v>
      </c>
      <c r="L8" s="44">
        <f t="shared" si="0"/>
        <v>2200.0000000002019</v>
      </c>
      <c r="M8" s="20">
        <v>926.94</v>
      </c>
      <c r="N8" s="34">
        <f t="shared" si="23"/>
        <v>1130.0000000001091</v>
      </c>
      <c r="O8" s="20">
        <v>10357</v>
      </c>
      <c r="P8" s="34">
        <f t="shared" si="6"/>
        <v>18</v>
      </c>
      <c r="Q8" s="20">
        <v>4109</v>
      </c>
      <c r="R8" s="34">
        <f t="shared" si="7"/>
        <v>6</v>
      </c>
      <c r="S8" s="20">
        <v>676392</v>
      </c>
      <c r="T8" s="34">
        <f t="shared" si="8"/>
        <v>1856</v>
      </c>
      <c r="U8" s="20">
        <v>273728</v>
      </c>
      <c r="V8" s="34">
        <f t="shared" si="9"/>
        <v>381</v>
      </c>
      <c r="W8" s="20">
        <v>269.07</v>
      </c>
      <c r="X8" s="34">
        <f t="shared" si="43"/>
        <v>300.00000000001137</v>
      </c>
      <c r="Y8" s="20">
        <v>1.9831000000000001</v>
      </c>
      <c r="Z8" s="34">
        <f t="shared" si="24"/>
        <v>2199.9999999999795</v>
      </c>
      <c r="AA8" s="20">
        <v>265.85000000000002</v>
      </c>
      <c r="AB8" s="34">
        <f t="shared" si="25"/>
        <v>280.00000000002956</v>
      </c>
      <c r="AC8" s="20">
        <v>242.94</v>
      </c>
      <c r="AD8" s="34">
        <f t="shared" si="26"/>
        <v>270.00000000001023</v>
      </c>
      <c r="AE8" s="20">
        <v>354.84</v>
      </c>
      <c r="AF8" s="34">
        <f t="shared" si="27"/>
        <v>489.99999999995225</v>
      </c>
      <c r="AG8" s="20">
        <v>935.8</v>
      </c>
      <c r="AH8" s="34">
        <f t="shared" si="10"/>
        <v>1.2999999999999545</v>
      </c>
      <c r="AI8" s="20">
        <v>335.31</v>
      </c>
      <c r="AJ8" s="34">
        <f t="shared" si="28"/>
        <v>310.00000000000227</v>
      </c>
      <c r="AK8" s="20">
        <v>114.42</v>
      </c>
      <c r="AL8" s="34">
        <f t="shared" si="11"/>
        <v>7.9999999999998295E-2</v>
      </c>
      <c r="AM8" s="20">
        <v>116.7</v>
      </c>
      <c r="AN8" s="34">
        <f t="shared" si="12"/>
        <v>0.14000000000000057</v>
      </c>
      <c r="AO8" s="20">
        <v>115.99</v>
      </c>
      <c r="AP8" s="34">
        <f t="shared" si="13"/>
        <v>8.99999999999892E-2</v>
      </c>
      <c r="AQ8" s="20">
        <v>192.78</v>
      </c>
      <c r="AR8" s="34">
        <f t="shared" si="29"/>
        <v>39.999999999992042</v>
      </c>
      <c r="AS8" s="20">
        <v>315.04000000000002</v>
      </c>
      <c r="AT8" s="34">
        <f t="shared" si="30"/>
        <v>80.000000000040927</v>
      </c>
      <c r="AU8" s="20">
        <v>239.97</v>
      </c>
      <c r="AV8" s="34">
        <f t="shared" si="31"/>
        <v>109.99999999998522</v>
      </c>
      <c r="AW8" s="20">
        <v>271.35000000000002</v>
      </c>
      <c r="AX8" s="34">
        <f t="shared" si="32"/>
        <v>100.00000000002274</v>
      </c>
      <c r="AY8" s="20">
        <v>324.41000000000003</v>
      </c>
      <c r="AZ8" s="34">
        <f t="shared" si="33"/>
        <v>50.000000000011369</v>
      </c>
      <c r="BA8" s="20">
        <v>341.83</v>
      </c>
      <c r="BB8" s="34">
        <f t="shared" si="34"/>
        <v>39.99999999996362</v>
      </c>
      <c r="BC8" s="20">
        <v>195.99</v>
      </c>
      <c r="BD8" s="34">
        <f t="shared" si="35"/>
        <v>20.000000000010232</v>
      </c>
      <c r="BE8" s="21">
        <v>20803</v>
      </c>
      <c r="BF8" s="34">
        <f t="shared" si="14"/>
        <v>21</v>
      </c>
      <c r="BG8" s="21">
        <v>218.45</v>
      </c>
      <c r="BH8" s="34">
        <f t="shared" si="36"/>
        <v>19.99999999998181</v>
      </c>
      <c r="BI8" s="21">
        <v>274.52</v>
      </c>
      <c r="BJ8" s="34">
        <f t="shared" si="37"/>
        <v>29.999999999972715</v>
      </c>
      <c r="BK8" s="21">
        <v>222.42</v>
      </c>
      <c r="BL8" s="34">
        <f t="shared" si="38"/>
        <v>30.000000000001137</v>
      </c>
      <c r="BM8" s="21">
        <v>205.67</v>
      </c>
      <c r="BN8" s="34">
        <f t="shared" si="39"/>
        <v>30.000000000001137</v>
      </c>
      <c r="BO8" s="21">
        <v>269.17</v>
      </c>
      <c r="BP8" s="34">
        <f t="shared" si="40"/>
        <v>30.000000000029559</v>
      </c>
      <c r="BQ8" s="21">
        <v>32654</v>
      </c>
      <c r="BR8" s="34">
        <f t="shared" si="15"/>
        <v>26</v>
      </c>
      <c r="BS8" s="21">
        <v>186.72</v>
      </c>
      <c r="BT8" s="34">
        <f t="shared" si="41"/>
        <v>20.000000000010232</v>
      </c>
      <c r="BU8" s="21">
        <v>23558</v>
      </c>
      <c r="BV8" s="34">
        <f t="shared" si="16"/>
        <v>20</v>
      </c>
      <c r="BW8" s="21">
        <v>216.04</v>
      </c>
      <c r="BX8" s="34">
        <f t="shared" si="42"/>
        <v>30.000000000001137</v>
      </c>
      <c r="BY8" s="78">
        <v>38782</v>
      </c>
      <c r="BZ8" s="34">
        <f t="shared" si="17"/>
        <v>57</v>
      </c>
      <c r="CA8" s="84">
        <v>23054.799999999999</v>
      </c>
      <c r="CB8" s="34">
        <f t="shared" si="18"/>
        <v>16.799999999999272</v>
      </c>
      <c r="CC8" s="84">
        <v>9868</v>
      </c>
      <c r="CD8" s="34">
        <f t="shared" si="19"/>
        <v>10.700000000000728</v>
      </c>
      <c r="CE8" s="84">
        <v>4645.3</v>
      </c>
      <c r="CF8" s="34">
        <f t="shared" si="20"/>
        <v>0.3000000000001819</v>
      </c>
      <c r="CG8" s="84">
        <v>35027.300000000003</v>
      </c>
      <c r="CH8" s="34">
        <f t="shared" si="21"/>
        <v>30.700000000004366</v>
      </c>
      <c r="CI8" s="84">
        <v>806242</v>
      </c>
      <c r="CJ8" s="34">
        <f t="shared" si="1"/>
        <v>248</v>
      </c>
      <c r="CK8" s="84">
        <v>470.68</v>
      </c>
      <c r="CL8" s="44">
        <f t="shared" si="22"/>
        <v>620.00000000000455</v>
      </c>
      <c r="CM8" s="34">
        <v>77</v>
      </c>
      <c r="CN8" s="35">
        <v>4</v>
      </c>
      <c r="CO8" s="35">
        <v>18</v>
      </c>
    </row>
    <row r="9" spans="1:93" ht="25.5" customHeight="1" thickBot="1" x14ac:dyDescent="0.45">
      <c r="A9" s="31">
        <v>43805</v>
      </c>
      <c r="B9" s="45"/>
      <c r="C9" s="20">
        <v>1.3239000000000001</v>
      </c>
      <c r="D9" s="44">
        <f t="shared" si="2"/>
        <v>1200.0000000000898</v>
      </c>
      <c r="E9" s="20">
        <v>2.2341000000000002</v>
      </c>
      <c r="F9" s="44">
        <f t="shared" si="3"/>
        <v>2800.0000000001355</v>
      </c>
      <c r="G9" s="20">
        <v>2.073</v>
      </c>
      <c r="H9" s="44">
        <f t="shared" si="4"/>
        <v>3099.9999999998809</v>
      </c>
      <c r="I9" s="20">
        <v>966.46</v>
      </c>
      <c r="J9" s="44">
        <f t="shared" si="5"/>
        <v>1389.9999999999864</v>
      </c>
      <c r="K9" s="20">
        <v>1.4814000000000001</v>
      </c>
      <c r="L9" s="44">
        <f t="shared" si="0"/>
        <v>2399.9999999999577</v>
      </c>
      <c r="M9" s="20">
        <v>928.2</v>
      </c>
      <c r="N9" s="34">
        <f t="shared" si="23"/>
        <v>1259.9999999999909</v>
      </c>
      <c r="O9" s="20">
        <v>10374</v>
      </c>
      <c r="P9" s="34">
        <f t="shared" si="6"/>
        <v>17</v>
      </c>
      <c r="Q9" s="20">
        <v>4117</v>
      </c>
      <c r="R9" s="34">
        <f t="shared" si="7"/>
        <v>8</v>
      </c>
      <c r="S9" s="20">
        <v>677295</v>
      </c>
      <c r="T9" s="34">
        <f t="shared" si="8"/>
        <v>903</v>
      </c>
      <c r="U9" s="20">
        <v>274113</v>
      </c>
      <c r="V9" s="34">
        <f t="shared" si="9"/>
        <v>385</v>
      </c>
      <c r="W9" s="20">
        <v>269.36</v>
      </c>
      <c r="X9" s="34">
        <f t="shared" si="43"/>
        <v>290.00000000002046</v>
      </c>
      <c r="Y9" s="20">
        <v>1.9855</v>
      </c>
      <c r="Z9" s="34">
        <f t="shared" si="24"/>
        <v>2399.9999999999577</v>
      </c>
      <c r="AA9" s="20">
        <v>266.23</v>
      </c>
      <c r="AB9" s="34">
        <f t="shared" si="25"/>
        <v>379.99999999999545</v>
      </c>
      <c r="AC9" s="20">
        <v>243.2</v>
      </c>
      <c r="AD9" s="34">
        <f t="shared" si="26"/>
        <v>259.99999999999091</v>
      </c>
      <c r="AE9" s="20">
        <v>355.34</v>
      </c>
      <c r="AF9" s="34">
        <f t="shared" si="27"/>
        <v>500</v>
      </c>
      <c r="AG9" s="20">
        <v>936.9</v>
      </c>
      <c r="AH9" s="34">
        <f t="shared" si="10"/>
        <v>1.1000000000000227</v>
      </c>
      <c r="AI9" s="20">
        <v>335.63</v>
      </c>
      <c r="AJ9" s="34">
        <f t="shared" si="28"/>
        <v>319.99999999999318</v>
      </c>
      <c r="AK9" s="20">
        <v>114.51</v>
      </c>
      <c r="AL9" s="34">
        <f t="shared" si="11"/>
        <v>9.0000000000003411E-2</v>
      </c>
      <c r="AM9" s="20">
        <v>116.85</v>
      </c>
      <c r="AN9" s="34">
        <f t="shared" si="12"/>
        <v>0.14999999999999147</v>
      </c>
      <c r="AO9" s="20">
        <v>116.07</v>
      </c>
      <c r="AP9" s="34">
        <f t="shared" si="13"/>
        <v>7.9999999999998295E-2</v>
      </c>
      <c r="AQ9" s="20">
        <v>192.81</v>
      </c>
      <c r="AR9" s="34">
        <f t="shared" si="29"/>
        <v>30.000000000001137</v>
      </c>
      <c r="AS9" s="20">
        <v>315.12</v>
      </c>
      <c r="AT9" s="34">
        <f t="shared" si="30"/>
        <v>79.999999999984084</v>
      </c>
      <c r="AU9" s="20">
        <v>240.05</v>
      </c>
      <c r="AV9" s="34">
        <f t="shared" si="31"/>
        <v>80.000000000012506</v>
      </c>
      <c r="AW9" s="20">
        <v>271.43</v>
      </c>
      <c r="AX9" s="34">
        <f t="shared" si="32"/>
        <v>79.999999999984084</v>
      </c>
      <c r="AY9" s="20">
        <v>324.45</v>
      </c>
      <c r="AZ9" s="34">
        <f t="shared" si="33"/>
        <v>39.99999999996362</v>
      </c>
      <c r="BA9" s="20">
        <v>341.87</v>
      </c>
      <c r="BB9" s="34">
        <f t="shared" si="34"/>
        <v>40.000000000020464</v>
      </c>
      <c r="BC9" s="20">
        <v>196.01</v>
      </c>
      <c r="BD9" s="34">
        <f t="shared" si="35"/>
        <v>19.99999999998181</v>
      </c>
      <c r="BE9" s="21">
        <v>20848</v>
      </c>
      <c r="BF9" s="34">
        <f t="shared" si="14"/>
        <v>45</v>
      </c>
      <c r="BG9" s="21">
        <v>218.47</v>
      </c>
      <c r="BH9" s="34">
        <f t="shared" si="36"/>
        <v>20.000000000010232</v>
      </c>
      <c r="BI9" s="21">
        <v>274.56</v>
      </c>
      <c r="BJ9" s="34">
        <f t="shared" si="37"/>
        <v>40.000000000020464</v>
      </c>
      <c r="BK9" s="21">
        <v>222.44</v>
      </c>
      <c r="BL9" s="34">
        <f t="shared" si="38"/>
        <v>20.000000000010232</v>
      </c>
      <c r="BM9" s="21">
        <v>205.7</v>
      </c>
      <c r="BN9" s="34">
        <f t="shared" si="39"/>
        <v>30.000000000001137</v>
      </c>
      <c r="BO9" s="21">
        <v>269.20999999999998</v>
      </c>
      <c r="BP9" s="34">
        <f t="shared" si="40"/>
        <v>39.99999999996362</v>
      </c>
      <c r="BQ9" s="21">
        <v>32682</v>
      </c>
      <c r="BR9" s="34">
        <f t="shared" si="15"/>
        <v>28</v>
      </c>
      <c r="BS9" s="21">
        <v>186.76</v>
      </c>
      <c r="BT9" s="34">
        <f t="shared" si="41"/>
        <v>39.999999999992042</v>
      </c>
      <c r="BU9" s="21">
        <v>23578</v>
      </c>
      <c r="BV9" s="34">
        <f t="shared" si="16"/>
        <v>20</v>
      </c>
      <c r="BW9" s="21">
        <v>216.07</v>
      </c>
      <c r="BX9" s="34">
        <f t="shared" si="42"/>
        <v>30.000000000001137</v>
      </c>
      <c r="BY9" s="78">
        <v>38843</v>
      </c>
      <c r="BZ9" s="34">
        <f t="shared" si="17"/>
        <v>61</v>
      </c>
      <c r="CA9" s="84">
        <v>23076.3</v>
      </c>
      <c r="CB9" s="34">
        <f t="shared" si="18"/>
        <v>21.5</v>
      </c>
      <c r="CC9" s="84">
        <v>9879.4</v>
      </c>
      <c r="CD9" s="34">
        <f t="shared" si="19"/>
        <v>11.399999999999636</v>
      </c>
      <c r="CE9" s="84">
        <v>4655.3999999999996</v>
      </c>
      <c r="CF9" s="34">
        <f t="shared" si="20"/>
        <v>10.099999999999454</v>
      </c>
      <c r="CG9" s="84">
        <v>35068.300000000003</v>
      </c>
      <c r="CH9" s="34">
        <f t="shared" si="21"/>
        <v>41</v>
      </c>
      <c r="CI9" s="84">
        <v>806521</v>
      </c>
      <c r="CJ9" s="34">
        <f t="shared" si="1"/>
        <v>279</v>
      </c>
      <c r="CK9" s="84">
        <v>471.35</v>
      </c>
      <c r="CL9" s="44">
        <f t="shared" si="22"/>
        <v>670.00000000001592</v>
      </c>
      <c r="CM9" s="34">
        <v>78</v>
      </c>
      <c r="CN9" s="35">
        <v>7</v>
      </c>
      <c r="CO9" s="35">
        <v>20</v>
      </c>
    </row>
    <row r="10" spans="1:93" ht="25.5" customHeight="1" thickBot="1" x14ac:dyDescent="0.45">
      <c r="A10" s="31">
        <v>43806</v>
      </c>
      <c r="B10" s="45"/>
      <c r="C10" s="20">
        <v>1.325</v>
      </c>
      <c r="D10" s="44">
        <f t="shared" si="2"/>
        <v>1099.9999999998788</v>
      </c>
      <c r="E10" s="20">
        <v>2.2368000000000001</v>
      </c>
      <c r="F10" s="44">
        <f t="shared" si="3"/>
        <v>2699.9999999999245</v>
      </c>
      <c r="G10" s="20">
        <v>2.0756999999999999</v>
      </c>
      <c r="H10" s="44">
        <f t="shared" si="4"/>
        <v>2699.9999999999245</v>
      </c>
      <c r="I10" s="20">
        <v>967.9</v>
      </c>
      <c r="J10" s="44">
        <f t="shared" si="5"/>
        <v>1439.9999999999409</v>
      </c>
      <c r="K10" s="20">
        <v>1.4838</v>
      </c>
      <c r="L10" s="44">
        <f t="shared" si="0"/>
        <v>2399.9999999999577</v>
      </c>
      <c r="M10" s="20">
        <v>929.3</v>
      </c>
      <c r="N10" s="34">
        <f t="shared" si="23"/>
        <v>1099.9999999999091</v>
      </c>
      <c r="O10" s="20">
        <v>10394</v>
      </c>
      <c r="P10" s="34">
        <f t="shared" si="6"/>
        <v>20</v>
      </c>
      <c r="Q10" s="20">
        <v>4123</v>
      </c>
      <c r="R10" s="34">
        <f t="shared" si="7"/>
        <v>6</v>
      </c>
      <c r="S10" s="20">
        <v>678085</v>
      </c>
      <c r="T10" s="34">
        <f t="shared" si="8"/>
        <v>790</v>
      </c>
      <c r="U10" s="20">
        <v>274522</v>
      </c>
      <c r="V10" s="34">
        <f t="shared" si="9"/>
        <v>409</v>
      </c>
      <c r="W10" s="20">
        <v>269.7</v>
      </c>
      <c r="X10" s="34">
        <f t="shared" si="43"/>
        <v>339.99999999997499</v>
      </c>
      <c r="Y10" s="20">
        <v>1.9878</v>
      </c>
      <c r="Z10" s="34">
        <f t="shared" si="24"/>
        <v>2299.9999999999686</v>
      </c>
      <c r="AA10" s="20">
        <v>266.5</v>
      </c>
      <c r="AB10" s="34">
        <f t="shared" si="25"/>
        <v>269.99999999998181</v>
      </c>
      <c r="AC10" s="20">
        <v>243.44</v>
      </c>
      <c r="AD10" s="34">
        <f t="shared" si="26"/>
        <v>240.00000000000909</v>
      </c>
      <c r="AE10" s="20">
        <v>355.85</v>
      </c>
      <c r="AF10" s="34">
        <f t="shared" si="27"/>
        <v>510.00000000004775</v>
      </c>
      <c r="AG10" s="20">
        <v>938.7</v>
      </c>
      <c r="AH10" s="34">
        <f t="shared" si="10"/>
        <v>1.8000000000000682</v>
      </c>
      <c r="AI10" s="20">
        <v>335.93</v>
      </c>
      <c r="AJ10" s="34">
        <f t="shared" si="28"/>
        <v>300.00000000001137</v>
      </c>
      <c r="AK10" s="20">
        <v>114.65</v>
      </c>
      <c r="AL10" s="34">
        <f t="shared" si="11"/>
        <v>0.14000000000000057</v>
      </c>
      <c r="AM10" s="20">
        <v>116.96</v>
      </c>
      <c r="AN10" s="34">
        <f t="shared" si="12"/>
        <v>0.10999999999999943</v>
      </c>
      <c r="AO10" s="20">
        <v>116.12</v>
      </c>
      <c r="AP10" s="34">
        <f t="shared" si="13"/>
        <v>5.0000000000011369E-2</v>
      </c>
      <c r="AQ10" s="20">
        <v>192.85</v>
      </c>
      <c r="AR10" s="34">
        <f t="shared" si="29"/>
        <v>39.999999999992042</v>
      </c>
      <c r="AS10" s="20">
        <v>315.19</v>
      </c>
      <c r="AT10" s="34">
        <f t="shared" si="30"/>
        <v>69.999999999993179</v>
      </c>
      <c r="AU10" s="20">
        <v>240.11</v>
      </c>
      <c r="AV10" s="34">
        <f t="shared" si="31"/>
        <v>60.000000000002274</v>
      </c>
      <c r="AW10" s="20">
        <v>271.49</v>
      </c>
      <c r="AX10" s="34">
        <f t="shared" si="32"/>
        <v>60.000000000002274</v>
      </c>
      <c r="AY10" s="20">
        <v>324.48</v>
      </c>
      <c r="AZ10" s="34">
        <f t="shared" si="33"/>
        <v>30.000000000029559</v>
      </c>
      <c r="BA10" s="20">
        <v>341.93</v>
      </c>
      <c r="BB10" s="34">
        <f t="shared" si="34"/>
        <v>60.000000000002274</v>
      </c>
      <c r="BC10" s="20">
        <v>196.03</v>
      </c>
      <c r="BD10" s="34">
        <f t="shared" si="35"/>
        <v>20.000000000010232</v>
      </c>
      <c r="BE10" s="21">
        <v>20902</v>
      </c>
      <c r="BF10" s="34">
        <f t="shared" si="14"/>
        <v>54</v>
      </c>
      <c r="BG10" s="21">
        <v>218.5</v>
      </c>
      <c r="BH10" s="34">
        <f t="shared" si="36"/>
        <v>30.000000000001137</v>
      </c>
      <c r="BI10" s="21">
        <v>274.60000000000002</v>
      </c>
      <c r="BJ10" s="34">
        <f t="shared" si="37"/>
        <v>40.000000000020464</v>
      </c>
      <c r="BK10" s="21">
        <v>222.48</v>
      </c>
      <c r="BL10" s="34">
        <f t="shared" si="38"/>
        <v>39.999999999992042</v>
      </c>
      <c r="BM10" s="21">
        <v>205.74</v>
      </c>
      <c r="BN10" s="34">
        <f t="shared" si="39"/>
        <v>40.000000000020464</v>
      </c>
      <c r="BO10" s="21">
        <v>269.26</v>
      </c>
      <c r="BP10" s="34">
        <f t="shared" si="40"/>
        <v>50.000000000011369</v>
      </c>
      <c r="BQ10" s="21">
        <v>32718</v>
      </c>
      <c r="BR10" s="34">
        <f t="shared" si="15"/>
        <v>36</v>
      </c>
      <c r="BS10" s="21">
        <v>186.79</v>
      </c>
      <c r="BT10" s="34">
        <f t="shared" si="41"/>
        <v>30.000000000001137</v>
      </c>
      <c r="BU10" s="21">
        <v>23615</v>
      </c>
      <c r="BV10" s="34">
        <f t="shared" si="16"/>
        <v>37</v>
      </c>
      <c r="BW10" s="21">
        <v>216.11</v>
      </c>
      <c r="BX10" s="34">
        <f t="shared" si="42"/>
        <v>40.000000000020464</v>
      </c>
      <c r="BY10" s="78">
        <v>38930</v>
      </c>
      <c r="BZ10" s="34">
        <f t="shared" si="17"/>
        <v>87</v>
      </c>
      <c r="CA10" s="84">
        <v>23102.799999999999</v>
      </c>
      <c r="CB10" s="34">
        <f t="shared" si="18"/>
        <v>26.5</v>
      </c>
      <c r="CC10" s="84">
        <v>9889.7999999999993</v>
      </c>
      <c r="CD10" s="34">
        <f t="shared" si="19"/>
        <v>10.399999999999636</v>
      </c>
      <c r="CE10" s="84">
        <v>4660.3999999999996</v>
      </c>
      <c r="CF10" s="34">
        <f t="shared" si="20"/>
        <v>5</v>
      </c>
      <c r="CG10" s="84">
        <v>35153</v>
      </c>
      <c r="CH10" s="34">
        <f t="shared" si="21"/>
        <v>84.69999999999709</v>
      </c>
      <c r="CI10" s="84">
        <v>806838</v>
      </c>
      <c r="CJ10" s="34">
        <f t="shared" si="1"/>
        <v>317</v>
      </c>
      <c r="CK10" s="84">
        <v>471.96</v>
      </c>
      <c r="CL10" s="44">
        <f t="shared" si="22"/>
        <v>609.9999999999568</v>
      </c>
      <c r="CM10" s="34">
        <v>73</v>
      </c>
      <c r="CN10" s="35">
        <v>-3</v>
      </c>
      <c r="CO10" s="35">
        <v>13</v>
      </c>
    </row>
    <row r="11" spans="1:93" ht="25.5" customHeight="1" thickBot="1" x14ac:dyDescent="0.45">
      <c r="A11" s="31">
        <v>43807</v>
      </c>
      <c r="B11" s="45"/>
      <c r="C11" s="20">
        <v>1.3262</v>
      </c>
      <c r="D11" s="44">
        <f t="shared" si="2"/>
        <v>1200.0000000000898</v>
      </c>
      <c r="E11" s="20">
        <v>2.2395</v>
      </c>
      <c r="F11" s="44">
        <f t="shared" si="3"/>
        <v>2699.9999999999245</v>
      </c>
      <c r="G11" s="20">
        <v>2.0783999999999998</v>
      </c>
      <c r="H11" s="44">
        <f t="shared" si="4"/>
        <v>2699.9999999999245</v>
      </c>
      <c r="I11" s="20">
        <v>969.39</v>
      </c>
      <c r="J11" s="44">
        <f t="shared" si="5"/>
        <v>1490.0000000000091</v>
      </c>
      <c r="K11" s="20">
        <v>1.4862</v>
      </c>
      <c r="L11" s="44">
        <f t="shared" si="0"/>
        <v>2399.9999999999577</v>
      </c>
      <c r="M11" s="20">
        <v>930.83</v>
      </c>
      <c r="N11" s="34">
        <f t="shared" si="23"/>
        <v>1530.0000000000864</v>
      </c>
      <c r="O11" s="20">
        <v>10395</v>
      </c>
      <c r="P11" s="34">
        <f t="shared" si="6"/>
        <v>1</v>
      </c>
      <c r="Q11" s="20">
        <v>4132</v>
      </c>
      <c r="R11" s="34">
        <f t="shared" si="7"/>
        <v>9</v>
      </c>
      <c r="S11" s="20">
        <v>679042</v>
      </c>
      <c r="T11" s="34">
        <f t="shared" si="8"/>
        <v>957</v>
      </c>
      <c r="U11" s="20">
        <v>274902</v>
      </c>
      <c r="V11" s="34">
        <f t="shared" si="9"/>
        <v>380</v>
      </c>
      <c r="W11" s="20">
        <v>270.01</v>
      </c>
      <c r="X11" s="34">
        <f t="shared" si="43"/>
        <v>310.00000000000227</v>
      </c>
      <c r="Y11" s="20">
        <v>1.9902</v>
      </c>
      <c r="Z11" s="34">
        <f t="shared" si="24"/>
        <v>2399.9999999999577</v>
      </c>
      <c r="AA11" s="20">
        <v>266.92</v>
      </c>
      <c r="AB11" s="34">
        <f t="shared" si="25"/>
        <v>420.00000000001592</v>
      </c>
      <c r="AC11" s="20">
        <v>243.69</v>
      </c>
      <c r="AD11" s="34">
        <f t="shared" si="26"/>
        <v>250</v>
      </c>
      <c r="AE11" s="20">
        <v>356.53</v>
      </c>
      <c r="AF11" s="34">
        <f t="shared" si="27"/>
        <v>679.99999999994998</v>
      </c>
      <c r="AG11" s="20">
        <v>940.4</v>
      </c>
      <c r="AH11" s="34">
        <f t="shared" si="10"/>
        <v>1.6999999999999318</v>
      </c>
      <c r="AI11" s="20">
        <v>336.25</v>
      </c>
      <c r="AJ11" s="34">
        <f t="shared" si="28"/>
        <v>319.99999999999318</v>
      </c>
      <c r="AK11" s="20">
        <v>114.8</v>
      </c>
      <c r="AL11" s="34">
        <f t="shared" si="11"/>
        <v>0.14999999999999147</v>
      </c>
      <c r="AM11" s="20">
        <v>117.05</v>
      </c>
      <c r="AN11" s="34">
        <f t="shared" si="12"/>
        <v>9.0000000000003411E-2</v>
      </c>
      <c r="AO11" s="20">
        <v>116.16</v>
      </c>
      <c r="AP11" s="34">
        <f t="shared" si="13"/>
        <v>3.9999999999992042E-2</v>
      </c>
      <c r="AQ11" s="20">
        <v>192.88</v>
      </c>
      <c r="AR11" s="34">
        <f t="shared" si="29"/>
        <v>30.000000000001137</v>
      </c>
      <c r="AS11" s="20">
        <v>315.26</v>
      </c>
      <c r="AT11" s="34">
        <f t="shared" si="30"/>
        <v>69.999999999993179</v>
      </c>
      <c r="AU11" s="20">
        <v>240.18</v>
      </c>
      <c r="AV11" s="34">
        <f t="shared" si="31"/>
        <v>69.999999999993179</v>
      </c>
      <c r="AW11" s="20">
        <v>271.56</v>
      </c>
      <c r="AX11" s="34">
        <f t="shared" si="32"/>
        <v>69.999999999993179</v>
      </c>
      <c r="AY11" s="20">
        <v>324.52</v>
      </c>
      <c r="AZ11" s="34">
        <f t="shared" si="33"/>
        <v>39.99999999996362</v>
      </c>
      <c r="BA11" s="20">
        <v>341.97</v>
      </c>
      <c r="BB11" s="34">
        <f t="shared" si="34"/>
        <v>40.000000000020464</v>
      </c>
      <c r="BC11" s="20">
        <v>196.03</v>
      </c>
      <c r="BD11" s="34">
        <f t="shared" si="35"/>
        <v>0</v>
      </c>
      <c r="BE11" s="21">
        <v>20950</v>
      </c>
      <c r="BF11" s="34">
        <f t="shared" si="14"/>
        <v>48</v>
      </c>
      <c r="BG11" s="21">
        <v>218.53</v>
      </c>
      <c r="BH11" s="34">
        <f t="shared" si="36"/>
        <v>30.000000000001137</v>
      </c>
      <c r="BI11" s="21">
        <v>274.64999999999998</v>
      </c>
      <c r="BJ11" s="34">
        <f t="shared" si="37"/>
        <v>49.999999999954525</v>
      </c>
      <c r="BK11" s="21">
        <v>222.53</v>
      </c>
      <c r="BL11" s="34">
        <f t="shared" si="38"/>
        <v>50.000000000011369</v>
      </c>
      <c r="BM11" s="21">
        <v>205.78</v>
      </c>
      <c r="BN11" s="34">
        <f t="shared" si="39"/>
        <v>39.999999999992042</v>
      </c>
      <c r="BO11" s="21">
        <v>269.3</v>
      </c>
      <c r="BP11" s="34">
        <f t="shared" si="40"/>
        <v>40.000000000020464</v>
      </c>
      <c r="BQ11" s="21">
        <v>32752</v>
      </c>
      <c r="BR11" s="34">
        <f t="shared" si="15"/>
        <v>34</v>
      </c>
      <c r="BS11" s="21">
        <v>186.82</v>
      </c>
      <c r="BT11" s="34">
        <f t="shared" si="41"/>
        <v>30.000000000001137</v>
      </c>
      <c r="BU11" s="21">
        <v>23657</v>
      </c>
      <c r="BV11" s="34">
        <f t="shared" si="16"/>
        <v>42</v>
      </c>
      <c r="BW11" s="21">
        <v>216.15</v>
      </c>
      <c r="BX11" s="34">
        <f t="shared" si="42"/>
        <v>39.999999999992042</v>
      </c>
      <c r="BY11" s="78">
        <v>38993</v>
      </c>
      <c r="BZ11" s="34">
        <f t="shared" si="17"/>
        <v>63</v>
      </c>
      <c r="CA11" s="84">
        <v>23136.1</v>
      </c>
      <c r="CB11" s="34">
        <f t="shared" si="18"/>
        <v>33.299999999999272</v>
      </c>
      <c r="CC11" s="84">
        <v>9902.6</v>
      </c>
      <c r="CD11" s="34">
        <f t="shared" si="19"/>
        <v>12.800000000001091</v>
      </c>
      <c r="CE11" s="84">
        <v>4665.2</v>
      </c>
      <c r="CF11" s="34">
        <f t="shared" si="20"/>
        <v>4.8000000000001819</v>
      </c>
      <c r="CG11" s="84">
        <v>35209.599999999999</v>
      </c>
      <c r="CH11" s="34">
        <f t="shared" si="21"/>
        <v>56.599999999998545</v>
      </c>
      <c r="CI11" s="84">
        <v>807147</v>
      </c>
      <c r="CJ11" s="34">
        <f t="shared" si="1"/>
        <v>309</v>
      </c>
      <c r="CK11" s="84">
        <v>472.51</v>
      </c>
      <c r="CL11" s="44">
        <f t="shared" si="22"/>
        <v>550.00000000001137</v>
      </c>
      <c r="CM11" s="34">
        <v>60.9</v>
      </c>
      <c r="CN11" s="35">
        <v>3</v>
      </c>
      <c r="CO11" s="35">
        <v>20</v>
      </c>
    </row>
    <row r="12" spans="1:93" ht="25.5" customHeight="1" thickBot="1" x14ac:dyDescent="0.45">
      <c r="A12" s="31">
        <v>43808</v>
      </c>
      <c r="B12" s="45"/>
      <c r="C12" s="20">
        <v>1.3280000000000001</v>
      </c>
      <c r="D12" s="44">
        <f t="shared" si="2"/>
        <v>1800.0000000000239</v>
      </c>
      <c r="E12" s="20">
        <v>2.2423000000000002</v>
      </c>
      <c r="F12" s="44">
        <f t="shared" si="3"/>
        <v>2800.0000000001355</v>
      </c>
      <c r="G12" s="20">
        <v>2.0813000000000001</v>
      </c>
      <c r="H12" s="44">
        <f t="shared" si="4"/>
        <v>2900.0000000003465</v>
      </c>
      <c r="I12" s="20">
        <v>970.81</v>
      </c>
      <c r="J12" s="44">
        <f t="shared" si="5"/>
        <v>1419.9999999999591</v>
      </c>
      <c r="K12" s="20">
        <v>1.4885999999999999</v>
      </c>
      <c r="L12" s="44">
        <f t="shared" si="0"/>
        <v>2399.9999999999577</v>
      </c>
      <c r="M12" s="20">
        <v>932.33</v>
      </c>
      <c r="N12" s="34">
        <f t="shared" si="23"/>
        <v>1500</v>
      </c>
      <c r="O12" s="20">
        <v>10415</v>
      </c>
      <c r="P12" s="34">
        <f t="shared" si="6"/>
        <v>20</v>
      </c>
      <c r="Q12" s="20">
        <v>4141</v>
      </c>
      <c r="R12" s="34">
        <f t="shared" si="7"/>
        <v>9</v>
      </c>
      <c r="S12" s="20">
        <v>679896</v>
      </c>
      <c r="T12" s="34">
        <f t="shared" si="8"/>
        <v>854</v>
      </c>
      <c r="U12" s="20">
        <v>275296</v>
      </c>
      <c r="V12" s="34">
        <f t="shared" si="9"/>
        <v>394</v>
      </c>
      <c r="W12" s="20">
        <v>270.27999999999997</v>
      </c>
      <c r="X12" s="34">
        <f t="shared" si="43"/>
        <v>269.99999999998181</v>
      </c>
      <c r="Y12" s="20">
        <v>1.9927999999999999</v>
      </c>
      <c r="Z12" s="34">
        <f t="shared" si="24"/>
        <v>2599.9999999999359</v>
      </c>
      <c r="AA12" s="20">
        <v>267.39</v>
      </c>
      <c r="AB12" s="34">
        <f t="shared" si="25"/>
        <v>469.99999999997044</v>
      </c>
      <c r="AC12" s="20">
        <v>243.97</v>
      </c>
      <c r="AD12" s="34">
        <f t="shared" si="26"/>
        <v>280.00000000000114</v>
      </c>
      <c r="AE12" s="20">
        <v>357.2</v>
      </c>
      <c r="AF12" s="34">
        <f t="shared" si="27"/>
        <v>670.00000000001592</v>
      </c>
      <c r="AG12" s="20">
        <v>942.4</v>
      </c>
      <c r="AH12" s="34">
        <f t="shared" si="10"/>
        <v>2</v>
      </c>
      <c r="AI12" s="20">
        <v>336.55</v>
      </c>
      <c r="AJ12" s="34">
        <f t="shared" si="28"/>
        <v>300.00000000001137</v>
      </c>
      <c r="AK12" s="20">
        <v>115.09</v>
      </c>
      <c r="AL12" s="34">
        <f t="shared" si="11"/>
        <v>0.29000000000000625</v>
      </c>
      <c r="AM12" s="20">
        <v>117.22</v>
      </c>
      <c r="AN12" s="34">
        <f t="shared" si="12"/>
        <v>0.17000000000000171</v>
      </c>
      <c r="AO12" s="20">
        <v>116.23</v>
      </c>
      <c r="AP12" s="34">
        <f t="shared" si="13"/>
        <v>7.000000000000739E-2</v>
      </c>
      <c r="AQ12" s="20">
        <v>192.95</v>
      </c>
      <c r="AR12" s="34">
        <f t="shared" si="29"/>
        <v>69.999999999993179</v>
      </c>
      <c r="AS12" s="20">
        <v>315.33</v>
      </c>
      <c r="AT12" s="34">
        <f t="shared" si="30"/>
        <v>69.999999999993179</v>
      </c>
      <c r="AU12" s="20">
        <v>240.34</v>
      </c>
      <c r="AV12" s="34">
        <f t="shared" si="31"/>
        <v>159.99999999999659</v>
      </c>
      <c r="AW12" s="20">
        <v>271.69</v>
      </c>
      <c r="AX12" s="34">
        <f t="shared" si="32"/>
        <v>129.99999999999545</v>
      </c>
      <c r="AY12" s="20">
        <v>324.54000000000002</v>
      </c>
      <c r="AZ12" s="34">
        <f t="shared" si="33"/>
        <v>20.000000000038654</v>
      </c>
      <c r="BA12" s="20">
        <v>342.09</v>
      </c>
      <c r="BB12" s="34">
        <f t="shared" si="34"/>
        <v>119.9999999999477</v>
      </c>
      <c r="BC12" s="20">
        <v>196.05</v>
      </c>
      <c r="BD12" s="34">
        <f t="shared" si="35"/>
        <v>20.000000000010232</v>
      </c>
      <c r="BE12" s="21">
        <v>20984</v>
      </c>
      <c r="BF12" s="34">
        <f t="shared" si="14"/>
        <v>34</v>
      </c>
      <c r="BG12" s="21">
        <v>218.56</v>
      </c>
      <c r="BH12" s="34">
        <f t="shared" si="36"/>
        <v>30.000000000001137</v>
      </c>
      <c r="BI12" s="21">
        <v>274.69</v>
      </c>
      <c r="BJ12" s="34">
        <f t="shared" si="37"/>
        <v>40.000000000020464</v>
      </c>
      <c r="BK12" s="21">
        <v>222.56</v>
      </c>
      <c r="BL12" s="34">
        <f t="shared" si="38"/>
        <v>30.000000000001137</v>
      </c>
      <c r="BM12" s="21">
        <v>205.81</v>
      </c>
      <c r="BN12" s="34">
        <f t="shared" si="39"/>
        <v>30.000000000001137</v>
      </c>
      <c r="BO12" s="21">
        <v>269.33999999999997</v>
      </c>
      <c r="BP12" s="34">
        <f t="shared" si="40"/>
        <v>39.99999999996362</v>
      </c>
      <c r="BQ12" s="21">
        <v>32781</v>
      </c>
      <c r="BR12" s="34">
        <f t="shared" si="15"/>
        <v>29</v>
      </c>
      <c r="BS12" s="21">
        <v>186.85</v>
      </c>
      <c r="BT12" s="34">
        <f t="shared" si="41"/>
        <v>30.000000000001137</v>
      </c>
      <c r="BU12" s="21">
        <v>23686</v>
      </c>
      <c r="BV12" s="34">
        <f t="shared" si="16"/>
        <v>29</v>
      </c>
      <c r="BW12" s="21">
        <v>216.19</v>
      </c>
      <c r="BX12" s="34">
        <f t="shared" si="42"/>
        <v>39.999999999992042</v>
      </c>
      <c r="BY12" s="78">
        <v>39063</v>
      </c>
      <c r="BZ12" s="34">
        <f t="shared" si="17"/>
        <v>70</v>
      </c>
      <c r="CA12" s="84">
        <v>23170.5</v>
      </c>
      <c r="CB12" s="34">
        <f t="shared" si="18"/>
        <v>34.400000000001455</v>
      </c>
      <c r="CC12" s="84">
        <v>9914.4</v>
      </c>
      <c r="CD12" s="34">
        <f t="shared" si="19"/>
        <v>11.799999999999272</v>
      </c>
      <c r="CE12" s="84">
        <v>4672.5</v>
      </c>
      <c r="CF12" s="34">
        <f t="shared" si="20"/>
        <v>7.3000000000001819</v>
      </c>
      <c r="CG12" s="84">
        <v>35264.6</v>
      </c>
      <c r="CH12" s="34">
        <f t="shared" si="21"/>
        <v>55</v>
      </c>
      <c r="CI12" s="84">
        <v>807462</v>
      </c>
      <c r="CJ12" s="34">
        <f t="shared" si="1"/>
        <v>315</v>
      </c>
      <c r="CK12" s="84">
        <v>473.21</v>
      </c>
      <c r="CL12" s="44">
        <f t="shared" si="22"/>
        <v>699.99999999998863</v>
      </c>
      <c r="CM12" s="34">
        <v>79.599999999999994</v>
      </c>
      <c r="CN12" s="35">
        <v>15</v>
      </c>
      <c r="CO12" s="35">
        <v>46</v>
      </c>
    </row>
    <row r="13" spans="1:93" ht="25.5" customHeight="1" thickBot="1" x14ac:dyDescent="0.45">
      <c r="A13" s="31">
        <v>43809</v>
      </c>
      <c r="B13" s="45"/>
      <c r="C13" s="20">
        <v>1.3298000000000001</v>
      </c>
      <c r="D13" s="44">
        <f t="shared" si="2"/>
        <v>1800.0000000000239</v>
      </c>
      <c r="E13" s="20">
        <v>2.2448999999999999</v>
      </c>
      <c r="F13" s="44">
        <f t="shared" si="3"/>
        <v>2599.9999999997135</v>
      </c>
      <c r="G13" s="20">
        <v>2.0838000000000001</v>
      </c>
      <c r="H13" s="44">
        <f t="shared" si="4"/>
        <v>2499.9999999999468</v>
      </c>
      <c r="I13" s="20">
        <v>972.01</v>
      </c>
      <c r="J13" s="44">
        <f t="shared" si="5"/>
        <v>1200.0000000000455</v>
      </c>
      <c r="K13" s="20">
        <v>1.4905999999999999</v>
      </c>
      <c r="L13" s="44">
        <f t="shared" si="0"/>
        <v>2000.0000000000018</v>
      </c>
      <c r="M13" s="20">
        <v>933.57</v>
      </c>
      <c r="N13" s="34">
        <f t="shared" si="23"/>
        <v>1240.0000000000091</v>
      </c>
      <c r="O13" s="20">
        <v>10434</v>
      </c>
      <c r="P13" s="34">
        <f t="shared" si="6"/>
        <v>19</v>
      </c>
      <c r="Q13" s="20">
        <v>4147</v>
      </c>
      <c r="R13" s="34">
        <f t="shared" si="7"/>
        <v>6</v>
      </c>
      <c r="S13" s="20">
        <v>680829</v>
      </c>
      <c r="T13" s="34">
        <f t="shared" si="8"/>
        <v>933</v>
      </c>
      <c r="U13" s="20">
        <v>275724</v>
      </c>
      <c r="V13" s="34">
        <f t="shared" si="9"/>
        <v>428</v>
      </c>
      <c r="W13" s="20">
        <v>270.51</v>
      </c>
      <c r="X13" s="34">
        <f t="shared" si="43"/>
        <v>230.00000000001819</v>
      </c>
      <c r="Y13" s="20">
        <v>1.9952000000000001</v>
      </c>
      <c r="Z13" s="34">
        <f t="shared" si="24"/>
        <v>2400.0000000001796</v>
      </c>
      <c r="AA13" s="20">
        <v>267.76</v>
      </c>
      <c r="AB13" s="34">
        <f t="shared" si="25"/>
        <v>370.00000000000455</v>
      </c>
      <c r="AC13" s="20">
        <v>244.34</v>
      </c>
      <c r="AD13" s="34">
        <f t="shared" si="26"/>
        <v>370.00000000000455</v>
      </c>
      <c r="AE13" s="20">
        <v>357.77</v>
      </c>
      <c r="AF13" s="34">
        <f t="shared" si="27"/>
        <v>569.99999999999318</v>
      </c>
      <c r="AG13" s="20">
        <v>944.6</v>
      </c>
      <c r="AH13" s="34">
        <f t="shared" si="10"/>
        <v>2.2000000000000455</v>
      </c>
      <c r="AI13" s="20">
        <v>336.94</v>
      </c>
      <c r="AJ13" s="34">
        <f t="shared" si="28"/>
        <v>389.99999999998636</v>
      </c>
      <c r="AK13" s="20">
        <v>115.34</v>
      </c>
      <c r="AL13" s="34">
        <f t="shared" si="11"/>
        <v>0.25</v>
      </c>
      <c r="AM13" s="20">
        <v>117.45</v>
      </c>
      <c r="AN13" s="34">
        <f t="shared" si="12"/>
        <v>0.23000000000000398</v>
      </c>
      <c r="AO13" s="20">
        <v>116.42</v>
      </c>
      <c r="AP13" s="34">
        <f t="shared" si="13"/>
        <v>0.18999999999999773</v>
      </c>
      <c r="AQ13" s="20">
        <v>193.02</v>
      </c>
      <c r="AR13" s="34">
        <f t="shared" si="29"/>
        <v>70.0000000000216</v>
      </c>
      <c r="AS13" s="20">
        <v>315.39</v>
      </c>
      <c r="AT13" s="34">
        <f t="shared" si="30"/>
        <v>60.000000000002274</v>
      </c>
      <c r="AU13" s="20">
        <v>240.47</v>
      </c>
      <c r="AV13" s="34">
        <f t="shared" si="31"/>
        <v>129.99999999999545</v>
      </c>
      <c r="AW13" s="20">
        <v>271.83999999999997</v>
      </c>
      <c r="AX13" s="34">
        <f t="shared" si="32"/>
        <v>149.99999999997726</v>
      </c>
      <c r="AY13" s="20">
        <v>324.58</v>
      </c>
      <c r="AZ13" s="34">
        <f t="shared" si="33"/>
        <v>39.99999999996362</v>
      </c>
      <c r="BA13" s="20">
        <v>342.2</v>
      </c>
      <c r="BB13" s="34">
        <f t="shared" si="34"/>
        <v>110.00000000001364</v>
      </c>
      <c r="BC13" s="20">
        <v>196.1</v>
      </c>
      <c r="BD13" s="34">
        <f t="shared" si="35"/>
        <v>49.999999999982947</v>
      </c>
      <c r="BE13" s="21"/>
      <c r="BF13" s="34" t="str">
        <f t="shared" si="14"/>
        <v/>
      </c>
      <c r="BG13" s="21">
        <v>218.58</v>
      </c>
      <c r="BH13" s="34">
        <f t="shared" si="36"/>
        <v>20.000000000010232</v>
      </c>
      <c r="BI13" s="21">
        <v>274.73</v>
      </c>
      <c r="BJ13" s="34">
        <f t="shared" si="37"/>
        <v>40.000000000020464</v>
      </c>
      <c r="BK13" s="21">
        <v>222.6</v>
      </c>
      <c r="BL13" s="34">
        <f t="shared" si="38"/>
        <v>39.999999999992042</v>
      </c>
      <c r="BM13" s="21">
        <v>205.84</v>
      </c>
      <c r="BN13" s="34">
        <f t="shared" si="39"/>
        <v>30.000000000001137</v>
      </c>
      <c r="BO13" s="21">
        <v>269.38</v>
      </c>
      <c r="BP13" s="34">
        <f t="shared" si="40"/>
        <v>40.000000000020464</v>
      </c>
      <c r="BQ13" s="21">
        <v>32809</v>
      </c>
      <c r="BR13" s="34">
        <f t="shared" si="15"/>
        <v>28</v>
      </c>
      <c r="BS13" s="21">
        <v>186.89</v>
      </c>
      <c r="BT13" s="34">
        <f t="shared" si="41"/>
        <v>39.999999999992042</v>
      </c>
      <c r="BU13" s="21">
        <v>23718</v>
      </c>
      <c r="BV13" s="34">
        <f t="shared" si="16"/>
        <v>32</v>
      </c>
      <c r="BW13" s="21">
        <v>216.22</v>
      </c>
      <c r="BX13" s="34">
        <f t="shared" si="42"/>
        <v>30.000000000001137</v>
      </c>
      <c r="BY13" s="78">
        <v>39136</v>
      </c>
      <c r="BZ13" s="34">
        <f t="shared" si="17"/>
        <v>73</v>
      </c>
      <c r="CA13" s="84">
        <v>23212</v>
      </c>
      <c r="CB13" s="34">
        <f t="shared" si="18"/>
        <v>41.5</v>
      </c>
      <c r="CC13" s="84">
        <v>9923.6</v>
      </c>
      <c r="CD13" s="34">
        <f t="shared" si="19"/>
        <v>9.2000000000007276</v>
      </c>
      <c r="CE13" s="84">
        <v>4672.8999999999996</v>
      </c>
      <c r="CF13" s="34">
        <f t="shared" si="20"/>
        <v>0.3999999999996362</v>
      </c>
      <c r="CG13" s="84">
        <v>35315.599999999999</v>
      </c>
      <c r="CH13" s="34">
        <f t="shared" si="21"/>
        <v>51</v>
      </c>
      <c r="CI13" s="84">
        <v>807703</v>
      </c>
      <c r="CJ13" s="34">
        <f t="shared" si="1"/>
        <v>241</v>
      </c>
      <c r="CK13" s="84">
        <v>473.72</v>
      </c>
      <c r="CL13" s="44">
        <f t="shared" si="22"/>
        <v>510.00000000004775</v>
      </c>
      <c r="CM13" s="34">
        <v>88</v>
      </c>
      <c r="CN13" s="35">
        <v>17</v>
      </c>
      <c r="CO13" s="35">
        <v>40</v>
      </c>
    </row>
    <row r="14" spans="1:93" ht="25.5" customHeight="1" thickBot="1" x14ac:dyDescent="0.45">
      <c r="A14" s="31">
        <v>43810</v>
      </c>
      <c r="B14" s="45"/>
      <c r="C14" s="20"/>
      <c r="D14" s="44" t="str">
        <f t="shared" si="2"/>
        <v>0</v>
      </c>
      <c r="E14" s="20"/>
      <c r="F14" s="44" t="str">
        <f t="shared" si="3"/>
        <v>0</v>
      </c>
      <c r="G14" s="20"/>
      <c r="H14" s="44" t="str">
        <f t="shared" si="4"/>
        <v>0</v>
      </c>
      <c r="I14" s="20"/>
      <c r="J14" s="44" t="str">
        <f t="shared" si="5"/>
        <v>0</v>
      </c>
      <c r="K14" s="20"/>
      <c r="L14" s="44" t="str">
        <f t="shared" si="0"/>
        <v>0</v>
      </c>
      <c r="M14" s="20"/>
      <c r="N14" s="34" t="str">
        <f t="shared" si="23"/>
        <v/>
      </c>
      <c r="O14" s="20"/>
      <c r="P14" s="34" t="str">
        <f t="shared" si="6"/>
        <v/>
      </c>
      <c r="Q14" s="20"/>
      <c r="R14" s="34" t="str">
        <f t="shared" si="7"/>
        <v/>
      </c>
      <c r="S14" s="20"/>
      <c r="T14" s="34" t="str">
        <f t="shared" si="8"/>
        <v/>
      </c>
      <c r="U14" s="20"/>
      <c r="V14" s="34" t="str">
        <f t="shared" si="9"/>
        <v/>
      </c>
      <c r="W14" s="20"/>
      <c r="X14" s="34" t="str">
        <f t="shared" si="43"/>
        <v/>
      </c>
      <c r="Y14" s="20"/>
      <c r="Z14" s="34" t="str">
        <f t="shared" si="24"/>
        <v/>
      </c>
      <c r="AA14" s="20"/>
      <c r="AB14" s="34" t="str">
        <f t="shared" si="25"/>
        <v/>
      </c>
      <c r="AC14" s="20"/>
      <c r="AD14" s="34" t="str">
        <f t="shared" si="26"/>
        <v/>
      </c>
      <c r="AE14" s="20"/>
      <c r="AF14" s="34" t="str">
        <f t="shared" si="27"/>
        <v/>
      </c>
      <c r="AG14" s="20"/>
      <c r="AH14" s="34" t="str">
        <f t="shared" si="10"/>
        <v/>
      </c>
      <c r="AI14" s="20"/>
      <c r="AJ14" s="34" t="str">
        <f t="shared" si="28"/>
        <v/>
      </c>
      <c r="AK14" s="20"/>
      <c r="AL14" s="34" t="str">
        <f t="shared" si="11"/>
        <v/>
      </c>
      <c r="AM14" s="20"/>
      <c r="AN14" s="34" t="str">
        <f t="shared" si="12"/>
        <v/>
      </c>
      <c r="AO14" s="20"/>
      <c r="AP14" s="34" t="str">
        <f t="shared" si="13"/>
        <v/>
      </c>
      <c r="AQ14" s="20"/>
      <c r="AR14" s="34" t="str">
        <f t="shared" si="29"/>
        <v/>
      </c>
      <c r="AS14" s="20"/>
      <c r="AT14" s="34" t="str">
        <f t="shared" si="30"/>
        <v/>
      </c>
      <c r="AU14" s="20"/>
      <c r="AV14" s="34" t="str">
        <f t="shared" si="31"/>
        <v/>
      </c>
      <c r="AW14" s="20"/>
      <c r="AX14" s="34" t="str">
        <f t="shared" si="32"/>
        <v/>
      </c>
      <c r="AY14" s="20"/>
      <c r="AZ14" s="34" t="str">
        <f t="shared" si="33"/>
        <v/>
      </c>
      <c r="BA14" s="20"/>
      <c r="BB14" s="34" t="str">
        <f t="shared" si="34"/>
        <v/>
      </c>
      <c r="BC14" s="20"/>
      <c r="BD14" s="34" t="str">
        <f t="shared" si="35"/>
        <v/>
      </c>
      <c r="BE14" s="21"/>
      <c r="BF14" s="34">
        <f t="shared" si="14"/>
        <v>0</v>
      </c>
      <c r="BG14" s="21"/>
      <c r="BH14" s="34" t="str">
        <f t="shared" si="36"/>
        <v/>
      </c>
      <c r="BI14" s="21"/>
      <c r="BJ14" s="34" t="str">
        <f t="shared" si="37"/>
        <v/>
      </c>
      <c r="BK14" s="21"/>
      <c r="BL14" s="34" t="str">
        <f t="shared" si="38"/>
        <v/>
      </c>
      <c r="BM14" s="21"/>
      <c r="BN14" s="34" t="str">
        <f t="shared" si="39"/>
        <v/>
      </c>
      <c r="BO14" s="21"/>
      <c r="BP14" s="34" t="str">
        <f t="shared" si="40"/>
        <v/>
      </c>
      <c r="BQ14" s="21"/>
      <c r="BR14" s="34" t="str">
        <f t="shared" si="15"/>
        <v/>
      </c>
      <c r="BS14" s="21"/>
      <c r="BT14" s="34" t="str">
        <f t="shared" si="41"/>
        <v/>
      </c>
      <c r="BU14" s="21"/>
      <c r="BV14" s="34" t="str">
        <f t="shared" si="16"/>
        <v/>
      </c>
      <c r="BW14" s="21"/>
      <c r="BX14" s="34" t="str">
        <f t="shared" si="42"/>
        <v/>
      </c>
      <c r="BY14" s="78"/>
      <c r="BZ14" s="34" t="str">
        <f t="shared" si="17"/>
        <v/>
      </c>
      <c r="CA14" s="84"/>
      <c r="CB14" s="34" t="str">
        <f t="shared" si="18"/>
        <v/>
      </c>
      <c r="CC14" s="84"/>
      <c r="CD14" s="34" t="str">
        <f t="shared" si="19"/>
        <v/>
      </c>
      <c r="CE14" s="84"/>
      <c r="CF14" s="34" t="str">
        <f t="shared" si="20"/>
        <v/>
      </c>
      <c r="CG14" s="84"/>
      <c r="CH14" s="34" t="str">
        <f t="shared" si="21"/>
        <v/>
      </c>
      <c r="CI14" s="84"/>
      <c r="CJ14" s="34" t="str">
        <f t="shared" si="1"/>
        <v/>
      </c>
      <c r="CK14" s="84"/>
      <c r="CL14" s="44" t="str">
        <f t="shared" si="22"/>
        <v/>
      </c>
      <c r="CM14" s="34"/>
      <c r="CN14" s="35"/>
      <c r="CO14" s="35"/>
    </row>
    <row r="15" spans="1:93" ht="25.5" customHeight="1" thickBot="1" x14ac:dyDescent="0.45">
      <c r="A15" s="31">
        <v>43811</v>
      </c>
      <c r="B15" s="45"/>
      <c r="C15" s="20"/>
      <c r="D15" s="44">
        <f t="shared" si="2"/>
        <v>0</v>
      </c>
      <c r="E15" s="20"/>
      <c r="F15" s="44">
        <f t="shared" si="3"/>
        <v>0</v>
      </c>
      <c r="G15" s="20"/>
      <c r="H15" s="44">
        <f t="shared" si="4"/>
        <v>0</v>
      </c>
      <c r="I15" s="20"/>
      <c r="J15" s="44">
        <f t="shared" si="5"/>
        <v>0</v>
      </c>
      <c r="K15" s="20"/>
      <c r="L15" s="44">
        <f t="shared" si="0"/>
        <v>0</v>
      </c>
      <c r="M15" s="20"/>
      <c r="N15" s="34">
        <f t="shared" si="23"/>
        <v>0</v>
      </c>
      <c r="O15" s="20"/>
      <c r="P15" s="34">
        <f t="shared" si="6"/>
        <v>0</v>
      </c>
      <c r="Q15" s="20"/>
      <c r="R15" s="34">
        <f t="shared" si="7"/>
        <v>0</v>
      </c>
      <c r="S15" s="20"/>
      <c r="T15" s="34">
        <f t="shared" si="8"/>
        <v>0</v>
      </c>
      <c r="U15" s="20"/>
      <c r="V15" s="34">
        <f t="shared" si="9"/>
        <v>0</v>
      </c>
      <c r="W15" s="20"/>
      <c r="X15" s="34">
        <f t="shared" si="43"/>
        <v>0</v>
      </c>
      <c r="Y15" s="20"/>
      <c r="Z15" s="34">
        <f t="shared" si="24"/>
        <v>0</v>
      </c>
      <c r="AA15" s="20"/>
      <c r="AB15" s="34">
        <f t="shared" si="25"/>
        <v>0</v>
      </c>
      <c r="AC15" s="20"/>
      <c r="AD15" s="34">
        <f t="shared" si="26"/>
        <v>0</v>
      </c>
      <c r="AE15" s="20"/>
      <c r="AF15" s="34">
        <f t="shared" si="27"/>
        <v>0</v>
      </c>
      <c r="AG15" s="20"/>
      <c r="AH15" s="34">
        <f t="shared" si="10"/>
        <v>0</v>
      </c>
      <c r="AI15" s="20"/>
      <c r="AJ15" s="34">
        <f t="shared" si="28"/>
        <v>0</v>
      </c>
      <c r="AK15" s="20"/>
      <c r="AL15" s="34">
        <f t="shared" si="11"/>
        <v>0</v>
      </c>
      <c r="AM15" s="20"/>
      <c r="AN15" s="34">
        <f t="shared" si="12"/>
        <v>0</v>
      </c>
      <c r="AO15" s="20"/>
      <c r="AP15" s="34">
        <f t="shared" si="13"/>
        <v>0</v>
      </c>
      <c r="AQ15" s="20"/>
      <c r="AR15" s="34">
        <f t="shared" si="29"/>
        <v>0</v>
      </c>
      <c r="AS15" s="20"/>
      <c r="AT15" s="34">
        <f t="shared" si="30"/>
        <v>0</v>
      </c>
      <c r="AU15" s="20"/>
      <c r="AV15" s="34">
        <f t="shared" si="31"/>
        <v>0</v>
      </c>
      <c r="AW15" s="20"/>
      <c r="AX15" s="34">
        <f t="shared" si="32"/>
        <v>0</v>
      </c>
      <c r="AY15" s="20"/>
      <c r="AZ15" s="34">
        <f t="shared" si="33"/>
        <v>0</v>
      </c>
      <c r="BA15" s="20"/>
      <c r="BB15" s="34">
        <f t="shared" si="34"/>
        <v>0</v>
      </c>
      <c r="BC15" s="32"/>
      <c r="BD15" s="34">
        <f t="shared" si="35"/>
        <v>0</v>
      </c>
      <c r="BE15" s="21"/>
      <c r="BF15" s="34">
        <f t="shared" si="14"/>
        <v>0</v>
      </c>
      <c r="BG15" s="21"/>
      <c r="BH15" s="34">
        <f t="shared" si="36"/>
        <v>0</v>
      </c>
      <c r="BI15" s="21"/>
      <c r="BJ15" s="34">
        <f t="shared" si="37"/>
        <v>0</v>
      </c>
      <c r="BK15" s="21"/>
      <c r="BL15" s="34">
        <f t="shared" si="38"/>
        <v>0</v>
      </c>
      <c r="BM15" s="21"/>
      <c r="BN15" s="34">
        <f t="shared" si="39"/>
        <v>0</v>
      </c>
      <c r="BO15" s="21"/>
      <c r="BP15" s="34">
        <f t="shared" si="40"/>
        <v>0</v>
      </c>
      <c r="BQ15" s="21"/>
      <c r="BR15" s="34">
        <f t="shared" si="15"/>
        <v>0</v>
      </c>
      <c r="BS15" s="21"/>
      <c r="BT15" s="34">
        <f t="shared" si="41"/>
        <v>0</v>
      </c>
      <c r="BU15" s="21"/>
      <c r="BV15" s="34">
        <f t="shared" si="16"/>
        <v>0</v>
      </c>
      <c r="BW15" s="21"/>
      <c r="BX15" s="34">
        <f t="shared" si="42"/>
        <v>0</v>
      </c>
      <c r="BY15" s="78"/>
      <c r="BZ15" s="34">
        <f t="shared" si="17"/>
        <v>0</v>
      </c>
      <c r="CA15" s="20"/>
      <c r="CB15" s="34">
        <f t="shared" si="18"/>
        <v>0</v>
      </c>
      <c r="CC15" s="20"/>
      <c r="CD15" s="34">
        <f t="shared" si="19"/>
        <v>0</v>
      </c>
      <c r="CE15" s="20"/>
      <c r="CF15" s="34">
        <f t="shared" si="20"/>
        <v>0</v>
      </c>
      <c r="CG15" s="20"/>
      <c r="CH15" s="34">
        <f t="shared" si="21"/>
        <v>0</v>
      </c>
      <c r="CI15" s="20"/>
      <c r="CJ15" s="34">
        <f t="shared" si="1"/>
        <v>0</v>
      </c>
      <c r="CK15" s="20"/>
      <c r="CL15" s="44">
        <f t="shared" si="22"/>
        <v>0</v>
      </c>
      <c r="CM15" s="34"/>
      <c r="CN15" s="35"/>
      <c r="CO15" s="35"/>
    </row>
    <row r="16" spans="1:93" ht="25.5" customHeight="1" thickBot="1" x14ac:dyDescent="0.45">
      <c r="A16" s="31">
        <v>43812</v>
      </c>
      <c r="B16" s="45"/>
      <c r="C16" s="20"/>
      <c r="D16" s="44">
        <f t="shared" si="2"/>
        <v>0</v>
      </c>
      <c r="E16" s="20"/>
      <c r="F16" s="44">
        <f t="shared" si="3"/>
        <v>0</v>
      </c>
      <c r="G16" s="20"/>
      <c r="H16" s="44">
        <f t="shared" si="4"/>
        <v>0</v>
      </c>
      <c r="I16" s="20"/>
      <c r="J16" s="44">
        <f t="shared" si="5"/>
        <v>0</v>
      </c>
      <c r="K16" s="20"/>
      <c r="L16" s="44">
        <f t="shared" si="0"/>
        <v>0</v>
      </c>
      <c r="M16" s="20"/>
      <c r="N16" s="34">
        <f t="shared" si="23"/>
        <v>0</v>
      </c>
      <c r="O16" s="20"/>
      <c r="P16" s="34">
        <f t="shared" si="6"/>
        <v>0</v>
      </c>
      <c r="Q16" s="20"/>
      <c r="R16" s="34">
        <f t="shared" si="7"/>
        <v>0</v>
      </c>
      <c r="S16" s="20"/>
      <c r="T16" s="34">
        <f t="shared" si="8"/>
        <v>0</v>
      </c>
      <c r="U16" s="20"/>
      <c r="V16" s="34">
        <f t="shared" si="9"/>
        <v>0</v>
      </c>
      <c r="W16" s="20"/>
      <c r="X16" s="34">
        <f t="shared" si="43"/>
        <v>0</v>
      </c>
      <c r="Y16" s="20"/>
      <c r="Z16" s="34">
        <f t="shared" si="24"/>
        <v>0</v>
      </c>
      <c r="AA16" s="20"/>
      <c r="AB16" s="34">
        <f t="shared" si="25"/>
        <v>0</v>
      </c>
      <c r="AC16" s="20"/>
      <c r="AD16" s="34">
        <f t="shared" si="26"/>
        <v>0</v>
      </c>
      <c r="AE16" s="20"/>
      <c r="AF16" s="34">
        <f t="shared" si="27"/>
        <v>0</v>
      </c>
      <c r="AG16" s="20"/>
      <c r="AH16" s="34">
        <f t="shared" si="10"/>
        <v>0</v>
      </c>
      <c r="AI16" s="20"/>
      <c r="AJ16" s="34">
        <f t="shared" si="28"/>
        <v>0</v>
      </c>
      <c r="AK16" s="20"/>
      <c r="AL16" s="34">
        <f t="shared" si="11"/>
        <v>0</v>
      </c>
      <c r="AM16" s="20"/>
      <c r="AN16" s="34">
        <f t="shared" si="12"/>
        <v>0</v>
      </c>
      <c r="AO16" s="20"/>
      <c r="AP16" s="34">
        <f t="shared" si="13"/>
        <v>0</v>
      </c>
      <c r="AQ16" s="20"/>
      <c r="AR16" s="34">
        <f t="shared" si="29"/>
        <v>0</v>
      </c>
      <c r="AS16" s="20"/>
      <c r="AT16" s="34">
        <f t="shared" si="30"/>
        <v>0</v>
      </c>
      <c r="AU16" s="20"/>
      <c r="AV16" s="34">
        <f t="shared" si="31"/>
        <v>0</v>
      </c>
      <c r="AW16" s="20"/>
      <c r="AX16" s="34">
        <f t="shared" si="32"/>
        <v>0</v>
      </c>
      <c r="AY16" s="20"/>
      <c r="AZ16" s="34">
        <f t="shared" si="33"/>
        <v>0</v>
      </c>
      <c r="BA16" s="20"/>
      <c r="BB16" s="34">
        <f t="shared" si="34"/>
        <v>0</v>
      </c>
      <c r="BC16" s="32"/>
      <c r="BD16" s="34">
        <f t="shared" si="35"/>
        <v>0</v>
      </c>
      <c r="BE16" s="21"/>
      <c r="BF16" s="34">
        <f t="shared" si="14"/>
        <v>0</v>
      </c>
      <c r="BG16" s="21"/>
      <c r="BH16" s="34">
        <f t="shared" si="36"/>
        <v>0</v>
      </c>
      <c r="BI16" s="21"/>
      <c r="BJ16" s="34">
        <f t="shared" si="37"/>
        <v>0</v>
      </c>
      <c r="BK16" s="21"/>
      <c r="BL16" s="34">
        <f t="shared" si="38"/>
        <v>0</v>
      </c>
      <c r="BM16" s="21"/>
      <c r="BN16" s="34">
        <f t="shared" si="39"/>
        <v>0</v>
      </c>
      <c r="BO16" s="21"/>
      <c r="BP16" s="34">
        <f t="shared" si="40"/>
        <v>0</v>
      </c>
      <c r="BQ16" s="21"/>
      <c r="BR16" s="34">
        <f t="shared" si="15"/>
        <v>0</v>
      </c>
      <c r="BS16" s="21"/>
      <c r="BT16" s="34">
        <f t="shared" si="41"/>
        <v>0</v>
      </c>
      <c r="BU16" s="21"/>
      <c r="BV16" s="34">
        <f t="shared" si="16"/>
        <v>0</v>
      </c>
      <c r="BW16" s="21"/>
      <c r="BX16" s="34">
        <f t="shared" si="42"/>
        <v>0</v>
      </c>
      <c r="BY16" s="78"/>
      <c r="BZ16" s="34">
        <f t="shared" si="17"/>
        <v>0</v>
      </c>
      <c r="CA16" s="20"/>
      <c r="CB16" s="34">
        <f t="shared" si="18"/>
        <v>0</v>
      </c>
      <c r="CC16" s="20"/>
      <c r="CD16" s="34">
        <f t="shared" si="19"/>
        <v>0</v>
      </c>
      <c r="CE16" s="20"/>
      <c r="CF16" s="34">
        <f t="shared" si="20"/>
        <v>0</v>
      </c>
      <c r="CG16" s="20"/>
      <c r="CH16" s="34">
        <f t="shared" si="21"/>
        <v>0</v>
      </c>
      <c r="CI16" s="20"/>
      <c r="CJ16" s="34">
        <f t="shared" si="1"/>
        <v>0</v>
      </c>
      <c r="CK16" s="20"/>
      <c r="CL16" s="44">
        <f t="shared" si="22"/>
        <v>0</v>
      </c>
      <c r="CM16" s="34"/>
      <c r="CN16" s="35"/>
      <c r="CO16" s="35"/>
    </row>
    <row r="17" spans="1:93" ht="25.5" customHeight="1" thickBot="1" x14ac:dyDescent="0.45">
      <c r="A17" s="31">
        <v>43813</v>
      </c>
      <c r="B17" s="45"/>
      <c r="C17" s="32"/>
      <c r="D17" s="44">
        <f t="shared" si="2"/>
        <v>0</v>
      </c>
      <c r="E17" s="32"/>
      <c r="F17" s="44">
        <f t="shared" si="3"/>
        <v>0</v>
      </c>
      <c r="G17" s="32"/>
      <c r="H17" s="44">
        <f t="shared" si="4"/>
        <v>0</v>
      </c>
      <c r="I17" s="32"/>
      <c r="J17" s="44">
        <f t="shared" si="5"/>
        <v>0</v>
      </c>
      <c r="K17" s="20"/>
      <c r="L17" s="44">
        <f t="shared" si="0"/>
        <v>0</v>
      </c>
      <c r="M17" s="32"/>
      <c r="N17" s="34">
        <f t="shared" si="23"/>
        <v>0</v>
      </c>
      <c r="O17" s="20"/>
      <c r="P17" s="34">
        <f t="shared" si="6"/>
        <v>0</v>
      </c>
      <c r="Q17" s="20"/>
      <c r="R17" s="34">
        <f t="shared" si="7"/>
        <v>0</v>
      </c>
      <c r="S17" s="20"/>
      <c r="T17" s="34">
        <f t="shared" si="8"/>
        <v>0</v>
      </c>
      <c r="U17" s="20"/>
      <c r="V17" s="34">
        <f t="shared" si="9"/>
        <v>0</v>
      </c>
      <c r="W17" s="20"/>
      <c r="X17" s="34">
        <f t="shared" si="43"/>
        <v>0</v>
      </c>
      <c r="Y17" s="20"/>
      <c r="Z17" s="34">
        <f t="shared" si="24"/>
        <v>0</v>
      </c>
      <c r="AA17" s="20"/>
      <c r="AB17" s="34">
        <f t="shared" si="25"/>
        <v>0</v>
      </c>
      <c r="AC17" s="20"/>
      <c r="AD17" s="34">
        <f t="shared" si="26"/>
        <v>0</v>
      </c>
      <c r="AE17" s="1"/>
      <c r="AF17" s="34">
        <f t="shared" si="27"/>
        <v>0</v>
      </c>
      <c r="AG17" s="20"/>
      <c r="AH17" s="34">
        <f t="shared" si="10"/>
        <v>0</v>
      </c>
      <c r="AI17" s="20"/>
      <c r="AJ17" s="34">
        <f t="shared" si="28"/>
        <v>0</v>
      </c>
      <c r="AK17" s="20"/>
      <c r="AL17" s="34">
        <f t="shared" si="11"/>
        <v>0</v>
      </c>
      <c r="AM17" s="20"/>
      <c r="AN17" s="34">
        <f t="shared" si="12"/>
        <v>0</v>
      </c>
      <c r="AO17" s="20"/>
      <c r="AP17" s="34">
        <f t="shared" si="13"/>
        <v>0</v>
      </c>
      <c r="AQ17" s="20"/>
      <c r="AR17" s="34">
        <f t="shared" si="29"/>
        <v>0</v>
      </c>
      <c r="AS17" s="20"/>
      <c r="AT17" s="34">
        <f t="shared" si="30"/>
        <v>0</v>
      </c>
      <c r="AU17" s="20"/>
      <c r="AV17" s="34">
        <f t="shared" si="31"/>
        <v>0</v>
      </c>
      <c r="AW17" s="20"/>
      <c r="AX17" s="34">
        <f t="shared" si="32"/>
        <v>0</v>
      </c>
      <c r="AZ17" s="34">
        <f t="shared" si="33"/>
        <v>0</v>
      </c>
      <c r="BA17" s="20"/>
      <c r="BB17" s="34">
        <f t="shared" si="34"/>
        <v>0</v>
      </c>
      <c r="BC17" s="32"/>
      <c r="BD17" s="34">
        <f t="shared" si="35"/>
        <v>0</v>
      </c>
      <c r="BE17" s="21"/>
      <c r="BF17" s="34">
        <f t="shared" si="14"/>
        <v>0</v>
      </c>
      <c r="BG17" s="21"/>
      <c r="BH17" s="34">
        <f t="shared" si="36"/>
        <v>0</v>
      </c>
      <c r="BI17" s="21"/>
      <c r="BJ17" s="34">
        <f t="shared" si="37"/>
        <v>0</v>
      </c>
      <c r="BK17" s="21"/>
      <c r="BL17" s="34">
        <f t="shared" si="38"/>
        <v>0</v>
      </c>
      <c r="BM17" s="21"/>
      <c r="BN17" s="34">
        <f t="shared" si="39"/>
        <v>0</v>
      </c>
      <c r="BO17" s="21"/>
      <c r="BP17" s="34">
        <f t="shared" si="40"/>
        <v>0</v>
      </c>
      <c r="BQ17" s="21"/>
      <c r="BR17" s="34">
        <f t="shared" si="15"/>
        <v>0</v>
      </c>
      <c r="BS17" s="21"/>
      <c r="BT17" s="34">
        <f t="shared" si="41"/>
        <v>0</v>
      </c>
      <c r="BU17" s="21"/>
      <c r="BV17" s="34">
        <f t="shared" si="16"/>
        <v>0</v>
      </c>
      <c r="BW17" s="21"/>
      <c r="BX17" s="34">
        <f t="shared" si="42"/>
        <v>0</v>
      </c>
      <c r="BY17" s="78"/>
      <c r="BZ17" s="34">
        <f t="shared" si="17"/>
        <v>0</v>
      </c>
      <c r="CA17" s="20"/>
      <c r="CB17" s="34">
        <f t="shared" si="18"/>
        <v>0</v>
      </c>
      <c r="CC17" s="20"/>
      <c r="CD17" s="34">
        <f t="shared" si="19"/>
        <v>0</v>
      </c>
      <c r="CE17" s="20"/>
      <c r="CF17" s="34">
        <f t="shared" si="20"/>
        <v>0</v>
      </c>
      <c r="CG17" s="20"/>
      <c r="CH17" s="34">
        <f t="shared" si="21"/>
        <v>0</v>
      </c>
      <c r="CI17" s="20"/>
      <c r="CJ17" s="34">
        <f t="shared" si="1"/>
        <v>0</v>
      </c>
      <c r="CK17" s="20"/>
      <c r="CL17" s="44">
        <f t="shared" si="22"/>
        <v>0</v>
      </c>
      <c r="CM17" s="34"/>
      <c r="CN17" s="35"/>
      <c r="CO17" s="35"/>
    </row>
    <row r="18" spans="1:93" ht="25.5" customHeight="1" thickBot="1" x14ac:dyDescent="0.45">
      <c r="A18" s="31">
        <v>43814</v>
      </c>
      <c r="B18" s="45"/>
      <c r="C18" s="32"/>
      <c r="D18" s="44">
        <f t="shared" si="2"/>
        <v>0</v>
      </c>
      <c r="E18" s="32"/>
      <c r="F18" s="44">
        <f t="shared" si="3"/>
        <v>0</v>
      </c>
      <c r="G18" s="32"/>
      <c r="H18" s="44">
        <f t="shared" si="4"/>
        <v>0</v>
      </c>
      <c r="I18" s="32"/>
      <c r="J18" s="44">
        <f t="shared" si="5"/>
        <v>0</v>
      </c>
      <c r="K18" s="32"/>
      <c r="L18" s="44">
        <f t="shared" si="0"/>
        <v>0</v>
      </c>
      <c r="M18" s="32"/>
      <c r="N18" s="34">
        <f t="shared" si="23"/>
        <v>0</v>
      </c>
      <c r="O18" s="32"/>
      <c r="P18" s="34">
        <f t="shared" si="6"/>
        <v>0</v>
      </c>
      <c r="Q18" s="32"/>
      <c r="R18" s="34">
        <f t="shared" si="7"/>
        <v>0</v>
      </c>
      <c r="S18" s="32"/>
      <c r="T18" s="34">
        <f t="shared" si="8"/>
        <v>0</v>
      </c>
      <c r="U18" s="32"/>
      <c r="V18" s="34">
        <f t="shared" si="9"/>
        <v>0</v>
      </c>
      <c r="W18" s="32"/>
      <c r="X18" s="34">
        <f t="shared" si="43"/>
        <v>0</v>
      </c>
      <c r="Y18" s="32"/>
      <c r="Z18" s="34">
        <f t="shared" si="24"/>
        <v>0</v>
      </c>
      <c r="AA18" s="32"/>
      <c r="AB18" s="34">
        <f t="shared" si="25"/>
        <v>0</v>
      </c>
      <c r="AC18" s="32"/>
      <c r="AD18" s="34">
        <f t="shared" si="26"/>
        <v>0</v>
      </c>
      <c r="AE18" s="1"/>
      <c r="AF18" s="34">
        <f t="shared" si="27"/>
        <v>0</v>
      </c>
      <c r="AG18" s="1"/>
      <c r="AH18" s="34">
        <f t="shared" si="10"/>
        <v>0</v>
      </c>
      <c r="AI18" s="32"/>
      <c r="AJ18" s="34">
        <f t="shared" si="28"/>
        <v>0</v>
      </c>
      <c r="AK18" s="32"/>
      <c r="AL18" s="34">
        <f t="shared" si="11"/>
        <v>0</v>
      </c>
      <c r="AM18" s="32"/>
      <c r="AN18" s="34">
        <f t="shared" si="12"/>
        <v>0</v>
      </c>
      <c r="AO18" s="32"/>
      <c r="AP18" s="34">
        <f t="shared" si="13"/>
        <v>0</v>
      </c>
      <c r="AQ18" s="32"/>
      <c r="AR18" s="34">
        <f t="shared" si="29"/>
        <v>0</v>
      </c>
      <c r="AS18" s="32"/>
      <c r="AT18" s="34">
        <f t="shared" si="30"/>
        <v>0</v>
      </c>
      <c r="AU18" s="32"/>
      <c r="AV18" s="34">
        <f t="shared" si="31"/>
        <v>0</v>
      </c>
      <c r="AW18" s="32"/>
      <c r="AX18" s="34">
        <f t="shared" si="32"/>
        <v>0</v>
      </c>
      <c r="AY18" s="32"/>
      <c r="AZ18" s="34">
        <f t="shared" si="33"/>
        <v>0</v>
      </c>
      <c r="BA18" s="32"/>
      <c r="BB18" s="34">
        <f t="shared" si="34"/>
        <v>0</v>
      </c>
      <c r="BC18" s="32"/>
      <c r="BD18" s="34">
        <f t="shared" si="35"/>
        <v>0</v>
      </c>
      <c r="BE18" s="21"/>
      <c r="BF18" s="34">
        <f t="shared" si="14"/>
        <v>0</v>
      </c>
      <c r="BG18" s="21"/>
      <c r="BH18" s="34">
        <f t="shared" si="36"/>
        <v>0</v>
      </c>
      <c r="BI18" s="21"/>
      <c r="BJ18" s="34">
        <f t="shared" si="37"/>
        <v>0</v>
      </c>
      <c r="BK18" s="21"/>
      <c r="BL18" s="34">
        <f t="shared" si="38"/>
        <v>0</v>
      </c>
      <c r="BM18" s="21"/>
      <c r="BN18" s="34">
        <f t="shared" si="39"/>
        <v>0</v>
      </c>
      <c r="BO18" s="21"/>
      <c r="BP18" s="34">
        <f t="shared" si="40"/>
        <v>0</v>
      </c>
      <c r="BQ18" s="21"/>
      <c r="BR18" s="34">
        <f t="shared" si="15"/>
        <v>0</v>
      </c>
      <c r="BS18" s="21"/>
      <c r="BT18" s="34">
        <f t="shared" si="41"/>
        <v>0</v>
      </c>
      <c r="BU18" s="21"/>
      <c r="BV18" s="34">
        <f t="shared" si="16"/>
        <v>0</v>
      </c>
      <c r="BW18" s="21"/>
      <c r="BX18" s="34">
        <f t="shared" si="42"/>
        <v>0</v>
      </c>
      <c r="BY18" s="78"/>
      <c r="BZ18" s="34">
        <f t="shared" si="17"/>
        <v>0</v>
      </c>
      <c r="CA18" s="20"/>
      <c r="CB18" s="34">
        <f t="shared" si="18"/>
        <v>0</v>
      </c>
      <c r="CC18" s="20"/>
      <c r="CD18" s="34">
        <f t="shared" si="19"/>
        <v>0</v>
      </c>
      <c r="CE18" s="20"/>
      <c r="CF18" s="34">
        <f t="shared" si="20"/>
        <v>0</v>
      </c>
      <c r="CG18" s="20"/>
      <c r="CH18" s="34">
        <f t="shared" si="21"/>
        <v>0</v>
      </c>
      <c r="CI18" s="20"/>
      <c r="CJ18" s="34">
        <f t="shared" si="1"/>
        <v>0</v>
      </c>
      <c r="CK18" s="20"/>
      <c r="CL18" s="44">
        <f t="shared" si="22"/>
        <v>0</v>
      </c>
      <c r="CM18" s="34"/>
      <c r="CN18" s="35"/>
      <c r="CO18" s="35"/>
    </row>
    <row r="19" spans="1:93" ht="25.5" customHeight="1" thickBot="1" x14ac:dyDescent="0.45">
      <c r="A19" s="31">
        <v>43815</v>
      </c>
      <c r="B19" s="45"/>
      <c r="C19" s="32"/>
      <c r="D19" s="44">
        <f t="shared" si="2"/>
        <v>0</v>
      </c>
      <c r="E19" s="32"/>
      <c r="F19" s="44">
        <f t="shared" si="3"/>
        <v>0</v>
      </c>
      <c r="G19" s="32"/>
      <c r="H19" s="44">
        <f t="shared" si="4"/>
        <v>0</v>
      </c>
      <c r="I19" s="32"/>
      <c r="J19" s="44">
        <f t="shared" si="5"/>
        <v>0</v>
      </c>
      <c r="K19" s="32"/>
      <c r="L19" s="44">
        <f t="shared" si="0"/>
        <v>0</v>
      </c>
      <c r="M19" s="32"/>
      <c r="N19" s="34">
        <f t="shared" si="23"/>
        <v>0</v>
      </c>
      <c r="O19" s="32"/>
      <c r="P19" s="34">
        <f t="shared" si="6"/>
        <v>0</v>
      </c>
      <c r="Q19" s="32"/>
      <c r="R19" s="34">
        <f t="shared" si="7"/>
        <v>0</v>
      </c>
      <c r="S19" s="32"/>
      <c r="T19" s="34">
        <f t="shared" si="8"/>
        <v>0</v>
      </c>
      <c r="U19" s="32"/>
      <c r="V19" s="34">
        <f t="shared" si="9"/>
        <v>0</v>
      </c>
      <c r="W19" s="32"/>
      <c r="X19" s="34">
        <f t="shared" si="43"/>
        <v>0</v>
      </c>
      <c r="Y19" s="32"/>
      <c r="Z19" s="34">
        <f t="shared" si="24"/>
        <v>0</v>
      </c>
      <c r="AA19" s="32"/>
      <c r="AB19" s="34">
        <f t="shared" si="25"/>
        <v>0</v>
      </c>
      <c r="AC19" s="32"/>
      <c r="AD19" s="34">
        <f t="shared" si="26"/>
        <v>0</v>
      </c>
      <c r="AE19" s="1"/>
      <c r="AF19" s="34">
        <f t="shared" si="27"/>
        <v>0</v>
      </c>
      <c r="AG19" s="1"/>
      <c r="AH19" s="34">
        <f t="shared" si="10"/>
        <v>0</v>
      </c>
      <c r="AI19" s="32"/>
      <c r="AJ19" s="34">
        <f t="shared" si="28"/>
        <v>0</v>
      </c>
      <c r="AK19" s="32"/>
      <c r="AL19" s="34">
        <f t="shared" si="11"/>
        <v>0</v>
      </c>
      <c r="AM19" s="32"/>
      <c r="AN19" s="34">
        <f t="shared" si="12"/>
        <v>0</v>
      </c>
      <c r="AO19" s="32"/>
      <c r="AP19" s="34">
        <f t="shared" si="13"/>
        <v>0</v>
      </c>
      <c r="AQ19" s="32"/>
      <c r="AR19" s="34">
        <f t="shared" si="29"/>
        <v>0</v>
      </c>
      <c r="AS19" s="32"/>
      <c r="AT19" s="34">
        <f t="shared" si="30"/>
        <v>0</v>
      </c>
      <c r="AU19" s="32"/>
      <c r="AV19" s="34">
        <f t="shared" si="31"/>
        <v>0</v>
      </c>
      <c r="AW19" s="32"/>
      <c r="AX19" s="34">
        <f t="shared" si="32"/>
        <v>0</v>
      </c>
      <c r="AY19" s="32"/>
      <c r="AZ19" s="34">
        <f t="shared" si="33"/>
        <v>0</v>
      </c>
      <c r="BA19" s="32"/>
      <c r="BB19" s="34">
        <f t="shared" si="34"/>
        <v>0</v>
      </c>
      <c r="BC19" s="32"/>
      <c r="BD19" s="34">
        <f t="shared" si="35"/>
        <v>0</v>
      </c>
      <c r="BE19" s="21"/>
      <c r="BF19" s="34">
        <f t="shared" si="14"/>
        <v>0</v>
      </c>
      <c r="BG19" s="21"/>
      <c r="BH19" s="34">
        <f t="shared" si="36"/>
        <v>0</v>
      </c>
      <c r="BI19" s="21"/>
      <c r="BJ19" s="34">
        <f t="shared" si="37"/>
        <v>0</v>
      </c>
      <c r="BK19" s="21"/>
      <c r="BL19" s="34">
        <f t="shared" si="38"/>
        <v>0</v>
      </c>
      <c r="BM19" s="21"/>
      <c r="BN19" s="34">
        <f t="shared" si="39"/>
        <v>0</v>
      </c>
      <c r="BO19" s="21"/>
      <c r="BP19" s="34">
        <f t="shared" si="40"/>
        <v>0</v>
      </c>
      <c r="BQ19" s="21"/>
      <c r="BR19" s="34">
        <f t="shared" si="15"/>
        <v>0</v>
      </c>
      <c r="BS19" s="21"/>
      <c r="BT19" s="34">
        <f t="shared" si="41"/>
        <v>0</v>
      </c>
      <c r="BU19" s="21"/>
      <c r="BV19" s="34">
        <f t="shared" si="16"/>
        <v>0</v>
      </c>
      <c r="BW19" s="21"/>
      <c r="BX19" s="34">
        <f t="shared" si="42"/>
        <v>0</v>
      </c>
      <c r="BY19" s="78"/>
      <c r="BZ19" s="34">
        <f t="shared" si="17"/>
        <v>0</v>
      </c>
      <c r="CA19" s="20"/>
      <c r="CB19" s="34">
        <f t="shared" si="18"/>
        <v>0</v>
      </c>
      <c r="CC19" s="20"/>
      <c r="CD19" s="34">
        <f t="shared" si="19"/>
        <v>0</v>
      </c>
      <c r="CE19" s="20"/>
      <c r="CF19" s="34">
        <f t="shared" si="20"/>
        <v>0</v>
      </c>
      <c r="CG19" s="20"/>
      <c r="CH19" s="34">
        <f t="shared" si="21"/>
        <v>0</v>
      </c>
      <c r="CI19" s="20"/>
      <c r="CJ19" s="34">
        <f t="shared" si="1"/>
        <v>0</v>
      </c>
      <c r="CK19" s="20"/>
      <c r="CL19" s="44">
        <f t="shared" si="22"/>
        <v>0</v>
      </c>
      <c r="CM19" s="34"/>
      <c r="CN19" s="35"/>
      <c r="CO19" s="35"/>
    </row>
    <row r="20" spans="1:93" ht="25.5" customHeight="1" thickBot="1" x14ac:dyDescent="0.45">
      <c r="A20" s="31">
        <v>43816</v>
      </c>
      <c r="B20" s="45"/>
      <c r="C20" s="32"/>
      <c r="D20" s="44">
        <f t="shared" si="2"/>
        <v>0</v>
      </c>
      <c r="E20" s="32"/>
      <c r="F20" s="44">
        <f t="shared" si="3"/>
        <v>0</v>
      </c>
      <c r="G20" s="32"/>
      <c r="H20" s="44">
        <f t="shared" si="4"/>
        <v>0</v>
      </c>
      <c r="I20" s="32"/>
      <c r="J20" s="44">
        <f t="shared" si="5"/>
        <v>0</v>
      </c>
      <c r="K20" s="32"/>
      <c r="L20" s="44">
        <f t="shared" si="0"/>
        <v>0</v>
      </c>
      <c r="M20" s="32"/>
      <c r="N20" s="34">
        <f t="shared" si="23"/>
        <v>0</v>
      </c>
      <c r="O20" s="32"/>
      <c r="P20" s="34">
        <f t="shared" si="6"/>
        <v>0</v>
      </c>
      <c r="Q20" s="32"/>
      <c r="R20" s="34">
        <f t="shared" si="7"/>
        <v>0</v>
      </c>
      <c r="S20" s="32"/>
      <c r="T20" s="34">
        <f t="shared" si="8"/>
        <v>0</v>
      </c>
      <c r="U20" s="32"/>
      <c r="V20" s="34">
        <f t="shared" si="9"/>
        <v>0</v>
      </c>
      <c r="W20" s="32"/>
      <c r="X20" s="34">
        <f t="shared" si="43"/>
        <v>0</v>
      </c>
      <c r="Y20" s="32"/>
      <c r="Z20" s="34">
        <f t="shared" si="24"/>
        <v>0</v>
      </c>
      <c r="AA20" s="32"/>
      <c r="AB20" s="34">
        <f t="shared" si="25"/>
        <v>0</v>
      </c>
      <c r="AC20" s="32"/>
      <c r="AD20" s="34">
        <f t="shared" si="26"/>
        <v>0</v>
      </c>
      <c r="AE20" s="1"/>
      <c r="AF20" s="34">
        <f t="shared" si="27"/>
        <v>0</v>
      </c>
      <c r="AG20" s="1"/>
      <c r="AH20" s="34">
        <f t="shared" si="10"/>
        <v>0</v>
      </c>
      <c r="AI20" s="32"/>
      <c r="AJ20" s="34">
        <f t="shared" si="28"/>
        <v>0</v>
      </c>
      <c r="AK20" s="32"/>
      <c r="AL20" s="34">
        <f t="shared" si="11"/>
        <v>0</v>
      </c>
      <c r="AM20" s="32"/>
      <c r="AN20" s="34">
        <f t="shared" si="12"/>
        <v>0</v>
      </c>
      <c r="AO20" s="32"/>
      <c r="AP20" s="34">
        <f t="shared" si="13"/>
        <v>0</v>
      </c>
      <c r="AQ20" s="32"/>
      <c r="AR20" s="34">
        <f t="shared" si="29"/>
        <v>0</v>
      </c>
      <c r="AS20" s="32"/>
      <c r="AT20" s="34">
        <f t="shared" si="30"/>
        <v>0</v>
      </c>
      <c r="AU20" s="32"/>
      <c r="AV20" s="34">
        <f t="shared" si="31"/>
        <v>0</v>
      </c>
      <c r="AW20" s="32"/>
      <c r="AX20" s="34">
        <f t="shared" si="32"/>
        <v>0</v>
      </c>
      <c r="AY20" s="32"/>
      <c r="AZ20" s="34">
        <f t="shared" si="33"/>
        <v>0</v>
      </c>
      <c r="BA20" s="32"/>
      <c r="BB20" s="34">
        <f t="shared" si="34"/>
        <v>0</v>
      </c>
      <c r="BC20" s="32"/>
      <c r="BD20" s="34">
        <f t="shared" si="35"/>
        <v>0</v>
      </c>
      <c r="BE20" s="21"/>
      <c r="BF20" s="34">
        <f t="shared" si="14"/>
        <v>0</v>
      </c>
      <c r="BG20" s="21"/>
      <c r="BH20" s="34">
        <f t="shared" si="36"/>
        <v>0</v>
      </c>
      <c r="BI20" s="21"/>
      <c r="BJ20" s="34">
        <f t="shared" si="37"/>
        <v>0</v>
      </c>
      <c r="BK20" s="21"/>
      <c r="BL20" s="34">
        <f t="shared" si="38"/>
        <v>0</v>
      </c>
      <c r="BM20" s="21"/>
      <c r="BN20" s="34">
        <f t="shared" si="39"/>
        <v>0</v>
      </c>
      <c r="BO20" s="21"/>
      <c r="BP20" s="34">
        <f t="shared" si="40"/>
        <v>0</v>
      </c>
      <c r="BQ20" s="21"/>
      <c r="BR20" s="34">
        <f t="shared" si="15"/>
        <v>0</v>
      </c>
      <c r="BS20" s="21"/>
      <c r="BT20" s="34">
        <f t="shared" si="41"/>
        <v>0</v>
      </c>
      <c r="BU20" s="21"/>
      <c r="BV20" s="34">
        <f t="shared" si="16"/>
        <v>0</v>
      </c>
      <c r="BW20" s="21"/>
      <c r="BX20" s="34">
        <f t="shared" si="42"/>
        <v>0</v>
      </c>
      <c r="BY20" s="78"/>
      <c r="BZ20" s="34">
        <f t="shared" si="17"/>
        <v>0</v>
      </c>
      <c r="CA20" s="20"/>
      <c r="CB20" s="34">
        <f t="shared" si="18"/>
        <v>0</v>
      </c>
      <c r="CC20" s="20"/>
      <c r="CD20" s="34">
        <f t="shared" si="19"/>
        <v>0</v>
      </c>
      <c r="CE20" s="20"/>
      <c r="CF20" s="34">
        <f t="shared" si="20"/>
        <v>0</v>
      </c>
      <c r="CG20" s="20"/>
      <c r="CH20" s="34">
        <f t="shared" si="21"/>
        <v>0</v>
      </c>
      <c r="CI20" s="20"/>
      <c r="CJ20" s="34">
        <f t="shared" si="1"/>
        <v>0</v>
      </c>
      <c r="CK20" s="20"/>
      <c r="CL20" s="44">
        <f t="shared" si="22"/>
        <v>0</v>
      </c>
      <c r="CM20" s="34"/>
      <c r="CN20" s="35"/>
      <c r="CO20" s="35"/>
    </row>
    <row r="21" spans="1:93" ht="25.5" customHeight="1" thickBot="1" x14ac:dyDescent="0.45">
      <c r="A21" s="31">
        <v>43817</v>
      </c>
      <c r="B21" s="45"/>
      <c r="C21" s="32"/>
      <c r="D21" s="44">
        <f t="shared" si="2"/>
        <v>0</v>
      </c>
      <c r="E21" s="32"/>
      <c r="F21" s="44">
        <f t="shared" si="3"/>
        <v>0</v>
      </c>
      <c r="G21" s="32"/>
      <c r="H21" s="44">
        <f t="shared" si="4"/>
        <v>0</v>
      </c>
      <c r="I21" s="32"/>
      <c r="J21" s="44">
        <f t="shared" si="5"/>
        <v>0</v>
      </c>
      <c r="K21" s="32"/>
      <c r="L21" s="44">
        <f t="shared" si="0"/>
        <v>0</v>
      </c>
      <c r="M21" s="32"/>
      <c r="N21" s="34">
        <f t="shared" si="23"/>
        <v>0</v>
      </c>
      <c r="O21" s="32"/>
      <c r="P21" s="34">
        <f t="shared" si="6"/>
        <v>0</v>
      </c>
      <c r="Q21" s="32"/>
      <c r="R21" s="34">
        <f t="shared" si="7"/>
        <v>0</v>
      </c>
      <c r="S21" s="32"/>
      <c r="T21" s="34">
        <f t="shared" si="8"/>
        <v>0</v>
      </c>
      <c r="U21" s="32"/>
      <c r="V21" s="34">
        <f t="shared" si="9"/>
        <v>0</v>
      </c>
      <c r="W21" s="20"/>
      <c r="X21" s="34">
        <f t="shared" si="43"/>
        <v>0</v>
      </c>
      <c r="Y21" s="20"/>
      <c r="Z21" s="34">
        <f t="shared" si="24"/>
        <v>0</v>
      </c>
      <c r="AA21" s="20"/>
      <c r="AB21" s="34">
        <f t="shared" si="25"/>
        <v>0</v>
      </c>
      <c r="AC21" s="20"/>
      <c r="AD21" s="34">
        <f t="shared" si="26"/>
        <v>0</v>
      </c>
      <c r="AE21" s="20"/>
      <c r="AF21" s="34">
        <f t="shared" si="27"/>
        <v>0</v>
      </c>
      <c r="AG21" s="20"/>
      <c r="AH21" s="34">
        <f t="shared" si="10"/>
        <v>0</v>
      </c>
      <c r="AI21" s="20"/>
      <c r="AJ21" s="34">
        <f t="shared" si="28"/>
        <v>0</v>
      </c>
      <c r="AK21" s="20"/>
      <c r="AL21" s="34">
        <f t="shared" si="11"/>
        <v>0</v>
      </c>
      <c r="AM21" s="20"/>
      <c r="AN21" s="34">
        <f t="shared" si="12"/>
        <v>0</v>
      </c>
      <c r="AO21" s="20"/>
      <c r="AP21" s="34">
        <f t="shared" si="13"/>
        <v>0</v>
      </c>
      <c r="AQ21" s="20"/>
      <c r="AR21" s="34">
        <f t="shared" si="29"/>
        <v>0</v>
      </c>
      <c r="AS21" s="20"/>
      <c r="AT21" s="34">
        <f t="shared" si="30"/>
        <v>0</v>
      </c>
      <c r="AU21" s="20"/>
      <c r="AV21" s="34">
        <f t="shared" si="31"/>
        <v>0</v>
      </c>
      <c r="AW21" s="20"/>
      <c r="AX21" s="34">
        <f t="shared" si="32"/>
        <v>0</v>
      </c>
      <c r="AY21" s="20"/>
      <c r="AZ21" s="34">
        <f t="shared" si="33"/>
        <v>0</v>
      </c>
      <c r="BA21" s="20"/>
      <c r="BB21" s="34">
        <f t="shared" si="34"/>
        <v>0</v>
      </c>
      <c r="BC21" s="20"/>
      <c r="BD21" s="34">
        <f t="shared" si="35"/>
        <v>0</v>
      </c>
      <c r="BE21" s="21"/>
      <c r="BF21" s="34">
        <f t="shared" si="14"/>
        <v>0</v>
      </c>
      <c r="BG21" s="21"/>
      <c r="BH21" s="34">
        <f t="shared" si="36"/>
        <v>0</v>
      </c>
      <c r="BI21" s="21"/>
      <c r="BJ21" s="34">
        <f t="shared" si="37"/>
        <v>0</v>
      </c>
      <c r="BK21" s="21"/>
      <c r="BL21" s="34">
        <f t="shared" si="38"/>
        <v>0</v>
      </c>
      <c r="BM21" s="21"/>
      <c r="BN21" s="34">
        <f t="shared" si="39"/>
        <v>0</v>
      </c>
      <c r="BO21" s="21"/>
      <c r="BP21" s="34">
        <f t="shared" si="40"/>
        <v>0</v>
      </c>
      <c r="BQ21" s="21"/>
      <c r="BR21" s="34">
        <f t="shared" si="15"/>
        <v>0</v>
      </c>
      <c r="BS21" s="21"/>
      <c r="BT21" s="34">
        <f t="shared" si="41"/>
        <v>0</v>
      </c>
      <c r="BU21" s="21"/>
      <c r="BV21" s="34">
        <f t="shared" si="16"/>
        <v>0</v>
      </c>
      <c r="BW21" s="21"/>
      <c r="BX21" s="34">
        <f t="shared" si="42"/>
        <v>0</v>
      </c>
      <c r="BY21" s="78"/>
      <c r="BZ21" s="34">
        <f t="shared" si="17"/>
        <v>0</v>
      </c>
      <c r="CA21" s="20"/>
      <c r="CB21" s="34">
        <f t="shared" si="18"/>
        <v>0</v>
      </c>
      <c r="CC21" s="20"/>
      <c r="CD21" s="34">
        <f t="shared" si="19"/>
        <v>0</v>
      </c>
      <c r="CE21" s="20"/>
      <c r="CF21" s="34">
        <f t="shared" si="20"/>
        <v>0</v>
      </c>
      <c r="CG21" s="20"/>
      <c r="CH21" s="34">
        <f t="shared" si="21"/>
        <v>0</v>
      </c>
      <c r="CI21" s="20"/>
      <c r="CJ21" s="34">
        <f t="shared" si="1"/>
        <v>0</v>
      </c>
      <c r="CK21" s="20"/>
      <c r="CL21" s="44">
        <f t="shared" si="22"/>
        <v>0</v>
      </c>
      <c r="CM21" s="34"/>
      <c r="CN21" s="35"/>
      <c r="CO21" s="35"/>
    </row>
    <row r="22" spans="1:93" ht="25.5" customHeight="1" thickBot="1" x14ac:dyDescent="0.45">
      <c r="A22" s="31">
        <v>43818</v>
      </c>
      <c r="B22" s="45"/>
      <c r="C22" s="32"/>
      <c r="D22" s="44">
        <f t="shared" si="2"/>
        <v>0</v>
      </c>
      <c r="E22" s="32"/>
      <c r="F22" s="44">
        <f t="shared" si="3"/>
        <v>0</v>
      </c>
      <c r="G22" s="32"/>
      <c r="H22" s="44">
        <f t="shared" si="4"/>
        <v>0</v>
      </c>
      <c r="I22" s="32"/>
      <c r="J22" s="44">
        <f t="shared" si="5"/>
        <v>0</v>
      </c>
      <c r="K22" s="32"/>
      <c r="L22" s="44">
        <f t="shared" si="0"/>
        <v>0</v>
      </c>
      <c r="M22" s="32"/>
      <c r="N22" s="34">
        <f t="shared" si="23"/>
        <v>0</v>
      </c>
      <c r="O22" s="32"/>
      <c r="P22" s="34">
        <f t="shared" si="6"/>
        <v>0</v>
      </c>
      <c r="Q22" s="32"/>
      <c r="R22" s="34">
        <f t="shared" si="7"/>
        <v>0</v>
      </c>
      <c r="S22" s="32"/>
      <c r="T22" s="34">
        <f t="shared" si="8"/>
        <v>0</v>
      </c>
      <c r="U22" s="32"/>
      <c r="V22" s="34">
        <f t="shared" si="9"/>
        <v>0</v>
      </c>
      <c r="W22" s="32"/>
      <c r="X22" s="34">
        <f t="shared" si="43"/>
        <v>0</v>
      </c>
      <c r="Y22" s="32"/>
      <c r="Z22" s="34">
        <f t="shared" si="24"/>
        <v>0</v>
      </c>
      <c r="AA22" s="32"/>
      <c r="AB22" s="34">
        <f t="shared" si="25"/>
        <v>0</v>
      </c>
      <c r="AC22" s="32"/>
      <c r="AD22" s="34">
        <f t="shared" si="26"/>
        <v>0</v>
      </c>
      <c r="AE22" s="1"/>
      <c r="AF22" s="34">
        <f t="shared" si="27"/>
        <v>0</v>
      </c>
      <c r="AG22" s="1"/>
      <c r="AH22" s="34">
        <f t="shared" si="10"/>
        <v>0</v>
      </c>
      <c r="AI22" s="32"/>
      <c r="AJ22" s="34">
        <f t="shared" si="28"/>
        <v>0</v>
      </c>
      <c r="AK22" s="32"/>
      <c r="AL22" s="34">
        <f t="shared" si="11"/>
        <v>0</v>
      </c>
      <c r="AM22" s="32"/>
      <c r="AN22" s="34">
        <f t="shared" si="12"/>
        <v>0</v>
      </c>
      <c r="AO22" s="20"/>
      <c r="AP22" s="34">
        <f t="shared" si="13"/>
        <v>0</v>
      </c>
      <c r="AQ22" s="20"/>
      <c r="AR22" s="34">
        <f t="shared" si="29"/>
        <v>0</v>
      </c>
      <c r="AS22" s="20"/>
      <c r="AT22" s="34">
        <f t="shared" si="30"/>
        <v>0</v>
      </c>
      <c r="AU22" s="20"/>
      <c r="AV22" s="34">
        <f t="shared" si="31"/>
        <v>0</v>
      </c>
      <c r="AW22" s="20"/>
      <c r="AX22" s="34">
        <f t="shared" si="32"/>
        <v>0</v>
      </c>
      <c r="AY22" s="20"/>
      <c r="AZ22" s="34">
        <f t="shared" si="33"/>
        <v>0</v>
      </c>
      <c r="BA22" s="20"/>
      <c r="BB22" s="34">
        <f t="shared" si="34"/>
        <v>0</v>
      </c>
      <c r="BC22" s="20"/>
      <c r="BD22" s="34">
        <f t="shared" si="35"/>
        <v>0</v>
      </c>
      <c r="BE22" s="21"/>
      <c r="BF22" s="34">
        <f t="shared" si="14"/>
        <v>0</v>
      </c>
      <c r="BG22" s="21"/>
      <c r="BH22" s="34">
        <f t="shared" si="36"/>
        <v>0</v>
      </c>
      <c r="BI22" s="21"/>
      <c r="BJ22" s="34">
        <f t="shared" si="37"/>
        <v>0</v>
      </c>
      <c r="BK22" s="21"/>
      <c r="BL22" s="34">
        <f t="shared" si="38"/>
        <v>0</v>
      </c>
      <c r="BM22" s="21"/>
      <c r="BN22" s="34">
        <f t="shared" si="39"/>
        <v>0</v>
      </c>
      <c r="BO22" s="21"/>
      <c r="BP22" s="34">
        <f t="shared" si="40"/>
        <v>0</v>
      </c>
      <c r="BQ22" s="21"/>
      <c r="BR22" s="34">
        <f t="shared" si="15"/>
        <v>0</v>
      </c>
      <c r="BS22" s="21"/>
      <c r="BT22" s="34">
        <f t="shared" si="41"/>
        <v>0</v>
      </c>
      <c r="BU22" s="21"/>
      <c r="BV22" s="34">
        <f t="shared" si="16"/>
        <v>0</v>
      </c>
      <c r="BW22" s="21"/>
      <c r="BX22" s="34">
        <f t="shared" si="42"/>
        <v>0</v>
      </c>
      <c r="BY22" s="78"/>
      <c r="BZ22" s="34">
        <f t="shared" si="17"/>
        <v>0</v>
      </c>
      <c r="CA22" s="20"/>
      <c r="CB22" s="34">
        <f t="shared" si="18"/>
        <v>0</v>
      </c>
      <c r="CC22" s="20"/>
      <c r="CD22" s="34">
        <f t="shared" si="19"/>
        <v>0</v>
      </c>
      <c r="CE22" s="20"/>
      <c r="CF22" s="34">
        <f t="shared" si="20"/>
        <v>0</v>
      </c>
      <c r="CG22" s="20"/>
      <c r="CH22" s="34">
        <f t="shared" si="21"/>
        <v>0</v>
      </c>
      <c r="CI22" s="20"/>
      <c r="CJ22" s="34">
        <f t="shared" si="1"/>
        <v>0</v>
      </c>
      <c r="CK22" s="20"/>
      <c r="CL22" s="44">
        <f t="shared" si="22"/>
        <v>0</v>
      </c>
      <c r="CM22" s="34"/>
      <c r="CN22" s="35"/>
      <c r="CO22" s="35"/>
    </row>
    <row r="23" spans="1:93" ht="25.5" customHeight="1" x14ac:dyDescent="0.4">
      <c r="A23" s="31">
        <v>43819</v>
      </c>
      <c r="B23" s="45"/>
      <c r="C23" s="32"/>
      <c r="D23" s="44">
        <f t="shared" si="2"/>
        <v>0</v>
      </c>
      <c r="E23" s="32"/>
      <c r="F23" s="44">
        <f t="shared" si="3"/>
        <v>0</v>
      </c>
      <c r="G23" s="32"/>
      <c r="H23" s="44">
        <f t="shared" si="4"/>
        <v>0</v>
      </c>
      <c r="I23" s="32"/>
      <c r="J23" s="44">
        <f t="shared" si="5"/>
        <v>0</v>
      </c>
      <c r="K23" s="32"/>
      <c r="L23" s="44">
        <f t="shared" si="0"/>
        <v>0</v>
      </c>
      <c r="M23" s="32"/>
      <c r="N23" s="34">
        <f t="shared" si="23"/>
        <v>0</v>
      </c>
      <c r="O23" s="32"/>
      <c r="P23" s="34">
        <f t="shared" si="6"/>
        <v>0</v>
      </c>
      <c r="Q23" s="32"/>
      <c r="R23" s="34">
        <f t="shared" si="7"/>
        <v>0</v>
      </c>
      <c r="S23" s="32"/>
      <c r="T23" s="34">
        <f t="shared" si="8"/>
        <v>0</v>
      </c>
      <c r="U23" s="32"/>
      <c r="V23" s="34">
        <f t="shared" si="9"/>
        <v>0</v>
      </c>
      <c r="W23" s="32"/>
      <c r="X23" s="34">
        <f t="shared" si="43"/>
        <v>0</v>
      </c>
      <c r="Y23" s="32"/>
      <c r="Z23" s="34">
        <f t="shared" si="24"/>
        <v>0</v>
      </c>
      <c r="AA23" s="32"/>
      <c r="AB23" s="34">
        <f t="shared" si="25"/>
        <v>0</v>
      </c>
      <c r="AC23" s="32"/>
      <c r="AD23" s="34">
        <f t="shared" si="26"/>
        <v>0</v>
      </c>
      <c r="AE23" s="1"/>
      <c r="AF23" s="34">
        <f t="shared" si="27"/>
        <v>0</v>
      </c>
      <c r="AG23" s="1"/>
      <c r="AH23" s="34">
        <f t="shared" si="10"/>
        <v>0</v>
      </c>
      <c r="AI23" s="32"/>
      <c r="AJ23" s="34">
        <f t="shared" si="28"/>
        <v>0</v>
      </c>
      <c r="AK23" s="32"/>
      <c r="AL23" s="34">
        <f t="shared" si="11"/>
        <v>0</v>
      </c>
      <c r="AM23" s="32"/>
      <c r="AN23" s="34">
        <f t="shared" si="12"/>
        <v>0</v>
      </c>
      <c r="AO23" s="32"/>
      <c r="AP23" s="34">
        <f t="shared" si="13"/>
        <v>0</v>
      </c>
      <c r="AQ23" s="32"/>
      <c r="AR23" s="34">
        <f t="shared" si="29"/>
        <v>0</v>
      </c>
      <c r="AS23" s="32"/>
      <c r="AT23" s="34">
        <f t="shared" si="30"/>
        <v>0</v>
      </c>
      <c r="AU23" s="32"/>
      <c r="AV23" s="34">
        <f t="shared" si="31"/>
        <v>0</v>
      </c>
      <c r="AW23" s="32"/>
      <c r="AX23" s="34">
        <f t="shared" si="32"/>
        <v>0</v>
      </c>
      <c r="AY23" s="32"/>
      <c r="AZ23" s="34">
        <f t="shared" si="33"/>
        <v>0</v>
      </c>
      <c r="BA23" s="32"/>
      <c r="BB23" s="34">
        <f t="shared" si="34"/>
        <v>0</v>
      </c>
      <c r="BC23" s="32"/>
      <c r="BD23" s="34">
        <f t="shared" si="35"/>
        <v>0</v>
      </c>
      <c r="BE23" s="32"/>
      <c r="BF23" s="34">
        <f t="shared" si="14"/>
        <v>0</v>
      </c>
      <c r="BG23" s="32"/>
      <c r="BH23" s="34">
        <f t="shared" si="36"/>
        <v>0</v>
      </c>
      <c r="BI23" s="32"/>
      <c r="BJ23" s="34">
        <f t="shared" si="37"/>
        <v>0</v>
      </c>
      <c r="BK23" s="32"/>
      <c r="BL23" s="34">
        <f t="shared" si="38"/>
        <v>0</v>
      </c>
      <c r="BM23" s="32"/>
      <c r="BN23" s="34">
        <f t="shared" si="39"/>
        <v>0</v>
      </c>
      <c r="BO23" s="32"/>
      <c r="BP23" s="34">
        <f t="shared" si="40"/>
        <v>0</v>
      </c>
      <c r="BQ23" s="32"/>
      <c r="BR23" s="34">
        <f t="shared" si="15"/>
        <v>0</v>
      </c>
      <c r="BS23" s="32"/>
      <c r="BT23" s="34">
        <f t="shared" si="41"/>
        <v>0</v>
      </c>
      <c r="BU23" s="32"/>
      <c r="BV23" s="34">
        <f t="shared" si="16"/>
        <v>0</v>
      </c>
      <c r="BW23" s="32"/>
      <c r="BX23" s="34">
        <f t="shared" si="42"/>
        <v>0</v>
      </c>
      <c r="BY23" s="32"/>
      <c r="BZ23" s="34">
        <f t="shared" si="17"/>
        <v>0</v>
      </c>
      <c r="CA23" s="32"/>
      <c r="CB23" s="34">
        <f t="shared" si="18"/>
        <v>0</v>
      </c>
      <c r="CC23" s="32"/>
      <c r="CD23" s="34">
        <f t="shared" si="19"/>
        <v>0</v>
      </c>
      <c r="CE23" s="32"/>
      <c r="CF23" s="34">
        <f t="shared" si="20"/>
        <v>0</v>
      </c>
      <c r="CG23" s="32"/>
      <c r="CH23" s="34">
        <f t="shared" si="21"/>
        <v>0</v>
      </c>
      <c r="CI23" s="32"/>
      <c r="CJ23" s="34">
        <f t="shared" si="1"/>
        <v>0</v>
      </c>
      <c r="CK23" s="32"/>
      <c r="CL23" s="44">
        <f t="shared" si="22"/>
        <v>0</v>
      </c>
      <c r="CM23" s="34"/>
      <c r="CN23" s="35"/>
      <c r="CO23" s="35"/>
    </row>
    <row r="24" spans="1:93" ht="25.5" customHeight="1" x14ac:dyDescent="0.4">
      <c r="A24" s="31">
        <v>43820</v>
      </c>
      <c r="B24" s="45"/>
      <c r="C24" s="32"/>
      <c r="D24" s="44">
        <f t="shared" si="2"/>
        <v>0</v>
      </c>
      <c r="E24" s="32"/>
      <c r="F24" s="44">
        <f t="shared" si="3"/>
        <v>0</v>
      </c>
      <c r="G24" s="32"/>
      <c r="H24" s="44">
        <f t="shared" si="4"/>
        <v>0</v>
      </c>
      <c r="I24" s="32"/>
      <c r="J24" s="44">
        <f t="shared" si="5"/>
        <v>0</v>
      </c>
      <c r="K24" s="32"/>
      <c r="L24" s="44">
        <f t="shared" si="0"/>
        <v>0</v>
      </c>
      <c r="M24" s="32"/>
      <c r="N24" s="34">
        <f t="shared" si="23"/>
        <v>0</v>
      </c>
      <c r="O24" s="32"/>
      <c r="P24" s="34">
        <f t="shared" si="6"/>
        <v>0</v>
      </c>
      <c r="Q24" s="32"/>
      <c r="R24" s="34">
        <f t="shared" si="7"/>
        <v>0</v>
      </c>
      <c r="S24" s="32"/>
      <c r="T24" s="34">
        <f t="shared" si="8"/>
        <v>0</v>
      </c>
      <c r="U24" s="32"/>
      <c r="V24" s="34">
        <f t="shared" si="9"/>
        <v>0</v>
      </c>
      <c r="W24" s="32"/>
      <c r="X24" s="34">
        <f t="shared" si="43"/>
        <v>0</v>
      </c>
      <c r="Y24" s="32"/>
      <c r="Z24" s="34">
        <f t="shared" si="24"/>
        <v>0</v>
      </c>
      <c r="AA24" s="32"/>
      <c r="AB24" s="34">
        <f t="shared" si="25"/>
        <v>0</v>
      </c>
      <c r="AC24" s="32"/>
      <c r="AD24" s="34">
        <f t="shared" si="26"/>
        <v>0</v>
      </c>
      <c r="AE24" s="1"/>
      <c r="AF24" s="34">
        <f t="shared" si="27"/>
        <v>0</v>
      </c>
      <c r="AG24" s="1"/>
      <c r="AH24" s="34">
        <f t="shared" si="10"/>
        <v>0</v>
      </c>
      <c r="AI24" s="32"/>
      <c r="AJ24" s="34">
        <f t="shared" si="28"/>
        <v>0</v>
      </c>
      <c r="AK24" s="32"/>
      <c r="AL24" s="34">
        <f t="shared" si="11"/>
        <v>0</v>
      </c>
      <c r="AM24" s="32"/>
      <c r="AN24" s="34">
        <f t="shared" si="12"/>
        <v>0</v>
      </c>
      <c r="AO24" s="32"/>
      <c r="AP24" s="34">
        <f t="shared" si="13"/>
        <v>0</v>
      </c>
      <c r="AQ24" s="32"/>
      <c r="AR24" s="34">
        <f t="shared" si="29"/>
        <v>0</v>
      </c>
      <c r="AS24" s="32"/>
      <c r="AT24" s="34">
        <f t="shared" si="30"/>
        <v>0</v>
      </c>
      <c r="AU24" s="32"/>
      <c r="AV24" s="34">
        <f t="shared" si="31"/>
        <v>0</v>
      </c>
      <c r="AW24" s="32"/>
      <c r="AX24" s="34">
        <f t="shared" si="32"/>
        <v>0</v>
      </c>
      <c r="AY24" s="32"/>
      <c r="AZ24" s="34">
        <f t="shared" si="33"/>
        <v>0</v>
      </c>
      <c r="BA24" s="32"/>
      <c r="BB24" s="34">
        <f t="shared" si="34"/>
        <v>0</v>
      </c>
      <c r="BC24" s="32"/>
      <c r="BD24" s="34">
        <f t="shared" si="35"/>
        <v>0</v>
      </c>
      <c r="BE24" s="32"/>
      <c r="BF24" s="34">
        <f t="shared" si="14"/>
        <v>0</v>
      </c>
      <c r="BG24" s="32"/>
      <c r="BH24" s="34">
        <f t="shared" si="36"/>
        <v>0</v>
      </c>
      <c r="BI24" s="32"/>
      <c r="BJ24" s="34">
        <f t="shared" si="37"/>
        <v>0</v>
      </c>
      <c r="BK24" s="32"/>
      <c r="BL24" s="34">
        <f t="shared" si="38"/>
        <v>0</v>
      </c>
      <c r="BM24" s="32"/>
      <c r="BN24" s="34">
        <f t="shared" si="39"/>
        <v>0</v>
      </c>
      <c r="BO24" s="32"/>
      <c r="BP24" s="34">
        <f t="shared" si="40"/>
        <v>0</v>
      </c>
      <c r="BQ24" s="32"/>
      <c r="BR24" s="34">
        <f t="shared" si="15"/>
        <v>0</v>
      </c>
      <c r="BS24" s="32"/>
      <c r="BT24" s="34">
        <f t="shared" si="41"/>
        <v>0</v>
      </c>
      <c r="BU24" s="32"/>
      <c r="BV24" s="34">
        <f t="shared" si="16"/>
        <v>0</v>
      </c>
      <c r="BW24" s="32"/>
      <c r="BX24" s="34">
        <f t="shared" si="42"/>
        <v>0</v>
      </c>
      <c r="BY24" s="32"/>
      <c r="BZ24" s="34">
        <f t="shared" si="17"/>
        <v>0</v>
      </c>
      <c r="CA24" s="32"/>
      <c r="CB24" s="34">
        <f t="shared" si="18"/>
        <v>0</v>
      </c>
      <c r="CC24" s="32"/>
      <c r="CD24" s="34">
        <f t="shared" si="19"/>
        <v>0</v>
      </c>
      <c r="CE24" s="32"/>
      <c r="CF24" s="34">
        <f t="shared" si="20"/>
        <v>0</v>
      </c>
      <c r="CG24" s="32"/>
      <c r="CH24" s="34">
        <f t="shared" si="21"/>
        <v>0</v>
      </c>
      <c r="CI24" s="32"/>
      <c r="CJ24" s="34">
        <f t="shared" si="1"/>
        <v>0</v>
      </c>
      <c r="CK24" s="32"/>
      <c r="CL24" s="44">
        <f t="shared" si="22"/>
        <v>0</v>
      </c>
      <c r="CM24" s="34"/>
      <c r="CN24" s="35"/>
      <c r="CO24" s="35"/>
    </row>
    <row r="25" spans="1:93" ht="25.5" customHeight="1" x14ac:dyDescent="0.4">
      <c r="A25" s="31">
        <v>43821</v>
      </c>
      <c r="B25" s="45"/>
      <c r="C25" s="32"/>
      <c r="D25" s="44">
        <f t="shared" si="2"/>
        <v>0</v>
      </c>
      <c r="E25" s="32"/>
      <c r="F25" s="44">
        <f t="shared" si="3"/>
        <v>0</v>
      </c>
      <c r="G25" s="32"/>
      <c r="H25" s="44">
        <f t="shared" si="4"/>
        <v>0</v>
      </c>
      <c r="I25" s="32"/>
      <c r="J25" s="44">
        <f t="shared" si="5"/>
        <v>0</v>
      </c>
      <c r="K25" s="32"/>
      <c r="L25" s="44">
        <f t="shared" si="0"/>
        <v>0</v>
      </c>
      <c r="M25" s="32"/>
      <c r="N25" s="34">
        <f t="shared" si="23"/>
        <v>0</v>
      </c>
      <c r="O25" s="32"/>
      <c r="P25" s="34">
        <f t="shared" si="6"/>
        <v>0</v>
      </c>
      <c r="Q25" s="32"/>
      <c r="R25" s="34">
        <f t="shared" si="7"/>
        <v>0</v>
      </c>
      <c r="S25" s="32"/>
      <c r="T25" s="34">
        <f t="shared" si="8"/>
        <v>0</v>
      </c>
      <c r="U25" s="32"/>
      <c r="V25" s="34">
        <f t="shared" si="9"/>
        <v>0</v>
      </c>
      <c r="W25" s="32"/>
      <c r="X25" s="34">
        <f t="shared" si="43"/>
        <v>0</v>
      </c>
      <c r="Y25" s="32"/>
      <c r="Z25" s="34">
        <f t="shared" si="24"/>
        <v>0</v>
      </c>
      <c r="AA25" s="32"/>
      <c r="AB25" s="34">
        <f t="shared" si="25"/>
        <v>0</v>
      </c>
      <c r="AC25" s="32"/>
      <c r="AD25" s="34">
        <f t="shared" si="26"/>
        <v>0</v>
      </c>
      <c r="AE25" s="1"/>
      <c r="AF25" s="34">
        <f t="shared" si="27"/>
        <v>0</v>
      </c>
      <c r="AG25" s="1"/>
      <c r="AH25" s="34">
        <f t="shared" si="10"/>
        <v>0</v>
      </c>
      <c r="AI25" s="32"/>
      <c r="AJ25" s="34">
        <f t="shared" si="28"/>
        <v>0</v>
      </c>
      <c r="AK25" s="32"/>
      <c r="AL25" s="34">
        <f t="shared" si="11"/>
        <v>0</v>
      </c>
      <c r="AM25" s="32"/>
      <c r="AN25" s="34">
        <f t="shared" si="12"/>
        <v>0</v>
      </c>
      <c r="AO25" s="32"/>
      <c r="AP25" s="34">
        <f t="shared" si="13"/>
        <v>0</v>
      </c>
      <c r="AQ25" s="32"/>
      <c r="AR25" s="34">
        <f t="shared" si="29"/>
        <v>0</v>
      </c>
      <c r="AS25" s="32"/>
      <c r="AT25" s="34">
        <f t="shared" si="30"/>
        <v>0</v>
      </c>
      <c r="AU25" s="32"/>
      <c r="AV25" s="34">
        <f t="shared" si="31"/>
        <v>0</v>
      </c>
      <c r="AW25" s="32"/>
      <c r="AX25" s="34">
        <f t="shared" si="32"/>
        <v>0</v>
      </c>
      <c r="AY25" s="32"/>
      <c r="AZ25" s="34">
        <f t="shared" si="33"/>
        <v>0</v>
      </c>
      <c r="BA25" s="32"/>
      <c r="BB25" s="34">
        <f t="shared" si="34"/>
        <v>0</v>
      </c>
      <c r="BC25" s="32"/>
      <c r="BD25" s="34">
        <f t="shared" si="35"/>
        <v>0</v>
      </c>
      <c r="BE25" s="32"/>
      <c r="BF25" s="34">
        <f t="shared" si="14"/>
        <v>0</v>
      </c>
      <c r="BG25" s="32"/>
      <c r="BH25" s="34">
        <f t="shared" si="36"/>
        <v>0</v>
      </c>
      <c r="BI25" s="32"/>
      <c r="BJ25" s="34">
        <f t="shared" si="37"/>
        <v>0</v>
      </c>
      <c r="BK25" s="32"/>
      <c r="BL25" s="34">
        <f t="shared" si="38"/>
        <v>0</v>
      </c>
      <c r="BM25" s="32"/>
      <c r="BN25" s="34">
        <f t="shared" si="39"/>
        <v>0</v>
      </c>
      <c r="BO25" s="32"/>
      <c r="BP25" s="34">
        <f t="shared" si="40"/>
        <v>0</v>
      </c>
      <c r="BQ25" s="32"/>
      <c r="BR25" s="34">
        <f t="shared" si="15"/>
        <v>0</v>
      </c>
      <c r="BS25" s="32"/>
      <c r="BT25" s="34">
        <f t="shared" si="41"/>
        <v>0</v>
      </c>
      <c r="BU25" s="32"/>
      <c r="BV25" s="34">
        <f t="shared" si="16"/>
        <v>0</v>
      </c>
      <c r="BW25" s="32"/>
      <c r="BX25" s="34">
        <f t="shared" si="42"/>
        <v>0</v>
      </c>
      <c r="BY25" s="32"/>
      <c r="BZ25" s="34">
        <f t="shared" si="17"/>
        <v>0</v>
      </c>
      <c r="CA25" s="32"/>
      <c r="CB25" s="34">
        <f t="shared" si="18"/>
        <v>0</v>
      </c>
      <c r="CC25" s="32"/>
      <c r="CD25" s="34">
        <f t="shared" si="19"/>
        <v>0</v>
      </c>
      <c r="CE25" s="32"/>
      <c r="CF25" s="34">
        <f t="shared" si="20"/>
        <v>0</v>
      </c>
      <c r="CG25" s="32"/>
      <c r="CH25" s="34">
        <f t="shared" si="21"/>
        <v>0</v>
      </c>
      <c r="CI25" s="32"/>
      <c r="CJ25" s="34">
        <f t="shared" si="1"/>
        <v>0</v>
      </c>
      <c r="CK25" s="32"/>
      <c r="CL25" s="44">
        <f t="shared" si="22"/>
        <v>0</v>
      </c>
      <c r="CM25" s="34"/>
      <c r="CN25" s="35"/>
      <c r="CO25" s="35"/>
    </row>
    <row r="26" spans="1:93" ht="25.5" customHeight="1" x14ac:dyDescent="0.4">
      <c r="A26" s="31">
        <v>43822</v>
      </c>
      <c r="B26" s="45"/>
      <c r="C26" s="32"/>
      <c r="D26" s="44">
        <f t="shared" si="2"/>
        <v>0</v>
      </c>
      <c r="E26" s="32"/>
      <c r="F26" s="44">
        <f t="shared" si="3"/>
        <v>0</v>
      </c>
      <c r="G26" s="32"/>
      <c r="H26" s="44">
        <f t="shared" si="4"/>
        <v>0</v>
      </c>
      <c r="I26" s="32"/>
      <c r="J26" s="44">
        <f t="shared" si="5"/>
        <v>0</v>
      </c>
      <c r="K26" s="32"/>
      <c r="L26" s="44">
        <f t="shared" si="0"/>
        <v>0</v>
      </c>
      <c r="M26" s="32"/>
      <c r="N26" s="34">
        <f t="shared" si="23"/>
        <v>0</v>
      </c>
      <c r="O26" s="32"/>
      <c r="P26" s="34">
        <f t="shared" si="6"/>
        <v>0</v>
      </c>
      <c r="Q26" s="32"/>
      <c r="R26" s="34">
        <f t="shared" si="7"/>
        <v>0</v>
      </c>
      <c r="S26" s="32"/>
      <c r="T26" s="34">
        <f t="shared" si="8"/>
        <v>0</v>
      </c>
      <c r="U26" s="32"/>
      <c r="V26" s="34">
        <f t="shared" si="9"/>
        <v>0</v>
      </c>
      <c r="W26" s="32"/>
      <c r="X26" s="34">
        <f t="shared" si="43"/>
        <v>0</v>
      </c>
      <c r="Y26" s="32"/>
      <c r="Z26" s="34">
        <f t="shared" si="24"/>
        <v>0</v>
      </c>
      <c r="AA26" s="32"/>
      <c r="AB26" s="34">
        <f t="shared" si="25"/>
        <v>0</v>
      </c>
      <c r="AC26" s="32"/>
      <c r="AD26" s="34">
        <f t="shared" si="26"/>
        <v>0</v>
      </c>
      <c r="AE26" s="1"/>
      <c r="AF26" s="34">
        <f t="shared" si="27"/>
        <v>0</v>
      </c>
      <c r="AG26" s="1"/>
      <c r="AH26" s="34">
        <f t="shared" si="10"/>
        <v>0</v>
      </c>
      <c r="AI26" s="32"/>
      <c r="AJ26" s="34">
        <f t="shared" si="28"/>
        <v>0</v>
      </c>
      <c r="AK26" s="32"/>
      <c r="AL26" s="34">
        <f t="shared" si="11"/>
        <v>0</v>
      </c>
      <c r="AM26" s="32"/>
      <c r="AN26" s="34">
        <f t="shared" si="12"/>
        <v>0</v>
      </c>
      <c r="AO26" s="32"/>
      <c r="AP26" s="34">
        <f t="shared" si="13"/>
        <v>0</v>
      </c>
      <c r="AQ26" s="32"/>
      <c r="AR26" s="34">
        <f t="shared" si="29"/>
        <v>0</v>
      </c>
      <c r="AS26" s="32"/>
      <c r="AT26" s="34">
        <f t="shared" si="30"/>
        <v>0</v>
      </c>
      <c r="AU26" s="32"/>
      <c r="AV26" s="34">
        <f t="shared" si="31"/>
        <v>0</v>
      </c>
      <c r="AW26" s="32"/>
      <c r="AX26" s="34">
        <f t="shared" si="32"/>
        <v>0</v>
      </c>
      <c r="AY26" s="32"/>
      <c r="AZ26" s="34">
        <f t="shared" si="33"/>
        <v>0</v>
      </c>
      <c r="BA26" s="32"/>
      <c r="BB26" s="34">
        <f t="shared" si="34"/>
        <v>0</v>
      </c>
      <c r="BC26" s="32"/>
      <c r="BD26" s="34">
        <f t="shared" si="35"/>
        <v>0</v>
      </c>
      <c r="BE26" s="32"/>
      <c r="BF26" s="34">
        <f t="shared" si="14"/>
        <v>0</v>
      </c>
      <c r="BG26" s="32"/>
      <c r="BH26" s="34">
        <f t="shared" si="36"/>
        <v>0</v>
      </c>
      <c r="BI26" s="32"/>
      <c r="BJ26" s="34">
        <f t="shared" si="37"/>
        <v>0</v>
      </c>
      <c r="BK26" s="32"/>
      <c r="BL26" s="34">
        <f t="shared" si="38"/>
        <v>0</v>
      </c>
      <c r="BM26" s="32"/>
      <c r="BN26" s="34">
        <f t="shared" si="39"/>
        <v>0</v>
      </c>
      <c r="BO26" s="32"/>
      <c r="BP26" s="34">
        <f t="shared" si="40"/>
        <v>0</v>
      </c>
      <c r="BQ26" s="32"/>
      <c r="BR26" s="34">
        <f t="shared" si="15"/>
        <v>0</v>
      </c>
      <c r="BS26" s="32"/>
      <c r="BT26" s="34">
        <f t="shared" si="41"/>
        <v>0</v>
      </c>
      <c r="BU26" s="32"/>
      <c r="BV26" s="34">
        <f t="shared" si="16"/>
        <v>0</v>
      </c>
      <c r="BW26" s="32"/>
      <c r="BX26" s="34">
        <f t="shared" si="42"/>
        <v>0</v>
      </c>
      <c r="BY26" s="32"/>
      <c r="BZ26" s="34">
        <f t="shared" si="17"/>
        <v>0</v>
      </c>
      <c r="CA26" s="32"/>
      <c r="CB26" s="34">
        <f t="shared" si="18"/>
        <v>0</v>
      </c>
      <c r="CC26" s="32"/>
      <c r="CD26" s="34">
        <f t="shared" si="19"/>
        <v>0</v>
      </c>
      <c r="CE26" s="32"/>
      <c r="CF26" s="34">
        <f t="shared" si="20"/>
        <v>0</v>
      </c>
      <c r="CG26" s="32"/>
      <c r="CH26" s="34">
        <f t="shared" si="21"/>
        <v>0</v>
      </c>
      <c r="CI26" s="32"/>
      <c r="CJ26" s="34">
        <f t="shared" si="1"/>
        <v>0</v>
      </c>
      <c r="CK26" s="32"/>
      <c r="CL26" s="44">
        <f t="shared" si="22"/>
        <v>0</v>
      </c>
      <c r="CM26" s="34"/>
      <c r="CN26" s="35"/>
      <c r="CO26" s="35"/>
    </row>
    <row r="27" spans="1:93" ht="25.5" customHeight="1" x14ac:dyDescent="0.4">
      <c r="A27" s="31">
        <v>43823</v>
      </c>
      <c r="B27" s="45"/>
      <c r="C27" s="32"/>
      <c r="D27" s="44">
        <f t="shared" si="2"/>
        <v>0</v>
      </c>
      <c r="E27" s="32"/>
      <c r="F27" s="44">
        <f t="shared" si="3"/>
        <v>0</v>
      </c>
      <c r="G27" s="32"/>
      <c r="H27" s="44">
        <f t="shared" si="4"/>
        <v>0</v>
      </c>
      <c r="I27" s="32"/>
      <c r="J27" s="44">
        <f t="shared" si="5"/>
        <v>0</v>
      </c>
      <c r="K27" s="32"/>
      <c r="L27" s="44">
        <f t="shared" si="0"/>
        <v>0</v>
      </c>
      <c r="M27" s="32"/>
      <c r="N27" s="34">
        <f t="shared" si="23"/>
        <v>0</v>
      </c>
      <c r="O27" s="32"/>
      <c r="P27" s="34">
        <f t="shared" si="6"/>
        <v>0</v>
      </c>
      <c r="Q27" s="32"/>
      <c r="R27" s="34">
        <f t="shared" si="7"/>
        <v>0</v>
      </c>
      <c r="S27" s="32"/>
      <c r="T27" s="34">
        <f t="shared" si="8"/>
        <v>0</v>
      </c>
      <c r="U27" s="32"/>
      <c r="V27" s="34">
        <f t="shared" si="9"/>
        <v>0</v>
      </c>
      <c r="W27" s="32"/>
      <c r="X27" s="34">
        <f t="shared" si="43"/>
        <v>0</v>
      </c>
      <c r="Y27" s="32"/>
      <c r="Z27" s="34">
        <f t="shared" si="24"/>
        <v>0</v>
      </c>
      <c r="AA27" s="32"/>
      <c r="AB27" s="34">
        <f t="shared" si="25"/>
        <v>0</v>
      </c>
      <c r="AC27" s="32"/>
      <c r="AD27" s="34">
        <f t="shared" si="26"/>
        <v>0</v>
      </c>
      <c r="AE27" s="1"/>
      <c r="AF27" s="34">
        <f t="shared" si="27"/>
        <v>0</v>
      </c>
      <c r="AG27" s="1"/>
      <c r="AH27" s="34">
        <f t="shared" si="10"/>
        <v>0</v>
      </c>
      <c r="AI27" s="32"/>
      <c r="AJ27" s="34">
        <f t="shared" si="28"/>
        <v>0</v>
      </c>
      <c r="AK27" s="32"/>
      <c r="AL27" s="34">
        <f t="shared" si="11"/>
        <v>0</v>
      </c>
      <c r="AM27" s="32"/>
      <c r="AN27" s="34">
        <f t="shared" si="12"/>
        <v>0</v>
      </c>
      <c r="AO27" s="32"/>
      <c r="AP27" s="34">
        <f t="shared" si="13"/>
        <v>0</v>
      </c>
      <c r="AQ27" s="32"/>
      <c r="AR27" s="34">
        <f t="shared" si="29"/>
        <v>0</v>
      </c>
      <c r="AS27" s="32"/>
      <c r="AT27" s="34">
        <f t="shared" si="30"/>
        <v>0</v>
      </c>
      <c r="AU27" s="32"/>
      <c r="AV27" s="34">
        <f t="shared" si="31"/>
        <v>0</v>
      </c>
      <c r="AW27" s="32"/>
      <c r="AX27" s="34">
        <f t="shared" si="32"/>
        <v>0</v>
      </c>
      <c r="AY27" s="32"/>
      <c r="AZ27" s="34">
        <f t="shared" si="33"/>
        <v>0</v>
      </c>
      <c r="BA27" s="32"/>
      <c r="BB27" s="34">
        <f t="shared" si="34"/>
        <v>0</v>
      </c>
      <c r="BC27" s="32"/>
      <c r="BD27" s="34">
        <f t="shared" si="35"/>
        <v>0</v>
      </c>
      <c r="BE27" s="32"/>
      <c r="BF27" s="34">
        <f t="shared" si="14"/>
        <v>0</v>
      </c>
      <c r="BG27" s="32"/>
      <c r="BH27" s="34">
        <f t="shared" si="36"/>
        <v>0</v>
      </c>
      <c r="BI27" s="32"/>
      <c r="BJ27" s="34">
        <f t="shared" si="37"/>
        <v>0</v>
      </c>
      <c r="BK27" s="32"/>
      <c r="BL27" s="34">
        <f t="shared" si="38"/>
        <v>0</v>
      </c>
      <c r="BM27" s="32"/>
      <c r="BN27" s="34">
        <f t="shared" si="39"/>
        <v>0</v>
      </c>
      <c r="BO27" s="32"/>
      <c r="BP27" s="34">
        <f t="shared" si="40"/>
        <v>0</v>
      </c>
      <c r="BQ27" s="32"/>
      <c r="BR27" s="34">
        <f t="shared" si="15"/>
        <v>0</v>
      </c>
      <c r="BS27" s="32"/>
      <c r="BT27" s="34">
        <f t="shared" si="41"/>
        <v>0</v>
      </c>
      <c r="BU27" s="32"/>
      <c r="BV27" s="34">
        <f t="shared" si="16"/>
        <v>0</v>
      </c>
      <c r="BW27" s="32"/>
      <c r="BX27" s="34">
        <f t="shared" si="42"/>
        <v>0</v>
      </c>
      <c r="BY27" s="32"/>
      <c r="BZ27" s="34">
        <f t="shared" si="17"/>
        <v>0</v>
      </c>
      <c r="CA27" s="32"/>
      <c r="CB27" s="34">
        <f t="shared" si="18"/>
        <v>0</v>
      </c>
      <c r="CC27" s="32"/>
      <c r="CD27" s="34">
        <f t="shared" si="19"/>
        <v>0</v>
      </c>
      <c r="CE27" s="32"/>
      <c r="CF27" s="34">
        <f t="shared" si="20"/>
        <v>0</v>
      </c>
      <c r="CG27" s="32"/>
      <c r="CH27" s="34">
        <f t="shared" si="21"/>
        <v>0</v>
      </c>
      <c r="CI27" s="32"/>
      <c r="CJ27" s="34">
        <f t="shared" si="1"/>
        <v>0</v>
      </c>
      <c r="CK27" s="32"/>
      <c r="CL27" s="44">
        <f t="shared" si="22"/>
        <v>0</v>
      </c>
      <c r="CM27" s="34"/>
      <c r="CN27" s="35"/>
      <c r="CO27" s="35"/>
    </row>
    <row r="28" spans="1:93" ht="25.5" customHeight="1" x14ac:dyDescent="0.4">
      <c r="A28" s="31">
        <v>43824</v>
      </c>
      <c r="B28" s="45"/>
      <c r="C28" s="32"/>
      <c r="D28" s="44">
        <f t="shared" si="2"/>
        <v>0</v>
      </c>
      <c r="E28" s="32"/>
      <c r="F28" s="44">
        <f t="shared" si="3"/>
        <v>0</v>
      </c>
      <c r="G28" s="32"/>
      <c r="H28" s="44">
        <f t="shared" si="4"/>
        <v>0</v>
      </c>
      <c r="I28" s="32"/>
      <c r="J28" s="44">
        <f t="shared" si="5"/>
        <v>0</v>
      </c>
      <c r="K28" s="32"/>
      <c r="L28" s="44">
        <f t="shared" si="0"/>
        <v>0</v>
      </c>
      <c r="M28" s="32"/>
      <c r="N28" s="34">
        <f t="shared" si="23"/>
        <v>0</v>
      </c>
      <c r="O28" s="32"/>
      <c r="P28" s="34">
        <f t="shared" si="6"/>
        <v>0</v>
      </c>
      <c r="Q28" s="32"/>
      <c r="R28" s="34">
        <f t="shared" si="7"/>
        <v>0</v>
      </c>
      <c r="S28" s="32"/>
      <c r="T28" s="34">
        <f t="shared" si="8"/>
        <v>0</v>
      </c>
      <c r="U28" s="32"/>
      <c r="V28" s="34">
        <f t="shared" si="9"/>
        <v>0</v>
      </c>
      <c r="W28" s="32"/>
      <c r="X28" s="34">
        <f t="shared" si="43"/>
        <v>0</v>
      </c>
      <c r="Y28" s="32"/>
      <c r="Z28" s="34">
        <f t="shared" si="24"/>
        <v>0</v>
      </c>
      <c r="AA28" s="32"/>
      <c r="AB28" s="34">
        <f t="shared" si="25"/>
        <v>0</v>
      </c>
      <c r="AC28" s="32"/>
      <c r="AD28" s="34">
        <f t="shared" si="26"/>
        <v>0</v>
      </c>
      <c r="AE28" s="1"/>
      <c r="AF28" s="34">
        <f t="shared" si="27"/>
        <v>0</v>
      </c>
      <c r="AG28" s="1"/>
      <c r="AH28" s="34">
        <f t="shared" si="10"/>
        <v>0</v>
      </c>
      <c r="AI28" s="32"/>
      <c r="AJ28" s="34">
        <f t="shared" si="28"/>
        <v>0</v>
      </c>
      <c r="AK28" s="32"/>
      <c r="AL28" s="34">
        <f t="shared" si="11"/>
        <v>0</v>
      </c>
      <c r="AM28" s="32"/>
      <c r="AN28" s="34">
        <f t="shared" si="12"/>
        <v>0</v>
      </c>
      <c r="AO28" s="32"/>
      <c r="AP28" s="34">
        <f t="shared" si="13"/>
        <v>0</v>
      </c>
      <c r="AQ28" s="32"/>
      <c r="AR28" s="34">
        <f t="shared" si="29"/>
        <v>0</v>
      </c>
      <c r="AS28" s="32"/>
      <c r="AT28" s="34">
        <f t="shared" si="30"/>
        <v>0</v>
      </c>
      <c r="AU28" s="32"/>
      <c r="AV28" s="34">
        <f t="shared" si="31"/>
        <v>0</v>
      </c>
      <c r="AW28" s="32"/>
      <c r="AX28" s="34">
        <f t="shared" si="32"/>
        <v>0</v>
      </c>
      <c r="AY28" s="32"/>
      <c r="AZ28" s="34">
        <f t="shared" si="33"/>
        <v>0</v>
      </c>
      <c r="BA28" s="32"/>
      <c r="BB28" s="34">
        <f t="shared" si="34"/>
        <v>0</v>
      </c>
      <c r="BC28" s="32"/>
      <c r="BD28" s="34">
        <f t="shared" si="35"/>
        <v>0</v>
      </c>
      <c r="BE28" s="32"/>
      <c r="BF28" s="34">
        <f t="shared" si="14"/>
        <v>0</v>
      </c>
      <c r="BG28" s="32"/>
      <c r="BH28" s="34">
        <f t="shared" si="36"/>
        <v>0</v>
      </c>
      <c r="BI28" s="32"/>
      <c r="BJ28" s="34">
        <f t="shared" si="37"/>
        <v>0</v>
      </c>
      <c r="BK28" s="32"/>
      <c r="BL28" s="34">
        <f t="shared" si="38"/>
        <v>0</v>
      </c>
      <c r="BM28" s="32"/>
      <c r="BN28" s="34">
        <f t="shared" si="39"/>
        <v>0</v>
      </c>
      <c r="BO28" s="32"/>
      <c r="BP28" s="34">
        <f t="shared" si="40"/>
        <v>0</v>
      </c>
      <c r="BQ28" s="32"/>
      <c r="BR28" s="34">
        <f t="shared" si="15"/>
        <v>0</v>
      </c>
      <c r="BS28" s="32"/>
      <c r="BT28" s="34">
        <f t="shared" si="41"/>
        <v>0</v>
      </c>
      <c r="BU28" s="32"/>
      <c r="BV28" s="34">
        <f t="shared" si="16"/>
        <v>0</v>
      </c>
      <c r="BW28" s="32"/>
      <c r="BX28" s="34">
        <f t="shared" si="42"/>
        <v>0</v>
      </c>
      <c r="BY28" s="32"/>
      <c r="BZ28" s="34">
        <f t="shared" si="17"/>
        <v>0</v>
      </c>
      <c r="CA28" s="32"/>
      <c r="CB28" s="34">
        <f t="shared" si="18"/>
        <v>0</v>
      </c>
      <c r="CC28" s="32"/>
      <c r="CD28" s="34">
        <f t="shared" si="19"/>
        <v>0</v>
      </c>
      <c r="CE28" s="32"/>
      <c r="CF28" s="34">
        <f t="shared" si="20"/>
        <v>0</v>
      </c>
      <c r="CG28" s="32"/>
      <c r="CH28" s="34">
        <f t="shared" si="21"/>
        <v>0</v>
      </c>
      <c r="CI28" s="32"/>
      <c r="CJ28" s="34">
        <f t="shared" si="1"/>
        <v>0</v>
      </c>
      <c r="CK28" s="32"/>
      <c r="CL28" s="44">
        <f t="shared" si="22"/>
        <v>0</v>
      </c>
      <c r="CM28" s="34"/>
      <c r="CN28" s="35"/>
      <c r="CO28" s="35"/>
    </row>
    <row r="29" spans="1:93" ht="25.5" customHeight="1" x14ac:dyDescent="0.4">
      <c r="A29" s="31">
        <v>43825</v>
      </c>
      <c r="B29" s="45"/>
      <c r="C29" s="32"/>
      <c r="D29" s="44">
        <f t="shared" si="2"/>
        <v>0</v>
      </c>
      <c r="E29" s="32"/>
      <c r="F29" s="44">
        <f t="shared" si="3"/>
        <v>0</v>
      </c>
      <c r="G29" s="32"/>
      <c r="H29" s="44">
        <f t="shared" si="4"/>
        <v>0</v>
      </c>
      <c r="I29" s="32"/>
      <c r="J29" s="44">
        <f t="shared" si="5"/>
        <v>0</v>
      </c>
      <c r="K29" s="32"/>
      <c r="L29" s="44">
        <f t="shared" si="0"/>
        <v>0</v>
      </c>
      <c r="M29" s="32"/>
      <c r="N29" s="34">
        <f t="shared" si="23"/>
        <v>0</v>
      </c>
      <c r="O29" s="32"/>
      <c r="P29" s="34">
        <f t="shared" si="6"/>
        <v>0</v>
      </c>
      <c r="Q29" s="32"/>
      <c r="R29" s="34">
        <f t="shared" si="7"/>
        <v>0</v>
      </c>
      <c r="S29" s="32"/>
      <c r="T29" s="34">
        <f t="shared" si="8"/>
        <v>0</v>
      </c>
      <c r="U29" s="32"/>
      <c r="V29" s="34">
        <f t="shared" si="9"/>
        <v>0</v>
      </c>
      <c r="W29" s="32"/>
      <c r="X29" s="34">
        <f t="shared" si="43"/>
        <v>0</v>
      </c>
      <c r="Y29" s="32"/>
      <c r="Z29" s="34">
        <f t="shared" si="24"/>
        <v>0</v>
      </c>
      <c r="AA29" s="32"/>
      <c r="AB29" s="34">
        <f t="shared" si="25"/>
        <v>0</v>
      </c>
      <c r="AC29" s="32"/>
      <c r="AD29" s="34">
        <f t="shared" si="26"/>
        <v>0</v>
      </c>
      <c r="AE29" s="1"/>
      <c r="AF29" s="34">
        <f t="shared" si="27"/>
        <v>0</v>
      </c>
      <c r="AG29" s="1"/>
      <c r="AH29" s="34">
        <f t="shared" si="10"/>
        <v>0</v>
      </c>
      <c r="AI29" s="32"/>
      <c r="AJ29" s="34">
        <f t="shared" si="28"/>
        <v>0</v>
      </c>
      <c r="AK29" s="32"/>
      <c r="AL29" s="34">
        <f t="shared" si="11"/>
        <v>0</v>
      </c>
      <c r="AM29" s="32"/>
      <c r="AN29" s="34">
        <f t="shared" si="12"/>
        <v>0</v>
      </c>
      <c r="AO29" s="32"/>
      <c r="AP29" s="34">
        <f t="shared" si="13"/>
        <v>0</v>
      </c>
      <c r="AQ29" s="32"/>
      <c r="AR29" s="34">
        <f t="shared" si="29"/>
        <v>0</v>
      </c>
      <c r="AS29" s="32"/>
      <c r="AT29" s="34">
        <f t="shared" si="30"/>
        <v>0</v>
      </c>
      <c r="AU29" s="32"/>
      <c r="AV29" s="34">
        <f t="shared" si="31"/>
        <v>0</v>
      </c>
      <c r="AW29" s="32"/>
      <c r="AX29" s="34">
        <f t="shared" si="32"/>
        <v>0</v>
      </c>
      <c r="AY29" s="32"/>
      <c r="AZ29" s="34">
        <f t="shared" si="33"/>
        <v>0</v>
      </c>
      <c r="BA29" s="32"/>
      <c r="BB29" s="34">
        <f t="shared" si="34"/>
        <v>0</v>
      </c>
      <c r="BC29" s="32"/>
      <c r="BD29" s="34">
        <f t="shared" si="35"/>
        <v>0</v>
      </c>
      <c r="BE29" s="32"/>
      <c r="BF29" s="34">
        <f t="shared" si="14"/>
        <v>0</v>
      </c>
      <c r="BG29" s="32"/>
      <c r="BH29" s="34">
        <f t="shared" si="36"/>
        <v>0</v>
      </c>
      <c r="BI29" s="32"/>
      <c r="BJ29" s="34">
        <f t="shared" si="37"/>
        <v>0</v>
      </c>
      <c r="BK29" s="32"/>
      <c r="BL29" s="34">
        <f t="shared" si="38"/>
        <v>0</v>
      </c>
      <c r="BM29" s="32"/>
      <c r="BN29" s="34">
        <f t="shared" si="39"/>
        <v>0</v>
      </c>
      <c r="BO29" s="32"/>
      <c r="BP29" s="34">
        <f t="shared" si="40"/>
        <v>0</v>
      </c>
      <c r="BQ29" s="32"/>
      <c r="BR29" s="34">
        <f t="shared" si="15"/>
        <v>0</v>
      </c>
      <c r="BS29" s="32"/>
      <c r="BT29" s="34">
        <f t="shared" si="41"/>
        <v>0</v>
      </c>
      <c r="BU29" s="32"/>
      <c r="BV29" s="34">
        <f t="shared" si="16"/>
        <v>0</v>
      </c>
      <c r="BW29" s="32"/>
      <c r="BX29" s="34">
        <f t="shared" si="42"/>
        <v>0</v>
      </c>
      <c r="BY29" s="32"/>
      <c r="BZ29" s="34">
        <f t="shared" si="17"/>
        <v>0</v>
      </c>
      <c r="CA29" s="32"/>
      <c r="CB29" s="34">
        <f t="shared" si="18"/>
        <v>0</v>
      </c>
      <c r="CC29" s="32"/>
      <c r="CD29" s="34">
        <f t="shared" si="19"/>
        <v>0</v>
      </c>
      <c r="CE29" s="32"/>
      <c r="CF29" s="34">
        <f t="shared" si="20"/>
        <v>0</v>
      </c>
      <c r="CG29" s="32"/>
      <c r="CH29" s="34">
        <f t="shared" si="21"/>
        <v>0</v>
      </c>
      <c r="CI29" s="32"/>
      <c r="CJ29" s="34">
        <f t="shared" si="1"/>
        <v>0</v>
      </c>
      <c r="CK29" s="32"/>
      <c r="CL29" s="44">
        <f t="shared" si="22"/>
        <v>0</v>
      </c>
      <c r="CM29" s="34"/>
      <c r="CN29" s="35"/>
      <c r="CO29" s="35"/>
    </row>
    <row r="30" spans="1:93" ht="25.5" customHeight="1" x14ac:dyDescent="0.4">
      <c r="A30" s="31">
        <v>43826</v>
      </c>
      <c r="B30" s="45"/>
      <c r="C30" s="32"/>
      <c r="D30" s="44">
        <f t="shared" si="2"/>
        <v>0</v>
      </c>
      <c r="E30" s="32"/>
      <c r="F30" s="44">
        <f t="shared" si="3"/>
        <v>0</v>
      </c>
      <c r="G30" s="32"/>
      <c r="H30" s="44">
        <f t="shared" si="4"/>
        <v>0</v>
      </c>
      <c r="I30" s="32"/>
      <c r="J30" s="44">
        <f t="shared" si="5"/>
        <v>0</v>
      </c>
      <c r="K30" s="32"/>
      <c r="L30" s="44">
        <f t="shared" si="0"/>
        <v>0</v>
      </c>
      <c r="M30" s="32"/>
      <c r="N30" s="34">
        <f t="shared" si="23"/>
        <v>0</v>
      </c>
      <c r="O30" s="32"/>
      <c r="P30" s="34">
        <f t="shared" si="6"/>
        <v>0</v>
      </c>
      <c r="Q30" s="32"/>
      <c r="R30" s="34">
        <f t="shared" si="7"/>
        <v>0</v>
      </c>
      <c r="S30" s="32"/>
      <c r="T30" s="34">
        <f t="shared" si="8"/>
        <v>0</v>
      </c>
      <c r="U30" s="32"/>
      <c r="V30" s="34">
        <f t="shared" si="9"/>
        <v>0</v>
      </c>
      <c r="W30" s="32"/>
      <c r="X30" s="34">
        <f t="shared" si="43"/>
        <v>0</v>
      </c>
      <c r="Y30" s="32"/>
      <c r="Z30" s="34">
        <f t="shared" si="24"/>
        <v>0</v>
      </c>
      <c r="AA30" s="32"/>
      <c r="AB30" s="34">
        <f t="shared" si="25"/>
        <v>0</v>
      </c>
      <c r="AC30" s="32"/>
      <c r="AD30" s="34">
        <f t="shared" si="26"/>
        <v>0</v>
      </c>
      <c r="AE30" s="1"/>
      <c r="AF30" s="34">
        <f t="shared" si="27"/>
        <v>0</v>
      </c>
      <c r="AG30" s="1"/>
      <c r="AH30" s="34">
        <f t="shared" si="10"/>
        <v>0</v>
      </c>
      <c r="AI30" s="32"/>
      <c r="AJ30" s="34">
        <f t="shared" si="28"/>
        <v>0</v>
      </c>
      <c r="AK30" s="32"/>
      <c r="AL30" s="34">
        <f t="shared" si="11"/>
        <v>0</v>
      </c>
      <c r="AM30" s="32"/>
      <c r="AN30" s="34">
        <f t="shared" si="12"/>
        <v>0</v>
      </c>
      <c r="AO30" s="32"/>
      <c r="AP30" s="34">
        <f t="shared" si="13"/>
        <v>0</v>
      </c>
      <c r="AQ30" s="32"/>
      <c r="AR30" s="34">
        <f t="shared" si="29"/>
        <v>0</v>
      </c>
      <c r="AS30" s="32"/>
      <c r="AT30" s="34">
        <f t="shared" si="30"/>
        <v>0</v>
      </c>
      <c r="AU30" s="32"/>
      <c r="AV30" s="34">
        <f t="shared" si="31"/>
        <v>0</v>
      </c>
      <c r="AW30" s="32"/>
      <c r="AX30" s="34">
        <f t="shared" si="32"/>
        <v>0</v>
      </c>
      <c r="AY30" s="32"/>
      <c r="AZ30" s="34">
        <f t="shared" si="33"/>
        <v>0</v>
      </c>
      <c r="BA30" s="32"/>
      <c r="BB30" s="34">
        <f t="shared" si="34"/>
        <v>0</v>
      </c>
      <c r="BC30" s="32"/>
      <c r="BD30" s="34">
        <f t="shared" si="35"/>
        <v>0</v>
      </c>
      <c r="BE30" s="32"/>
      <c r="BF30" s="34">
        <f t="shared" si="14"/>
        <v>0</v>
      </c>
      <c r="BG30" s="32"/>
      <c r="BH30" s="34">
        <f t="shared" si="36"/>
        <v>0</v>
      </c>
      <c r="BI30" s="32"/>
      <c r="BJ30" s="34">
        <f t="shared" si="37"/>
        <v>0</v>
      </c>
      <c r="BK30" s="32"/>
      <c r="BL30" s="34">
        <f t="shared" si="38"/>
        <v>0</v>
      </c>
      <c r="BM30" s="32"/>
      <c r="BN30" s="34">
        <f t="shared" si="39"/>
        <v>0</v>
      </c>
      <c r="BO30" s="32"/>
      <c r="BP30" s="34">
        <f t="shared" si="40"/>
        <v>0</v>
      </c>
      <c r="BQ30" s="32"/>
      <c r="BR30" s="34">
        <f t="shared" si="15"/>
        <v>0</v>
      </c>
      <c r="BS30" s="32"/>
      <c r="BT30" s="34">
        <f t="shared" si="41"/>
        <v>0</v>
      </c>
      <c r="BU30" s="32"/>
      <c r="BV30" s="34">
        <f t="shared" si="16"/>
        <v>0</v>
      </c>
      <c r="BW30" s="32"/>
      <c r="BX30" s="34">
        <f t="shared" si="42"/>
        <v>0</v>
      </c>
      <c r="BY30" s="32"/>
      <c r="BZ30" s="34">
        <f t="shared" si="17"/>
        <v>0</v>
      </c>
      <c r="CA30" s="32"/>
      <c r="CB30" s="34">
        <f t="shared" si="18"/>
        <v>0</v>
      </c>
      <c r="CC30" s="32"/>
      <c r="CD30" s="34">
        <f t="shared" si="19"/>
        <v>0</v>
      </c>
      <c r="CE30" s="32"/>
      <c r="CF30" s="34">
        <f t="shared" si="20"/>
        <v>0</v>
      </c>
      <c r="CG30" s="32"/>
      <c r="CH30" s="34">
        <f t="shared" si="21"/>
        <v>0</v>
      </c>
      <c r="CI30" s="32"/>
      <c r="CJ30" s="34">
        <f t="shared" si="1"/>
        <v>0</v>
      </c>
      <c r="CK30" s="32"/>
      <c r="CL30" s="44">
        <f t="shared" si="22"/>
        <v>0</v>
      </c>
      <c r="CM30" s="34"/>
      <c r="CN30" s="35"/>
      <c r="CO30" s="35"/>
    </row>
    <row r="31" spans="1:93" ht="25.5" customHeight="1" x14ac:dyDescent="0.4">
      <c r="A31" s="31">
        <v>43827</v>
      </c>
      <c r="B31" s="46"/>
      <c r="C31" s="32"/>
      <c r="D31" s="44">
        <f t="shared" si="2"/>
        <v>0</v>
      </c>
      <c r="E31" s="36"/>
      <c r="F31" s="44">
        <f t="shared" si="3"/>
        <v>0</v>
      </c>
      <c r="G31" s="36"/>
      <c r="H31" s="44">
        <f t="shared" si="4"/>
        <v>0</v>
      </c>
      <c r="I31" s="36"/>
      <c r="J31" s="44">
        <f t="shared" si="5"/>
        <v>0</v>
      </c>
      <c r="K31" s="36"/>
      <c r="L31" s="44">
        <f t="shared" si="0"/>
        <v>0</v>
      </c>
      <c r="M31" s="36"/>
      <c r="N31" s="34">
        <f t="shared" si="23"/>
        <v>0</v>
      </c>
      <c r="O31" s="36"/>
      <c r="P31" s="37">
        <f t="shared" si="6"/>
        <v>0</v>
      </c>
      <c r="Q31" s="36"/>
      <c r="R31" s="37">
        <f t="shared" si="7"/>
        <v>0</v>
      </c>
      <c r="S31" s="36"/>
      <c r="T31" s="37">
        <f t="shared" si="8"/>
        <v>0</v>
      </c>
      <c r="U31" s="36"/>
      <c r="V31" s="37">
        <f t="shared" si="9"/>
        <v>0</v>
      </c>
      <c r="W31" s="36"/>
      <c r="X31" s="34">
        <f t="shared" si="43"/>
        <v>0</v>
      </c>
      <c r="Y31" s="36"/>
      <c r="Z31" s="34">
        <f t="shared" si="24"/>
        <v>0</v>
      </c>
      <c r="AA31" s="36"/>
      <c r="AB31" s="34">
        <f t="shared" si="25"/>
        <v>0</v>
      </c>
      <c r="AC31" s="36"/>
      <c r="AD31" s="34">
        <f t="shared" si="26"/>
        <v>0</v>
      </c>
      <c r="AE31" s="1"/>
      <c r="AF31" s="34">
        <f t="shared" si="27"/>
        <v>0</v>
      </c>
      <c r="AG31" s="1"/>
      <c r="AH31" s="37">
        <f t="shared" si="10"/>
        <v>0</v>
      </c>
      <c r="AI31" s="36"/>
      <c r="AJ31" s="34">
        <f t="shared" si="28"/>
        <v>0</v>
      </c>
      <c r="AK31" s="36"/>
      <c r="AL31" s="34">
        <f t="shared" si="11"/>
        <v>0</v>
      </c>
      <c r="AM31" s="36"/>
      <c r="AN31" s="34">
        <f t="shared" si="12"/>
        <v>0</v>
      </c>
      <c r="AO31" s="36"/>
      <c r="AP31" s="34">
        <f t="shared" si="13"/>
        <v>0</v>
      </c>
      <c r="AQ31" s="36"/>
      <c r="AR31" s="34">
        <f t="shared" si="29"/>
        <v>0</v>
      </c>
      <c r="AS31" s="36"/>
      <c r="AT31" s="34">
        <f t="shared" si="30"/>
        <v>0</v>
      </c>
      <c r="AU31" s="36"/>
      <c r="AV31" s="34">
        <f t="shared" si="31"/>
        <v>0</v>
      </c>
      <c r="AW31" s="36"/>
      <c r="AX31" s="34">
        <f t="shared" si="32"/>
        <v>0</v>
      </c>
      <c r="AY31" s="36"/>
      <c r="AZ31" s="34">
        <f t="shared" si="33"/>
        <v>0</v>
      </c>
      <c r="BA31" s="36"/>
      <c r="BB31" s="34">
        <f t="shared" si="34"/>
        <v>0</v>
      </c>
      <c r="BC31" s="36"/>
      <c r="BD31" s="34">
        <f t="shared" si="35"/>
        <v>0</v>
      </c>
      <c r="BE31" s="36"/>
      <c r="BF31" s="37">
        <f t="shared" si="14"/>
        <v>0</v>
      </c>
      <c r="BG31" s="36"/>
      <c r="BH31" s="34">
        <f t="shared" si="36"/>
        <v>0</v>
      </c>
      <c r="BI31" s="36"/>
      <c r="BJ31" s="34">
        <f t="shared" si="37"/>
        <v>0</v>
      </c>
      <c r="BK31" s="36"/>
      <c r="BL31" s="34">
        <f t="shared" si="38"/>
        <v>0</v>
      </c>
      <c r="BM31" s="36"/>
      <c r="BN31" s="34">
        <f t="shared" si="39"/>
        <v>0</v>
      </c>
      <c r="BO31" s="36"/>
      <c r="BP31" s="34">
        <f t="shared" si="40"/>
        <v>0</v>
      </c>
      <c r="BQ31" s="36"/>
      <c r="BR31" s="34">
        <f t="shared" si="15"/>
        <v>0</v>
      </c>
      <c r="BS31" s="36"/>
      <c r="BT31" s="34">
        <f t="shared" si="41"/>
        <v>0</v>
      </c>
      <c r="BU31" s="36"/>
      <c r="BV31" s="34">
        <f t="shared" si="16"/>
        <v>0</v>
      </c>
      <c r="BW31" s="36"/>
      <c r="BX31" s="34">
        <f t="shared" si="42"/>
        <v>0</v>
      </c>
      <c r="BY31" s="36"/>
      <c r="BZ31" s="34">
        <f t="shared" si="17"/>
        <v>0</v>
      </c>
      <c r="CA31" s="36"/>
      <c r="CB31" s="37">
        <f t="shared" si="18"/>
        <v>0</v>
      </c>
      <c r="CC31" s="36"/>
      <c r="CD31" s="37">
        <f t="shared" si="19"/>
        <v>0</v>
      </c>
      <c r="CE31" s="75"/>
      <c r="CF31" s="37">
        <f t="shared" si="20"/>
        <v>0</v>
      </c>
      <c r="CG31" s="36"/>
      <c r="CH31" s="37">
        <f t="shared" si="21"/>
        <v>0</v>
      </c>
      <c r="CI31" s="36"/>
      <c r="CJ31" s="37">
        <f t="shared" si="1"/>
        <v>0</v>
      </c>
      <c r="CK31" s="36"/>
      <c r="CL31" s="44">
        <f t="shared" si="22"/>
        <v>0</v>
      </c>
      <c r="CM31" s="37"/>
      <c r="CN31" s="38"/>
      <c r="CO31" s="38"/>
    </row>
    <row r="32" spans="1:93" ht="25.5" customHeight="1" x14ac:dyDescent="0.3">
      <c r="A32" s="31">
        <v>43828</v>
      </c>
      <c r="B32" s="39"/>
      <c r="C32" s="32"/>
      <c r="D32" s="44">
        <f t="shared" si="2"/>
        <v>0</v>
      </c>
      <c r="E32" s="39"/>
      <c r="F32" s="44">
        <f t="shared" si="3"/>
        <v>0</v>
      </c>
      <c r="G32" s="32"/>
      <c r="H32" s="44">
        <f t="shared" si="4"/>
        <v>0</v>
      </c>
      <c r="I32" s="32"/>
      <c r="J32" s="44">
        <f t="shared" si="5"/>
        <v>0</v>
      </c>
      <c r="K32" s="39"/>
      <c r="L32" s="44">
        <f t="shared" si="0"/>
        <v>0</v>
      </c>
      <c r="M32" s="39"/>
      <c r="N32" s="34">
        <f t="shared" si="23"/>
        <v>0</v>
      </c>
      <c r="O32" s="40"/>
      <c r="P32" s="37">
        <f t="shared" si="6"/>
        <v>0</v>
      </c>
      <c r="Q32" s="32"/>
      <c r="R32" s="37">
        <f t="shared" si="7"/>
        <v>0</v>
      </c>
      <c r="S32" s="32"/>
      <c r="T32" s="37">
        <f t="shared" si="8"/>
        <v>0</v>
      </c>
      <c r="U32" s="32"/>
      <c r="V32" s="37">
        <f t="shared" si="9"/>
        <v>0</v>
      </c>
      <c r="W32" s="32"/>
      <c r="X32" s="34">
        <f t="shared" si="43"/>
        <v>0</v>
      </c>
      <c r="Y32" s="39"/>
      <c r="Z32" s="34">
        <f t="shared" si="24"/>
        <v>0</v>
      </c>
      <c r="AA32" s="39"/>
      <c r="AB32" s="34">
        <f t="shared" si="25"/>
        <v>0</v>
      </c>
      <c r="AC32" s="39"/>
      <c r="AD32" s="34">
        <f t="shared" si="26"/>
        <v>0</v>
      </c>
      <c r="AE32" s="32"/>
      <c r="AF32" s="34">
        <f t="shared" si="27"/>
        <v>0</v>
      </c>
      <c r="AG32" s="32"/>
      <c r="AH32" s="37">
        <f t="shared" si="10"/>
        <v>0</v>
      </c>
      <c r="AI32" s="32"/>
      <c r="AJ32" s="34">
        <f t="shared" si="28"/>
        <v>0</v>
      </c>
      <c r="AK32" s="32"/>
      <c r="AL32" s="34">
        <f t="shared" si="11"/>
        <v>0</v>
      </c>
      <c r="AM32" s="32"/>
      <c r="AN32" s="34">
        <f t="shared" si="12"/>
        <v>0</v>
      </c>
      <c r="AO32" s="32"/>
      <c r="AP32" s="34">
        <f t="shared" si="13"/>
        <v>0</v>
      </c>
      <c r="AQ32" s="32"/>
      <c r="AR32" s="34">
        <f t="shared" si="29"/>
        <v>0</v>
      </c>
      <c r="AS32" s="32"/>
      <c r="AT32" s="34">
        <f t="shared" si="30"/>
        <v>0</v>
      </c>
      <c r="AU32" s="32"/>
      <c r="AV32" s="34">
        <f t="shared" si="31"/>
        <v>0</v>
      </c>
      <c r="AW32" s="32"/>
      <c r="AX32" s="34">
        <f t="shared" si="32"/>
        <v>0</v>
      </c>
      <c r="AY32" s="32"/>
      <c r="AZ32" s="34">
        <f t="shared" si="33"/>
        <v>0</v>
      </c>
      <c r="BA32" s="32"/>
      <c r="BB32" s="34">
        <f t="shared" si="34"/>
        <v>0</v>
      </c>
      <c r="BC32" s="32"/>
      <c r="BD32" s="34">
        <f t="shared" si="35"/>
        <v>0</v>
      </c>
      <c r="BE32" s="32"/>
      <c r="BF32" s="37">
        <f t="shared" si="14"/>
        <v>0</v>
      </c>
      <c r="BG32" s="32"/>
      <c r="BH32" s="34">
        <f t="shared" si="36"/>
        <v>0</v>
      </c>
      <c r="BI32" s="32"/>
      <c r="BJ32" s="34">
        <f t="shared" si="37"/>
        <v>0</v>
      </c>
      <c r="BK32" s="32"/>
      <c r="BL32" s="34">
        <f t="shared" si="38"/>
        <v>0</v>
      </c>
      <c r="BM32" s="32"/>
      <c r="BN32" s="34">
        <f t="shared" si="39"/>
        <v>0</v>
      </c>
      <c r="BO32" s="32"/>
      <c r="BP32" s="34">
        <f t="shared" si="40"/>
        <v>0</v>
      </c>
      <c r="BQ32" s="32"/>
      <c r="BR32" s="34">
        <f t="shared" si="15"/>
        <v>0</v>
      </c>
      <c r="BS32" s="32"/>
      <c r="BT32" s="34">
        <f t="shared" si="41"/>
        <v>0</v>
      </c>
      <c r="BU32" s="32"/>
      <c r="BV32" s="34">
        <f t="shared" si="16"/>
        <v>0</v>
      </c>
      <c r="BW32" s="32"/>
      <c r="BX32" s="34">
        <f t="shared" si="42"/>
        <v>0</v>
      </c>
      <c r="BY32" s="32"/>
      <c r="BZ32" s="34">
        <f t="shared" si="17"/>
        <v>0</v>
      </c>
      <c r="CA32" s="32"/>
      <c r="CB32" s="37">
        <f t="shared" si="18"/>
        <v>0</v>
      </c>
      <c r="CC32" s="32"/>
      <c r="CD32" s="37">
        <f t="shared" si="19"/>
        <v>0</v>
      </c>
      <c r="CE32" s="32"/>
      <c r="CF32" s="37">
        <f t="shared" si="20"/>
        <v>0</v>
      </c>
      <c r="CG32" s="32"/>
      <c r="CH32" s="37">
        <f t="shared" si="21"/>
        <v>0</v>
      </c>
      <c r="CI32" s="32"/>
      <c r="CJ32" s="37">
        <f t="shared" si="1"/>
        <v>0</v>
      </c>
      <c r="CK32" s="32"/>
      <c r="CL32" s="44">
        <f t="shared" si="22"/>
        <v>0</v>
      </c>
      <c r="CM32" s="37"/>
      <c r="CN32" s="35"/>
      <c r="CO32" s="35"/>
    </row>
    <row r="33" spans="1:93" ht="25.5" customHeight="1" x14ac:dyDescent="0.3">
      <c r="A33" s="31">
        <v>43829</v>
      </c>
      <c r="B33" s="39"/>
      <c r="C33" s="32"/>
      <c r="D33" s="44">
        <f t="shared" si="2"/>
        <v>0</v>
      </c>
      <c r="E33" s="39"/>
      <c r="F33" s="44">
        <f t="shared" si="3"/>
        <v>0</v>
      </c>
      <c r="G33" s="32"/>
      <c r="H33" s="44">
        <f t="shared" si="4"/>
        <v>0</v>
      </c>
      <c r="I33" s="75"/>
      <c r="J33" s="44">
        <f t="shared" si="5"/>
        <v>0</v>
      </c>
      <c r="K33" s="39"/>
      <c r="L33" s="44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7"/>
        <v>0</v>
      </c>
      <c r="S33" s="39"/>
      <c r="T33" s="37">
        <f t="shared" si="8"/>
        <v>0</v>
      </c>
      <c r="U33" s="39"/>
      <c r="V33" s="37">
        <f t="shared" si="9"/>
        <v>0</v>
      </c>
      <c r="W33" s="39"/>
      <c r="X33" s="34">
        <f t="shared" si="43"/>
        <v>0</v>
      </c>
      <c r="Y33" s="39"/>
      <c r="Z33" s="34">
        <f t="shared" si="24"/>
        <v>0</v>
      </c>
      <c r="AA33" s="39"/>
      <c r="AB33" s="34">
        <f t="shared" si="25"/>
        <v>0</v>
      </c>
      <c r="AC33" s="39"/>
      <c r="AD33" s="34">
        <f t="shared" si="26"/>
        <v>0</v>
      </c>
      <c r="AE33" s="39"/>
      <c r="AF33" s="34">
        <f t="shared" si="27"/>
        <v>0</v>
      </c>
      <c r="AG33" s="39"/>
      <c r="AH33" s="37">
        <f t="shared" si="10"/>
        <v>0</v>
      </c>
      <c r="AI33" s="39"/>
      <c r="AJ33" s="34">
        <f t="shared" si="28"/>
        <v>0</v>
      </c>
      <c r="AK33" s="39"/>
      <c r="AL33" s="34">
        <f t="shared" si="11"/>
        <v>0</v>
      </c>
      <c r="AM33" s="32"/>
      <c r="AN33" s="34">
        <f t="shared" si="12"/>
        <v>0</v>
      </c>
      <c r="AO33" s="32"/>
      <c r="AP33" s="34">
        <f t="shared" si="13"/>
        <v>0</v>
      </c>
      <c r="AQ33" s="32"/>
      <c r="AR33" s="34">
        <f t="shared" si="29"/>
        <v>0</v>
      </c>
      <c r="AS33" s="32"/>
      <c r="AT33" s="34">
        <f t="shared" si="30"/>
        <v>0</v>
      </c>
      <c r="AU33" s="32"/>
      <c r="AV33" s="34">
        <f t="shared" si="31"/>
        <v>0</v>
      </c>
      <c r="AW33" s="32"/>
      <c r="AX33" s="34">
        <f t="shared" si="32"/>
        <v>0</v>
      </c>
      <c r="AY33" s="32"/>
      <c r="AZ33" s="34">
        <f t="shared" si="33"/>
        <v>0</v>
      </c>
      <c r="BA33" s="32"/>
      <c r="BB33" s="34">
        <f t="shared" si="34"/>
        <v>0</v>
      </c>
      <c r="BC33" s="32"/>
      <c r="BD33" s="34">
        <f t="shared" si="35"/>
        <v>0</v>
      </c>
      <c r="BE33" s="32"/>
      <c r="BF33" s="37">
        <f t="shared" si="14"/>
        <v>0</v>
      </c>
      <c r="BG33" s="32"/>
      <c r="BH33" s="34">
        <f t="shared" si="36"/>
        <v>0</v>
      </c>
      <c r="BI33" s="32"/>
      <c r="BJ33" s="34">
        <f t="shared" si="37"/>
        <v>0</v>
      </c>
      <c r="BK33" s="32"/>
      <c r="BL33" s="34">
        <f t="shared" si="38"/>
        <v>0</v>
      </c>
      <c r="BM33" s="32"/>
      <c r="BN33" s="34">
        <f t="shared" si="39"/>
        <v>0</v>
      </c>
      <c r="BO33" s="32"/>
      <c r="BP33" s="34">
        <f t="shared" si="40"/>
        <v>0</v>
      </c>
      <c r="BQ33" s="32"/>
      <c r="BR33" s="34">
        <f t="shared" si="15"/>
        <v>0</v>
      </c>
      <c r="BS33" s="32"/>
      <c r="BT33" s="34">
        <f t="shared" si="41"/>
        <v>0</v>
      </c>
      <c r="BU33" s="32"/>
      <c r="BV33" s="34">
        <f t="shared" si="16"/>
        <v>0</v>
      </c>
      <c r="BW33" s="32"/>
      <c r="BX33" s="34">
        <f t="shared" si="42"/>
        <v>0</v>
      </c>
      <c r="BY33" s="32"/>
      <c r="BZ33" s="34">
        <f t="shared" si="17"/>
        <v>0</v>
      </c>
      <c r="CA33" s="32"/>
      <c r="CB33" s="37">
        <f t="shared" si="18"/>
        <v>0</v>
      </c>
      <c r="CC33" s="32"/>
      <c r="CD33" s="37">
        <f t="shared" si="19"/>
        <v>0</v>
      </c>
      <c r="CE33" s="32"/>
      <c r="CF33" s="37">
        <f t="shared" si="20"/>
        <v>0</v>
      </c>
      <c r="CG33" s="32"/>
      <c r="CH33" s="37">
        <f t="shared" si="21"/>
        <v>0</v>
      </c>
      <c r="CI33" s="32"/>
      <c r="CJ33" s="37">
        <f t="shared" si="1"/>
        <v>0</v>
      </c>
      <c r="CK33" s="32"/>
      <c r="CL33" s="44">
        <f t="shared" si="22"/>
        <v>0</v>
      </c>
      <c r="CM33" s="37"/>
      <c r="CN33" s="35"/>
      <c r="CO33" s="35"/>
    </row>
    <row r="34" spans="1:93" ht="25.5" customHeight="1" x14ac:dyDescent="0.3">
      <c r="A34" s="31">
        <v>43830</v>
      </c>
      <c r="B34" s="39"/>
      <c r="C34" s="32">
        <v>0</v>
      </c>
      <c r="D34" s="44">
        <f t="shared" si="2"/>
        <v>0</v>
      </c>
      <c r="E34" s="39"/>
      <c r="F34" s="44">
        <f t="shared" si="3"/>
        <v>0</v>
      </c>
      <c r="G34" s="32"/>
      <c r="H34" s="44">
        <f t="shared" si="4"/>
        <v>0</v>
      </c>
      <c r="I34" s="39"/>
      <c r="J34" s="44">
        <f t="shared" si="5"/>
        <v>0</v>
      </c>
      <c r="K34" s="39"/>
      <c r="L34" s="44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7"/>
        <v>0</v>
      </c>
      <c r="S34" s="39"/>
      <c r="T34" s="37">
        <f t="shared" si="8"/>
        <v>0</v>
      </c>
      <c r="U34" s="39"/>
      <c r="V34" s="37">
        <f t="shared" si="9"/>
        <v>0</v>
      </c>
      <c r="W34" s="39"/>
      <c r="X34" s="34">
        <f t="shared" si="43"/>
        <v>0</v>
      </c>
      <c r="Y34" s="39"/>
      <c r="Z34" s="34">
        <f t="shared" si="24"/>
        <v>0</v>
      </c>
      <c r="AA34" s="39"/>
      <c r="AB34" s="34">
        <f t="shared" si="25"/>
        <v>0</v>
      </c>
      <c r="AC34" s="39"/>
      <c r="AD34" s="34">
        <f t="shared" si="26"/>
        <v>0</v>
      </c>
      <c r="AE34" s="39"/>
      <c r="AF34" s="34">
        <f t="shared" si="27"/>
        <v>0</v>
      </c>
      <c r="AG34" s="39"/>
      <c r="AH34" s="37">
        <f t="shared" si="10"/>
        <v>0</v>
      </c>
      <c r="AI34" s="39"/>
      <c r="AJ34" s="34">
        <f t="shared" si="28"/>
        <v>0</v>
      </c>
      <c r="AK34" s="39"/>
      <c r="AL34" s="34">
        <f t="shared" si="11"/>
        <v>0</v>
      </c>
      <c r="AM34" s="32"/>
      <c r="AN34" s="34">
        <f t="shared" si="12"/>
        <v>0</v>
      </c>
      <c r="AO34" s="32"/>
      <c r="AP34" s="34">
        <f t="shared" si="13"/>
        <v>0</v>
      </c>
      <c r="AQ34" s="32"/>
      <c r="AR34" s="34">
        <f t="shared" si="29"/>
        <v>0</v>
      </c>
      <c r="AS34" s="32"/>
      <c r="AT34" s="34">
        <f t="shared" si="30"/>
        <v>0</v>
      </c>
      <c r="AU34" s="32"/>
      <c r="AV34" s="34">
        <f t="shared" si="31"/>
        <v>0</v>
      </c>
      <c r="AW34" s="32"/>
      <c r="AX34" s="34">
        <f t="shared" si="32"/>
        <v>0</v>
      </c>
      <c r="AY34" s="32"/>
      <c r="AZ34" s="34">
        <f t="shared" si="33"/>
        <v>0</v>
      </c>
      <c r="BA34" s="32"/>
      <c r="BB34" s="34">
        <f t="shared" si="34"/>
        <v>0</v>
      </c>
      <c r="BC34" s="32"/>
      <c r="BD34" s="34">
        <f t="shared" si="35"/>
        <v>0</v>
      </c>
      <c r="BE34" s="32"/>
      <c r="BF34" s="37">
        <f>IF((BE34-BE33&lt;0), "",BE34-BE33)</f>
        <v>0</v>
      </c>
      <c r="BG34" s="32"/>
      <c r="BH34" s="34">
        <f t="shared" si="36"/>
        <v>0</v>
      </c>
      <c r="BI34" s="32"/>
      <c r="BJ34" s="34">
        <f t="shared" si="37"/>
        <v>0</v>
      </c>
      <c r="BK34" s="32"/>
      <c r="BL34" s="34">
        <f t="shared" si="38"/>
        <v>0</v>
      </c>
      <c r="BM34" s="32"/>
      <c r="BN34" s="34">
        <f t="shared" si="39"/>
        <v>0</v>
      </c>
      <c r="BO34" s="32"/>
      <c r="BP34" s="34">
        <f t="shared" si="40"/>
        <v>0</v>
      </c>
      <c r="BQ34" s="32"/>
      <c r="BR34" s="34">
        <f t="shared" si="15"/>
        <v>0</v>
      </c>
      <c r="BS34" s="32"/>
      <c r="BT34" s="34">
        <f t="shared" si="41"/>
        <v>0</v>
      </c>
      <c r="BU34" s="32"/>
      <c r="BV34" s="34">
        <f t="shared" si="16"/>
        <v>0</v>
      </c>
      <c r="BW34" s="32"/>
      <c r="BX34" s="34">
        <f t="shared" si="42"/>
        <v>0</v>
      </c>
      <c r="BY34" s="32"/>
      <c r="BZ34" s="37">
        <f t="shared" si="17"/>
        <v>0</v>
      </c>
      <c r="CA34" s="32"/>
      <c r="CB34" s="37">
        <f t="shared" si="18"/>
        <v>0</v>
      </c>
      <c r="CC34" s="32"/>
      <c r="CD34" s="37">
        <f t="shared" si="19"/>
        <v>0</v>
      </c>
      <c r="CE34" s="32"/>
      <c r="CF34" s="37">
        <f t="shared" si="20"/>
        <v>0</v>
      </c>
      <c r="CG34" s="32"/>
      <c r="CH34" s="37">
        <f t="shared" si="21"/>
        <v>0</v>
      </c>
      <c r="CI34" s="32"/>
      <c r="CJ34" s="37">
        <f t="shared" si="1"/>
        <v>0</v>
      </c>
      <c r="CK34" s="32"/>
      <c r="CL34" s="44">
        <f t="shared" si="22"/>
        <v>0</v>
      </c>
      <c r="CM34" s="37"/>
      <c r="CN34" s="35"/>
      <c r="CO34" s="35"/>
    </row>
    <row r="35" spans="1:93" ht="16.5" x14ac:dyDescent="0.3">
      <c r="P35" s="41">
        <f>SUM(P4:P33)</f>
        <v>172</v>
      </c>
      <c r="R35" s="41">
        <f>SUM(R4:R33)</f>
        <v>67</v>
      </c>
      <c r="AX35" s="34">
        <f t="shared" si="32"/>
        <v>0</v>
      </c>
      <c r="BF35" s="41">
        <f>SUM(BF4:BF33)</f>
        <v>387</v>
      </c>
      <c r="BJ35" s="34">
        <f t="shared" si="37"/>
        <v>0</v>
      </c>
      <c r="BL35" s="34">
        <f t="shared" si="38"/>
        <v>0</v>
      </c>
      <c r="BT35" s="34">
        <f t="shared" si="41"/>
        <v>0</v>
      </c>
      <c r="BV35" s="34">
        <f t="shared" si="16"/>
        <v>0</v>
      </c>
    </row>
    <row r="36" spans="1:93" ht="16.5" x14ac:dyDescent="0.3">
      <c r="AX36" s="34">
        <f t="shared" si="32"/>
        <v>0</v>
      </c>
    </row>
    <row r="37" spans="1:93" ht="16.5" x14ac:dyDescent="0.3">
      <c r="AX37" s="34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abSelected="1" workbookViewId="0">
      <selection activeCell="B19" sqref="B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0" t="s">
        <v>0</v>
      </c>
      <c r="B4" s="93" t="s">
        <v>54</v>
      </c>
      <c r="C4" s="93" t="s">
        <v>55</v>
      </c>
      <c r="D4" s="96" t="s">
        <v>56</v>
      </c>
      <c r="E4" s="99" t="s">
        <v>57</v>
      </c>
      <c r="F4" s="100"/>
      <c r="G4" s="100"/>
      <c r="H4" s="100"/>
      <c r="I4" s="100"/>
      <c r="J4" s="101"/>
      <c r="K4" s="109" t="s">
        <v>58</v>
      </c>
      <c r="L4" s="110"/>
      <c r="M4" s="111"/>
      <c r="N4" s="102" t="s">
        <v>37</v>
      </c>
      <c r="O4" s="102"/>
      <c r="P4" s="102"/>
      <c r="Q4" s="102"/>
    </row>
    <row r="5" spans="1:17" ht="33.75" customHeight="1" x14ac:dyDescent="0.25">
      <c r="A5" s="91"/>
      <c r="B5" s="94"/>
      <c r="C5" s="94"/>
      <c r="D5" s="97"/>
      <c r="E5" s="99" t="s">
        <v>59</v>
      </c>
      <c r="F5" s="101"/>
      <c r="G5" s="99" t="s">
        <v>60</v>
      </c>
      <c r="H5" s="101"/>
      <c r="I5" s="99" t="s">
        <v>61</v>
      </c>
      <c r="J5" s="101"/>
      <c r="K5" s="103" t="s">
        <v>62</v>
      </c>
      <c r="L5" s="104"/>
      <c r="M5" s="105"/>
      <c r="N5" s="106" t="s">
        <v>63</v>
      </c>
      <c r="O5" s="107"/>
      <c r="P5" s="107"/>
      <c r="Q5" s="108"/>
    </row>
    <row r="6" spans="1:17" x14ac:dyDescent="0.25">
      <c r="A6" s="92"/>
      <c r="B6" s="95"/>
      <c r="C6" s="95"/>
      <c r="D6" s="98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79">
        <v>43799</v>
      </c>
      <c r="B8" s="75">
        <v>20</v>
      </c>
      <c r="C8" s="75">
        <v>21</v>
      </c>
      <c r="D8" s="75">
        <v>42</v>
      </c>
      <c r="E8" s="76">
        <v>10</v>
      </c>
      <c r="F8" s="76">
        <v>3878</v>
      </c>
      <c r="G8" s="76">
        <v>0</v>
      </c>
      <c r="H8" s="76">
        <v>1144</v>
      </c>
      <c r="I8" s="76">
        <v>85</v>
      </c>
      <c r="J8" s="76">
        <v>201</v>
      </c>
      <c r="K8" s="77">
        <v>25</v>
      </c>
      <c r="L8" s="77">
        <v>85</v>
      </c>
      <c r="M8" s="77">
        <v>882</v>
      </c>
      <c r="N8" s="74">
        <v>30</v>
      </c>
      <c r="O8" s="74">
        <v>85</v>
      </c>
      <c r="P8" s="74">
        <v>80</v>
      </c>
      <c r="Q8" s="74">
        <v>1919</v>
      </c>
    </row>
    <row r="9" spans="1:17" x14ac:dyDescent="0.25">
      <c r="A9" s="79">
        <v>43800</v>
      </c>
      <c r="B9" s="75">
        <v>24</v>
      </c>
      <c r="C9" s="75">
        <v>24</v>
      </c>
      <c r="D9" s="75">
        <v>46</v>
      </c>
      <c r="E9" s="76">
        <v>0</v>
      </c>
      <c r="F9" s="76">
        <v>3884</v>
      </c>
      <c r="G9" s="76">
        <v>0</v>
      </c>
      <c r="H9" s="76">
        <v>1145</v>
      </c>
      <c r="I9" s="76">
        <v>85</v>
      </c>
      <c r="J9" s="76">
        <v>202</v>
      </c>
      <c r="K9" s="77">
        <v>25</v>
      </c>
      <c r="L9" s="77">
        <v>85</v>
      </c>
      <c r="M9" s="77">
        <v>884</v>
      </c>
      <c r="N9" s="74">
        <v>25</v>
      </c>
      <c r="O9" s="74">
        <v>85</v>
      </c>
      <c r="P9" s="74">
        <v>80</v>
      </c>
      <c r="Q9" s="74">
        <v>1921</v>
      </c>
    </row>
    <row r="10" spans="1:17" x14ac:dyDescent="0.25">
      <c r="A10" s="79">
        <v>43801</v>
      </c>
      <c r="B10" s="75">
        <v>21</v>
      </c>
      <c r="C10" s="75">
        <v>22</v>
      </c>
      <c r="D10" s="75">
        <v>42</v>
      </c>
      <c r="E10" s="76">
        <v>0</v>
      </c>
      <c r="F10" s="76">
        <v>3892</v>
      </c>
      <c r="G10" s="76">
        <v>0</v>
      </c>
      <c r="H10" s="76">
        <v>1147</v>
      </c>
      <c r="I10" s="76">
        <v>75</v>
      </c>
      <c r="J10" s="76">
        <v>202</v>
      </c>
      <c r="K10" s="77">
        <v>20</v>
      </c>
      <c r="L10" s="77">
        <v>85</v>
      </c>
      <c r="M10" s="77">
        <v>885</v>
      </c>
      <c r="N10" s="74">
        <v>20</v>
      </c>
      <c r="O10" s="74">
        <v>85</v>
      </c>
      <c r="P10" s="74">
        <v>80</v>
      </c>
      <c r="Q10" s="74">
        <v>1925</v>
      </c>
    </row>
    <row r="11" spans="1:17" x14ac:dyDescent="0.25">
      <c r="A11" s="79">
        <v>43802</v>
      </c>
      <c r="B11" s="32">
        <v>20</v>
      </c>
      <c r="C11" s="32">
        <v>19</v>
      </c>
      <c r="D11" s="32">
        <v>37</v>
      </c>
      <c r="E11" s="55">
        <v>0</v>
      </c>
      <c r="F11" s="55">
        <v>3899</v>
      </c>
      <c r="G11" s="55">
        <v>0</v>
      </c>
      <c r="H11" s="55">
        <v>1149</v>
      </c>
      <c r="I11" s="55">
        <v>70</v>
      </c>
      <c r="J11" s="55">
        <v>202</v>
      </c>
      <c r="K11" s="56">
        <v>20</v>
      </c>
      <c r="L11" s="56">
        <v>85</v>
      </c>
      <c r="M11" s="56">
        <v>885</v>
      </c>
      <c r="N11" s="57">
        <v>20</v>
      </c>
      <c r="O11" s="57">
        <v>85</v>
      </c>
      <c r="P11" s="57">
        <v>80</v>
      </c>
      <c r="Q11" s="57">
        <v>1928</v>
      </c>
    </row>
    <row r="12" spans="1:17" x14ac:dyDescent="0.25">
      <c r="A12" s="79">
        <v>43803</v>
      </c>
      <c r="B12" s="75">
        <v>17</v>
      </c>
      <c r="C12" s="75">
        <v>17</v>
      </c>
      <c r="D12" s="75">
        <v>35</v>
      </c>
      <c r="E12" s="76">
        <v>0</v>
      </c>
      <c r="F12" s="76">
        <v>3907</v>
      </c>
      <c r="G12" s="76">
        <v>0</v>
      </c>
      <c r="H12" s="76">
        <v>1151</v>
      </c>
      <c r="I12" s="76">
        <v>70</v>
      </c>
      <c r="J12" s="76">
        <v>202</v>
      </c>
      <c r="K12" s="77">
        <v>19</v>
      </c>
      <c r="L12" s="77">
        <v>85</v>
      </c>
      <c r="M12" s="77">
        <v>887</v>
      </c>
      <c r="N12" s="74">
        <v>20</v>
      </c>
      <c r="O12" s="74">
        <v>85</v>
      </c>
      <c r="P12" s="74">
        <v>80</v>
      </c>
      <c r="Q12" s="74">
        <v>1930</v>
      </c>
    </row>
    <row r="13" spans="1:17" x14ac:dyDescent="0.25">
      <c r="A13" s="79">
        <v>43804</v>
      </c>
      <c r="B13" s="32">
        <v>4</v>
      </c>
      <c r="C13" s="32">
        <v>9</v>
      </c>
      <c r="D13" s="32">
        <v>18</v>
      </c>
      <c r="E13" s="55">
        <v>0</v>
      </c>
      <c r="F13" s="55">
        <v>3914</v>
      </c>
      <c r="G13" s="55">
        <v>0</v>
      </c>
      <c r="H13" s="55">
        <v>1153</v>
      </c>
      <c r="I13" s="55">
        <v>45</v>
      </c>
      <c r="J13" s="55">
        <v>202</v>
      </c>
      <c r="K13" s="56">
        <v>19</v>
      </c>
      <c r="L13" s="56">
        <v>85</v>
      </c>
      <c r="M13" s="56">
        <v>887</v>
      </c>
      <c r="N13" s="57">
        <v>19</v>
      </c>
      <c r="O13" s="57">
        <v>85</v>
      </c>
      <c r="P13" s="57">
        <v>80</v>
      </c>
      <c r="Q13" s="57">
        <v>1934</v>
      </c>
    </row>
    <row r="14" spans="1:17" x14ac:dyDescent="0.25">
      <c r="A14" s="79">
        <v>43805</v>
      </c>
      <c r="B14" s="75">
        <v>7</v>
      </c>
      <c r="C14" s="75">
        <v>10</v>
      </c>
      <c r="D14" s="75">
        <v>20</v>
      </c>
      <c r="E14" s="76">
        <v>0</v>
      </c>
      <c r="F14" s="76">
        <v>3919</v>
      </c>
      <c r="G14" s="76">
        <v>0</v>
      </c>
      <c r="H14" s="76">
        <v>1155</v>
      </c>
      <c r="I14" s="76">
        <v>35</v>
      </c>
      <c r="J14" s="76">
        <v>202</v>
      </c>
      <c r="K14" s="77">
        <v>19</v>
      </c>
      <c r="L14" s="77">
        <v>85</v>
      </c>
      <c r="M14" s="77">
        <v>889</v>
      </c>
      <c r="N14" s="74">
        <v>15</v>
      </c>
      <c r="O14" s="74">
        <v>85</v>
      </c>
      <c r="P14" s="74">
        <v>80</v>
      </c>
      <c r="Q14" s="74">
        <v>1936</v>
      </c>
    </row>
    <row r="15" spans="1:17" x14ac:dyDescent="0.25">
      <c r="A15" s="79">
        <v>43806</v>
      </c>
      <c r="B15" s="32">
        <v>3</v>
      </c>
      <c r="C15" s="32">
        <v>13</v>
      </c>
      <c r="D15" s="32">
        <v>21</v>
      </c>
      <c r="E15" s="55">
        <v>0</v>
      </c>
      <c r="F15" s="55">
        <v>3925</v>
      </c>
      <c r="G15" s="55">
        <v>0</v>
      </c>
      <c r="H15" s="55">
        <v>1156</v>
      </c>
      <c r="I15" s="55">
        <v>25</v>
      </c>
      <c r="J15" s="55">
        <v>203</v>
      </c>
      <c r="K15" s="56">
        <v>19</v>
      </c>
      <c r="L15" s="56">
        <v>85</v>
      </c>
      <c r="M15" s="56">
        <v>889</v>
      </c>
      <c r="N15" s="57">
        <v>10</v>
      </c>
      <c r="O15" s="57">
        <v>85</v>
      </c>
      <c r="P15" s="57">
        <v>80</v>
      </c>
      <c r="Q15" s="57">
        <v>1940</v>
      </c>
    </row>
    <row r="16" spans="1:17" x14ac:dyDescent="0.25">
      <c r="A16" s="79">
        <v>43807</v>
      </c>
      <c r="B16" s="75">
        <v>3</v>
      </c>
      <c r="C16" s="75">
        <v>13</v>
      </c>
      <c r="D16" s="75">
        <v>20</v>
      </c>
      <c r="E16" s="76">
        <v>0</v>
      </c>
      <c r="F16" s="76">
        <v>3932</v>
      </c>
      <c r="G16" s="76">
        <v>0</v>
      </c>
      <c r="H16" s="76">
        <v>1157</v>
      </c>
      <c r="I16" s="76">
        <v>20</v>
      </c>
      <c r="J16" s="76">
        <v>203</v>
      </c>
      <c r="K16" s="77">
        <v>15</v>
      </c>
      <c r="L16" s="77">
        <v>85</v>
      </c>
      <c r="M16" s="77">
        <v>892</v>
      </c>
      <c r="N16" s="74">
        <v>5</v>
      </c>
      <c r="O16" s="74">
        <v>85</v>
      </c>
      <c r="P16" s="74">
        <v>80</v>
      </c>
      <c r="Q16" s="74">
        <v>1944</v>
      </c>
    </row>
    <row r="17" spans="1:17" x14ac:dyDescent="0.25">
      <c r="A17" s="79">
        <v>43808</v>
      </c>
      <c r="B17" s="75">
        <v>15</v>
      </c>
      <c r="C17" s="75">
        <v>34</v>
      </c>
      <c r="D17" s="75">
        <v>46</v>
      </c>
      <c r="E17" s="76">
        <v>0</v>
      </c>
      <c r="F17" s="76">
        <v>3937</v>
      </c>
      <c r="G17" s="76">
        <v>85</v>
      </c>
      <c r="H17" s="76">
        <v>1159</v>
      </c>
      <c r="I17" s="76">
        <v>10</v>
      </c>
      <c r="J17" s="76">
        <v>204</v>
      </c>
      <c r="K17" s="77">
        <v>15</v>
      </c>
      <c r="L17" s="77">
        <v>85</v>
      </c>
      <c r="M17" s="77">
        <v>894</v>
      </c>
      <c r="N17" s="74">
        <v>0</v>
      </c>
      <c r="O17" s="74">
        <v>85</v>
      </c>
      <c r="P17" s="74">
        <v>80</v>
      </c>
      <c r="Q17" s="74">
        <v>1947</v>
      </c>
    </row>
    <row r="18" spans="1:17" x14ac:dyDescent="0.25">
      <c r="A18" s="79">
        <v>43809</v>
      </c>
      <c r="B18" s="75">
        <v>17</v>
      </c>
      <c r="C18" s="75">
        <v>20</v>
      </c>
      <c r="D18" s="75">
        <v>40</v>
      </c>
      <c r="E18" s="76">
        <v>0</v>
      </c>
      <c r="F18" s="76">
        <v>3944</v>
      </c>
      <c r="G18" s="76">
        <v>75</v>
      </c>
      <c r="H18" s="76">
        <v>1161</v>
      </c>
      <c r="I18" s="76">
        <v>10</v>
      </c>
      <c r="J18" s="76">
        <v>205</v>
      </c>
      <c r="K18" s="77">
        <v>15</v>
      </c>
      <c r="L18" s="77">
        <v>85</v>
      </c>
      <c r="M18" s="77">
        <v>894</v>
      </c>
      <c r="N18" s="74">
        <v>0</v>
      </c>
      <c r="O18" s="74">
        <v>85</v>
      </c>
      <c r="P18" s="74">
        <v>80</v>
      </c>
      <c r="Q18" s="74">
        <v>1949</v>
      </c>
    </row>
    <row r="19" spans="1:17" x14ac:dyDescent="0.25">
      <c r="A19" s="79">
        <v>43810</v>
      </c>
      <c r="B19" s="32"/>
      <c r="C19" s="32"/>
      <c r="D19" s="32"/>
      <c r="E19" s="55"/>
      <c r="F19" s="55"/>
      <c r="G19" s="55"/>
      <c r="H19" s="55"/>
      <c r="I19" s="55"/>
      <c r="J19" s="55"/>
      <c r="K19" s="56"/>
      <c r="L19" s="56"/>
      <c r="M19" s="56"/>
      <c r="N19" s="57"/>
      <c r="O19" s="57"/>
      <c r="P19" s="57"/>
      <c r="Q19" s="57"/>
    </row>
    <row r="20" spans="1:17" x14ac:dyDescent="0.25">
      <c r="A20" s="79">
        <v>43811</v>
      </c>
      <c r="B20" s="32"/>
      <c r="C20" s="32"/>
      <c r="D20" s="32"/>
      <c r="E20" s="55"/>
      <c r="F20" s="55"/>
      <c r="G20" s="55"/>
      <c r="H20" s="55"/>
      <c r="I20" s="55"/>
      <c r="J20" s="55"/>
      <c r="K20" s="56"/>
      <c r="L20" s="56"/>
      <c r="M20" s="56"/>
      <c r="N20" s="57"/>
      <c r="O20" s="57"/>
      <c r="P20" s="57"/>
      <c r="Q20" s="57"/>
    </row>
    <row r="21" spans="1:17" x14ac:dyDescent="0.25">
      <c r="A21" s="79">
        <v>43812</v>
      </c>
      <c r="B21" s="32"/>
      <c r="C21" s="32"/>
      <c r="D21" s="32"/>
      <c r="E21" s="55"/>
      <c r="F21" s="55"/>
      <c r="G21" s="55"/>
      <c r="H21" s="55"/>
      <c r="I21" s="55"/>
      <c r="J21" s="55"/>
      <c r="K21" s="56"/>
      <c r="L21" s="56"/>
      <c r="M21" s="56"/>
      <c r="N21" s="57"/>
      <c r="O21" s="57"/>
      <c r="P21" s="57"/>
      <c r="Q21" s="57"/>
    </row>
    <row r="22" spans="1:17" x14ac:dyDescent="0.25">
      <c r="A22" s="79">
        <v>43813</v>
      </c>
      <c r="B22" s="32"/>
      <c r="C22" s="32"/>
      <c r="D22" s="32"/>
      <c r="E22" s="55"/>
      <c r="F22" s="55"/>
      <c r="G22" s="55"/>
      <c r="H22" s="55"/>
      <c r="I22" s="55"/>
      <c r="J22" s="55"/>
      <c r="K22" s="56"/>
      <c r="L22" s="56"/>
      <c r="M22" s="56"/>
      <c r="N22" s="57"/>
      <c r="O22" s="57"/>
      <c r="P22" s="57"/>
      <c r="Q22" s="57"/>
    </row>
    <row r="23" spans="1:17" x14ac:dyDescent="0.25">
      <c r="A23" s="79">
        <v>43814</v>
      </c>
      <c r="B23" s="32"/>
      <c r="C23" s="32"/>
      <c r="D23" s="32"/>
      <c r="E23" s="55"/>
      <c r="F23" s="55"/>
      <c r="G23" s="55"/>
      <c r="H23" s="55"/>
      <c r="I23" s="55"/>
      <c r="J23" s="55"/>
      <c r="K23" s="56"/>
      <c r="L23" s="56"/>
      <c r="M23" s="56"/>
      <c r="N23" s="57"/>
      <c r="O23" s="57"/>
      <c r="P23" s="57"/>
      <c r="Q23" s="57"/>
    </row>
    <row r="24" spans="1:17" x14ac:dyDescent="0.25">
      <c r="A24" s="79">
        <v>43815</v>
      </c>
      <c r="B24" s="32"/>
      <c r="C24" s="32"/>
      <c r="D24" s="32"/>
      <c r="E24" s="55"/>
      <c r="F24" s="55"/>
      <c r="G24" s="55"/>
      <c r="H24" s="55"/>
      <c r="I24" s="55"/>
      <c r="J24" s="55"/>
      <c r="K24" s="56"/>
      <c r="L24" s="56"/>
      <c r="M24" s="56"/>
      <c r="N24" s="57"/>
      <c r="O24" s="57"/>
      <c r="P24" s="57"/>
      <c r="Q24" s="57"/>
    </row>
    <row r="25" spans="1:17" x14ac:dyDescent="0.25">
      <c r="A25" s="79">
        <v>43816</v>
      </c>
      <c r="B25" s="32"/>
      <c r="C25" s="32"/>
      <c r="D25" s="32"/>
      <c r="E25" s="55"/>
      <c r="F25" s="55"/>
      <c r="G25" s="55"/>
      <c r="H25" s="55"/>
      <c r="I25" s="55"/>
      <c r="J25" s="55"/>
      <c r="K25" s="56"/>
      <c r="L25" s="56"/>
      <c r="M25" s="56"/>
      <c r="N25" s="57"/>
      <c r="O25" s="57"/>
      <c r="P25" s="57"/>
      <c r="Q25" s="57"/>
    </row>
    <row r="26" spans="1:17" x14ac:dyDescent="0.25">
      <c r="A26" s="79">
        <v>43817</v>
      </c>
      <c r="B26" s="32"/>
      <c r="C26" s="32"/>
      <c r="D26" s="32"/>
      <c r="E26" s="55"/>
      <c r="F26" s="55"/>
      <c r="G26" s="55"/>
      <c r="H26" s="55"/>
      <c r="I26" s="55"/>
      <c r="J26" s="55"/>
      <c r="K26" s="56"/>
      <c r="L26" s="56"/>
      <c r="M26" s="56"/>
      <c r="N26" s="57"/>
      <c r="O26" s="57"/>
      <c r="P26" s="57"/>
      <c r="Q26" s="57"/>
    </row>
    <row r="27" spans="1:17" x14ac:dyDescent="0.25">
      <c r="A27" s="79">
        <v>43818</v>
      </c>
      <c r="B27" s="32"/>
      <c r="C27" s="32"/>
      <c r="D27" s="32"/>
      <c r="E27" s="55"/>
      <c r="F27" s="55"/>
      <c r="G27" s="55"/>
      <c r="H27" s="55"/>
      <c r="I27" s="55"/>
      <c r="J27" s="55"/>
      <c r="K27" s="56"/>
      <c r="L27" s="56"/>
      <c r="M27" s="56"/>
      <c r="N27" s="57"/>
      <c r="O27" s="57"/>
      <c r="P27" s="57"/>
      <c r="Q27" s="57"/>
    </row>
    <row r="28" spans="1:17" x14ac:dyDescent="0.25">
      <c r="A28" s="79">
        <v>43819</v>
      </c>
      <c r="B28" s="32"/>
      <c r="C28" s="32"/>
      <c r="D28" s="32"/>
      <c r="E28" s="55"/>
      <c r="F28" s="55"/>
      <c r="G28" s="55"/>
      <c r="H28" s="55"/>
      <c r="I28" s="55"/>
      <c r="J28" s="55"/>
      <c r="K28" s="56"/>
      <c r="L28" s="56"/>
      <c r="M28" s="56"/>
      <c r="N28" s="57"/>
      <c r="O28" s="57"/>
      <c r="P28" s="57"/>
      <c r="Q28" s="57"/>
    </row>
    <row r="29" spans="1:17" x14ac:dyDescent="0.25">
      <c r="A29" s="79">
        <v>43820</v>
      </c>
      <c r="B29" s="75"/>
      <c r="C29" s="75"/>
      <c r="D29" s="75"/>
      <c r="E29" s="76"/>
      <c r="F29" s="76"/>
      <c r="G29" s="76"/>
      <c r="H29" s="76"/>
      <c r="I29" s="76"/>
      <c r="J29" s="76"/>
      <c r="K29" s="77"/>
      <c r="L29" s="77"/>
      <c r="M29" s="77"/>
      <c r="N29" s="74"/>
      <c r="O29" s="74"/>
      <c r="P29" s="74"/>
      <c r="Q29" s="74"/>
    </row>
    <row r="30" spans="1:17" x14ac:dyDescent="0.25">
      <c r="A30" s="79">
        <v>43821</v>
      </c>
      <c r="B30" s="32"/>
      <c r="C30" s="32"/>
      <c r="D30" s="32"/>
      <c r="E30" s="55"/>
      <c r="F30" s="55"/>
      <c r="G30" s="55"/>
      <c r="H30" s="55"/>
      <c r="I30" s="55"/>
      <c r="J30" s="55"/>
      <c r="K30" s="56"/>
      <c r="L30" s="56"/>
      <c r="M30" s="56"/>
      <c r="N30" s="57"/>
      <c r="O30" s="57"/>
      <c r="P30" s="57"/>
      <c r="Q30" s="57"/>
    </row>
    <row r="31" spans="1:17" x14ac:dyDescent="0.25">
      <c r="A31" s="79">
        <v>43822</v>
      </c>
      <c r="B31" s="32"/>
      <c r="C31" s="32"/>
      <c r="D31" s="32"/>
      <c r="E31" s="55"/>
      <c r="F31" s="55"/>
      <c r="G31" s="55"/>
      <c r="H31" s="55"/>
      <c r="I31" s="55"/>
      <c r="J31" s="55"/>
      <c r="K31" s="56"/>
      <c r="L31" s="56"/>
      <c r="M31" s="56"/>
      <c r="N31" s="57"/>
      <c r="O31" s="57"/>
      <c r="P31" s="57"/>
      <c r="Q31" s="57"/>
    </row>
    <row r="32" spans="1:17" x14ac:dyDescent="0.25">
      <c r="A32" s="79">
        <v>43823</v>
      </c>
      <c r="B32" s="32"/>
      <c r="C32" s="32"/>
      <c r="D32" s="32"/>
      <c r="E32" s="55"/>
      <c r="F32" s="55"/>
      <c r="G32" s="55"/>
      <c r="H32" s="55"/>
      <c r="I32" s="55"/>
      <c r="J32" s="55"/>
      <c r="K32" s="56"/>
      <c r="L32" s="56"/>
      <c r="M32" s="56"/>
      <c r="N32" s="57"/>
      <c r="O32" s="57"/>
      <c r="P32" s="57"/>
      <c r="Q32" s="57"/>
    </row>
    <row r="33" spans="1:17" x14ac:dyDescent="0.25">
      <c r="A33" s="79">
        <v>43824</v>
      </c>
      <c r="B33" s="32"/>
      <c r="C33" s="32"/>
      <c r="D33" s="32"/>
      <c r="E33" s="55"/>
      <c r="F33" s="55"/>
      <c r="G33" s="55"/>
      <c r="H33" s="55"/>
      <c r="I33" s="55"/>
      <c r="J33" s="55"/>
      <c r="K33" s="56"/>
      <c r="L33" s="56"/>
      <c r="M33" s="56"/>
      <c r="N33" s="57"/>
      <c r="O33" s="57"/>
      <c r="P33" s="57"/>
      <c r="Q33" s="57"/>
    </row>
    <row r="34" spans="1:17" x14ac:dyDescent="0.25">
      <c r="A34" s="79">
        <v>43825</v>
      </c>
      <c r="B34" s="32"/>
      <c r="C34" s="32"/>
      <c r="D34" s="32"/>
      <c r="E34" s="55"/>
      <c r="F34" s="55"/>
      <c r="G34" s="55"/>
      <c r="H34" s="55"/>
      <c r="I34" s="55"/>
      <c r="J34" s="55"/>
      <c r="K34" s="56"/>
      <c r="L34" s="56"/>
      <c r="M34" s="56"/>
      <c r="N34" s="57"/>
      <c r="O34" s="57"/>
      <c r="P34" s="57"/>
      <c r="Q34" s="57"/>
    </row>
    <row r="35" spans="1:17" x14ac:dyDescent="0.25">
      <c r="A35" s="79">
        <v>43826</v>
      </c>
      <c r="B35" s="32"/>
      <c r="C35" s="32"/>
      <c r="D35" s="32"/>
      <c r="E35" s="55"/>
      <c r="F35" s="55"/>
      <c r="G35" s="55"/>
      <c r="H35" s="55"/>
      <c r="I35" s="55"/>
      <c r="J35" s="55"/>
      <c r="K35" s="56"/>
      <c r="L35" s="56"/>
      <c r="M35" s="56"/>
      <c r="N35" s="57"/>
      <c r="O35" s="57"/>
      <c r="P35" s="57"/>
      <c r="Q35" s="57"/>
    </row>
    <row r="36" spans="1:17" x14ac:dyDescent="0.25">
      <c r="A36" s="79">
        <v>43827</v>
      </c>
      <c r="B36" s="32"/>
      <c r="C36" s="32"/>
      <c r="D36" s="32"/>
      <c r="E36" s="55"/>
      <c r="F36" s="55"/>
      <c r="G36" s="55"/>
      <c r="H36" s="55"/>
      <c r="I36" s="55"/>
      <c r="J36" s="55"/>
      <c r="K36" s="56"/>
      <c r="L36" s="56"/>
      <c r="M36" s="56"/>
      <c r="N36" s="57"/>
      <c r="O36" s="57"/>
      <c r="P36" s="57"/>
      <c r="Q36" s="57"/>
    </row>
    <row r="37" spans="1:17" x14ac:dyDescent="0.25">
      <c r="A37" s="79">
        <v>43828</v>
      </c>
      <c r="B37" s="75"/>
      <c r="C37" s="75"/>
      <c r="D37" s="75"/>
      <c r="E37" s="55"/>
      <c r="F37" s="55"/>
      <c r="G37" s="55"/>
      <c r="H37" s="55"/>
      <c r="I37" s="55"/>
      <c r="J37" s="55"/>
      <c r="K37" s="56"/>
      <c r="L37" s="56"/>
      <c r="M37" s="56"/>
      <c r="N37" s="57"/>
      <c r="O37" s="57"/>
      <c r="P37" s="57"/>
      <c r="Q37" s="57"/>
    </row>
    <row r="38" spans="1:17" x14ac:dyDescent="0.25">
      <c r="A38" s="79">
        <v>43829</v>
      </c>
      <c r="B38" s="32"/>
      <c r="C38" s="32"/>
      <c r="D38" s="32"/>
      <c r="E38" s="55"/>
      <c r="F38" s="55"/>
      <c r="G38" s="55"/>
      <c r="H38" s="55"/>
      <c r="I38" s="55"/>
      <c r="J38" s="55"/>
      <c r="K38" s="56"/>
      <c r="L38" s="56"/>
      <c r="M38" s="56"/>
      <c r="N38" s="57"/>
      <c r="O38" s="57"/>
      <c r="P38" s="57"/>
      <c r="Q38" s="57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2019-12-11T00:16:08Z</dcterms:modified>
</cp:coreProperties>
</file>