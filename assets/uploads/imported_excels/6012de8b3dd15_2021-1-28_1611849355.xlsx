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resa.priest\Desktop\"/>
    </mc:Choice>
  </mc:AlternateContent>
  <bookViews>
    <workbookView xWindow="0" yWindow="465" windowWidth="28800" windowHeight="15840" activeTab="2"/>
  </bookViews>
  <sheets>
    <sheet name="TXU" sheetId="1" r:id="rId1"/>
    <sheet name="ATMOS" sheetId="2" r:id="rId2"/>
    <sheet name="WAT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2" i="1" l="1"/>
  <c r="W42" i="1"/>
  <c r="Z45" i="1" l="1"/>
  <c r="Z43" i="1"/>
  <c r="V43" i="3"/>
  <c r="X45" i="1" l="1"/>
  <c r="V45" i="1" l="1"/>
  <c r="U42" i="1"/>
  <c r="S42" i="1" l="1"/>
  <c r="Q42" i="1"/>
  <c r="O42" i="1" l="1"/>
  <c r="J11" i="3" l="1"/>
  <c r="G42" i="1" l="1"/>
  <c r="M42" i="1"/>
  <c r="K42" i="1"/>
  <c r="I42" i="1"/>
  <c r="E42" i="1"/>
  <c r="C42" i="1"/>
  <c r="L43" i="1" l="1"/>
  <c r="L45" i="1" s="1"/>
  <c r="D43" i="1" l="1"/>
  <c r="D45" i="1" s="1"/>
  <c r="X43" i="1"/>
  <c r="V43" i="1"/>
  <c r="T43" i="1"/>
  <c r="T45" i="1" s="1"/>
  <c r="R43" i="1"/>
  <c r="R45" i="1" s="1"/>
  <c r="F43" i="1"/>
  <c r="F45" i="1" s="1"/>
  <c r="H43" i="1"/>
  <c r="H45" i="1" s="1"/>
  <c r="J43" i="1"/>
  <c r="J45" i="1" s="1"/>
  <c r="N43" i="1"/>
  <c r="N45" i="1" s="1"/>
  <c r="P43" i="1"/>
  <c r="P45" i="1" s="1"/>
  <c r="AA44" i="3" l="1"/>
  <c r="Z24" i="2"/>
  <c r="AA44" i="1"/>
  <c r="Y44" i="3" l="1"/>
  <c r="X24" i="2"/>
  <c r="V24" i="2" l="1"/>
  <c r="U44" i="3" l="1"/>
  <c r="S44" i="3"/>
  <c r="T24" i="2" l="1"/>
  <c r="Q44" i="3" l="1"/>
  <c r="R24" i="2" l="1"/>
  <c r="P24" i="2" l="1"/>
  <c r="O44" i="3" l="1"/>
  <c r="M23" i="2"/>
  <c r="M44" i="3" l="1"/>
  <c r="K44" i="3" l="1"/>
  <c r="L24" i="2"/>
  <c r="J24" i="2"/>
  <c r="AA41" i="1" l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AA5" i="1"/>
  <c r="AB42" i="3" l="1"/>
  <c r="AB40" i="3"/>
  <c r="AB38" i="3"/>
  <c r="AB36" i="3"/>
  <c r="AB34" i="3"/>
  <c r="AB32" i="3"/>
  <c r="AB30" i="3"/>
  <c r="AB28" i="3"/>
  <c r="AB26" i="3"/>
  <c r="AB21" i="3"/>
  <c r="AB24" i="3"/>
  <c r="AB22" i="3"/>
  <c r="AB20" i="3"/>
  <c r="AB18" i="3"/>
  <c r="AB16" i="3"/>
  <c r="AB14" i="3"/>
  <c r="AB12" i="3"/>
  <c r="AB10" i="3"/>
  <c r="AB8" i="3"/>
  <c r="AB6" i="3"/>
  <c r="I44" i="3"/>
  <c r="G44" i="3"/>
  <c r="E44" i="3"/>
  <c r="H24" i="2"/>
  <c r="F24" i="2"/>
  <c r="D24" i="2"/>
  <c r="AA24" i="2" l="1"/>
  <c r="AB44" i="3"/>
  <c r="AA43" i="1"/>
  <c r="AA46" i="1" s="1"/>
  <c r="Z43" i="3"/>
  <c r="X43" i="3"/>
  <c r="T43" i="3"/>
  <c r="R43" i="3"/>
  <c r="P43" i="3"/>
  <c r="N43" i="3"/>
  <c r="L43" i="3"/>
  <c r="J43" i="3"/>
  <c r="H43" i="3"/>
  <c r="F43" i="3"/>
  <c r="D43" i="3"/>
  <c r="AB41" i="3"/>
  <c r="AB39" i="3"/>
  <c r="AB37" i="3"/>
  <c r="AB35" i="3"/>
  <c r="AB33" i="3"/>
  <c r="AB31" i="3"/>
  <c r="AB29" i="3"/>
  <c r="AB27" i="3"/>
  <c r="AB25" i="3"/>
  <c r="AB23" i="3"/>
  <c r="AB19" i="3"/>
  <c r="AB17" i="3"/>
  <c r="AB15" i="3"/>
  <c r="AB13" i="3"/>
  <c r="AB11" i="3"/>
  <c r="AB9" i="3"/>
  <c r="AB7" i="3"/>
  <c r="AB5" i="3"/>
  <c r="Y23" i="2"/>
  <c r="W23" i="2"/>
  <c r="U23" i="2"/>
  <c r="S23" i="2"/>
  <c r="Q23" i="2"/>
  <c r="O23" i="2"/>
  <c r="K23" i="2"/>
  <c r="I23" i="2"/>
  <c r="G23" i="2"/>
  <c r="E23" i="2"/>
  <c r="C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AA6" i="1"/>
  <c r="AA4" i="1"/>
  <c r="AB43" i="3" l="1"/>
  <c r="AA23" i="2"/>
  <c r="AA42" i="1"/>
</calcChain>
</file>

<file path=xl/sharedStrings.xml><?xml version="1.0" encoding="utf-8"?>
<sst xmlns="http://schemas.openxmlformats.org/spreadsheetml/2006/main" count="272" uniqueCount="192">
  <si>
    <t>1 888 635 0827    TXU Energy</t>
  </si>
  <si>
    <t>JAN</t>
  </si>
  <si>
    <t>FEB</t>
  </si>
  <si>
    <t>MAR</t>
  </si>
  <si>
    <t>MAY</t>
  </si>
  <si>
    <t>JUN</t>
  </si>
  <si>
    <t>JULY</t>
  </si>
  <si>
    <t>AUG</t>
  </si>
  <si>
    <t>SEPT</t>
  </si>
  <si>
    <t>OCT</t>
  </si>
  <si>
    <t>NOV</t>
  </si>
  <si>
    <t>DEC</t>
  </si>
  <si>
    <t>kwh</t>
  </si>
  <si>
    <t>YTD</t>
  </si>
  <si>
    <t>362 6446</t>
  </si>
  <si>
    <t>TPC #5 Pump Hse</t>
  </si>
  <si>
    <t>362 7903</t>
  </si>
  <si>
    <t>concession stand for N</t>
  </si>
  <si>
    <t>362 8027</t>
  </si>
  <si>
    <t>CWV #4 Tee Pump Hse</t>
  </si>
  <si>
    <t>362 7159</t>
  </si>
  <si>
    <t>1075 Mills Ln Golf Sch. Bldg</t>
  </si>
  <si>
    <t>799 9523</t>
  </si>
  <si>
    <t>4140 N Mac.  BallRm/Garage</t>
  </si>
  <si>
    <t xml:space="preserve">362 4400 </t>
  </si>
  <si>
    <t>CWV #3 Tee  Halfway House</t>
  </si>
  <si>
    <t>362 6477</t>
  </si>
  <si>
    <t>CWV #18 Golf Pro Shop</t>
  </si>
  <si>
    <t>362 7562</t>
  </si>
  <si>
    <t>4150 N Mac.  Main Hotel Bldg</t>
  </si>
  <si>
    <t xml:space="preserve">678 5160 </t>
  </si>
  <si>
    <t>4152 N Mac.  Villa's</t>
  </si>
  <si>
    <t xml:space="preserve">742 4637 </t>
  </si>
  <si>
    <t>4180 N Mac. Villas 300-400</t>
  </si>
  <si>
    <t>362 7872</t>
  </si>
  <si>
    <t xml:space="preserve">4200 N Mac. Sports Club </t>
  </si>
  <si>
    <t>854 0978</t>
  </si>
  <si>
    <t>4220N.Mac. Villas 500</t>
  </si>
  <si>
    <t>362 7965</t>
  </si>
  <si>
    <t>4400 N MacArthur Blvd bath #5</t>
  </si>
  <si>
    <t>029 4173</t>
  </si>
  <si>
    <t>Golf Maint  Bldg</t>
  </si>
  <si>
    <t>362 6415</t>
  </si>
  <si>
    <t>CWV #17 Green</t>
  </si>
  <si>
    <t>966 1681</t>
  </si>
  <si>
    <t>1 Green Cottonwood Va</t>
  </si>
  <si>
    <t>660 9328</t>
  </si>
  <si>
    <t>GC 298 O'Connor TPC #17</t>
  </si>
  <si>
    <t>601 5368</t>
  </si>
  <si>
    <t>GC 4516 Windsor sprinkler</t>
  </si>
  <si>
    <t>362 7066</t>
  </si>
  <si>
    <t>CWV #12 Pump House</t>
  </si>
  <si>
    <t>Total</t>
  </si>
  <si>
    <t>214-741-3750</t>
  </si>
  <si>
    <t>Key Account</t>
  </si>
  <si>
    <t>1-877-290-3722</t>
  </si>
  <si>
    <t xml:space="preserve">Hotel </t>
  </si>
  <si>
    <t>All meters are read on the 14th.</t>
  </si>
  <si>
    <t>0578445-0 21884</t>
  </si>
  <si>
    <t xml:space="preserve"> </t>
  </si>
  <si>
    <t xml:space="preserve">Ballroom </t>
  </si>
  <si>
    <t>0578446-7 37096</t>
  </si>
  <si>
    <t>Villa</t>
  </si>
  <si>
    <t>0091843-4 305713</t>
  </si>
  <si>
    <t>Club</t>
  </si>
  <si>
    <t xml:space="preserve">Laundry </t>
  </si>
  <si>
    <t>1392008-5 36582</t>
  </si>
  <si>
    <t>Atmos</t>
  </si>
  <si>
    <t>City Of Irving Utilities</t>
  </si>
  <si>
    <t>Acct No #</t>
  </si>
  <si>
    <t>Address</t>
  </si>
  <si>
    <t>Actual Location</t>
  </si>
  <si>
    <t xml:space="preserve">Total </t>
  </si>
  <si>
    <t>4150 MacArthur Blvd</t>
  </si>
  <si>
    <t>Hotel Dock, Curb</t>
  </si>
  <si>
    <t>Htl, Laundry , Villas</t>
  </si>
  <si>
    <t>4200 MacArthur Blvd</t>
  </si>
  <si>
    <t>South End Vault</t>
  </si>
  <si>
    <t>North End,Double Doors</t>
  </si>
  <si>
    <t>Irrag,Front Gate St.Curb</t>
  </si>
  <si>
    <t>4900 Golf Ops Maint.Barn</t>
  </si>
  <si>
    <t>Ballroom Bldg, Curb</t>
  </si>
  <si>
    <t>Ballroom firesprinkler</t>
  </si>
  <si>
    <t>Parking Garage</t>
  </si>
  <si>
    <t>Spa back Door, Vault</t>
  </si>
  <si>
    <t>Golf School Bldg , Curb</t>
  </si>
  <si>
    <t>CWV Pro Shop, Curb</t>
  </si>
  <si>
    <t>CWV #14 Restroom</t>
  </si>
  <si>
    <t xml:space="preserve">CWV </t>
  </si>
  <si>
    <t>900 BN Way,Driving Range</t>
  </si>
  <si>
    <t>Irrigation, Ice Machines,</t>
  </si>
  <si>
    <t>Cart Barn, West side, near</t>
  </si>
  <si>
    <t>Ice Machines / Truck read</t>
  </si>
  <si>
    <t>4180 MacArthur Blvd</t>
  </si>
  <si>
    <t>East Villa Bldg</t>
  </si>
  <si>
    <t>4180 MacArthur  Blvd</t>
  </si>
  <si>
    <t>East Villa Bldg Fireline</t>
  </si>
  <si>
    <t>4900 MacArthur blvd</t>
  </si>
  <si>
    <t>golf ops building</t>
  </si>
  <si>
    <t>Invoice $</t>
  </si>
  <si>
    <t>Meter# 010800116</t>
  </si>
  <si>
    <t>Meter # 010800115</t>
  </si>
  <si>
    <t>Meter# 010800126</t>
  </si>
  <si>
    <t>Meter# 009802811</t>
  </si>
  <si>
    <t>Meter# 011902430</t>
  </si>
  <si>
    <t>Meter# 031621892</t>
  </si>
  <si>
    <t>Meter# 095896651</t>
  </si>
  <si>
    <t>Meter# 017843095</t>
  </si>
  <si>
    <t>Meter# 014372461</t>
  </si>
  <si>
    <t>Meter# 000817485</t>
  </si>
  <si>
    <t>Meter# 005165233</t>
  </si>
  <si>
    <t>Meter# 000512766</t>
  </si>
  <si>
    <t>Meter# 094693580</t>
  </si>
  <si>
    <t>S# 900026211</t>
  </si>
  <si>
    <t>Dates</t>
  </si>
  <si>
    <t>Inv. Total</t>
  </si>
  <si>
    <t xml:space="preserve">Inv.Total </t>
  </si>
  <si>
    <t>APR</t>
  </si>
  <si>
    <t xml:space="preserve">Monthly Total </t>
  </si>
  <si>
    <t>CCF</t>
  </si>
  <si>
    <t>Total Usage</t>
  </si>
  <si>
    <t>Usage X1000</t>
  </si>
  <si>
    <t>Monthly Total</t>
  </si>
  <si>
    <t>Inv.Total</t>
  </si>
  <si>
    <t>JUNE</t>
  </si>
  <si>
    <t>Late Fees</t>
  </si>
  <si>
    <t>4140 MacArthur</t>
  </si>
  <si>
    <t>Meter# 180229663</t>
  </si>
  <si>
    <t>Meter# 180228365</t>
  </si>
  <si>
    <t xml:space="preserve">1095 Byron Nelson Way </t>
  </si>
  <si>
    <t>4601 MacArthur Blvd</t>
  </si>
  <si>
    <t>Meter# 10022664</t>
  </si>
  <si>
    <t>2030 CWV Crcl.</t>
  </si>
  <si>
    <t>M#57058864/5906175</t>
  </si>
  <si>
    <t xml:space="preserve">Inv. Total </t>
  </si>
  <si>
    <t>12/27-1/27/20</t>
  </si>
  <si>
    <t>12/17-1/17</t>
  </si>
  <si>
    <t>1/28-2/25/20</t>
  </si>
  <si>
    <t>2/26-3/25/20</t>
  </si>
  <si>
    <t>Total Inv. Due</t>
  </si>
  <si>
    <t>3/26-4/26/20</t>
  </si>
  <si>
    <t>4/27-5/26/20</t>
  </si>
  <si>
    <t>5/27-6/24/20</t>
  </si>
  <si>
    <t>1/18-2/17</t>
  </si>
  <si>
    <t>2/18-3/17</t>
  </si>
  <si>
    <t>3/18-4/16</t>
  </si>
  <si>
    <t>4/17-5/14</t>
  </si>
  <si>
    <t>Jan</t>
  </si>
  <si>
    <t>Feb</t>
  </si>
  <si>
    <t>Mar</t>
  </si>
  <si>
    <t>Apr</t>
  </si>
  <si>
    <t>Jun</t>
  </si>
  <si>
    <t>Jul</t>
  </si>
  <si>
    <t>Aug</t>
  </si>
  <si>
    <t>Sept</t>
  </si>
  <si>
    <t>Inv.$</t>
  </si>
  <si>
    <t xml:space="preserve">Inv.$ </t>
  </si>
  <si>
    <t>May</t>
  </si>
  <si>
    <t>Oct.</t>
  </si>
  <si>
    <t xml:space="preserve">Nov. </t>
  </si>
  <si>
    <t xml:space="preserve">Dec. </t>
  </si>
  <si>
    <t>M# 000811971/190036072</t>
  </si>
  <si>
    <t>Meter# 005213445/190037522</t>
  </si>
  <si>
    <t>JUL</t>
  </si>
  <si>
    <t>SEP</t>
  </si>
  <si>
    <t>12/17-1/19</t>
  </si>
  <si>
    <t>1/20-2/19</t>
  </si>
  <si>
    <t>2/20-3/19</t>
  </si>
  <si>
    <t>3/20-4/19</t>
  </si>
  <si>
    <t>4/19-5/19</t>
  </si>
  <si>
    <t>5/19-6/18</t>
  </si>
  <si>
    <t>missing bill &lt;&gt;</t>
  </si>
  <si>
    <t>5/15-6/15</t>
  </si>
  <si>
    <t>6/16-7/20</t>
  </si>
  <si>
    <t>pd. 651.48</t>
  </si>
  <si>
    <t>6/19-7/20</t>
  </si>
  <si>
    <t>6/25-7/27/20</t>
  </si>
  <si>
    <t>7/21-8/18</t>
  </si>
  <si>
    <t>7/28-8/25/20</t>
  </si>
  <si>
    <t>8/26-9/24/20</t>
  </si>
  <si>
    <t>8/19-9/16</t>
  </si>
  <si>
    <t>9/25-10/25</t>
  </si>
  <si>
    <t>9/17-10/15</t>
  </si>
  <si>
    <t>7/20-8/19</t>
  </si>
  <si>
    <t>8/19-9/15</t>
  </si>
  <si>
    <t>10/26-11/23</t>
  </si>
  <si>
    <t>9/15-10/22</t>
  </si>
  <si>
    <t>10/16-11/14</t>
  </si>
  <si>
    <t>acct.4029248919 9/17-11/14</t>
  </si>
  <si>
    <t>11/15-12/16</t>
  </si>
  <si>
    <t>11/24-12/22</t>
  </si>
  <si>
    <t>10/22-12/1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</si>
</sst>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10"/>
      <color theme="0" tint="-0.14999847407452621"/>
      <name val="Arial"/>
      <family val="2"/>
    </font>
    <font>
      <sz val="10"/>
      <color theme="0" tint="-0.14999847407452621"/>
      <name val="Arial"/>
      <family val="2"/>
    </font>
    <font>
      <sz val="11"/>
      <color theme="0" tint="-0.1499984740745262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4" fillId="0" borderId="0" xfId="0" applyFont="1"/>
    <xf numFmtId="0" fontId="6" fillId="0" borderId="4" xfId="0" applyFont="1" applyBorder="1"/>
    <xf numFmtId="0" fontId="6" fillId="0" borderId="5" xfId="0" applyFont="1" applyBorder="1"/>
    <xf numFmtId="0" fontId="4" fillId="0" borderId="0" xfId="0" applyFont="1" applyAlignment="1">
      <alignment horizontal="center"/>
    </xf>
    <xf numFmtId="0" fontId="4" fillId="0" borderId="1" xfId="1" applyNumberFormat="1" applyFont="1" applyBorder="1"/>
    <xf numFmtId="3" fontId="4" fillId="0" borderId="1" xfId="0" applyNumberFormat="1" applyFont="1" applyBorder="1"/>
    <xf numFmtId="164" fontId="2" fillId="0" borderId="2" xfId="0" applyNumberFormat="1" applyFont="1" applyBorder="1"/>
    <xf numFmtId="164" fontId="0" fillId="0" borderId="0" xfId="0" applyNumberFormat="1"/>
    <xf numFmtId="164" fontId="12" fillId="0" borderId="0" xfId="0" applyNumberFormat="1" applyFont="1"/>
    <xf numFmtId="0" fontId="0" fillId="4" borderId="0" xfId="0" applyFill="1"/>
    <xf numFmtId="16" fontId="0" fillId="0" borderId="0" xfId="0" applyNumberFormat="1"/>
    <xf numFmtId="0" fontId="4" fillId="5" borderId="1" xfId="0" applyFont="1" applyFill="1" applyBorder="1"/>
    <xf numFmtId="0" fontId="4" fillId="5" borderId="3" xfId="0" applyFont="1" applyFill="1" applyBorder="1"/>
    <xf numFmtId="0" fontId="13" fillId="5" borderId="1" xfId="0" applyFont="1" applyFill="1" applyBorder="1"/>
    <xf numFmtId="0" fontId="9" fillId="5" borderId="1" xfId="0" applyFont="1" applyFill="1" applyBorder="1"/>
    <xf numFmtId="0" fontId="4" fillId="5" borderId="2" xfId="0" applyFont="1" applyFill="1" applyBorder="1"/>
    <xf numFmtId="0" fontId="4" fillId="5" borderId="1" xfId="0" applyFont="1" applyFill="1" applyBorder="1" applyAlignment="1">
      <alignment horizontal="right"/>
    </xf>
    <xf numFmtId="0" fontId="10" fillId="5" borderId="1" xfId="0" applyFont="1" applyFill="1" applyBorder="1"/>
    <xf numFmtId="0" fontId="6" fillId="3" borderId="4" xfId="0" applyFont="1" applyFill="1" applyBorder="1"/>
    <xf numFmtId="0" fontId="0" fillId="3" borderId="0" xfId="0" applyFill="1"/>
    <xf numFmtId="0" fontId="2" fillId="3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44" fontId="2" fillId="0" borderId="0" xfId="2" applyFont="1" applyAlignment="1">
      <alignment horizontal="center"/>
    </xf>
    <xf numFmtId="44" fontId="14" fillId="0" borderId="0" xfId="2" applyFont="1" applyAlignment="1">
      <alignment horizontal="center"/>
    </xf>
    <xf numFmtId="44" fontId="4" fillId="0" borderId="1" xfId="2" applyFont="1" applyBorder="1"/>
    <xf numFmtId="44" fontId="0" fillId="0" borderId="1" xfId="2" applyFont="1" applyBorder="1"/>
    <xf numFmtId="44" fontId="2" fillId="0" borderId="2" xfId="2" applyFont="1" applyBorder="1"/>
    <xf numFmtId="44" fontId="0" fillId="0" borderId="0" xfId="2" applyFont="1"/>
    <xf numFmtId="0" fontId="16" fillId="5" borderId="0" xfId="0" applyFont="1" applyFill="1" applyAlignment="1">
      <alignment horizontal="center"/>
    </xf>
    <xf numFmtId="0" fontId="16" fillId="5" borderId="0" xfId="0" applyFont="1" applyFill="1"/>
    <xf numFmtId="0" fontId="17" fillId="5" borderId="1" xfId="0" applyFont="1" applyFill="1" applyBorder="1"/>
    <xf numFmtId="0" fontId="18" fillId="5" borderId="0" xfId="0" applyFont="1" applyFill="1"/>
    <xf numFmtId="0" fontId="19" fillId="0" borderId="0" xfId="0" applyFont="1" applyAlignment="1">
      <alignment horizontal="left"/>
    </xf>
    <xf numFmtId="0" fontId="20" fillId="0" borderId="0" xfId="0" applyFont="1"/>
    <xf numFmtId="0" fontId="19" fillId="0" borderId="0" xfId="0" applyFont="1" applyAlignment="1">
      <alignment horizontal="center"/>
    </xf>
    <xf numFmtId="0" fontId="21" fillId="0" borderId="0" xfId="0" applyFont="1"/>
    <xf numFmtId="0" fontId="19" fillId="0" borderId="0" xfId="0" applyFont="1"/>
    <xf numFmtId="44" fontId="19" fillId="0" borderId="0" xfId="2" applyFont="1" applyAlignment="1">
      <alignment horizontal="center"/>
    </xf>
    <xf numFmtId="44" fontId="17" fillId="5" borderId="1" xfId="2" applyFont="1" applyFill="1" applyBorder="1"/>
    <xf numFmtId="0" fontId="2" fillId="5" borderId="0" xfId="0" applyFont="1" applyFill="1" applyAlignment="1">
      <alignment horizontal="center"/>
    </xf>
    <xf numFmtId="0" fontId="2" fillId="5" borderId="0" xfId="0" applyFont="1" applyFill="1"/>
    <xf numFmtId="44" fontId="4" fillId="5" borderId="1" xfId="2" applyFont="1" applyFill="1" applyBorder="1"/>
    <xf numFmtId="0" fontId="0" fillId="5" borderId="0" xfId="0" applyFill="1"/>
    <xf numFmtId="0" fontId="12" fillId="0" borderId="1" xfId="0" applyFont="1" applyBorder="1"/>
    <xf numFmtId="44" fontId="12" fillId="0" borderId="1" xfId="2" applyFont="1" applyBorder="1"/>
    <xf numFmtId="0" fontId="17" fillId="5" borderId="1" xfId="1" applyNumberFormat="1" applyFont="1" applyFill="1" applyBorder="1"/>
    <xf numFmtId="3" fontId="17" fillId="5" borderId="1" xfId="0" applyNumberFormat="1" applyFont="1" applyFill="1" applyBorder="1"/>
    <xf numFmtId="44" fontId="17" fillId="5" borderId="2" xfId="2" applyFont="1" applyFill="1" applyBorder="1"/>
    <xf numFmtId="0" fontId="17" fillId="5" borderId="2" xfId="0" applyFont="1" applyFill="1" applyBorder="1"/>
    <xf numFmtId="0" fontId="0" fillId="0" borderId="1" xfId="0" applyFont="1" applyBorder="1"/>
    <xf numFmtId="44" fontId="1" fillId="0" borderId="1" xfId="2" applyFont="1" applyBorder="1"/>
    <xf numFmtId="0" fontId="12" fillId="0" borderId="0" xfId="0" applyFont="1"/>
    <xf numFmtId="44" fontId="12" fillId="0" borderId="0" xfId="2" applyFont="1"/>
    <xf numFmtId="0" fontId="22" fillId="5" borderId="0" xfId="0" applyFont="1" applyFill="1"/>
    <xf numFmtId="0" fontId="12" fillId="5" borderId="0" xfId="0" applyFont="1" applyFill="1"/>
    <xf numFmtId="44" fontId="6" fillId="0" borderId="4" xfId="2" applyFont="1" applyBorder="1"/>
    <xf numFmtId="44" fontId="4" fillId="0" borderId="0" xfId="2" applyFont="1" applyAlignment="1">
      <alignment horizontal="center"/>
    </xf>
    <xf numFmtId="44" fontId="4" fillId="0" borderId="0" xfId="2" applyFont="1"/>
    <xf numFmtId="0" fontId="0" fillId="0" borderId="1" xfId="2" applyNumberFormat="1" applyFont="1" applyBorder="1"/>
    <xf numFmtId="44" fontId="2" fillId="0" borderId="0" xfId="2" applyFont="1" applyBorder="1"/>
    <xf numFmtId="0" fontId="0" fillId="0" borderId="0" xfId="2" applyNumberFormat="1" applyFont="1"/>
    <xf numFmtId="0" fontId="19" fillId="0" borderId="0" xfId="2" applyNumberFormat="1" applyFont="1" applyAlignment="1">
      <alignment horizontal="center"/>
    </xf>
    <xf numFmtId="0" fontId="4" fillId="0" borderId="1" xfId="2" applyNumberFormat="1" applyFont="1" applyBorder="1"/>
    <xf numFmtId="0" fontId="17" fillId="5" borderId="1" xfId="2" applyNumberFormat="1" applyFont="1" applyFill="1" applyBorder="1"/>
    <xf numFmtId="0" fontId="4" fillId="5" borderId="1" xfId="2" applyNumberFormat="1" applyFont="1" applyFill="1" applyBorder="1"/>
    <xf numFmtId="0" fontId="12" fillId="0" borderId="1" xfId="2" applyNumberFormat="1" applyFont="1" applyBorder="1"/>
    <xf numFmtId="0" fontId="12" fillId="0" borderId="0" xfId="2" applyNumberFormat="1" applyFont="1"/>
    <xf numFmtId="44" fontId="4" fillId="5" borderId="3" xfId="2" applyFont="1" applyFill="1" applyBorder="1"/>
    <xf numFmtId="44" fontId="13" fillId="5" borderId="1" xfId="2" applyFont="1" applyFill="1" applyBorder="1"/>
    <xf numFmtId="44" fontId="4" fillId="5" borderId="1" xfId="2" applyFont="1" applyFill="1" applyBorder="1" applyAlignment="1">
      <alignment horizontal="right"/>
    </xf>
    <xf numFmtId="8" fontId="0" fillId="0" borderId="0" xfId="2" applyNumberFormat="1" applyFont="1"/>
    <xf numFmtId="0" fontId="0" fillId="3" borderId="1" xfId="0" applyFill="1" applyBorder="1"/>
    <xf numFmtId="44" fontId="0" fillId="3" borderId="1" xfId="2" applyFont="1" applyFill="1" applyBorder="1"/>
    <xf numFmtId="0" fontId="4" fillId="3" borderId="6" xfId="0" applyFont="1" applyFill="1" applyBorder="1"/>
    <xf numFmtId="0" fontId="0" fillId="3" borderId="0" xfId="0" applyFill="1" applyBorder="1"/>
    <xf numFmtId="0" fontId="4" fillId="0" borderId="6" xfId="0" applyFont="1" applyBorder="1"/>
    <xf numFmtId="44" fontId="4" fillId="0" borderId="6" xfId="2" applyFont="1" applyBorder="1"/>
    <xf numFmtId="0" fontId="0" fillId="0" borderId="6" xfId="0" applyBorder="1"/>
    <xf numFmtId="0" fontId="2" fillId="0" borderId="1" xfId="0" applyFont="1" applyBorder="1"/>
    <xf numFmtId="44" fontId="0" fillId="0" borderId="1" xfId="2" applyFont="1" applyFill="1" applyBorder="1"/>
    <xf numFmtId="8" fontId="0" fillId="0" borderId="1" xfId="2" applyNumberFormat="1" applyFont="1" applyBorder="1"/>
    <xf numFmtId="0" fontId="4" fillId="5" borderId="5" xfId="0" applyFont="1" applyFill="1" applyBorder="1"/>
    <xf numFmtId="0" fontId="4" fillId="0" borderId="7" xfId="0" applyFont="1" applyBorder="1"/>
    <xf numFmtId="0" fontId="0" fillId="0" borderId="5" xfId="0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2" borderId="1" xfId="0" applyFont="1" applyFill="1" applyBorder="1"/>
    <xf numFmtId="0" fontId="11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7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Fill="1" applyBorder="1"/>
    <xf numFmtId="2" fontId="2" fillId="0" borderId="2" xfId="0" applyNumberFormat="1" applyFont="1" applyBorder="1"/>
    <xf numFmtId="0" fontId="0" fillId="0" borderId="1" xfId="0" applyNumberFormat="1" applyBorder="1"/>
    <xf numFmtId="44" fontId="4" fillId="0" borderId="1" xfId="2" applyFont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6"/>
  <sheetViews>
    <sheetView topLeftCell="C1" workbookViewId="0">
      <selection activeCell="Y45" sqref="Y45"/>
    </sheetView>
  </sheetViews>
  <sheetFormatPr defaultColWidth="8.85546875" defaultRowHeight="15" x14ac:dyDescent="0.25"/>
  <cols>
    <col min="1" max="1" width="9.7109375" customWidth="1"/>
    <col min="2" max="2" width="26.42578125" customWidth="1"/>
    <col min="3" max="3" width="9.7109375" customWidth="1"/>
    <col min="4" max="4" width="12.42578125" style="38" customWidth="1"/>
    <col min="5" max="5" width="10.42578125" customWidth="1"/>
    <col min="6" max="6" width="13.28515625" style="38" customWidth="1"/>
    <col min="7" max="7" width="8.28515625" customWidth="1"/>
    <col min="8" max="8" width="12.5703125" style="38" customWidth="1"/>
    <col min="9" max="9" width="8.42578125" customWidth="1"/>
    <col min="10" max="10" width="12.140625" style="38" customWidth="1"/>
    <col min="11" max="11" width="8.42578125" customWidth="1"/>
    <col min="12" max="12" width="11.85546875" style="38" customWidth="1"/>
    <col min="13" max="13" width="7.7109375" customWidth="1"/>
    <col min="14" max="14" width="12.85546875" style="38" customWidth="1"/>
    <col min="15" max="15" width="7.7109375" customWidth="1"/>
    <col min="16" max="16" width="12.28515625" style="38" customWidth="1"/>
    <col min="17" max="17" width="7.7109375" customWidth="1"/>
    <col min="18" max="18" width="13" style="38" customWidth="1"/>
    <col min="19" max="19" width="7.85546875" customWidth="1"/>
    <col min="20" max="20" width="12.85546875" style="38" customWidth="1"/>
    <col min="21" max="21" width="8" customWidth="1"/>
    <col min="22" max="22" width="13.5703125" style="38" customWidth="1"/>
    <col min="23" max="23" width="7.7109375" customWidth="1"/>
    <col min="24" max="24" width="12.85546875" style="38" customWidth="1"/>
    <col min="25" max="25" width="7.85546875" customWidth="1"/>
    <col min="26" max="26" width="12.7109375" style="38" customWidth="1"/>
    <col min="27" max="27" width="12.42578125" bestFit="1" customWidth="1"/>
  </cols>
  <sheetData>
    <row r="1" spans="1:27" ht="20.25" x14ac:dyDescent="0.3">
      <c r="A1" s="1" t="s">
        <v>0</v>
      </c>
      <c r="B1" s="3"/>
      <c r="C1" s="2" t="s">
        <v>1</v>
      </c>
      <c r="D1" s="33"/>
      <c r="E1" s="2" t="s">
        <v>2</v>
      </c>
      <c r="F1" s="33"/>
      <c r="G1" s="2" t="s">
        <v>3</v>
      </c>
      <c r="H1" s="33"/>
      <c r="I1" s="2" t="s">
        <v>117</v>
      </c>
      <c r="J1" s="33"/>
      <c r="K1" s="2" t="s">
        <v>4</v>
      </c>
      <c r="L1" s="33"/>
      <c r="M1" s="2" t="s">
        <v>5</v>
      </c>
      <c r="N1" s="33"/>
      <c r="O1" s="2" t="s">
        <v>163</v>
      </c>
      <c r="P1" s="33"/>
      <c r="Q1" s="2" t="s">
        <v>7</v>
      </c>
      <c r="R1" s="33"/>
      <c r="S1" s="2" t="s">
        <v>164</v>
      </c>
      <c r="T1" s="33"/>
      <c r="U1" s="2" t="s">
        <v>9</v>
      </c>
      <c r="V1" s="33"/>
      <c r="W1" s="2" t="s">
        <v>10</v>
      </c>
      <c r="X1" s="33"/>
      <c r="Y1" s="2" t="s">
        <v>11</v>
      </c>
      <c r="Z1" s="33"/>
    </row>
    <row r="2" spans="1:27" s="32" customFormat="1" ht="14.25" customHeight="1" x14ac:dyDescent="0.2">
      <c r="A2" s="29" t="s">
        <v>114</v>
      </c>
      <c r="B2" s="30"/>
      <c r="C2" s="31"/>
      <c r="D2" s="34" t="s">
        <v>135</v>
      </c>
      <c r="E2" s="31"/>
      <c r="F2" s="34" t="s">
        <v>137</v>
      </c>
      <c r="G2" s="31"/>
      <c r="H2" s="34" t="s">
        <v>138</v>
      </c>
      <c r="I2" s="31"/>
      <c r="J2" s="34" t="s">
        <v>140</v>
      </c>
      <c r="K2" s="31"/>
      <c r="L2" s="34" t="s">
        <v>141</v>
      </c>
      <c r="M2" s="31"/>
      <c r="N2" s="34" t="s">
        <v>142</v>
      </c>
      <c r="O2" s="31"/>
      <c r="P2" s="34" t="s">
        <v>176</v>
      </c>
      <c r="Q2" s="31"/>
      <c r="R2" s="34" t="s">
        <v>178</v>
      </c>
      <c r="S2" s="31"/>
      <c r="T2" s="34" t="s">
        <v>179</v>
      </c>
      <c r="U2" s="31"/>
      <c r="V2" s="34" t="s">
        <v>181</v>
      </c>
      <c r="W2" s="31"/>
      <c r="X2" s="34" t="s">
        <v>185</v>
      </c>
      <c r="Y2" s="31"/>
      <c r="Z2" s="34" t="s">
        <v>190</v>
      </c>
    </row>
    <row r="3" spans="1:27" ht="15" customHeight="1" x14ac:dyDescent="0.3">
      <c r="A3" s="2">
        <v>2020</v>
      </c>
      <c r="B3" s="3"/>
      <c r="C3" s="2" t="s">
        <v>12</v>
      </c>
      <c r="D3" s="33" t="s">
        <v>115</v>
      </c>
      <c r="E3" s="2" t="s">
        <v>12</v>
      </c>
      <c r="F3" s="33" t="s">
        <v>115</v>
      </c>
      <c r="G3" s="2"/>
      <c r="H3" s="33" t="s">
        <v>115</v>
      </c>
      <c r="I3" s="2" t="s">
        <v>12</v>
      </c>
      <c r="J3" s="33"/>
      <c r="K3" s="2" t="s">
        <v>12</v>
      </c>
      <c r="L3" s="33" t="s">
        <v>115</v>
      </c>
      <c r="M3" s="2" t="s">
        <v>12</v>
      </c>
      <c r="N3" s="33" t="s">
        <v>115</v>
      </c>
      <c r="O3" s="2" t="s">
        <v>12</v>
      </c>
      <c r="P3" s="33" t="s">
        <v>123</v>
      </c>
      <c r="Q3" s="2" t="s">
        <v>12</v>
      </c>
      <c r="R3" s="33" t="s">
        <v>115</v>
      </c>
      <c r="S3" s="2" t="s">
        <v>12</v>
      </c>
      <c r="T3" s="33" t="s">
        <v>115</v>
      </c>
      <c r="U3" s="2" t="s">
        <v>12</v>
      </c>
      <c r="V3" s="33" t="s">
        <v>115</v>
      </c>
      <c r="W3" s="2" t="s">
        <v>12</v>
      </c>
      <c r="X3" s="33" t="s">
        <v>134</v>
      </c>
      <c r="Y3" s="2" t="s">
        <v>12</v>
      </c>
      <c r="Z3" s="33" t="s">
        <v>115</v>
      </c>
      <c r="AA3" s="2" t="s">
        <v>13</v>
      </c>
    </row>
    <row r="4" spans="1:27" x14ac:dyDescent="0.25">
      <c r="A4" s="2" t="s">
        <v>14</v>
      </c>
      <c r="B4" s="4" t="s">
        <v>15</v>
      </c>
      <c r="C4" s="5">
        <v>2780</v>
      </c>
      <c r="D4" s="35"/>
      <c r="E4" s="5">
        <v>2292</v>
      </c>
      <c r="F4" s="35"/>
      <c r="G4" s="5">
        <v>2810</v>
      </c>
      <c r="H4" s="35"/>
      <c r="I4" s="5">
        <v>8681</v>
      </c>
      <c r="J4" s="35"/>
      <c r="K4" s="13">
        <v>16935</v>
      </c>
      <c r="L4" s="35"/>
      <c r="M4" s="5">
        <v>26084</v>
      </c>
      <c r="N4" s="35"/>
      <c r="O4" s="5">
        <v>33885</v>
      </c>
      <c r="P4" s="35"/>
      <c r="Q4" s="5">
        <v>34008</v>
      </c>
      <c r="R4" s="35"/>
      <c r="S4" s="5">
        <v>13152</v>
      </c>
      <c r="T4" s="35"/>
      <c r="U4" s="5">
        <v>21384</v>
      </c>
      <c r="V4" s="35"/>
      <c r="W4" s="5">
        <v>9801</v>
      </c>
      <c r="X4" s="35"/>
      <c r="Y4" s="5">
        <v>4841</v>
      </c>
      <c r="Z4" s="35"/>
      <c r="AA4">
        <f t="shared" ref="AA4:AA44" si="0">SUM(C4:Z4)</f>
        <v>176653</v>
      </c>
    </row>
    <row r="5" spans="1:27" x14ac:dyDescent="0.25">
      <c r="A5" s="2"/>
      <c r="B5" s="4"/>
      <c r="C5" s="5"/>
      <c r="D5" s="35">
        <v>1158.0999999999999</v>
      </c>
      <c r="E5" s="5"/>
      <c r="F5" s="35">
        <v>645.92999999999995</v>
      </c>
      <c r="G5" s="5"/>
      <c r="H5" s="35">
        <v>1496.18</v>
      </c>
      <c r="I5" s="5"/>
      <c r="J5" s="35">
        <v>3709.6</v>
      </c>
      <c r="K5" s="13"/>
      <c r="L5" s="35">
        <v>4115.33</v>
      </c>
      <c r="M5" s="5"/>
      <c r="N5" s="35">
        <v>4440.25</v>
      </c>
      <c r="O5" s="5"/>
      <c r="P5" s="35">
        <v>4803.3900000000003</v>
      </c>
      <c r="Q5" s="5"/>
      <c r="R5" s="35">
        <v>4486.17</v>
      </c>
      <c r="S5" s="5"/>
      <c r="T5" s="35">
        <v>3710.16</v>
      </c>
      <c r="U5" s="5"/>
      <c r="V5" s="35">
        <v>3838.12</v>
      </c>
      <c r="W5" s="5"/>
      <c r="X5" s="35">
        <v>2881.29</v>
      </c>
      <c r="Y5" s="5"/>
      <c r="Z5" s="109">
        <v>2586.5700000000002</v>
      </c>
      <c r="AA5" s="38">
        <f t="shared" si="0"/>
        <v>37871.089999999997</v>
      </c>
    </row>
    <row r="6" spans="1:27" x14ac:dyDescent="0.25">
      <c r="A6" s="2" t="s">
        <v>16</v>
      </c>
      <c r="B6" s="4" t="s">
        <v>17</v>
      </c>
      <c r="C6" s="5">
        <v>1120</v>
      </c>
      <c r="D6" s="35"/>
      <c r="E6" s="5">
        <v>960</v>
      </c>
      <c r="F6" s="35"/>
      <c r="G6" s="5">
        <v>960</v>
      </c>
      <c r="H6" s="35"/>
      <c r="I6" s="5">
        <v>960</v>
      </c>
      <c r="J6" s="35"/>
      <c r="K6" s="13">
        <v>1120</v>
      </c>
      <c r="L6" s="35"/>
      <c r="M6" s="5">
        <v>1600</v>
      </c>
      <c r="N6" s="35"/>
      <c r="O6" s="5">
        <v>2080</v>
      </c>
      <c r="P6" s="35"/>
      <c r="Q6" s="5">
        <v>1760</v>
      </c>
      <c r="R6" s="35"/>
      <c r="S6" s="5">
        <v>1440</v>
      </c>
      <c r="T6" s="35"/>
      <c r="U6" s="5">
        <v>1120</v>
      </c>
      <c r="V6" s="35"/>
      <c r="W6" s="5">
        <v>960</v>
      </c>
      <c r="X6" s="35"/>
      <c r="Y6" s="5">
        <v>800</v>
      </c>
      <c r="Z6" s="35"/>
      <c r="AA6">
        <f t="shared" si="0"/>
        <v>14880</v>
      </c>
    </row>
    <row r="7" spans="1:27" x14ac:dyDescent="0.25">
      <c r="A7" s="2"/>
      <c r="B7" s="4"/>
      <c r="C7" s="5"/>
      <c r="D7" s="35">
        <v>94.7</v>
      </c>
      <c r="E7" s="5"/>
      <c r="F7" s="35">
        <v>82.37</v>
      </c>
      <c r="G7" s="5"/>
      <c r="H7" s="35">
        <v>81.58</v>
      </c>
      <c r="I7" s="5"/>
      <c r="J7" s="35">
        <v>81.93</v>
      </c>
      <c r="K7" s="13"/>
      <c r="L7" s="35">
        <v>94.04</v>
      </c>
      <c r="M7" s="5"/>
      <c r="N7" s="35">
        <v>130.49</v>
      </c>
      <c r="O7" s="5"/>
      <c r="P7" s="35">
        <v>167.07</v>
      </c>
      <c r="Q7" s="5"/>
      <c r="R7" s="35">
        <v>142.66999999999999</v>
      </c>
      <c r="S7" s="5"/>
      <c r="T7" s="35">
        <v>119.68</v>
      </c>
      <c r="U7" s="5"/>
      <c r="V7" s="35">
        <v>95.66</v>
      </c>
      <c r="W7" s="5"/>
      <c r="X7" s="35">
        <v>83.37</v>
      </c>
      <c r="Y7" s="5"/>
      <c r="Z7" s="35">
        <v>70.72</v>
      </c>
      <c r="AA7" s="38">
        <f t="shared" si="0"/>
        <v>1244.28</v>
      </c>
    </row>
    <row r="8" spans="1:27" x14ac:dyDescent="0.25">
      <c r="A8" s="2" t="s">
        <v>18</v>
      </c>
      <c r="B8" s="4" t="s">
        <v>19</v>
      </c>
      <c r="C8" s="5">
        <v>3153</v>
      </c>
      <c r="D8" s="35"/>
      <c r="E8" s="5">
        <v>3060</v>
      </c>
      <c r="F8" s="35"/>
      <c r="G8" s="5">
        <v>1857</v>
      </c>
      <c r="H8" s="35"/>
      <c r="I8" s="5">
        <v>6405</v>
      </c>
      <c r="J8" s="35"/>
      <c r="K8" s="5">
        <v>11402</v>
      </c>
      <c r="L8" s="35"/>
      <c r="M8" s="5">
        <v>19094</v>
      </c>
      <c r="N8" s="35"/>
      <c r="O8" s="5">
        <v>23675</v>
      </c>
      <c r="P8" s="35"/>
      <c r="Q8" s="5">
        <v>23166</v>
      </c>
      <c r="R8" s="35"/>
      <c r="S8" s="5">
        <v>9891</v>
      </c>
      <c r="T8" s="35"/>
      <c r="U8" s="5">
        <v>12528</v>
      </c>
      <c r="V8" s="35"/>
      <c r="W8" s="5">
        <v>6572</v>
      </c>
      <c r="X8" s="35"/>
      <c r="Y8" s="5">
        <v>2945</v>
      </c>
      <c r="Z8" s="35"/>
      <c r="AA8">
        <f t="shared" si="0"/>
        <v>123748</v>
      </c>
    </row>
    <row r="9" spans="1:27" x14ac:dyDescent="0.25">
      <c r="A9" s="2"/>
      <c r="B9" s="4"/>
      <c r="C9" s="5"/>
      <c r="D9" s="35">
        <v>791.33</v>
      </c>
      <c r="E9" s="5"/>
      <c r="F9" s="35">
        <v>1982.51</v>
      </c>
      <c r="G9" s="5"/>
      <c r="H9" s="35">
        <v>768.14</v>
      </c>
      <c r="I9" s="5"/>
      <c r="J9" s="35">
        <v>2575.33</v>
      </c>
      <c r="K9" s="5"/>
      <c r="L9" s="35">
        <v>2740.31</v>
      </c>
      <c r="M9" s="5"/>
      <c r="N9" s="35">
        <v>2970.1</v>
      </c>
      <c r="O9" s="5"/>
      <c r="P9" s="35">
        <v>2947.05</v>
      </c>
      <c r="Q9" s="5"/>
      <c r="R9" s="35">
        <v>2825.88</v>
      </c>
      <c r="S9" s="5"/>
      <c r="T9" s="35">
        <v>2644.41</v>
      </c>
      <c r="U9" s="5"/>
      <c r="V9" s="35">
        <v>3185.58</v>
      </c>
      <c r="W9" s="5"/>
      <c r="X9" s="35">
        <v>2292.41</v>
      </c>
      <c r="Y9" s="5"/>
      <c r="Z9" s="35">
        <v>1850.24</v>
      </c>
      <c r="AA9" s="38">
        <f t="shared" si="0"/>
        <v>27573.29</v>
      </c>
    </row>
    <row r="10" spans="1:27" x14ac:dyDescent="0.25">
      <c r="A10" s="2" t="s">
        <v>20</v>
      </c>
      <c r="B10" s="4" t="s">
        <v>21</v>
      </c>
      <c r="C10" s="5">
        <v>5002</v>
      </c>
      <c r="D10" s="35"/>
      <c r="E10" s="5">
        <v>5303</v>
      </c>
      <c r="F10" s="35"/>
      <c r="G10" s="5">
        <v>3680</v>
      </c>
      <c r="H10" s="35"/>
      <c r="I10" s="5">
        <v>2227</v>
      </c>
      <c r="J10" s="35"/>
      <c r="K10" s="5">
        <v>3911</v>
      </c>
      <c r="L10" s="35"/>
      <c r="M10" s="5">
        <v>5294</v>
      </c>
      <c r="N10" s="35"/>
      <c r="O10" s="5">
        <v>7154</v>
      </c>
      <c r="P10" s="35"/>
      <c r="Q10" s="5">
        <v>5472</v>
      </c>
      <c r="R10" s="35"/>
      <c r="S10" s="5">
        <v>4871</v>
      </c>
      <c r="T10" s="35"/>
      <c r="U10" s="5">
        <v>4571</v>
      </c>
      <c r="V10" s="35"/>
      <c r="W10" s="5">
        <v>3382</v>
      </c>
      <c r="X10" s="35"/>
      <c r="Y10" s="5">
        <v>3013</v>
      </c>
      <c r="Z10" s="35"/>
      <c r="AA10">
        <f t="shared" si="0"/>
        <v>53880</v>
      </c>
    </row>
    <row r="11" spans="1:27" x14ac:dyDescent="0.25">
      <c r="A11" s="2"/>
      <c r="B11" s="4"/>
      <c r="C11" s="5"/>
      <c r="D11" s="35">
        <v>452.5</v>
      </c>
      <c r="E11" s="5"/>
      <c r="F11" s="35">
        <v>473.32</v>
      </c>
      <c r="G11" s="5"/>
      <c r="H11" s="35">
        <v>374.77</v>
      </c>
      <c r="I11" s="5"/>
      <c r="J11" s="35">
        <v>255.23</v>
      </c>
      <c r="K11" s="5"/>
      <c r="L11" s="35">
        <v>340.07</v>
      </c>
      <c r="M11" s="5"/>
      <c r="N11" s="35">
        <v>407.63</v>
      </c>
      <c r="O11" s="5"/>
      <c r="P11" s="35">
        <v>483.66</v>
      </c>
      <c r="Q11" s="5"/>
      <c r="R11" s="35">
        <v>406.98</v>
      </c>
      <c r="S11" s="5"/>
      <c r="T11" s="35">
        <v>383.34</v>
      </c>
      <c r="U11" s="5"/>
      <c r="V11" s="35">
        <v>373.89</v>
      </c>
      <c r="W11" s="5"/>
      <c r="X11" s="35">
        <v>393.32</v>
      </c>
      <c r="Y11" s="5"/>
      <c r="Z11" s="35">
        <v>320.14</v>
      </c>
      <c r="AA11" s="38">
        <f t="shared" si="0"/>
        <v>4664.8500000000004</v>
      </c>
    </row>
    <row r="12" spans="1:27" x14ac:dyDescent="0.25">
      <c r="A12" s="2" t="s">
        <v>22</v>
      </c>
      <c r="B12" s="4" t="s">
        <v>23</v>
      </c>
      <c r="C12" s="5">
        <v>467378</v>
      </c>
      <c r="D12" s="35"/>
      <c r="E12" s="5">
        <v>176474</v>
      </c>
      <c r="F12" s="35"/>
      <c r="G12" s="5">
        <v>139667</v>
      </c>
      <c r="H12" s="35"/>
      <c r="I12" s="5">
        <v>80100</v>
      </c>
      <c r="J12" s="35"/>
      <c r="K12" s="5">
        <v>78064</v>
      </c>
      <c r="L12" s="35"/>
      <c r="M12" s="5">
        <v>116209</v>
      </c>
      <c r="N12" s="35"/>
      <c r="O12" s="5">
        <v>191380</v>
      </c>
      <c r="P12" s="35"/>
      <c r="Q12" s="5">
        <v>139072</v>
      </c>
      <c r="R12" s="35"/>
      <c r="S12" s="5">
        <v>124605</v>
      </c>
      <c r="T12" s="35"/>
      <c r="U12" s="5">
        <v>149180</v>
      </c>
      <c r="V12" s="35"/>
      <c r="W12" s="5">
        <v>118003</v>
      </c>
      <c r="X12" s="35"/>
      <c r="Y12" s="5">
        <v>140281</v>
      </c>
      <c r="Z12" s="35"/>
      <c r="AA12">
        <f t="shared" si="0"/>
        <v>1920413</v>
      </c>
    </row>
    <row r="13" spans="1:27" x14ac:dyDescent="0.25">
      <c r="A13" s="2"/>
      <c r="B13" s="4"/>
      <c r="C13" s="5"/>
      <c r="D13" s="35">
        <v>10640.49</v>
      </c>
      <c r="E13" s="5"/>
      <c r="F13" s="35">
        <v>10984.96</v>
      </c>
      <c r="G13" s="5"/>
      <c r="H13" s="35">
        <v>9524.25</v>
      </c>
      <c r="I13" s="5"/>
      <c r="J13" s="35">
        <v>7166.43</v>
      </c>
      <c r="K13" s="5"/>
      <c r="L13" s="35">
        <v>7094.78</v>
      </c>
      <c r="M13" s="5"/>
      <c r="N13" s="35">
        <v>8629.4699999999993</v>
      </c>
      <c r="O13" s="5"/>
      <c r="P13" s="35">
        <v>11613.55</v>
      </c>
      <c r="Q13" s="5"/>
      <c r="R13" s="35">
        <v>9315.44</v>
      </c>
      <c r="S13" s="5"/>
      <c r="T13" s="35">
        <v>8630.74</v>
      </c>
      <c r="U13" s="5"/>
      <c r="V13" s="35">
        <v>9710.3700000000008</v>
      </c>
      <c r="W13" s="5"/>
      <c r="X13" s="35">
        <v>8363.8799999999992</v>
      </c>
      <c r="Y13" s="5"/>
      <c r="Z13" s="35">
        <v>9173.58</v>
      </c>
      <c r="AA13" s="38">
        <f t="shared" si="0"/>
        <v>110847.94</v>
      </c>
    </row>
    <row r="14" spans="1:27" x14ac:dyDescent="0.25">
      <c r="A14" s="2" t="s">
        <v>24</v>
      </c>
      <c r="B14" s="4" t="s">
        <v>25</v>
      </c>
      <c r="C14" s="5">
        <v>1186</v>
      </c>
      <c r="D14" s="35"/>
      <c r="E14" s="12">
        <v>1259</v>
      </c>
      <c r="F14" s="35"/>
      <c r="G14">
        <v>727</v>
      </c>
      <c r="H14" s="35"/>
      <c r="I14" s="5">
        <v>382</v>
      </c>
      <c r="J14" s="35"/>
      <c r="K14" s="5">
        <v>682</v>
      </c>
      <c r="L14" s="35"/>
      <c r="M14" s="5">
        <v>3626</v>
      </c>
      <c r="N14" s="35"/>
      <c r="O14" s="5">
        <v>5496</v>
      </c>
      <c r="P14" s="35"/>
      <c r="Q14" s="5">
        <v>4748</v>
      </c>
      <c r="R14" s="35"/>
      <c r="S14" s="5">
        <v>3630</v>
      </c>
      <c r="T14" s="35"/>
      <c r="U14" s="5">
        <v>674</v>
      </c>
      <c r="V14" s="35"/>
      <c r="W14" s="5">
        <v>360</v>
      </c>
      <c r="X14" s="35"/>
      <c r="Y14" s="5">
        <v>271</v>
      </c>
      <c r="Z14" s="35"/>
      <c r="AA14">
        <f t="shared" si="0"/>
        <v>23041</v>
      </c>
    </row>
    <row r="15" spans="1:27" x14ac:dyDescent="0.25">
      <c r="A15" s="2"/>
      <c r="B15" s="4"/>
      <c r="C15" s="5"/>
      <c r="D15" s="35">
        <v>204.81</v>
      </c>
      <c r="E15" s="12"/>
      <c r="F15" s="35">
        <v>226.2</v>
      </c>
      <c r="H15" s="35">
        <v>182.93</v>
      </c>
      <c r="I15" s="5"/>
      <c r="J15" s="35">
        <v>78.099999999999994</v>
      </c>
      <c r="K15" s="5"/>
      <c r="L15" s="35">
        <v>108.6</v>
      </c>
      <c r="M15" s="5"/>
      <c r="N15" s="35">
        <v>274</v>
      </c>
      <c r="O15" s="5"/>
      <c r="P15" s="35">
        <v>350.34</v>
      </c>
      <c r="Q15" s="5"/>
      <c r="R15" s="35">
        <v>319.69</v>
      </c>
      <c r="S15" s="5"/>
      <c r="T15" s="35">
        <v>276.95</v>
      </c>
      <c r="U15" s="5"/>
      <c r="V15" s="35">
        <v>110.23</v>
      </c>
      <c r="W15" s="5"/>
      <c r="X15" s="35">
        <v>97.29</v>
      </c>
      <c r="Y15" s="5"/>
      <c r="Z15" s="35">
        <v>67.67</v>
      </c>
      <c r="AA15" s="38">
        <f t="shared" si="0"/>
        <v>2296.81</v>
      </c>
    </row>
    <row r="16" spans="1:27" x14ac:dyDescent="0.25">
      <c r="A16" s="2" t="s">
        <v>26</v>
      </c>
      <c r="B16" s="4" t="s">
        <v>27</v>
      </c>
      <c r="C16" s="5">
        <v>2581</v>
      </c>
      <c r="D16" s="35"/>
      <c r="E16" s="5">
        <v>2847</v>
      </c>
      <c r="F16" s="35"/>
      <c r="G16" s="5">
        <v>1671</v>
      </c>
      <c r="H16" s="35"/>
      <c r="I16" s="5">
        <v>1040</v>
      </c>
      <c r="J16" s="35"/>
      <c r="K16" s="5">
        <v>663</v>
      </c>
      <c r="L16" s="35"/>
      <c r="M16" s="5">
        <v>4573</v>
      </c>
      <c r="N16" s="35"/>
      <c r="O16" s="5">
        <v>5149</v>
      </c>
      <c r="P16" s="35"/>
      <c r="Q16" s="5">
        <v>5468</v>
      </c>
      <c r="R16" s="35"/>
      <c r="S16" s="5">
        <v>5926</v>
      </c>
      <c r="T16" s="35"/>
      <c r="U16" s="5">
        <v>1043</v>
      </c>
      <c r="V16" s="35"/>
      <c r="W16" s="5">
        <v>1431</v>
      </c>
      <c r="X16" s="35"/>
      <c r="Y16" s="5">
        <v>2958</v>
      </c>
      <c r="Z16" s="35"/>
      <c r="AA16">
        <f t="shared" si="0"/>
        <v>35350</v>
      </c>
    </row>
    <row r="17" spans="1:27" x14ac:dyDescent="0.25">
      <c r="A17" s="2"/>
      <c r="B17" s="4"/>
      <c r="C17" s="5"/>
      <c r="D17" s="35">
        <v>308.13</v>
      </c>
      <c r="E17" s="5"/>
      <c r="F17" s="35">
        <v>252.66</v>
      </c>
      <c r="G17" s="5"/>
      <c r="H17" s="35">
        <v>239.2</v>
      </c>
      <c r="I17" s="5"/>
      <c r="J17" s="35">
        <v>141.38</v>
      </c>
      <c r="K17" s="5"/>
      <c r="L17" s="35">
        <v>80.650000000000006</v>
      </c>
      <c r="M17" s="5"/>
      <c r="N17" s="35">
        <v>348.99</v>
      </c>
      <c r="O17" s="5"/>
      <c r="P17" s="35">
        <v>336.2</v>
      </c>
      <c r="Q17" s="5"/>
      <c r="R17" s="35">
        <v>385.43</v>
      </c>
      <c r="S17" s="5"/>
      <c r="T17" s="35">
        <v>417.44</v>
      </c>
      <c r="U17" s="5"/>
      <c r="V17" s="35">
        <v>163.58000000000001</v>
      </c>
      <c r="W17" s="5"/>
      <c r="X17" s="35">
        <v>265.33</v>
      </c>
      <c r="Y17" s="5"/>
      <c r="Z17" s="35">
        <v>253.36</v>
      </c>
      <c r="AA17" s="38">
        <f t="shared" si="0"/>
        <v>3192.35</v>
      </c>
    </row>
    <row r="18" spans="1:27" x14ac:dyDescent="0.25">
      <c r="A18" s="2" t="s">
        <v>28</v>
      </c>
      <c r="B18" s="4" t="s">
        <v>29</v>
      </c>
      <c r="C18" s="5">
        <v>854603</v>
      </c>
      <c r="D18" s="35"/>
      <c r="E18" s="5">
        <v>821319</v>
      </c>
      <c r="F18" s="35"/>
      <c r="G18" s="5">
        <v>710658</v>
      </c>
      <c r="H18" s="35"/>
      <c r="I18" s="5">
        <v>603497</v>
      </c>
      <c r="J18" s="35"/>
      <c r="K18" s="5">
        <v>522493</v>
      </c>
      <c r="L18" s="35"/>
      <c r="M18" s="5">
        <v>587876</v>
      </c>
      <c r="N18" s="35"/>
      <c r="O18" s="5">
        <v>717409</v>
      </c>
      <c r="P18" s="35"/>
      <c r="Q18" s="5">
        <v>750826</v>
      </c>
      <c r="R18" s="35"/>
      <c r="S18" s="5">
        <v>729900</v>
      </c>
      <c r="T18" s="35"/>
      <c r="U18" s="5">
        <v>717617</v>
      </c>
      <c r="V18" s="35"/>
      <c r="W18" s="5">
        <v>677770</v>
      </c>
      <c r="X18" s="35"/>
      <c r="Y18" s="5">
        <v>696295</v>
      </c>
      <c r="Z18" s="35"/>
      <c r="AA18">
        <f t="shared" si="0"/>
        <v>8390263</v>
      </c>
    </row>
    <row r="19" spans="1:27" x14ac:dyDescent="0.25">
      <c r="A19" s="2"/>
      <c r="B19" s="4"/>
      <c r="C19" s="5"/>
      <c r="D19" s="35">
        <v>49760.13</v>
      </c>
      <c r="E19" s="5"/>
      <c r="F19" s="35">
        <v>48666.01</v>
      </c>
      <c r="G19" s="5"/>
      <c r="H19" s="35">
        <v>44421.98</v>
      </c>
      <c r="I19" s="5"/>
      <c r="J19" s="35">
        <v>39270.019999999997</v>
      </c>
      <c r="K19" s="5"/>
      <c r="L19" s="35">
        <v>36114.33</v>
      </c>
      <c r="M19" s="5"/>
      <c r="N19" s="35">
        <v>38635.370000000003</v>
      </c>
      <c r="O19" s="5"/>
      <c r="P19" s="35">
        <v>47988.56</v>
      </c>
      <c r="Q19" s="5"/>
      <c r="R19" s="35">
        <v>45253.77</v>
      </c>
      <c r="S19" s="5"/>
      <c r="T19" s="35">
        <v>44351.88</v>
      </c>
      <c r="U19" s="5"/>
      <c r="V19" s="35">
        <v>43827.41</v>
      </c>
      <c r="W19" s="5"/>
      <c r="X19" s="35">
        <v>42947.78</v>
      </c>
      <c r="Y19" s="5"/>
      <c r="Z19" s="35">
        <v>43212.91</v>
      </c>
      <c r="AA19" s="38">
        <f t="shared" si="0"/>
        <v>524450.15</v>
      </c>
    </row>
    <row r="20" spans="1:27" x14ac:dyDescent="0.25">
      <c r="A20" s="2" t="s">
        <v>30</v>
      </c>
      <c r="B20" s="4" t="s">
        <v>31</v>
      </c>
      <c r="C20" s="5">
        <v>111029</v>
      </c>
      <c r="D20" s="35"/>
      <c r="E20" s="5">
        <v>110733</v>
      </c>
      <c r="F20" s="35"/>
      <c r="G20" s="5">
        <v>73804</v>
      </c>
      <c r="H20" s="35"/>
      <c r="I20" s="5">
        <v>57247</v>
      </c>
      <c r="J20" s="35"/>
      <c r="K20" s="5">
        <v>61641</v>
      </c>
      <c r="L20" s="35"/>
      <c r="M20" s="5">
        <v>126309</v>
      </c>
      <c r="N20" s="35"/>
      <c r="O20" s="5">
        <v>176617</v>
      </c>
      <c r="P20" s="35"/>
      <c r="Q20" s="5">
        <v>140554</v>
      </c>
      <c r="R20" s="35"/>
      <c r="S20" s="5">
        <v>127310</v>
      </c>
      <c r="T20" s="35"/>
      <c r="U20" s="5">
        <v>115012</v>
      </c>
      <c r="V20" s="35"/>
      <c r="W20" s="5">
        <v>95440</v>
      </c>
      <c r="X20" s="35"/>
      <c r="Y20" s="5">
        <v>104224</v>
      </c>
      <c r="Z20" s="35"/>
      <c r="AA20">
        <f t="shared" si="0"/>
        <v>1299920</v>
      </c>
    </row>
    <row r="21" spans="1:27" x14ac:dyDescent="0.25">
      <c r="A21" s="2"/>
      <c r="B21" s="4"/>
      <c r="C21" s="5"/>
      <c r="D21" s="35">
        <v>7808.34</v>
      </c>
      <c r="E21" s="5"/>
      <c r="F21" s="35">
        <v>7930.9</v>
      </c>
      <c r="G21" s="5"/>
      <c r="H21" s="35">
        <v>6542.29</v>
      </c>
      <c r="I21" s="5"/>
      <c r="J21" s="35">
        <v>5677.56</v>
      </c>
      <c r="K21" s="5"/>
      <c r="L21" s="35">
        <v>5859.7</v>
      </c>
      <c r="M21" s="5"/>
      <c r="N21" s="35">
        <v>8693.66</v>
      </c>
      <c r="O21" s="5"/>
      <c r="P21" s="35">
        <v>11067.15</v>
      </c>
      <c r="Q21" s="5"/>
      <c r="R21" s="35">
        <v>9168.5400000000009</v>
      </c>
      <c r="S21" s="5"/>
      <c r="T21" s="35">
        <v>8667.02</v>
      </c>
      <c r="U21" s="5"/>
      <c r="V21" s="35">
        <v>8207.8700000000008</v>
      </c>
      <c r="W21" s="5"/>
      <c r="X21" s="35">
        <v>7432.77</v>
      </c>
      <c r="Y21" s="5"/>
      <c r="Z21" s="35">
        <v>7727.25</v>
      </c>
      <c r="AA21" s="38">
        <f t="shared" si="0"/>
        <v>94783.05</v>
      </c>
    </row>
    <row r="22" spans="1:27" x14ac:dyDescent="0.25">
      <c r="A22" s="2" t="s">
        <v>32</v>
      </c>
      <c r="B22" s="4" t="s">
        <v>33</v>
      </c>
      <c r="C22" s="5">
        <v>91638</v>
      </c>
      <c r="D22" s="35"/>
      <c r="E22" s="5">
        <v>85858</v>
      </c>
      <c r="F22" s="35"/>
      <c r="G22" s="5">
        <v>51456</v>
      </c>
      <c r="H22" s="35"/>
      <c r="I22" s="5">
        <v>59110</v>
      </c>
      <c r="J22" s="35"/>
      <c r="K22" s="5">
        <v>55696</v>
      </c>
      <c r="L22" s="35"/>
      <c r="M22" s="5">
        <v>67382</v>
      </c>
      <c r="N22" s="35"/>
      <c r="O22" s="5">
        <v>85376</v>
      </c>
      <c r="P22" s="35"/>
      <c r="Q22" s="5">
        <v>81190</v>
      </c>
      <c r="R22" s="35"/>
      <c r="S22" s="5">
        <v>84010</v>
      </c>
      <c r="T22" s="35"/>
      <c r="U22" s="5">
        <v>83002</v>
      </c>
      <c r="V22" s="35"/>
      <c r="W22" s="5">
        <v>94460</v>
      </c>
      <c r="X22" s="35"/>
      <c r="Y22" s="5">
        <v>111654</v>
      </c>
      <c r="Z22" s="35"/>
      <c r="AA22">
        <f t="shared" si="0"/>
        <v>950832</v>
      </c>
    </row>
    <row r="23" spans="1:27" x14ac:dyDescent="0.25">
      <c r="A23" s="2"/>
      <c r="B23" s="4"/>
      <c r="C23" s="5"/>
      <c r="D23" s="35">
        <v>5975.6</v>
      </c>
      <c r="E23" s="5"/>
      <c r="F23" s="35">
        <v>5917.95</v>
      </c>
      <c r="G23" s="5"/>
      <c r="H23" s="35">
        <v>4449.68</v>
      </c>
      <c r="I23" s="5"/>
      <c r="J23" s="35">
        <v>3997.21</v>
      </c>
      <c r="K23" s="5"/>
      <c r="L23" s="35">
        <v>3859.03</v>
      </c>
      <c r="M23" s="5"/>
      <c r="N23" s="35">
        <v>4632.95</v>
      </c>
      <c r="O23" s="5"/>
      <c r="P23" s="35">
        <v>5349.62</v>
      </c>
      <c r="Q23" s="5"/>
      <c r="R23" s="35">
        <v>5250.15</v>
      </c>
      <c r="S23" s="5"/>
      <c r="T23" s="35">
        <v>5519.28</v>
      </c>
      <c r="U23" s="5"/>
      <c r="V23" s="35">
        <v>5469.51</v>
      </c>
      <c r="W23" s="5"/>
      <c r="X23" s="35">
        <v>6425.82</v>
      </c>
      <c r="Y23" s="5"/>
      <c r="Z23" s="35">
        <v>7003.69</v>
      </c>
      <c r="AA23" s="38">
        <f t="shared" si="0"/>
        <v>63850.490000000005</v>
      </c>
    </row>
    <row r="24" spans="1:27" x14ac:dyDescent="0.25">
      <c r="A24" s="2" t="s">
        <v>34</v>
      </c>
      <c r="B24" s="4" t="s">
        <v>35</v>
      </c>
      <c r="C24" s="5">
        <v>421451</v>
      </c>
      <c r="D24" s="35"/>
      <c r="E24" s="5">
        <v>380414</v>
      </c>
      <c r="F24" s="35"/>
      <c r="G24" s="5">
        <v>336913</v>
      </c>
      <c r="H24" s="35"/>
      <c r="I24" s="5">
        <v>252003</v>
      </c>
      <c r="J24" s="35"/>
      <c r="K24" s="5">
        <v>299824</v>
      </c>
      <c r="L24" s="35"/>
      <c r="M24" s="5">
        <v>380366</v>
      </c>
      <c r="N24" s="35"/>
      <c r="O24" s="5">
        <v>737939</v>
      </c>
      <c r="P24" s="35"/>
      <c r="Q24" s="5">
        <v>380359</v>
      </c>
      <c r="R24" s="35"/>
      <c r="S24" s="5">
        <v>398631</v>
      </c>
      <c r="T24" s="35"/>
      <c r="U24" s="5">
        <v>417317</v>
      </c>
      <c r="V24" s="35"/>
      <c r="W24" s="5">
        <v>375337</v>
      </c>
      <c r="X24" s="35"/>
      <c r="Y24" s="5">
        <v>356103</v>
      </c>
      <c r="Z24" s="35"/>
      <c r="AA24">
        <f t="shared" si="0"/>
        <v>4736657</v>
      </c>
    </row>
    <row r="25" spans="1:27" x14ac:dyDescent="0.25">
      <c r="A25" s="2"/>
      <c r="B25" s="4"/>
      <c r="C25" s="5"/>
      <c r="D25" s="35">
        <v>25908.97</v>
      </c>
      <c r="E25" s="5"/>
      <c r="F25" s="35">
        <v>24130.21</v>
      </c>
      <c r="G25" s="5"/>
      <c r="H25" s="35">
        <v>22353.39</v>
      </c>
      <c r="I25" s="5"/>
      <c r="J25" s="35">
        <v>18836.88</v>
      </c>
      <c r="K25" s="5"/>
      <c r="L25" s="35">
        <v>20920.03</v>
      </c>
      <c r="M25" s="5"/>
      <c r="N25" s="35">
        <v>24443.8</v>
      </c>
      <c r="O25" s="5"/>
      <c r="P25" s="35">
        <v>26562.14</v>
      </c>
      <c r="Q25" s="5"/>
      <c r="R25" s="35">
        <v>24278.47</v>
      </c>
      <c r="S25" s="5"/>
      <c r="T25" s="35">
        <v>25019.47</v>
      </c>
      <c r="U25" s="5"/>
      <c r="V25" s="35">
        <v>26043.78</v>
      </c>
      <c r="W25" s="5"/>
      <c r="X25" s="35">
        <v>24279.47</v>
      </c>
      <c r="Y25" s="5"/>
      <c r="Z25" s="35">
        <v>23125.1</v>
      </c>
      <c r="AA25" s="38">
        <f t="shared" si="0"/>
        <v>285901.70999999996</v>
      </c>
    </row>
    <row r="26" spans="1:27" x14ac:dyDescent="0.25">
      <c r="A26" s="2" t="s">
        <v>36</v>
      </c>
      <c r="B26" s="4" t="s">
        <v>37</v>
      </c>
      <c r="C26" s="13">
        <v>88176</v>
      </c>
      <c r="D26" s="35"/>
      <c r="E26" s="5">
        <v>85798</v>
      </c>
      <c r="F26" s="35"/>
      <c r="G26" s="5">
        <v>68618</v>
      </c>
      <c r="H26" s="35"/>
      <c r="I26" s="5">
        <v>90196</v>
      </c>
      <c r="J26" s="35"/>
      <c r="K26" s="5">
        <v>118996</v>
      </c>
      <c r="L26" s="35"/>
      <c r="M26" s="5">
        <v>88984</v>
      </c>
      <c r="N26" s="35"/>
      <c r="O26" s="5">
        <v>113380</v>
      </c>
      <c r="P26" s="35"/>
      <c r="Q26" s="5">
        <v>102046</v>
      </c>
      <c r="R26" s="35"/>
      <c r="S26" s="5">
        <v>103424</v>
      </c>
      <c r="T26" s="35"/>
      <c r="U26" s="5">
        <v>74578</v>
      </c>
      <c r="V26" s="35"/>
      <c r="W26" s="5">
        <v>69744</v>
      </c>
      <c r="X26" s="35"/>
      <c r="Y26" s="5">
        <v>86152</v>
      </c>
      <c r="Z26" s="35"/>
      <c r="AA26">
        <f t="shared" si="0"/>
        <v>1090092</v>
      </c>
    </row>
    <row r="27" spans="1:27" x14ac:dyDescent="0.25">
      <c r="A27" s="2"/>
      <c r="B27" s="4"/>
      <c r="C27" s="13"/>
      <c r="D27" s="35">
        <v>5394.29</v>
      </c>
      <c r="E27" s="5"/>
      <c r="F27" s="35">
        <v>5375.79</v>
      </c>
      <c r="G27" s="5"/>
      <c r="H27" s="35">
        <v>4799.9399999999996</v>
      </c>
      <c r="I27" s="5"/>
      <c r="J27" s="35">
        <v>5525.43</v>
      </c>
      <c r="K27" s="5"/>
      <c r="L27" s="35">
        <v>6733.4</v>
      </c>
      <c r="M27" s="5"/>
      <c r="N27" s="35">
        <v>5431.65</v>
      </c>
      <c r="O27" s="5"/>
      <c r="P27" s="35">
        <v>6341.5</v>
      </c>
      <c r="Q27" s="5"/>
      <c r="R27" s="35">
        <v>6430.79</v>
      </c>
      <c r="S27" s="5"/>
      <c r="T27" s="35">
        <v>6368.74</v>
      </c>
      <c r="U27" s="5"/>
      <c r="V27" s="35">
        <v>4893.33</v>
      </c>
      <c r="W27" s="5"/>
      <c r="X27" s="35">
        <v>4574.82</v>
      </c>
      <c r="Y27" s="5"/>
      <c r="Z27" s="35">
        <v>5230.63</v>
      </c>
      <c r="AA27" s="38">
        <f t="shared" si="0"/>
        <v>67100.31</v>
      </c>
    </row>
    <row r="28" spans="1:27" x14ac:dyDescent="0.25">
      <c r="A28" s="2" t="s">
        <v>38</v>
      </c>
      <c r="B28" s="4" t="s">
        <v>39</v>
      </c>
      <c r="C28" s="6">
        <v>160</v>
      </c>
      <c r="D28" s="36"/>
      <c r="E28" s="6">
        <v>160</v>
      </c>
      <c r="F28" s="36"/>
      <c r="G28" s="6">
        <v>160</v>
      </c>
      <c r="H28" s="36"/>
      <c r="I28" s="6">
        <v>160</v>
      </c>
      <c r="J28" s="36"/>
      <c r="K28" s="6">
        <v>160</v>
      </c>
      <c r="L28" s="36"/>
      <c r="M28" s="6">
        <v>160</v>
      </c>
      <c r="N28" s="36"/>
      <c r="O28" s="6">
        <v>160</v>
      </c>
      <c r="P28" s="36"/>
      <c r="Q28" s="6">
        <v>160</v>
      </c>
      <c r="R28" s="36"/>
      <c r="S28" s="6">
        <v>160</v>
      </c>
      <c r="T28" s="36"/>
      <c r="U28" s="6">
        <v>160</v>
      </c>
      <c r="V28" s="36"/>
      <c r="W28" s="6">
        <v>160</v>
      </c>
      <c r="X28" s="36"/>
      <c r="Y28" s="6">
        <v>160</v>
      </c>
      <c r="Z28" s="36"/>
      <c r="AA28">
        <f t="shared" si="0"/>
        <v>1920</v>
      </c>
    </row>
    <row r="29" spans="1:27" x14ac:dyDescent="0.25">
      <c r="A29" s="2"/>
      <c r="B29" s="4"/>
      <c r="C29" s="6"/>
      <c r="D29" s="36">
        <v>21.23</v>
      </c>
      <c r="E29" s="6"/>
      <c r="F29" s="36">
        <v>21.22</v>
      </c>
      <c r="G29" s="6"/>
      <c r="H29" s="36">
        <v>21.09</v>
      </c>
      <c r="I29" s="6"/>
      <c r="J29" s="36">
        <v>21.15</v>
      </c>
      <c r="K29" s="6"/>
      <c r="L29" s="36">
        <v>21.14</v>
      </c>
      <c r="M29" s="6"/>
      <c r="N29" s="36">
        <v>21.14</v>
      </c>
      <c r="O29" s="6"/>
      <c r="P29" s="36">
        <v>21.15</v>
      </c>
      <c r="Q29" s="6"/>
      <c r="R29" s="36">
        <v>21.14</v>
      </c>
      <c r="S29" s="6"/>
      <c r="T29" s="36">
        <v>21.28</v>
      </c>
      <c r="U29" s="6"/>
      <c r="V29" s="36">
        <v>21.36</v>
      </c>
      <c r="W29" s="6"/>
      <c r="X29" s="36">
        <v>21.39</v>
      </c>
      <c r="Y29" s="6"/>
      <c r="Z29" s="36">
        <v>21.38</v>
      </c>
      <c r="AA29" s="38">
        <f t="shared" si="0"/>
        <v>254.66999999999996</v>
      </c>
    </row>
    <row r="30" spans="1:27" x14ac:dyDescent="0.25">
      <c r="A30" s="2" t="s">
        <v>40</v>
      </c>
      <c r="B30" s="4" t="s">
        <v>41</v>
      </c>
      <c r="C30" s="5">
        <v>17556</v>
      </c>
      <c r="D30" s="35"/>
      <c r="E30" s="5">
        <v>16478</v>
      </c>
      <c r="F30" s="35"/>
      <c r="G30" s="5">
        <v>12643</v>
      </c>
      <c r="H30" s="35"/>
      <c r="I30" s="5">
        <v>9510</v>
      </c>
      <c r="J30" s="35"/>
      <c r="K30" s="5">
        <v>8786</v>
      </c>
      <c r="L30" s="35"/>
      <c r="M30" s="5">
        <v>12632</v>
      </c>
      <c r="N30" s="35"/>
      <c r="O30" s="5">
        <v>15634</v>
      </c>
      <c r="P30" s="35"/>
      <c r="Q30" s="5">
        <v>13110</v>
      </c>
      <c r="R30" s="35"/>
      <c r="S30" s="5">
        <v>12149</v>
      </c>
      <c r="T30" s="35"/>
      <c r="U30" s="5">
        <v>11435</v>
      </c>
      <c r="V30" s="35"/>
      <c r="W30" s="5">
        <v>14074</v>
      </c>
      <c r="X30" s="35"/>
      <c r="Y30" s="5">
        <v>16472</v>
      </c>
      <c r="Z30" s="35"/>
      <c r="AA30">
        <f t="shared" si="0"/>
        <v>160479</v>
      </c>
    </row>
    <row r="31" spans="1:27" x14ac:dyDescent="0.25">
      <c r="A31" s="2"/>
      <c r="B31" s="4"/>
      <c r="C31" s="5"/>
      <c r="D31" s="35">
        <v>1090.1600000000001</v>
      </c>
      <c r="E31" s="5"/>
      <c r="F31" s="35">
        <v>1063.45</v>
      </c>
      <c r="G31" s="5"/>
      <c r="H31" s="35">
        <v>945.33</v>
      </c>
      <c r="I31" s="5"/>
      <c r="J31" s="35">
        <v>724.65</v>
      </c>
      <c r="K31" s="5"/>
      <c r="L31" s="35">
        <v>680.65</v>
      </c>
      <c r="M31" s="5"/>
      <c r="N31" s="35">
        <v>859.07</v>
      </c>
      <c r="O31" s="5"/>
      <c r="P31" s="35">
        <v>989.85</v>
      </c>
      <c r="Q31" s="5"/>
      <c r="R31" s="35">
        <v>870.78</v>
      </c>
      <c r="S31" s="5"/>
      <c r="T31" s="35">
        <v>838.43</v>
      </c>
      <c r="U31" s="5"/>
      <c r="V31" s="35">
        <v>846.5</v>
      </c>
      <c r="W31" s="5"/>
      <c r="X31" s="35">
        <v>949.36</v>
      </c>
      <c r="Y31" s="5"/>
      <c r="Z31" s="35">
        <v>1031.3499999999999</v>
      </c>
      <c r="AA31" s="38">
        <f t="shared" si="0"/>
        <v>10889.58</v>
      </c>
    </row>
    <row r="32" spans="1:27" x14ac:dyDescent="0.25">
      <c r="A32" s="2" t="s">
        <v>42</v>
      </c>
      <c r="B32" s="4" t="s">
        <v>43</v>
      </c>
      <c r="C32" s="5">
        <v>63</v>
      </c>
      <c r="D32" s="35"/>
      <c r="E32" s="5">
        <v>60</v>
      </c>
      <c r="F32" s="35"/>
      <c r="G32" s="5">
        <v>50</v>
      </c>
      <c r="H32" s="35"/>
      <c r="I32" s="5">
        <v>67</v>
      </c>
      <c r="J32" s="35"/>
      <c r="K32" s="5">
        <v>66</v>
      </c>
      <c r="L32" s="35"/>
      <c r="M32" s="5">
        <v>67</v>
      </c>
      <c r="N32" s="35"/>
      <c r="O32" s="5">
        <v>75</v>
      </c>
      <c r="P32" s="35"/>
      <c r="Q32" s="5">
        <v>66</v>
      </c>
      <c r="R32" s="35"/>
      <c r="S32" s="5">
        <v>55</v>
      </c>
      <c r="T32" s="35"/>
      <c r="U32" s="5">
        <v>76</v>
      </c>
      <c r="V32" s="35"/>
      <c r="W32" s="5">
        <v>67</v>
      </c>
      <c r="X32" s="35"/>
      <c r="Y32" s="5">
        <v>66</v>
      </c>
      <c r="Z32" s="35"/>
      <c r="AA32">
        <f t="shared" si="0"/>
        <v>778</v>
      </c>
    </row>
    <row r="33" spans="1:28" x14ac:dyDescent="0.25">
      <c r="A33" s="2"/>
      <c r="B33" s="4"/>
      <c r="C33" s="5"/>
      <c r="D33" s="35">
        <v>13.81</v>
      </c>
      <c r="E33" s="5"/>
      <c r="F33" s="35">
        <v>13.57</v>
      </c>
      <c r="G33" s="5"/>
      <c r="H33" s="35">
        <v>12.77</v>
      </c>
      <c r="I33" s="5"/>
      <c r="J33" s="35">
        <v>14.07</v>
      </c>
      <c r="K33" s="5"/>
      <c r="L33" s="35">
        <v>13.98</v>
      </c>
      <c r="M33" s="5"/>
      <c r="N33" s="35">
        <v>14.07</v>
      </c>
      <c r="O33" s="5"/>
      <c r="P33" s="35">
        <v>14.67</v>
      </c>
      <c r="Q33" s="5"/>
      <c r="R33" s="35">
        <v>13.99</v>
      </c>
      <c r="S33" s="5"/>
      <c r="T33" s="35">
        <v>13.23</v>
      </c>
      <c r="U33" s="5"/>
      <c r="V33" s="35">
        <v>14.87</v>
      </c>
      <c r="W33" s="5"/>
      <c r="X33" s="35">
        <v>14.18</v>
      </c>
      <c r="Y33" s="5"/>
      <c r="Z33" s="35">
        <v>14.13</v>
      </c>
      <c r="AA33" s="38">
        <f t="shared" si="0"/>
        <v>167.34</v>
      </c>
    </row>
    <row r="34" spans="1:28" x14ac:dyDescent="0.25">
      <c r="A34" s="2" t="s">
        <v>44</v>
      </c>
      <c r="B34" s="4" t="s">
        <v>45</v>
      </c>
      <c r="C34" s="5">
        <v>8</v>
      </c>
      <c r="D34" s="35"/>
      <c r="E34" s="5">
        <v>10</v>
      </c>
      <c r="F34" s="35"/>
      <c r="G34" s="5">
        <v>7</v>
      </c>
      <c r="H34" s="35"/>
      <c r="I34" s="5">
        <v>0</v>
      </c>
      <c r="J34" s="35"/>
      <c r="K34" s="5">
        <v>4</v>
      </c>
      <c r="L34" s="35"/>
      <c r="M34" s="5">
        <v>3</v>
      </c>
      <c r="N34" s="35"/>
      <c r="O34" s="5">
        <v>1</v>
      </c>
      <c r="P34" s="35"/>
      <c r="Q34" s="5">
        <v>1866</v>
      </c>
      <c r="R34" s="35"/>
      <c r="S34" s="5">
        <v>856</v>
      </c>
      <c r="T34" s="35"/>
      <c r="U34" s="5">
        <v>0</v>
      </c>
      <c r="V34" s="35"/>
      <c r="W34" s="5">
        <v>0</v>
      </c>
      <c r="X34" s="35"/>
      <c r="Y34" s="5">
        <v>0</v>
      </c>
      <c r="Z34" s="35"/>
      <c r="AA34">
        <f t="shared" si="0"/>
        <v>2755</v>
      </c>
    </row>
    <row r="35" spans="1:28" x14ac:dyDescent="0.25">
      <c r="A35" s="2"/>
      <c r="B35" s="4"/>
      <c r="C35" s="5"/>
      <c r="D35" s="35">
        <v>9.59</v>
      </c>
      <c r="E35" s="5"/>
      <c r="F35" s="35">
        <v>9.74</v>
      </c>
      <c r="G35" s="5"/>
      <c r="H35" s="35">
        <v>9.5</v>
      </c>
      <c r="I35" s="5"/>
      <c r="J35" s="35">
        <v>8.98</v>
      </c>
      <c r="K35" s="5"/>
      <c r="L35" s="35">
        <v>9.2799999999999994</v>
      </c>
      <c r="M35" s="5"/>
      <c r="N35" s="35">
        <v>9.1999999999999993</v>
      </c>
      <c r="O35" s="5"/>
      <c r="P35" s="35">
        <v>9.06</v>
      </c>
      <c r="Q35" s="5"/>
      <c r="R35" s="35">
        <v>150.72</v>
      </c>
      <c r="S35" s="5"/>
      <c r="T35" s="35">
        <v>74.790000000000006</v>
      </c>
      <c r="U35" s="5"/>
      <c r="V35" s="35">
        <v>8.98</v>
      </c>
      <c r="W35" s="5"/>
      <c r="X35" s="35">
        <v>8.98</v>
      </c>
      <c r="Y35" s="5"/>
      <c r="Z35" s="35">
        <v>9.0399999999999991</v>
      </c>
      <c r="AA35" s="38">
        <f t="shared" si="0"/>
        <v>317.86000000000007</v>
      </c>
    </row>
    <row r="36" spans="1:28" x14ac:dyDescent="0.25">
      <c r="A36" s="2" t="s">
        <v>46</v>
      </c>
      <c r="B36" s="4" t="s">
        <v>47</v>
      </c>
      <c r="C36" s="5">
        <v>11486</v>
      </c>
      <c r="D36" s="35"/>
      <c r="E36" s="5">
        <v>10523</v>
      </c>
      <c r="F36" s="35"/>
      <c r="G36" s="5">
        <v>11318</v>
      </c>
      <c r="H36" s="35"/>
      <c r="I36" s="5">
        <v>4608</v>
      </c>
      <c r="J36" s="35"/>
      <c r="K36" s="5">
        <v>2801</v>
      </c>
      <c r="L36" s="35"/>
      <c r="M36" s="5">
        <v>10741</v>
      </c>
      <c r="N36" s="35"/>
      <c r="O36" s="5">
        <v>7475</v>
      </c>
      <c r="P36" s="35"/>
      <c r="Q36" s="5">
        <v>141</v>
      </c>
      <c r="R36" s="35"/>
      <c r="S36" s="5">
        <v>0</v>
      </c>
      <c r="T36" s="35"/>
      <c r="U36" s="5">
        <v>0</v>
      </c>
      <c r="V36" s="35"/>
      <c r="W36" s="5">
        <v>0</v>
      </c>
      <c r="X36" s="35"/>
      <c r="Y36" s="5">
        <v>9139</v>
      </c>
      <c r="Z36" s="35"/>
      <c r="AA36">
        <f t="shared" si="0"/>
        <v>68232</v>
      </c>
    </row>
    <row r="37" spans="1:28" x14ac:dyDescent="0.25">
      <c r="A37" s="2"/>
      <c r="B37" s="4"/>
      <c r="C37" s="5"/>
      <c r="D37" s="35">
        <v>748.16</v>
      </c>
      <c r="E37" s="5"/>
      <c r="F37" s="35">
        <v>708.06</v>
      </c>
      <c r="G37" s="5"/>
      <c r="H37" s="35">
        <v>882.82</v>
      </c>
      <c r="I37" s="5"/>
      <c r="J37" s="35">
        <v>469.86</v>
      </c>
      <c r="K37" s="5"/>
      <c r="L37" s="35">
        <v>399.7</v>
      </c>
      <c r="M37" s="5"/>
      <c r="N37" s="35">
        <v>718.82</v>
      </c>
      <c r="O37" s="5"/>
      <c r="P37" s="35">
        <v>582.61</v>
      </c>
      <c r="Q37" s="5"/>
      <c r="R37" s="35">
        <v>316</v>
      </c>
      <c r="S37" s="5"/>
      <c r="T37" s="35">
        <v>225.35</v>
      </c>
      <c r="U37" s="5"/>
      <c r="V37" s="35">
        <v>225.35</v>
      </c>
      <c r="W37" s="5"/>
      <c r="X37" s="35">
        <v>223.39</v>
      </c>
      <c r="Y37" s="5"/>
      <c r="Z37" s="35">
        <v>852.83</v>
      </c>
      <c r="AA37" s="38">
        <f t="shared" si="0"/>
        <v>6352.9500000000007</v>
      </c>
    </row>
    <row r="38" spans="1:28" x14ac:dyDescent="0.25">
      <c r="A38" s="2" t="s">
        <v>48</v>
      </c>
      <c r="B38" s="4" t="s">
        <v>49</v>
      </c>
      <c r="C38" s="5">
        <v>4502</v>
      </c>
      <c r="D38" s="35"/>
      <c r="E38" s="5">
        <v>4080</v>
      </c>
      <c r="F38" s="35"/>
      <c r="G38" s="5">
        <v>4051</v>
      </c>
      <c r="H38" s="35"/>
      <c r="I38" s="5">
        <v>4480</v>
      </c>
      <c r="J38" s="35"/>
      <c r="K38" s="5">
        <v>4146</v>
      </c>
      <c r="L38" s="35"/>
      <c r="M38" s="5">
        <v>3988</v>
      </c>
      <c r="N38" s="35"/>
      <c r="O38" s="5">
        <v>4526</v>
      </c>
      <c r="P38" s="35"/>
      <c r="Q38" s="5">
        <v>4007</v>
      </c>
      <c r="R38" s="35"/>
      <c r="S38" s="5">
        <v>4189</v>
      </c>
      <c r="T38" s="35"/>
      <c r="U38" s="5">
        <v>4390</v>
      </c>
      <c r="V38" s="35"/>
      <c r="W38" s="5">
        <v>4153</v>
      </c>
      <c r="X38" s="35"/>
      <c r="Y38" s="5">
        <v>4303</v>
      </c>
      <c r="Z38" s="35"/>
      <c r="AA38">
        <f t="shared" si="0"/>
        <v>50815</v>
      </c>
    </row>
    <row r="39" spans="1:28" x14ac:dyDescent="0.25">
      <c r="A39" s="2"/>
      <c r="B39" s="4"/>
      <c r="C39" s="5"/>
      <c r="D39" s="35">
        <v>353.54</v>
      </c>
      <c r="E39" s="5"/>
      <c r="F39" s="35">
        <v>320.88</v>
      </c>
      <c r="G39" s="5"/>
      <c r="H39" s="35">
        <v>315.31</v>
      </c>
      <c r="I39" s="5"/>
      <c r="J39" s="35">
        <v>349.36</v>
      </c>
      <c r="K39" s="5"/>
      <c r="L39" s="35">
        <v>323.88</v>
      </c>
      <c r="M39" s="5"/>
      <c r="N39" s="35">
        <v>311.85000000000002</v>
      </c>
      <c r="O39" s="5"/>
      <c r="P39" s="35">
        <v>352.94</v>
      </c>
      <c r="Q39" s="5"/>
      <c r="R39" s="35">
        <v>313.3</v>
      </c>
      <c r="S39" s="5"/>
      <c r="T39" s="35">
        <v>331.01</v>
      </c>
      <c r="U39" s="5"/>
      <c r="V39" s="35">
        <v>348.75</v>
      </c>
      <c r="W39" s="5"/>
      <c r="X39" s="35">
        <v>330.79</v>
      </c>
      <c r="Y39" s="5"/>
      <c r="Z39" s="35">
        <v>340.7</v>
      </c>
      <c r="AA39" s="38">
        <f t="shared" si="0"/>
        <v>3992.3100000000004</v>
      </c>
    </row>
    <row r="40" spans="1:28" x14ac:dyDescent="0.25">
      <c r="A40" s="2" t="s">
        <v>50</v>
      </c>
      <c r="B40" s="4" t="s">
        <v>51</v>
      </c>
      <c r="C40" s="5">
        <v>2735</v>
      </c>
      <c r="D40" s="35"/>
      <c r="E40" s="5">
        <v>2523</v>
      </c>
      <c r="F40" s="35"/>
      <c r="G40" s="5">
        <v>2525</v>
      </c>
      <c r="H40" s="35"/>
      <c r="I40" s="5">
        <v>1428</v>
      </c>
      <c r="J40" s="35"/>
      <c r="K40" s="5">
        <v>2131</v>
      </c>
      <c r="L40" s="35"/>
      <c r="M40" s="5">
        <v>3432</v>
      </c>
      <c r="N40" s="35"/>
      <c r="O40" s="5">
        <v>4532</v>
      </c>
      <c r="P40" s="35"/>
      <c r="Q40" s="5">
        <v>4855</v>
      </c>
      <c r="R40" s="35"/>
      <c r="S40" s="5">
        <v>2800</v>
      </c>
      <c r="T40" s="35"/>
      <c r="U40" s="5">
        <v>3242</v>
      </c>
      <c r="V40" s="35"/>
      <c r="W40" s="5">
        <v>2630</v>
      </c>
      <c r="X40" s="35"/>
      <c r="Y40" s="5">
        <v>1833</v>
      </c>
      <c r="Z40" s="35"/>
      <c r="AA40">
        <f t="shared" si="0"/>
        <v>34666</v>
      </c>
    </row>
    <row r="41" spans="1:28" x14ac:dyDescent="0.25">
      <c r="A41" s="2"/>
      <c r="B41" s="4"/>
      <c r="C41" s="5"/>
      <c r="D41" s="35">
        <v>553.20000000000005</v>
      </c>
      <c r="E41" s="5"/>
      <c r="F41" s="35">
        <v>409.95</v>
      </c>
      <c r="G41" s="5"/>
      <c r="H41" s="35">
        <v>425.91</v>
      </c>
      <c r="I41" s="5"/>
      <c r="J41" s="35">
        <v>415.04</v>
      </c>
      <c r="K41" s="5"/>
      <c r="L41" s="35">
        <v>474.8</v>
      </c>
      <c r="M41" s="5"/>
      <c r="N41" s="35">
        <v>538.44000000000005</v>
      </c>
      <c r="O41" s="5"/>
      <c r="P41" s="35">
        <v>572.28</v>
      </c>
      <c r="Q41" s="5"/>
      <c r="R41" s="35">
        <v>851.05</v>
      </c>
      <c r="S41" s="5"/>
      <c r="T41" s="35">
        <v>598.85</v>
      </c>
      <c r="U41" s="5"/>
      <c r="V41" s="35">
        <v>662.04</v>
      </c>
      <c r="W41" s="5"/>
      <c r="X41" s="35">
        <v>501.75</v>
      </c>
      <c r="Y41" s="5"/>
      <c r="Z41" s="35">
        <v>505.63</v>
      </c>
      <c r="AA41" s="38">
        <f t="shared" si="0"/>
        <v>6508.9400000000005</v>
      </c>
    </row>
    <row r="42" spans="1:28" x14ac:dyDescent="0.25">
      <c r="B42" s="4" t="s">
        <v>52</v>
      </c>
      <c r="C42" s="6">
        <f>SUM(C4:C41)</f>
        <v>2086607</v>
      </c>
      <c r="D42" s="36"/>
      <c r="E42" s="6">
        <f>SUM(E4:E41)</f>
        <v>1710151</v>
      </c>
      <c r="F42" s="36"/>
      <c r="G42" s="6">
        <f>SUM(G4:G41)</f>
        <v>1423575</v>
      </c>
      <c r="H42" s="36"/>
      <c r="I42" s="6">
        <f>SUM(I4:I41)</f>
        <v>1182101</v>
      </c>
      <c r="J42" s="36"/>
      <c r="K42" s="108">
        <f>SUM(K4:K41)</f>
        <v>1189521</v>
      </c>
      <c r="L42" s="36"/>
      <c r="M42" s="6">
        <f>SUM(M4:M41)</f>
        <v>1458420</v>
      </c>
      <c r="N42" s="36"/>
      <c r="O42" s="6">
        <f>SUM(O4:O41)</f>
        <v>2131943</v>
      </c>
      <c r="P42" s="36"/>
      <c r="Q42" s="6">
        <f>SUM(Q4:Q41)</f>
        <v>1692874</v>
      </c>
      <c r="R42" s="36"/>
      <c r="S42" s="6">
        <f>SUM(S4:S41)</f>
        <v>1626999</v>
      </c>
      <c r="T42" s="36"/>
      <c r="U42" s="6">
        <f>SUM(U4:U41)</f>
        <v>1617329</v>
      </c>
      <c r="V42" s="36"/>
      <c r="W42" s="6">
        <f>SUM(W4:W41)</f>
        <v>1474344</v>
      </c>
      <c r="X42" s="36"/>
      <c r="Y42" s="6">
        <f>SUM(Y4:Y41)</f>
        <v>1541510</v>
      </c>
      <c r="Z42" s="36"/>
      <c r="AA42">
        <f t="shared" si="0"/>
        <v>19135374</v>
      </c>
    </row>
    <row r="43" spans="1:28" x14ac:dyDescent="0.25">
      <c r="B43" s="4" t="s">
        <v>99</v>
      </c>
      <c r="C43" s="14"/>
      <c r="D43" s="37">
        <f>SUM(D4:D42)+523.17</f>
        <v>111810.24999999999</v>
      </c>
      <c r="E43" s="14"/>
      <c r="F43" s="37">
        <f>SUM(F4:F42)</f>
        <v>109215.67999999999</v>
      </c>
      <c r="G43" s="107"/>
      <c r="H43" s="37">
        <f>SUM(H4:H42)</f>
        <v>97847.060000000012</v>
      </c>
      <c r="I43" s="14"/>
      <c r="J43" s="70">
        <f>SUM(J4:J42)</f>
        <v>89318.209999999992</v>
      </c>
      <c r="K43" s="16"/>
      <c r="L43" s="70">
        <f>SUM(L4:L42)</f>
        <v>89983.699999999983</v>
      </c>
      <c r="M43" s="16"/>
      <c r="N43" s="63">
        <f>SUM(N5:N42)</f>
        <v>101510.95000000003</v>
      </c>
      <c r="O43" s="16"/>
      <c r="P43" s="63">
        <f>SUM(P5:P42)</f>
        <v>120552.79</v>
      </c>
      <c r="Q43" s="16"/>
      <c r="R43" s="70">
        <f>SUM(R4:R42)</f>
        <v>110800.96000000001</v>
      </c>
      <c r="S43" s="16"/>
      <c r="T43" s="70">
        <f>SUM(T4:T42)</f>
        <v>108212.04999999999</v>
      </c>
      <c r="U43" s="16"/>
      <c r="V43" s="70">
        <f>SUM(V4:V42)</f>
        <v>108047.18</v>
      </c>
      <c r="W43" s="16"/>
      <c r="X43" s="70">
        <f>SUM(X4:X42)</f>
        <v>102087.39</v>
      </c>
      <c r="Y43" s="16"/>
      <c r="Z43" s="70">
        <f>SUM(Z4:Z42)</f>
        <v>103396.92000000003</v>
      </c>
      <c r="AA43" s="15">
        <f t="shared" si="0"/>
        <v>1252783.1399999997</v>
      </c>
    </row>
    <row r="44" spans="1:28" x14ac:dyDescent="0.25">
      <c r="B44" s="4" t="s">
        <v>125</v>
      </c>
      <c r="D44" s="81">
        <v>523.16999999999996</v>
      </c>
      <c r="F44" s="38">
        <v>979.11</v>
      </c>
      <c r="H44" s="38">
        <v>239.58</v>
      </c>
      <c r="J44" s="81">
        <v>751.46</v>
      </c>
      <c r="L44" s="38">
        <v>217.99</v>
      </c>
      <c r="N44" s="81">
        <v>452.53</v>
      </c>
      <c r="P44" s="81">
        <v>248.61</v>
      </c>
      <c r="R44" s="38">
        <v>558.79999999999995</v>
      </c>
      <c r="T44" s="38">
        <v>457.65</v>
      </c>
      <c r="V44" s="38">
        <v>315.02</v>
      </c>
      <c r="X44" s="38">
        <v>510.14</v>
      </c>
      <c r="Z44" s="38">
        <v>154.75</v>
      </c>
      <c r="AA44" s="63">
        <f t="shared" si="0"/>
        <v>5408.8099999999986</v>
      </c>
      <c r="AB44" t="s">
        <v>125</v>
      </c>
    </row>
    <row r="45" spans="1:28" x14ac:dyDescent="0.25">
      <c r="B45" s="106" t="s">
        <v>139</v>
      </c>
      <c r="D45" s="38">
        <f>SUM(D43:D44)</f>
        <v>112333.41999999998</v>
      </c>
      <c r="F45" s="38">
        <f>SUM(F43:F44)</f>
        <v>110194.79</v>
      </c>
      <c r="H45" s="38">
        <f>SUM(H43:H44)</f>
        <v>98086.640000000014</v>
      </c>
      <c r="J45" s="38">
        <f>SUM(J43:J44)</f>
        <v>90069.67</v>
      </c>
      <c r="L45" s="38">
        <f>SUM(L43:L44)</f>
        <v>90201.689999999988</v>
      </c>
      <c r="N45" s="38">
        <f>SUM(N43:N44)</f>
        <v>101963.48000000003</v>
      </c>
      <c r="P45" s="38">
        <f>SUM(P43:P44)</f>
        <v>120801.4</v>
      </c>
      <c r="R45" s="38">
        <f>SUM(R43:R44)</f>
        <v>111359.76000000001</v>
      </c>
      <c r="T45" s="38">
        <f>SUM(T43:T44)</f>
        <v>108669.69999999998</v>
      </c>
      <c r="V45" s="38">
        <f>SUM(V43:V44)</f>
        <v>108362.2</v>
      </c>
      <c r="X45" s="38">
        <f>SUM(X43:X44)</f>
        <v>102597.53</v>
      </c>
      <c r="Z45" s="38">
        <f>SUM(Z43:Z44)</f>
        <v>103551.67000000003</v>
      </c>
    </row>
    <row r="46" spans="1:28" x14ac:dyDescent="0.25">
      <c r="AA46" s="15">
        <f>SUM(AA43:AA45)</f>
        <v>1258191.9499999997</v>
      </c>
    </row>
  </sheetData>
  <pageMargins left="0.7" right="0.7" top="0.75" bottom="0.75" header="0.3" footer="0.3"/>
  <pageSetup scale="3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opLeftCell="C1" workbookViewId="0">
      <selection activeCell="AA26" sqref="AA26"/>
    </sheetView>
  </sheetViews>
  <sheetFormatPr defaultColWidth="8.85546875" defaultRowHeight="15" x14ac:dyDescent="0.25"/>
  <cols>
    <col min="1" max="1" width="16.7109375" customWidth="1"/>
    <col min="2" max="2" width="12" customWidth="1"/>
    <col min="3" max="3" width="6.140625" customWidth="1"/>
    <col min="4" max="4" width="11.42578125" style="38" bestFit="1" customWidth="1"/>
    <col min="5" max="5" width="6" customWidth="1"/>
    <col min="6" max="6" width="11.42578125" style="38" bestFit="1" customWidth="1"/>
    <col min="7" max="7" width="6" customWidth="1"/>
    <col min="8" max="8" width="11.42578125" style="38" bestFit="1" customWidth="1"/>
    <col min="9" max="9" width="7.42578125" customWidth="1"/>
    <col min="10" max="10" width="11.42578125" style="38" bestFit="1" customWidth="1"/>
    <col min="12" max="12" width="11.42578125" style="38" bestFit="1" customWidth="1"/>
    <col min="13" max="13" width="11.42578125" style="71" customWidth="1"/>
    <col min="14" max="14" width="11.42578125" style="38" bestFit="1" customWidth="1"/>
    <col min="16" max="16" width="11.42578125" style="38" bestFit="1" customWidth="1"/>
    <col min="18" max="18" width="11.42578125" bestFit="1" customWidth="1"/>
    <col min="20" max="20" width="11.42578125" bestFit="1" customWidth="1"/>
    <col min="22" max="22" width="11.42578125" bestFit="1" customWidth="1"/>
    <col min="24" max="24" width="11.42578125" bestFit="1" customWidth="1"/>
    <col min="27" max="27" width="14.140625" customWidth="1"/>
  </cols>
  <sheetData>
    <row r="1" spans="1:27" ht="23.25" x14ac:dyDescent="0.35">
      <c r="A1" s="7" t="s">
        <v>67</v>
      </c>
    </row>
    <row r="2" spans="1:27" x14ac:dyDescent="0.25">
      <c r="A2" t="s">
        <v>53</v>
      </c>
    </row>
    <row r="3" spans="1:27" x14ac:dyDescent="0.25">
      <c r="A3" t="s">
        <v>54</v>
      </c>
    </row>
    <row r="4" spans="1:27" x14ac:dyDescent="0.25">
      <c r="A4" t="s">
        <v>55</v>
      </c>
    </row>
    <row r="5" spans="1:27" x14ac:dyDescent="0.25">
      <c r="A5" t="s">
        <v>57</v>
      </c>
      <c r="N5" s="38" t="s">
        <v>171</v>
      </c>
    </row>
    <row r="6" spans="1:27" s="46" customFormat="1" ht="12" x14ac:dyDescent="0.2">
      <c r="A6" s="43"/>
      <c r="B6" s="44"/>
      <c r="C6" s="45" t="s">
        <v>1</v>
      </c>
      <c r="D6" s="48" t="s">
        <v>136</v>
      </c>
      <c r="E6" s="45" t="s">
        <v>2</v>
      </c>
      <c r="F6" s="48" t="s">
        <v>143</v>
      </c>
      <c r="G6" s="45" t="s">
        <v>3</v>
      </c>
      <c r="H6" s="48" t="s">
        <v>144</v>
      </c>
      <c r="I6" s="45" t="s">
        <v>117</v>
      </c>
      <c r="J6" s="48" t="s">
        <v>145</v>
      </c>
      <c r="K6" s="45" t="s">
        <v>4</v>
      </c>
      <c r="L6" s="48" t="s">
        <v>146</v>
      </c>
      <c r="M6" s="72" t="s">
        <v>124</v>
      </c>
      <c r="N6" s="48" t="s">
        <v>172</v>
      </c>
      <c r="O6" s="45" t="s">
        <v>6</v>
      </c>
      <c r="P6" s="48" t="s">
        <v>173</v>
      </c>
      <c r="Q6" s="45" t="s">
        <v>7</v>
      </c>
      <c r="R6" s="45" t="s">
        <v>177</v>
      </c>
      <c r="S6" s="45" t="s">
        <v>8</v>
      </c>
      <c r="T6" s="45" t="s">
        <v>180</v>
      </c>
      <c r="U6" s="45" t="s">
        <v>9</v>
      </c>
      <c r="V6" s="45" t="s">
        <v>182</v>
      </c>
      <c r="W6" s="45" t="s">
        <v>10</v>
      </c>
      <c r="X6" s="31" t="s">
        <v>187</v>
      </c>
      <c r="Y6" s="45" t="s">
        <v>11</v>
      </c>
      <c r="Z6" s="31" t="s">
        <v>189</v>
      </c>
    </row>
    <row r="7" spans="1:27" s="46" customFormat="1" ht="12" x14ac:dyDescent="0.2">
      <c r="A7" s="45">
        <v>2020</v>
      </c>
      <c r="B7" s="47"/>
      <c r="C7" s="45" t="s">
        <v>119</v>
      </c>
      <c r="D7" s="48" t="s">
        <v>115</v>
      </c>
      <c r="E7" s="45" t="s">
        <v>119</v>
      </c>
      <c r="F7" s="48" t="s">
        <v>116</v>
      </c>
      <c r="G7" s="45" t="s">
        <v>119</v>
      </c>
      <c r="H7" s="48" t="s">
        <v>115</v>
      </c>
      <c r="I7" s="45" t="s">
        <v>119</v>
      </c>
      <c r="J7" s="48" t="s">
        <v>115</v>
      </c>
      <c r="K7" s="45" t="s">
        <v>119</v>
      </c>
      <c r="L7" s="48" t="s">
        <v>123</v>
      </c>
      <c r="M7" s="72" t="s">
        <v>119</v>
      </c>
      <c r="N7" s="48" t="s">
        <v>115</v>
      </c>
      <c r="O7" s="45" t="s">
        <v>119</v>
      </c>
      <c r="P7" s="48" t="s">
        <v>115</v>
      </c>
      <c r="Q7" s="45" t="s">
        <v>119</v>
      </c>
      <c r="R7" s="45" t="s">
        <v>115</v>
      </c>
      <c r="S7" s="45" t="s">
        <v>119</v>
      </c>
      <c r="T7" s="45" t="s">
        <v>123</v>
      </c>
      <c r="U7" s="45" t="s">
        <v>119</v>
      </c>
      <c r="V7" s="45" t="s">
        <v>115</v>
      </c>
      <c r="W7" s="45" t="s">
        <v>119</v>
      </c>
      <c r="X7" s="45" t="s">
        <v>115</v>
      </c>
      <c r="Y7" s="45" t="s">
        <v>119</v>
      </c>
      <c r="Z7" s="45" t="s">
        <v>115</v>
      </c>
      <c r="AA7" s="45" t="s">
        <v>13</v>
      </c>
    </row>
    <row r="8" spans="1:27" x14ac:dyDescent="0.25">
      <c r="A8" s="2" t="s">
        <v>56</v>
      </c>
      <c r="B8" s="4">
        <v>4029248937</v>
      </c>
      <c r="C8" s="5">
        <v>8786</v>
      </c>
      <c r="D8" s="35"/>
      <c r="E8" s="5">
        <v>10044</v>
      </c>
      <c r="F8" s="35"/>
      <c r="G8" s="5">
        <v>8380</v>
      </c>
      <c r="H8" s="35"/>
      <c r="I8" s="5">
        <v>2092</v>
      </c>
      <c r="J8" s="35"/>
      <c r="K8" s="5">
        <v>1280</v>
      </c>
      <c r="L8" s="35"/>
      <c r="M8" s="73">
        <v>771</v>
      </c>
      <c r="N8" s="35"/>
      <c r="O8" s="5">
        <v>0</v>
      </c>
      <c r="P8" s="35"/>
      <c r="Q8" s="5">
        <v>0</v>
      </c>
      <c r="R8" s="5"/>
      <c r="S8" s="5">
        <v>0</v>
      </c>
      <c r="T8" s="5"/>
      <c r="U8" s="5">
        <v>0</v>
      </c>
      <c r="V8" s="5"/>
      <c r="W8" s="5">
        <v>0</v>
      </c>
      <c r="X8" s="5"/>
      <c r="Y8" s="5">
        <v>0</v>
      </c>
      <c r="Z8" s="5"/>
      <c r="AA8" s="62">
        <f t="shared" ref="AA8:AA24" si="0">SUM(C8:Y8)</f>
        <v>31353</v>
      </c>
    </row>
    <row r="9" spans="1:27" x14ac:dyDescent="0.25">
      <c r="A9" s="2" t="s">
        <v>58</v>
      </c>
      <c r="B9" s="4"/>
      <c r="C9" s="5"/>
      <c r="D9" s="35">
        <v>4856.88</v>
      </c>
      <c r="E9" s="5"/>
      <c r="F9" s="35">
        <v>5039.95</v>
      </c>
      <c r="G9" s="5"/>
      <c r="H9" s="35">
        <v>3785.34</v>
      </c>
      <c r="I9" s="5"/>
      <c r="J9" s="35">
        <v>1060.47</v>
      </c>
      <c r="K9" s="5"/>
      <c r="L9" s="35">
        <v>671.83</v>
      </c>
      <c r="M9" s="73"/>
      <c r="N9" s="35"/>
      <c r="O9" s="5"/>
      <c r="P9" s="35">
        <v>55.48</v>
      </c>
      <c r="Q9" s="5"/>
      <c r="R9" s="5">
        <v>54.37</v>
      </c>
      <c r="S9" s="5"/>
      <c r="T9" s="5">
        <v>54.36</v>
      </c>
      <c r="U9" s="5"/>
      <c r="V9" s="5">
        <v>54.36</v>
      </c>
      <c r="W9" s="5"/>
      <c r="X9" s="5">
        <v>54.36</v>
      </c>
      <c r="Y9" s="5"/>
      <c r="Z9" s="5">
        <v>63.73</v>
      </c>
      <c r="AA9" s="63">
        <f t="shared" si="0"/>
        <v>15687.400000000001</v>
      </c>
    </row>
    <row r="10" spans="1:27" s="42" customFormat="1" x14ac:dyDescent="0.25">
      <c r="A10" s="39" t="s">
        <v>59</v>
      </c>
      <c r="B10" s="40"/>
      <c r="C10" s="41"/>
      <c r="D10" s="49"/>
      <c r="E10" s="41"/>
      <c r="F10" s="49"/>
      <c r="G10" s="41"/>
      <c r="H10" s="49"/>
      <c r="I10" s="41"/>
      <c r="J10" s="49"/>
      <c r="K10" s="41"/>
      <c r="L10" s="49"/>
      <c r="M10" s="74"/>
      <c r="N10" s="49"/>
      <c r="O10" s="41"/>
      <c r="P10" s="49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64">
        <f t="shared" si="0"/>
        <v>0</v>
      </c>
    </row>
    <row r="11" spans="1:27" x14ac:dyDescent="0.25">
      <c r="A11" s="2" t="s">
        <v>60</v>
      </c>
      <c r="B11" s="4">
        <v>4029248973</v>
      </c>
      <c r="C11" s="5">
        <v>1219</v>
      </c>
      <c r="D11" s="35"/>
      <c r="E11" s="5">
        <v>1597</v>
      </c>
      <c r="F11" s="35"/>
      <c r="G11" s="5">
        <v>1280</v>
      </c>
      <c r="H11" s="35"/>
      <c r="I11" s="5">
        <v>2236</v>
      </c>
      <c r="J11" s="35"/>
      <c r="K11" s="5">
        <v>0</v>
      </c>
      <c r="L11" s="35"/>
      <c r="M11" s="73">
        <v>127</v>
      </c>
      <c r="N11" s="35"/>
      <c r="O11" s="5">
        <v>151</v>
      </c>
      <c r="P11" s="35"/>
      <c r="Q11" s="5">
        <v>94</v>
      </c>
      <c r="R11" s="5"/>
      <c r="S11" s="5">
        <v>165</v>
      </c>
      <c r="T11" s="5"/>
      <c r="U11" s="5">
        <v>574</v>
      </c>
      <c r="V11" s="5"/>
      <c r="W11" s="5">
        <v>566</v>
      </c>
      <c r="X11" s="5"/>
      <c r="Y11" s="5">
        <v>162</v>
      </c>
      <c r="Z11" s="5"/>
      <c r="AA11" s="62">
        <f t="shared" si="0"/>
        <v>8171</v>
      </c>
    </row>
    <row r="12" spans="1:27" x14ac:dyDescent="0.25">
      <c r="A12" s="2" t="s">
        <v>61</v>
      </c>
      <c r="B12" s="4"/>
      <c r="C12" s="5"/>
      <c r="D12" s="35">
        <v>752.57</v>
      </c>
      <c r="E12" s="5"/>
      <c r="F12" s="35">
        <v>839.47</v>
      </c>
      <c r="G12" s="5"/>
      <c r="H12" s="35">
        <v>635.83000000000004</v>
      </c>
      <c r="I12" s="5"/>
      <c r="J12" s="35">
        <v>1097.6600000000001</v>
      </c>
      <c r="K12" s="5"/>
      <c r="L12" s="35">
        <v>-862.71</v>
      </c>
      <c r="M12" s="73"/>
      <c r="N12" s="35"/>
      <c r="O12" s="5"/>
      <c r="P12" s="35">
        <v>141.08000000000001</v>
      </c>
      <c r="Q12" s="5"/>
      <c r="R12" s="5">
        <v>108.84</v>
      </c>
      <c r="S12" s="5"/>
      <c r="T12" s="5">
        <v>161.72999999999999</v>
      </c>
      <c r="U12" s="5"/>
      <c r="V12" s="5">
        <v>434.77</v>
      </c>
      <c r="W12" s="5"/>
      <c r="X12" s="5">
        <v>426.4</v>
      </c>
      <c r="Y12" s="5"/>
      <c r="Z12" s="5">
        <v>183.35</v>
      </c>
      <c r="AA12" s="63">
        <f t="shared" si="0"/>
        <v>3735.64</v>
      </c>
    </row>
    <row r="13" spans="1:27" s="42" customFormat="1" x14ac:dyDescent="0.25">
      <c r="A13" s="39" t="s">
        <v>59</v>
      </c>
      <c r="B13" s="40"/>
      <c r="C13" s="41"/>
      <c r="D13" s="49"/>
      <c r="E13" s="56"/>
      <c r="F13" s="49"/>
      <c r="G13" s="41"/>
      <c r="H13" s="49"/>
      <c r="I13" s="41"/>
      <c r="J13" s="49"/>
      <c r="K13" s="41"/>
      <c r="L13" s="49"/>
      <c r="M13" s="74"/>
      <c r="N13" s="49"/>
      <c r="O13" s="41"/>
      <c r="P13" s="49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64">
        <f t="shared" si="0"/>
        <v>0</v>
      </c>
    </row>
    <row r="14" spans="1:27" x14ac:dyDescent="0.25">
      <c r="A14" s="2" t="s">
        <v>62</v>
      </c>
      <c r="B14" s="4">
        <v>4029248919</v>
      </c>
      <c r="C14" s="5">
        <v>3176</v>
      </c>
      <c r="D14" s="35"/>
      <c r="E14" s="5">
        <v>3675</v>
      </c>
      <c r="F14" s="35"/>
      <c r="G14" s="5">
        <v>5421</v>
      </c>
      <c r="H14" s="35"/>
      <c r="I14" s="5">
        <v>102</v>
      </c>
      <c r="J14" s="35"/>
      <c r="K14" s="5">
        <v>0</v>
      </c>
      <c r="L14" s="35"/>
      <c r="M14" s="73">
        <v>0</v>
      </c>
      <c r="N14" s="35"/>
      <c r="O14" s="5">
        <v>0</v>
      </c>
      <c r="P14" s="35"/>
      <c r="Q14" s="5">
        <v>0</v>
      </c>
      <c r="R14" s="5"/>
      <c r="S14" s="5">
        <v>0</v>
      </c>
      <c r="T14" s="5"/>
      <c r="U14" s="5"/>
      <c r="V14" s="5"/>
      <c r="W14" s="5">
        <v>1209</v>
      </c>
      <c r="X14" s="5"/>
      <c r="Y14" s="5"/>
      <c r="Z14" s="5"/>
      <c r="AA14" s="62">
        <f t="shared" si="0"/>
        <v>13583</v>
      </c>
    </row>
    <row r="15" spans="1:27" x14ac:dyDescent="0.25">
      <c r="A15" s="2" t="s">
        <v>63</v>
      </c>
      <c r="B15" s="4"/>
      <c r="C15" s="5"/>
      <c r="D15" s="35">
        <v>1875.56</v>
      </c>
      <c r="E15" s="5"/>
      <c r="F15" s="35">
        <v>1861.68</v>
      </c>
      <c r="G15" s="5"/>
      <c r="H15" s="35">
        <v>2519.6</v>
      </c>
      <c r="I15" s="5"/>
      <c r="J15" s="35">
        <v>103.56</v>
      </c>
      <c r="K15" s="5"/>
      <c r="L15" s="35">
        <v>55.48</v>
      </c>
      <c r="M15" s="73"/>
      <c r="N15" s="35" t="s">
        <v>59</v>
      </c>
      <c r="O15" s="5"/>
      <c r="P15" s="35">
        <v>55.48</v>
      </c>
      <c r="Q15" s="5"/>
      <c r="R15" s="5">
        <v>54.37</v>
      </c>
      <c r="S15" s="5"/>
      <c r="T15" s="5">
        <v>54.36</v>
      </c>
      <c r="U15" s="5"/>
      <c r="V15" s="5"/>
      <c r="W15" s="5"/>
      <c r="X15" s="5">
        <v>909.39</v>
      </c>
      <c r="Y15" s="5"/>
      <c r="Z15" s="5"/>
      <c r="AA15" s="63">
        <f t="shared" si="0"/>
        <v>7489.48</v>
      </c>
    </row>
    <row r="16" spans="1:27" s="42" customFormat="1" x14ac:dyDescent="0.25">
      <c r="A16" s="39" t="s">
        <v>59</v>
      </c>
      <c r="B16" s="40"/>
      <c r="C16" s="41"/>
      <c r="D16" s="49"/>
      <c r="E16" s="41"/>
      <c r="F16" s="49"/>
      <c r="G16" s="41"/>
      <c r="H16" s="49"/>
      <c r="I16" s="41"/>
      <c r="J16" s="49"/>
      <c r="K16" s="41">
        <v>1</v>
      </c>
      <c r="L16" s="49"/>
      <c r="M16" s="74"/>
      <c r="N16" s="49"/>
      <c r="O16" s="41"/>
      <c r="P16" s="49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64">
        <f t="shared" si="0"/>
        <v>1</v>
      </c>
    </row>
    <row r="17" spans="1:27" x14ac:dyDescent="0.25">
      <c r="A17" s="2" t="s">
        <v>64</v>
      </c>
      <c r="B17" s="4">
        <v>4029248946</v>
      </c>
      <c r="C17" s="5">
        <v>14622</v>
      </c>
      <c r="D17" s="35"/>
      <c r="E17" s="5">
        <v>14538</v>
      </c>
      <c r="F17" s="35"/>
      <c r="G17" s="5">
        <v>10558</v>
      </c>
      <c r="H17" s="35"/>
      <c r="I17" s="5">
        <v>10888</v>
      </c>
      <c r="J17" s="35"/>
      <c r="K17" s="5">
        <v>0</v>
      </c>
      <c r="L17" s="35"/>
      <c r="M17" s="73">
        <v>2712</v>
      </c>
      <c r="N17" s="35"/>
      <c r="O17" s="5">
        <v>2980</v>
      </c>
      <c r="P17" s="35"/>
      <c r="Q17" s="5">
        <v>2865</v>
      </c>
      <c r="R17" s="5"/>
      <c r="S17" s="5">
        <v>4065</v>
      </c>
      <c r="T17" s="5"/>
      <c r="U17" s="5">
        <v>8688</v>
      </c>
      <c r="V17" s="5"/>
      <c r="W17" s="5">
        <v>12776</v>
      </c>
      <c r="X17" s="5"/>
      <c r="Y17" s="5">
        <v>14659</v>
      </c>
      <c r="Z17" s="5"/>
      <c r="AA17" s="62">
        <f t="shared" si="0"/>
        <v>99351</v>
      </c>
    </row>
    <row r="18" spans="1:27" x14ac:dyDescent="0.25">
      <c r="A18" s="2" t="s">
        <v>113</v>
      </c>
      <c r="B18" s="4" t="s">
        <v>59</v>
      </c>
      <c r="C18" s="5"/>
      <c r="D18" s="35">
        <v>8443.2800000000007</v>
      </c>
      <c r="E18" s="5"/>
      <c r="F18" s="35">
        <v>7207.58</v>
      </c>
      <c r="G18" s="5"/>
      <c r="H18" s="35">
        <v>4856.42</v>
      </c>
      <c r="I18" s="5"/>
      <c r="J18" s="35">
        <v>5121.18</v>
      </c>
      <c r="K18" s="5"/>
      <c r="L18" s="35">
        <v>-4396.78</v>
      </c>
      <c r="M18" s="73"/>
      <c r="N18" s="35"/>
      <c r="O18" s="5"/>
      <c r="P18" s="35">
        <v>1744.58</v>
      </c>
      <c r="Q18" s="5"/>
      <c r="R18" s="5">
        <v>1714.27</v>
      </c>
      <c r="S18" s="5"/>
      <c r="T18" s="5">
        <v>2699.79</v>
      </c>
      <c r="U18" s="5"/>
      <c r="V18" s="5">
        <v>5811.92</v>
      </c>
      <c r="W18" s="5"/>
      <c r="X18" s="5">
        <v>8510.14</v>
      </c>
      <c r="Y18" s="5"/>
      <c r="Z18" s="5">
        <v>10774.46</v>
      </c>
      <c r="AA18" s="63">
        <f t="shared" si="0"/>
        <v>41712.380000000005</v>
      </c>
    </row>
    <row r="19" spans="1:27" s="42" customFormat="1" x14ac:dyDescent="0.25">
      <c r="A19" s="39" t="s">
        <v>59</v>
      </c>
      <c r="B19" s="40"/>
      <c r="C19" s="57"/>
      <c r="D19" s="58"/>
      <c r="E19" s="59"/>
      <c r="F19" s="58"/>
      <c r="G19" s="41"/>
      <c r="H19" s="49"/>
      <c r="I19" s="41"/>
      <c r="J19" s="49"/>
      <c r="K19" s="41"/>
      <c r="L19" s="49"/>
      <c r="M19" s="74"/>
      <c r="N19" s="49"/>
      <c r="O19" s="41"/>
      <c r="P19" s="49"/>
      <c r="Q19" s="41"/>
      <c r="R19" s="41"/>
      <c r="S19" s="41"/>
      <c r="T19" s="41"/>
      <c r="U19" s="41"/>
      <c r="V19" s="41"/>
      <c r="W19" s="41"/>
      <c r="X19" s="41">
        <v>3</v>
      </c>
      <c r="Y19" s="41"/>
      <c r="Z19" s="41"/>
      <c r="AA19" s="64">
        <f t="shared" si="0"/>
        <v>3</v>
      </c>
    </row>
    <row r="20" spans="1:27" x14ac:dyDescent="0.25">
      <c r="A20" s="2" t="s">
        <v>65</v>
      </c>
      <c r="B20" s="4">
        <v>4029248955</v>
      </c>
      <c r="C20" s="60">
        <v>10780</v>
      </c>
      <c r="D20" s="61"/>
      <c r="E20" s="60">
        <v>11593</v>
      </c>
      <c r="F20" s="61"/>
      <c r="G20" s="60">
        <v>9835</v>
      </c>
      <c r="H20" s="61"/>
      <c r="I20" s="60">
        <v>4069</v>
      </c>
      <c r="J20" s="36"/>
      <c r="K20" s="60">
        <v>0</v>
      </c>
      <c r="L20" s="36"/>
      <c r="M20" s="69">
        <v>1623</v>
      </c>
      <c r="N20" s="36"/>
      <c r="O20" s="60">
        <v>4121</v>
      </c>
      <c r="P20" s="36"/>
      <c r="Q20" s="60">
        <v>3967</v>
      </c>
      <c r="R20" s="60"/>
      <c r="S20" s="60">
        <v>3979</v>
      </c>
      <c r="T20" s="60"/>
      <c r="U20" s="60">
        <v>4677</v>
      </c>
      <c r="V20" s="60"/>
      <c r="W20" s="60">
        <v>4943</v>
      </c>
      <c r="X20" s="60"/>
      <c r="Y20" s="60">
        <v>4187</v>
      </c>
      <c r="Z20" s="60"/>
      <c r="AA20" s="62">
        <f t="shared" si="0"/>
        <v>63774</v>
      </c>
    </row>
    <row r="21" spans="1:27" x14ac:dyDescent="0.25">
      <c r="A21" s="2" t="s">
        <v>66</v>
      </c>
      <c r="B21" s="4"/>
      <c r="C21" s="5"/>
      <c r="D21" s="35">
        <v>5947.09</v>
      </c>
      <c r="E21" s="5"/>
      <c r="F21" s="35">
        <v>5809</v>
      </c>
      <c r="G21" s="5"/>
      <c r="H21" s="35">
        <v>4433.28</v>
      </c>
      <c r="I21" s="5"/>
      <c r="J21" s="35">
        <v>2009.67</v>
      </c>
      <c r="K21" s="5"/>
      <c r="L21" s="35">
        <v>55.48</v>
      </c>
      <c r="M21" s="73"/>
      <c r="N21" s="35"/>
      <c r="O21" s="5"/>
      <c r="P21" s="35">
        <v>2391.2600000000002</v>
      </c>
      <c r="Q21" s="5"/>
      <c r="R21" s="5">
        <v>2352.7399999999998</v>
      </c>
      <c r="S21" s="5"/>
      <c r="T21" s="5">
        <v>2643.83</v>
      </c>
      <c r="U21" s="5"/>
      <c r="V21" s="5">
        <v>3153.81</v>
      </c>
      <c r="W21" s="5"/>
      <c r="X21" s="5">
        <v>3415.59</v>
      </c>
      <c r="Y21" s="5"/>
      <c r="Z21" s="5">
        <v>3101.42</v>
      </c>
      <c r="AA21" s="63">
        <f t="shared" si="0"/>
        <v>32211.75</v>
      </c>
    </row>
    <row r="22" spans="1:27" s="53" customFormat="1" x14ac:dyDescent="0.25">
      <c r="A22" s="50" t="s">
        <v>59</v>
      </c>
      <c r="B22" s="51"/>
      <c r="C22" s="19" t="s">
        <v>59</v>
      </c>
      <c r="D22" s="52"/>
      <c r="E22" s="19"/>
      <c r="F22" s="52"/>
      <c r="G22" s="19"/>
      <c r="H22" s="52"/>
      <c r="I22" s="19"/>
      <c r="J22" s="52"/>
      <c r="K22" s="19"/>
      <c r="L22" s="52"/>
      <c r="M22" s="75"/>
      <c r="N22" s="52"/>
      <c r="O22" s="19"/>
      <c r="P22" s="52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65">
        <f t="shared" si="0"/>
        <v>0</v>
      </c>
    </row>
    <row r="23" spans="1:27" x14ac:dyDescent="0.25">
      <c r="A23" s="62"/>
      <c r="B23" s="4" t="s">
        <v>120</v>
      </c>
      <c r="C23" s="54">
        <f t="shared" ref="C23:Y23" si="1">SUM(C8:C22)</f>
        <v>38583</v>
      </c>
      <c r="D23" s="55"/>
      <c r="E23" s="54">
        <f t="shared" si="1"/>
        <v>41447</v>
      </c>
      <c r="F23" s="55"/>
      <c r="G23" s="54">
        <f t="shared" si="1"/>
        <v>35474</v>
      </c>
      <c r="H23" s="55"/>
      <c r="I23" s="54">
        <f t="shared" si="1"/>
        <v>19387</v>
      </c>
      <c r="J23" s="55"/>
      <c r="K23" s="54">
        <f t="shared" si="1"/>
        <v>1281</v>
      </c>
      <c r="L23" s="55"/>
      <c r="M23" s="76">
        <f>SUM(M8:M21)</f>
        <v>5233</v>
      </c>
      <c r="N23" s="55"/>
      <c r="O23" s="54">
        <f t="shared" si="1"/>
        <v>7252</v>
      </c>
      <c r="P23" s="55"/>
      <c r="Q23" s="54">
        <f t="shared" si="1"/>
        <v>6926</v>
      </c>
      <c r="R23" s="54"/>
      <c r="S23" s="54">
        <f t="shared" si="1"/>
        <v>8209</v>
      </c>
      <c r="T23" s="54"/>
      <c r="U23" s="54">
        <f t="shared" si="1"/>
        <v>13939</v>
      </c>
      <c r="V23" s="54"/>
      <c r="W23" s="54">
        <f t="shared" si="1"/>
        <v>19494</v>
      </c>
      <c r="X23" s="54"/>
      <c r="Y23" s="54">
        <f t="shared" si="1"/>
        <v>19008</v>
      </c>
      <c r="Z23" s="54"/>
      <c r="AA23" s="62">
        <f t="shared" si="0"/>
        <v>216233</v>
      </c>
    </row>
    <row r="24" spans="1:27" x14ac:dyDescent="0.25">
      <c r="A24" s="62" t="s">
        <v>118</v>
      </c>
      <c r="B24" s="62"/>
      <c r="C24" s="62"/>
      <c r="D24" s="63">
        <f>SUM(D8:D23)</f>
        <v>21875.38</v>
      </c>
      <c r="E24" s="62"/>
      <c r="F24" s="63">
        <f>SUM(F8:F23)</f>
        <v>20757.68</v>
      </c>
      <c r="G24" s="62"/>
      <c r="H24" s="63">
        <f>SUM(H8:H23)</f>
        <v>16230.470000000001</v>
      </c>
      <c r="I24" s="62"/>
      <c r="J24" s="63">
        <f>SUM(J9:J23)</f>
        <v>9392.5400000000009</v>
      </c>
      <c r="K24" s="62"/>
      <c r="L24" s="63">
        <f>SUM(L9:L23)</f>
        <v>-4476.7</v>
      </c>
      <c r="M24" s="77"/>
      <c r="N24" s="63">
        <v>-5074.33</v>
      </c>
      <c r="O24" s="62"/>
      <c r="P24" s="63">
        <f>SUM(P9:P22)</f>
        <v>4387.88</v>
      </c>
      <c r="Q24" s="62"/>
      <c r="R24" s="63">
        <f>SUM(R8:R23)</f>
        <v>4284.59</v>
      </c>
      <c r="S24" s="62"/>
      <c r="T24" s="63">
        <f>SUM(T9:T23)</f>
        <v>5614.07</v>
      </c>
      <c r="U24" s="62"/>
      <c r="V24" s="63">
        <f>SUM(V9:V21)</f>
        <v>9454.86</v>
      </c>
      <c r="W24" s="62"/>
      <c r="X24" s="63">
        <f>SUM(X8:X23)</f>
        <v>13318.88</v>
      </c>
      <c r="Y24" s="62"/>
      <c r="Z24" s="62">
        <f>SUM(Z8:Z22)</f>
        <v>14122.96</v>
      </c>
      <c r="AA24" s="63">
        <f t="shared" si="0"/>
        <v>95765.320000000022</v>
      </c>
    </row>
    <row r="25" spans="1:27" x14ac:dyDescent="0.25">
      <c r="L25" s="38" t="s">
        <v>174</v>
      </c>
    </row>
    <row r="26" spans="1:27" x14ac:dyDescent="0.25">
      <c r="W26" t="s">
        <v>188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2"/>
  <sheetViews>
    <sheetView tabSelected="1" workbookViewId="0">
      <selection activeCell="T25" sqref="T25"/>
    </sheetView>
  </sheetViews>
  <sheetFormatPr defaultColWidth="8.85546875" defaultRowHeight="15" x14ac:dyDescent="0.25"/>
  <cols>
    <col min="1" max="1" width="12.7109375" customWidth="1"/>
    <col min="2" max="2" width="19" customWidth="1"/>
    <col min="3" max="3" width="24.42578125" customWidth="1"/>
    <col min="4" max="4" width="5.7109375" customWidth="1"/>
    <col min="5" max="5" width="11.42578125" style="38" customWidth="1"/>
    <col min="6" max="6" width="5.42578125" customWidth="1"/>
    <col min="7" max="7" width="11.42578125" style="38" bestFit="1" customWidth="1"/>
    <col min="8" max="8" width="5.42578125" customWidth="1"/>
    <col min="9" max="9" width="11.42578125" style="38" bestFit="1" customWidth="1"/>
    <col min="10" max="10" width="5.42578125" customWidth="1"/>
    <col min="11" max="11" width="11.42578125" style="38" bestFit="1" customWidth="1"/>
    <col min="12" max="12" width="5.42578125" customWidth="1"/>
    <col min="13" max="13" width="12" style="38" customWidth="1"/>
    <col min="14" max="14" width="5.140625" customWidth="1"/>
    <col min="15" max="15" width="11.28515625" style="38" customWidth="1"/>
    <col min="16" max="16" width="5.42578125" customWidth="1"/>
    <col min="17" max="17" width="11.42578125" customWidth="1"/>
    <col min="18" max="18" width="4.85546875" customWidth="1"/>
    <col min="19" max="19" width="11.42578125" customWidth="1"/>
    <col min="20" max="20" width="5.42578125" customWidth="1"/>
    <col min="21" max="21" width="11.7109375" customWidth="1"/>
    <col min="22" max="22" width="4.7109375" customWidth="1"/>
    <col min="23" max="23" width="11.42578125" bestFit="1" customWidth="1"/>
    <col min="24" max="24" width="6" style="17" customWidth="1"/>
    <col min="25" max="25" width="11.28515625" style="17" customWidth="1"/>
    <col min="26" max="26" width="4.85546875" style="17" customWidth="1"/>
    <col min="27" max="27" width="9.140625" style="17"/>
    <col min="28" max="28" width="12.7109375" customWidth="1"/>
  </cols>
  <sheetData>
    <row r="1" spans="1:28" ht="18.75" x14ac:dyDescent="0.3">
      <c r="A1" s="9" t="s">
        <v>68</v>
      </c>
      <c r="B1" s="95"/>
      <c r="C1" s="96">
        <v>2020</v>
      </c>
      <c r="D1" s="9"/>
      <c r="E1" s="66"/>
      <c r="F1" s="9"/>
      <c r="G1" s="66"/>
      <c r="H1" s="9"/>
      <c r="I1" s="66"/>
      <c r="J1" s="9"/>
      <c r="K1" s="66"/>
      <c r="L1" s="9"/>
      <c r="M1" s="66"/>
      <c r="N1" s="9"/>
      <c r="O1" s="66"/>
      <c r="P1" s="9"/>
      <c r="Q1" s="9"/>
      <c r="R1" s="9"/>
      <c r="S1" s="9"/>
      <c r="T1" s="9"/>
      <c r="U1" s="9"/>
      <c r="V1" s="9"/>
      <c r="W1" s="9"/>
      <c r="X1" s="26"/>
      <c r="Y1" s="26"/>
      <c r="Z1" s="26"/>
      <c r="AA1" s="26"/>
      <c r="AB1" s="10"/>
    </row>
    <row r="2" spans="1:28" x14ac:dyDescent="0.25">
      <c r="A2" s="101" t="s">
        <v>69</v>
      </c>
      <c r="B2" s="97" t="s">
        <v>70</v>
      </c>
      <c r="C2" s="98" t="s">
        <v>71</v>
      </c>
      <c r="D2" s="11"/>
      <c r="E2" s="67" t="s">
        <v>165</v>
      </c>
      <c r="F2" s="8"/>
      <c r="G2" s="68" t="s">
        <v>166</v>
      </c>
      <c r="H2" s="8"/>
      <c r="I2" s="68" t="s">
        <v>167</v>
      </c>
      <c r="J2" s="8"/>
      <c r="K2" s="68" t="s">
        <v>168</v>
      </c>
      <c r="L2" s="8"/>
      <c r="M2" s="68" t="s">
        <v>169</v>
      </c>
      <c r="N2" s="8"/>
      <c r="O2" s="68" t="s">
        <v>170</v>
      </c>
      <c r="P2" s="8"/>
      <c r="Q2" s="8" t="s">
        <v>175</v>
      </c>
      <c r="R2" s="8"/>
      <c r="S2" s="8" t="s">
        <v>183</v>
      </c>
      <c r="T2" s="8"/>
      <c r="U2" s="8" t="s">
        <v>184</v>
      </c>
      <c r="V2" s="18"/>
      <c r="W2" s="18" t="s">
        <v>186</v>
      </c>
      <c r="X2" s="27"/>
      <c r="Y2" s="8" t="s">
        <v>191</v>
      </c>
      <c r="Z2" s="27"/>
      <c r="AA2" s="27"/>
    </row>
    <row r="3" spans="1:28" x14ac:dyDescent="0.25">
      <c r="A3" s="102"/>
      <c r="B3" s="5"/>
      <c r="C3" s="5"/>
      <c r="D3" s="2" t="s">
        <v>147</v>
      </c>
      <c r="E3" s="33" t="s">
        <v>155</v>
      </c>
      <c r="F3" s="2" t="s">
        <v>148</v>
      </c>
      <c r="G3" s="33" t="s">
        <v>156</v>
      </c>
      <c r="H3" s="2" t="s">
        <v>149</v>
      </c>
      <c r="I3" s="33" t="s">
        <v>155</v>
      </c>
      <c r="J3" s="2" t="s">
        <v>150</v>
      </c>
      <c r="K3" s="33" t="s">
        <v>155</v>
      </c>
      <c r="L3" s="2" t="s">
        <v>157</v>
      </c>
      <c r="M3" s="33" t="s">
        <v>155</v>
      </c>
      <c r="N3" s="2" t="s">
        <v>151</v>
      </c>
      <c r="O3" s="33" t="s">
        <v>155</v>
      </c>
      <c r="P3" s="2" t="s">
        <v>152</v>
      </c>
      <c r="Q3" s="2" t="s">
        <v>155</v>
      </c>
      <c r="R3" s="2" t="s">
        <v>153</v>
      </c>
      <c r="S3" s="2" t="s">
        <v>155</v>
      </c>
      <c r="T3" s="2" t="s">
        <v>154</v>
      </c>
      <c r="U3" s="2" t="s">
        <v>155</v>
      </c>
      <c r="V3" s="2" t="s">
        <v>158</v>
      </c>
      <c r="W3" s="2" t="s">
        <v>155</v>
      </c>
      <c r="X3" s="28" t="s">
        <v>159</v>
      </c>
      <c r="Y3" s="28" t="s">
        <v>156</v>
      </c>
      <c r="Z3" s="28" t="s">
        <v>160</v>
      </c>
      <c r="AA3" s="28"/>
      <c r="AB3" s="2" t="s">
        <v>72</v>
      </c>
    </row>
    <row r="4" spans="1:28" x14ac:dyDescent="0.25">
      <c r="A4" s="102" t="s">
        <v>121</v>
      </c>
      <c r="B4" s="5"/>
      <c r="C4" s="5"/>
      <c r="D4" s="2"/>
      <c r="E4" s="33"/>
      <c r="F4" s="2"/>
      <c r="G4" s="33"/>
      <c r="H4" s="2"/>
      <c r="I4" s="33"/>
      <c r="J4" s="2"/>
      <c r="K4" s="33"/>
      <c r="L4" s="2"/>
      <c r="M4" s="33"/>
      <c r="N4" s="2"/>
      <c r="O4" s="33"/>
      <c r="P4" s="2"/>
      <c r="Q4" s="2"/>
      <c r="R4" s="2"/>
      <c r="S4" s="2"/>
      <c r="T4" s="2"/>
      <c r="U4" s="2"/>
      <c r="V4" s="2"/>
      <c r="W4" s="2"/>
      <c r="X4" s="28"/>
      <c r="Y4" s="28"/>
      <c r="Z4" s="28"/>
      <c r="AA4" s="28"/>
      <c r="AB4" s="2"/>
    </row>
    <row r="5" spans="1:28" x14ac:dyDescent="0.25">
      <c r="A5" s="103">
        <v>102800301</v>
      </c>
      <c r="B5" s="99" t="s">
        <v>73</v>
      </c>
      <c r="C5" s="99" t="s">
        <v>74</v>
      </c>
      <c r="D5" s="92">
        <v>698</v>
      </c>
      <c r="E5" s="52"/>
      <c r="F5" s="19">
        <v>851</v>
      </c>
      <c r="G5" s="52"/>
      <c r="H5" s="19">
        <v>693</v>
      </c>
      <c r="I5" s="52"/>
      <c r="J5" s="19">
        <v>170</v>
      </c>
      <c r="K5" s="52"/>
      <c r="L5" s="19">
        <v>-14</v>
      </c>
      <c r="M5" s="52"/>
      <c r="N5" s="19">
        <v>116</v>
      </c>
      <c r="O5" s="52"/>
      <c r="P5" s="19">
        <v>274</v>
      </c>
      <c r="Q5" s="19"/>
      <c r="R5" s="19">
        <v>257</v>
      </c>
      <c r="S5" s="19"/>
      <c r="T5" s="19">
        <v>169</v>
      </c>
      <c r="U5" s="19"/>
      <c r="V5" s="19">
        <v>331</v>
      </c>
      <c r="W5" s="19"/>
      <c r="X5" s="21">
        <v>214</v>
      </c>
      <c r="Y5" s="21"/>
      <c r="Z5" s="19"/>
      <c r="AA5" s="19"/>
      <c r="AB5" s="69">
        <f t="shared" ref="AB5:AB44" si="0">SUM(D5:Z5)</f>
        <v>3759</v>
      </c>
    </row>
    <row r="6" spans="1:28" x14ac:dyDescent="0.25">
      <c r="A6" s="101"/>
      <c r="B6" s="5" t="s">
        <v>133</v>
      </c>
      <c r="C6" s="5" t="s">
        <v>75</v>
      </c>
      <c r="D6" s="92"/>
      <c r="E6" s="52">
        <v>8509.11</v>
      </c>
      <c r="F6" s="19"/>
      <c r="G6" s="52">
        <v>9731.0499999999993</v>
      </c>
      <c r="H6" s="19"/>
      <c r="I6" s="52">
        <v>8835.3700000000008</v>
      </c>
      <c r="J6" s="19"/>
      <c r="K6" s="52">
        <v>5718.09</v>
      </c>
      <c r="L6" s="19"/>
      <c r="M6" s="52">
        <v>4251.79</v>
      </c>
      <c r="N6" s="22"/>
      <c r="O6" s="52">
        <v>5040.22</v>
      </c>
      <c r="P6" s="19"/>
      <c r="Q6" s="19">
        <v>6058.3</v>
      </c>
      <c r="R6" s="19"/>
      <c r="S6" s="19">
        <v>5948.76</v>
      </c>
      <c r="T6" s="19"/>
      <c r="U6" s="19">
        <v>5381.73</v>
      </c>
      <c r="V6" s="19"/>
      <c r="W6" s="19">
        <v>6646.73</v>
      </c>
      <c r="X6" s="19"/>
      <c r="Y6" s="19">
        <v>5957.28</v>
      </c>
      <c r="Z6" s="19"/>
      <c r="AA6" s="19"/>
      <c r="AB6" s="36">
        <f t="shared" si="0"/>
        <v>72078.429999999993</v>
      </c>
    </row>
    <row r="7" spans="1:28" x14ac:dyDescent="0.25">
      <c r="A7" s="101">
        <v>102798301</v>
      </c>
      <c r="B7" s="5" t="s">
        <v>76</v>
      </c>
      <c r="C7" s="5" t="s">
        <v>77</v>
      </c>
      <c r="D7" s="92"/>
      <c r="E7" s="52"/>
      <c r="F7" s="19">
        <v>342</v>
      </c>
      <c r="G7" s="52"/>
      <c r="H7" s="19">
        <v>386</v>
      </c>
      <c r="I7" s="52"/>
      <c r="J7" s="19">
        <v>408</v>
      </c>
      <c r="K7" s="78"/>
      <c r="L7" s="20">
        <v>397</v>
      </c>
      <c r="M7" s="78"/>
      <c r="N7" s="19">
        <v>287</v>
      </c>
      <c r="O7" s="52"/>
      <c r="P7" s="19">
        <v>264</v>
      </c>
      <c r="Q7" s="19"/>
      <c r="R7" s="19">
        <v>209</v>
      </c>
      <c r="S7" s="19"/>
      <c r="T7" s="19">
        <v>-1599</v>
      </c>
      <c r="U7" s="23"/>
      <c r="V7" s="23">
        <v>135</v>
      </c>
      <c r="W7" s="23"/>
      <c r="X7" s="19">
        <v>387</v>
      </c>
      <c r="Y7" s="19"/>
      <c r="Z7" s="19"/>
      <c r="AA7" s="19"/>
      <c r="AB7" s="6">
        <f t="shared" si="0"/>
        <v>1216</v>
      </c>
    </row>
    <row r="8" spans="1:28" x14ac:dyDescent="0.25">
      <c r="A8" s="102"/>
      <c r="B8" s="5" t="s">
        <v>103</v>
      </c>
      <c r="C8" s="5"/>
      <c r="D8" s="92"/>
      <c r="E8" s="52"/>
      <c r="F8" s="19"/>
      <c r="G8" s="52">
        <v>3870.54</v>
      </c>
      <c r="H8" s="19"/>
      <c r="I8" s="52">
        <v>4114.6899999999996</v>
      </c>
      <c r="J8" s="19"/>
      <c r="K8" s="52">
        <v>4236.76</v>
      </c>
      <c r="L8" s="19"/>
      <c r="M8" s="52">
        <v>3873.02</v>
      </c>
      <c r="N8" s="22"/>
      <c r="O8" s="52">
        <v>3409.71</v>
      </c>
      <c r="P8" s="19"/>
      <c r="Q8" s="19">
        <v>3269.42</v>
      </c>
      <c r="R8" s="19"/>
      <c r="S8" s="19">
        <v>2933.94</v>
      </c>
      <c r="T8" s="19"/>
      <c r="U8" s="19">
        <v>-8021.39</v>
      </c>
      <c r="V8" s="19"/>
      <c r="W8" s="19">
        <v>2507.5500000000002</v>
      </c>
      <c r="X8" s="19"/>
      <c r="Y8" s="19">
        <v>3905.85</v>
      </c>
      <c r="Z8" s="19"/>
      <c r="AA8" s="19"/>
      <c r="AB8" s="36">
        <f t="shared" si="0"/>
        <v>24100.089999999997</v>
      </c>
    </row>
    <row r="9" spans="1:28" x14ac:dyDescent="0.25">
      <c r="A9" s="101">
        <v>110511301</v>
      </c>
      <c r="B9" s="5" t="s">
        <v>76</v>
      </c>
      <c r="C9" s="5" t="s">
        <v>78</v>
      </c>
      <c r="D9" s="92">
        <v>45</v>
      </c>
      <c r="E9" s="52"/>
      <c r="F9" s="19">
        <v>24</v>
      </c>
      <c r="G9" s="52"/>
      <c r="H9" s="19">
        <v>29</v>
      </c>
      <c r="I9" s="52"/>
      <c r="J9" s="19">
        <v>108</v>
      </c>
      <c r="K9" s="52"/>
      <c r="L9" s="19">
        <v>17</v>
      </c>
      <c r="M9" s="52"/>
      <c r="N9" s="19">
        <v>85</v>
      </c>
      <c r="O9" s="52"/>
      <c r="P9" s="19">
        <v>61</v>
      </c>
      <c r="Q9" s="19"/>
      <c r="R9" s="19">
        <v>72</v>
      </c>
      <c r="S9" s="19"/>
      <c r="T9" s="19">
        <v>53</v>
      </c>
      <c r="U9" s="19"/>
      <c r="V9" s="19">
        <v>29</v>
      </c>
      <c r="W9" s="19"/>
      <c r="X9" s="19">
        <v>12</v>
      </c>
      <c r="Y9" s="19"/>
      <c r="Z9" s="19"/>
      <c r="AA9" s="19"/>
      <c r="AB9" s="6">
        <f t="shared" si="0"/>
        <v>535</v>
      </c>
    </row>
    <row r="10" spans="1:28" x14ac:dyDescent="0.25">
      <c r="A10" s="101"/>
      <c r="B10" s="5" t="s">
        <v>105</v>
      </c>
      <c r="C10" s="5"/>
      <c r="D10" s="92"/>
      <c r="E10" s="52">
        <v>373.07</v>
      </c>
      <c r="F10" s="19"/>
      <c r="G10" s="52">
        <v>261.04000000000002</v>
      </c>
      <c r="H10" s="19"/>
      <c r="I10" s="52">
        <v>288.79000000000002</v>
      </c>
      <c r="J10" s="19"/>
      <c r="K10" s="52">
        <v>727.14</v>
      </c>
      <c r="L10" s="19"/>
      <c r="M10" s="52">
        <v>248.85</v>
      </c>
      <c r="N10" s="22"/>
      <c r="O10" s="52">
        <v>678.98</v>
      </c>
      <c r="P10" s="19"/>
      <c r="Q10" s="19">
        <v>532.59</v>
      </c>
      <c r="R10" s="19"/>
      <c r="S10" s="19">
        <v>599.67999999999995</v>
      </c>
      <c r="T10" s="19"/>
      <c r="U10" s="19">
        <v>483.79</v>
      </c>
      <c r="V10" s="19"/>
      <c r="W10" s="19">
        <v>324.52</v>
      </c>
      <c r="X10" s="19"/>
      <c r="Y10" s="19">
        <v>233.04</v>
      </c>
      <c r="Z10" s="19"/>
      <c r="AA10" s="19"/>
      <c r="AB10" s="36">
        <f t="shared" si="0"/>
        <v>4751.4900000000007</v>
      </c>
    </row>
    <row r="11" spans="1:28" x14ac:dyDescent="0.25">
      <c r="A11" s="103">
        <v>102799301</v>
      </c>
      <c r="B11" s="99" t="s">
        <v>76</v>
      </c>
      <c r="C11" s="99" t="s">
        <v>79</v>
      </c>
      <c r="D11" s="92">
        <v>0</v>
      </c>
      <c r="E11" s="52"/>
      <c r="F11" s="19">
        <v>0</v>
      </c>
      <c r="G11" s="52"/>
      <c r="H11" s="19">
        <v>222</v>
      </c>
      <c r="I11" s="52"/>
      <c r="J11" s="19">
        <f>1026+237</f>
        <v>1263</v>
      </c>
      <c r="K11" s="78"/>
      <c r="L11" s="20">
        <v>1621</v>
      </c>
      <c r="M11" s="78"/>
      <c r="N11" s="19">
        <v>1816</v>
      </c>
      <c r="O11" s="52"/>
      <c r="P11" s="19">
        <v>2395</v>
      </c>
      <c r="Q11" s="19"/>
      <c r="R11" s="19">
        <v>3218</v>
      </c>
      <c r="S11" s="19"/>
      <c r="T11" s="19">
        <v>1551</v>
      </c>
      <c r="U11" s="19"/>
      <c r="V11" s="19">
        <v>2735</v>
      </c>
      <c r="W11" s="19"/>
      <c r="X11" s="19">
        <v>1211</v>
      </c>
      <c r="Y11" s="19"/>
      <c r="Z11" s="19"/>
      <c r="AA11" s="19"/>
      <c r="AB11" s="6">
        <f t="shared" si="0"/>
        <v>16032</v>
      </c>
    </row>
    <row r="12" spans="1:28" x14ac:dyDescent="0.25">
      <c r="A12" s="101"/>
      <c r="B12" s="5" t="s">
        <v>104</v>
      </c>
      <c r="C12" s="5"/>
      <c r="D12" s="92"/>
      <c r="E12" s="52">
        <v>113.89</v>
      </c>
      <c r="F12" s="19"/>
      <c r="G12" s="52">
        <v>113.89</v>
      </c>
      <c r="H12" s="19"/>
      <c r="I12" s="52">
        <v>1320.37</v>
      </c>
      <c r="J12" s="19"/>
      <c r="K12" s="52">
        <v>7096.67</v>
      </c>
      <c r="L12" s="19"/>
      <c r="M12" s="52">
        <v>9083.14</v>
      </c>
      <c r="N12" s="22"/>
      <c r="O12" s="52">
        <v>11172.47</v>
      </c>
      <c r="P12" s="19"/>
      <c r="Q12" s="19">
        <v>14704.14</v>
      </c>
      <c r="R12" s="19"/>
      <c r="S12" s="19">
        <v>19724.11</v>
      </c>
      <c r="T12" s="19"/>
      <c r="U12" s="19">
        <v>9556.07</v>
      </c>
      <c r="V12" s="19"/>
      <c r="W12" s="19">
        <v>15264.5</v>
      </c>
      <c r="X12" s="19"/>
      <c r="Y12" s="19">
        <v>6808.13</v>
      </c>
      <c r="Z12" s="19"/>
      <c r="AA12" s="19"/>
      <c r="AB12" s="36">
        <f t="shared" si="0"/>
        <v>94957.38</v>
      </c>
    </row>
    <row r="13" spans="1:28" x14ac:dyDescent="0.25">
      <c r="A13" s="101">
        <v>110503301</v>
      </c>
      <c r="B13" s="5" t="s">
        <v>76</v>
      </c>
      <c r="C13" s="5" t="s">
        <v>80</v>
      </c>
      <c r="D13" s="92">
        <v>73</v>
      </c>
      <c r="E13" s="52"/>
      <c r="F13" s="19">
        <v>33</v>
      </c>
      <c r="G13" s="52"/>
      <c r="H13" s="19">
        <v>38</v>
      </c>
      <c r="I13" s="52"/>
      <c r="J13" s="19">
        <v>39</v>
      </c>
      <c r="K13" s="52"/>
      <c r="L13" s="19">
        <v>40</v>
      </c>
      <c r="M13" s="52"/>
      <c r="N13" s="19">
        <v>105</v>
      </c>
      <c r="O13" s="52"/>
      <c r="P13" s="19">
        <v>70</v>
      </c>
      <c r="Q13" s="19"/>
      <c r="R13" s="19">
        <v>76</v>
      </c>
      <c r="S13" s="19"/>
      <c r="T13" s="19">
        <v>72</v>
      </c>
      <c r="U13" s="19"/>
      <c r="V13" s="19">
        <v>51</v>
      </c>
      <c r="W13" s="19"/>
      <c r="X13" s="19">
        <v>36</v>
      </c>
      <c r="Y13" s="19"/>
      <c r="Z13" s="19"/>
      <c r="AA13" s="19"/>
      <c r="AB13" s="6">
        <f t="shared" si="0"/>
        <v>633</v>
      </c>
    </row>
    <row r="14" spans="1:28" x14ac:dyDescent="0.25">
      <c r="A14" s="101"/>
      <c r="B14" s="5" t="s">
        <v>109</v>
      </c>
      <c r="C14" s="5"/>
      <c r="D14" s="92"/>
      <c r="E14" s="52">
        <v>550</v>
      </c>
      <c r="F14" s="19"/>
      <c r="G14" s="52">
        <v>363.62</v>
      </c>
      <c r="H14" s="19"/>
      <c r="I14" s="52">
        <v>391.37</v>
      </c>
      <c r="J14" s="19"/>
      <c r="K14" s="52">
        <v>396.92</v>
      </c>
      <c r="L14" s="19"/>
      <c r="M14" s="52">
        <v>457.89</v>
      </c>
      <c r="N14" s="21"/>
      <c r="O14" s="79">
        <v>883.46</v>
      </c>
      <c r="P14" s="19"/>
      <c r="Q14" s="19">
        <v>669.97</v>
      </c>
      <c r="R14" s="19"/>
      <c r="S14" s="19">
        <v>706.57</v>
      </c>
      <c r="T14" s="19"/>
      <c r="U14" s="19">
        <v>652.16999999999996</v>
      </c>
      <c r="V14" s="19"/>
      <c r="W14" s="19">
        <v>532.28</v>
      </c>
      <c r="X14" s="19"/>
      <c r="Y14" s="19">
        <v>449.05</v>
      </c>
      <c r="Z14" s="19"/>
      <c r="AA14" s="19"/>
      <c r="AB14" s="36">
        <f t="shared" si="0"/>
        <v>6053.3</v>
      </c>
    </row>
    <row r="15" spans="1:28" x14ac:dyDescent="0.25">
      <c r="A15" s="101">
        <v>110640301</v>
      </c>
      <c r="B15" s="5" t="s">
        <v>73</v>
      </c>
      <c r="C15" s="5" t="s">
        <v>81</v>
      </c>
      <c r="D15" s="92">
        <v>38</v>
      </c>
      <c r="E15" s="52"/>
      <c r="F15" s="19">
        <v>44</v>
      </c>
      <c r="G15" s="52"/>
      <c r="H15" s="19">
        <v>30</v>
      </c>
      <c r="I15" s="52"/>
      <c r="J15" s="19">
        <v>16</v>
      </c>
      <c r="K15" s="52"/>
      <c r="L15" s="19">
        <v>14</v>
      </c>
      <c r="M15" s="52"/>
      <c r="N15" s="19">
        <v>53</v>
      </c>
      <c r="O15" s="52"/>
      <c r="P15" s="19">
        <v>66</v>
      </c>
      <c r="Q15" s="19"/>
      <c r="R15" s="19">
        <v>96</v>
      </c>
      <c r="S15" s="19"/>
      <c r="T15" s="19">
        <v>-185</v>
      </c>
      <c r="U15" s="19"/>
      <c r="V15" s="19">
        <v>30</v>
      </c>
      <c r="W15" s="19"/>
      <c r="X15" s="19">
        <v>20</v>
      </c>
      <c r="Y15" s="19"/>
      <c r="Z15" s="19"/>
      <c r="AA15" s="19"/>
      <c r="AB15" s="6">
        <f t="shared" si="0"/>
        <v>222</v>
      </c>
    </row>
    <row r="16" spans="1:28" x14ac:dyDescent="0.25">
      <c r="A16" s="101"/>
      <c r="B16" s="5" t="s">
        <v>101</v>
      </c>
      <c r="C16" s="5"/>
      <c r="D16" s="92"/>
      <c r="E16" s="52">
        <v>1100</v>
      </c>
      <c r="F16" s="19"/>
      <c r="G16" s="52">
        <v>1134.6400000000001</v>
      </c>
      <c r="H16" s="19"/>
      <c r="I16" s="52">
        <v>1056.96</v>
      </c>
      <c r="J16" s="19"/>
      <c r="K16" s="52">
        <v>980.7</v>
      </c>
      <c r="L16" s="19"/>
      <c r="M16" s="52">
        <v>271.08999999999997</v>
      </c>
      <c r="N16" s="22"/>
      <c r="O16" s="52">
        <v>521.6</v>
      </c>
      <c r="P16" s="19"/>
      <c r="Q16" s="19">
        <v>600.89</v>
      </c>
      <c r="R16" s="19"/>
      <c r="S16" s="19">
        <v>783.88</v>
      </c>
      <c r="T16" s="19"/>
      <c r="U16" s="19">
        <v>-893.51</v>
      </c>
      <c r="V16" s="19"/>
      <c r="W16" s="19">
        <v>369.28</v>
      </c>
      <c r="X16" s="19"/>
      <c r="Y16" s="19">
        <v>313.79000000000002</v>
      </c>
      <c r="Z16" s="19"/>
      <c r="AA16" s="19"/>
      <c r="AB16" s="36">
        <f t="shared" si="0"/>
        <v>6239.3200000000006</v>
      </c>
    </row>
    <row r="17" spans="1:28" x14ac:dyDescent="0.25">
      <c r="A17" s="101">
        <v>110624301</v>
      </c>
      <c r="B17" s="5" t="s">
        <v>126</v>
      </c>
      <c r="C17" s="5" t="s">
        <v>82</v>
      </c>
      <c r="D17" s="92">
        <v>0</v>
      </c>
      <c r="E17" s="52"/>
      <c r="F17" s="19">
        <v>0</v>
      </c>
      <c r="G17" s="52"/>
      <c r="H17" s="19">
        <v>0</v>
      </c>
      <c r="I17" s="52"/>
      <c r="J17" s="19">
        <v>0</v>
      </c>
      <c r="K17" s="52"/>
      <c r="L17" s="19">
        <v>0</v>
      </c>
      <c r="M17" s="52"/>
      <c r="N17" s="19">
        <v>0</v>
      </c>
      <c r="O17" s="52"/>
      <c r="P17" s="19">
        <v>0</v>
      </c>
      <c r="Q17" s="19"/>
      <c r="R17" s="19">
        <v>0</v>
      </c>
      <c r="S17" s="19"/>
      <c r="T17" s="19">
        <v>0</v>
      </c>
      <c r="U17" s="19"/>
      <c r="V17" s="19">
        <v>0</v>
      </c>
      <c r="W17" s="19"/>
      <c r="X17" s="19">
        <v>0</v>
      </c>
      <c r="Y17" s="19"/>
      <c r="Z17" s="19"/>
      <c r="AA17" s="19"/>
      <c r="AB17" s="6">
        <f t="shared" si="0"/>
        <v>0</v>
      </c>
    </row>
    <row r="18" spans="1:28" x14ac:dyDescent="0.25">
      <c r="A18" s="101"/>
      <c r="B18" s="5" t="s">
        <v>127</v>
      </c>
      <c r="C18" s="5"/>
      <c r="D18" s="92"/>
      <c r="E18" s="52">
        <v>141.94</v>
      </c>
      <c r="F18" s="19"/>
      <c r="G18" s="52">
        <v>141.94</v>
      </c>
      <c r="H18" s="19"/>
      <c r="I18" s="52">
        <v>141.94</v>
      </c>
      <c r="J18" s="19"/>
      <c r="K18" s="52">
        <v>141.94</v>
      </c>
      <c r="L18" s="19"/>
      <c r="M18" s="52">
        <v>141.94</v>
      </c>
      <c r="N18" s="22"/>
      <c r="O18" s="52">
        <v>141.94</v>
      </c>
      <c r="P18" s="19"/>
      <c r="Q18" s="19">
        <v>141.94</v>
      </c>
      <c r="R18" s="19"/>
      <c r="S18" s="19">
        <v>141.94</v>
      </c>
      <c r="T18" s="19"/>
      <c r="U18" s="19">
        <v>141.94</v>
      </c>
      <c r="V18" s="19"/>
      <c r="W18" s="19">
        <v>141.94</v>
      </c>
      <c r="X18" s="19"/>
      <c r="Y18" s="19">
        <v>141.94</v>
      </c>
      <c r="Z18" s="19"/>
      <c r="AA18" s="19"/>
      <c r="AB18" s="36">
        <f t="shared" si="0"/>
        <v>1561.3400000000004</v>
      </c>
    </row>
    <row r="19" spans="1:28" x14ac:dyDescent="0.25">
      <c r="A19" s="101">
        <v>110639301</v>
      </c>
      <c r="B19" s="5" t="s">
        <v>73</v>
      </c>
      <c r="C19" s="5" t="s">
        <v>83</v>
      </c>
      <c r="D19" s="92">
        <v>44</v>
      </c>
      <c r="E19" s="52"/>
      <c r="F19" s="19">
        <v>52</v>
      </c>
      <c r="G19" s="52"/>
      <c r="H19" s="19">
        <v>35</v>
      </c>
      <c r="I19" s="52"/>
      <c r="J19" s="19">
        <v>16</v>
      </c>
      <c r="K19" s="52"/>
      <c r="L19" s="19">
        <v>22</v>
      </c>
      <c r="M19" s="52"/>
      <c r="N19" s="24">
        <v>25</v>
      </c>
      <c r="O19" s="80"/>
      <c r="P19" s="24">
        <v>25</v>
      </c>
      <c r="Q19" s="24"/>
      <c r="R19" s="19">
        <v>23</v>
      </c>
      <c r="S19" s="19"/>
      <c r="T19" s="19">
        <v>16</v>
      </c>
      <c r="U19" s="19"/>
      <c r="V19" s="19">
        <v>33</v>
      </c>
      <c r="W19" s="19"/>
      <c r="X19" s="19">
        <v>19</v>
      </c>
      <c r="Y19" s="19"/>
      <c r="Z19" s="19"/>
      <c r="AA19" s="19"/>
      <c r="AB19" s="6">
        <f t="shared" si="0"/>
        <v>310</v>
      </c>
    </row>
    <row r="20" spans="1:28" x14ac:dyDescent="0.25">
      <c r="A20" s="101"/>
      <c r="B20" s="5" t="s">
        <v>100</v>
      </c>
      <c r="C20" s="5"/>
      <c r="D20" s="92"/>
      <c r="E20" s="52">
        <v>1240.25</v>
      </c>
      <c r="F20" s="19"/>
      <c r="G20" s="52">
        <v>1289.8800000000001</v>
      </c>
      <c r="H20" s="19"/>
      <c r="I20" s="52">
        <v>1195.55</v>
      </c>
      <c r="J20" s="19"/>
      <c r="K20" s="52">
        <v>1091.55</v>
      </c>
      <c r="L20" s="19"/>
      <c r="M20" s="52">
        <v>343.18</v>
      </c>
      <c r="N20" s="22"/>
      <c r="O20" s="52">
        <v>380.65</v>
      </c>
      <c r="P20" s="19"/>
      <c r="Q20" s="19">
        <v>380.65</v>
      </c>
      <c r="R20" s="19"/>
      <c r="S20" s="19">
        <v>368.45</v>
      </c>
      <c r="T20" s="19"/>
      <c r="U20" s="19">
        <v>325.75</v>
      </c>
      <c r="V20" s="19"/>
      <c r="W20" s="19">
        <v>417.26</v>
      </c>
      <c r="X20" s="19"/>
      <c r="Y20" s="19">
        <v>339.94</v>
      </c>
      <c r="Z20" s="19"/>
      <c r="AA20" s="19"/>
      <c r="AB20" s="36">
        <f t="shared" si="0"/>
        <v>7373.11</v>
      </c>
    </row>
    <row r="21" spans="1:28" x14ac:dyDescent="0.25">
      <c r="A21" s="101">
        <v>110514301</v>
      </c>
      <c r="B21" s="5" t="s">
        <v>73</v>
      </c>
      <c r="C21" s="5" t="s">
        <v>84</v>
      </c>
      <c r="D21" s="92">
        <v>0</v>
      </c>
      <c r="E21" s="52"/>
      <c r="F21" s="19">
        <v>0</v>
      </c>
      <c r="G21" s="52"/>
      <c r="H21" s="19">
        <v>0</v>
      </c>
      <c r="I21" s="52"/>
      <c r="J21" s="19">
        <v>0</v>
      </c>
      <c r="K21" s="52"/>
      <c r="L21" s="19">
        <v>0</v>
      </c>
      <c r="M21" s="52"/>
      <c r="N21" s="19">
        <v>1</v>
      </c>
      <c r="O21" s="52"/>
      <c r="P21" s="19">
        <v>1</v>
      </c>
      <c r="Q21" s="19"/>
      <c r="R21" s="21">
        <v>1</v>
      </c>
      <c r="S21" s="21"/>
      <c r="T21" s="19">
        <v>0</v>
      </c>
      <c r="U21" s="19"/>
      <c r="V21" s="19">
        <v>1</v>
      </c>
      <c r="W21" s="19"/>
      <c r="X21" s="19">
        <v>0</v>
      </c>
      <c r="Y21" s="19"/>
      <c r="Z21" s="19"/>
      <c r="AA21" s="19"/>
      <c r="AB21" s="6">
        <f t="shared" si="0"/>
        <v>4</v>
      </c>
    </row>
    <row r="22" spans="1:28" x14ac:dyDescent="0.25">
      <c r="A22" s="101"/>
      <c r="B22" s="5" t="s">
        <v>102</v>
      </c>
      <c r="C22" s="5"/>
      <c r="D22" s="92"/>
      <c r="E22" s="52">
        <v>94.78</v>
      </c>
      <c r="F22" s="19"/>
      <c r="G22" s="52">
        <v>99.28</v>
      </c>
      <c r="H22" s="19"/>
      <c r="I22" s="52">
        <v>99.28</v>
      </c>
      <c r="J22" s="19"/>
      <c r="K22" s="52">
        <v>99.28</v>
      </c>
      <c r="L22" s="19"/>
      <c r="M22" s="52">
        <v>99.28</v>
      </c>
      <c r="N22" s="22"/>
      <c r="O22" s="52">
        <v>99.28</v>
      </c>
      <c r="P22" s="19"/>
      <c r="Q22" s="19">
        <v>99.28</v>
      </c>
      <c r="R22" s="19"/>
      <c r="S22" s="19">
        <v>99.28</v>
      </c>
      <c r="T22" s="19"/>
      <c r="U22" s="19">
        <v>99.28</v>
      </c>
      <c r="V22" s="19"/>
      <c r="W22" s="19">
        <v>104.5</v>
      </c>
      <c r="X22" s="19"/>
      <c r="Y22" s="19">
        <v>104.5</v>
      </c>
      <c r="Z22" s="19"/>
      <c r="AA22" s="19"/>
      <c r="AB22" s="36">
        <f t="shared" si="0"/>
        <v>1098.02</v>
      </c>
    </row>
    <row r="23" spans="1:28" x14ac:dyDescent="0.25">
      <c r="A23" s="103">
        <v>110587301</v>
      </c>
      <c r="B23" s="99" t="s">
        <v>129</v>
      </c>
      <c r="C23" s="99" t="s">
        <v>85</v>
      </c>
      <c r="D23" s="92">
        <v>-3</v>
      </c>
      <c r="E23" s="52"/>
      <c r="F23" s="19">
        <v>96</v>
      </c>
      <c r="G23" s="52"/>
      <c r="H23" s="19">
        <v>26</v>
      </c>
      <c r="I23" s="52"/>
      <c r="J23" s="19">
        <v>0</v>
      </c>
      <c r="K23" s="52"/>
      <c r="L23" s="19">
        <v>32</v>
      </c>
      <c r="M23" s="52"/>
      <c r="N23" s="19">
        <v>20</v>
      </c>
      <c r="O23" s="52"/>
      <c r="P23" s="19">
        <v>121</v>
      </c>
      <c r="Q23" s="19"/>
      <c r="R23" s="19">
        <v>191</v>
      </c>
      <c r="S23" s="19"/>
      <c r="T23" s="19">
        <v>155</v>
      </c>
      <c r="U23" s="19"/>
      <c r="V23" s="19">
        <v>178</v>
      </c>
      <c r="W23" s="19"/>
      <c r="X23" s="19">
        <v>142</v>
      </c>
      <c r="Y23" s="19"/>
      <c r="Z23" s="19"/>
      <c r="AA23" s="19"/>
      <c r="AB23" s="6">
        <f t="shared" si="0"/>
        <v>958</v>
      </c>
    </row>
    <row r="24" spans="1:28" x14ac:dyDescent="0.25">
      <c r="A24" s="101"/>
      <c r="B24" s="5" t="s">
        <v>128</v>
      </c>
      <c r="C24" s="5"/>
      <c r="D24" s="92"/>
      <c r="E24" s="52">
        <v>1013.34</v>
      </c>
      <c r="F24" s="19"/>
      <c r="G24" s="52">
        <v>2012.33</v>
      </c>
      <c r="H24" s="19"/>
      <c r="I24" s="52">
        <v>1623.91</v>
      </c>
      <c r="J24" s="19"/>
      <c r="K24" s="52">
        <v>1505</v>
      </c>
      <c r="L24" s="19"/>
      <c r="M24" s="52">
        <v>1657.2</v>
      </c>
      <c r="N24" s="22"/>
      <c r="O24" s="52">
        <v>1608.69</v>
      </c>
      <c r="P24" s="19"/>
      <c r="Q24" s="19">
        <v>2224.75</v>
      </c>
      <c r="R24" s="19"/>
      <c r="S24" s="19">
        <v>2651.72</v>
      </c>
      <c r="T24" s="19"/>
      <c r="U24" s="19">
        <v>2432.14</v>
      </c>
      <c r="V24" s="19"/>
      <c r="W24" s="19">
        <v>2836.07</v>
      </c>
      <c r="X24" s="19"/>
      <c r="Y24" s="19">
        <v>2636.31</v>
      </c>
      <c r="Z24" s="19"/>
      <c r="AA24" s="19"/>
      <c r="AB24" s="36">
        <f t="shared" si="0"/>
        <v>22201.46</v>
      </c>
    </row>
    <row r="25" spans="1:28" x14ac:dyDescent="0.25">
      <c r="A25" s="101">
        <v>110508301</v>
      </c>
      <c r="B25" s="5" t="s">
        <v>130</v>
      </c>
      <c r="C25" s="5" t="s">
        <v>86</v>
      </c>
      <c r="D25" s="92">
        <v>1</v>
      </c>
      <c r="E25" s="52"/>
      <c r="F25" s="19">
        <v>2</v>
      </c>
      <c r="G25" s="52"/>
      <c r="H25" s="19">
        <v>1</v>
      </c>
      <c r="I25" s="52"/>
      <c r="J25" s="19">
        <v>1</v>
      </c>
      <c r="K25" s="52"/>
      <c r="L25" s="19">
        <v>0</v>
      </c>
      <c r="M25" s="52"/>
      <c r="N25" s="19">
        <v>1</v>
      </c>
      <c r="O25" s="52"/>
      <c r="P25" s="19">
        <v>1</v>
      </c>
      <c r="Q25" s="19"/>
      <c r="R25" s="19">
        <v>1</v>
      </c>
      <c r="S25" s="19"/>
      <c r="T25" s="19">
        <v>1</v>
      </c>
      <c r="U25" s="19"/>
      <c r="V25" s="19">
        <v>1</v>
      </c>
      <c r="W25" s="19"/>
      <c r="X25" s="19">
        <v>2</v>
      </c>
      <c r="Y25" s="19"/>
      <c r="Z25" s="19"/>
      <c r="AA25" s="19"/>
      <c r="AB25" s="6">
        <f t="shared" si="0"/>
        <v>12</v>
      </c>
    </row>
    <row r="26" spans="1:28" x14ac:dyDescent="0.25">
      <c r="A26" s="101"/>
      <c r="B26" s="5" t="s">
        <v>131</v>
      </c>
      <c r="C26" s="5"/>
      <c r="D26" s="92"/>
      <c r="E26" s="52">
        <v>104.11</v>
      </c>
      <c r="F26" s="19"/>
      <c r="G26" s="52">
        <v>99.28</v>
      </c>
      <c r="H26" s="19"/>
      <c r="I26" s="52">
        <v>99.28</v>
      </c>
      <c r="J26" s="19"/>
      <c r="K26" s="52">
        <v>99.28</v>
      </c>
      <c r="L26" s="19"/>
      <c r="M26" s="52">
        <v>99.28</v>
      </c>
      <c r="N26" s="22"/>
      <c r="O26" s="52">
        <v>99.28</v>
      </c>
      <c r="P26" s="19"/>
      <c r="Q26" s="19">
        <v>99.28</v>
      </c>
      <c r="R26" s="19"/>
      <c r="S26" s="19">
        <v>99.28</v>
      </c>
      <c r="T26" s="19"/>
      <c r="U26" s="19">
        <v>99.28</v>
      </c>
      <c r="V26" s="19"/>
      <c r="W26" s="19">
        <v>104.5</v>
      </c>
      <c r="X26" s="19"/>
      <c r="Y26" s="19">
        <v>104.5</v>
      </c>
      <c r="Z26" s="19"/>
      <c r="AA26" s="19"/>
      <c r="AB26" s="36">
        <f t="shared" si="0"/>
        <v>1107.3499999999999</v>
      </c>
    </row>
    <row r="27" spans="1:28" x14ac:dyDescent="0.25">
      <c r="A27" s="101">
        <v>127787301</v>
      </c>
      <c r="B27" s="5" t="s">
        <v>76</v>
      </c>
      <c r="C27" s="5" t="s">
        <v>87</v>
      </c>
      <c r="D27" s="92">
        <v>1</v>
      </c>
      <c r="E27" s="52"/>
      <c r="F27" s="19">
        <v>1</v>
      </c>
      <c r="G27" s="52"/>
      <c r="H27" s="19">
        <v>1</v>
      </c>
      <c r="I27" s="52"/>
      <c r="J27" s="19">
        <v>0</v>
      </c>
      <c r="K27" s="52"/>
      <c r="L27" s="19">
        <v>1</v>
      </c>
      <c r="M27" s="52"/>
      <c r="N27" s="19">
        <v>1</v>
      </c>
      <c r="O27" s="52"/>
      <c r="P27" s="19">
        <v>2</v>
      </c>
      <c r="Q27" s="19"/>
      <c r="R27" s="21">
        <v>2</v>
      </c>
      <c r="S27" s="21"/>
      <c r="T27" s="19">
        <v>1</v>
      </c>
      <c r="U27" s="19">
        <v>3</v>
      </c>
      <c r="V27" s="19">
        <v>2</v>
      </c>
      <c r="W27" s="19"/>
      <c r="X27" s="19">
        <v>1</v>
      </c>
      <c r="Y27" s="19"/>
      <c r="Z27" s="19"/>
      <c r="AA27" s="19"/>
      <c r="AB27" s="6">
        <f t="shared" si="0"/>
        <v>16</v>
      </c>
    </row>
    <row r="28" spans="1:28" x14ac:dyDescent="0.25">
      <c r="A28" s="101"/>
      <c r="B28" s="5" t="s">
        <v>161</v>
      </c>
      <c r="C28" s="5" t="s">
        <v>132</v>
      </c>
      <c r="D28" s="92"/>
      <c r="E28" s="52">
        <v>104.11</v>
      </c>
      <c r="F28" s="19"/>
      <c r="G28" s="52">
        <v>103.87</v>
      </c>
      <c r="H28" s="19"/>
      <c r="I28" s="52">
        <v>99.28</v>
      </c>
      <c r="J28" s="19"/>
      <c r="K28" s="52">
        <v>99.28</v>
      </c>
      <c r="L28" s="19"/>
      <c r="M28" s="52">
        <v>99.28</v>
      </c>
      <c r="N28" s="19"/>
      <c r="O28" s="52">
        <v>99.28</v>
      </c>
      <c r="P28" s="19"/>
      <c r="Q28" s="19">
        <v>99.28</v>
      </c>
      <c r="R28" s="19"/>
      <c r="S28" s="19">
        <v>99.28</v>
      </c>
      <c r="T28" s="19"/>
      <c r="U28" s="19">
        <v>99.28</v>
      </c>
      <c r="V28" s="19"/>
      <c r="W28" s="19">
        <v>99.28</v>
      </c>
      <c r="X28" s="19"/>
      <c r="Y28" s="19">
        <v>104.5</v>
      </c>
      <c r="Z28" s="19"/>
      <c r="AA28" s="19"/>
      <c r="AB28" s="36">
        <f t="shared" si="0"/>
        <v>1106.7199999999998</v>
      </c>
    </row>
    <row r="29" spans="1:28" x14ac:dyDescent="0.25">
      <c r="A29" s="101">
        <v>127996301</v>
      </c>
      <c r="B29" s="5" t="s">
        <v>76</v>
      </c>
      <c r="C29" s="5" t="s">
        <v>88</v>
      </c>
      <c r="D29" s="92">
        <v>2</v>
      </c>
      <c r="E29" s="52"/>
      <c r="F29" s="19">
        <v>3</v>
      </c>
      <c r="G29" s="52"/>
      <c r="H29" s="19">
        <v>1</v>
      </c>
      <c r="I29" s="52"/>
      <c r="J29" s="19">
        <v>1</v>
      </c>
      <c r="K29" s="52"/>
      <c r="L29" s="19">
        <v>1</v>
      </c>
      <c r="M29" s="52"/>
      <c r="N29" s="19"/>
      <c r="O29" s="52"/>
      <c r="P29" s="19">
        <v>2</v>
      </c>
      <c r="Q29" s="19"/>
      <c r="R29" s="19">
        <v>2</v>
      </c>
      <c r="S29" s="19"/>
      <c r="T29" s="19">
        <v>2</v>
      </c>
      <c r="U29" s="19"/>
      <c r="V29" s="19">
        <v>2</v>
      </c>
      <c r="W29" s="19"/>
      <c r="X29" s="19">
        <v>3</v>
      </c>
      <c r="Y29" s="19"/>
      <c r="Z29" s="19"/>
      <c r="AA29" s="19"/>
      <c r="AB29" s="6">
        <f t="shared" si="0"/>
        <v>19</v>
      </c>
    </row>
    <row r="30" spans="1:28" x14ac:dyDescent="0.25">
      <c r="A30" s="101"/>
      <c r="B30" s="5" t="s">
        <v>110</v>
      </c>
      <c r="C30" s="5"/>
      <c r="D30" s="92"/>
      <c r="E30" s="52">
        <v>22.4</v>
      </c>
      <c r="F30" s="19"/>
      <c r="G30" s="52">
        <v>26.9</v>
      </c>
      <c r="H30" s="19"/>
      <c r="I30" s="52">
        <v>26.9</v>
      </c>
      <c r="J30" s="19"/>
      <c r="K30" s="52">
        <v>26.9</v>
      </c>
      <c r="L30" s="19"/>
      <c r="M30" s="52">
        <v>26.9</v>
      </c>
      <c r="N30" s="19"/>
      <c r="O30" s="52">
        <v>26.9</v>
      </c>
      <c r="P30" s="19"/>
      <c r="Q30" s="19">
        <v>26.9</v>
      </c>
      <c r="R30" s="19"/>
      <c r="S30" s="19">
        <v>26.9</v>
      </c>
      <c r="T30" s="19"/>
      <c r="U30" s="19">
        <v>26.9</v>
      </c>
      <c r="V30" s="19"/>
      <c r="W30" s="19">
        <v>26.9</v>
      </c>
      <c r="X30" s="19"/>
      <c r="Y30" s="19">
        <v>30.28</v>
      </c>
      <c r="Z30" s="19"/>
      <c r="AA30" s="19"/>
      <c r="AB30" s="36">
        <f t="shared" si="0"/>
        <v>294.77999999999997</v>
      </c>
    </row>
    <row r="31" spans="1:28" x14ac:dyDescent="0.25">
      <c r="A31" s="101">
        <v>109426301</v>
      </c>
      <c r="B31" s="5" t="s">
        <v>73</v>
      </c>
      <c r="C31" s="5" t="s">
        <v>89</v>
      </c>
      <c r="D31" s="92">
        <v>35</v>
      </c>
      <c r="E31" s="52"/>
      <c r="F31" s="19">
        <v>15</v>
      </c>
      <c r="G31" s="52"/>
      <c r="H31" s="19">
        <v>0</v>
      </c>
      <c r="I31" s="52"/>
      <c r="J31" s="19">
        <v>-15</v>
      </c>
      <c r="K31" s="52"/>
      <c r="L31" s="19">
        <v>0</v>
      </c>
      <c r="M31" s="52"/>
      <c r="N31" s="19">
        <v>55</v>
      </c>
      <c r="O31" s="52"/>
      <c r="P31" s="19">
        <v>45</v>
      </c>
      <c r="Q31" s="19"/>
      <c r="R31" s="19">
        <v>67</v>
      </c>
      <c r="S31" s="19"/>
      <c r="T31" s="19">
        <v>80</v>
      </c>
      <c r="U31" s="19"/>
      <c r="V31" s="19">
        <v>20</v>
      </c>
      <c r="W31" s="19"/>
      <c r="X31" s="19">
        <v>84</v>
      </c>
      <c r="Y31" s="19"/>
      <c r="Z31" s="19"/>
      <c r="AA31" s="19"/>
      <c r="AB31" s="6">
        <f t="shared" si="0"/>
        <v>386</v>
      </c>
    </row>
    <row r="32" spans="1:28" x14ac:dyDescent="0.25">
      <c r="A32" s="101"/>
      <c r="B32" s="5" t="s">
        <v>112</v>
      </c>
      <c r="C32" s="89" t="s">
        <v>90</v>
      </c>
      <c r="D32" s="92"/>
      <c r="E32" s="52">
        <v>200</v>
      </c>
      <c r="F32" s="19"/>
      <c r="G32" s="52">
        <v>88.19</v>
      </c>
      <c r="H32" s="19"/>
      <c r="I32" s="52">
        <v>28.53</v>
      </c>
      <c r="J32" s="19"/>
      <c r="K32" s="52">
        <v>-31.13</v>
      </c>
      <c r="L32" s="19"/>
      <c r="M32" s="52">
        <v>28.53</v>
      </c>
      <c r="N32" s="22"/>
      <c r="O32" s="52">
        <v>345.71</v>
      </c>
      <c r="P32" s="19"/>
      <c r="Q32" s="19">
        <v>284.70999999999998</v>
      </c>
      <c r="R32" s="19"/>
      <c r="S32" s="19">
        <v>418.9</v>
      </c>
      <c r="T32" s="19"/>
      <c r="U32" s="19">
        <v>498.2</v>
      </c>
      <c r="V32" s="19"/>
      <c r="W32" s="19">
        <v>114.15</v>
      </c>
      <c r="X32" s="19"/>
      <c r="Y32" s="19">
        <v>469.27</v>
      </c>
      <c r="Z32" s="19"/>
      <c r="AA32" s="19"/>
      <c r="AB32" s="36">
        <f t="shared" si="0"/>
        <v>2445.0600000000004</v>
      </c>
    </row>
    <row r="33" spans="1:28" x14ac:dyDescent="0.25">
      <c r="A33" s="101">
        <v>110509301</v>
      </c>
      <c r="B33" s="5" t="s">
        <v>76</v>
      </c>
      <c r="C33" s="97" t="s">
        <v>91</v>
      </c>
      <c r="D33" s="92">
        <v>332</v>
      </c>
      <c r="E33" s="52"/>
      <c r="F33" s="19">
        <v>302</v>
      </c>
      <c r="G33" s="52"/>
      <c r="H33" s="19">
        <v>283</v>
      </c>
      <c r="I33" s="52"/>
      <c r="J33" s="19">
        <v>292</v>
      </c>
      <c r="K33" s="52"/>
      <c r="L33" s="19">
        <v>287</v>
      </c>
      <c r="M33" s="52"/>
      <c r="N33" s="19">
        <v>368</v>
      </c>
      <c r="O33" s="52"/>
      <c r="P33" s="19">
        <v>465</v>
      </c>
      <c r="Q33" s="19"/>
      <c r="R33" s="19">
        <v>586</v>
      </c>
      <c r="S33" s="19"/>
      <c r="T33" s="19">
        <v>368</v>
      </c>
      <c r="U33" s="19"/>
      <c r="V33" s="19">
        <v>506</v>
      </c>
      <c r="W33" s="19"/>
      <c r="X33" s="19">
        <v>386</v>
      </c>
      <c r="Y33" s="19"/>
      <c r="Z33" s="19"/>
      <c r="AA33" s="19"/>
      <c r="AB33" s="6">
        <f t="shared" si="0"/>
        <v>4175</v>
      </c>
    </row>
    <row r="34" spans="1:28" x14ac:dyDescent="0.25">
      <c r="A34" s="102"/>
      <c r="B34" s="5" t="s">
        <v>106</v>
      </c>
      <c r="C34" s="89" t="s">
        <v>92</v>
      </c>
      <c r="D34" s="92"/>
      <c r="E34" s="52">
        <v>2580.08</v>
      </c>
      <c r="F34" s="19"/>
      <c r="G34" s="52">
        <v>2407.8000000000002</v>
      </c>
      <c r="H34" s="19"/>
      <c r="I34" s="52">
        <v>2295.84</v>
      </c>
      <c r="J34" s="19"/>
      <c r="K34" s="52">
        <v>2348.87</v>
      </c>
      <c r="L34" s="19"/>
      <c r="M34" s="52">
        <v>3027.17</v>
      </c>
      <c r="N34" s="22"/>
      <c r="O34" s="52">
        <v>3714.23</v>
      </c>
      <c r="P34" s="19"/>
      <c r="Q34" s="19">
        <v>4366.25</v>
      </c>
      <c r="R34" s="19"/>
      <c r="S34" s="19">
        <v>5118.93</v>
      </c>
      <c r="T34" s="19"/>
      <c r="U34" s="19">
        <v>3714.23</v>
      </c>
      <c r="V34" s="19"/>
      <c r="W34" s="19">
        <v>4386.29</v>
      </c>
      <c r="X34" s="19"/>
      <c r="Y34" s="19">
        <v>3679.16</v>
      </c>
      <c r="Z34" s="19"/>
      <c r="AA34" s="19"/>
      <c r="AB34" s="36">
        <f t="shared" si="0"/>
        <v>37638.849999999991</v>
      </c>
    </row>
    <row r="35" spans="1:28" x14ac:dyDescent="0.25">
      <c r="A35" s="101">
        <v>110677301</v>
      </c>
      <c r="B35" s="5" t="s">
        <v>76</v>
      </c>
      <c r="C35" s="5"/>
      <c r="D35" s="92">
        <v>0</v>
      </c>
      <c r="E35" s="52"/>
      <c r="F35" s="19">
        <v>0</v>
      </c>
      <c r="G35" s="52"/>
      <c r="H35" s="19">
        <v>0</v>
      </c>
      <c r="I35" s="52"/>
      <c r="J35" s="19">
        <v>0</v>
      </c>
      <c r="K35" s="52"/>
      <c r="L35" s="19">
        <v>0</v>
      </c>
      <c r="M35" s="52"/>
      <c r="N35" s="19">
        <v>0</v>
      </c>
      <c r="O35" s="52"/>
      <c r="P35" s="19">
        <v>0</v>
      </c>
      <c r="Q35" s="19"/>
      <c r="R35" s="19">
        <v>0</v>
      </c>
      <c r="S35" s="19"/>
      <c r="T35" s="19">
        <v>0</v>
      </c>
      <c r="U35" s="19"/>
      <c r="V35" s="19">
        <v>0</v>
      </c>
      <c r="W35" s="19"/>
      <c r="X35" s="19">
        <v>0</v>
      </c>
      <c r="Y35" s="19"/>
      <c r="Z35" s="19"/>
      <c r="AA35" s="19"/>
      <c r="AB35" s="6">
        <f t="shared" si="0"/>
        <v>0</v>
      </c>
    </row>
    <row r="36" spans="1:28" x14ac:dyDescent="0.25">
      <c r="A36" s="101"/>
      <c r="B36" s="5" t="s">
        <v>107</v>
      </c>
      <c r="C36" s="5"/>
      <c r="D36" s="92"/>
      <c r="E36" s="52">
        <v>141.94</v>
      </c>
      <c r="F36" s="19"/>
      <c r="G36" s="52">
        <v>141.94</v>
      </c>
      <c r="H36" s="19"/>
      <c r="I36" s="52">
        <v>141.94</v>
      </c>
      <c r="J36" s="19"/>
      <c r="K36" s="52">
        <v>141.94</v>
      </c>
      <c r="L36" s="19"/>
      <c r="M36" s="52">
        <v>141.94</v>
      </c>
      <c r="N36" s="19"/>
      <c r="O36" s="52">
        <v>141.94</v>
      </c>
      <c r="P36" s="19"/>
      <c r="Q36" s="19">
        <v>141.94</v>
      </c>
      <c r="R36" s="19"/>
      <c r="S36" s="19">
        <v>141.94</v>
      </c>
      <c r="T36" s="19"/>
      <c r="U36" s="19">
        <v>141.94</v>
      </c>
      <c r="V36" s="19"/>
      <c r="W36" s="19">
        <v>141.94</v>
      </c>
      <c r="X36" s="19"/>
      <c r="Y36" s="19">
        <v>141.94</v>
      </c>
      <c r="Z36" s="19"/>
      <c r="AA36" s="19"/>
      <c r="AB36" s="36">
        <f t="shared" si="0"/>
        <v>1561.3400000000004</v>
      </c>
    </row>
    <row r="37" spans="1:28" x14ac:dyDescent="0.25">
      <c r="A37" s="101">
        <v>136956301</v>
      </c>
      <c r="B37" s="5" t="s">
        <v>93</v>
      </c>
      <c r="C37" s="89" t="s">
        <v>94</v>
      </c>
      <c r="D37" s="92">
        <v>49</v>
      </c>
      <c r="E37" s="52"/>
      <c r="F37" s="19">
        <v>104</v>
      </c>
      <c r="G37" s="52"/>
      <c r="H37" s="19">
        <v>47</v>
      </c>
      <c r="I37" s="52"/>
      <c r="J37" s="19">
        <v>245</v>
      </c>
      <c r="K37" s="52"/>
      <c r="L37" s="19">
        <v>244</v>
      </c>
      <c r="M37" s="52"/>
      <c r="N37" s="19">
        <v>158</v>
      </c>
      <c r="O37" s="52"/>
      <c r="P37" s="19">
        <v>139</v>
      </c>
      <c r="Q37" s="19"/>
      <c r="R37" s="19">
        <v>102</v>
      </c>
      <c r="S37" s="19"/>
      <c r="T37" s="19">
        <v>73</v>
      </c>
      <c r="U37" s="19"/>
      <c r="V37" s="19">
        <v>84</v>
      </c>
      <c r="W37" s="19"/>
      <c r="X37" s="19">
        <v>65</v>
      </c>
      <c r="Y37" s="19"/>
      <c r="Z37" s="19"/>
      <c r="AA37" s="19"/>
      <c r="AB37" s="6">
        <f t="shared" si="0"/>
        <v>1310</v>
      </c>
    </row>
    <row r="38" spans="1:28" x14ac:dyDescent="0.25">
      <c r="A38" s="101"/>
      <c r="B38" s="5" t="s">
        <v>111</v>
      </c>
      <c r="C38" s="89"/>
      <c r="D38" s="92"/>
      <c r="E38" s="52">
        <v>648.29</v>
      </c>
      <c r="F38" s="19"/>
      <c r="G38" s="52">
        <v>957.98</v>
      </c>
      <c r="H38" s="19"/>
      <c r="I38" s="52">
        <v>541.70000000000005</v>
      </c>
      <c r="J38" s="19"/>
      <c r="K38" s="52">
        <v>1740.36</v>
      </c>
      <c r="L38" s="19"/>
      <c r="M38" s="52">
        <v>1670.86</v>
      </c>
      <c r="N38" s="22"/>
      <c r="O38" s="52">
        <v>1287.75</v>
      </c>
      <c r="P38" s="19"/>
      <c r="Q38" s="19">
        <v>1171.8599999999999</v>
      </c>
      <c r="R38" s="19"/>
      <c r="S38" s="19">
        <v>946.17</v>
      </c>
      <c r="T38" s="19"/>
      <c r="U38" s="19">
        <v>769.28</v>
      </c>
      <c r="V38" s="19"/>
      <c r="W38" s="19">
        <v>800.47</v>
      </c>
      <c r="X38" s="19"/>
      <c r="Y38" s="19">
        <v>695.04</v>
      </c>
      <c r="Z38" s="19"/>
      <c r="AA38" s="19"/>
      <c r="AB38" s="36">
        <f t="shared" si="0"/>
        <v>11229.759999999998</v>
      </c>
    </row>
    <row r="39" spans="1:28" x14ac:dyDescent="0.25">
      <c r="A39" s="101">
        <v>136955301</v>
      </c>
      <c r="B39" s="5" t="s">
        <v>95</v>
      </c>
      <c r="C39" s="89" t="s">
        <v>96</v>
      </c>
      <c r="D39" s="92">
        <v>0</v>
      </c>
      <c r="E39" s="52"/>
      <c r="F39" s="19">
        <v>0</v>
      </c>
      <c r="G39" s="52"/>
      <c r="H39" s="19">
        <v>0</v>
      </c>
      <c r="I39" s="52"/>
      <c r="J39" s="19">
        <v>0</v>
      </c>
      <c r="K39" s="52"/>
      <c r="L39" s="19">
        <v>0</v>
      </c>
      <c r="M39" s="52"/>
      <c r="N39" s="19">
        <v>0</v>
      </c>
      <c r="O39" s="52"/>
      <c r="P39" s="19">
        <v>0</v>
      </c>
      <c r="Q39" s="19"/>
      <c r="R39" s="19">
        <v>0</v>
      </c>
      <c r="S39" s="19"/>
      <c r="T39" s="19">
        <v>0</v>
      </c>
      <c r="U39" s="19"/>
      <c r="V39" s="19">
        <v>0</v>
      </c>
      <c r="W39" s="19"/>
      <c r="X39" s="19">
        <v>0</v>
      </c>
      <c r="Y39" s="19"/>
      <c r="Z39" s="19"/>
      <c r="AA39" s="19"/>
      <c r="AB39" s="6">
        <f t="shared" si="0"/>
        <v>0</v>
      </c>
    </row>
    <row r="40" spans="1:28" x14ac:dyDescent="0.25">
      <c r="A40" s="101"/>
      <c r="B40" s="5" t="s">
        <v>162</v>
      </c>
      <c r="C40" s="89"/>
      <c r="D40" s="92"/>
      <c r="E40" s="52">
        <v>11.9</v>
      </c>
      <c r="F40" s="19"/>
      <c r="G40" s="52">
        <v>11.9</v>
      </c>
      <c r="H40" s="19"/>
      <c r="I40" s="52">
        <v>11.9</v>
      </c>
      <c r="J40" s="19"/>
      <c r="K40" s="52">
        <v>11.9</v>
      </c>
      <c r="L40" s="19"/>
      <c r="M40" s="52">
        <v>11.9</v>
      </c>
      <c r="N40" s="19"/>
      <c r="O40" s="52">
        <v>11.9</v>
      </c>
      <c r="P40" s="19"/>
      <c r="Q40" s="19">
        <v>11.9</v>
      </c>
      <c r="R40" s="19"/>
      <c r="S40" s="19">
        <v>11.9</v>
      </c>
      <c r="T40" s="19"/>
      <c r="U40" s="19">
        <v>11.9</v>
      </c>
      <c r="V40" s="19"/>
      <c r="W40" s="19">
        <v>11.9</v>
      </c>
      <c r="X40" s="19"/>
      <c r="Y40" s="19">
        <v>11.9</v>
      </c>
      <c r="Z40" s="19"/>
      <c r="AA40" s="19"/>
      <c r="AB40" s="36">
        <f t="shared" si="0"/>
        <v>130.90000000000003</v>
      </c>
    </row>
    <row r="41" spans="1:28" x14ac:dyDescent="0.25">
      <c r="A41" s="101">
        <v>142979301</v>
      </c>
      <c r="B41" s="5" t="s">
        <v>97</v>
      </c>
      <c r="C41" s="89" t="s">
        <v>98</v>
      </c>
      <c r="D41" s="92">
        <v>0</v>
      </c>
      <c r="E41" s="52"/>
      <c r="F41" s="19">
        <v>0</v>
      </c>
      <c r="G41" s="52"/>
      <c r="H41" s="19">
        <v>0</v>
      </c>
      <c r="I41" s="52"/>
      <c r="J41" s="19">
        <v>0</v>
      </c>
      <c r="K41" s="52"/>
      <c r="L41" s="19">
        <v>0</v>
      </c>
      <c r="M41" s="52"/>
      <c r="N41" s="19">
        <v>0</v>
      </c>
      <c r="O41" s="52"/>
      <c r="P41" s="19">
        <v>0</v>
      </c>
      <c r="Q41" s="19"/>
      <c r="R41" s="19">
        <v>0</v>
      </c>
      <c r="S41" s="19"/>
      <c r="T41" s="19">
        <v>0</v>
      </c>
      <c r="U41" s="19"/>
      <c r="V41" s="19">
        <v>0</v>
      </c>
      <c r="W41" s="19"/>
      <c r="X41" s="19">
        <v>0</v>
      </c>
      <c r="Y41" s="19"/>
      <c r="Z41" s="19"/>
      <c r="AA41" s="19"/>
      <c r="AB41" s="6">
        <f t="shared" si="0"/>
        <v>0</v>
      </c>
    </row>
    <row r="42" spans="1:28" x14ac:dyDescent="0.25">
      <c r="A42" s="97"/>
      <c r="B42" s="89" t="s">
        <v>108</v>
      </c>
      <c r="C42" s="89" t="s">
        <v>59</v>
      </c>
      <c r="D42" s="92"/>
      <c r="E42" s="52">
        <v>112.39</v>
      </c>
      <c r="F42" s="19"/>
      <c r="G42" s="52">
        <v>112.39</v>
      </c>
      <c r="H42" s="19"/>
      <c r="I42" s="52">
        <v>112.39</v>
      </c>
      <c r="J42" s="19"/>
      <c r="K42" s="52">
        <v>112.39</v>
      </c>
      <c r="L42" s="19"/>
      <c r="M42" s="52">
        <v>112.39</v>
      </c>
      <c r="N42" s="25"/>
      <c r="O42" s="52">
        <v>112.39</v>
      </c>
      <c r="P42" s="19"/>
      <c r="Q42" s="19">
        <v>112.39</v>
      </c>
      <c r="R42" s="19"/>
      <c r="S42" s="19">
        <v>112.39</v>
      </c>
      <c r="T42" s="19"/>
      <c r="U42" s="19">
        <v>112.39</v>
      </c>
      <c r="V42" s="19"/>
      <c r="W42" s="19">
        <v>112.39</v>
      </c>
      <c r="X42" s="19"/>
      <c r="Y42" s="19">
        <v>112.39</v>
      </c>
      <c r="Z42" s="19"/>
      <c r="AA42" s="19"/>
      <c r="AB42" s="36">
        <f t="shared" si="0"/>
        <v>1236.2900000000002</v>
      </c>
    </row>
    <row r="43" spans="1:28" ht="15.75" x14ac:dyDescent="0.25">
      <c r="A43" s="104"/>
      <c r="B43" s="5"/>
      <c r="C43" s="100" t="s">
        <v>52</v>
      </c>
      <c r="D43" s="93">
        <f t="shared" ref="D43:P43" si="1">SUM(D5:D42)</f>
        <v>1315</v>
      </c>
      <c r="E43" s="87"/>
      <c r="F43" s="86">
        <f t="shared" si="1"/>
        <v>1869</v>
      </c>
      <c r="G43" s="87"/>
      <c r="H43" s="86">
        <f t="shared" si="1"/>
        <v>1792</v>
      </c>
      <c r="I43" s="87"/>
      <c r="J43" s="86">
        <f t="shared" si="1"/>
        <v>2544</v>
      </c>
      <c r="K43" s="87"/>
      <c r="L43" s="86">
        <f t="shared" si="1"/>
        <v>2662</v>
      </c>
      <c r="M43" s="87"/>
      <c r="N43" s="86">
        <f t="shared" si="1"/>
        <v>3091</v>
      </c>
      <c r="O43" s="87"/>
      <c r="P43" s="86">
        <f t="shared" si="1"/>
        <v>3931</v>
      </c>
      <c r="Q43" s="86"/>
      <c r="R43" s="86">
        <f>SUM(R5:R42)</f>
        <v>4903</v>
      </c>
      <c r="S43" s="86"/>
      <c r="T43" s="86">
        <f>SUM(T5:T42)</f>
        <v>757</v>
      </c>
      <c r="U43" s="86"/>
      <c r="V43" s="86">
        <f>SUM(V5:V42)</f>
        <v>4138</v>
      </c>
      <c r="W43" s="86"/>
      <c r="X43" s="84">
        <f>SUM(X5:X42)</f>
        <v>2582</v>
      </c>
      <c r="Y43" s="84"/>
      <c r="Z43" s="84">
        <f>SUM(Z5:Z42)</f>
        <v>0</v>
      </c>
      <c r="AA43" s="84"/>
      <c r="AB43" s="88">
        <f t="shared" si="0"/>
        <v>29584</v>
      </c>
    </row>
    <row r="44" spans="1:28" x14ac:dyDescent="0.25">
      <c r="A44" s="105"/>
      <c r="B44" s="6"/>
      <c r="C44" s="89" t="s">
        <v>122</v>
      </c>
      <c r="D44" s="94"/>
      <c r="E44" s="36">
        <f>SUM(E5:E43)</f>
        <v>17061.600000000002</v>
      </c>
      <c r="F44" s="6"/>
      <c r="G44" s="36">
        <f>SUM(G5:G43)</f>
        <v>22968.459999999995</v>
      </c>
      <c r="H44" s="6"/>
      <c r="I44" s="36">
        <f>SUM(I5:I43)</f>
        <v>22425.99</v>
      </c>
      <c r="J44" s="6"/>
      <c r="K44" s="36">
        <f>SUM(K5:K43)</f>
        <v>26543.839999999993</v>
      </c>
      <c r="L44" s="6"/>
      <c r="M44" s="36">
        <f>SUM(M5:M42)</f>
        <v>25645.629999999994</v>
      </c>
      <c r="N44" s="6"/>
      <c r="O44" s="36">
        <f>SUM(O5:O42)</f>
        <v>29776.37999999999</v>
      </c>
      <c r="P44" s="6"/>
      <c r="Q44" s="36">
        <f>SUM(Q5:Q42)</f>
        <v>34996.44</v>
      </c>
      <c r="R44" s="6"/>
      <c r="S44" s="36">
        <f>SUM(S5:S42)</f>
        <v>40934.020000000004</v>
      </c>
      <c r="T44" s="6"/>
      <c r="U44" s="36">
        <f>SUM(U5:U43)</f>
        <v>15634.369999999999</v>
      </c>
      <c r="V44" s="6"/>
      <c r="W44" s="36">
        <v>33951.1</v>
      </c>
      <c r="X44" s="82"/>
      <c r="Y44" s="83">
        <f>SUM(Y5:Y42)</f>
        <v>26238.809999999998</v>
      </c>
      <c r="Z44" s="82"/>
      <c r="AA44" s="82">
        <f>SUM(AA5:AA43)</f>
        <v>0</v>
      </c>
      <c r="AB44" s="90">
        <f t="shared" si="0"/>
        <v>296176.63999999996</v>
      </c>
    </row>
    <row r="45" spans="1:28" x14ac:dyDescent="0.25">
      <c r="A45" s="6"/>
      <c r="B45" s="6"/>
      <c r="C45" s="6"/>
      <c r="D45" s="94"/>
      <c r="E45" s="36"/>
      <c r="F45" s="6"/>
      <c r="G45" s="36"/>
      <c r="H45" s="6"/>
      <c r="I45" s="36"/>
      <c r="J45" s="6"/>
      <c r="K45" s="36"/>
      <c r="L45" s="6"/>
      <c r="M45" s="36"/>
      <c r="N45" s="6"/>
      <c r="O45" s="36"/>
      <c r="P45" s="6"/>
      <c r="Q45" s="6"/>
      <c r="R45" s="6"/>
      <c r="S45" s="6"/>
      <c r="T45" s="6"/>
      <c r="U45" s="6"/>
      <c r="V45" s="6"/>
      <c r="W45" s="6"/>
      <c r="X45" s="82"/>
      <c r="Y45" s="82"/>
      <c r="Z45" s="82"/>
      <c r="AA45" s="82"/>
      <c r="AB45" s="6"/>
    </row>
    <row r="46" spans="1:28" x14ac:dyDescent="0.25">
      <c r="A46" s="6"/>
      <c r="B46" s="6"/>
      <c r="C46" s="6"/>
      <c r="D46" s="94"/>
      <c r="E46" s="36"/>
      <c r="F46" s="6"/>
      <c r="G46" s="36"/>
      <c r="H46" s="6"/>
      <c r="I46" s="36"/>
      <c r="J46" s="6"/>
      <c r="K46" s="91"/>
      <c r="L46" s="6"/>
      <c r="M46" s="91"/>
      <c r="N46" s="6"/>
      <c r="O46" s="91"/>
      <c r="P46" s="6"/>
      <c r="Q46" s="36"/>
      <c r="R46" s="6"/>
      <c r="S46" s="6"/>
      <c r="T46" s="6"/>
      <c r="U46" s="6"/>
      <c r="V46" s="6"/>
      <c r="W46" s="6"/>
      <c r="X46" s="82"/>
      <c r="Y46" s="82"/>
      <c r="Z46" s="82"/>
      <c r="AA46" s="82"/>
      <c r="AB46" s="6"/>
    </row>
    <row r="47" spans="1:28" x14ac:dyDescent="0.25">
      <c r="X47" s="85"/>
      <c r="Y47" s="85"/>
      <c r="Z47" s="85"/>
      <c r="AA47" s="85"/>
    </row>
    <row r="48" spans="1:28" x14ac:dyDescent="0.25">
      <c r="X48" s="85"/>
      <c r="Y48" s="85"/>
      <c r="Z48" s="85"/>
      <c r="AA48" s="85"/>
    </row>
    <row r="49" spans="24:27" x14ac:dyDescent="0.25">
      <c r="X49" s="85"/>
      <c r="Y49" s="85"/>
      <c r="Z49" s="85"/>
      <c r="AA49" s="85"/>
    </row>
    <row r="50" spans="24:27" x14ac:dyDescent="0.25">
      <c r="X50" s="85"/>
      <c r="Y50" s="85"/>
      <c r="Z50" s="85"/>
      <c r="AA50" s="85"/>
    </row>
    <row r="51" spans="24:27" x14ac:dyDescent="0.25">
      <c r="X51" s="85"/>
      <c r="Y51" s="85"/>
      <c r="Z51" s="85"/>
      <c r="AA51" s="85"/>
    </row>
    <row r="52" spans="24:27" x14ac:dyDescent="0.25">
      <c r="X52" s="85"/>
      <c r="Y52" s="85"/>
      <c r="Z52" s="85"/>
      <c r="AA52" s="85"/>
    </row>
    <row r="53" spans="24:27" x14ac:dyDescent="0.25">
      <c r="X53" s="85"/>
      <c r="Y53" s="85"/>
      <c r="Z53" s="85"/>
      <c r="AA53" s="85"/>
    </row>
    <row r="54" spans="24:27" x14ac:dyDescent="0.25">
      <c r="X54" s="85"/>
      <c r="Y54" s="85"/>
      <c r="Z54" s="85"/>
      <c r="AA54" s="85"/>
    </row>
    <row r="55" spans="24:27" x14ac:dyDescent="0.25">
      <c r="X55" s="85"/>
      <c r="Y55" s="85"/>
      <c r="Z55" s="85"/>
      <c r="AA55" s="85"/>
    </row>
    <row r="56" spans="24:27" x14ac:dyDescent="0.25">
      <c r="X56" s="85"/>
      <c r="Y56" s="85"/>
      <c r="Z56" s="85"/>
      <c r="AA56" s="85"/>
    </row>
    <row r="57" spans="24:27" x14ac:dyDescent="0.25">
      <c r="X57" s="85"/>
      <c r="Y57" s="85"/>
      <c r="Z57" s="85"/>
      <c r="AA57" s="85"/>
    </row>
    <row r="58" spans="24:27" x14ac:dyDescent="0.25">
      <c r="X58" s="85"/>
      <c r="Y58" s="85"/>
      <c r="Z58" s="85"/>
      <c r="AA58" s="85"/>
    </row>
    <row r="59" spans="24:27" x14ac:dyDescent="0.25">
      <c r="X59" s="85"/>
      <c r="Y59" s="85"/>
      <c r="Z59" s="85"/>
      <c r="AA59" s="85"/>
    </row>
    <row r="60" spans="24:27" x14ac:dyDescent="0.25">
      <c r="X60" s="85"/>
      <c r="Y60" s="85"/>
      <c r="Z60" s="85"/>
      <c r="AA60" s="85"/>
    </row>
    <row r="61" spans="24:27" x14ac:dyDescent="0.25">
      <c r="X61" s="85"/>
      <c r="Y61" s="85"/>
      <c r="Z61" s="85"/>
      <c r="AA61" s="85"/>
    </row>
    <row r="62" spans="24:27" x14ac:dyDescent="0.25">
      <c r="X62" s="85"/>
      <c r="Y62" s="85"/>
      <c r="Z62" s="85"/>
      <c r="AA62" s="85"/>
    </row>
    <row r="63" spans="24:27" x14ac:dyDescent="0.25">
      <c r="X63" s="85"/>
      <c r="Y63" s="85"/>
      <c r="Z63" s="85"/>
      <c r="AA63" s="85"/>
    </row>
    <row r="64" spans="24:27" x14ac:dyDescent="0.25">
      <c r="X64" s="85"/>
      <c r="Y64" s="85"/>
      <c r="Z64" s="85"/>
      <c r="AA64" s="85"/>
    </row>
    <row r="65" spans="24:27" x14ac:dyDescent="0.25">
      <c r="X65" s="85"/>
      <c r="Y65" s="85"/>
      <c r="Z65" s="85"/>
      <c r="AA65" s="85"/>
    </row>
    <row r="66" spans="24:27" x14ac:dyDescent="0.25">
      <c r="X66" s="85"/>
      <c r="Y66" s="85"/>
      <c r="Z66" s="85"/>
      <c r="AA66" s="85"/>
    </row>
    <row r="67" spans="24:27" x14ac:dyDescent="0.25">
      <c r="X67" s="85"/>
      <c r="Y67" s="85"/>
      <c r="Z67" s="85"/>
      <c r="AA67" s="85"/>
    </row>
    <row r="68" spans="24:27" x14ac:dyDescent="0.25">
      <c r="X68" s="85"/>
      <c r="Y68" s="85"/>
      <c r="Z68" s="85"/>
      <c r="AA68" s="85"/>
    </row>
    <row r="69" spans="24:27" x14ac:dyDescent="0.25">
      <c r="X69" s="85"/>
      <c r="Y69" s="85"/>
      <c r="Z69" s="85"/>
      <c r="AA69" s="85"/>
    </row>
    <row r="70" spans="24:27" x14ac:dyDescent="0.25">
      <c r="X70" s="85"/>
      <c r="Y70" s="85"/>
      <c r="Z70" s="85"/>
      <c r="AA70" s="85"/>
    </row>
    <row r="71" spans="24:27" x14ac:dyDescent="0.25">
      <c r="X71" s="85"/>
      <c r="Y71" s="85"/>
      <c r="Z71" s="85"/>
      <c r="AA71" s="85"/>
    </row>
    <row r="72" spans="24:27" x14ac:dyDescent="0.25">
      <c r="X72" s="85"/>
      <c r="Y72" s="85"/>
      <c r="Z72" s="85"/>
      <c r="AA72" s="8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TXU</vt:lpstr>
      <vt:lpstr>ATMOS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Priest</dc:creator>
  <cp:lastModifiedBy>Teresa Priest</cp:lastModifiedBy>
  <cp:lastPrinted>2021-01-07T21:02:35Z</cp:lastPrinted>
  <dcterms:created xsi:type="dcterms:W3CDTF">2018-03-14T19:33:49Z</dcterms:created>
  <dcterms:modified xsi:type="dcterms:W3CDTF">2021-01-11T16:36:16Z</dcterms:modified>
</cp:coreProperties>
</file>