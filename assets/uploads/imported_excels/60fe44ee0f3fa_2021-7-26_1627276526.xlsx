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7395FCB5-8F2B-4177-8BC9-B8606FC5CBDC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L29" i="31" l="1"/>
  <c r="G29" i="31"/>
  <c r="I29" i="31"/>
  <c r="L27" i="31" l="1"/>
  <c r="L28" i="31"/>
  <c r="I27" i="31"/>
  <c r="I28" i="31"/>
  <c r="G27" i="31"/>
  <c r="G28" i="31"/>
  <c r="L26" i="31" l="1"/>
  <c r="I26" i="31"/>
  <c r="G26" i="31"/>
  <c r="G25" i="31" l="1"/>
  <c r="G24" i="31"/>
  <c r="I25" i="31"/>
  <c r="I24" i="31"/>
  <c r="L25" i="31"/>
  <c r="L24" i="31"/>
  <c r="L23" i="31" l="1"/>
  <c r="I23" i="31"/>
  <c r="G23" i="31"/>
  <c r="G18" i="1" l="1"/>
  <c r="L22" i="31" l="1"/>
  <c r="I22" i="31"/>
  <c r="G22" i="31"/>
  <c r="G19" i="31" l="1"/>
  <c r="G20" i="31"/>
  <c r="G21" i="31"/>
  <c r="L19" i="31"/>
  <c r="L20" i="31"/>
  <c r="L21" i="31"/>
  <c r="I19" i="31"/>
  <c r="I20" i="31"/>
  <c r="I21" i="31"/>
  <c r="L18" i="31" l="1"/>
  <c r="I18" i="31"/>
  <c r="G18" i="31"/>
  <c r="L17" i="31" l="1"/>
  <c r="I17" i="31"/>
  <c r="G16" i="31"/>
  <c r="G17" i="31"/>
  <c r="L16" i="31" l="1"/>
  <c r="I16" i="31"/>
  <c r="L15" i="31" l="1"/>
  <c r="I15" i="31"/>
  <c r="G15" i="31"/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<sst xmlns="http://schemas.openxmlformats.org/spreadsheetml/2006/main" count="66" uniqueCount="32">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</sst>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G21" sqref="G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36429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107000</v>
      </c>
      <c r="J12" s="10">
        <v>3.61E-2</v>
      </c>
      <c r="K12" s="1">
        <f>'July 2021'!I15</f>
        <v>534</v>
      </c>
      <c r="L12" s="10">
        <v>0.75</v>
      </c>
      <c r="M12" s="10">
        <f>'July 2021'!L15</f>
        <v>168</v>
      </c>
      <c r="N12" s="10">
        <v>0.56299999999999994</v>
      </c>
      <c r="O12" s="14">
        <f>'July 2021'!D15</f>
        <v>77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36354</v>
      </c>
      <c r="F13" s="10">
        <v>2.9000000000000001E-2</v>
      </c>
      <c r="G13" s="1">
        <f>'July 2021'!J16</f>
        <v>2970</v>
      </c>
      <c r="H13" s="10">
        <v>0.112</v>
      </c>
      <c r="I13" s="1">
        <f>'July 2021'!G16*1000</f>
        <v>98000</v>
      </c>
      <c r="J13" s="10">
        <v>3.61E-2</v>
      </c>
      <c r="K13" s="1">
        <f>'July 2021'!I16</f>
        <v>249</v>
      </c>
      <c r="L13" s="10">
        <v>0.75</v>
      </c>
      <c r="M13" s="10">
        <f>'July 2021'!L16</f>
        <v>272</v>
      </c>
      <c r="N13" s="10">
        <v>0.56299999999999994</v>
      </c>
      <c r="O13" s="14">
        <f>'July 2021'!D16</f>
        <v>69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34410</v>
      </c>
      <c r="F14" s="10">
        <v>2.9000000000000001E-2</v>
      </c>
      <c r="G14" s="1">
        <f>'July 2021'!J17</f>
        <v>2970</v>
      </c>
      <c r="H14" s="10">
        <v>0.112</v>
      </c>
      <c r="I14" s="1">
        <f>'July 2021'!G17*1000</f>
        <v>101000</v>
      </c>
      <c r="J14" s="10">
        <v>3.61E-2</v>
      </c>
      <c r="K14" s="1">
        <f>'July 2021'!I17</f>
        <v>466</v>
      </c>
      <c r="L14" s="10">
        <v>0.75</v>
      </c>
      <c r="M14" s="10">
        <f>'July 2021'!L17</f>
        <v>204</v>
      </c>
      <c r="N14" s="10">
        <v>0.56299999999999994</v>
      </c>
      <c r="O14" s="14">
        <f>'July 2021'!D17</f>
        <v>86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39023</v>
      </c>
      <c r="F15" s="10">
        <v>2.9000000000000001E-2</v>
      </c>
      <c r="G15" s="1">
        <f>'July 2021'!J18</f>
        <v>2970</v>
      </c>
      <c r="H15" s="10">
        <v>0.112</v>
      </c>
      <c r="I15" s="1">
        <f>'July 2021'!G18*1000</f>
        <v>105000</v>
      </c>
      <c r="J15" s="10">
        <v>3.61E-2</v>
      </c>
      <c r="K15" s="1">
        <f>'July 2021'!I18</f>
        <v>252</v>
      </c>
      <c r="L15" s="10">
        <v>0.75</v>
      </c>
      <c r="M15" s="10">
        <f>'July 2021'!L18</f>
        <v>202</v>
      </c>
      <c r="N15" s="10">
        <v>0.56299999999999994</v>
      </c>
      <c r="O15" s="14">
        <f>'July 2021'!D18</f>
        <v>100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37825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122000</v>
      </c>
      <c r="J16" s="10">
        <v>3.61E-2</v>
      </c>
      <c r="K16" s="1">
        <f>'July 2021'!I19</f>
        <v>371</v>
      </c>
      <c r="L16" s="10">
        <v>0.75</v>
      </c>
      <c r="M16" s="10">
        <f>'July 2021'!L19</f>
        <v>248</v>
      </c>
      <c r="N16" s="10">
        <v>0.56299999999999994</v>
      </c>
      <c r="O16" s="14">
        <f>'July 2021'!D19</f>
        <v>137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36876</v>
      </c>
      <c r="F17" s="10">
        <v>2.9000000000000001E-2</v>
      </c>
      <c r="G17" s="1">
        <f>'July 2021'!J21</f>
        <v>2970</v>
      </c>
      <c r="H17" s="10">
        <v>0.112</v>
      </c>
      <c r="I17" s="1">
        <f>'July 2021'!G21*1000</f>
        <v>109000</v>
      </c>
      <c r="J17" s="10">
        <v>3.61E-2</v>
      </c>
      <c r="K17" s="1">
        <f>'July 2021'!I20</f>
        <v>333</v>
      </c>
      <c r="L17" s="10">
        <v>0.75</v>
      </c>
      <c r="M17" s="10">
        <f>'July 2021'!L20</f>
        <v>176</v>
      </c>
      <c r="N17" s="10">
        <v>0.56299999999999994</v>
      </c>
      <c r="O17" s="14">
        <f>'July 2021'!D20</f>
        <v>185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37765</v>
      </c>
      <c r="F18" s="10">
        <v>2.9000000000000001E-2</v>
      </c>
      <c r="G18" s="1">
        <f>'July 2021'!J22</f>
        <v>0</v>
      </c>
      <c r="H18" s="10">
        <v>0.112</v>
      </c>
      <c r="I18" s="1">
        <f>'July 2021'!G22*1000</f>
        <v>107000</v>
      </c>
      <c r="J18" s="10">
        <v>3.61E-2</v>
      </c>
      <c r="K18" s="1">
        <f>'July 2021'!I21</f>
        <v>482</v>
      </c>
      <c r="L18" s="10">
        <v>0.75</v>
      </c>
      <c r="M18" s="10">
        <f>'July 2021'!L21</f>
        <v>241</v>
      </c>
      <c r="N18" s="10">
        <v>0.56299999999999994</v>
      </c>
      <c r="O18" s="14">
        <f>'July 2021'!D21</f>
        <v>174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37156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102000</v>
      </c>
      <c r="J19" s="10">
        <v>3.61E-2</v>
      </c>
      <c r="K19" s="1">
        <f>'July 2021'!I22</f>
        <v>278</v>
      </c>
      <c r="L19" s="10">
        <v>0.75</v>
      </c>
      <c r="M19" s="10">
        <f>'July 2021'!L22</f>
        <v>182</v>
      </c>
      <c r="N19" s="10">
        <v>0.56299999999999994</v>
      </c>
      <c r="O19" s="14">
        <f>'July 2021'!D22</f>
        <v>142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36660</v>
      </c>
      <c r="F20" s="10">
        <v>2.9000000000000001E-2</v>
      </c>
      <c r="G20" s="1">
        <f>'July 2021'!J23</f>
        <v>2970</v>
      </c>
      <c r="H20" s="10">
        <v>0.112</v>
      </c>
      <c r="I20" s="1">
        <f>'July 2021'!G24*1000</f>
        <v>104000</v>
      </c>
      <c r="J20" s="10">
        <v>3.61E-2</v>
      </c>
      <c r="K20" s="1">
        <f>'July 2021'!I23</f>
        <v>492</v>
      </c>
      <c r="L20" s="10">
        <v>0.75</v>
      </c>
      <c r="M20" s="10">
        <f>'July 2021'!L23</f>
        <v>251</v>
      </c>
      <c r="N20" s="10">
        <v>0.56299999999999994</v>
      </c>
      <c r="O20" s="14">
        <f>'July 2021'!D23</f>
        <v>129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35216</v>
      </c>
      <c r="F21" s="10">
        <v>2.9000000000000001E-2</v>
      </c>
      <c r="G21" s="1">
        <f>'July 2021'!J23</f>
        <v>2970</v>
      </c>
      <c r="H21" s="10">
        <v>0.112</v>
      </c>
      <c r="I21" s="1">
        <f>'July 2021'!G25*1000</f>
        <v>114000</v>
      </c>
      <c r="J21" s="10">
        <v>3.61E-2</v>
      </c>
      <c r="K21" s="1">
        <f>'July 2021'!I23</f>
        <v>492</v>
      </c>
      <c r="L21" s="10">
        <v>0.75</v>
      </c>
      <c r="M21" s="10">
        <f>'July 2021'!L24</f>
        <v>172</v>
      </c>
      <c r="N21" s="10">
        <v>0.56299999999999994</v>
      </c>
      <c r="O21" s="14">
        <f>'July 2021'!D24</f>
        <v>156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36045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107000</v>
      </c>
      <c r="J22" s="10">
        <v>3.61E-2</v>
      </c>
      <c r="K22" s="1">
        <f>'July 2021'!I24</f>
        <v>426</v>
      </c>
      <c r="L22" s="10">
        <v>0.75</v>
      </c>
      <c r="M22" s="10">
        <f>'July 2021'!L25</f>
        <v>211</v>
      </c>
      <c r="N22" s="10">
        <v>0.56299999999999994</v>
      </c>
      <c r="O22" s="14">
        <f>'July 2021'!D25</f>
        <v>232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37880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116000</v>
      </c>
      <c r="J23" s="10">
        <v>3.61E-2</v>
      </c>
      <c r="K23" s="1">
        <f>'July 2021'!I26</f>
        <v>432</v>
      </c>
      <c r="L23" s="10">
        <v>0.75</v>
      </c>
      <c r="M23" s="10">
        <f>'July 2021'!L26</f>
        <v>166</v>
      </c>
      <c r="N23" s="10">
        <v>0.56299999999999994</v>
      </c>
      <c r="O23" s="14">
        <f>'July 2021'!D26</f>
        <v>248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39887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116000</v>
      </c>
      <c r="J24" s="10">
        <v>3.61E-2</v>
      </c>
      <c r="K24" s="1">
        <f>'July 2021'!I27</f>
        <v>504</v>
      </c>
      <c r="L24" s="10">
        <v>0.75</v>
      </c>
      <c r="M24" s="10">
        <f>'July 2021'!L27</f>
        <v>199</v>
      </c>
      <c r="N24" s="10">
        <v>0.56299999999999994</v>
      </c>
      <c r="O24" s="14">
        <f>'July 2021'!D27</f>
        <v>275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39854</v>
      </c>
      <c r="F25" s="10">
        <v>2.9000000000000001E-2</v>
      </c>
      <c r="G25" s="1">
        <f>'July 2021'!J28</f>
        <v>2970</v>
      </c>
      <c r="H25" s="10">
        <v>0.112</v>
      </c>
      <c r="I25" s="1">
        <f>'July 2021'!G28*1000</f>
        <v>110000</v>
      </c>
      <c r="J25" s="10">
        <v>3.61E-2</v>
      </c>
      <c r="K25" s="1">
        <f>'July 2021'!I28</f>
        <v>521</v>
      </c>
      <c r="L25" s="10">
        <v>0.75</v>
      </c>
      <c r="M25" s="10">
        <f>'July 2021'!L28</f>
        <v>193</v>
      </c>
      <c r="N25" s="10">
        <v>0.56299999999999994</v>
      </c>
      <c r="O25" s="14">
        <f>'July 2021'!D28</f>
        <v>124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39542</v>
      </c>
      <c r="F26" s="10">
        <v>2.9000000000000001E-2</v>
      </c>
      <c r="G26" s="1">
        <f>'July 2021'!J29</f>
        <v>2970</v>
      </c>
      <c r="H26" s="10">
        <v>0.112</v>
      </c>
      <c r="I26" s="1">
        <f>'July 2021'!G29*1000</f>
        <v>110000</v>
      </c>
      <c r="J26" s="10">
        <v>3.61E-2</v>
      </c>
      <c r="K26" s="1">
        <f>'July 2021'!I29</f>
        <v>326</v>
      </c>
      <c r="L26" s="10">
        <v>0.75</v>
      </c>
      <c r="M26" s="10">
        <f>'July 2021'!L29</f>
        <v>243</v>
      </c>
      <c r="N26" s="10">
        <v>0.56299999999999994</v>
      </c>
      <c r="O26" s="14">
        <f>'July 2021'!D29</f>
        <v>109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0</v>
      </c>
      <c r="F27" s="10">
        <v>2.9000000000000001E-2</v>
      </c>
      <c r="G27" s="1">
        <f>'July 2021'!J30</f>
        <v>0</v>
      </c>
      <c r="H27" s="10">
        <v>0.112</v>
      </c>
      <c r="I27" s="1">
        <f>'July 2021'!G30*1000</f>
        <v>0</v>
      </c>
      <c r="J27" s="10">
        <v>3.61E-2</v>
      </c>
      <c r="K27" s="1">
        <f>'July 2021'!I30</f>
        <v>0</v>
      </c>
      <c r="L27" s="10">
        <v>0.75</v>
      </c>
      <c r="M27" s="10">
        <f>'July 2021'!L30</f>
        <v>0</v>
      </c>
      <c r="N27" s="10">
        <v>0.56299999999999994</v>
      </c>
      <c r="O27" s="14">
        <f>'July 2021'!D30</f>
        <v>0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G33" sqref="G33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22" si="0">F7-F6</f>
        <v>81</v>
      </c>
      <c r="H6" s="5">
        <v>485919</v>
      </c>
      <c r="I6" s="3">
        <f t="shared" ref="I6:I22" si="1">H7-H6</f>
        <v>474</v>
      </c>
      <c r="J6" s="3">
        <v>0</v>
      </c>
      <c r="K6" s="4">
        <v>295047</v>
      </c>
      <c r="L6" s="9">
        <f t="shared" ref="L6:L22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2970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>
        <v>77</v>
      </c>
      <c r="E15" s="12">
        <v>36429</v>
      </c>
      <c r="F15" s="29">
        <v>191552</v>
      </c>
      <c r="G15" s="8">
        <f t="shared" si="0"/>
        <v>107</v>
      </c>
      <c r="H15" s="31">
        <v>488790</v>
      </c>
      <c r="I15" s="3">
        <f t="shared" si="1"/>
        <v>534</v>
      </c>
      <c r="J15" s="3">
        <v>0</v>
      </c>
      <c r="K15" s="29">
        <v>296923</v>
      </c>
      <c r="L15" s="9">
        <f t="shared" si="2"/>
        <v>168</v>
      </c>
      <c r="N15" s="1"/>
    </row>
    <row r="16" spans="1:14" ht="13.5" customHeight="1" x14ac:dyDescent="0.2">
      <c r="B16" s="2">
        <v>12</v>
      </c>
      <c r="C16" s="11">
        <v>44389</v>
      </c>
      <c r="D16" s="7">
        <v>69</v>
      </c>
      <c r="E16" s="12">
        <v>36354</v>
      </c>
      <c r="F16" s="29">
        <v>191659</v>
      </c>
      <c r="G16" s="8">
        <f t="shared" si="0"/>
        <v>98</v>
      </c>
      <c r="H16" s="31">
        <v>489324</v>
      </c>
      <c r="I16" s="3">
        <f t="shared" si="1"/>
        <v>249</v>
      </c>
      <c r="J16" s="3">
        <v>2970</v>
      </c>
      <c r="K16" s="29">
        <v>297091</v>
      </c>
      <c r="L16" s="9">
        <f t="shared" si="2"/>
        <v>272</v>
      </c>
      <c r="N16" s="1"/>
    </row>
    <row r="17" spans="1:14" x14ac:dyDescent="0.2">
      <c r="B17" s="2">
        <v>13</v>
      </c>
      <c r="C17" s="11">
        <v>44390</v>
      </c>
      <c r="D17" s="7">
        <v>86</v>
      </c>
      <c r="E17" s="12">
        <v>34410</v>
      </c>
      <c r="F17" s="4">
        <v>191757</v>
      </c>
      <c r="G17" s="8">
        <f t="shared" si="0"/>
        <v>101</v>
      </c>
      <c r="H17" s="7">
        <v>489573</v>
      </c>
      <c r="I17" s="3">
        <f t="shared" si="1"/>
        <v>466</v>
      </c>
      <c r="J17" s="3">
        <v>2970</v>
      </c>
      <c r="K17" s="4">
        <v>297363</v>
      </c>
      <c r="L17" s="9">
        <f t="shared" si="2"/>
        <v>204</v>
      </c>
      <c r="N17" s="1"/>
    </row>
    <row r="18" spans="1:14" ht="13.5" customHeight="1" x14ac:dyDescent="0.2">
      <c r="B18" s="2">
        <v>14</v>
      </c>
      <c r="C18" s="11">
        <v>44391</v>
      </c>
      <c r="D18" s="7">
        <v>100</v>
      </c>
      <c r="E18" s="31">
        <v>39023</v>
      </c>
      <c r="F18" s="4">
        <v>191858</v>
      </c>
      <c r="G18" s="8">
        <f t="shared" si="0"/>
        <v>105</v>
      </c>
      <c r="H18" s="7">
        <v>490039</v>
      </c>
      <c r="I18" s="3">
        <f t="shared" si="1"/>
        <v>252</v>
      </c>
      <c r="J18" s="3">
        <v>2970</v>
      </c>
      <c r="K18" s="4">
        <v>297567</v>
      </c>
      <c r="L18" s="9">
        <f t="shared" si="2"/>
        <v>202</v>
      </c>
      <c r="N18" s="1"/>
    </row>
    <row r="19" spans="1:14" x14ac:dyDescent="0.2">
      <c r="B19" s="2">
        <v>15</v>
      </c>
      <c r="C19" s="11">
        <v>44392</v>
      </c>
      <c r="D19" s="7">
        <v>137</v>
      </c>
      <c r="E19" s="31">
        <v>37825</v>
      </c>
      <c r="F19" s="4">
        <v>191963</v>
      </c>
      <c r="G19" s="8">
        <f t="shared" si="0"/>
        <v>107</v>
      </c>
      <c r="H19" s="7">
        <v>490291</v>
      </c>
      <c r="I19" s="3">
        <f t="shared" si="1"/>
        <v>371</v>
      </c>
      <c r="J19" s="3">
        <v>0</v>
      </c>
      <c r="K19" s="4">
        <v>297769</v>
      </c>
      <c r="L19" s="9">
        <f t="shared" si="2"/>
        <v>248</v>
      </c>
      <c r="N19" s="1"/>
    </row>
    <row r="20" spans="1:14" x14ac:dyDescent="0.2">
      <c r="A20" t="s">
        <v>28</v>
      </c>
      <c r="B20" s="2">
        <v>16</v>
      </c>
      <c r="C20" s="11">
        <v>44393</v>
      </c>
      <c r="D20" s="7">
        <v>185</v>
      </c>
      <c r="E20" s="31">
        <v>36876</v>
      </c>
      <c r="F20" s="29">
        <v>192070</v>
      </c>
      <c r="G20" s="8">
        <f t="shared" si="0"/>
        <v>122</v>
      </c>
      <c r="H20" s="31">
        <v>490662</v>
      </c>
      <c r="I20" s="3">
        <f t="shared" si="1"/>
        <v>333</v>
      </c>
      <c r="J20" s="35">
        <v>0</v>
      </c>
      <c r="K20" s="4">
        <v>298017</v>
      </c>
      <c r="L20" s="9">
        <f t="shared" si="2"/>
        <v>176</v>
      </c>
      <c r="N20" s="1"/>
    </row>
    <row r="21" spans="1:14" x14ac:dyDescent="0.2">
      <c r="B21" s="2">
        <v>17</v>
      </c>
      <c r="C21" s="11">
        <v>44394</v>
      </c>
      <c r="D21" s="7">
        <v>174</v>
      </c>
      <c r="E21" s="7">
        <v>37765</v>
      </c>
      <c r="F21" s="29">
        <v>192192</v>
      </c>
      <c r="G21" s="8">
        <f t="shared" si="0"/>
        <v>109</v>
      </c>
      <c r="H21" s="32">
        <v>490995</v>
      </c>
      <c r="I21" s="3">
        <f t="shared" si="1"/>
        <v>482</v>
      </c>
      <c r="J21" s="25">
        <v>2970</v>
      </c>
      <c r="K21" s="24">
        <v>298193</v>
      </c>
      <c r="L21" s="9">
        <f t="shared" si="2"/>
        <v>241</v>
      </c>
      <c r="N21" s="1"/>
    </row>
    <row r="22" spans="1:14" x14ac:dyDescent="0.2">
      <c r="B22" s="2">
        <v>18</v>
      </c>
      <c r="C22" s="11">
        <v>44395</v>
      </c>
      <c r="D22" s="7">
        <v>142</v>
      </c>
      <c r="E22" s="7">
        <v>37156</v>
      </c>
      <c r="F22" s="4">
        <v>192301</v>
      </c>
      <c r="G22" s="8">
        <f t="shared" si="0"/>
        <v>107</v>
      </c>
      <c r="H22" s="33">
        <v>491477</v>
      </c>
      <c r="I22" s="3">
        <f t="shared" si="1"/>
        <v>278</v>
      </c>
      <c r="J22" s="3">
        <v>0</v>
      </c>
      <c r="K22" s="29">
        <v>298434</v>
      </c>
      <c r="L22" s="9">
        <f t="shared" si="2"/>
        <v>182</v>
      </c>
      <c r="N22" s="1"/>
    </row>
    <row r="23" spans="1:14" x14ac:dyDescent="0.2">
      <c r="B23" s="2">
        <v>19</v>
      </c>
      <c r="C23" s="11">
        <v>44396</v>
      </c>
      <c r="D23" s="7">
        <v>129</v>
      </c>
      <c r="E23" s="31">
        <v>36660</v>
      </c>
      <c r="F23" s="4">
        <v>192408</v>
      </c>
      <c r="G23" s="8">
        <f>F24-F23</f>
        <v>102</v>
      </c>
      <c r="H23" s="4">
        <v>491755</v>
      </c>
      <c r="I23" s="3">
        <f>H24-H23</f>
        <v>492</v>
      </c>
      <c r="J23" s="25">
        <v>2970</v>
      </c>
      <c r="K23" s="29">
        <v>298616</v>
      </c>
      <c r="L23" s="9">
        <f>K24-K23</f>
        <v>251</v>
      </c>
      <c r="N23" s="1"/>
    </row>
    <row r="24" spans="1:14" ht="12" customHeight="1" x14ac:dyDescent="0.2">
      <c r="B24" s="2">
        <v>20</v>
      </c>
      <c r="C24" s="11">
        <v>44397</v>
      </c>
      <c r="D24" s="7">
        <v>156</v>
      </c>
      <c r="E24" s="31">
        <v>35216</v>
      </c>
      <c r="F24" s="4">
        <v>192510</v>
      </c>
      <c r="G24" s="8">
        <f>F25-F24</f>
        <v>104</v>
      </c>
      <c r="H24" s="29">
        <v>492247</v>
      </c>
      <c r="I24" s="3">
        <f>H25-H24</f>
        <v>426</v>
      </c>
      <c r="J24" s="3">
        <v>0</v>
      </c>
      <c r="K24" s="4">
        <v>298867</v>
      </c>
      <c r="L24" s="9">
        <f>K25-K24</f>
        <v>172</v>
      </c>
      <c r="N24" s="1"/>
    </row>
    <row r="25" spans="1:14" x14ac:dyDescent="0.2">
      <c r="B25" s="2">
        <v>21</v>
      </c>
      <c r="C25" s="11">
        <v>44398</v>
      </c>
      <c r="D25" s="7">
        <v>232</v>
      </c>
      <c r="E25" s="7">
        <v>36045</v>
      </c>
      <c r="F25" s="29">
        <v>192614</v>
      </c>
      <c r="G25" s="8">
        <f>F26-F25</f>
        <v>114</v>
      </c>
      <c r="H25" s="28">
        <v>492673</v>
      </c>
      <c r="I25" s="3">
        <f>H26-H25</f>
        <v>445</v>
      </c>
      <c r="J25" s="3">
        <v>0</v>
      </c>
      <c r="K25" s="4">
        <v>299039</v>
      </c>
      <c r="L25" s="9">
        <f>K26-K25</f>
        <v>211</v>
      </c>
      <c r="N25" s="1"/>
    </row>
    <row r="26" spans="1:14" x14ac:dyDescent="0.2">
      <c r="B26" s="2">
        <v>22</v>
      </c>
      <c r="C26" s="11">
        <v>44399</v>
      </c>
      <c r="D26" s="7">
        <v>248</v>
      </c>
      <c r="E26" s="7">
        <v>37880</v>
      </c>
      <c r="F26" s="4">
        <v>192728</v>
      </c>
      <c r="G26" s="8">
        <f>F27-F26</f>
        <v>107</v>
      </c>
      <c r="H26" s="4">
        <v>493118</v>
      </c>
      <c r="I26" s="3">
        <f>H27-H26</f>
        <v>432</v>
      </c>
      <c r="J26" s="25">
        <v>2970</v>
      </c>
      <c r="K26" s="28">
        <v>299250</v>
      </c>
      <c r="L26" s="9">
        <f>K27-K26</f>
        <v>166</v>
      </c>
      <c r="N26" s="1"/>
    </row>
    <row r="27" spans="1:14" x14ac:dyDescent="0.2">
      <c r="B27" s="2">
        <v>23</v>
      </c>
      <c r="C27" s="11">
        <v>44400</v>
      </c>
      <c r="D27" s="7">
        <v>275</v>
      </c>
      <c r="E27" s="7">
        <v>39887</v>
      </c>
      <c r="F27" s="4">
        <v>192835</v>
      </c>
      <c r="G27" s="8">
        <f t="shared" ref="G27:G29" si="3">F28-F27</f>
        <v>116</v>
      </c>
      <c r="H27" s="7">
        <v>493550</v>
      </c>
      <c r="I27" s="3">
        <f t="shared" ref="I27:I29" si="4">H28-H27</f>
        <v>504</v>
      </c>
      <c r="J27" s="3">
        <v>0</v>
      </c>
      <c r="K27" s="4">
        <v>299416</v>
      </c>
      <c r="L27" s="9">
        <f t="shared" ref="L27:L29" si="5">K28-K27</f>
        <v>199</v>
      </c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>
        <v>124</v>
      </c>
      <c r="E28" s="7">
        <v>39854</v>
      </c>
      <c r="F28" s="4">
        <v>192951</v>
      </c>
      <c r="G28" s="8">
        <f t="shared" si="3"/>
        <v>110</v>
      </c>
      <c r="H28" s="7">
        <v>494054</v>
      </c>
      <c r="I28" s="3">
        <f t="shared" si="4"/>
        <v>521</v>
      </c>
      <c r="J28" s="3">
        <v>2970</v>
      </c>
      <c r="K28" s="4">
        <v>299615</v>
      </c>
      <c r="L28" s="9">
        <f t="shared" si="5"/>
        <v>193</v>
      </c>
      <c r="N28" s="1"/>
    </row>
    <row r="29" spans="1:14" x14ac:dyDescent="0.2">
      <c r="A29" t="s">
        <v>30</v>
      </c>
      <c r="B29" s="2">
        <v>25</v>
      </c>
      <c r="C29" s="11">
        <v>44402</v>
      </c>
      <c r="D29" s="7">
        <v>109</v>
      </c>
      <c r="E29" s="7">
        <v>39542</v>
      </c>
      <c r="F29" s="4">
        <v>193061</v>
      </c>
      <c r="G29" s="8">
        <f t="shared" si="3"/>
        <v>110</v>
      </c>
      <c r="H29" s="7">
        <v>494575</v>
      </c>
      <c r="I29" s="3">
        <f t="shared" si="4"/>
        <v>326</v>
      </c>
      <c r="J29" s="3">
        <v>2970</v>
      </c>
      <c r="K29" s="4">
        <v>299808</v>
      </c>
      <c r="L29" s="9">
        <f t="shared" si="5"/>
        <v>243</v>
      </c>
      <c r="N29" s="1"/>
    </row>
    <row r="30" spans="1:14" x14ac:dyDescent="0.2">
      <c r="B30" s="2">
        <v>26</v>
      </c>
      <c r="C30" s="11">
        <v>44403</v>
      </c>
      <c r="D30" s="7"/>
      <c r="E30" s="7"/>
      <c r="F30" s="4">
        <v>193171</v>
      </c>
      <c r="G30" s="8"/>
      <c r="H30" s="7">
        <v>494901</v>
      </c>
      <c r="I30" s="3"/>
      <c r="J30" s="3">
        <v>0</v>
      </c>
      <c r="K30" s="30">
        <v>300051</v>
      </c>
      <c r="L30" s="9"/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/>
      <c r="G31" s="8"/>
      <c r="H31" s="16"/>
      <c r="I31" s="3"/>
      <c r="J31" s="3">
        <v>0</v>
      </c>
      <c r="K31" s="34"/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2021-07-26T05:14:14Z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