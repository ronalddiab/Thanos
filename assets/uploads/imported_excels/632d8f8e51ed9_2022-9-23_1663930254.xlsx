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<sst xmlns="http://schemas.openxmlformats.org/spreadsheetml/2006/main" count="145" uniqueCount="66">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</sst>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Submetering!R21</f>
        <v>1548.6112309999999</v>
      </c>
      <c r="H21" s="11">
        <v>0.52800000000000002</v>
      </c>
      <c r="I21" s="12">
        <f>Hotel!B26</f>
        <v>112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Submetering!R22</f>
        <v>832.03311800000006</v>
      </c>
      <c r="H22" s="11">
        <v>0.52800000000000002</v>
      </c>
      <c r="I22" s="12">
        <f>Hotel!B27</f>
        <v>135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65580</v>
      </c>
      <c r="F23" s="11">
        <v>5.0000000000000001E-3</v>
      </c>
      <c r="G23" s="12">
        <f>Submetering!R23</f>
        <v>927.803991</v>
      </c>
      <c r="H23" s="11">
        <v>0.52800000000000002</v>
      </c>
      <c r="I23" s="12">
        <f>Hotel!B28</f>
        <v>155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Hotel!AV26*0.00378541*100</f>
        <v>1548.6112309999999</v>
      </c>
      <c r="S21" s="4">
        <f>Hotel!B26</f>
        <v>112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Hotel!AV27*0.00378541*100</f>
        <v>832.03311800000006</v>
      </c>
      <c r="S22" s="4">
        <f>Hotel!B27</f>
        <v>135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990</v>
      </c>
      <c r="F23" s="4">
        <f>Hotel!R28</f>
        <v>14350</v>
      </c>
      <c r="G23" s="4">
        <f>Hotel!S28</f>
        <v>3750</v>
      </c>
      <c r="H23" s="4">
        <f>Hotel!T28</f>
        <v>1650</v>
      </c>
      <c r="I23" s="4">
        <f>Hotel!U28</f>
        <v>4620</v>
      </c>
      <c r="J23" s="4">
        <f>Hotel!V28</f>
        <v>4280</v>
      </c>
      <c r="K23" s="4">
        <f>Hotel!W28</f>
        <v>3500</v>
      </c>
      <c r="L23" s="4">
        <f>Hotel!X28</f>
        <v>4620</v>
      </c>
      <c r="M23" s="4">
        <f>Hotel!Y28</f>
        <v>5650</v>
      </c>
      <c r="N23" s="4">
        <f>Hotel!Z28</f>
        <v>2660</v>
      </c>
      <c r="O23" s="4">
        <f>Hotel!AA28</f>
        <v>3030</v>
      </c>
      <c r="P23" s="4">
        <f>Hotel!AB28</f>
        <v>7100</v>
      </c>
      <c r="Q23" s="4">
        <f>Hotel!AC28</f>
        <v>9380</v>
      </c>
      <c r="R23" s="4">
        <f>Hotel!AV28*0.00378541*100</f>
        <v>927.803991</v>
      </c>
      <c r="S23" s="4">
        <f>Hotel!B28</f>
        <v>155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U28" sqref="AU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U4" s="63" t="s">
        <v>28</v>
      </c>
      <c r="AV4" s="64" t="s">
        <v>29</v>
      </c>
      <c r="AW4" s="64" t="s">
        <v>48</v>
      </c>
      <c r="AX4" s="66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3"/>
      <c r="AV5" s="65"/>
      <c r="AW5" s="65"/>
      <c r="AX5" s="66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9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5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5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5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3"/>
        <v>1060</v>
      </c>
      <c r="R26" s="37">
        <f t="shared" si="18"/>
        <v>14890</v>
      </c>
      <c r="S26" s="37">
        <f t="shared" si="33"/>
        <v>3920</v>
      </c>
      <c r="T26" s="37">
        <f t="shared" si="33"/>
        <v>1680</v>
      </c>
      <c r="U26" s="37">
        <f t="shared" si="33"/>
        <v>4370</v>
      </c>
      <c r="V26" s="37">
        <f t="shared" si="33"/>
        <v>4260</v>
      </c>
      <c r="W26" s="37">
        <f t="shared" si="33"/>
        <v>3390</v>
      </c>
      <c r="X26" s="37">
        <f t="shared" si="33"/>
        <v>4510</v>
      </c>
      <c r="Y26" s="37">
        <f t="shared" si="33"/>
        <v>5490</v>
      </c>
      <c r="Z26" s="37">
        <f t="shared" si="33"/>
        <v>2580</v>
      </c>
      <c r="AA26" s="37">
        <f t="shared" si="33"/>
        <v>2880</v>
      </c>
      <c r="AB26" s="37">
        <f t="shared" si="33"/>
        <v>6880</v>
      </c>
      <c r="AC26" s="37">
        <f t="shared" si="33"/>
        <v>9150</v>
      </c>
      <c r="AD26" s="35">
        <f t="shared" si="29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0"/>
        <v>325.3</v>
      </c>
      <c r="AU26" s="55">
        <v>220859</v>
      </c>
      <c r="AV26" s="37">
        <f t="shared" si="31"/>
        <v>4091</v>
      </c>
      <c r="AW26" s="37">
        <f>AV26*100*AV44</f>
        <v>1548.6112309999999</v>
      </c>
      <c r="AX26" s="35">
        <f t="shared" si="14"/>
        <v>8.1820000000000004</v>
      </c>
    </row>
    <row r="27" spans="1:50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3"/>
        <v>2650</v>
      </c>
      <c r="R27" s="37">
        <f t="shared" si="18"/>
        <v>15530</v>
      </c>
      <c r="S27" s="37">
        <f t="shared" si="33"/>
        <v>4120</v>
      </c>
      <c r="T27" s="37">
        <f t="shared" si="33"/>
        <v>1650</v>
      </c>
      <c r="U27" s="37">
        <f t="shared" si="33"/>
        <v>4460</v>
      </c>
      <c r="V27" s="37">
        <f t="shared" si="33"/>
        <v>4260</v>
      </c>
      <c r="W27" s="37">
        <f t="shared" si="33"/>
        <v>3400</v>
      </c>
      <c r="X27" s="37">
        <f t="shared" si="33"/>
        <v>4610</v>
      </c>
      <c r="Y27" s="37">
        <f t="shared" si="33"/>
        <v>5510</v>
      </c>
      <c r="Z27" s="37">
        <f t="shared" si="33"/>
        <v>2510</v>
      </c>
      <c r="AA27" s="37">
        <f t="shared" si="33"/>
        <v>2830</v>
      </c>
      <c r="AB27" s="37">
        <f t="shared" si="33"/>
        <v>6810</v>
      </c>
      <c r="AC27" s="37">
        <f t="shared" si="33"/>
        <v>8470</v>
      </c>
      <c r="AD27" s="35">
        <f t="shared" si="29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0"/>
        <v>334.05000000000007</v>
      </c>
      <c r="AU27" s="55">
        <v>223057</v>
      </c>
      <c r="AV27" s="37">
        <f>IF((AU27-AU26&lt;0),"0",AU27-AU26)</f>
        <v>2198</v>
      </c>
      <c r="AW27" s="37">
        <f>AV27*100*AV44</f>
        <v>832.03311799999994</v>
      </c>
      <c r="AX27" s="35">
        <f t="shared" si="14"/>
        <v>4.3959999999999999</v>
      </c>
    </row>
    <row r="28" spans="1:50" x14ac:dyDescent="0.25">
      <c r="A28" s="23">
        <v>44826</v>
      </c>
      <c r="B28" s="40">
        <v>155</v>
      </c>
      <c r="C28" s="24">
        <v>8465960</v>
      </c>
      <c r="D28" s="24">
        <v>20491970</v>
      </c>
      <c r="E28" s="24">
        <v>3611770</v>
      </c>
      <c r="F28" s="24">
        <v>4267310</v>
      </c>
      <c r="G28" s="24">
        <v>12571870</v>
      </c>
      <c r="H28" s="24">
        <v>7378250</v>
      </c>
      <c r="I28" s="24">
        <v>6404150</v>
      </c>
      <c r="J28" s="24">
        <v>7958860</v>
      </c>
      <c r="K28" s="24">
        <v>11624070</v>
      </c>
      <c r="L28" s="24">
        <v>5060080</v>
      </c>
      <c r="M28" s="24">
        <v>9357110</v>
      </c>
      <c r="N28" s="24">
        <v>15394530</v>
      </c>
      <c r="O28" s="24">
        <v>21521940</v>
      </c>
      <c r="Q28" s="37">
        <f t="shared" si="17"/>
        <v>990</v>
      </c>
      <c r="R28" s="37">
        <f t="shared" si="18"/>
        <v>14350</v>
      </c>
      <c r="S28" s="37">
        <f t="shared" si="16"/>
        <v>3750</v>
      </c>
      <c r="T28" s="37">
        <f t="shared" si="19"/>
        <v>1650</v>
      </c>
      <c r="U28" s="37">
        <f t="shared" si="20"/>
        <v>4620</v>
      </c>
      <c r="V28" s="37">
        <f t="shared" si="21"/>
        <v>4280</v>
      </c>
      <c r="W28" s="37">
        <f t="shared" si="22"/>
        <v>3500</v>
      </c>
      <c r="X28" s="37">
        <f t="shared" si="23"/>
        <v>4620</v>
      </c>
      <c r="Y28" s="37">
        <f t="shared" si="24"/>
        <v>5650</v>
      </c>
      <c r="Z28" s="37">
        <f t="shared" si="25"/>
        <v>2660</v>
      </c>
      <c r="AA28" s="37">
        <f t="shared" si="26"/>
        <v>3030</v>
      </c>
      <c r="AB28" s="37">
        <f t="shared" si="27"/>
        <v>7100</v>
      </c>
      <c r="AC28" s="37">
        <f t="shared" si="28"/>
        <v>9380</v>
      </c>
      <c r="AD28" s="35">
        <f t="shared" si="29"/>
        <v>65580</v>
      </c>
      <c r="AF28" s="20">
        <f t="shared" si="1"/>
        <v>4.95</v>
      </c>
      <c r="AG28" s="20">
        <f t="shared" si="2"/>
        <v>71.75</v>
      </c>
      <c r="AH28" s="20">
        <f t="shared" si="3"/>
        <v>18.75</v>
      </c>
      <c r="AI28" s="20">
        <f t="shared" si="4"/>
        <v>8.25</v>
      </c>
      <c r="AJ28" s="20">
        <f t="shared" si="5"/>
        <v>23.1</v>
      </c>
      <c r="AK28" s="20">
        <f t="shared" si="6"/>
        <v>21.400000000000002</v>
      </c>
      <c r="AL28" s="20">
        <f t="shared" si="7"/>
        <v>17.5</v>
      </c>
      <c r="AM28" s="20">
        <f t="shared" si="8"/>
        <v>23.1</v>
      </c>
      <c r="AN28" s="20">
        <f t="shared" si="9"/>
        <v>28.25</v>
      </c>
      <c r="AO28" s="20">
        <f t="shared" si="10"/>
        <v>13.3</v>
      </c>
      <c r="AP28" s="20">
        <f t="shared" si="11"/>
        <v>15.15</v>
      </c>
      <c r="AQ28" s="20">
        <f t="shared" si="12"/>
        <v>35.5</v>
      </c>
      <c r="AR28" s="20">
        <f t="shared" si="13"/>
        <v>46.9</v>
      </c>
      <c r="AS28" s="35">
        <f t="shared" si="30"/>
        <v>327.9</v>
      </c>
      <c r="AU28" s="55">
        <v>225508</v>
      </c>
      <c r="AV28" s="37">
        <f>IF((AU28-AU27&lt;0),"0",AU28-AU27)</f>
        <v>2451</v>
      </c>
      <c r="AW28" s="37">
        <f>AV28*100*AV44</f>
        <v>927.803991</v>
      </c>
      <c r="AX28" s="35">
        <f t="shared" si="14"/>
        <v>4.9020000000000001</v>
      </c>
    </row>
    <row r="29" spans="1:50" x14ac:dyDescent="0.25">
      <c r="A29" s="23">
        <v>44827</v>
      </c>
      <c r="B29" s="40"/>
      <c r="C29" s="24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Q29" s="37" t="str">
        <f t="shared" si="17"/>
        <v>0</v>
      </c>
      <c r="R29" s="37" t="str">
        <f t="shared" si="18"/>
        <v>0</v>
      </c>
      <c r="S29" s="37" t="str">
        <f t="shared" si="16"/>
        <v>0</v>
      </c>
      <c r="T29" s="37" t="str">
        <f t="shared" si="19"/>
        <v>0</v>
      </c>
      <c r="U29" s="37" t="str">
        <f t="shared" si="20"/>
        <v>0</v>
      </c>
      <c r="V29" s="37" t="str">
        <f t="shared" si="21"/>
        <v>0</v>
      </c>
      <c r="W29" s="37" t="str">
        <f t="shared" si="22"/>
        <v>0</v>
      </c>
      <c r="X29" s="37" t="str">
        <f t="shared" si="23"/>
        <v>0</v>
      </c>
      <c r="Y29" s="37" t="str">
        <f t="shared" si="24"/>
        <v>0</v>
      </c>
      <c r="Z29" s="37" t="str">
        <f t="shared" si="25"/>
        <v>0</v>
      </c>
      <c r="AA29" s="37" t="str">
        <f t="shared" si="26"/>
        <v>0</v>
      </c>
      <c r="AB29" s="37" t="str">
        <f t="shared" si="27"/>
        <v>0</v>
      </c>
      <c r="AC29" s="37" t="str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6"/>
      <c r="AV29" s="37" t="str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44828</v>
      </c>
      <c r="B30" s="40"/>
      <c r="C30" s="2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44829</v>
      </c>
      <c r="B31" s="40"/>
      <c r="C31" s="2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56990</v>
      </c>
      <c r="R38" s="38">
        <f t="shared" ref="R38:AD38" si="60">SUM(R7:R37)</f>
        <v>313420</v>
      </c>
      <c r="S38" s="38">
        <f t="shared" si="60"/>
        <v>82600</v>
      </c>
      <c r="T38" s="38">
        <f t="shared" si="60"/>
        <v>36760</v>
      </c>
      <c r="U38" s="38">
        <f t="shared" si="60"/>
        <v>96340</v>
      </c>
      <c r="V38" s="38">
        <f t="shared" si="60"/>
        <v>91620</v>
      </c>
      <c r="W38" s="38">
        <f t="shared" si="60"/>
        <v>72210</v>
      </c>
      <c r="X38" s="38">
        <f t="shared" si="60"/>
        <v>96180</v>
      </c>
      <c r="Y38" s="38">
        <f t="shared" si="60"/>
        <v>122190</v>
      </c>
      <c r="Z38" s="38">
        <f t="shared" si="60"/>
        <v>54420</v>
      </c>
      <c r="AA38" s="38">
        <f t="shared" si="60"/>
        <v>62660</v>
      </c>
      <c r="AB38" s="38">
        <f t="shared" si="60"/>
        <v>153080</v>
      </c>
      <c r="AC38" s="38">
        <f t="shared" si="60"/>
        <v>211190</v>
      </c>
      <c r="AD38" s="38">
        <f t="shared" si="60"/>
        <v>1449660</v>
      </c>
      <c r="AF38" s="35">
        <f>SUM(AF7:AF37)</f>
        <v>284.95</v>
      </c>
      <c r="AG38" s="35">
        <f t="shared" ref="AG38:AS38" si="61">SUM(AG7:AG37)</f>
        <v>1567.1</v>
      </c>
      <c r="AH38" s="35">
        <f t="shared" si="61"/>
        <v>413</v>
      </c>
      <c r="AI38" s="35">
        <f t="shared" si="61"/>
        <v>183.80000000000004</v>
      </c>
      <c r="AJ38" s="35">
        <f t="shared" si="61"/>
        <v>481.70000000000016</v>
      </c>
      <c r="AK38" s="35">
        <f t="shared" si="61"/>
        <v>458.1</v>
      </c>
      <c r="AL38" s="35">
        <f t="shared" si="61"/>
        <v>361.05</v>
      </c>
      <c r="AM38" s="35">
        <f t="shared" si="61"/>
        <v>480.90000000000015</v>
      </c>
      <c r="AN38" s="35">
        <f t="shared" si="61"/>
        <v>610.95000000000005</v>
      </c>
      <c r="AO38" s="35">
        <f t="shared" si="61"/>
        <v>272.10000000000002</v>
      </c>
      <c r="AP38" s="35">
        <f t="shared" si="61"/>
        <v>313.29999999999995</v>
      </c>
      <c r="AQ38" s="35">
        <f t="shared" si="61"/>
        <v>765.39999999999986</v>
      </c>
      <c r="AR38" s="35">
        <f t="shared" si="61"/>
        <v>1055.95</v>
      </c>
      <c r="AS38" s="35">
        <f t="shared" si="61"/>
        <v>7248.2999999999993</v>
      </c>
      <c r="AU38" s="47"/>
      <c r="AV38" s="34">
        <f>SUM(AV7:AV37)</f>
        <v>50113</v>
      </c>
      <c r="AW38" s="34">
        <f>SUM(AW7:AW37)</f>
        <v>18969.825132999998</v>
      </c>
      <c r="AX38" s="35">
        <f>SUM(AX7:AX37)</f>
        <v>100.226</v>
      </c>
    </row>
    <row r="39" spans="1:50" x14ac:dyDescent="0.25">
      <c r="B39" s="39">
        <f>SUM(B7:B36)</f>
        <v>2220</v>
      </c>
      <c r="D39">
        <v>5.0000000000000001E-3</v>
      </c>
      <c r="AV39" s="36"/>
      <c r="AW39" s="52">
        <f>AW38/31</f>
        <v>611.92984300000001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2022-09-23T10:50:29Z</dcterms:modified>
</cp:coreProperties>
</file>