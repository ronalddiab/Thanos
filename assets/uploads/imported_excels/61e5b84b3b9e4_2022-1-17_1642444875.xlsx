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<sst xmlns="http://schemas.openxmlformats.org/spreadsheetml/2006/main" count="315" uniqueCount="148">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</sst>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10540.000000000131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77.200000000000728</v>
      </c>
      <c r="J11" s="11">
        <f t="shared" si="3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10919.999999999836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80.799999999999272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11680.000000000196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97</v>
      </c>
      <c r="J13" s="11">
        <f t="shared" si="3"/>
        <v>10.487297712684205</v>
      </c>
      <c r="K13" s="13">
        <f>'FS Desroches Daily'!CN15</f>
        <v>18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11450.000000000022</v>
      </c>
      <c r="F14" s="11">
        <f t="shared" si="1"/>
        <v>0.58765030286592534</v>
      </c>
      <c r="G14" s="12">
        <f>(Submetering!AX14+Submetering!AY14+Submetering!AZ14+Submetering!BA14+Submetering!BB14)</f>
        <v>21.977999999999998</v>
      </c>
      <c r="H14" s="11">
        <f t="shared" si="2"/>
        <v>0.99</v>
      </c>
      <c r="I14" s="12">
        <f>'FS Desroches Daily'!CM16</f>
        <v>85.599999999998545</v>
      </c>
      <c r="J14" s="11">
        <f t="shared" si="3"/>
        <v>10.487297712684205</v>
      </c>
      <c r="K14" s="13">
        <f>'FS Desroches Daily'!CN16</f>
        <v>16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10509.999999999633</v>
      </c>
      <c r="F15" s="11">
        <f t="shared" si="1"/>
        <v>0.58765030286592534</v>
      </c>
      <c r="G15" s="12">
        <f>(Submetering!AX15+Submetering!AY15+Submetering!AZ15+Submetering!BA15+Submetering!BB15)</f>
        <v>18.314999999999998</v>
      </c>
      <c r="H15" s="11">
        <f t="shared" si="2"/>
        <v>0.99</v>
      </c>
      <c r="I15" s="12">
        <f>'FS Desroches Daily'!CM17</f>
        <v>96.400000000001455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9680.0000000000036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83.099999999998545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11429.999999999853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79.900000000001455</v>
      </c>
      <c r="J17" s="11">
        <f t="shared" si="3"/>
        <v>10.487297712684205</v>
      </c>
      <c r="K17" s="13">
        <f>'FS Desroches Daily'!CN19</f>
        <v>14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 t="e">
        <f>Submetering!E18+Submetering!F18+Submetering!G18+Submetering!H18+Submetering!J18-Submetering!AV18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 t="e">
        <f>'FS Desroches Daily'!CM20</f>
        <v>#VALUE!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>
        <f>'FS Desroches Daily'!BF11</f>
        <v>35</v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37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>
        <f>'FS Desroches Daily'!CF12</f>
        <v>9.6000000000003638</v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2400.0000000001796</v>
      </c>
      <c r="F11" s="32">
        <f>'FS Desroches Daily'!F13</f>
        <v>3100.0000000003247</v>
      </c>
      <c r="G11" s="31">
        <f>'FS Desroches Daily'!H13</f>
        <v>2899.9999999999027</v>
      </c>
      <c r="H11" s="32">
        <f>'FS Desroches Daily'!J13</f>
        <v>1399.9999999998458</v>
      </c>
      <c r="I11" s="31">
        <f>'FS Desroches Daily'!L13</f>
        <v>1900.0000000000127</v>
      </c>
      <c r="J11" s="32">
        <f>'FS Desroches Daily'!N13</f>
        <v>1399.9999999998458</v>
      </c>
      <c r="K11" s="13">
        <f>'FS Desroches Daily'!P13</f>
        <v>18</v>
      </c>
      <c r="L11" s="31">
        <f>'FS Desroches Daily'!R13</f>
        <v>2</v>
      </c>
      <c r="M11" s="31">
        <f>'FS Desroches Daily'!T13</f>
        <v>1.0999999999999091</v>
      </c>
      <c r="N11" s="31">
        <f>'FS Desroches Daily'!V13</f>
        <v>347.70000000001164</v>
      </c>
      <c r="O11" s="31">
        <f>'FS Desroches Daily'!X13</f>
        <v>240.00000000000909</v>
      </c>
      <c r="P11" s="31">
        <f>'FS Desroches Daily'!Z13</f>
        <v>2899.9999999999027</v>
      </c>
      <c r="Q11" s="31">
        <f>'FS Desroches Daily'!AB13</f>
        <v>369.9999999999477</v>
      </c>
      <c r="R11" s="31">
        <f>'FS Desroches Daily'!AD13</f>
        <v>400.00000000003411</v>
      </c>
      <c r="S11" s="31">
        <f>'FS Desroches Daily'!AF13</f>
        <v>529.99999999997272</v>
      </c>
      <c r="T11" s="31">
        <f>'FS Desroches Daily'!AH13</f>
        <v>33</v>
      </c>
      <c r="U11" s="35">
        <f>'FS Desroches Daily'!AJ13</f>
        <v>539.99999999996362</v>
      </c>
      <c r="V11" s="35">
        <f>'FS Desroches Daily'!AL13</f>
        <v>210.00000000000796</v>
      </c>
      <c r="W11" s="35">
        <f>'FS Desroches Daily'!AN13</f>
        <v>180.00000000000682</v>
      </c>
      <c r="X11" s="35">
        <f>'FS Desroches Daily'!AP13</f>
        <v>199.99999999998863</v>
      </c>
      <c r="Y11" s="35">
        <f>'FS Desroches Daily'!AR13</f>
        <v>169.99999999995907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89.999999999974989</v>
      </c>
      <c r="AC11" s="35">
        <f>'FS Desroches Daily'!AZ13</f>
        <v>100.00000000002274</v>
      </c>
      <c r="AD11" s="35">
        <f>'FS Desroches Daily'!BB13</f>
        <v>220.00000000002728</v>
      </c>
      <c r="AE11" s="35">
        <f>'FS Desroches Daily'!BD13</f>
        <v>189.99999999999773</v>
      </c>
      <c r="AF11" s="31">
        <f>'FS Desroches Daily'!BF13</f>
        <v>35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40.000000000020464</v>
      </c>
      <c r="AJ11" s="32">
        <f>'FS Desroches Daily'!BN13</f>
        <v>30.000000000001137</v>
      </c>
      <c r="AK11" s="32">
        <f>'FS Desroches Daily'!BP13</f>
        <v>49.999999999954525</v>
      </c>
      <c r="AL11" s="32">
        <f>'FS Desroches Daily'!BR13</f>
        <v>25</v>
      </c>
      <c r="AM11" s="32">
        <f>'FS Desroches Daily'!BT13</f>
        <v>40.000000000020464</v>
      </c>
      <c r="AN11" s="32">
        <f>'FS Desroches Daily'!BV13</f>
        <v>23</v>
      </c>
      <c r="AO11" s="32">
        <f>'FS Desroches Daily'!BX13</f>
        <v>20.000000000010232</v>
      </c>
      <c r="AP11" s="32">
        <f>'FS Desroches Daily'!BZ13</f>
        <v>25</v>
      </c>
      <c r="AQ11" s="31">
        <f>'FS Desroches Daily'!CB13</f>
        <v>52.799999999995634</v>
      </c>
      <c r="AR11" s="31">
        <f>'FS Desroches Daily'!CD13</f>
        <v>5.6999999999989086</v>
      </c>
      <c r="AS11" s="31">
        <f>'FS Desroches Daily'!CF13</f>
        <v>5</v>
      </c>
      <c r="AT11" s="31">
        <f>'FS Desroches Daily'!CH13</f>
        <v>52.200000000011642</v>
      </c>
      <c r="AU11" s="31">
        <f>'FS Desroches Daily'!CJ13</f>
        <v>281</v>
      </c>
      <c r="AV11" s="31">
        <f>'FS Desroches Daily'!CL13</f>
        <v>659.99999999996817</v>
      </c>
      <c r="AW11" s="31">
        <f>'FS Desroches Daily'!CM13</f>
        <v>77.200000000000728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5.4944999999999995</v>
      </c>
      <c r="BB11" s="31">
        <f>IF(LPG!Q18-LPG!Q17&lt;0,"0",(LPG!Q18-LPG!Q17)*1.8315)</f>
        <v>5.4944999999999995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2399.9999999997358</v>
      </c>
      <c r="F12" s="32">
        <f>'FS Desroches Daily'!F14</f>
        <v>3600.0000000000477</v>
      </c>
      <c r="G12" s="31">
        <f>'FS Desroches Daily'!H14</f>
        <v>2699.9999999999245</v>
      </c>
      <c r="H12" s="32">
        <f>'FS Desroches Daily'!J14</f>
        <v>1400.0000000000678</v>
      </c>
      <c r="I12" s="31">
        <f>'FS Desroches Daily'!L14</f>
        <v>1999.9999999997797</v>
      </c>
      <c r="J12" s="32">
        <f>'FS Desroches Daily'!N14</f>
        <v>1300.0000000000789</v>
      </c>
      <c r="K12" s="13">
        <f>'FS Desroches Daily'!P14</f>
        <v>31</v>
      </c>
      <c r="L12" s="31">
        <f>'FS Desroches Daily'!R14</f>
        <v>4</v>
      </c>
      <c r="M12" s="31">
        <f>'FS Desroches Daily'!T14</f>
        <v>1</v>
      </c>
      <c r="N12" s="31">
        <f>'FS Desroches Daily'!V14</f>
        <v>391.79999999998836</v>
      </c>
      <c r="O12" s="31">
        <f>'FS Desroches Daily'!X14</f>
        <v>300.00000000001137</v>
      </c>
      <c r="P12" s="31">
        <f>'FS Desroches Daily'!Z14</f>
        <v>3400.0000000000696</v>
      </c>
      <c r="Q12" s="31">
        <f>'FS Desroches Daily'!AB14</f>
        <v>270.00000000003865</v>
      </c>
      <c r="R12" s="31">
        <f>'FS Desroches Daily'!AD14</f>
        <v>430.00000000000682</v>
      </c>
      <c r="S12" s="31">
        <f>'FS Desroches Daily'!AF14</f>
        <v>490.00000000000909</v>
      </c>
      <c r="T12" s="31">
        <f>'FS Desroches Daily'!AH14</f>
        <v>35</v>
      </c>
      <c r="U12" s="35">
        <f>'FS Desroches Daily'!AJ14</f>
        <v>610.00000000001364</v>
      </c>
      <c r="V12" s="35">
        <f>'FS Desroches Daily'!AL14</f>
        <v>219.99999999999886</v>
      </c>
      <c r="W12" s="35">
        <f>'FS Desroches Daily'!AN14</f>
        <v>229.99999999998977</v>
      </c>
      <c r="X12" s="35">
        <f>'FS Desroches Daily'!AP14</f>
        <v>210.00000000000796</v>
      </c>
      <c r="Y12" s="35">
        <f>'FS Desroches Daily'!AR14</f>
        <v>150.00000000003411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100.00000000002274</v>
      </c>
      <c r="AC12" s="35">
        <f>'FS Desroches Daily'!AZ14</f>
        <v>120.00000000000455</v>
      </c>
      <c r="AD12" s="35">
        <f>'FS Desroches Daily'!BB14</f>
        <v>180.00000000000682</v>
      </c>
      <c r="AE12" s="35">
        <f>'FS Desroches Daily'!BD14</f>
        <v>180.00000000000682</v>
      </c>
      <c r="AF12" s="31">
        <f>'FS Desroches Daily'!BF14</f>
        <v>31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49.999999999982947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30</v>
      </c>
      <c r="AM12" s="32">
        <f>'FS Desroches Daily'!BT14</f>
        <v>39.999999999992042</v>
      </c>
      <c r="AN12" s="32">
        <f>'FS Desroches Daily'!BV14</f>
        <v>27</v>
      </c>
      <c r="AO12" s="32">
        <f>'FS Desroches Daily'!BX14</f>
        <v>39.999999999992042</v>
      </c>
      <c r="AP12" s="32">
        <f>'FS Desroches Daily'!BZ14</f>
        <v>28</v>
      </c>
      <c r="AQ12" s="31">
        <f>'FS Desroches Daily'!CB14</f>
        <v>54</v>
      </c>
      <c r="AR12" s="31">
        <f>'FS Desroches Daily'!CD14</f>
        <v>7.1000000000003638</v>
      </c>
      <c r="AS12" s="31" t="str">
        <f>'FS Desroches Daily'!CF14</f>
        <v/>
      </c>
      <c r="AT12" s="31">
        <f>'FS Desroches Daily'!CH14</f>
        <v>50.899999999994179</v>
      </c>
      <c r="AU12" s="31">
        <f>'FS Desroches Daily'!CJ14</f>
        <v>272</v>
      </c>
      <c r="AV12" s="31">
        <f>'FS Desroches Daily'!CL14</f>
        <v>480.00000000001819</v>
      </c>
      <c r="AW12" s="31">
        <f>'FS Desroches Daily'!CM14</f>
        <v>80.799999999999272</v>
      </c>
      <c r="AX12" s="31">
        <f>IF(LPG!F19-LPG!F18&lt;0,"0",(LPG!F19-LPG!F18)*1.8315)</f>
        <v>10.988999999999999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5.4944999999999995</v>
      </c>
      <c r="BB12" s="31">
        <f>IF(LPG!Q20-LPG!Q18&lt;0,"0",(LPG!Q20-LPG!Q18)*1.8315)</f>
        <v>14.651999999999999</v>
      </c>
      <c r="BC12" s="13">
        <f>'FS Desroches Daily'!CN14</f>
        <v>21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2700.0000000003688</v>
      </c>
      <c r="F13" s="32">
        <f>'FS Desroches Daily'!F15</f>
        <v>3599.9999999996035</v>
      </c>
      <c r="G13" s="31">
        <f>'FS Desroches Daily'!H15</f>
        <v>3000.0000000001137</v>
      </c>
      <c r="H13" s="32">
        <f>'FS Desroches Daily'!J15</f>
        <v>1600.0000000000459</v>
      </c>
      <c r="I13" s="31">
        <f>'FS Desroches Daily'!L15</f>
        <v>2200.0000000002019</v>
      </c>
      <c r="J13" s="32">
        <f>'FS Desroches Daily'!N15</f>
        <v>1400.0000000000678</v>
      </c>
      <c r="K13" s="13">
        <f>'FS Desroches Daily'!P15</f>
        <v>24</v>
      </c>
      <c r="L13" s="31">
        <f>'FS Desroches Daily'!R15</f>
        <v>5</v>
      </c>
      <c r="M13" s="31">
        <f>'FS Desroches Daily'!T15</f>
        <v>1.3000000000001819</v>
      </c>
      <c r="N13" s="31">
        <f>'FS Desroches Daily'!V15</f>
        <v>433.29999999998836</v>
      </c>
      <c r="O13" s="31">
        <f>'FS Desroches Daily'!X15</f>
        <v>360.00000000001364</v>
      </c>
      <c r="P13" s="31">
        <f>'FS Desroches Daily'!Z15</f>
        <v>3499.9999999998367</v>
      </c>
      <c r="Q13" s="31">
        <f>'FS Desroches Daily'!AB15</f>
        <v>389.99999999998636</v>
      </c>
      <c r="R13" s="31">
        <f>'FS Desroches Daily'!AD15</f>
        <v>519.99999999998181</v>
      </c>
      <c r="S13" s="31">
        <f>'FS Desroches Daily'!AF15</f>
        <v>430.00000000006366</v>
      </c>
      <c r="T13" s="31">
        <f>'FS Desroches Daily'!AH15</f>
        <v>42</v>
      </c>
      <c r="U13" s="35">
        <f>'FS Desroches Daily'!AJ15</f>
        <v>689.99999999994088</v>
      </c>
      <c r="V13" s="35">
        <f>'FS Desroches Daily'!AL15</f>
        <v>269.99999999998181</v>
      </c>
      <c r="W13" s="35">
        <f>'FS Desroches Daily'!AN15</f>
        <v>250</v>
      </c>
      <c r="X13" s="35">
        <f>'FS Desroches Daily'!AP15</f>
        <v>259.99999999999091</v>
      </c>
      <c r="Y13" s="35">
        <f>'FS Desroches Daily'!AR15</f>
        <v>199.99999999998863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120.00000000000455</v>
      </c>
      <c r="AC13" s="35">
        <f>'FS Desroches Daily'!AZ15</f>
        <v>109.9999999999568</v>
      </c>
      <c r="AD13" s="35">
        <f>'FS Desroches Daily'!BB15</f>
        <v>199.99999999998863</v>
      </c>
      <c r="AE13" s="35">
        <f>'FS Desroches Daily'!BD15</f>
        <v>150.00000000003411</v>
      </c>
      <c r="AF13" s="31">
        <f>'FS Desroches Daily'!BF15</f>
        <v>34</v>
      </c>
      <c r="AG13" s="32">
        <f>'FS Desroches Daily'!BH15</f>
        <v>39.999999999992042</v>
      </c>
      <c r="AH13" s="32">
        <f>'FS Desroches Daily'!BJ15</f>
        <v>20.000000000038654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30</v>
      </c>
      <c r="AM13" s="32">
        <f>'FS Desroches Daily'!BT15</f>
        <v>60.000000000002274</v>
      </c>
      <c r="AN13" s="32">
        <f>'FS Desroches Daily'!BV15</f>
        <v>37</v>
      </c>
      <c r="AO13" s="32">
        <f>'FS Desroches Daily'!BX15</f>
        <v>39.999999999992042</v>
      </c>
      <c r="AP13" s="32">
        <f>'FS Desroches Daily'!BZ15</f>
        <v>27</v>
      </c>
      <c r="AQ13" s="31">
        <f>'FS Desroches Daily'!CB15</f>
        <v>91.600000000005821</v>
      </c>
      <c r="AR13" s="31">
        <f>'FS Desroches Daily'!CD15</f>
        <v>7.7000000000007276</v>
      </c>
      <c r="AS13" s="31">
        <f>'FS Desroches Daily'!CF15</f>
        <v>14.699999999999818</v>
      </c>
      <c r="AT13" s="31">
        <f>'FS Desroches Daily'!CH15</f>
        <v>49.30000000000291</v>
      </c>
      <c r="AU13" s="31">
        <f>'FS Desroches Daily'!CJ15</f>
        <v>287</v>
      </c>
      <c r="AV13" s="31">
        <f>'FS Desroches Daily'!CL15</f>
        <v>620.00000000000455</v>
      </c>
      <c r="AW13" s="31">
        <f>'FS Desroches Daily'!CM15</f>
        <v>97</v>
      </c>
      <c r="AX13" s="31">
        <f>IF(LPG!F20-LPG!F19&lt;0,"0",(LPG!F20-LPG!F19)*1.8315)</f>
        <v>10.988999999999999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2699.9999999999245</v>
      </c>
      <c r="F14" s="32">
        <f>'FS Desroches Daily'!F16</f>
        <v>3500.0000000002806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26</v>
      </c>
      <c r="L14" s="31">
        <f>'FS Desroches Daily'!R16</f>
        <v>4</v>
      </c>
      <c r="M14" s="31">
        <f>'FS Desroches Daily'!T16</f>
        <v>1</v>
      </c>
      <c r="N14" s="31">
        <f>'FS Desroches Daily'!V16</f>
        <v>345.80000000004657</v>
      </c>
      <c r="O14" s="31">
        <f>'FS Desroches Daily'!X16</f>
        <v>289.99999999996362</v>
      </c>
      <c r="P14" s="31">
        <f>'FS Desroches Daily'!Z16</f>
        <v>3099.9999999998809</v>
      </c>
      <c r="Q14" s="31">
        <f>'FS Desroches Daily'!AB16</f>
        <v>269.99999999998181</v>
      </c>
      <c r="R14" s="31">
        <f>'FS Desroches Daily'!AD16</f>
        <v>470.00000000002728</v>
      </c>
      <c r="S14" s="31">
        <f>'FS Desroches Daily'!AF16</f>
        <v>409.99999999996817</v>
      </c>
      <c r="T14" s="31">
        <f>'FS Desroches Daily'!AH16</f>
        <v>40</v>
      </c>
      <c r="U14" s="35">
        <f>'FS Desroches Daily'!AJ16</f>
        <v>759.99999999999091</v>
      </c>
      <c r="V14" s="35">
        <f>'FS Desroches Daily'!AL16</f>
        <v>250</v>
      </c>
      <c r="W14" s="35">
        <f>'FS Desroches Daily'!AN16</f>
        <v>250</v>
      </c>
      <c r="X14" s="35">
        <f>'FS Desroches Daily'!AP16</f>
        <v>189.99999999999773</v>
      </c>
      <c r="Y14" s="35">
        <f>'FS Desroches Daily'!AR16</f>
        <v>199.99999999998863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100.00000000002274</v>
      </c>
      <c r="AC14" s="35">
        <f>'FS Desroches Daily'!AZ16</f>
        <v>110.00000000001364</v>
      </c>
      <c r="AD14" s="35">
        <f>'FS Desroches Daily'!BB16</f>
        <v>170.00000000001592</v>
      </c>
      <c r="AE14" s="35">
        <f>'FS Desroches Daily'!BD16</f>
        <v>69.999999999993179</v>
      </c>
      <c r="AF14" s="31">
        <f>'FS Desroches Daily'!BF16</f>
        <v>42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30</v>
      </c>
      <c r="AM14" s="32">
        <f>'FS Desroches Daily'!BT16</f>
        <v>60.000000000002274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28</v>
      </c>
      <c r="AQ14" s="31">
        <f>'FS Desroches Daily'!CB16</f>
        <v>67.19999999999709</v>
      </c>
      <c r="AR14" s="31">
        <f>'FS Desroches Daily'!CD16</f>
        <v>9.1000000000003638</v>
      </c>
      <c r="AS14" s="31">
        <f>'FS Desroches Daily'!CF16</f>
        <v>20</v>
      </c>
      <c r="AT14" s="31">
        <f>'FS Desroches Daily'!CH16</f>
        <v>46.099999999991269</v>
      </c>
      <c r="AU14" s="31">
        <f>'FS Desroches Daily'!CJ16</f>
        <v>267</v>
      </c>
      <c r="AV14" s="31">
        <f>'FS Desroches Daily'!CL16</f>
        <v>649.99999999997726</v>
      </c>
      <c r="AW14" s="31">
        <f>'FS Desroches Daily'!CM16</f>
        <v>85.599999999998545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16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2399.9999999997358</v>
      </c>
      <c r="F15" s="32">
        <f>'FS Desroches Daily'!F17</f>
        <v>3400.0000000000696</v>
      </c>
      <c r="G15" s="31">
        <f>'FS Desroches Daily'!H17</f>
        <v>2499.9999999999468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1300.0000000000789</v>
      </c>
      <c r="K15" s="13">
        <f>'FS Desroches Daily'!P17</f>
        <v>33</v>
      </c>
      <c r="L15" s="31">
        <f>'FS Desroches Daily'!R17</f>
        <v>4</v>
      </c>
      <c r="M15" s="31">
        <f>'FS Desroches Daily'!T17</f>
        <v>1</v>
      </c>
      <c r="N15" s="31">
        <f>'FS Desroches Daily'!V17</f>
        <v>353.39999999996508</v>
      </c>
      <c r="O15" s="31">
        <f>'FS Desroches Daily'!X17</f>
        <v>280.00000000002956</v>
      </c>
      <c r="P15" s="31">
        <f>'FS Desroches Daily'!Z17</f>
        <v>3100.0000000003247</v>
      </c>
      <c r="Q15" s="31">
        <f>'FS Desroches Daily'!AB17</f>
        <v>450.00000000004547</v>
      </c>
      <c r="R15" s="31">
        <f>'FS Desroches Daily'!AD17</f>
        <v>409.99999999996817</v>
      </c>
      <c r="S15" s="31">
        <f>'FS Desroches Daily'!AF17</f>
        <v>370.00000000000455</v>
      </c>
      <c r="T15" s="31">
        <f>'FS Desroches Daily'!AH17</f>
        <v>41</v>
      </c>
      <c r="U15" s="35">
        <f>'FS Desroches Daily'!AJ17</f>
        <v>670.00000000007276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140.00000000001478</v>
      </c>
      <c r="Y15" s="35">
        <f>'FS Desroches Daily'!AR17</f>
        <v>199.99999999998863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89.999999999974989</v>
      </c>
      <c r="AC15" s="35">
        <f>'FS Desroches Daily'!AZ17</f>
        <v>110.00000000001364</v>
      </c>
      <c r="AD15" s="35">
        <f>'FS Desroches Daily'!BB17</f>
        <v>169.99999999995907</v>
      </c>
      <c r="AE15" s="35">
        <f>'FS Desroches Daily'!BD17</f>
        <v>50.000000000011369</v>
      </c>
      <c r="AF15" s="31">
        <f>'FS Desroches Daily'!BF17</f>
        <v>34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39.999999999992042</v>
      </c>
      <c r="AK15" s="32">
        <f>'FS Desroches Daily'!BP17</f>
        <v>79.999999999984084</v>
      </c>
      <c r="AL15" s="32">
        <f>'FS Desroches Daily'!BR17</f>
        <v>36</v>
      </c>
      <c r="AM15" s="32">
        <f>'FS Desroches Daily'!BT17</f>
        <v>79.999999999984084</v>
      </c>
      <c r="AN15" s="32">
        <f>'FS Desroches Daily'!BV17</f>
        <v>50</v>
      </c>
      <c r="AO15" s="32">
        <f>'FS Desroches Daily'!BX17</f>
        <v>40.000000000020464</v>
      </c>
      <c r="AP15" s="32">
        <f>'FS Desroches Daily'!BZ17</f>
        <v>35</v>
      </c>
      <c r="AQ15" s="31">
        <f>'FS Desroches Daily'!CB17</f>
        <v>59.80000000000291</v>
      </c>
      <c r="AR15" s="31">
        <f>'FS Desroches Daily'!CD17</f>
        <v>9.7999999999992724</v>
      </c>
      <c r="AS15" s="31">
        <f>'FS Desroches Daily'!CF17</f>
        <v>15</v>
      </c>
      <c r="AT15" s="31">
        <f>'FS Desroches Daily'!CH17</f>
        <v>31.80000000000291</v>
      </c>
      <c r="AU15" s="31">
        <f>'FS Desroches Daily'!CJ17</f>
        <v>293</v>
      </c>
      <c r="AV15" s="31">
        <f>'FS Desroches Daily'!CL17</f>
        <v>590.00000000003183</v>
      </c>
      <c r="AW15" s="31">
        <f>'FS Desroches Daily'!CM17</f>
        <v>96.400000000001455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2299.9999999999686</v>
      </c>
      <c r="F16" s="32">
        <f>'FS Desroches Daily'!F18</f>
        <v>2999.9999999996694</v>
      </c>
      <c r="G16" s="31">
        <f>'FS Desroches Daily'!H18</f>
        <v>2400.0000000001796</v>
      </c>
      <c r="H16" s="32">
        <f>'FS Desroches Daily'!J18</f>
        <v>1500.0000000000568</v>
      </c>
      <c r="I16" s="31">
        <f>'FS Desroches Daily'!L18</f>
        <v>1999.9999999997797</v>
      </c>
      <c r="J16" s="32">
        <f>'FS Desroches Daily'!N18</f>
        <v>1000.0000000001119</v>
      </c>
      <c r="K16" s="13">
        <f>'FS Desroches Daily'!P18</f>
        <v>14</v>
      </c>
      <c r="L16" s="31">
        <f>'FS Desroches Daily'!R18</f>
        <v>4</v>
      </c>
      <c r="M16" s="31">
        <f>'FS Desroches Daily'!T18</f>
        <v>0.89999999999986358</v>
      </c>
      <c r="N16" s="31">
        <f>'FS Desroches Daily'!V18</f>
        <v>358.5</v>
      </c>
      <c r="O16" s="31">
        <f>'FS Desroches Daily'!X18</f>
        <v>269.99999999998181</v>
      </c>
      <c r="P16" s="31">
        <f>'FS Desroches Daily'!Z18</f>
        <v>2999.9999999996694</v>
      </c>
      <c r="Q16" s="31">
        <f>'FS Desroches Daily'!AB18</f>
        <v>239.99999999995225</v>
      </c>
      <c r="R16" s="31">
        <f>'FS Desroches Daily'!AD18</f>
        <v>400.00000000003411</v>
      </c>
      <c r="S16" s="31">
        <f>'FS Desroches Daily'!AF18</f>
        <v>329.99999999992724</v>
      </c>
      <c r="T16" s="31">
        <f>'FS Desroches Daily'!AH18</f>
        <v>40</v>
      </c>
      <c r="U16" s="35">
        <f>'FS Desroches Daily'!AJ18</f>
        <v>730.00000000001819</v>
      </c>
      <c r="V16" s="35">
        <f>'FS Desroches Daily'!AL18</f>
        <v>199.99999999998863</v>
      </c>
      <c r="W16" s="35">
        <f>'FS Desroches Daily'!AN18</f>
        <v>270.00000000001023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119.9999999999477</v>
      </c>
      <c r="AA16" s="35">
        <f>'FS Desroches Daily'!AT18</f>
        <v>119.9999999999477</v>
      </c>
      <c r="AB16" s="35">
        <f>'FS Desroches Daily'!AV18</f>
        <v>100.00000000002274</v>
      </c>
      <c r="AC16" s="35">
        <f>'FS Desroches Daily'!AZ18</f>
        <v>89.999999999974989</v>
      </c>
      <c r="AD16" s="35">
        <f>'FS Desroches Daily'!BB18</f>
        <v>160.00000000002501</v>
      </c>
      <c r="AE16" s="35">
        <f>'FS Desroches Daily'!BD18</f>
        <v>39.99999999996362</v>
      </c>
      <c r="AF16" s="31">
        <f>'FS Desroches Daily'!BF18</f>
        <v>18</v>
      </c>
      <c r="AG16" s="32">
        <f>'FS Desroches Daily'!BH18</f>
        <v>39.999999999992042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60.000000000002274</v>
      </c>
      <c r="AL16" s="32">
        <f>'FS Desroches Daily'!BR18</f>
        <v>30</v>
      </c>
      <c r="AM16" s="32">
        <f>'FS Desroches Daily'!BT18</f>
        <v>50.000000000011369</v>
      </c>
      <c r="AN16" s="32">
        <f>'FS Desroches Daily'!BV18</f>
        <v>32</v>
      </c>
      <c r="AO16" s="32">
        <f>'FS Desroches Daily'!BX18</f>
        <v>30.000000000001137</v>
      </c>
      <c r="AP16" s="32">
        <f>'FS Desroches Daily'!BZ18</f>
        <v>38</v>
      </c>
      <c r="AQ16" s="31">
        <f>'FS Desroches Daily'!CB18</f>
        <v>86.899999999994179</v>
      </c>
      <c r="AR16" s="31">
        <f>'FS Desroches Daily'!CD18</f>
        <v>9.2000000000007276</v>
      </c>
      <c r="AS16" s="31">
        <f>'FS Desroches Daily'!CF18</f>
        <v>5.1999999999998181</v>
      </c>
      <c r="AT16" s="31">
        <f>'FS Desroches Daily'!CH18</f>
        <v>53.400000000008731</v>
      </c>
      <c r="AU16" s="31">
        <f>'FS Desroches Daily'!CJ18</f>
        <v>272</v>
      </c>
      <c r="AV16" s="31">
        <f>'FS Desroches Daily'!CL18</f>
        <v>519.99999999998181</v>
      </c>
      <c r="AW16" s="31">
        <f>'FS Desroches Daily'!CM18</f>
        <v>83.099999999998545</v>
      </c>
      <c r="AX16" s="31">
        <f>IF(LPG!F23-LPG!F22&lt;0,"0",(LPG!F23-LPG!F22)*1.8315)</f>
        <v>7.3259999999999996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7.3259999999999996</v>
      </c>
      <c r="BB16" s="31">
        <f>IF(LPG!Q23-LPG!Q22&lt;0,"0",(LPG!Q23-LPG!Q22)*1.8315)</f>
        <v>1.8314999999999999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2800.0000000001355</v>
      </c>
      <c r="F17" s="32">
        <f>'FS Desroches Daily'!F19</f>
        <v>3600.0000000000477</v>
      </c>
      <c r="G17" s="31">
        <f>'FS Desroches Daily'!H19</f>
        <v>2799.9999999996917</v>
      </c>
      <c r="H17" s="32">
        <f>'FS Desroches Daily'!J19</f>
        <v>1500.0000000000568</v>
      </c>
      <c r="I17" s="31">
        <f>'FS Desroches Daily'!L19</f>
        <v>2299.9999999999686</v>
      </c>
      <c r="J17" s="32">
        <f>'FS Desroches Daily'!N19</f>
        <v>1299.9999999998568</v>
      </c>
      <c r="K17" s="13">
        <f>'FS Desroches Daily'!P19</f>
        <v>69</v>
      </c>
      <c r="L17" s="31">
        <f>'FS Desroches Daily'!R19</f>
        <v>5</v>
      </c>
      <c r="M17" s="31">
        <f>'FS Desroches Daily'!T19</f>
        <v>1.1000000000001364</v>
      </c>
      <c r="N17" s="31">
        <f>'FS Desroches Daily'!V19</f>
        <v>410.10000000003492</v>
      </c>
      <c r="O17" s="31">
        <f>'FS Desroches Daily'!X19</f>
        <v>280.00000000002956</v>
      </c>
      <c r="P17" s="31">
        <f>'FS Desroches Daily'!Z19</f>
        <v>3100.0000000003247</v>
      </c>
      <c r="Q17" s="31">
        <f>'FS Desroches Daily'!AB19</f>
        <v>379.99999999999545</v>
      </c>
      <c r="R17" s="31">
        <f>'FS Desroches Daily'!AD19</f>
        <v>429.99999999994998</v>
      </c>
      <c r="S17" s="31">
        <f>'FS Desroches Daily'!AF19</f>
        <v>320.00000000005002</v>
      </c>
      <c r="T17" s="31">
        <f>'FS Desroches Daily'!AH19</f>
        <v>37</v>
      </c>
      <c r="U17" s="35">
        <f>'FS Desroches Daily'!AJ19</f>
        <v>699.99999999993179</v>
      </c>
      <c r="V17" s="35">
        <f>'FS Desroches Daily'!AL19</f>
        <v>219.99999999999886</v>
      </c>
      <c r="W17" s="35">
        <f>'FS Desroches Daily'!AN19</f>
        <v>299.99999999998295</v>
      </c>
      <c r="X17" s="35">
        <f>'FS Desroches Daily'!AP19</f>
        <v>189.99999999999773</v>
      </c>
      <c r="Y17" s="35">
        <f>'FS Desroches Daily'!AR19</f>
        <v>160.00000000002501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169.99999999995907</v>
      </c>
      <c r="AC17" s="35">
        <f>'FS Desroches Daily'!AZ19</f>
        <v>160.00000000002501</v>
      </c>
      <c r="AD17" s="35">
        <f>'FS Desroches Daily'!BB19</f>
        <v>159.99999999996817</v>
      </c>
      <c r="AE17" s="35">
        <f>'FS Desroches Daily'!BD19</f>
        <v>50.000000000011369</v>
      </c>
      <c r="AF17" s="31">
        <f>'FS Desroches Daily'!BF19</f>
        <v>46</v>
      </c>
      <c r="AG17" s="32">
        <f>'FS Desroches Daily'!BH19</f>
        <v>40.000000000020464</v>
      </c>
      <c r="AH17" s="32">
        <f>'FS Desroches Daily'!BJ19</f>
        <v>40.000000000020464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28</v>
      </c>
      <c r="AM17" s="32">
        <f>'FS Desroches Daily'!BT19</f>
        <v>69.999999999993179</v>
      </c>
      <c r="AN17" s="32">
        <f>'FS Desroches Daily'!BV19</f>
        <v>38</v>
      </c>
      <c r="AO17" s="32">
        <f>'FS Desroches Daily'!BX19</f>
        <v>39.999999999992042</v>
      </c>
      <c r="AP17" s="32">
        <f>'FS Desroches Daily'!BZ19</f>
        <v>40</v>
      </c>
      <c r="AQ17" s="31">
        <f>'FS Desroches Daily'!CB19</f>
        <v>64.80000000000291</v>
      </c>
      <c r="AR17" s="31">
        <f>'FS Desroches Daily'!CD19</f>
        <v>11.399999999999636</v>
      </c>
      <c r="AS17" s="31">
        <f>'FS Desroches Daily'!CF19</f>
        <v>7.1999999999998181</v>
      </c>
      <c r="AT17" s="31">
        <f>'FS Desroches Daily'!CH19</f>
        <v>31</v>
      </c>
      <c r="AU17" s="31">
        <f>'FS Desroches Daily'!CJ19</f>
        <v>286</v>
      </c>
      <c r="AV17" s="31">
        <f>'FS Desroches Daily'!CL19</f>
        <v>569.99999999993634</v>
      </c>
      <c r="AW17" s="31">
        <f>'FS Desroches Daily'!CM19</f>
        <v>79.900000000001455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14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46600.000000000204</v>
      </c>
      <c r="F33" s="17">
        <f t="shared" ref="F33:BC33" si="1">SUM(F2:F32)</f>
        <v>55399.999999999687</v>
      </c>
      <c r="G33" s="17">
        <f t="shared" si="1"/>
        <v>47399.999999999673</v>
      </c>
      <c r="H33" s="17">
        <f t="shared" si="1"/>
        <v>24599.99999999996</v>
      </c>
      <c r="I33" s="17">
        <f t="shared" si="1"/>
        <v>34300</v>
      </c>
      <c r="J33" s="17">
        <f t="shared" si="1"/>
        <v>21299.999999999876</v>
      </c>
      <c r="K33" s="17">
        <f t="shared" si="1"/>
        <v>386</v>
      </c>
      <c r="L33" s="17">
        <f t="shared" si="1"/>
        <v>66</v>
      </c>
      <c r="M33" s="17">
        <f t="shared" si="1"/>
        <v>19.600000000000136</v>
      </c>
      <c r="N33" s="17">
        <f t="shared" si="1"/>
        <v>6957</v>
      </c>
      <c r="O33" s="17">
        <f t="shared" si="1"/>
        <v>4680.0000000000637</v>
      </c>
      <c r="P33" s="17">
        <f t="shared" si="1"/>
        <v>51300.000000000357</v>
      </c>
      <c r="Q33" s="17">
        <f t="shared" si="1"/>
        <v>5899.9999999999773</v>
      </c>
      <c r="R33" s="17">
        <f t="shared" si="1"/>
        <v>6509.99999999999</v>
      </c>
      <c r="S33" s="17">
        <f t="shared" si="1"/>
        <v>7230.0000000000182</v>
      </c>
      <c r="T33" s="17">
        <f t="shared" si="1"/>
        <v>627</v>
      </c>
      <c r="U33" s="35">
        <f t="shared" si="1"/>
        <v>11960.000000000036</v>
      </c>
      <c r="V33" s="35">
        <f t="shared" si="1"/>
        <v>4500.0000000000009</v>
      </c>
      <c r="W33" s="35">
        <f t="shared" si="1"/>
        <v>4199.9999999999882</v>
      </c>
      <c r="X33" s="35">
        <f t="shared" si="1"/>
        <v>3429.9999999999786</v>
      </c>
      <c r="Y33" s="35">
        <f t="shared" si="1"/>
        <v>2850.0000000000227</v>
      </c>
      <c r="Z33" s="35">
        <f t="shared" si="1"/>
        <v>2569.9999999999932</v>
      </c>
      <c r="AA33" s="35">
        <f t="shared" si="1"/>
        <v>2569.9999999999932</v>
      </c>
      <c r="AB33" s="35">
        <f t="shared" si="1"/>
        <v>2009.9999999999909</v>
      </c>
      <c r="AC33" s="35">
        <f t="shared" si="1"/>
        <v>2310.0000000000023</v>
      </c>
      <c r="AD33" s="35">
        <f t="shared" si="1"/>
        <v>3519.9999999999818</v>
      </c>
      <c r="AE33" s="35">
        <f t="shared" si="1"/>
        <v>2290.0000000000205</v>
      </c>
      <c r="AF33" s="17">
        <f t="shared" si="1"/>
        <v>566</v>
      </c>
      <c r="AG33" s="32">
        <f t="shared" si="1"/>
        <v>680.00000000000682</v>
      </c>
      <c r="AH33" s="32">
        <f t="shared" si="1"/>
        <v>490.00000000000909</v>
      </c>
      <c r="AI33" s="32">
        <f t="shared" si="1"/>
        <v>759.99999999999091</v>
      </c>
      <c r="AJ33" s="32">
        <f t="shared" si="1"/>
        <v>659.99999999999659</v>
      </c>
      <c r="AK33" s="32">
        <f t="shared" si="1"/>
        <v>959.99999999997954</v>
      </c>
      <c r="AL33" s="32">
        <f t="shared" si="1"/>
        <v>493</v>
      </c>
      <c r="AM33" s="32">
        <f t="shared" si="1"/>
        <v>900.00000000000568</v>
      </c>
      <c r="AN33" s="32">
        <f t="shared" si="1"/>
        <v>512</v>
      </c>
      <c r="AO33" s="32">
        <f t="shared" si="1"/>
        <v>509.99999999999091</v>
      </c>
      <c r="AP33" s="32">
        <f t="shared" si="1"/>
        <v>488</v>
      </c>
      <c r="AQ33" s="17">
        <f t="shared" si="1"/>
        <v>1068.0999999999985</v>
      </c>
      <c r="AR33" s="17">
        <f t="shared" si="1"/>
        <v>143.70000000000073</v>
      </c>
      <c r="AS33" s="17">
        <f t="shared" si="1"/>
        <v>130.89999999999964</v>
      </c>
      <c r="AT33" s="17">
        <f t="shared" si="1"/>
        <v>739.80000000000291</v>
      </c>
      <c r="AU33" s="17">
        <f t="shared" si="1"/>
        <v>4614</v>
      </c>
      <c r="AV33" s="17">
        <f t="shared" si="1"/>
        <v>10009.999999999991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87.911999999999992</v>
      </c>
      <c r="BC33" s="17">
        <f t="shared" si="1"/>
        <v>333</v>
      </c>
    </row>
    <row r="35" spans="5:55" x14ac:dyDescent="0.25">
      <c r="E35" s="38">
        <f>E33/E37</f>
        <v>0.24994904472264426</v>
      </c>
      <c r="G35" s="29">
        <f>G33-M36</f>
        <v>40423.399999999674</v>
      </c>
      <c r="AE35" s="35">
        <f>SUM(U33:AE33)</f>
        <v>42210.000000000007</v>
      </c>
      <c r="AG35" s="32">
        <f>SUM(AG33:AP33)</f>
        <v>6452.99999999998</v>
      </c>
    </row>
    <row r="36" spans="5:55" x14ac:dyDescent="0.25">
      <c r="G36" s="29">
        <f>G35-633*14</f>
        <v>31561.399999999674</v>
      </c>
      <c r="M36" s="29">
        <f>M33+N33</f>
        <v>6976.6</v>
      </c>
    </row>
    <row r="37" spans="5:55" x14ac:dyDescent="0.25">
      <c r="E37" s="17">
        <f>E33+F33+G33+H33+J33-633*14</f>
        <v>186437.99999999942</v>
      </c>
      <c r="G37" s="37">
        <f>M36/E37</f>
        <v>3.7420482948755204E-2</v>
      </c>
      <c r="M37" s="35">
        <f>AE35</f>
        <v>42210.000000000007</v>
      </c>
    </row>
    <row r="38" spans="5:55" x14ac:dyDescent="0.25">
      <c r="L38" s="27">
        <f>M38/E37</f>
        <v>3.4612042609339297E-2</v>
      </c>
      <c r="M38" s="29">
        <f>AG35</f>
        <v>6452.99999999998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F1" zoomScale="86" zoomScaleNormal="86" workbookViewId="0">
      <pane ySplit="1" topLeftCell="A5" activePane="bottomLeft" state="frozen"/>
      <selection pane="bottomLeft" activeCell="CW20" sqref="CW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>
        <v>46679</v>
      </c>
      <c r="BF11" s="67">
        <f t="shared" si="28"/>
        <v>35</v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>
        <v>46716</v>
      </c>
      <c r="BF12" s="67">
        <f t="shared" si="28"/>
        <v>37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>
        <v>7446</v>
      </c>
      <c r="CF12" s="67">
        <f t="shared" si="41"/>
        <v>9.6000000000003638</v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>
        <v>2.7833000000000001</v>
      </c>
      <c r="D13" s="64">
        <f t="shared" si="1"/>
        <v>2400.0000000001796</v>
      </c>
      <c r="E13" s="58">
        <v>3.8536000000000001</v>
      </c>
      <c r="F13" s="64">
        <f t="shared" si="2"/>
        <v>3100.0000000003247</v>
      </c>
      <c r="G13" s="58">
        <v>3.8544</v>
      </c>
      <c r="H13" s="64">
        <f t="shared" si="3"/>
        <v>2899.9999999999027</v>
      </c>
      <c r="I13" s="58">
        <v>1.9181999999999999</v>
      </c>
      <c r="J13" s="64">
        <f t="shared" si="4"/>
        <v>1399.9999999998458</v>
      </c>
      <c r="K13" s="58">
        <v>3.0445000000000002</v>
      </c>
      <c r="L13" s="64">
        <f t="shared" si="5"/>
        <v>1900.0000000000127</v>
      </c>
      <c r="M13" s="58">
        <v>1.6861999999999999</v>
      </c>
      <c r="N13" s="64">
        <f t="shared" si="6"/>
        <v>1399.9999999998458</v>
      </c>
      <c r="O13" s="58">
        <v>16137</v>
      </c>
      <c r="P13" s="67">
        <f t="shared" si="7"/>
        <v>18</v>
      </c>
      <c r="Q13" s="58">
        <v>1815</v>
      </c>
      <c r="R13" s="67">
        <f t="shared" si="8"/>
        <v>2</v>
      </c>
      <c r="S13" s="58">
        <v>1182.5999999999999</v>
      </c>
      <c r="T13" s="67">
        <f t="shared" si="9"/>
        <v>1.0999999999999091</v>
      </c>
      <c r="U13" s="58">
        <v>489723.5</v>
      </c>
      <c r="V13" s="67">
        <f t="shared" si="10"/>
        <v>347.70000000001164</v>
      </c>
      <c r="W13" s="58">
        <v>457.63</v>
      </c>
      <c r="X13" s="65">
        <f t="shared" si="11"/>
        <v>240.00000000000909</v>
      </c>
      <c r="Y13" s="58">
        <v>3.3841000000000001</v>
      </c>
      <c r="Z13" s="65">
        <f t="shared" si="12"/>
        <v>2899.9999999999027</v>
      </c>
      <c r="AA13" s="58">
        <v>461.09</v>
      </c>
      <c r="AB13" s="65">
        <f t="shared" si="13"/>
        <v>369.9999999999477</v>
      </c>
      <c r="AC13" s="58">
        <v>438.74</v>
      </c>
      <c r="AD13" s="65">
        <f t="shared" si="14"/>
        <v>400.00000000003411</v>
      </c>
      <c r="AE13" s="58">
        <v>641.27</v>
      </c>
      <c r="AF13" s="65">
        <f t="shared" si="15"/>
        <v>529.99999999997272</v>
      </c>
      <c r="AG13" s="58">
        <v>11691</v>
      </c>
      <c r="AH13" s="67">
        <f t="shared" si="16"/>
        <v>33</v>
      </c>
      <c r="AI13" s="58">
        <v>745.98</v>
      </c>
      <c r="AJ13" s="65">
        <f t="shared" si="17"/>
        <v>539.99999999996362</v>
      </c>
      <c r="AK13" s="58">
        <v>249.61</v>
      </c>
      <c r="AL13" s="65">
        <f t="shared" si="18"/>
        <v>210.00000000000796</v>
      </c>
      <c r="AM13" s="58">
        <v>232.59</v>
      </c>
      <c r="AN13" s="65">
        <f t="shared" si="19"/>
        <v>180.00000000000682</v>
      </c>
      <c r="AO13" s="58">
        <v>225.38</v>
      </c>
      <c r="AP13" s="65">
        <f t="shared" si="20"/>
        <v>199.99999999998863</v>
      </c>
      <c r="AQ13" s="58">
        <v>282.89</v>
      </c>
      <c r="AR13" s="65">
        <f t="shared" si="21"/>
        <v>169.99999999995907</v>
      </c>
      <c r="AS13" s="58">
        <v>410.08</v>
      </c>
      <c r="AT13" s="65">
        <f t="shared" si="22"/>
        <v>149.99999999997726</v>
      </c>
      <c r="AU13" s="58">
        <v>315.27999999999997</v>
      </c>
      <c r="AV13" s="65">
        <f t="shared" si="23"/>
        <v>89.999999999974989</v>
      </c>
      <c r="AW13" s="58">
        <v>347.33</v>
      </c>
      <c r="AX13" s="65">
        <f t="shared" si="24"/>
        <v>99.999999999965894</v>
      </c>
      <c r="AY13" s="58">
        <v>384.29</v>
      </c>
      <c r="AZ13" s="65">
        <f t="shared" si="25"/>
        <v>100.00000000002274</v>
      </c>
      <c r="BA13" s="58">
        <v>403.05</v>
      </c>
      <c r="BB13" s="65">
        <f t="shared" si="26"/>
        <v>220.00000000002728</v>
      </c>
      <c r="BC13" s="58">
        <v>258.77</v>
      </c>
      <c r="BD13" s="65">
        <f t="shared" si="27"/>
        <v>189.99999999999773</v>
      </c>
      <c r="BE13" s="59">
        <v>46751</v>
      </c>
      <c r="BF13" s="67">
        <f t="shared" si="28"/>
        <v>35</v>
      </c>
      <c r="BG13" s="60">
        <v>242.18</v>
      </c>
      <c r="BH13" s="65">
        <f t="shared" si="29"/>
        <v>30.000000000001137</v>
      </c>
      <c r="BI13" s="60">
        <v>298.55</v>
      </c>
      <c r="BJ13" s="65">
        <f t="shared" si="30"/>
        <v>20.000000000038654</v>
      </c>
      <c r="BK13" s="60">
        <v>244.83</v>
      </c>
      <c r="BL13" s="65">
        <f t="shared" si="31"/>
        <v>40.000000000020464</v>
      </c>
      <c r="BM13" s="60">
        <v>232.04</v>
      </c>
      <c r="BN13" s="65">
        <f t="shared" si="32"/>
        <v>30.000000000001137</v>
      </c>
      <c r="BO13" s="60">
        <v>297.39999999999998</v>
      </c>
      <c r="BP13" s="65">
        <f t="shared" si="33"/>
        <v>49.999999999954525</v>
      </c>
      <c r="BQ13" s="60">
        <v>51289</v>
      </c>
      <c r="BR13" s="65">
        <f t="shared" si="34"/>
        <v>25</v>
      </c>
      <c r="BS13" s="60">
        <v>208.49</v>
      </c>
      <c r="BT13" s="65">
        <f t="shared" si="35"/>
        <v>40.000000000020464</v>
      </c>
      <c r="BU13" s="60">
        <v>48004</v>
      </c>
      <c r="BV13" s="65">
        <f t="shared" si="36"/>
        <v>23</v>
      </c>
      <c r="BW13" s="60">
        <v>237.65</v>
      </c>
      <c r="BX13" s="65">
        <f t="shared" si="37"/>
        <v>20.000000000010232</v>
      </c>
      <c r="BY13" s="60">
        <v>67767</v>
      </c>
      <c r="BZ13" s="67">
        <f t="shared" si="38"/>
        <v>25</v>
      </c>
      <c r="CA13" s="60">
        <v>41378.699999999997</v>
      </c>
      <c r="CB13" s="67">
        <f t="shared" si="39"/>
        <v>52.799999999995634</v>
      </c>
      <c r="CC13" s="60">
        <v>14023.3</v>
      </c>
      <c r="CD13" s="67">
        <f t="shared" si="40"/>
        <v>5.6999999999989086</v>
      </c>
      <c r="CE13" s="60">
        <v>7451</v>
      </c>
      <c r="CF13" s="67">
        <f t="shared" si="41"/>
        <v>5</v>
      </c>
      <c r="CG13" s="60">
        <v>68255.100000000006</v>
      </c>
      <c r="CH13" s="67">
        <f t="shared" si="42"/>
        <v>52.200000000011642</v>
      </c>
      <c r="CI13" s="60">
        <v>1004655</v>
      </c>
      <c r="CJ13" s="67">
        <f t="shared" si="43"/>
        <v>281</v>
      </c>
      <c r="CK13" s="60">
        <v>891.36</v>
      </c>
      <c r="CL13" s="64">
        <f t="shared" si="44"/>
        <v>659.99999999996817</v>
      </c>
      <c r="CM13" s="65">
        <f t="shared" si="45"/>
        <v>77.200000000000728</v>
      </c>
      <c r="CN13" s="62">
        <v>23</v>
      </c>
      <c r="CO13" s="62">
        <v>64</v>
      </c>
      <c r="CP13" s="68">
        <v>19928.2</v>
      </c>
      <c r="CQ13" s="67">
        <f t="shared" si="46"/>
        <v>61.200000000000728</v>
      </c>
      <c r="CR13" s="68">
        <v>18511</v>
      </c>
      <c r="CS13" s="67">
        <f t="shared" si="47"/>
        <v>16</v>
      </c>
      <c r="CT13" s="75">
        <v>8563</v>
      </c>
      <c r="CU13" s="67">
        <f t="shared" si="48"/>
        <v>9</v>
      </c>
      <c r="CV13" s="68">
        <v>20855</v>
      </c>
      <c r="CW13" s="67">
        <f t="shared" si="49"/>
        <v>50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>
        <v>2.7856999999999998</v>
      </c>
      <c r="D14" s="64">
        <f t="shared" si="1"/>
        <v>2399.9999999997358</v>
      </c>
      <c r="E14" s="58">
        <v>3.8572000000000002</v>
      </c>
      <c r="F14" s="64">
        <f t="shared" si="2"/>
        <v>3600.0000000000477</v>
      </c>
      <c r="G14" s="58">
        <v>3.8571</v>
      </c>
      <c r="H14" s="64">
        <f t="shared" si="3"/>
        <v>2699.9999999999245</v>
      </c>
      <c r="I14" s="58">
        <v>1.9196</v>
      </c>
      <c r="J14" s="64">
        <f t="shared" si="4"/>
        <v>1400.0000000000678</v>
      </c>
      <c r="K14" s="58">
        <v>3.0465</v>
      </c>
      <c r="L14" s="64">
        <f t="shared" si="5"/>
        <v>1999.9999999997797</v>
      </c>
      <c r="M14" s="58">
        <v>1.6875</v>
      </c>
      <c r="N14" s="64">
        <f t="shared" si="6"/>
        <v>1300.0000000000789</v>
      </c>
      <c r="O14" s="58">
        <v>16168</v>
      </c>
      <c r="P14" s="67">
        <f t="shared" si="7"/>
        <v>31</v>
      </c>
      <c r="Q14" s="58">
        <v>1819</v>
      </c>
      <c r="R14" s="67">
        <f t="shared" si="8"/>
        <v>4</v>
      </c>
      <c r="S14" s="58">
        <v>1183.5999999999999</v>
      </c>
      <c r="T14" s="67">
        <f t="shared" si="9"/>
        <v>1</v>
      </c>
      <c r="U14" s="58">
        <v>490115.3</v>
      </c>
      <c r="V14" s="67">
        <f t="shared" si="10"/>
        <v>391.79999999998836</v>
      </c>
      <c r="W14" s="58">
        <v>457.93</v>
      </c>
      <c r="X14" s="65">
        <f t="shared" si="11"/>
        <v>300.00000000001137</v>
      </c>
      <c r="Y14" s="58">
        <v>3.3875000000000002</v>
      </c>
      <c r="Z14" s="65">
        <f t="shared" si="12"/>
        <v>3400.0000000000696</v>
      </c>
      <c r="AA14" s="58">
        <v>461.36</v>
      </c>
      <c r="AB14" s="65">
        <f t="shared" si="13"/>
        <v>270.00000000003865</v>
      </c>
      <c r="AC14" s="58">
        <v>439.17</v>
      </c>
      <c r="AD14" s="65">
        <f t="shared" si="14"/>
        <v>430.00000000000682</v>
      </c>
      <c r="AE14" s="58">
        <v>641.76</v>
      </c>
      <c r="AF14" s="65">
        <f t="shared" si="15"/>
        <v>490.00000000000909</v>
      </c>
      <c r="AG14" s="58">
        <v>11726</v>
      </c>
      <c r="AH14" s="67">
        <f t="shared" si="16"/>
        <v>35</v>
      </c>
      <c r="AI14" s="58">
        <v>746.59</v>
      </c>
      <c r="AJ14" s="65">
        <f t="shared" si="17"/>
        <v>610.00000000001364</v>
      </c>
      <c r="AK14" s="58">
        <v>249.83</v>
      </c>
      <c r="AL14" s="65">
        <f t="shared" si="18"/>
        <v>219.99999999999886</v>
      </c>
      <c r="AM14" s="58">
        <v>232.82</v>
      </c>
      <c r="AN14" s="65">
        <f t="shared" si="19"/>
        <v>229.99999999998977</v>
      </c>
      <c r="AO14" s="58">
        <v>225.59</v>
      </c>
      <c r="AP14" s="65">
        <f t="shared" si="20"/>
        <v>210.00000000000796</v>
      </c>
      <c r="AQ14" s="58">
        <v>283.04000000000002</v>
      </c>
      <c r="AR14" s="65">
        <f t="shared" si="21"/>
        <v>150.00000000003411</v>
      </c>
      <c r="AS14" s="58">
        <v>410.25</v>
      </c>
      <c r="AT14" s="65">
        <f t="shared" si="22"/>
        <v>170.00000000001592</v>
      </c>
      <c r="AU14" s="58">
        <v>315.38</v>
      </c>
      <c r="AV14" s="65">
        <f t="shared" si="23"/>
        <v>100.00000000002274</v>
      </c>
      <c r="AW14" s="58">
        <v>347.44</v>
      </c>
      <c r="AX14" s="65">
        <f t="shared" si="24"/>
        <v>110.00000000001364</v>
      </c>
      <c r="AY14" s="58">
        <v>384.41</v>
      </c>
      <c r="AZ14" s="65">
        <f t="shared" si="25"/>
        <v>120.00000000000455</v>
      </c>
      <c r="BA14" s="58">
        <v>403.23</v>
      </c>
      <c r="BB14" s="65">
        <f t="shared" si="26"/>
        <v>180.00000000000682</v>
      </c>
      <c r="BC14" s="58">
        <v>258.95</v>
      </c>
      <c r="BD14" s="65">
        <f t="shared" si="27"/>
        <v>180.00000000000682</v>
      </c>
      <c r="BE14" s="59">
        <v>46782</v>
      </c>
      <c r="BF14" s="67">
        <f t="shared" si="28"/>
        <v>31</v>
      </c>
      <c r="BG14" s="60">
        <v>242.22</v>
      </c>
      <c r="BH14" s="65">
        <f t="shared" si="29"/>
        <v>39.999999999992042</v>
      </c>
      <c r="BI14" s="60">
        <v>298.58999999999997</v>
      </c>
      <c r="BJ14" s="65">
        <f t="shared" si="30"/>
        <v>39.99999999996362</v>
      </c>
      <c r="BK14" s="60">
        <v>244.88</v>
      </c>
      <c r="BL14" s="65">
        <f t="shared" si="31"/>
        <v>49.999999999982947</v>
      </c>
      <c r="BM14" s="60">
        <v>232.08</v>
      </c>
      <c r="BN14" s="65">
        <f t="shared" si="32"/>
        <v>40.000000000020464</v>
      </c>
      <c r="BO14" s="60">
        <v>297.45</v>
      </c>
      <c r="BP14" s="65">
        <f t="shared" si="33"/>
        <v>50.000000000011369</v>
      </c>
      <c r="BQ14" s="60">
        <v>51319</v>
      </c>
      <c r="BR14" s="65">
        <f t="shared" si="34"/>
        <v>30</v>
      </c>
      <c r="BS14" s="60">
        <v>208.53</v>
      </c>
      <c r="BT14" s="65">
        <f t="shared" si="35"/>
        <v>39.999999999992042</v>
      </c>
      <c r="BU14" s="60">
        <v>48031</v>
      </c>
      <c r="BV14" s="65">
        <f t="shared" si="36"/>
        <v>27</v>
      </c>
      <c r="BW14" s="60">
        <v>237.69</v>
      </c>
      <c r="BX14" s="65">
        <f t="shared" si="37"/>
        <v>39.999999999992042</v>
      </c>
      <c r="BY14" s="60">
        <v>67795</v>
      </c>
      <c r="BZ14" s="67">
        <f t="shared" si="38"/>
        <v>28</v>
      </c>
      <c r="CA14" s="60">
        <v>41432.699999999997</v>
      </c>
      <c r="CB14" s="67">
        <f t="shared" si="39"/>
        <v>54</v>
      </c>
      <c r="CC14" s="60">
        <v>14030.4</v>
      </c>
      <c r="CD14" s="67">
        <f t="shared" si="40"/>
        <v>7.1000000000003638</v>
      </c>
      <c r="CE14" s="60">
        <v>7410.3</v>
      </c>
      <c r="CF14" s="67" t="str">
        <f t="shared" si="41"/>
        <v/>
      </c>
      <c r="CG14" s="60">
        <v>68306</v>
      </c>
      <c r="CH14" s="67">
        <f t="shared" si="42"/>
        <v>50.899999999994179</v>
      </c>
      <c r="CI14" s="60">
        <v>1004927</v>
      </c>
      <c r="CJ14" s="67">
        <f t="shared" si="43"/>
        <v>272</v>
      </c>
      <c r="CK14" s="60">
        <v>891.84</v>
      </c>
      <c r="CL14" s="64">
        <f t="shared" si="44"/>
        <v>480.00000000001819</v>
      </c>
      <c r="CM14" s="65">
        <f t="shared" si="45"/>
        <v>80.799999999999272</v>
      </c>
      <c r="CN14" s="62">
        <v>21</v>
      </c>
      <c r="CO14" s="62">
        <v>58</v>
      </c>
      <c r="CP14" s="68">
        <v>19986</v>
      </c>
      <c r="CQ14" s="67">
        <f t="shared" si="46"/>
        <v>57.799999999999272</v>
      </c>
      <c r="CR14" s="68">
        <v>18534</v>
      </c>
      <c r="CS14" s="67">
        <f t="shared" si="47"/>
        <v>23</v>
      </c>
      <c r="CT14" s="75">
        <v>8573</v>
      </c>
      <c r="CU14" s="67">
        <f t="shared" si="48"/>
        <v>10</v>
      </c>
      <c r="CV14" s="68">
        <v>20889</v>
      </c>
      <c r="CW14" s="67">
        <f t="shared" si="49"/>
        <v>34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>
        <v>2.7884000000000002</v>
      </c>
      <c r="D15" s="64">
        <f t="shared" si="1"/>
        <v>2700.0000000003688</v>
      </c>
      <c r="E15" s="58">
        <v>3.8607999999999998</v>
      </c>
      <c r="F15" s="64">
        <f t="shared" si="2"/>
        <v>3599.9999999996035</v>
      </c>
      <c r="G15" s="58">
        <v>3.8601000000000001</v>
      </c>
      <c r="H15" s="64">
        <f t="shared" si="3"/>
        <v>3000.0000000001137</v>
      </c>
      <c r="I15" s="58">
        <v>1.9212</v>
      </c>
      <c r="J15" s="64">
        <f t="shared" si="4"/>
        <v>1600.0000000000459</v>
      </c>
      <c r="K15" s="58">
        <v>3.0487000000000002</v>
      </c>
      <c r="L15" s="64">
        <f t="shared" si="5"/>
        <v>2200.0000000002019</v>
      </c>
      <c r="M15" s="58">
        <v>1.6889000000000001</v>
      </c>
      <c r="N15" s="64">
        <f t="shared" si="6"/>
        <v>1400.0000000000678</v>
      </c>
      <c r="O15" s="58">
        <v>16192</v>
      </c>
      <c r="P15" s="67">
        <f t="shared" si="7"/>
        <v>24</v>
      </c>
      <c r="Q15" s="58">
        <v>1824</v>
      </c>
      <c r="R15" s="67">
        <f>IF((Q15-Q14&lt;0), "",Q15-Q14)</f>
        <v>5</v>
      </c>
      <c r="S15" s="58">
        <v>1184.9000000000001</v>
      </c>
      <c r="T15" s="67">
        <f t="shared" si="9"/>
        <v>1.3000000000001819</v>
      </c>
      <c r="U15" s="58">
        <v>490548.6</v>
      </c>
      <c r="V15" s="67">
        <f t="shared" si="10"/>
        <v>433.29999999998836</v>
      </c>
      <c r="W15" s="58">
        <v>458.29</v>
      </c>
      <c r="X15" s="65">
        <f t="shared" si="11"/>
        <v>360.00000000001364</v>
      </c>
      <c r="Y15" s="58">
        <v>3.391</v>
      </c>
      <c r="Z15" s="65">
        <f t="shared" si="12"/>
        <v>3499.9999999998367</v>
      </c>
      <c r="AA15" s="58">
        <v>461.75</v>
      </c>
      <c r="AB15" s="65">
        <f t="shared" si="13"/>
        <v>389.99999999998636</v>
      </c>
      <c r="AC15" s="58">
        <v>439.69</v>
      </c>
      <c r="AD15" s="65">
        <f t="shared" si="14"/>
        <v>519.99999999998181</v>
      </c>
      <c r="AE15" s="58">
        <v>642.19000000000005</v>
      </c>
      <c r="AF15" s="65">
        <f t="shared" si="15"/>
        <v>430.00000000006366</v>
      </c>
      <c r="AG15" s="58">
        <v>11768</v>
      </c>
      <c r="AH15" s="67">
        <f t="shared" si="16"/>
        <v>42</v>
      </c>
      <c r="AI15" s="58">
        <v>747.28</v>
      </c>
      <c r="AJ15" s="65">
        <f t="shared" si="17"/>
        <v>689.99999999994088</v>
      </c>
      <c r="AK15" s="58">
        <v>250.1</v>
      </c>
      <c r="AL15" s="65">
        <f t="shared" si="18"/>
        <v>269.99999999998181</v>
      </c>
      <c r="AM15" s="58">
        <v>233.07</v>
      </c>
      <c r="AN15" s="65">
        <f t="shared" si="19"/>
        <v>250</v>
      </c>
      <c r="AO15" s="58">
        <v>225.85</v>
      </c>
      <c r="AP15" s="65">
        <f t="shared" si="20"/>
        <v>259.99999999999091</v>
      </c>
      <c r="AQ15" s="58">
        <v>283.24</v>
      </c>
      <c r="AR15" s="65">
        <f t="shared" si="21"/>
        <v>199.99999999998863</v>
      </c>
      <c r="AS15" s="58">
        <v>410.41</v>
      </c>
      <c r="AT15" s="65">
        <f t="shared" si="22"/>
        <v>160.00000000002501</v>
      </c>
      <c r="AU15" s="58">
        <v>315.5</v>
      </c>
      <c r="AV15" s="65">
        <f t="shared" si="23"/>
        <v>120.00000000000455</v>
      </c>
      <c r="AW15" s="58">
        <v>347.57</v>
      </c>
      <c r="AX15" s="65">
        <f t="shared" si="24"/>
        <v>129.99999999999545</v>
      </c>
      <c r="AY15" s="58">
        <v>384.52</v>
      </c>
      <c r="AZ15" s="65">
        <f t="shared" si="25"/>
        <v>109.9999999999568</v>
      </c>
      <c r="BA15" s="58">
        <v>403.43</v>
      </c>
      <c r="BB15" s="65">
        <f t="shared" si="26"/>
        <v>199.99999999998863</v>
      </c>
      <c r="BC15" s="58">
        <v>259.10000000000002</v>
      </c>
      <c r="BD15" s="65">
        <f t="shared" si="27"/>
        <v>150.00000000003411</v>
      </c>
      <c r="BE15" s="59">
        <v>46816</v>
      </c>
      <c r="BF15" s="67">
        <f t="shared" si="28"/>
        <v>34</v>
      </c>
      <c r="BG15" s="60">
        <v>242.26</v>
      </c>
      <c r="BH15" s="65">
        <f t="shared" si="29"/>
        <v>39.999999999992042</v>
      </c>
      <c r="BI15" s="60">
        <v>298.61</v>
      </c>
      <c r="BJ15" s="65">
        <f t="shared" si="30"/>
        <v>20.000000000038654</v>
      </c>
      <c r="BK15" s="60">
        <v>244.92</v>
      </c>
      <c r="BL15" s="65">
        <f t="shared" si="31"/>
        <v>39.999999999992042</v>
      </c>
      <c r="BM15" s="60">
        <v>232.12</v>
      </c>
      <c r="BN15" s="65">
        <f t="shared" si="32"/>
        <v>39.999999999992042</v>
      </c>
      <c r="BO15" s="60">
        <v>297.51</v>
      </c>
      <c r="BP15" s="65">
        <f t="shared" si="33"/>
        <v>60.000000000002274</v>
      </c>
      <c r="BQ15" s="60">
        <v>51349</v>
      </c>
      <c r="BR15" s="65">
        <f t="shared" si="34"/>
        <v>30</v>
      </c>
      <c r="BS15" s="60">
        <v>208.59</v>
      </c>
      <c r="BT15" s="65">
        <f t="shared" si="35"/>
        <v>60.000000000002274</v>
      </c>
      <c r="BU15" s="60">
        <v>48068</v>
      </c>
      <c r="BV15" s="65">
        <f t="shared" si="36"/>
        <v>37</v>
      </c>
      <c r="BW15" s="60">
        <v>237.73</v>
      </c>
      <c r="BX15" s="65">
        <f t="shared" si="37"/>
        <v>39.999999999992042</v>
      </c>
      <c r="BY15" s="60">
        <v>67822</v>
      </c>
      <c r="BZ15" s="67">
        <f t="shared" si="38"/>
        <v>27</v>
      </c>
      <c r="CA15" s="60">
        <v>41524.300000000003</v>
      </c>
      <c r="CB15" s="67">
        <f t="shared" si="39"/>
        <v>91.600000000005821</v>
      </c>
      <c r="CC15" s="60">
        <v>14038.1</v>
      </c>
      <c r="CD15" s="67">
        <f t="shared" si="40"/>
        <v>7.7000000000007276</v>
      </c>
      <c r="CE15" s="60">
        <v>7425</v>
      </c>
      <c r="CF15" s="67">
        <f t="shared" si="41"/>
        <v>14.699999999999818</v>
      </c>
      <c r="CG15" s="60">
        <v>68355.3</v>
      </c>
      <c r="CH15" s="67">
        <f t="shared" si="42"/>
        <v>49.30000000000291</v>
      </c>
      <c r="CI15" s="60">
        <v>1005214</v>
      </c>
      <c r="CJ15" s="67">
        <f t="shared" si="43"/>
        <v>287</v>
      </c>
      <c r="CK15" s="60">
        <v>892.46</v>
      </c>
      <c r="CL15" s="64">
        <f t="shared" si="44"/>
        <v>620.00000000000455</v>
      </c>
      <c r="CM15" s="65">
        <f t="shared" si="45"/>
        <v>97</v>
      </c>
      <c r="CN15" s="62">
        <v>18</v>
      </c>
      <c r="CO15" s="62">
        <v>46</v>
      </c>
      <c r="CP15" s="68">
        <v>20052</v>
      </c>
      <c r="CQ15" s="67">
        <f t="shared" si="46"/>
        <v>66</v>
      </c>
      <c r="CR15" s="68">
        <v>18565</v>
      </c>
      <c r="CS15" s="67">
        <f t="shared" si="47"/>
        <v>31</v>
      </c>
      <c r="CT15" s="75">
        <v>8582</v>
      </c>
      <c r="CU15" s="67">
        <f t="shared" si="48"/>
        <v>9</v>
      </c>
      <c r="CV15" s="68">
        <v>20938</v>
      </c>
      <c r="CW15" s="67">
        <f t="shared" si="49"/>
        <v>49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>
        <v>2.7911000000000001</v>
      </c>
      <c r="D16" s="64">
        <f t="shared" si="1"/>
        <v>2699.9999999999245</v>
      </c>
      <c r="E16" s="58">
        <v>3.8643000000000001</v>
      </c>
      <c r="F16" s="64">
        <f t="shared" si="2"/>
        <v>3500.0000000002806</v>
      </c>
      <c r="G16" s="58">
        <v>3.863</v>
      </c>
      <c r="H16" s="64">
        <f t="shared" si="3"/>
        <v>2899.9999999999027</v>
      </c>
      <c r="I16" s="58">
        <v>1.9228000000000001</v>
      </c>
      <c r="J16" s="64">
        <f>IF((I16-I15&lt;0), "0",(I16-I15)*1000000)</f>
        <v>1600.0000000000459</v>
      </c>
      <c r="K16" s="58">
        <v>3.0508000000000002</v>
      </c>
      <c r="L16" s="64">
        <f t="shared" si="5"/>
        <v>2099.9999999999909</v>
      </c>
      <c r="M16" s="58">
        <v>1.6902999999999999</v>
      </c>
      <c r="N16" s="64">
        <f t="shared" si="6"/>
        <v>1399.9999999998458</v>
      </c>
      <c r="O16" s="58">
        <v>16218</v>
      </c>
      <c r="P16" s="67">
        <f t="shared" si="7"/>
        <v>26</v>
      </c>
      <c r="Q16" s="58">
        <v>1828</v>
      </c>
      <c r="R16" s="67">
        <f t="shared" si="8"/>
        <v>4</v>
      </c>
      <c r="S16" s="58">
        <v>1185.9000000000001</v>
      </c>
      <c r="T16" s="67">
        <f t="shared" si="9"/>
        <v>1</v>
      </c>
      <c r="U16" s="58">
        <v>490894.4</v>
      </c>
      <c r="V16" s="67">
        <f t="shared" si="10"/>
        <v>345.80000000004657</v>
      </c>
      <c r="W16" s="58">
        <v>458.58</v>
      </c>
      <c r="X16" s="65">
        <f t="shared" si="11"/>
        <v>289.99999999996362</v>
      </c>
      <c r="Y16" s="58">
        <v>3.3940999999999999</v>
      </c>
      <c r="Z16" s="65">
        <f t="shared" si="12"/>
        <v>3099.9999999998809</v>
      </c>
      <c r="AA16" s="58">
        <v>462.02</v>
      </c>
      <c r="AB16" s="65">
        <f t="shared" si="13"/>
        <v>269.99999999998181</v>
      </c>
      <c r="AC16" s="58">
        <v>440.16</v>
      </c>
      <c r="AD16" s="65">
        <f t="shared" si="14"/>
        <v>470.00000000002728</v>
      </c>
      <c r="AE16" s="58">
        <v>642.6</v>
      </c>
      <c r="AF16" s="65">
        <f t="shared" si="15"/>
        <v>409.99999999996817</v>
      </c>
      <c r="AG16" s="58">
        <v>11808</v>
      </c>
      <c r="AH16" s="67">
        <f t="shared" si="16"/>
        <v>40</v>
      </c>
      <c r="AI16" s="58">
        <v>748.04</v>
      </c>
      <c r="AJ16" s="65">
        <f t="shared" si="17"/>
        <v>759.99999999999091</v>
      </c>
      <c r="AK16" s="58">
        <v>250.35</v>
      </c>
      <c r="AL16" s="65">
        <f t="shared" si="18"/>
        <v>250</v>
      </c>
      <c r="AM16" s="58">
        <v>233.32</v>
      </c>
      <c r="AN16" s="65">
        <f t="shared" si="19"/>
        <v>250</v>
      </c>
      <c r="AO16" s="58">
        <v>226.04</v>
      </c>
      <c r="AP16" s="65">
        <f t="shared" si="20"/>
        <v>189.99999999999773</v>
      </c>
      <c r="AQ16" s="58">
        <v>283.44</v>
      </c>
      <c r="AR16" s="65">
        <f t="shared" si="21"/>
        <v>199.99999999998863</v>
      </c>
      <c r="AS16" s="58">
        <v>410.54</v>
      </c>
      <c r="AT16" s="65">
        <f t="shared" si="22"/>
        <v>129.99999999999545</v>
      </c>
      <c r="AU16" s="58">
        <v>315.60000000000002</v>
      </c>
      <c r="AV16" s="65">
        <f t="shared" si="23"/>
        <v>100.00000000002274</v>
      </c>
      <c r="AW16" s="58">
        <v>347.68</v>
      </c>
      <c r="AX16" s="65">
        <f t="shared" si="24"/>
        <v>110.00000000001364</v>
      </c>
      <c r="AY16" s="58">
        <v>384.63</v>
      </c>
      <c r="AZ16" s="65">
        <f t="shared" si="25"/>
        <v>110.00000000001364</v>
      </c>
      <c r="BA16" s="58">
        <v>403.6</v>
      </c>
      <c r="BB16" s="65">
        <f t="shared" si="26"/>
        <v>170.00000000001592</v>
      </c>
      <c r="BC16" s="58">
        <v>259.17</v>
      </c>
      <c r="BD16" s="65">
        <f t="shared" si="27"/>
        <v>69.999999999993179</v>
      </c>
      <c r="BE16" s="59">
        <v>46858</v>
      </c>
      <c r="BF16" s="67">
        <f t="shared" si="28"/>
        <v>42</v>
      </c>
      <c r="BG16" s="60">
        <v>242.31</v>
      </c>
      <c r="BH16" s="65">
        <f t="shared" si="29"/>
        <v>50.000000000011369</v>
      </c>
      <c r="BI16" s="60">
        <v>298.64999999999998</v>
      </c>
      <c r="BJ16" s="65">
        <f t="shared" si="30"/>
        <v>39.99999999996362</v>
      </c>
      <c r="BK16" s="60">
        <v>244.96</v>
      </c>
      <c r="BL16" s="65">
        <f t="shared" si="31"/>
        <v>40.000000000020464</v>
      </c>
      <c r="BM16" s="60">
        <v>232.16</v>
      </c>
      <c r="BN16" s="65">
        <f t="shared" si="32"/>
        <v>39.999999999992042</v>
      </c>
      <c r="BO16" s="60">
        <v>297.56</v>
      </c>
      <c r="BP16" s="65">
        <f t="shared" si="33"/>
        <v>50.000000000011369</v>
      </c>
      <c r="BQ16" s="60">
        <v>51379</v>
      </c>
      <c r="BR16" s="65">
        <f t="shared" si="34"/>
        <v>30</v>
      </c>
      <c r="BS16" s="60">
        <v>208.65</v>
      </c>
      <c r="BT16" s="65">
        <f t="shared" si="35"/>
        <v>60.000000000002274</v>
      </c>
      <c r="BU16" s="60">
        <v>48102</v>
      </c>
      <c r="BV16" s="65">
        <f t="shared" si="36"/>
        <v>34</v>
      </c>
      <c r="BW16" s="60">
        <v>237.76</v>
      </c>
      <c r="BX16" s="65">
        <f t="shared" si="37"/>
        <v>30.000000000001137</v>
      </c>
      <c r="BY16" s="60">
        <v>67850</v>
      </c>
      <c r="BZ16" s="67">
        <f t="shared" si="38"/>
        <v>28</v>
      </c>
      <c r="CA16" s="60">
        <v>41591.5</v>
      </c>
      <c r="CB16" s="67">
        <f t="shared" si="39"/>
        <v>67.19999999999709</v>
      </c>
      <c r="CC16" s="60">
        <v>14047.2</v>
      </c>
      <c r="CD16" s="67">
        <f t="shared" si="40"/>
        <v>9.1000000000003638</v>
      </c>
      <c r="CE16" s="60">
        <v>7445</v>
      </c>
      <c r="CF16" s="67">
        <f t="shared" si="41"/>
        <v>20</v>
      </c>
      <c r="CG16" s="60">
        <v>68401.399999999994</v>
      </c>
      <c r="CH16" s="67">
        <f t="shared" si="42"/>
        <v>46.099999999991269</v>
      </c>
      <c r="CI16" s="60">
        <v>1005481</v>
      </c>
      <c r="CJ16" s="67">
        <f t="shared" si="43"/>
        <v>267</v>
      </c>
      <c r="CK16" s="60">
        <v>893.11</v>
      </c>
      <c r="CL16" s="64">
        <f t="shared" si="44"/>
        <v>649.99999999997726</v>
      </c>
      <c r="CM16" s="65">
        <f t="shared" si="45"/>
        <v>85.599999999998545</v>
      </c>
      <c r="CN16" s="62">
        <v>16</v>
      </c>
      <c r="CO16" s="62">
        <v>40</v>
      </c>
      <c r="CP16" s="68">
        <v>20123.599999999999</v>
      </c>
      <c r="CQ16" s="67">
        <f t="shared" si="46"/>
        <v>71.599999999998545</v>
      </c>
      <c r="CR16" s="68">
        <v>18579</v>
      </c>
      <c r="CS16" s="67">
        <f t="shared" si="47"/>
        <v>14</v>
      </c>
      <c r="CT16" s="75">
        <v>8590</v>
      </c>
      <c r="CU16" s="67">
        <f t="shared" si="48"/>
        <v>8</v>
      </c>
      <c r="CV16" s="68">
        <v>20974</v>
      </c>
      <c r="CW16" s="67">
        <f t="shared" si="49"/>
        <v>36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>
        <v>2.7934999999999999</v>
      </c>
      <c r="D17" s="64">
        <f t="shared" si="1"/>
        <v>2399.9999999997358</v>
      </c>
      <c r="E17" s="58">
        <v>3.8677000000000001</v>
      </c>
      <c r="F17" s="64">
        <f t="shared" si="2"/>
        <v>3400.0000000000696</v>
      </c>
      <c r="G17" s="58">
        <v>3.8654999999999999</v>
      </c>
      <c r="H17" s="64">
        <f t="shared" si="3"/>
        <v>2499.9999999999468</v>
      </c>
      <c r="I17" s="58">
        <v>1.9242999999999999</v>
      </c>
      <c r="J17" s="64">
        <f t="shared" si="4"/>
        <v>1499.9999999998347</v>
      </c>
      <c r="K17" s="58">
        <v>3.0529000000000002</v>
      </c>
      <c r="L17" s="64">
        <f t="shared" si="5"/>
        <v>2099.9999999999909</v>
      </c>
      <c r="M17" s="58">
        <v>1.6916</v>
      </c>
      <c r="N17" s="64">
        <f t="shared" si="6"/>
        <v>1300.0000000000789</v>
      </c>
      <c r="O17" s="58">
        <v>16251</v>
      </c>
      <c r="P17" s="67">
        <f t="shared" si="7"/>
        <v>33</v>
      </c>
      <c r="Q17" s="58">
        <v>1832</v>
      </c>
      <c r="R17" s="67">
        <f t="shared" si="8"/>
        <v>4</v>
      </c>
      <c r="S17" s="58">
        <v>1186.9000000000001</v>
      </c>
      <c r="T17" s="67">
        <f t="shared" si="9"/>
        <v>1</v>
      </c>
      <c r="U17" s="58">
        <v>491247.8</v>
      </c>
      <c r="V17" s="67">
        <f t="shared" si="10"/>
        <v>353.39999999996508</v>
      </c>
      <c r="W17" s="58">
        <v>458.86</v>
      </c>
      <c r="X17" s="65">
        <f t="shared" si="11"/>
        <v>280.00000000002956</v>
      </c>
      <c r="Y17" s="58">
        <v>3.3972000000000002</v>
      </c>
      <c r="Z17" s="65">
        <f t="shared" si="12"/>
        <v>3100.0000000003247</v>
      </c>
      <c r="AA17" s="58">
        <v>462.47</v>
      </c>
      <c r="AB17" s="65">
        <f t="shared" si="13"/>
        <v>450.00000000004547</v>
      </c>
      <c r="AC17" s="58">
        <v>440.57</v>
      </c>
      <c r="AD17" s="65">
        <f t="shared" si="14"/>
        <v>409.99999999996817</v>
      </c>
      <c r="AE17" s="58">
        <v>642.97</v>
      </c>
      <c r="AF17" s="65">
        <f t="shared" si="15"/>
        <v>370.00000000000455</v>
      </c>
      <c r="AG17" s="58">
        <v>11849</v>
      </c>
      <c r="AH17" s="67">
        <f t="shared" si="16"/>
        <v>41</v>
      </c>
      <c r="AI17" s="58">
        <v>748.71</v>
      </c>
      <c r="AJ17" s="65">
        <f t="shared" si="17"/>
        <v>670.00000000007276</v>
      </c>
      <c r="AK17" s="58">
        <v>250.59</v>
      </c>
      <c r="AL17" s="65">
        <f t="shared" si="18"/>
        <v>240.00000000000909</v>
      </c>
      <c r="AM17" s="58">
        <v>233.57</v>
      </c>
      <c r="AN17" s="65">
        <f t="shared" si="19"/>
        <v>250</v>
      </c>
      <c r="AO17" s="58">
        <v>226.18</v>
      </c>
      <c r="AP17" s="65">
        <f t="shared" si="20"/>
        <v>140.00000000001478</v>
      </c>
      <c r="AQ17" s="58">
        <v>283.64</v>
      </c>
      <c r="AR17" s="65">
        <f t="shared" si="21"/>
        <v>199.99999999998863</v>
      </c>
      <c r="AS17" s="58">
        <v>410.66</v>
      </c>
      <c r="AT17" s="65">
        <f t="shared" si="22"/>
        <v>120.00000000000455</v>
      </c>
      <c r="AU17" s="58">
        <v>315.69</v>
      </c>
      <c r="AV17" s="65">
        <f t="shared" si="23"/>
        <v>89.999999999974989</v>
      </c>
      <c r="AW17" s="58">
        <v>347.79</v>
      </c>
      <c r="AX17" s="65">
        <f t="shared" si="24"/>
        <v>110.00000000001364</v>
      </c>
      <c r="AY17" s="58">
        <v>384.74</v>
      </c>
      <c r="AZ17" s="65">
        <f t="shared" si="25"/>
        <v>110.00000000001364</v>
      </c>
      <c r="BA17" s="58">
        <v>403.77</v>
      </c>
      <c r="BB17" s="65">
        <f t="shared" si="26"/>
        <v>169.99999999995907</v>
      </c>
      <c r="BC17" s="58">
        <v>259.22000000000003</v>
      </c>
      <c r="BD17" s="65">
        <f t="shared" si="27"/>
        <v>50.000000000011369</v>
      </c>
      <c r="BE17" s="59">
        <v>46892</v>
      </c>
      <c r="BF17" s="67">
        <f t="shared" si="28"/>
        <v>34</v>
      </c>
      <c r="BG17" s="60">
        <v>242.35</v>
      </c>
      <c r="BH17" s="65">
        <f t="shared" si="29"/>
        <v>39.999999999992042</v>
      </c>
      <c r="BI17" s="60">
        <v>298.68</v>
      </c>
      <c r="BJ17" s="65">
        <f t="shared" si="30"/>
        <v>30.000000000029559</v>
      </c>
      <c r="BK17" s="60">
        <v>245.02</v>
      </c>
      <c r="BL17" s="65">
        <f t="shared" si="31"/>
        <v>60.000000000002274</v>
      </c>
      <c r="BM17" s="60">
        <v>232.2</v>
      </c>
      <c r="BN17" s="65">
        <f t="shared" si="32"/>
        <v>39.999999999992042</v>
      </c>
      <c r="BO17" s="60">
        <v>297.64</v>
      </c>
      <c r="BP17" s="65">
        <f t="shared" si="33"/>
        <v>79.999999999984084</v>
      </c>
      <c r="BQ17" s="60">
        <v>51415</v>
      </c>
      <c r="BR17" s="65">
        <f t="shared" si="34"/>
        <v>36</v>
      </c>
      <c r="BS17" s="60">
        <v>208.73</v>
      </c>
      <c r="BT17" s="65">
        <f t="shared" si="35"/>
        <v>79.999999999984084</v>
      </c>
      <c r="BU17" s="60">
        <v>48152</v>
      </c>
      <c r="BV17" s="65">
        <f t="shared" si="36"/>
        <v>50</v>
      </c>
      <c r="BW17" s="60">
        <v>237.8</v>
      </c>
      <c r="BX17" s="65">
        <f t="shared" si="37"/>
        <v>40.000000000020464</v>
      </c>
      <c r="BY17" s="60">
        <v>67885</v>
      </c>
      <c r="BZ17" s="67">
        <f t="shared" si="38"/>
        <v>35</v>
      </c>
      <c r="CA17" s="60">
        <v>41651.300000000003</v>
      </c>
      <c r="CB17" s="67">
        <f t="shared" si="39"/>
        <v>59.80000000000291</v>
      </c>
      <c r="CC17" s="60">
        <v>14057</v>
      </c>
      <c r="CD17" s="67">
        <f t="shared" si="40"/>
        <v>9.7999999999992724</v>
      </c>
      <c r="CE17" s="60">
        <v>7460</v>
      </c>
      <c r="CF17" s="67">
        <f t="shared" si="41"/>
        <v>15</v>
      </c>
      <c r="CG17" s="60">
        <v>68433.2</v>
      </c>
      <c r="CH17" s="67">
        <f t="shared" si="42"/>
        <v>31.80000000000291</v>
      </c>
      <c r="CI17" s="60">
        <v>1005774</v>
      </c>
      <c r="CJ17" s="67">
        <f t="shared" si="43"/>
        <v>293</v>
      </c>
      <c r="CK17" s="60">
        <v>893.7</v>
      </c>
      <c r="CL17" s="64">
        <f t="shared" si="44"/>
        <v>590.00000000003183</v>
      </c>
      <c r="CM17" s="65">
        <f t="shared" si="45"/>
        <v>96.400000000001455</v>
      </c>
      <c r="CN17" s="62">
        <v>16</v>
      </c>
      <c r="CO17" s="62">
        <v>40</v>
      </c>
      <c r="CP17" s="68">
        <v>20198</v>
      </c>
      <c r="CQ17" s="67">
        <f t="shared" si="46"/>
        <v>74.400000000001455</v>
      </c>
      <c r="CR17" s="68">
        <v>18601</v>
      </c>
      <c r="CS17" s="67">
        <f t="shared" si="47"/>
        <v>22</v>
      </c>
      <c r="CT17" s="75">
        <v>8598</v>
      </c>
      <c r="CU17" s="67">
        <f t="shared" si="48"/>
        <v>8</v>
      </c>
      <c r="CV17" s="68">
        <v>21014</v>
      </c>
      <c r="CW17" s="67">
        <f t="shared" si="49"/>
        <v>40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>
        <v>2.7957999999999998</v>
      </c>
      <c r="D18" s="64">
        <f t="shared" si="1"/>
        <v>2299.9999999999686</v>
      </c>
      <c r="E18" s="58">
        <v>3.8706999999999998</v>
      </c>
      <c r="F18" s="64">
        <f t="shared" si="2"/>
        <v>2999.9999999996694</v>
      </c>
      <c r="G18" s="58">
        <v>3.8679000000000001</v>
      </c>
      <c r="H18" s="64">
        <f t="shared" si="3"/>
        <v>2400.0000000001796</v>
      </c>
      <c r="I18" s="58">
        <v>1.9258</v>
      </c>
      <c r="J18" s="64">
        <f t="shared" si="4"/>
        <v>1500.0000000000568</v>
      </c>
      <c r="K18" s="58">
        <v>3.0548999999999999</v>
      </c>
      <c r="L18" s="64">
        <f t="shared" si="5"/>
        <v>1999.9999999997797</v>
      </c>
      <c r="M18" s="58">
        <v>1.6926000000000001</v>
      </c>
      <c r="N18" s="64">
        <f t="shared" si="6"/>
        <v>1000.0000000001119</v>
      </c>
      <c r="O18" s="58">
        <v>16265</v>
      </c>
      <c r="P18" s="67">
        <f t="shared" si="7"/>
        <v>14</v>
      </c>
      <c r="Q18" s="58">
        <v>1836</v>
      </c>
      <c r="R18" s="67">
        <f t="shared" si="8"/>
        <v>4</v>
      </c>
      <c r="S18" s="58">
        <v>1187.8</v>
      </c>
      <c r="T18" s="67">
        <f t="shared" si="9"/>
        <v>0.89999999999986358</v>
      </c>
      <c r="U18" s="58">
        <v>491606.3</v>
      </c>
      <c r="V18" s="67">
        <f t="shared" si="10"/>
        <v>358.5</v>
      </c>
      <c r="W18" s="58">
        <v>459.13</v>
      </c>
      <c r="X18" s="65">
        <f t="shared" si="11"/>
        <v>269.99999999998181</v>
      </c>
      <c r="Y18" s="58">
        <v>3.4001999999999999</v>
      </c>
      <c r="Z18" s="65">
        <f t="shared" si="12"/>
        <v>2999.9999999996694</v>
      </c>
      <c r="AA18" s="58">
        <v>462.71</v>
      </c>
      <c r="AB18" s="65">
        <f t="shared" si="13"/>
        <v>239.99999999995225</v>
      </c>
      <c r="AC18" s="58">
        <v>440.97</v>
      </c>
      <c r="AD18" s="65">
        <f t="shared" si="14"/>
        <v>400.00000000003411</v>
      </c>
      <c r="AE18" s="58">
        <v>643.29999999999995</v>
      </c>
      <c r="AF18" s="65">
        <f t="shared" si="15"/>
        <v>329.99999999992724</v>
      </c>
      <c r="AG18" s="58">
        <v>11889</v>
      </c>
      <c r="AH18" s="67">
        <f t="shared" si="16"/>
        <v>40</v>
      </c>
      <c r="AI18" s="58">
        <v>749.44</v>
      </c>
      <c r="AJ18" s="65">
        <f t="shared" si="17"/>
        <v>730.00000000001819</v>
      </c>
      <c r="AK18" s="58">
        <v>250.79</v>
      </c>
      <c r="AL18" s="65">
        <f t="shared" si="18"/>
        <v>199.99999999998863</v>
      </c>
      <c r="AM18" s="58">
        <v>233.84</v>
      </c>
      <c r="AN18" s="65">
        <f t="shared" si="19"/>
        <v>270.00000000001023</v>
      </c>
      <c r="AO18" s="58">
        <v>226.35</v>
      </c>
      <c r="AP18" s="65">
        <f t="shared" si="20"/>
        <v>169.99999999998749</v>
      </c>
      <c r="AQ18" s="58">
        <v>283.82</v>
      </c>
      <c r="AR18" s="65">
        <f t="shared" si="21"/>
        <v>180.00000000000682</v>
      </c>
      <c r="AS18" s="58">
        <v>410.78</v>
      </c>
      <c r="AT18" s="65">
        <f t="shared" si="22"/>
        <v>119.9999999999477</v>
      </c>
      <c r="AU18" s="58">
        <v>315.79000000000002</v>
      </c>
      <c r="AV18" s="65">
        <f t="shared" si="23"/>
        <v>100.00000000002274</v>
      </c>
      <c r="AW18" s="58">
        <v>348</v>
      </c>
      <c r="AX18" s="65">
        <f t="shared" si="24"/>
        <v>209.99999999997954</v>
      </c>
      <c r="AY18" s="58">
        <v>384.83</v>
      </c>
      <c r="AZ18" s="65">
        <f t="shared" si="25"/>
        <v>89.999999999974989</v>
      </c>
      <c r="BA18" s="58">
        <v>403.93</v>
      </c>
      <c r="BB18" s="65">
        <f t="shared" si="26"/>
        <v>160.00000000002501</v>
      </c>
      <c r="BC18" s="58">
        <v>259.26</v>
      </c>
      <c r="BD18" s="65">
        <f t="shared" si="27"/>
        <v>39.99999999996362</v>
      </c>
      <c r="BE18" s="59">
        <v>46910</v>
      </c>
      <c r="BF18" s="67">
        <f t="shared" si="28"/>
        <v>18</v>
      </c>
      <c r="BG18" s="60">
        <v>242.39</v>
      </c>
      <c r="BH18" s="65">
        <f t="shared" si="29"/>
        <v>39.999999999992042</v>
      </c>
      <c r="BI18" s="60">
        <v>298.70999999999998</v>
      </c>
      <c r="BJ18" s="65">
        <f t="shared" si="30"/>
        <v>29.999999999972715</v>
      </c>
      <c r="BK18" s="60">
        <v>245.06</v>
      </c>
      <c r="BL18" s="65">
        <f t="shared" si="31"/>
        <v>39.999999999992042</v>
      </c>
      <c r="BM18" s="60">
        <v>232.24</v>
      </c>
      <c r="BN18" s="65">
        <f t="shared" si="32"/>
        <v>40.000000000020464</v>
      </c>
      <c r="BO18" s="60">
        <v>297.7</v>
      </c>
      <c r="BP18" s="65">
        <f t="shared" si="33"/>
        <v>60.000000000002274</v>
      </c>
      <c r="BQ18" s="60">
        <v>51445</v>
      </c>
      <c r="BR18" s="65">
        <f t="shared" si="34"/>
        <v>30</v>
      </c>
      <c r="BS18" s="60">
        <v>208.78</v>
      </c>
      <c r="BT18" s="65">
        <f t="shared" si="35"/>
        <v>50.000000000011369</v>
      </c>
      <c r="BU18" s="60">
        <v>48184</v>
      </c>
      <c r="BV18" s="65">
        <f t="shared" si="36"/>
        <v>32</v>
      </c>
      <c r="BW18" s="60">
        <v>237.83</v>
      </c>
      <c r="BX18" s="65">
        <f t="shared" si="37"/>
        <v>30.000000000001137</v>
      </c>
      <c r="BY18" s="60">
        <v>67923</v>
      </c>
      <c r="BZ18" s="67">
        <f t="shared" si="38"/>
        <v>38</v>
      </c>
      <c r="CA18" s="60">
        <v>41738.199999999997</v>
      </c>
      <c r="CB18" s="67">
        <f t="shared" si="39"/>
        <v>86.899999999994179</v>
      </c>
      <c r="CC18" s="60">
        <v>14066.2</v>
      </c>
      <c r="CD18" s="67">
        <f t="shared" si="40"/>
        <v>9.2000000000007276</v>
      </c>
      <c r="CE18" s="60">
        <v>7465.2</v>
      </c>
      <c r="CF18" s="67">
        <f t="shared" si="41"/>
        <v>5.1999999999998181</v>
      </c>
      <c r="CG18" s="60">
        <v>68486.600000000006</v>
      </c>
      <c r="CH18" s="67">
        <f t="shared" si="42"/>
        <v>53.400000000008731</v>
      </c>
      <c r="CI18" s="60">
        <v>1006046</v>
      </c>
      <c r="CJ18" s="67">
        <f t="shared" si="43"/>
        <v>272</v>
      </c>
      <c r="CK18" s="60">
        <v>894.22</v>
      </c>
      <c r="CL18" s="64">
        <f t="shared" si="44"/>
        <v>519.99999999998181</v>
      </c>
      <c r="CM18" s="65">
        <f t="shared" si="45"/>
        <v>83.099999999998545</v>
      </c>
      <c r="CN18" s="62">
        <v>17</v>
      </c>
      <c r="CO18" s="62">
        <v>42</v>
      </c>
      <c r="CP18" s="68">
        <v>20261.099999999999</v>
      </c>
      <c r="CQ18" s="67">
        <f t="shared" si="46"/>
        <v>63.099999999998545</v>
      </c>
      <c r="CR18" s="68">
        <v>18621</v>
      </c>
      <c r="CS18" s="67">
        <f t="shared" si="47"/>
        <v>20</v>
      </c>
      <c r="CT18" s="75">
        <v>8611</v>
      </c>
      <c r="CU18" s="67">
        <f t="shared" si="48"/>
        <v>13</v>
      </c>
      <c r="CV18" s="68">
        <v>21050</v>
      </c>
      <c r="CW18" s="67">
        <f t="shared" si="49"/>
        <v>36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>
        <v>2.7986</v>
      </c>
      <c r="D19" s="64">
        <f t="shared" si="1"/>
        <v>2800.0000000001355</v>
      </c>
      <c r="E19" s="58">
        <v>3.8742999999999999</v>
      </c>
      <c r="F19" s="64">
        <f t="shared" si="2"/>
        <v>3600.0000000000477</v>
      </c>
      <c r="G19" s="58">
        <v>3.8706999999999998</v>
      </c>
      <c r="H19" s="64">
        <f t="shared" si="3"/>
        <v>2799.9999999996917</v>
      </c>
      <c r="I19" s="58">
        <v>1.9273</v>
      </c>
      <c r="J19" s="64">
        <f t="shared" si="4"/>
        <v>1500.0000000000568</v>
      </c>
      <c r="K19" s="58">
        <v>3.0571999999999999</v>
      </c>
      <c r="L19" s="64">
        <f t="shared" si="5"/>
        <v>2299.9999999999686</v>
      </c>
      <c r="M19" s="58">
        <v>1.6939</v>
      </c>
      <c r="N19" s="64">
        <f t="shared" si="6"/>
        <v>1299.9999999998568</v>
      </c>
      <c r="O19" s="58">
        <v>16334</v>
      </c>
      <c r="P19" s="67">
        <f t="shared" si="7"/>
        <v>69</v>
      </c>
      <c r="Q19" s="58">
        <v>1841</v>
      </c>
      <c r="R19" s="67">
        <f t="shared" si="8"/>
        <v>5</v>
      </c>
      <c r="S19" s="58">
        <v>1188.9000000000001</v>
      </c>
      <c r="T19" s="67">
        <f t="shared" si="9"/>
        <v>1.1000000000001364</v>
      </c>
      <c r="U19" s="58">
        <v>492016.4</v>
      </c>
      <c r="V19" s="67">
        <f t="shared" si="10"/>
        <v>410.10000000003492</v>
      </c>
      <c r="W19" s="58">
        <v>459.41</v>
      </c>
      <c r="X19" s="65">
        <f t="shared" si="11"/>
        <v>280.00000000002956</v>
      </c>
      <c r="Y19" s="58">
        <v>3.4033000000000002</v>
      </c>
      <c r="Z19" s="65">
        <f t="shared" si="12"/>
        <v>3100.0000000003247</v>
      </c>
      <c r="AA19" s="58">
        <v>463.09</v>
      </c>
      <c r="AB19" s="65">
        <f t="shared" si="13"/>
        <v>379.99999999999545</v>
      </c>
      <c r="AC19" s="58">
        <v>441.4</v>
      </c>
      <c r="AD19" s="65">
        <f t="shared" si="14"/>
        <v>429.99999999994998</v>
      </c>
      <c r="AE19" s="58">
        <v>643.62</v>
      </c>
      <c r="AF19" s="65">
        <f t="shared" si="15"/>
        <v>320.00000000005002</v>
      </c>
      <c r="AG19" s="58">
        <v>11926</v>
      </c>
      <c r="AH19" s="67">
        <f t="shared" si="16"/>
        <v>37</v>
      </c>
      <c r="AI19" s="58">
        <v>750.14</v>
      </c>
      <c r="AJ19" s="65">
        <f t="shared" si="17"/>
        <v>699.99999999993179</v>
      </c>
      <c r="AK19" s="58">
        <v>251.01</v>
      </c>
      <c r="AL19" s="65">
        <f t="shared" si="18"/>
        <v>219.99999999999886</v>
      </c>
      <c r="AM19" s="58">
        <v>234.14</v>
      </c>
      <c r="AN19" s="65">
        <f t="shared" si="19"/>
        <v>299.99999999998295</v>
      </c>
      <c r="AO19" s="58">
        <v>226.54</v>
      </c>
      <c r="AP19" s="65">
        <f t="shared" si="20"/>
        <v>189.99999999999773</v>
      </c>
      <c r="AQ19" s="58">
        <v>283.98</v>
      </c>
      <c r="AR19" s="65">
        <f t="shared" si="21"/>
        <v>160.00000000002501</v>
      </c>
      <c r="AS19" s="58">
        <v>410.88</v>
      </c>
      <c r="AT19" s="65">
        <f t="shared" si="22"/>
        <v>100.00000000002274</v>
      </c>
      <c r="AU19" s="58">
        <v>315.95999999999998</v>
      </c>
      <c r="AV19" s="65">
        <f t="shared" si="23"/>
        <v>169.99999999995907</v>
      </c>
      <c r="AW19" s="58">
        <v>348.22</v>
      </c>
      <c r="AX19" s="65">
        <f t="shared" si="24"/>
        <v>220.00000000002728</v>
      </c>
      <c r="AY19" s="58">
        <v>384.99</v>
      </c>
      <c r="AZ19" s="65">
        <f t="shared" si="25"/>
        <v>160.00000000002501</v>
      </c>
      <c r="BA19" s="58">
        <v>404.09</v>
      </c>
      <c r="BB19" s="65">
        <f t="shared" si="26"/>
        <v>159.99999999996817</v>
      </c>
      <c r="BC19" s="58">
        <v>259.31</v>
      </c>
      <c r="BD19" s="65">
        <f t="shared" si="27"/>
        <v>50.000000000011369</v>
      </c>
      <c r="BE19" s="59">
        <v>46956</v>
      </c>
      <c r="BF19" s="67">
        <f t="shared" si="28"/>
        <v>46</v>
      </c>
      <c r="BG19" s="60">
        <v>242.43</v>
      </c>
      <c r="BH19" s="65">
        <f t="shared" si="29"/>
        <v>40.000000000020464</v>
      </c>
      <c r="BI19" s="60">
        <v>298.75</v>
      </c>
      <c r="BJ19" s="65">
        <f t="shared" si="30"/>
        <v>40.000000000020464</v>
      </c>
      <c r="BK19" s="60">
        <v>245.12</v>
      </c>
      <c r="BL19" s="65">
        <f t="shared" si="31"/>
        <v>60.000000000002274</v>
      </c>
      <c r="BM19" s="60">
        <v>232.28</v>
      </c>
      <c r="BN19" s="65">
        <f t="shared" si="32"/>
        <v>39.999999999992042</v>
      </c>
      <c r="BO19" s="60">
        <v>297.77</v>
      </c>
      <c r="BP19" s="65">
        <f t="shared" si="33"/>
        <v>69.999999999993179</v>
      </c>
      <c r="BQ19" s="60">
        <v>51473</v>
      </c>
      <c r="BR19" s="65">
        <f t="shared" si="34"/>
        <v>28</v>
      </c>
      <c r="BS19" s="60">
        <v>208.85</v>
      </c>
      <c r="BT19" s="65">
        <f t="shared" si="35"/>
        <v>69.999999999993179</v>
      </c>
      <c r="BU19" s="60">
        <v>48222</v>
      </c>
      <c r="BV19" s="65">
        <f t="shared" si="36"/>
        <v>38</v>
      </c>
      <c r="BW19" s="60">
        <v>237.87</v>
      </c>
      <c r="BX19" s="65">
        <f t="shared" si="37"/>
        <v>39.999999999992042</v>
      </c>
      <c r="BY19" s="60">
        <v>67963</v>
      </c>
      <c r="BZ19" s="67">
        <f t="shared" si="38"/>
        <v>40</v>
      </c>
      <c r="CA19" s="60">
        <v>41803</v>
      </c>
      <c r="CB19" s="67">
        <f t="shared" si="39"/>
        <v>64.80000000000291</v>
      </c>
      <c r="CC19" s="60">
        <v>14077.6</v>
      </c>
      <c r="CD19" s="67">
        <f t="shared" si="40"/>
        <v>11.399999999999636</v>
      </c>
      <c r="CE19" s="60">
        <v>7472.4</v>
      </c>
      <c r="CF19" s="67">
        <f t="shared" si="41"/>
        <v>7.1999999999998181</v>
      </c>
      <c r="CG19" s="60">
        <v>68517.600000000006</v>
      </c>
      <c r="CH19" s="67">
        <f t="shared" si="42"/>
        <v>31</v>
      </c>
      <c r="CI19" s="60">
        <v>1006332</v>
      </c>
      <c r="CJ19" s="67">
        <f t="shared" si="43"/>
        <v>286</v>
      </c>
      <c r="CK19" s="60">
        <v>894.79</v>
      </c>
      <c r="CL19" s="64">
        <f t="shared" si="44"/>
        <v>569.99999999993634</v>
      </c>
      <c r="CM19" s="65">
        <f t="shared" si="45"/>
        <v>79.900000000001455</v>
      </c>
      <c r="CN19" s="62">
        <v>14</v>
      </c>
      <c r="CO19" s="62">
        <v>37</v>
      </c>
      <c r="CP19" s="68">
        <v>20320</v>
      </c>
      <c r="CQ19" s="67">
        <f t="shared" si="46"/>
        <v>58.900000000001455</v>
      </c>
      <c r="CR19" s="68">
        <v>18642</v>
      </c>
      <c r="CS19" s="67">
        <f t="shared" si="47"/>
        <v>21</v>
      </c>
      <c r="CT19" s="75">
        <v>8618</v>
      </c>
      <c r="CU19" s="67">
        <f t="shared" si="48"/>
        <v>7</v>
      </c>
      <c r="CV19" s="68">
        <v>21088</v>
      </c>
      <c r="CW19" s="67">
        <f t="shared" si="49"/>
        <v>38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 t="str">
        <f t="shared" si="1"/>
        <v>0</v>
      </c>
      <c r="E20" s="58"/>
      <c r="F20" s="64" t="str">
        <f t="shared" si="2"/>
        <v>0</v>
      </c>
      <c r="G20" s="58"/>
      <c r="H20" s="64" t="str">
        <f t="shared" si="3"/>
        <v>0</v>
      </c>
      <c r="I20" s="58"/>
      <c r="J20" s="64" t="str">
        <f t="shared" si="4"/>
        <v>0</v>
      </c>
      <c r="K20" s="58"/>
      <c r="L20" s="64" t="str">
        <f t="shared" si="5"/>
        <v>0</v>
      </c>
      <c r="M20" s="58"/>
      <c r="N20" s="64" t="str">
        <f t="shared" si="6"/>
        <v/>
      </c>
      <c r="O20" s="58"/>
      <c r="P20" s="67" t="str">
        <f t="shared" si="7"/>
        <v/>
      </c>
      <c r="Q20" s="58"/>
      <c r="R20" s="67" t="str">
        <f t="shared" si="8"/>
        <v/>
      </c>
      <c r="S20" s="58"/>
      <c r="T20" s="67" t="str">
        <f t="shared" si="9"/>
        <v/>
      </c>
      <c r="U20" s="58"/>
      <c r="V20" s="67" t="str">
        <f t="shared" si="10"/>
        <v/>
      </c>
      <c r="W20" s="58"/>
      <c r="X20" s="65" t="str">
        <f t="shared" si="11"/>
        <v/>
      </c>
      <c r="Y20" s="58"/>
      <c r="Z20" s="65" t="str">
        <f t="shared" si="12"/>
        <v/>
      </c>
      <c r="AA20" s="58"/>
      <c r="AB20" s="65" t="str">
        <f t="shared" si="13"/>
        <v/>
      </c>
      <c r="AC20" s="58"/>
      <c r="AD20" s="65" t="str">
        <f t="shared" si="14"/>
        <v/>
      </c>
      <c r="AE20" s="58"/>
      <c r="AF20" s="65" t="str">
        <f t="shared" si="15"/>
        <v/>
      </c>
      <c r="AG20" s="58"/>
      <c r="AH20" s="67" t="str">
        <f t="shared" si="16"/>
        <v/>
      </c>
      <c r="AI20" s="58"/>
      <c r="AJ20" s="65" t="str">
        <f t="shared" si="17"/>
        <v/>
      </c>
      <c r="AK20" s="58"/>
      <c r="AL20" s="65" t="str">
        <f t="shared" si="18"/>
        <v/>
      </c>
      <c r="AM20" s="58"/>
      <c r="AN20" s="65" t="str">
        <f t="shared" si="19"/>
        <v/>
      </c>
      <c r="AO20" s="58"/>
      <c r="AP20" s="65" t="str">
        <f t="shared" si="20"/>
        <v/>
      </c>
      <c r="AQ20" s="58"/>
      <c r="AR20" s="65" t="str">
        <f t="shared" si="21"/>
        <v/>
      </c>
      <c r="AS20" s="58"/>
      <c r="AT20" s="65" t="str">
        <f t="shared" si="22"/>
        <v/>
      </c>
      <c r="AU20" s="58"/>
      <c r="AV20" s="65" t="str">
        <f t="shared" si="23"/>
        <v/>
      </c>
      <c r="AW20" s="58"/>
      <c r="AX20" s="65" t="str">
        <f t="shared" si="24"/>
        <v/>
      </c>
      <c r="AY20" s="58"/>
      <c r="AZ20" s="65" t="str">
        <f t="shared" si="25"/>
        <v/>
      </c>
      <c r="BA20" s="58"/>
      <c r="BB20" s="65" t="str">
        <f t="shared" si="26"/>
        <v/>
      </c>
      <c r="BC20" s="58"/>
      <c r="BD20" s="65" t="str">
        <f t="shared" si="27"/>
        <v/>
      </c>
      <c r="BE20" s="59"/>
      <c r="BF20" s="67" t="str">
        <f t="shared" si="28"/>
        <v/>
      </c>
      <c r="BG20" s="60"/>
      <c r="BH20" s="65" t="str">
        <f t="shared" si="29"/>
        <v/>
      </c>
      <c r="BI20" s="60"/>
      <c r="BJ20" s="65" t="str">
        <f t="shared" si="30"/>
        <v/>
      </c>
      <c r="BK20" s="60"/>
      <c r="BL20" s="65" t="str">
        <f t="shared" si="31"/>
        <v/>
      </c>
      <c r="BM20" s="60"/>
      <c r="BN20" s="65" t="str">
        <f t="shared" si="32"/>
        <v/>
      </c>
      <c r="BO20" s="60"/>
      <c r="BP20" s="65" t="str">
        <f t="shared" si="33"/>
        <v/>
      </c>
      <c r="BQ20" s="60"/>
      <c r="BR20" s="65" t="str">
        <f t="shared" si="34"/>
        <v/>
      </c>
      <c r="BS20" s="60"/>
      <c r="BT20" s="65" t="str">
        <f t="shared" si="35"/>
        <v/>
      </c>
      <c r="BU20" s="60"/>
      <c r="BV20" s="65" t="str">
        <f t="shared" si="36"/>
        <v/>
      </c>
      <c r="BW20" s="60"/>
      <c r="BX20" s="65" t="str">
        <f t="shared" si="37"/>
        <v/>
      </c>
      <c r="BY20" s="60"/>
      <c r="BZ20" s="67" t="str">
        <f t="shared" si="38"/>
        <v/>
      </c>
      <c r="CA20" s="60"/>
      <c r="CB20" s="67" t="str">
        <f t="shared" si="39"/>
        <v/>
      </c>
      <c r="CC20" s="60"/>
      <c r="CD20" s="67" t="str">
        <f t="shared" si="40"/>
        <v/>
      </c>
      <c r="CE20" s="60"/>
      <c r="CF20" s="67" t="str">
        <f t="shared" si="41"/>
        <v/>
      </c>
      <c r="CG20" s="60"/>
      <c r="CH20" s="67" t="str">
        <f t="shared" si="42"/>
        <v/>
      </c>
      <c r="CI20" s="60"/>
      <c r="CJ20" s="67" t="str">
        <f t="shared" si="43"/>
        <v/>
      </c>
      <c r="CK20" s="60"/>
      <c r="CL20" s="64" t="str">
        <f t="shared" si="44"/>
        <v/>
      </c>
      <c r="CM20" s="65" t="e">
        <f t="shared" si="45"/>
        <v>#VALUE!</v>
      </c>
      <c r="CN20" s="62"/>
      <c r="CO20" s="62"/>
      <c r="CP20" s="68"/>
      <c r="CQ20" s="67" t="str">
        <f t="shared" si="46"/>
        <v/>
      </c>
      <c r="CR20" s="68"/>
      <c r="CS20" s="67" t="str">
        <f t="shared" si="47"/>
        <v/>
      </c>
      <c r="CT20" s="75"/>
      <c r="CU20" s="67" t="str">
        <f t="shared" si="48"/>
        <v/>
      </c>
      <c r="CV20" s="68"/>
      <c r="CW20" s="67" t="str">
        <f t="shared" si="49"/>
        <v/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3" sqref="B23:Q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85</v>
      </c>
      <c r="L16" s="42">
        <v>84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>
        <v>23</v>
      </c>
      <c r="D17" s="40">
        <v>64</v>
      </c>
      <c r="E17" s="41">
        <v>85</v>
      </c>
      <c r="F17" s="41">
        <v>6337</v>
      </c>
      <c r="G17" s="41">
        <v>35</v>
      </c>
      <c r="H17" s="41">
        <v>1964</v>
      </c>
      <c r="I17" s="41">
        <v>85</v>
      </c>
      <c r="J17" s="41">
        <v>541</v>
      </c>
      <c r="K17" s="42">
        <v>85</v>
      </c>
      <c r="L17" s="42">
        <v>83</v>
      </c>
      <c r="M17" s="42">
        <v>1538</v>
      </c>
      <c r="N17" s="39">
        <v>85</v>
      </c>
      <c r="O17" s="39">
        <v>69</v>
      </c>
      <c r="P17" s="39">
        <v>83</v>
      </c>
      <c r="Q17" s="39">
        <v>4573</v>
      </c>
      <c r="R17" s="77">
        <v>83</v>
      </c>
      <c r="S17" s="77">
        <v>219</v>
      </c>
      <c r="T17">
        <f t="shared" si="1"/>
        <v>0</v>
      </c>
    </row>
    <row r="18" spans="1:20" x14ac:dyDescent="0.25">
      <c r="A18" s="73">
        <v>44572</v>
      </c>
      <c r="B18" s="40">
        <v>0</v>
      </c>
      <c r="C18" s="40">
        <v>21</v>
      </c>
      <c r="D18" s="40">
        <v>58</v>
      </c>
      <c r="E18" s="41">
        <v>85</v>
      </c>
      <c r="F18" s="41">
        <v>6342</v>
      </c>
      <c r="G18" s="41">
        <v>25</v>
      </c>
      <c r="H18" s="41">
        <v>1966</v>
      </c>
      <c r="I18" s="41">
        <v>85</v>
      </c>
      <c r="J18" s="41">
        <v>541</v>
      </c>
      <c r="K18" s="42">
        <v>85</v>
      </c>
      <c r="L18" s="42">
        <v>82</v>
      </c>
      <c r="M18" s="42">
        <v>1538</v>
      </c>
      <c r="N18" s="39">
        <v>85</v>
      </c>
      <c r="O18" s="39">
        <v>65</v>
      </c>
      <c r="P18" s="39">
        <v>83</v>
      </c>
      <c r="Q18" s="39">
        <v>4576</v>
      </c>
      <c r="R18" s="77">
        <v>83</v>
      </c>
      <c r="S18" s="77">
        <v>219</v>
      </c>
      <c r="T18">
        <f t="shared" si="1"/>
        <v>0</v>
      </c>
    </row>
    <row r="19" spans="1:20" x14ac:dyDescent="0.25">
      <c r="A19" s="73">
        <v>44573</v>
      </c>
      <c r="B19" s="40">
        <v>0</v>
      </c>
      <c r="C19" s="40">
        <v>18</v>
      </c>
      <c r="D19" s="40">
        <v>46</v>
      </c>
      <c r="E19" s="41">
        <v>85</v>
      </c>
      <c r="F19" s="41">
        <v>6348</v>
      </c>
      <c r="G19" s="41">
        <v>15</v>
      </c>
      <c r="H19" s="41">
        <v>1968</v>
      </c>
      <c r="I19" s="41">
        <v>85</v>
      </c>
      <c r="J19" s="41">
        <v>541</v>
      </c>
      <c r="K19" s="42">
        <v>85</v>
      </c>
      <c r="L19" s="42">
        <v>78</v>
      </c>
      <c r="M19" s="42">
        <v>1541</v>
      </c>
      <c r="N19" s="39">
        <v>85</v>
      </c>
      <c r="O19" s="39">
        <v>55</v>
      </c>
      <c r="P19" s="39">
        <v>83</v>
      </c>
      <c r="Q19" s="39">
        <v>4581</v>
      </c>
      <c r="R19" s="77">
        <v>83</v>
      </c>
      <c r="S19" s="77">
        <v>219</v>
      </c>
      <c r="T19">
        <f t="shared" si="1"/>
        <v>0</v>
      </c>
    </row>
    <row r="20" spans="1:20" x14ac:dyDescent="0.25">
      <c r="A20" s="73">
        <v>44574</v>
      </c>
      <c r="B20" s="40">
        <v>0</v>
      </c>
      <c r="C20" s="40">
        <v>16</v>
      </c>
      <c r="D20" s="40">
        <v>40</v>
      </c>
      <c r="E20" s="41">
        <v>85</v>
      </c>
      <c r="F20" s="41">
        <v>6354</v>
      </c>
      <c r="G20" s="41">
        <v>10</v>
      </c>
      <c r="H20" s="41">
        <v>1971</v>
      </c>
      <c r="I20" s="41">
        <v>85</v>
      </c>
      <c r="J20" s="41">
        <v>541</v>
      </c>
      <c r="K20" s="42">
        <v>85</v>
      </c>
      <c r="L20" s="42">
        <v>78</v>
      </c>
      <c r="M20" s="42">
        <v>1541</v>
      </c>
      <c r="N20" s="39">
        <v>85</v>
      </c>
      <c r="O20" s="39">
        <v>50</v>
      </c>
      <c r="P20" s="39">
        <v>83</v>
      </c>
      <c r="Q20" s="39">
        <v>4584</v>
      </c>
      <c r="R20" s="77">
        <v>83</v>
      </c>
      <c r="S20" s="77">
        <v>219</v>
      </c>
      <c r="T20">
        <f t="shared" si="1"/>
        <v>0</v>
      </c>
    </row>
    <row r="21" spans="1:20" x14ac:dyDescent="0.25">
      <c r="A21" s="73">
        <v>44575</v>
      </c>
      <c r="B21" s="40">
        <v>0</v>
      </c>
      <c r="C21" s="40">
        <v>16</v>
      </c>
      <c r="D21" s="40">
        <v>40</v>
      </c>
      <c r="E21" s="41">
        <v>85</v>
      </c>
      <c r="F21" s="41">
        <v>6359</v>
      </c>
      <c r="G21" s="41">
        <v>3</v>
      </c>
      <c r="H21" s="41">
        <v>1973</v>
      </c>
      <c r="I21" s="41">
        <v>85</v>
      </c>
      <c r="J21" s="41">
        <v>541</v>
      </c>
      <c r="K21" s="42">
        <v>85</v>
      </c>
      <c r="L21" s="42">
        <v>78</v>
      </c>
      <c r="M21" s="42">
        <v>1543</v>
      </c>
      <c r="N21" s="39">
        <v>85</v>
      </c>
      <c r="O21" s="39">
        <v>50</v>
      </c>
      <c r="P21" s="39">
        <v>83</v>
      </c>
      <c r="Q21" s="39">
        <v>4587</v>
      </c>
      <c r="R21" s="77">
        <v>83</v>
      </c>
      <c r="S21" s="77">
        <v>219</v>
      </c>
      <c r="T21">
        <f t="shared" si="1"/>
        <v>0</v>
      </c>
    </row>
    <row r="22" spans="1:20" x14ac:dyDescent="0.25">
      <c r="A22" s="73">
        <v>44576</v>
      </c>
      <c r="B22" s="40">
        <v>0</v>
      </c>
      <c r="C22" s="40">
        <v>17</v>
      </c>
      <c r="D22" s="40">
        <v>42</v>
      </c>
      <c r="E22" s="41">
        <v>80</v>
      </c>
      <c r="F22" s="41">
        <v>6365</v>
      </c>
      <c r="G22" s="41">
        <v>0</v>
      </c>
      <c r="H22" s="41">
        <v>1975</v>
      </c>
      <c r="I22" s="41">
        <v>85</v>
      </c>
      <c r="J22" s="41">
        <v>541</v>
      </c>
      <c r="K22" s="42">
        <v>85</v>
      </c>
      <c r="L22" s="42">
        <v>75</v>
      </c>
      <c r="M22" s="42">
        <v>1543</v>
      </c>
      <c r="N22" s="39">
        <v>85</v>
      </c>
      <c r="O22" s="39">
        <v>50</v>
      </c>
      <c r="P22" s="39">
        <v>83</v>
      </c>
      <c r="Q22" s="39">
        <v>4589</v>
      </c>
      <c r="R22" s="77">
        <v>83</v>
      </c>
      <c r="S22" s="77">
        <v>219</v>
      </c>
      <c r="T22">
        <f t="shared" si="1"/>
        <v>0</v>
      </c>
    </row>
    <row r="23" spans="1:20" x14ac:dyDescent="0.25">
      <c r="A23" s="73">
        <v>44577</v>
      </c>
      <c r="B23" s="40">
        <v>0</v>
      </c>
      <c r="C23" s="40">
        <v>14</v>
      </c>
      <c r="D23" s="40">
        <v>37</v>
      </c>
      <c r="E23" s="41">
        <v>70</v>
      </c>
      <c r="F23" s="41">
        <v>6369</v>
      </c>
      <c r="G23" s="41">
        <v>0</v>
      </c>
      <c r="H23" s="41">
        <v>1978</v>
      </c>
      <c r="I23" s="41">
        <v>85</v>
      </c>
      <c r="J23" s="41">
        <v>541</v>
      </c>
      <c r="K23" s="42">
        <v>85</v>
      </c>
      <c r="L23" s="42">
        <v>72</v>
      </c>
      <c r="M23" s="42">
        <v>1547</v>
      </c>
      <c r="N23" s="39">
        <v>85</v>
      </c>
      <c r="O23" s="39">
        <v>49</v>
      </c>
      <c r="P23" s="39">
        <v>83</v>
      </c>
      <c r="Q23" s="39">
        <v>4590</v>
      </c>
      <c r="R23" s="77">
        <v>83</v>
      </c>
      <c r="S23" s="77">
        <v>219</v>
      </c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-219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2022-01-17T18:24:09Z</dcterms:modified>
</cp:coreProperties>
</file>