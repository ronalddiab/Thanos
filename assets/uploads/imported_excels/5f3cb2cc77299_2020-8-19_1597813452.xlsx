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22" i="1"/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22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H22"/>
  <c r="H23" s="1"/>
  <c r="H24" s="1"/>
  <c r="H25" s="1"/>
  <c r="H26" s="1"/>
  <c r="H27" s="1"/>
  <c r="H28" s="1"/>
  <c r="H29" s="1"/>
  <c r="H30" s="1"/>
  <c r="H31" s="1"/>
  <c r="H32" s="1"/>
  <c r="H33" s="1"/>
  <c r="H34" s="1"/>
  <c r="F22"/>
  <c r="F23" s="1"/>
  <c r="F24" s="1"/>
  <c r="F25" s="1"/>
  <c r="F26" s="1"/>
  <c r="F27" s="1"/>
  <c r="F28" s="1"/>
  <c r="F29" s="1"/>
  <c r="F30" s="1"/>
  <c r="F31" s="1"/>
  <c r="F32" s="1"/>
  <c r="F33" s="1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16"/>
  <c r="B17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13" i="76" l="1"/>
  <c r="AT19" i="5"/>
  <c r="AT21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9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7" s="1"/>
  <c r="X18" s="1"/>
  <c r="X19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7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Y6" i="2"/>
  <c r="Y11" s="1"/>
  <c r="Y16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21"/>
  <c r="L22" s="1"/>
  <c r="L23" s="1"/>
  <c r="L24" s="1"/>
  <c r="L25" s="1"/>
  <c r="L26" s="1"/>
  <c r="L27" s="1"/>
  <c r="L28" s="1"/>
  <c r="L29" s="1"/>
  <c r="L30" s="1"/>
  <c r="L31" s="1"/>
  <c r="L32" s="1"/>
  <c r="L33" s="1"/>
  <c r="AC3"/>
  <c r="AC6" s="1"/>
  <c r="AC8" s="1"/>
  <c r="AC19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6"/>
  <c r="AA19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S6"/>
  <c r="S16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6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1"/>
  <c r="J22" s="1"/>
  <c r="J23" s="1"/>
  <c r="J24" s="1"/>
  <c r="J25" s="1"/>
  <c r="J26" s="1"/>
  <c r="J27" s="1"/>
  <c r="J28" s="1"/>
  <c r="J29" s="1"/>
  <c r="J30" s="1"/>
  <c r="J31" s="1"/>
  <c r="J32" s="1"/>
  <c r="J33" s="1"/>
  <c r="H21"/>
  <c r="H22" s="1"/>
  <c r="H23" s="1"/>
  <c r="H24" s="1"/>
  <c r="H25" s="1"/>
  <c r="H26" s="1"/>
  <c r="H27" s="1"/>
  <c r="H28" s="1"/>
  <c r="H29" s="1"/>
  <c r="H30" s="1"/>
  <c r="H31" s="1"/>
  <c r="H32" s="1"/>
  <c r="H33" s="1"/>
  <c r="F21"/>
  <c r="F22" s="1"/>
  <c r="F23" s="1"/>
  <c r="F24" s="1"/>
  <c r="F25" s="1"/>
  <c r="F26" s="1"/>
  <c r="F27" s="1"/>
  <c r="F28" s="1"/>
  <c r="F29" s="1"/>
  <c r="F30" s="1"/>
  <c r="F31" s="1"/>
  <c r="F32" s="1"/>
  <c r="F33" s="1"/>
  <c r="D21"/>
  <c r="D22" s="1"/>
  <c r="D23" s="1"/>
  <c r="D24" s="1"/>
  <c r="D25" s="1"/>
  <c r="D26" s="1"/>
  <c r="D27" s="1"/>
  <c r="D28" s="1"/>
  <c r="D29" s="1"/>
  <c r="D30" s="1"/>
  <c r="D31" s="1"/>
  <c r="D32" s="1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H6" i="77"/>
  <c r="C19" i="76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B22" i="76" l="1"/>
  <c r="C2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B23" i="76" l="1"/>
  <c r="C22"/>
  <c r="AB33" i="2"/>
  <c r="AB10"/>
  <c r="Z33" i="3"/>
  <c r="AK33" s="1"/>
  <c r="D14" i="76"/>
  <c r="E14" s="1"/>
  <c r="G16"/>
  <c r="L16" s="1"/>
  <c r="I16"/>
  <c r="M16" s="1"/>
  <c r="AB33" i="3"/>
  <c r="X40" i="74"/>
  <c r="B24" i="76" l="1"/>
  <c r="C23"/>
  <c r="AC33" i="3"/>
  <c r="K34" i="76"/>
  <c r="N34" s="1"/>
  <c r="G17"/>
  <c r="L17" s="1"/>
  <c r="I17"/>
  <c r="M17" s="1"/>
  <c r="D15"/>
  <c r="E15" s="1"/>
  <c r="B25" l="1"/>
  <c r="C24"/>
  <c r="G18"/>
  <c r="I18"/>
  <c r="D17"/>
  <c r="E17" s="1"/>
  <c r="D16"/>
  <c r="E16" s="1"/>
  <c r="S12" i="3"/>
  <c r="B26" i="76" l="1"/>
  <c r="C25"/>
  <c r="G19"/>
  <c r="I19"/>
  <c r="K18"/>
  <c r="N18" s="1"/>
  <c r="B27" l="1"/>
  <c r="C26"/>
  <c r="G34"/>
  <c r="L34" s="1"/>
  <c r="W28"/>
  <c r="I20"/>
  <c r="M18"/>
  <c r="D18"/>
  <c r="E18" s="1"/>
  <c r="L18"/>
  <c r="K19"/>
  <c r="N19" s="1"/>
  <c r="B28" l="1"/>
  <c r="C27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M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S10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13" l="1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23" i="76"/>
  <c r="F21" i="81" s="1"/>
  <c r="T27" i="76"/>
  <c r="F25" i="81" s="1"/>
  <c r="T30" i="76"/>
  <c r="F28" i="81" s="1"/>
  <c r="T29" i="76"/>
  <c r="F27" i="81" s="1"/>
  <c r="T22" i="76"/>
  <c r="F20" i="81" s="1"/>
  <c r="T33" i="76"/>
  <c r="F31" i="81" s="1"/>
  <c r="T28" i="76"/>
  <c r="F26" i="81" s="1"/>
  <c r="T25" i="76"/>
  <c r="F23" i="81" s="1"/>
  <c r="T26" i="76"/>
  <c r="F24" i="81" s="1"/>
  <c r="T24" i="76"/>
  <c r="F22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AY21" i="7"/>
  <c r="Q19" i="76"/>
  <c r="R19" s="1"/>
  <c r="T19" s="1"/>
  <c r="F17" i="81" s="1"/>
  <c r="Q21" i="76"/>
  <c r="R21" s="1"/>
  <c r="T21" s="1"/>
  <c r="F19" i="81" s="1"/>
  <c r="AY23" i="7"/>
  <c r="AS40"/>
  <c r="Q29" i="76"/>
  <c r="R29" s="1"/>
  <c r="AY31" i="7"/>
  <c r="Q27" i="76"/>
  <c r="R27" s="1"/>
  <c r="AY29" i="7"/>
  <c r="AY19"/>
  <c r="Q17" i="76"/>
  <c r="R17" s="1"/>
  <c r="T17" s="1"/>
  <c r="F15" i="81" s="1"/>
  <c r="Q31" i="76"/>
  <c r="R31" s="1"/>
  <c r="AY33" i="7"/>
  <c r="AY20"/>
  <c r="Q18" i="76"/>
  <c r="R18" s="1"/>
  <c r="T18" s="1"/>
  <c r="F16" i="81" s="1"/>
  <c r="Q34" i="76"/>
  <c r="R34" s="1"/>
  <c r="AY36" i="7"/>
  <c r="Q28" i="76"/>
  <c r="R28" s="1"/>
  <c r="AY30" i="7"/>
  <c r="Q23" i="76"/>
  <c r="R23" s="1"/>
  <c r="AY25" i="7"/>
  <c r="AY28"/>
  <c r="Q26" i="76"/>
  <c r="R26" s="1"/>
  <c r="Q15"/>
  <c r="R15" s="1"/>
  <c r="T15" s="1"/>
  <c r="F13" i="81" s="1"/>
  <c r="AY17" i="7"/>
  <c r="Q32" i="76"/>
  <c r="R32" s="1"/>
  <c r="AY34" i="7"/>
  <c r="AY18"/>
  <c r="Q16" i="76"/>
  <c r="R16" s="1"/>
  <c r="T16" s="1"/>
  <c r="F14" i="81" s="1"/>
  <c r="Q30" i="76"/>
  <c r="R30" s="1"/>
  <c r="AY32" i="7"/>
  <c r="AY24"/>
  <c r="Q22" i="76"/>
  <c r="R22" s="1"/>
  <c r="AY35" i="7"/>
  <c r="AX16"/>
  <c r="AY27"/>
  <c r="Q20" i="76"/>
  <c r="R20" s="1"/>
  <c r="T20" s="1"/>
  <c r="F18" i="81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<sst xmlns="http://schemas.openxmlformats.org/spreadsheetml/2006/main" count="724" uniqueCount="418">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</sst>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020224"/>
        <c:axId val="146021760"/>
      </c:lineChart>
      <c:catAx>
        <c:axId val="14602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21760"/>
        <c:crosses val="autoZero"/>
        <c:auto val="1"/>
        <c:lblAlgn val="ctr"/>
        <c:lblOffset val="100"/>
      </c:catAx>
      <c:valAx>
        <c:axId val="146021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2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211"/>
          <c:w val="0.11899800868449698"/>
          <c:h val="4.49826989619452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042240"/>
        <c:axId val="146044032"/>
      </c:lineChart>
      <c:catAx>
        <c:axId val="1460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44032"/>
        <c:crosses val="autoZero"/>
        <c:auto val="1"/>
        <c:lblAlgn val="ctr"/>
        <c:lblOffset val="100"/>
      </c:catAx>
      <c:valAx>
        <c:axId val="14604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97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064128"/>
        <c:axId val="146065664"/>
      </c:lineChart>
      <c:catAx>
        <c:axId val="1460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65664"/>
        <c:crosses val="autoZero"/>
        <c:auto val="1"/>
        <c:lblAlgn val="ctr"/>
        <c:lblOffset val="100"/>
      </c:catAx>
      <c:valAx>
        <c:axId val="1460656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805"/>
          <c:y val="0.62975887529635211"/>
          <c:w val="7.9124755870162669E-2"/>
          <c:h val="4.49826989619452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47488"/>
        <c:axId val="145649024"/>
      </c:lineChart>
      <c:catAx>
        <c:axId val="1456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49024"/>
        <c:crosses val="autoZero"/>
        <c:auto val="1"/>
        <c:lblAlgn val="ctr"/>
        <c:lblOffset val="100"/>
      </c:catAx>
      <c:valAx>
        <c:axId val="145649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95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5660928"/>
        <c:axId val="146277120"/>
      </c:lineChart>
      <c:catAx>
        <c:axId val="1456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77120"/>
        <c:crosses val="autoZero"/>
        <c:auto val="1"/>
        <c:lblAlgn val="ctr"/>
        <c:lblOffset val="100"/>
      </c:catAx>
      <c:valAx>
        <c:axId val="146277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0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375424"/>
        <c:axId val="146376960"/>
      </c:lineChart>
      <c:catAx>
        <c:axId val="14637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76960"/>
        <c:crosses val="autoZero"/>
        <c:auto val="1"/>
        <c:lblAlgn val="ctr"/>
        <c:lblOffset val="100"/>
      </c:catAx>
      <c:valAx>
        <c:axId val="146376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7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741120"/>
        <c:axId val="146742656"/>
      </c:lineChart>
      <c:catAx>
        <c:axId val="14674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42656"/>
        <c:crosses val="autoZero"/>
        <c:auto val="1"/>
        <c:lblAlgn val="ctr"/>
        <c:lblOffset val="100"/>
      </c:catAx>
      <c:valAx>
        <c:axId val="14674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4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762368"/>
        <c:axId val="146768256"/>
      </c:lineChart>
      <c:catAx>
        <c:axId val="14676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68256"/>
        <c:crosses val="autoZero"/>
        <c:auto val="1"/>
        <c:lblAlgn val="ctr"/>
        <c:lblOffset val="100"/>
      </c:catAx>
      <c:valAx>
        <c:axId val="14676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6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796544"/>
        <c:axId val="146798080"/>
      </c:lineChart>
      <c:catAx>
        <c:axId val="14679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98080"/>
        <c:crosses val="autoZero"/>
        <c:auto val="1"/>
        <c:lblAlgn val="ctr"/>
        <c:lblOffset val="100"/>
      </c:catAx>
      <c:valAx>
        <c:axId val="146798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9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753"/>
          <c:w val="0.1272403315177229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711680"/>
        <c:axId val="146713216"/>
      </c:lineChart>
      <c:catAx>
        <c:axId val="14671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13216"/>
        <c:crosses val="autoZero"/>
        <c:auto val="1"/>
        <c:lblAlgn val="ctr"/>
        <c:lblOffset val="100"/>
      </c:catAx>
      <c:valAx>
        <c:axId val="14671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1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884864"/>
        <c:axId val="146886656"/>
      </c:lineChart>
      <c:catAx>
        <c:axId val="14688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86656"/>
        <c:crosses val="autoZero"/>
        <c:auto val="1"/>
        <c:lblAlgn val="ctr"/>
        <c:lblOffset val="100"/>
      </c:catAx>
      <c:valAx>
        <c:axId val="14688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8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753"/>
          <c:w val="0.135416885389346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898304"/>
        <c:axId val="146928768"/>
      </c:lineChart>
      <c:catAx>
        <c:axId val="14689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28768"/>
        <c:crosses val="autoZero"/>
        <c:auto val="1"/>
        <c:lblAlgn val="ctr"/>
        <c:lblOffset val="100"/>
      </c:catAx>
      <c:valAx>
        <c:axId val="146928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75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822272"/>
        <c:axId val="146823808"/>
      </c:lineChart>
      <c:catAx>
        <c:axId val="14682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23808"/>
        <c:crosses val="autoZero"/>
        <c:auto val="1"/>
        <c:lblAlgn val="ctr"/>
        <c:lblOffset val="100"/>
      </c:catAx>
      <c:valAx>
        <c:axId val="146823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2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211"/>
          <c:w val="0.12291688538932598"/>
          <c:h val="4.4982698961945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852096"/>
        <c:axId val="146857984"/>
      </c:lineChart>
      <c:catAx>
        <c:axId val="1468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57984"/>
        <c:crosses val="autoZero"/>
        <c:auto val="1"/>
        <c:lblAlgn val="ctr"/>
        <c:lblOffset val="100"/>
      </c:catAx>
      <c:valAx>
        <c:axId val="14685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753"/>
          <c:w val="0.135416885389346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865536"/>
        <c:axId val="146961536"/>
      </c:lineChart>
      <c:catAx>
        <c:axId val="14686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61536"/>
        <c:crosses val="autoZero"/>
        <c:auto val="1"/>
        <c:lblAlgn val="ctr"/>
        <c:lblOffset val="100"/>
      </c:catAx>
      <c:valAx>
        <c:axId val="146961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6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64"/>
          <c:y val="0.54325368498487869"/>
          <c:w val="0.11458355205599259"/>
          <c:h val="4.49826989619448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-708.02580645162379</c:v>
                </c:pt>
                <c:pt idx="17">
                  <c:v>-620.35483870966709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985728"/>
        <c:axId val="146987264"/>
      </c:lineChart>
      <c:catAx>
        <c:axId val="14698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87264"/>
        <c:crosses val="autoZero"/>
        <c:auto val="1"/>
        <c:lblAlgn val="ctr"/>
        <c:lblOffset val="100"/>
      </c:catAx>
      <c:valAx>
        <c:axId val="146987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8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20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020032"/>
        <c:axId val="147038208"/>
      </c:lineChart>
      <c:catAx>
        <c:axId val="14702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38208"/>
        <c:crosses val="autoZero"/>
        <c:auto val="1"/>
        <c:lblAlgn val="ctr"/>
        <c:lblOffset val="100"/>
      </c:catAx>
      <c:valAx>
        <c:axId val="14703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2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115"/>
          <c:y val="0.62975887529635211"/>
          <c:w val="0.13541688538934699"/>
          <c:h val="4.4982698961945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045760"/>
        <c:axId val="147051648"/>
      </c:lineChart>
      <c:catAx>
        <c:axId val="14704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51648"/>
        <c:crosses val="autoZero"/>
        <c:auto val="1"/>
        <c:lblAlgn val="ctr"/>
        <c:lblOffset val="100"/>
      </c:catAx>
      <c:valAx>
        <c:axId val="1470516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211"/>
          <c:w val="9.730870597697025E-2"/>
          <c:h val="4.4982698961945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59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170048"/>
        <c:axId val="147171584"/>
      </c:lineChart>
      <c:catAx>
        <c:axId val="1471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1584"/>
        <c:crosses val="autoZero"/>
        <c:auto val="1"/>
        <c:lblAlgn val="ctr"/>
        <c:lblOffset val="100"/>
      </c:catAx>
      <c:valAx>
        <c:axId val="147171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269504"/>
        <c:axId val="147271040"/>
      </c:lineChart>
      <c:catAx>
        <c:axId val="14726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71040"/>
        <c:crosses val="autoZero"/>
        <c:auto val="1"/>
        <c:lblAlgn val="ctr"/>
        <c:lblOffset val="100"/>
      </c:catAx>
      <c:valAx>
        <c:axId val="14727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6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045"/>
          <c:y val="0.62975887529635211"/>
          <c:w val="0.13250539334757044"/>
          <c:h val="4.4982698961945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295232"/>
        <c:axId val="147301120"/>
      </c:lineChart>
      <c:catAx>
        <c:axId val="14729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01120"/>
        <c:crosses val="autoZero"/>
        <c:auto val="1"/>
        <c:lblAlgn val="ctr"/>
        <c:lblOffset val="100"/>
      </c:catAx>
      <c:valAx>
        <c:axId val="14730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9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75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337600"/>
        <c:axId val="147339136"/>
      </c:lineChart>
      <c:catAx>
        <c:axId val="14733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39136"/>
        <c:crosses val="autoZero"/>
        <c:auto val="1"/>
        <c:lblAlgn val="ctr"/>
        <c:lblOffset val="100"/>
      </c:catAx>
      <c:valAx>
        <c:axId val="14733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957"/>
          <c:w val="0.1234311819809252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-256.20000000000005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166.89999999999998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7372288"/>
        <c:axId val="147378176"/>
      </c:lineChart>
      <c:catAx>
        <c:axId val="147372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8176"/>
        <c:crosses val="autoZero"/>
        <c:auto val="1"/>
        <c:lblAlgn val="ctr"/>
        <c:lblOffset val="100"/>
      </c:catAx>
      <c:valAx>
        <c:axId val="147378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268"/>
          <c:w val="0.1569039853282118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389440"/>
        <c:axId val="147215104"/>
      </c:lineChart>
      <c:catAx>
        <c:axId val="1473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15104"/>
        <c:crosses val="autoZero"/>
        <c:auto val="1"/>
        <c:lblAlgn val="ctr"/>
        <c:lblOffset val="100"/>
      </c:catAx>
      <c:valAx>
        <c:axId val="147215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211"/>
          <c:w val="0.14853578449139565"/>
          <c:h val="4.49826989619454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473152"/>
        <c:axId val="147474688"/>
      </c:lineChart>
      <c:catAx>
        <c:axId val="1474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74688"/>
        <c:crosses val="autoZero"/>
        <c:auto val="1"/>
        <c:lblAlgn val="ctr"/>
        <c:lblOffset val="100"/>
      </c:catAx>
      <c:valAx>
        <c:axId val="14747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087"/>
          <c:y val="0.62975887529635211"/>
          <c:w val="0.12164948453608219"/>
          <c:h val="4.49826989619454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1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3021824"/>
        <c:axId val="173023616"/>
      </c:lineChart>
      <c:catAx>
        <c:axId val="17302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23616"/>
        <c:crosses val="autoZero"/>
        <c:auto val="1"/>
        <c:lblAlgn val="ctr"/>
        <c:lblOffset val="100"/>
      </c:catAx>
      <c:valAx>
        <c:axId val="173023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2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3350912"/>
        <c:axId val="173352448"/>
      </c:lineChart>
      <c:catAx>
        <c:axId val="17335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52448"/>
        <c:crosses val="autoZero"/>
        <c:auto val="1"/>
        <c:lblAlgn val="ctr"/>
        <c:lblOffset val="100"/>
      </c:catAx>
      <c:valAx>
        <c:axId val="17335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5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51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-256.20000000000005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166.89999999999998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73549824"/>
        <c:axId val="173563904"/>
      </c:lineChart>
      <c:catAx>
        <c:axId val="1735498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63904"/>
        <c:crosses val="autoZero"/>
        <c:auto val="1"/>
        <c:lblAlgn val="ctr"/>
        <c:lblOffset val="100"/>
      </c:catAx>
      <c:valAx>
        <c:axId val="1735639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2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0.14031445547659666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9.2087922116151633E-2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9.7640185551530631E-2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5.481388961055704E-2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0.2544766520054485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5.068697980731815E-2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-5.4155968195618437E-2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0.10342312478352225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8.6638155401278463E-2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7.2990145095223183E-2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7.4713174789570735E-2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0.1305994061047305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3.9500480731122188E-2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9.9427844413133237E-2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9.9422876656027198E-2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6.0645370165317042E-2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11726</v>
      </c>
      <c r="F18" s="338">
        <f>SUM('EDl log'!T20)</f>
        <v>7.5774328126109985E-2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12104</v>
      </c>
      <c r="F19" s="338">
        <f>SUM('EDl log'!T21)</f>
        <v>5.448405256250894E-2</v>
      </c>
      <c r="G19" s="206">
        <f>-tanks!AW23</f>
        <v>455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0.53500000000000003</v>
      </c>
      <c r="I22" s="10">
        <f>('B5'!AU25)*0.51</f>
        <v>0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0.53500000000000003</v>
      </c>
      <c r="I24" s="10">
        <f>('B5'!AU27)*0.51</f>
        <v>0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L31" sqref="L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3624</v>
      </c>
      <c r="F18" s="206">
        <f>ELEC!K19</f>
        <v>1032</v>
      </c>
      <c r="G18" s="206">
        <f>ELEC!I19</f>
        <v>1204</v>
      </c>
      <c r="H18" s="206">
        <f>ELEC!E19</f>
        <v>4832</v>
      </c>
      <c r="I18" s="206">
        <f>ELEC!G19</f>
        <v>1034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2438</v>
      </c>
      <c r="F19" s="206">
        <f>ELEC!K20</f>
        <v>976</v>
      </c>
      <c r="G19" s="206">
        <f>ELEC!I20</f>
        <v>1410</v>
      </c>
      <c r="H19" s="206">
        <f>ELEC!E20</f>
        <v>6186</v>
      </c>
      <c r="I19" s="206">
        <f>ELEC!G20</f>
        <v>1094</v>
      </c>
      <c r="J19" s="206">
        <f>WATER!Y23</f>
        <v>41</v>
      </c>
      <c r="K19" s="206">
        <f>WATER!AJ23</f>
        <v>27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E1" zoomScale="85" zoomScaleNormal="85" zoomScaleSheetLayoutView="100" workbookViewId="0">
      <pane ySplit="1" topLeftCell="A2" activePane="bottomLeft" state="frozen"/>
      <selection activeCell="C1" sqref="C1"/>
      <selection pane="bottomLeft" activeCell="AA19" sqref="AA19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600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v>32120150</v>
      </c>
      <c r="E19" s="319">
        <f t="shared" si="9"/>
        <v>4832</v>
      </c>
      <c r="F19" s="458">
        <v>3831819</v>
      </c>
      <c r="G19" s="320">
        <f t="shared" si="0"/>
        <v>1034</v>
      </c>
      <c r="H19" s="458">
        <v>17625264</v>
      </c>
      <c r="I19" s="320">
        <f t="shared" si="10"/>
        <v>1204</v>
      </c>
      <c r="J19" s="458">
        <v>28679954</v>
      </c>
      <c r="K19" s="320">
        <f t="shared" si="11"/>
        <v>1032</v>
      </c>
      <c r="L19" s="458">
        <v>23523954</v>
      </c>
      <c r="M19" s="320">
        <f t="shared" si="12"/>
        <v>3624</v>
      </c>
      <c r="N19" s="318">
        <f t="shared" si="13"/>
        <v>11726</v>
      </c>
      <c r="O19" s="480">
        <f t="shared" si="22"/>
        <v>0</v>
      </c>
      <c r="P19" s="458">
        <v>16239</v>
      </c>
      <c r="Q19" s="462">
        <f>(P19-P18)*1000</f>
        <v>1000</v>
      </c>
      <c r="R19" s="462">
        <f t="shared" si="19"/>
        <v>10726</v>
      </c>
      <c r="S19" s="458">
        <v>9384</v>
      </c>
      <c r="T19" s="482">
        <f t="shared" si="3"/>
        <v>7</v>
      </c>
      <c r="U19" s="458">
        <v>258864</v>
      </c>
      <c r="V19" s="462">
        <f t="shared" si="14"/>
        <v>1370</v>
      </c>
      <c r="W19" s="458">
        <v>32049</v>
      </c>
      <c r="X19" s="462">
        <f t="shared" si="21"/>
        <v>0</v>
      </c>
      <c r="Y19" s="458"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7</v>
      </c>
      <c r="AF19" s="486">
        <f t="shared" si="8"/>
        <v>1370</v>
      </c>
      <c r="AG19" s="478">
        <f t="shared" si="23"/>
        <v>195.71428571428572</v>
      </c>
      <c r="AI19" s="479">
        <f>R19-'EDl log'!B17</f>
        <v>-261989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v>32126336</v>
      </c>
      <c r="E20" s="319">
        <f t="shared" si="9"/>
        <v>6186</v>
      </c>
      <c r="F20" s="458">
        <v>3832913</v>
      </c>
      <c r="G20" s="320">
        <f t="shared" si="0"/>
        <v>1094</v>
      </c>
      <c r="H20" s="458">
        <v>17626674</v>
      </c>
      <c r="I20" s="320">
        <f t="shared" si="10"/>
        <v>1410</v>
      </c>
      <c r="J20" s="458">
        <v>28680930</v>
      </c>
      <c r="K20" s="320">
        <f t="shared" si="11"/>
        <v>976</v>
      </c>
      <c r="L20" s="458">
        <v>23526392</v>
      </c>
      <c r="M20" s="320">
        <f t="shared" si="12"/>
        <v>2438</v>
      </c>
      <c r="N20" s="318">
        <f t="shared" si="13"/>
        <v>12104</v>
      </c>
      <c r="O20" s="480">
        <f t="shared" si="22"/>
        <v>0</v>
      </c>
      <c r="P20" s="458">
        <v>16240</v>
      </c>
      <c r="Q20" s="462">
        <f t="shared" si="24"/>
        <v>1000</v>
      </c>
      <c r="R20" s="462">
        <f t="shared" si="19"/>
        <v>11104</v>
      </c>
      <c r="S20" s="458">
        <v>9384</v>
      </c>
      <c r="T20" s="482">
        <f t="shared" si="3"/>
        <v>0</v>
      </c>
      <c r="U20" s="458">
        <v>258864</v>
      </c>
      <c r="V20" s="462">
        <f t="shared" si="14"/>
        <v>0</v>
      </c>
      <c r="W20" s="458"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v>35482</v>
      </c>
      <c r="AB20" s="462">
        <f t="shared" si="16"/>
        <v>19</v>
      </c>
      <c r="AC20" s="458">
        <v>871793</v>
      </c>
      <c r="AD20" s="462">
        <f t="shared" si="25"/>
        <v>4094</v>
      </c>
      <c r="AE20" s="485">
        <f t="shared" si="7"/>
        <v>19</v>
      </c>
      <c r="AF20" s="486">
        <f t="shared" si="8"/>
        <v>4094</v>
      </c>
      <c r="AG20" s="478">
        <f t="shared" si="23"/>
        <v>215.47368421052633</v>
      </c>
      <c r="AI20" s="479">
        <f>R20-'EDl log'!B18</f>
        <v>-265711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f t="shared" ref="D21:D33" si="26">D20</f>
        <v>32126336</v>
      </c>
      <c r="E21" s="319">
        <f t="shared" si="9"/>
        <v>0</v>
      </c>
      <c r="F21" s="458">
        <f t="shared" ref="F19:L33" si="27">F20</f>
        <v>3832913</v>
      </c>
      <c r="G21" s="320">
        <f t="shared" si="0"/>
        <v>0</v>
      </c>
      <c r="H21" s="458">
        <f t="shared" si="27"/>
        <v>17626674</v>
      </c>
      <c r="I21" s="320">
        <f t="shared" si="10"/>
        <v>0</v>
      </c>
      <c r="J21" s="458">
        <f t="shared" si="27"/>
        <v>28680930</v>
      </c>
      <c r="K21" s="320">
        <f t="shared" si="11"/>
        <v>0</v>
      </c>
      <c r="L21" s="458">
        <f t="shared" si="27"/>
        <v>23526392</v>
      </c>
      <c r="M21" s="320">
        <f t="shared" si="12"/>
        <v>0</v>
      </c>
      <c r="N21" s="318">
        <f t="shared" si="13"/>
        <v>0</v>
      </c>
      <c r="O21" s="480">
        <f t="shared" si="22"/>
        <v>0</v>
      </c>
      <c r="P21" s="458">
        <f t="shared" si="18"/>
        <v>16240</v>
      </c>
      <c r="Q21" s="462">
        <f>(P21-P20)*1000</f>
        <v>0</v>
      </c>
      <c r="R21" s="462">
        <f t="shared" si="19"/>
        <v>0</v>
      </c>
      <c r="S21" s="458">
        <f t="shared" si="15"/>
        <v>9384</v>
      </c>
      <c r="T21" s="482">
        <f t="shared" si="3"/>
        <v>0</v>
      </c>
      <c r="U21" s="458">
        <f t="shared" si="15"/>
        <v>258864</v>
      </c>
      <c r="V21" s="462">
        <f t="shared" si="14"/>
        <v>0</v>
      </c>
      <c r="W21" s="458">
        <f t="shared" si="15"/>
        <v>32049</v>
      </c>
      <c r="X21" s="462">
        <f t="shared" si="21"/>
        <v>0</v>
      </c>
      <c r="Y21" s="458">
        <f t="shared" si="15"/>
        <v>673052</v>
      </c>
      <c r="Z21" s="462">
        <f t="shared" si="20"/>
        <v>0</v>
      </c>
      <c r="AA21" s="458">
        <f t="shared" si="15"/>
        <v>35482</v>
      </c>
      <c r="AB21" s="462">
        <f t="shared" si="16"/>
        <v>0</v>
      </c>
      <c r="AC21" s="458">
        <f t="shared" si="15"/>
        <v>871793</v>
      </c>
      <c r="AD21" s="462">
        <f t="shared" si="25"/>
        <v>0</v>
      </c>
      <c r="AE21" s="485">
        <f t="shared" si="7"/>
        <v>0</v>
      </c>
      <c r="AF21" s="486">
        <f t="shared" si="8"/>
        <v>0</v>
      </c>
      <c r="AG21" s="478">
        <f t="shared" si="23"/>
        <v>0</v>
      </c>
      <c r="AI21" s="479">
        <f>R21-'EDl log'!B19</f>
        <v>-280938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f t="shared" si="26"/>
        <v>32126336</v>
      </c>
      <c r="E22" s="319">
        <f t="shared" si="9"/>
        <v>0</v>
      </c>
      <c r="F22" s="458">
        <f t="shared" si="27"/>
        <v>3832913</v>
      </c>
      <c r="G22" s="320">
        <f t="shared" si="0"/>
        <v>0</v>
      </c>
      <c r="H22" s="458">
        <f t="shared" si="27"/>
        <v>17626674</v>
      </c>
      <c r="I22" s="320">
        <f t="shared" si="10"/>
        <v>0</v>
      </c>
      <c r="J22" s="458">
        <f t="shared" si="27"/>
        <v>28680930</v>
      </c>
      <c r="K22" s="320">
        <f t="shared" si="11"/>
        <v>0</v>
      </c>
      <c r="L22" s="458">
        <f t="shared" si="27"/>
        <v>23526392</v>
      </c>
      <c r="M22" s="320">
        <f t="shared" si="12"/>
        <v>0</v>
      </c>
      <c r="N22" s="318">
        <f t="shared" si="13"/>
        <v>0</v>
      </c>
      <c r="O22" s="480">
        <f t="shared" si="22"/>
        <v>0</v>
      </c>
      <c r="P22" s="458">
        <f t="shared" si="18"/>
        <v>16240</v>
      </c>
      <c r="Q22" s="462">
        <f t="shared" si="24"/>
        <v>0</v>
      </c>
      <c r="R22" s="462">
        <f t="shared" si="19"/>
        <v>0</v>
      </c>
      <c r="S22" s="458">
        <f t="shared" si="15"/>
        <v>9384</v>
      </c>
      <c r="T22" s="482">
        <f t="shared" si="3"/>
        <v>0</v>
      </c>
      <c r="U22" s="458">
        <f t="shared" si="15"/>
        <v>258864</v>
      </c>
      <c r="V22" s="462">
        <f t="shared" si="14"/>
        <v>0</v>
      </c>
      <c r="W22" s="458">
        <f t="shared" si="15"/>
        <v>32049</v>
      </c>
      <c r="X22" s="462">
        <f t="shared" si="21"/>
        <v>0</v>
      </c>
      <c r="Y22" s="458">
        <f t="shared" si="15"/>
        <v>673052</v>
      </c>
      <c r="Z22" s="462">
        <f t="shared" si="20"/>
        <v>0</v>
      </c>
      <c r="AA22" s="458">
        <f t="shared" si="15"/>
        <v>35482</v>
      </c>
      <c r="AB22" s="462">
        <f t="shared" si="16"/>
        <v>0</v>
      </c>
      <c r="AC22" s="458">
        <f t="shared" si="15"/>
        <v>871793</v>
      </c>
      <c r="AD22" s="462">
        <f t="shared" si="25"/>
        <v>0</v>
      </c>
      <c r="AE22" s="485">
        <f t="shared" si="7"/>
        <v>0</v>
      </c>
      <c r="AF22" s="486">
        <f t="shared" si="8"/>
        <v>0</v>
      </c>
      <c r="AG22" s="478">
        <f t="shared" si="23"/>
        <v>0</v>
      </c>
      <c r="AI22" s="479">
        <f>R22-'EDl log'!B20</f>
        <v>-286074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f t="shared" si="26"/>
        <v>32126336</v>
      </c>
      <c r="E23" s="319">
        <f t="shared" si="9"/>
        <v>0</v>
      </c>
      <c r="F23" s="458">
        <f t="shared" si="27"/>
        <v>3832913</v>
      </c>
      <c r="G23" s="320">
        <f t="shared" si="0"/>
        <v>0</v>
      </c>
      <c r="H23" s="458">
        <f t="shared" si="27"/>
        <v>17626674</v>
      </c>
      <c r="I23" s="451">
        <f t="shared" si="10"/>
        <v>0</v>
      </c>
      <c r="J23" s="458">
        <f t="shared" si="27"/>
        <v>28680930</v>
      </c>
      <c r="K23" s="320">
        <f t="shared" si="11"/>
        <v>0</v>
      </c>
      <c r="L23" s="458">
        <f t="shared" si="27"/>
        <v>23526392</v>
      </c>
      <c r="M23" s="320">
        <f t="shared" si="12"/>
        <v>0</v>
      </c>
      <c r="N23" s="318">
        <f t="shared" si="13"/>
        <v>0</v>
      </c>
      <c r="O23" s="480">
        <f t="shared" si="22"/>
        <v>0</v>
      </c>
      <c r="P23" s="458">
        <f t="shared" si="18"/>
        <v>16240</v>
      </c>
      <c r="Q23" s="462">
        <f t="shared" si="24"/>
        <v>0</v>
      </c>
      <c r="R23" s="462">
        <f t="shared" si="19"/>
        <v>0</v>
      </c>
      <c r="S23" s="458">
        <f t="shared" si="15"/>
        <v>9384</v>
      </c>
      <c r="T23" s="482">
        <f t="shared" si="3"/>
        <v>0</v>
      </c>
      <c r="U23" s="458">
        <f t="shared" si="15"/>
        <v>258864</v>
      </c>
      <c r="V23" s="462">
        <f t="shared" si="14"/>
        <v>0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f t="shared" si="15"/>
        <v>35482</v>
      </c>
      <c r="AB23" s="462">
        <f t="shared" si="16"/>
        <v>0</v>
      </c>
      <c r="AC23" s="458">
        <f t="shared" si="15"/>
        <v>871793</v>
      </c>
      <c r="AD23" s="462">
        <f t="shared" si="25"/>
        <v>0</v>
      </c>
      <c r="AE23" s="485">
        <f t="shared" si="7"/>
        <v>0</v>
      </c>
      <c r="AF23" s="486">
        <f t="shared" si="8"/>
        <v>0</v>
      </c>
      <c r="AG23" s="478">
        <f t="shared" si="23"/>
        <v>0</v>
      </c>
      <c r="AI23" s="479">
        <f>R23-'EDl log'!B21</f>
        <v>-291983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f t="shared" si="26"/>
        <v>32126336</v>
      </c>
      <c r="E24" s="319">
        <f t="shared" si="9"/>
        <v>0</v>
      </c>
      <c r="F24" s="458">
        <f t="shared" si="27"/>
        <v>3832913</v>
      </c>
      <c r="G24" s="320">
        <f t="shared" si="0"/>
        <v>0</v>
      </c>
      <c r="H24" s="458">
        <f t="shared" si="27"/>
        <v>17626674</v>
      </c>
      <c r="I24" s="320">
        <f t="shared" si="10"/>
        <v>0</v>
      </c>
      <c r="J24" s="458">
        <f t="shared" si="27"/>
        <v>28680930</v>
      </c>
      <c r="K24" s="320">
        <f t="shared" si="11"/>
        <v>0</v>
      </c>
      <c r="L24" s="458">
        <f t="shared" si="27"/>
        <v>23526392</v>
      </c>
      <c r="M24" s="320">
        <f t="shared" si="12"/>
        <v>0</v>
      </c>
      <c r="N24" s="318">
        <f t="shared" si="13"/>
        <v>0</v>
      </c>
      <c r="O24" s="480">
        <f t="shared" si="22"/>
        <v>0</v>
      </c>
      <c r="P24" s="458">
        <f t="shared" si="18"/>
        <v>16240</v>
      </c>
      <c r="Q24" s="462">
        <f t="shared" si="24"/>
        <v>0</v>
      </c>
      <c r="R24" s="462">
        <f t="shared" si="19"/>
        <v>0</v>
      </c>
      <c r="S24" s="458">
        <f t="shared" si="15"/>
        <v>9384</v>
      </c>
      <c r="T24" s="482">
        <f t="shared" si="3"/>
        <v>0</v>
      </c>
      <c r="U24" s="458">
        <f t="shared" si="15"/>
        <v>258864</v>
      </c>
      <c r="V24" s="462">
        <f t="shared" si="14"/>
        <v>0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35482</v>
      </c>
      <c r="AB24" s="462">
        <f t="shared" si="16"/>
        <v>0</v>
      </c>
      <c r="AC24" s="458">
        <f t="shared" si="15"/>
        <v>871793</v>
      </c>
      <c r="AD24" s="462">
        <f t="shared" si="25"/>
        <v>0</v>
      </c>
      <c r="AE24" s="485">
        <f t="shared" si="7"/>
        <v>0</v>
      </c>
      <c r="AF24" s="486">
        <f t="shared" si="8"/>
        <v>0</v>
      </c>
      <c r="AG24" s="478">
        <f t="shared" si="23"/>
        <v>0</v>
      </c>
      <c r="AI24" s="479">
        <f>R24-'EDl log'!B22</f>
        <v>-291983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f t="shared" si="26"/>
        <v>32126336</v>
      </c>
      <c r="E25" s="319">
        <f t="shared" si="9"/>
        <v>0</v>
      </c>
      <c r="F25" s="458">
        <f t="shared" si="27"/>
        <v>3832913</v>
      </c>
      <c r="G25" s="320">
        <f t="shared" si="0"/>
        <v>0</v>
      </c>
      <c r="H25" s="458">
        <f t="shared" si="27"/>
        <v>17626674</v>
      </c>
      <c r="I25" s="320">
        <f t="shared" si="10"/>
        <v>0</v>
      </c>
      <c r="J25" s="458">
        <f t="shared" si="27"/>
        <v>28680930</v>
      </c>
      <c r="K25" s="320">
        <f t="shared" si="11"/>
        <v>0</v>
      </c>
      <c r="L25" s="458">
        <f t="shared" si="27"/>
        <v>23526392</v>
      </c>
      <c r="M25" s="320">
        <f t="shared" si="12"/>
        <v>0</v>
      </c>
      <c r="N25" s="318">
        <f t="shared" si="13"/>
        <v>0</v>
      </c>
      <c r="O25" s="480">
        <f t="shared" si="22"/>
        <v>0</v>
      </c>
      <c r="P25" s="458">
        <f t="shared" si="18"/>
        <v>16240</v>
      </c>
      <c r="Q25" s="462">
        <f t="shared" si="24"/>
        <v>0</v>
      </c>
      <c r="R25" s="462">
        <f t="shared" si="19"/>
        <v>0</v>
      </c>
      <c r="S25" s="458">
        <f t="shared" si="15"/>
        <v>9384</v>
      </c>
      <c r="T25" s="482">
        <f t="shared" si="3"/>
        <v>0</v>
      </c>
      <c r="U25" s="458">
        <f t="shared" si="15"/>
        <v>258864</v>
      </c>
      <c r="V25" s="462">
        <f t="shared" si="14"/>
        <v>0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f t="shared" si="15"/>
        <v>35482</v>
      </c>
      <c r="AB25" s="462">
        <f t="shared" si="16"/>
        <v>0</v>
      </c>
      <c r="AC25" s="458">
        <f t="shared" si="15"/>
        <v>871793</v>
      </c>
      <c r="AD25" s="462">
        <f t="shared" si="25"/>
        <v>0</v>
      </c>
      <c r="AE25" s="485">
        <f t="shared" si="7"/>
        <v>0</v>
      </c>
      <c r="AF25" s="486">
        <f t="shared" si="8"/>
        <v>0</v>
      </c>
      <c r="AG25" s="478">
        <f t="shared" si="23"/>
        <v>0</v>
      </c>
      <c r="AI25" s="479">
        <f>R25-'EDl log'!B23</f>
        <v>-291983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f t="shared" si="26"/>
        <v>32126336</v>
      </c>
      <c r="E26" s="319">
        <f t="shared" si="9"/>
        <v>0</v>
      </c>
      <c r="F26" s="458">
        <f t="shared" si="27"/>
        <v>3832913</v>
      </c>
      <c r="G26" s="320">
        <f t="shared" si="0"/>
        <v>0</v>
      </c>
      <c r="H26" s="458">
        <f t="shared" si="27"/>
        <v>17626674</v>
      </c>
      <c r="I26" s="320">
        <f t="shared" si="10"/>
        <v>0</v>
      </c>
      <c r="J26" s="458">
        <f t="shared" si="27"/>
        <v>28680930</v>
      </c>
      <c r="K26" s="320">
        <f t="shared" si="11"/>
        <v>0</v>
      </c>
      <c r="L26" s="458">
        <f t="shared" si="27"/>
        <v>23526392</v>
      </c>
      <c r="M26" s="320">
        <f t="shared" si="12"/>
        <v>0</v>
      </c>
      <c r="N26" s="318">
        <f t="shared" si="13"/>
        <v>0</v>
      </c>
      <c r="O26" s="480">
        <f t="shared" si="22"/>
        <v>0</v>
      </c>
      <c r="P26" s="458">
        <f t="shared" si="18"/>
        <v>16240</v>
      </c>
      <c r="Q26" s="462">
        <f t="shared" si="24"/>
        <v>0</v>
      </c>
      <c r="R26" s="487">
        <f>N26-Q26</f>
        <v>0</v>
      </c>
      <c r="S26" s="458">
        <f t="shared" si="15"/>
        <v>9384</v>
      </c>
      <c r="T26" s="482">
        <f t="shared" si="3"/>
        <v>0</v>
      </c>
      <c r="U26" s="458">
        <f t="shared" si="15"/>
        <v>258864</v>
      </c>
      <c r="V26" s="462">
        <f t="shared" si="14"/>
        <v>0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f t="shared" si="15"/>
        <v>35482</v>
      </c>
      <c r="AB26" s="462">
        <f t="shared" si="16"/>
        <v>0</v>
      </c>
      <c r="AC26" s="458">
        <f t="shared" si="15"/>
        <v>871793</v>
      </c>
      <c r="AD26" s="462">
        <f t="shared" si="25"/>
        <v>0</v>
      </c>
      <c r="AE26" s="485">
        <f t="shared" si="7"/>
        <v>0</v>
      </c>
      <c r="AF26" s="486">
        <f t="shared" si="8"/>
        <v>0</v>
      </c>
      <c r="AG26" s="478">
        <f t="shared" si="23"/>
        <v>0</v>
      </c>
      <c r="AI26" s="479">
        <f>R26-'EDl log'!B24</f>
        <v>-291983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si="26"/>
        <v>32126336</v>
      </c>
      <c r="E27" s="319">
        <f t="shared" si="9"/>
        <v>0</v>
      </c>
      <c r="F27" s="458">
        <f t="shared" si="27"/>
        <v>3832913</v>
      </c>
      <c r="G27" s="320">
        <f>F27-F26</f>
        <v>0</v>
      </c>
      <c r="H27" s="458">
        <f t="shared" si="27"/>
        <v>17626674</v>
      </c>
      <c r="I27" s="320">
        <f t="shared" si="10"/>
        <v>0</v>
      </c>
      <c r="J27" s="458">
        <f t="shared" si="27"/>
        <v>28680930</v>
      </c>
      <c r="K27" s="320">
        <f t="shared" si="11"/>
        <v>0</v>
      </c>
      <c r="L27" s="458">
        <f t="shared" si="27"/>
        <v>23526392</v>
      </c>
      <c r="M27" s="320">
        <f t="shared" si="12"/>
        <v>0</v>
      </c>
      <c r="N27" s="318">
        <f t="shared" si="13"/>
        <v>0</v>
      </c>
      <c r="O27" s="480">
        <f t="shared" si="22"/>
        <v>0</v>
      </c>
      <c r="P27" s="458">
        <f t="shared" si="18"/>
        <v>16240</v>
      </c>
      <c r="Q27" s="462">
        <f t="shared" si="24"/>
        <v>0</v>
      </c>
      <c r="R27" s="462">
        <f t="shared" si="19"/>
        <v>0</v>
      </c>
      <c r="S27" s="458">
        <f t="shared" si="15"/>
        <v>9384</v>
      </c>
      <c r="T27" s="482">
        <f t="shared" si="3"/>
        <v>0</v>
      </c>
      <c r="U27" s="458">
        <f t="shared" si="15"/>
        <v>258864</v>
      </c>
      <c r="V27" s="462">
        <f t="shared" si="14"/>
        <v>0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35482</v>
      </c>
      <c r="AB27" s="462">
        <f t="shared" si="16"/>
        <v>0</v>
      </c>
      <c r="AC27" s="458">
        <f t="shared" si="15"/>
        <v>871793</v>
      </c>
      <c r="AD27" s="462">
        <f t="shared" si="25"/>
        <v>0</v>
      </c>
      <c r="AE27" s="485">
        <f t="shared" si="7"/>
        <v>0</v>
      </c>
      <c r="AF27" s="486">
        <f t="shared" si="8"/>
        <v>0</v>
      </c>
      <c r="AG27" s="478">
        <f t="shared" si="23"/>
        <v>0</v>
      </c>
      <c r="AI27" s="479">
        <f>R27-'EDl log'!B25</f>
        <v>-291983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6"/>
        <v>32126336</v>
      </c>
      <c r="E28" s="319">
        <f t="shared" si="9"/>
        <v>0</v>
      </c>
      <c r="F28" s="458">
        <f t="shared" si="27"/>
        <v>3832913</v>
      </c>
      <c r="G28" s="320">
        <f t="shared" si="0"/>
        <v>0</v>
      </c>
      <c r="H28" s="458">
        <f t="shared" si="27"/>
        <v>17626674</v>
      </c>
      <c r="I28" s="320">
        <f t="shared" si="10"/>
        <v>0</v>
      </c>
      <c r="J28" s="458">
        <f t="shared" si="27"/>
        <v>28680930</v>
      </c>
      <c r="K28" s="320">
        <f t="shared" si="11"/>
        <v>0</v>
      </c>
      <c r="L28" s="458">
        <f t="shared" si="27"/>
        <v>23526392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16240</v>
      </c>
      <c r="Q28" s="462">
        <f t="shared" si="24"/>
        <v>0</v>
      </c>
      <c r="R28" s="462">
        <f>N28-Q28</f>
        <v>0</v>
      </c>
      <c r="S28" s="458">
        <f t="shared" si="15"/>
        <v>9384</v>
      </c>
      <c r="T28" s="482">
        <f t="shared" si="3"/>
        <v>0</v>
      </c>
      <c r="U28" s="458">
        <f t="shared" si="15"/>
        <v>258864</v>
      </c>
      <c r="V28" s="462">
        <f t="shared" si="14"/>
        <v>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f t="shared" si="15"/>
        <v>35482</v>
      </c>
      <c r="AB28" s="462">
        <f t="shared" si="16"/>
        <v>0</v>
      </c>
      <c r="AC28" s="458">
        <f t="shared" si="15"/>
        <v>871793</v>
      </c>
      <c r="AD28" s="462">
        <f t="shared" si="25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-291983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6"/>
        <v>32126336</v>
      </c>
      <c r="E29" s="319">
        <f t="shared" si="9"/>
        <v>0</v>
      </c>
      <c r="F29" s="458">
        <f t="shared" si="27"/>
        <v>3832913</v>
      </c>
      <c r="G29" s="320">
        <f t="shared" si="0"/>
        <v>0</v>
      </c>
      <c r="H29" s="458">
        <f t="shared" si="27"/>
        <v>17626674</v>
      </c>
      <c r="I29" s="320">
        <f t="shared" si="10"/>
        <v>0</v>
      </c>
      <c r="J29" s="458">
        <f t="shared" si="27"/>
        <v>28680930</v>
      </c>
      <c r="K29" s="320">
        <f t="shared" si="11"/>
        <v>0</v>
      </c>
      <c r="L29" s="458">
        <f t="shared" si="27"/>
        <v>23526392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16240</v>
      </c>
      <c r="Q29" s="462">
        <f t="shared" si="24"/>
        <v>0</v>
      </c>
      <c r="R29" s="462">
        <f t="shared" si="19"/>
        <v>0</v>
      </c>
      <c r="S29" s="458">
        <f t="shared" si="15"/>
        <v>9384</v>
      </c>
      <c r="T29" s="482">
        <f t="shared" si="3"/>
        <v>0</v>
      </c>
      <c r="U29" s="458">
        <f t="shared" si="15"/>
        <v>258864</v>
      </c>
      <c r="V29" s="462">
        <f t="shared" si="14"/>
        <v>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35482</v>
      </c>
      <c r="AB29" s="462">
        <f t="shared" si="16"/>
        <v>0</v>
      </c>
      <c r="AC29" s="458">
        <f t="shared" si="15"/>
        <v>871793</v>
      </c>
      <c r="AD29" s="462">
        <f t="shared" si="25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-291983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6"/>
        <v>32126336</v>
      </c>
      <c r="E30" s="319">
        <f t="shared" si="9"/>
        <v>0</v>
      </c>
      <c r="F30" s="458">
        <f t="shared" si="27"/>
        <v>3832913</v>
      </c>
      <c r="G30" s="320">
        <f t="shared" si="0"/>
        <v>0</v>
      </c>
      <c r="H30" s="458">
        <f t="shared" si="27"/>
        <v>17626674</v>
      </c>
      <c r="I30" s="320">
        <f t="shared" si="10"/>
        <v>0</v>
      </c>
      <c r="J30" s="458">
        <f t="shared" si="27"/>
        <v>28680930</v>
      </c>
      <c r="K30" s="320">
        <f t="shared" si="11"/>
        <v>0</v>
      </c>
      <c r="L30" s="458">
        <f t="shared" si="27"/>
        <v>23526392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16240</v>
      </c>
      <c r="Q30" s="462">
        <f t="shared" si="24"/>
        <v>0</v>
      </c>
      <c r="R30" s="462">
        <f t="shared" si="19"/>
        <v>0</v>
      </c>
      <c r="S30" s="458">
        <f t="shared" si="15"/>
        <v>9384</v>
      </c>
      <c r="T30" s="482">
        <f t="shared" si="3"/>
        <v>0</v>
      </c>
      <c r="U30" s="458">
        <f t="shared" si="15"/>
        <v>258864</v>
      </c>
      <c r="V30" s="462">
        <f t="shared" si="14"/>
        <v>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35482</v>
      </c>
      <c r="AB30" s="462">
        <f t="shared" si="16"/>
        <v>0</v>
      </c>
      <c r="AC30" s="458">
        <f t="shared" si="15"/>
        <v>871793</v>
      </c>
      <c r="AD30" s="462">
        <f t="shared" si="25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-291983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6"/>
        <v>32126336</v>
      </c>
      <c r="E31" s="319">
        <f t="shared" si="9"/>
        <v>0</v>
      </c>
      <c r="F31" s="458">
        <f t="shared" si="27"/>
        <v>3832913</v>
      </c>
      <c r="G31" s="320">
        <f t="shared" si="0"/>
        <v>0</v>
      </c>
      <c r="H31" s="458">
        <f t="shared" si="27"/>
        <v>17626674</v>
      </c>
      <c r="I31" s="320">
        <f t="shared" si="10"/>
        <v>0</v>
      </c>
      <c r="J31" s="458">
        <f t="shared" si="27"/>
        <v>28680930</v>
      </c>
      <c r="K31" s="320">
        <f t="shared" si="11"/>
        <v>0</v>
      </c>
      <c r="L31" s="458">
        <f t="shared" si="27"/>
        <v>23526392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16240</v>
      </c>
      <c r="Q31" s="462">
        <f t="shared" si="24"/>
        <v>0</v>
      </c>
      <c r="R31" s="462">
        <f t="shared" si="19"/>
        <v>0</v>
      </c>
      <c r="S31" s="458">
        <f t="shared" si="15"/>
        <v>9384</v>
      </c>
      <c r="T31" s="482">
        <f t="shared" si="3"/>
        <v>0</v>
      </c>
      <c r="U31" s="458">
        <f t="shared" si="15"/>
        <v>258864</v>
      </c>
      <c r="V31" s="462">
        <f t="shared" si="14"/>
        <v>0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f t="shared" si="15"/>
        <v>35482</v>
      </c>
      <c r="AB31" s="462">
        <f t="shared" si="16"/>
        <v>0</v>
      </c>
      <c r="AC31" s="458">
        <f t="shared" si="15"/>
        <v>871793</v>
      </c>
      <c r="AD31" s="462">
        <f t="shared" si="25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-291983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6"/>
        <v>32126336</v>
      </c>
      <c r="E32" s="319">
        <f t="shared" si="9"/>
        <v>0</v>
      </c>
      <c r="F32" s="458">
        <f t="shared" si="27"/>
        <v>3832913</v>
      </c>
      <c r="G32" s="320">
        <f>F32-F31</f>
        <v>0</v>
      </c>
      <c r="H32" s="458">
        <f t="shared" si="27"/>
        <v>17626674</v>
      </c>
      <c r="I32" s="320">
        <f>H32-H31</f>
        <v>0</v>
      </c>
      <c r="J32" s="458">
        <f t="shared" si="27"/>
        <v>28680930</v>
      </c>
      <c r="K32" s="320">
        <f>J32-J31</f>
        <v>0</v>
      </c>
      <c r="L32" s="458">
        <f t="shared" si="27"/>
        <v>23526392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16240</v>
      </c>
      <c r="Q32" s="462">
        <f>(P32-P31)*1000</f>
        <v>0</v>
      </c>
      <c r="R32" s="462">
        <f>N32-Q32</f>
        <v>0</v>
      </c>
      <c r="S32" s="458">
        <f t="shared" si="15"/>
        <v>9384</v>
      </c>
      <c r="T32" s="482">
        <f t="shared" si="3"/>
        <v>0</v>
      </c>
      <c r="U32" s="458">
        <f t="shared" si="15"/>
        <v>258864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35482</v>
      </c>
      <c r="AB32" s="462">
        <f t="shared" si="16"/>
        <v>0</v>
      </c>
      <c r="AC32" s="458">
        <f t="shared" si="15"/>
        <v>871793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-291983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32126336</v>
      </c>
      <c r="E33" s="319">
        <f t="shared" ref="E33" si="28">D33-D32</f>
        <v>0</v>
      </c>
      <c r="F33" s="458">
        <f t="shared" si="27"/>
        <v>3832913</v>
      </c>
      <c r="G33" s="320">
        <f>F33-F32</f>
        <v>0</v>
      </c>
      <c r="H33" s="458">
        <f t="shared" si="27"/>
        <v>17626674</v>
      </c>
      <c r="I33" s="320">
        <f>H33-H32</f>
        <v>0</v>
      </c>
      <c r="J33" s="458">
        <f t="shared" si="27"/>
        <v>28680930</v>
      </c>
      <c r="K33" s="320">
        <f>J33-J32</f>
        <v>0</v>
      </c>
      <c r="L33" s="458">
        <f t="shared" si="27"/>
        <v>23526392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16240</v>
      </c>
      <c r="Q33" s="462">
        <f>(P33-P32)*1000</f>
        <v>0</v>
      </c>
      <c r="R33" s="462">
        <f>N33-Q33</f>
        <v>0</v>
      </c>
      <c r="S33" s="458">
        <f t="shared" si="15"/>
        <v>9384</v>
      </c>
      <c r="T33" s="482">
        <f t="shared" ref="T33" si="30">S33-S32</f>
        <v>0</v>
      </c>
      <c r="U33" s="458">
        <f t="shared" si="15"/>
        <v>258864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35482</v>
      </c>
      <c r="AB33" s="462">
        <f t="shared" ref="AB33" si="33">AA33-AA32</f>
        <v>0</v>
      </c>
      <c r="AC33" s="458">
        <f t="shared" si="15"/>
        <v>871793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-291983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M21" sqref="M2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0" t="s">
        <v>2</v>
      </c>
      <c r="G1" s="611"/>
      <c r="H1" s="611"/>
      <c r="I1" s="612"/>
      <c r="J1" s="290">
        <f>J36</f>
        <v>1</v>
      </c>
      <c r="K1" s="613" t="s">
        <v>4</v>
      </c>
      <c r="L1" s="614"/>
      <c r="M1" s="614"/>
      <c r="N1" s="614"/>
      <c r="O1" s="615"/>
      <c r="P1" s="604" t="s">
        <v>6</v>
      </c>
      <c r="Q1" s="605"/>
      <c r="R1" s="605"/>
      <c r="S1" s="605"/>
      <c r="T1" s="606"/>
      <c r="U1" s="407"/>
      <c r="V1" s="27" t="s">
        <v>104</v>
      </c>
      <c r="W1" s="408"/>
      <c r="X1" s="604" t="s">
        <v>8</v>
      </c>
      <c r="Y1" s="605"/>
      <c r="Z1" s="605"/>
      <c r="AA1" s="605"/>
      <c r="AB1" s="605"/>
      <c r="AC1" s="607" t="s">
        <v>10</v>
      </c>
      <c r="AD1" s="608"/>
      <c r="AE1" s="608"/>
      <c r="AF1" s="60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2"/>
      <c r="R2" s="603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v>232</v>
      </c>
      <c r="B21" s="64">
        <v>232</v>
      </c>
      <c r="C21" s="64">
        <v>238.1</v>
      </c>
      <c r="D21" s="45">
        <f t="shared" ref="D21:D31" si="85">C20-C21</f>
        <v>2</v>
      </c>
      <c r="E21" s="45">
        <f t="shared" si="9"/>
        <v>16.760000000000002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v>230</v>
      </c>
      <c r="C22" s="64">
        <v>236</v>
      </c>
      <c r="D22" s="45">
        <f t="shared" si="85"/>
        <v>2.0999999999999943</v>
      </c>
      <c r="E22" s="45">
        <f t="shared" si="9"/>
        <v>17.597999999999953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v>2108</v>
      </c>
      <c r="L22" s="52">
        <f t="shared" si="2"/>
        <v>1</v>
      </c>
      <c r="M22" s="64">
        <v>154682</v>
      </c>
      <c r="N22" s="406">
        <f t="shared" si="3"/>
        <v>90</v>
      </c>
      <c r="O22" s="64">
        <f t="shared" si="11"/>
        <v>211.87499999999994</v>
      </c>
      <c r="P22" s="64">
        <v>1837</v>
      </c>
      <c r="Q22" s="64">
        <v>155926</v>
      </c>
      <c r="R22" s="405">
        <f t="shared" si="44"/>
        <v>121</v>
      </c>
      <c r="S22" s="52">
        <f t="shared" si="5"/>
        <v>2</v>
      </c>
      <c r="T22" s="67">
        <f t="shared" si="24"/>
        <v>0</v>
      </c>
      <c r="U22" s="412">
        <f t="shared" si="12"/>
        <v>3</v>
      </c>
      <c r="V22" s="62">
        <f t="shared" si="13"/>
        <v>211</v>
      </c>
      <c r="W22" s="410"/>
      <c r="X22" s="64">
        <v>2424</v>
      </c>
      <c r="Y22" s="52">
        <f t="shared" si="15"/>
        <v>5</v>
      </c>
      <c r="Z22" s="64">
        <v>136280</v>
      </c>
      <c r="AA22" s="65">
        <f t="shared" si="6"/>
        <v>244</v>
      </c>
      <c r="AB22" s="292">
        <f t="shared" si="73"/>
        <v>0</v>
      </c>
      <c r="AC22" s="64">
        <f t="shared" ref="AC22:AE22" si="91">AC21</f>
        <v>1933</v>
      </c>
      <c r="AD22" s="45">
        <f t="shared" si="7"/>
        <v>0</v>
      </c>
      <c r="AE22" s="64">
        <f t="shared" si="91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244</v>
      </c>
      <c r="AI22" s="326">
        <f t="shared" si="17"/>
        <v>455</v>
      </c>
      <c r="AJ22" s="326">
        <f>-tanks!AW23</f>
        <v>455</v>
      </c>
      <c r="AK22" s="326">
        <f t="shared" si="18"/>
        <v>0</v>
      </c>
      <c r="AL22" s="326">
        <f t="shared" si="88"/>
        <v>3</v>
      </c>
      <c r="AM22" s="326">
        <f t="shared" si="19"/>
        <v>5</v>
      </c>
      <c r="AN22" s="64">
        <f t="shared" ref="AN22:AP22" si="92">AN21</f>
        <v>67</v>
      </c>
      <c r="AO22" s="328">
        <f t="shared" si="20"/>
        <v>2010.0000000000002</v>
      </c>
      <c r="AP22" s="64">
        <f t="shared" si="92"/>
        <v>70</v>
      </c>
      <c r="AQ22" s="328">
        <f t="shared" si="21"/>
        <v>2100</v>
      </c>
      <c r="AR22" s="64">
        <f t="shared" ref="AR22" si="93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f t="shared" si="66"/>
        <v>230</v>
      </c>
      <c r="C23" s="64">
        <f t="shared" si="67"/>
        <v>236</v>
      </c>
      <c r="D23" s="45">
        <f t="shared" si="85"/>
        <v>0</v>
      </c>
      <c r="E23" s="45">
        <f t="shared" si="9"/>
        <v>0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2108</v>
      </c>
      <c r="L23" s="52">
        <f t="shared" si="2"/>
        <v>0</v>
      </c>
      <c r="M23" s="64">
        <f t="shared" si="32"/>
        <v>154682</v>
      </c>
      <c r="N23" s="406">
        <f t="shared" si="3"/>
        <v>0</v>
      </c>
      <c r="O23" s="64">
        <f t="shared" si="11"/>
        <v>211.87499999999994</v>
      </c>
      <c r="P23" s="64">
        <f t="shared" si="11"/>
        <v>1837</v>
      </c>
      <c r="Q23" s="64">
        <f t="shared" ref="Q23" si="94">Q22</f>
        <v>155926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4">
        <f t="shared" si="34"/>
        <v>2424</v>
      </c>
      <c r="Y23" s="52">
        <f t="shared" si="15"/>
        <v>0</v>
      </c>
      <c r="Z23" s="64">
        <f t="shared" si="34"/>
        <v>136280</v>
      </c>
      <c r="AA23" s="65">
        <f t="shared" si="6"/>
        <v>0</v>
      </c>
      <c r="AB23" s="292">
        <f t="shared" si="73"/>
        <v>0</v>
      </c>
      <c r="AC23" s="64">
        <f t="shared" ref="AC23:AE23" si="95">AC22</f>
        <v>1933</v>
      </c>
      <c r="AD23" s="45">
        <f t="shared" si="7"/>
        <v>0</v>
      </c>
      <c r="AE23" s="64">
        <f t="shared" si="95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0</v>
      </c>
      <c r="AI23" s="326">
        <f t="shared" si="17"/>
        <v>0</v>
      </c>
      <c r="AJ23" s="326">
        <f>-tanks!AW24</f>
        <v>0</v>
      </c>
      <c r="AK23" s="326">
        <f t="shared" si="18"/>
        <v>0</v>
      </c>
      <c r="AL23" s="326">
        <f t="shared" si="88"/>
        <v>0</v>
      </c>
      <c r="AM23" s="326">
        <f t="shared" si="19"/>
        <v>0</v>
      </c>
      <c r="AN23" s="64">
        <f t="shared" ref="AN23:AP23" si="96">AN22</f>
        <v>67</v>
      </c>
      <c r="AO23" s="328">
        <f t="shared" si="20"/>
        <v>2010.0000000000002</v>
      </c>
      <c r="AP23" s="64">
        <f t="shared" si="96"/>
        <v>70</v>
      </c>
      <c r="AQ23" s="328">
        <f t="shared" si="21"/>
        <v>2100</v>
      </c>
      <c r="AR23" s="64">
        <f t="shared" ref="AR23" si="97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f t="shared" si="66"/>
        <v>230</v>
      </c>
      <c r="C24" s="64">
        <f t="shared" si="67"/>
        <v>236</v>
      </c>
      <c r="D24" s="45">
        <f t="shared" si="85"/>
        <v>0</v>
      </c>
      <c r="E24" s="45">
        <f t="shared" si="9"/>
        <v>0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2108</v>
      </c>
      <c r="L24" s="52">
        <f t="shared" si="2"/>
        <v>0</v>
      </c>
      <c r="M24" s="64">
        <f t="shared" si="32"/>
        <v>154682</v>
      </c>
      <c r="N24" s="406">
        <f t="shared" si="3"/>
        <v>0</v>
      </c>
      <c r="O24" s="64">
        <f t="shared" si="11"/>
        <v>211.87499999999994</v>
      </c>
      <c r="P24" s="64">
        <f t="shared" si="11"/>
        <v>1837</v>
      </c>
      <c r="Q24" s="64">
        <f t="shared" ref="Q24" si="98">Q23</f>
        <v>155926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2424</v>
      </c>
      <c r="Y24" s="52">
        <f t="shared" si="15"/>
        <v>0</v>
      </c>
      <c r="Z24" s="64">
        <f t="shared" si="34"/>
        <v>136280</v>
      </c>
      <c r="AA24" s="65">
        <f t="shared" si="6"/>
        <v>0</v>
      </c>
      <c r="AB24" s="292">
        <f t="shared" ref="AB24:AB34" si="99">SUM(Y24*$AB$2)</f>
        <v>0</v>
      </c>
      <c r="AC24" s="64">
        <f t="shared" ref="AC24:AE24" si="100">AC23</f>
        <v>1933</v>
      </c>
      <c r="AD24" s="45">
        <f t="shared" si="7"/>
        <v>0</v>
      </c>
      <c r="AE24" s="64">
        <f t="shared" si="100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1">AN23</f>
        <v>67</v>
      </c>
      <c r="AO24" s="328">
        <f t="shared" si="20"/>
        <v>2010.0000000000002</v>
      </c>
      <c r="AP24" s="64">
        <f t="shared" si="101"/>
        <v>70</v>
      </c>
      <c r="AQ24" s="328">
        <f t="shared" si="21"/>
        <v>2100</v>
      </c>
      <c r="AR24" s="64">
        <f t="shared" ref="AR24" si="102">AR23</f>
        <v>70</v>
      </c>
      <c r="AS24" s="328">
        <f t="shared" si="28"/>
        <v>2100</v>
      </c>
      <c r="AT24" s="328">
        <f t="shared" ref="AT24:AT34" si="103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f t="shared" si="66"/>
        <v>230</v>
      </c>
      <c r="C25" s="64">
        <f t="shared" si="67"/>
        <v>236</v>
      </c>
      <c r="D25" s="45">
        <f t="shared" si="85"/>
        <v>0</v>
      </c>
      <c r="E25" s="45">
        <f t="shared" si="9"/>
        <v>0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2108</v>
      </c>
      <c r="L25" s="52">
        <f t="shared" si="2"/>
        <v>0</v>
      </c>
      <c r="M25" s="64">
        <f t="shared" si="32"/>
        <v>154682</v>
      </c>
      <c r="N25" s="406">
        <f t="shared" si="3"/>
        <v>0</v>
      </c>
      <c r="O25" s="64">
        <f t="shared" si="11"/>
        <v>211.87499999999994</v>
      </c>
      <c r="P25" s="64">
        <f t="shared" si="11"/>
        <v>1837</v>
      </c>
      <c r="Q25" s="64">
        <f t="shared" ref="Q25" si="104">Q24</f>
        <v>155926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2424</v>
      </c>
      <c r="Y25" s="52">
        <f t="shared" si="15"/>
        <v>0</v>
      </c>
      <c r="Z25" s="64">
        <f t="shared" si="34"/>
        <v>136280</v>
      </c>
      <c r="AA25" s="65">
        <f t="shared" si="6"/>
        <v>0</v>
      </c>
      <c r="AB25" s="292">
        <f t="shared" si="99"/>
        <v>0</v>
      </c>
      <c r="AC25" s="64">
        <f t="shared" ref="AC25:AE25" si="105">AC24</f>
        <v>1933</v>
      </c>
      <c r="AD25" s="45">
        <f t="shared" si="7"/>
        <v>0</v>
      </c>
      <c r="AE25" s="64">
        <f t="shared" si="105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f t="shared" ref="AN25:AP25" si="106">AN24</f>
        <v>67</v>
      </c>
      <c r="AO25" s="328">
        <f t="shared" si="20"/>
        <v>2010.0000000000002</v>
      </c>
      <c r="AP25" s="64">
        <f t="shared" si="106"/>
        <v>70</v>
      </c>
      <c r="AQ25" s="328">
        <f t="shared" ref="AQ25:AQ34" si="107">(AP25/100)*3000</f>
        <v>2100</v>
      </c>
      <c r="AR25" s="64">
        <f t="shared" ref="AR25" si="108">AR24</f>
        <v>70</v>
      </c>
      <c r="AS25" s="328">
        <f t="shared" si="28"/>
        <v>2100</v>
      </c>
      <c r="AT25" s="328">
        <f t="shared" si="103"/>
        <v>6210</v>
      </c>
      <c r="AU25" s="328">
        <f t="shared" si="30"/>
        <v>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f t="shared" si="66"/>
        <v>230</v>
      </c>
      <c r="C26" s="64">
        <f t="shared" si="67"/>
        <v>236</v>
      </c>
      <c r="D26" s="45">
        <f t="shared" si="85"/>
        <v>0</v>
      </c>
      <c r="E26" s="45">
        <f t="shared" si="9"/>
        <v>0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2108</v>
      </c>
      <c r="L26" s="52">
        <f t="shared" si="2"/>
        <v>0</v>
      </c>
      <c r="M26" s="64">
        <f t="shared" si="32"/>
        <v>154682</v>
      </c>
      <c r="N26" s="406">
        <f t="shared" si="3"/>
        <v>0</v>
      </c>
      <c r="O26" s="64">
        <f t="shared" si="11"/>
        <v>211.87499999999994</v>
      </c>
      <c r="P26" s="64">
        <f t="shared" si="11"/>
        <v>1837</v>
      </c>
      <c r="Q26" s="64">
        <f t="shared" ref="Q26" si="109">Q25</f>
        <v>155926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2424</v>
      </c>
      <c r="Y26" s="52">
        <f t="shared" si="15"/>
        <v>0</v>
      </c>
      <c r="Z26" s="64">
        <f t="shared" si="34"/>
        <v>136280</v>
      </c>
      <c r="AA26" s="65">
        <f t="shared" si="6"/>
        <v>0</v>
      </c>
      <c r="AB26" s="292">
        <f t="shared" si="99"/>
        <v>0</v>
      </c>
      <c r="AC26" s="64">
        <f t="shared" ref="AC26:AE26" si="110">AC25</f>
        <v>1933</v>
      </c>
      <c r="AD26" s="45">
        <f t="shared" si="7"/>
        <v>0</v>
      </c>
      <c r="AE26" s="64">
        <f t="shared" si="110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1">AN25</f>
        <v>67</v>
      </c>
      <c r="AO26" s="328">
        <f t="shared" si="20"/>
        <v>2010.0000000000002</v>
      </c>
      <c r="AP26" s="64">
        <f t="shared" si="111"/>
        <v>70</v>
      </c>
      <c r="AQ26" s="328">
        <f t="shared" si="107"/>
        <v>2100</v>
      </c>
      <c r="AR26" s="64">
        <f t="shared" ref="AR26" si="112">AR25</f>
        <v>70</v>
      </c>
      <c r="AS26" s="328">
        <f t="shared" si="28"/>
        <v>2100</v>
      </c>
      <c r="AT26" s="328">
        <f t="shared" si="103"/>
        <v>6210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4">
        <f t="shared" si="66"/>
        <v>230</v>
      </c>
      <c r="C27" s="64">
        <f t="shared" si="67"/>
        <v>236</v>
      </c>
      <c r="D27" s="45">
        <f t="shared" si="85"/>
        <v>0</v>
      </c>
      <c r="E27" s="45">
        <f t="shared" si="9"/>
        <v>0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2108</v>
      </c>
      <c r="L27" s="52">
        <f t="shared" si="2"/>
        <v>0</v>
      </c>
      <c r="M27" s="64">
        <f t="shared" si="32"/>
        <v>154682</v>
      </c>
      <c r="N27" s="406">
        <f t="shared" si="3"/>
        <v>0</v>
      </c>
      <c r="O27" s="64">
        <f t="shared" si="11"/>
        <v>211.87499999999994</v>
      </c>
      <c r="P27" s="64">
        <f t="shared" si="11"/>
        <v>1837</v>
      </c>
      <c r="Q27" s="64">
        <f t="shared" ref="Q27" si="113">Q26</f>
        <v>155926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4">
        <f t="shared" si="34"/>
        <v>2424</v>
      </c>
      <c r="Y27" s="52">
        <f t="shared" si="15"/>
        <v>0</v>
      </c>
      <c r="Z27" s="64">
        <f t="shared" si="34"/>
        <v>136280</v>
      </c>
      <c r="AA27" s="65">
        <f t="shared" si="6"/>
        <v>0</v>
      </c>
      <c r="AB27" s="292">
        <f t="shared" si="99"/>
        <v>0</v>
      </c>
      <c r="AC27" s="64">
        <f t="shared" ref="AC27:AE27" si="114">AC26</f>
        <v>1933</v>
      </c>
      <c r="AD27" s="45">
        <f t="shared" si="7"/>
        <v>0</v>
      </c>
      <c r="AE27" s="64">
        <f t="shared" si="114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0</v>
      </c>
      <c r="AI27" s="326">
        <f t="shared" si="17"/>
        <v>0</v>
      </c>
      <c r="AJ27" s="326">
        <f>-tanks!AW28</f>
        <v>0</v>
      </c>
      <c r="AK27" s="326">
        <f t="shared" si="18"/>
        <v>0</v>
      </c>
      <c r="AL27" s="326">
        <f t="shared" si="88"/>
        <v>0</v>
      </c>
      <c r="AM27" s="326">
        <f t="shared" si="19"/>
        <v>0</v>
      </c>
      <c r="AN27" s="64">
        <f t="shared" ref="AN27:AP27" si="115">AN26</f>
        <v>67</v>
      </c>
      <c r="AO27" s="328">
        <f>(AN27/100)*3000</f>
        <v>2010.0000000000002</v>
      </c>
      <c r="AP27" s="64">
        <f t="shared" si="115"/>
        <v>70</v>
      </c>
      <c r="AQ27" s="328">
        <f t="shared" si="107"/>
        <v>2100</v>
      </c>
      <c r="AR27" s="64">
        <f t="shared" ref="AR27" si="116">AR26</f>
        <v>70</v>
      </c>
      <c r="AS27" s="328">
        <f t="shared" si="28"/>
        <v>2100</v>
      </c>
      <c r="AT27" s="328">
        <f t="shared" si="103"/>
        <v>6210</v>
      </c>
      <c r="AU27" s="328">
        <f t="shared" si="30"/>
        <v>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4">
        <f t="shared" si="66"/>
        <v>230</v>
      </c>
      <c r="C28" s="64">
        <f t="shared" si="67"/>
        <v>236</v>
      </c>
      <c r="D28" s="45">
        <f t="shared" si="85"/>
        <v>0</v>
      </c>
      <c r="E28" s="45">
        <f t="shared" si="9"/>
        <v>0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2108</v>
      </c>
      <c r="L28" s="52">
        <f t="shared" si="2"/>
        <v>0</v>
      </c>
      <c r="M28" s="64">
        <f t="shared" si="32"/>
        <v>154682</v>
      </c>
      <c r="N28" s="406">
        <f t="shared" si="3"/>
        <v>0</v>
      </c>
      <c r="O28" s="64">
        <f t="shared" si="11"/>
        <v>211.87499999999994</v>
      </c>
      <c r="P28" s="64">
        <f t="shared" si="11"/>
        <v>1837</v>
      </c>
      <c r="Q28" s="64">
        <f t="shared" ref="Q28" si="117">Q27</f>
        <v>155926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4">
        <f t="shared" si="34"/>
        <v>2424</v>
      </c>
      <c r="Y28" s="52">
        <f t="shared" si="15"/>
        <v>0</v>
      </c>
      <c r="Z28" s="64">
        <f t="shared" si="34"/>
        <v>136280</v>
      </c>
      <c r="AA28" s="65">
        <f t="shared" si="6"/>
        <v>0</v>
      </c>
      <c r="AB28" s="292">
        <f t="shared" si="99"/>
        <v>0</v>
      </c>
      <c r="AC28" s="64">
        <f t="shared" ref="AC28:AE28" si="118">AC27</f>
        <v>1933</v>
      </c>
      <c r="AD28" s="45">
        <f t="shared" si="7"/>
        <v>0</v>
      </c>
      <c r="AE28" s="64">
        <f t="shared" si="118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19">AN27</f>
        <v>67</v>
      </c>
      <c r="AO28" s="328">
        <f t="shared" ref="AO28:AO34" si="120">(AN28/100)*3000</f>
        <v>2010.0000000000002</v>
      </c>
      <c r="AP28" s="64">
        <f t="shared" si="119"/>
        <v>70</v>
      </c>
      <c r="AQ28" s="328">
        <f t="shared" si="107"/>
        <v>2100</v>
      </c>
      <c r="AR28" s="64">
        <f t="shared" ref="AR28" si="121">AR27</f>
        <v>70</v>
      </c>
      <c r="AS28" s="328">
        <f t="shared" si="28"/>
        <v>2100</v>
      </c>
      <c r="AT28" s="328">
        <f t="shared" si="103"/>
        <v>6210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66"/>
        <v>230</v>
      </c>
      <c r="C29" s="64">
        <f t="shared" si="67"/>
        <v>236</v>
      </c>
      <c r="D29" s="45">
        <f t="shared" si="85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2108</v>
      </c>
      <c r="L29" s="52">
        <f t="shared" si="2"/>
        <v>0</v>
      </c>
      <c r="M29" s="64">
        <f t="shared" si="32"/>
        <v>154682</v>
      </c>
      <c r="N29" s="406">
        <f t="shared" si="3"/>
        <v>0</v>
      </c>
      <c r="O29" s="64">
        <f t="shared" si="11"/>
        <v>211.87499999999994</v>
      </c>
      <c r="P29" s="64">
        <f t="shared" si="11"/>
        <v>1837</v>
      </c>
      <c r="Q29" s="64">
        <f t="shared" ref="Q29" si="122">Q28</f>
        <v>155926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2424</v>
      </c>
      <c r="Y29" s="52">
        <f t="shared" si="15"/>
        <v>0</v>
      </c>
      <c r="Z29" s="64">
        <f t="shared" si="34"/>
        <v>136280</v>
      </c>
      <c r="AA29" s="65">
        <f t="shared" si="6"/>
        <v>0</v>
      </c>
      <c r="AB29" s="292">
        <f t="shared" si="99"/>
        <v>0</v>
      </c>
      <c r="AC29" s="64">
        <f t="shared" ref="AC29:AE29" si="123">AC28</f>
        <v>1933</v>
      </c>
      <c r="AD29" s="45">
        <f t="shared" si="7"/>
        <v>0</v>
      </c>
      <c r="AE29" s="64">
        <f t="shared" si="123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f t="shared" ref="AN29:AP29" si="124">AN28</f>
        <v>67</v>
      </c>
      <c r="AO29" s="328">
        <f t="shared" si="120"/>
        <v>2010.0000000000002</v>
      </c>
      <c r="AP29" s="64">
        <f t="shared" si="124"/>
        <v>70</v>
      </c>
      <c r="AQ29" s="328">
        <f t="shared" si="107"/>
        <v>2100</v>
      </c>
      <c r="AR29" s="64">
        <f t="shared" ref="AR29" si="125">AR28</f>
        <v>70</v>
      </c>
      <c r="AS29" s="328">
        <f t="shared" si="28"/>
        <v>2100</v>
      </c>
      <c r="AT29" s="328">
        <f>SUM(AO29+AQ29+AS29)</f>
        <v>6210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66"/>
        <v>230</v>
      </c>
      <c r="C30" s="64">
        <f t="shared" si="67"/>
        <v>236</v>
      </c>
      <c r="D30" s="45">
        <f t="shared" si="85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2108</v>
      </c>
      <c r="L30" s="52">
        <f t="shared" si="2"/>
        <v>0</v>
      </c>
      <c r="M30" s="64">
        <f t="shared" si="32"/>
        <v>154682</v>
      </c>
      <c r="N30" s="406">
        <f t="shared" si="3"/>
        <v>0</v>
      </c>
      <c r="O30" s="64">
        <f t="shared" si="11"/>
        <v>211.87499999999994</v>
      </c>
      <c r="P30" s="64">
        <f t="shared" si="11"/>
        <v>1837</v>
      </c>
      <c r="Q30" s="64">
        <f t="shared" ref="Q30" si="126">Q29</f>
        <v>155926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2424</v>
      </c>
      <c r="Y30" s="52">
        <f t="shared" si="15"/>
        <v>0</v>
      </c>
      <c r="Z30" s="64">
        <f t="shared" si="34"/>
        <v>136280</v>
      </c>
      <c r="AA30" s="65">
        <f t="shared" si="6"/>
        <v>0</v>
      </c>
      <c r="AB30" s="292">
        <f t="shared" si="99"/>
        <v>0</v>
      </c>
      <c r="AC30" s="64">
        <f t="shared" ref="AC30:AE30" si="127">AC29</f>
        <v>1933</v>
      </c>
      <c r="AD30" s="45">
        <f t="shared" si="7"/>
        <v>0</v>
      </c>
      <c r="AE30" s="64">
        <f t="shared" si="127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8">AN29</f>
        <v>67</v>
      </c>
      <c r="AO30" s="328">
        <f t="shared" si="120"/>
        <v>2010.0000000000002</v>
      </c>
      <c r="AP30" s="64">
        <f t="shared" si="128"/>
        <v>70</v>
      </c>
      <c r="AQ30" s="328">
        <f t="shared" si="107"/>
        <v>2100</v>
      </c>
      <c r="AR30" s="64">
        <f t="shared" ref="AR30" si="129">AR29</f>
        <v>70</v>
      </c>
      <c r="AS30" s="328">
        <f t="shared" si="28"/>
        <v>2100</v>
      </c>
      <c r="AT30" s="328">
        <f t="shared" si="103"/>
        <v>6210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66"/>
        <v>230</v>
      </c>
      <c r="C31" s="64">
        <f t="shared" si="67"/>
        <v>236</v>
      </c>
      <c r="D31" s="45">
        <f t="shared" si="85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2108</v>
      </c>
      <c r="L31" s="52">
        <f t="shared" si="2"/>
        <v>0</v>
      </c>
      <c r="M31" s="64">
        <f t="shared" si="32"/>
        <v>154682</v>
      </c>
      <c r="N31" s="406">
        <f t="shared" si="3"/>
        <v>0</v>
      </c>
      <c r="O31" s="64">
        <f t="shared" si="11"/>
        <v>211.87499999999994</v>
      </c>
      <c r="P31" s="64">
        <f t="shared" si="11"/>
        <v>1837</v>
      </c>
      <c r="Q31" s="64">
        <f t="shared" ref="Q31" si="130">Q30</f>
        <v>155926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2424</v>
      </c>
      <c r="Y31" s="52">
        <f t="shared" si="15"/>
        <v>0</v>
      </c>
      <c r="Z31" s="64">
        <f t="shared" si="34"/>
        <v>136280</v>
      </c>
      <c r="AA31" s="65">
        <f t="shared" si="6"/>
        <v>0</v>
      </c>
      <c r="AB31" s="292">
        <f t="shared" si="99"/>
        <v>0</v>
      </c>
      <c r="AC31" s="64">
        <f t="shared" ref="AC31:AE31" si="131">AC30</f>
        <v>1933</v>
      </c>
      <c r="AD31" s="275">
        <f t="shared" si="7"/>
        <v>0</v>
      </c>
      <c r="AE31" s="64">
        <f t="shared" si="131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2">AN30</f>
        <v>67</v>
      </c>
      <c r="AO31" s="328">
        <f t="shared" si="120"/>
        <v>2010.0000000000002</v>
      </c>
      <c r="AP31" s="64">
        <f t="shared" si="132"/>
        <v>70</v>
      </c>
      <c r="AQ31" s="328">
        <f t="shared" si="107"/>
        <v>2100</v>
      </c>
      <c r="AR31" s="64">
        <f t="shared" ref="AR31" si="133">AR30</f>
        <v>70</v>
      </c>
      <c r="AS31" s="328">
        <f t="shared" si="28"/>
        <v>2100</v>
      </c>
      <c r="AT31" s="328">
        <f t="shared" si="103"/>
        <v>6210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66"/>
        <v>230</v>
      </c>
      <c r="C32" s="64">
        <f t="shared" si="67"/>
        <v>236</v>
      </c>
      <c r="D32" s="45">
        <f t="shared" si="23"/>
        <v>0</v>
      </c>
      <c r="E32" s="45">
        <f t="shared" ref="E32:E34" si="134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2108</v>
      </c>
      <c r="L32" s="52">
        <f t="shared" si="2"/>
        <v>0</v>
      </c>
      <c r="M32" s="64">
        <f t="shared" si="32"/>
        <v>154682</v>
      </c>
      <c r="N32" s="406">
        <f t="shared" si="3"/>
        <v>0</v>
      </c>
      <c r="O32" s="64">
        <f t="shared" si="11"/>
        <v>211.87499999999994</v>
      </c>
      <c r="P32" s="64">
        <f t="shared" si="11"/>
        <v>1837</v>
      </c>
      <c r="Q32" s="64">
        <f t="shared" ref="Q32" si="135">Q31</f>
        <v>155926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2424</v>
      </c>
      <c r="Y32" s="52">
        <f t="shared" si="15"/>
        <v>0</v>
      </c>
      <c r="Z32" s="64">
        <f t="shared" si="34"/>
        <v>136280</v>
      </c>
      <c r="AA32" s="65">
        <f t="shared" si="6"/>
        <v>0</v>
      </c>
      <c r="AB32" s="292">
        <f t="shared" si="99"/>
        <v>0</v>
      </c>
      <c r="AC32" s="64">
        <f t="shared" ref="AC32:AE32" si="136">AC31</f>
        <v>1933</v>
      </c>
      <c r="AD32" s="275">
        <f t="shared" si="7"/>
        <v>0</v>
      </c>
      <c r="AE32" s="64">
        <f t="shared" si="136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f t="shared" ref="AN32:AP32" si="137">AN31</f>
        <v>67</v>
      </c>
      <c r="AO32" s="328">
        <f t="shared" si="120"/>
        <v>2010.0000000000002</v>
      </c>
      <c r="AP32" s="64">
        <f t="shared" si="137"/>
        <v>70</v>
      </c>
      <c r="AQ32" s="328">
        <f t="shared" si="107"/>
        <v>2100</v>
      </c>
      <c r="AR32" s="64">
        <f t="shared" ref="AR32" si="138">AR31</f>
        <v>70</v>
      </c>
      <c r="AS32" s="328">
        <f t="shared" si="28"/>
        <v>2100</v>
      </c>
      <c r="AT32" s="328">
        <f t="shared" si="103"/>
        <v>6210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66"/>
        <v>230</v>
      </c>
      <c r="C33" s="64">
        <f t="shared" si="67"/>
        <v>236</v>
      </c>
      <c r="D33" s="45">
        <f t="shared" si="23"/>
        <v>0</v>
      </c>
      <c r="E33" s="45">
        <f t="shared" si="134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2108</v>
      </c>
      <c r="L33" s="52">
        <f t="shared" si="2"/>
        <v>0</v>
      </c>
      <c r="M33" s="64">
        <f t="shared" si="32"/>
        <v>154682</v>
      </c>
      <c r="N33" s="406">
        <f t="shared" si="3"/>
        <v>0</v>
      </c>
      <c r="O33" s="64">
        <f t="shared" si="11"/>
        <v>211.87499999999994</v>
      </c>
      <c r="P33" s="64">
        <f t="shared" si="11"/>
        <v>1837</v>
      </c>
      <c r="Q33" s="64">
        <f t="shared" ref="Q33" si="139">Q32</f>
        <v>155926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2424</v>
      </c>
      <c r="Y33" s="52">
        <f t="shared" si="15"/>
        <v>0</v>
      </c>
      <c r="Z33" s="64">
        <f t="shared" si="34"/>
        <v>136280</v>
      </c>
      <c r="AA33" s="65">
        <f t="shared" si="6"/>
        <v>0</v>
      </c>
      <c r="AB33" s="292">
        <f t="shared" si="99"/>
        <v>0</v>
      </c>
      <c r="AC33" s="64">
        <f t="shared" ref="AC33:AE33" si="140">AC32</f>
        <v>1933</v>
      </c>
      <c r="AD33" s="45">
        <f t="shared" si="7"/>
        <v>0</v>
      </c>
      <c r="AE33" s="64">
        <f t="shared" si="140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41">AN32</f>
        <v>67</v>
      </c>
      <c r="AO33" s="328">
        <f t="shared" si="120"/>
        <v>2010.0000000000002</v>
      </c>
      <c r="AP33" s="64">
        <f t="shared" si="141"/>
        <v>70</v>
      </c>
      <c r="AQ33" s="328">
        <f t="shared" si="107"/>
        <v>2100</v>
      </c>
      <c r="AR33" s="64">
        <f t="shared" ref="AR33" si="142">AR32</f>
        <v>70</v>
      </c>
      <c r="AS33" s="328">
        <f t="shared" si="28"/>
        <v>2100</v>
      </c>
      <c r="AT33" s="328">
        <f t="shared" si="103"/>
        <v>6210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230</v>
      </c>
      <c r="C34" s="64">
        <f t="shared" si="67"/>
        <v>236</v>
      </c>
      <c r="D34" s="45">
        <f t="shared" si="23"/>
        <v>0</v>
      </c>
      <c r="E34" s="45">
        <f t="shared" si="134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2108</v>
      </c>
      <c r="L34" s="52">
        <f t="shared" si="2"/>
        <v>0</v>
      </c>
      <c r="M34" s="64">
        <f t="shared" si="32"/>
        <v>154682</v>
      </c>
      <c r="N34" s="406">
        <f t="shared" si="3"/>
        <v>0</v>
      </c>
      <c r="O34" s="64">
        <f t="shared" si="11"/>
        <v>211.87499999999994</v>
      </c>
      <c r="P34" s="64">
        <f t="shared" si="11"/>
        <v>1837</v>
      </c>
      <c r="Q34" s="64">
        <f t="shared" ref="Q34" si="143">Q33</f>
        <v>155926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2424</v>
      </c>
      <c r="Y34" s="52">
        <f t="shared" si="15"/>
        <v>0</v>
      </c>
      <c r="Z34" s="64">
        <f t="shared" si="34"/>
        <v>136280</v>
      </c>
      <c r="AA34" s="65">
        <f t="shared" si="6"/>
        <v>0</v>
      </c>
      <c r="AB34" s="292">
        <f t="shared" si="99"/>
        <v>0</v>
      </c>
      <c r="AC34" s="64">
        <f t="shared" ref="AC34:AE34" si="144">AC33</f>
        <v>1933</v>
      </c>
      <c r="AD34" s="45">
        <f t="shared" si="7"/>
        <v>0</v>
      </c>
      <c r="AE34" s="64">
        <f t="shared" si="144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5">AN33</f>
        <v>67</v>
      </c>
      <c r="AO34" s="328">
        <f t="shared" si="120"/>
        <v>2010.0000000000002</v>
      </c>
      <c r="AP34" s="64">
        <f t="shared" si="145"/>
        <v>70</v>
      </c>
      <c r="AQ34" s="328">
        <f t="shared" si="107"/>
        <v>2100</v>
      </c>
      <c r="AR34" s="64">
        <f t="shared" ref="AR34" si="146">AR33</f>
        <v>70</v>
      </c>
      <c r="AS34" s="328">
        <f t="shared" si="28"/>
        <v>2100</v>
      </c>
      <c r="AT34" s="328">
        <f t="shared" si="103"/>
        <v>6210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230</v>
      </c>
      <c r="C35" s="64">
        <f t="shared" si="67"/>
        <v>236</v>
      </c>
      <c r="D35" s="45">
        <f t="shared" ref="D35" si="147">C34-C35</f>
        <v>0</v>
      </c>
      <c r="E35" s="45">
        <f t="shared" ref="E35" si="148">D35*8.38</f>
        <v>0</v>
      </c>
      <c r="F35" s="64">
        <f t="shared" si="31"/>
        <v>1648</v>
      </c>
      <c r="G35" s="52">
        <f t="shared" ref="G35" si="149">F35-F34</f>
        <v>0</v>
      </c>
      <c r="H35" s="64">
        <f t="shared" si="31"/>
        <v>357868</v>
      </c>
      <c r="I35" s="406">
        <f t="shared" ref="I35" si="150">SUM(H35-H34)</f>
        <v>0</v>
      </c>
      <c r="J35" s="66">
        <f t="shared" ref="J35" si="151">IF(G35&gt;0,I35/G35,0)</f>
        <v>0</v>
      </c>
      <c r="K35" s="64">
        <f t="shared" si="32"/>
        <v>2108</v>
      </c>
      <c r="L35" s="52">
        <f t="shared" ref="L35" si="152">K35-K34</f>
        <v>0</v>
      </c>
      <c r="M35" s="64">
        <f t="shared" si="32"/>
        <v>154682</v>
      </c>
      <c r="N35" s="406">
        <f t="shared" ref="N35" si="153">M35-M34</f>
        <v>0</v>
      </c>
      <c r="O35" s="64">
        <f t="shared" si="11"/>
        <v>211.87499999999994</v>
      </c>
      <c r="P35" s="64">
        <f t="shared" si="11"/>
        <v>1837</v>
      </c>
      <c r="Q35" s="64">
        <f t="shared" ref="Q35" si="154">Q34</f>
        <v>155926</v>
      </c>
      <c r="R35" s="405">
        <f t="shared" ref="R35" si="155">Q35-Q34</f>
        <v>0</v>
      </c>
      <c r="S35" s="52">
        <f t="shared" ref="S35" si="156">SUM(P35-P34)</f>
        <v>0</v>
      </c>
      <c r="T35" s="67">
        <f t="shared" ref="T35" si="157">SUM(S35*$T$2)</f>
        <v>0</v>
      </c>
      <c r="U35" s="412">
        <f t="shared" ref="U35" si="158">SUM(G35+L35+S35)</f>
        <v>0</v>
      </c>
      <c r="V35" s="62">
        <f t="shared" ref="V35" si="159">R35+N35+I35:I35</f>
        <v>0</v>
      </c>
      <c r="W35" s="410"/>
      <c r="X35" s="64">
        <f t="shared" si="34"/>
        <v>2424</v>
      </c>
      <c r="Y35" s="52">
        <f t="shared" ref="Y35" si="160">X35-X34</f>
        <v>0</v>
      </c>
      <c r="Z35" s="64">
        <f t="shared" si="34"/>
        <v>136280</v>
      </c>
      <c r="AA35" s="65">
        <f t="shared" ref="AA35" si="161">Z35-Z34</f>
        <v>0</v>
      </c>
      <c r="AB35" s="292">
        <f t="shared" ref="AB35" si="162">SUM(Y35*$AB$2)</f>
        <v>0</v>
      </c>
      <c r="AC35" s="64">
        <f t="shared" ref="AC35:AE35" si="163">AC34</f>
        <v>1933</v>
      </c>
      <c r="AD35" s="45">
        <f t="shared" ref="AD35" si="164">AC35-AC34</f>
        <v>0</v>
      </c>
      <c r="AE35" s="64">
        <f t="shared" si="163"/>
        <v>365210.2</v>
      </c>
      <c r="AF35" s="314">
        <f t="shared" ref="AF35" si="165">AE35-AE34</f>
        <v>0</v>
      </c>
      <c r="AG35" s="212">
        <f t="shared" ref="AG35" si="166">IF(AD35&gt;0,AF35/AD35,0)</f>
        <v>0</v>
      </c>
      <c r="AH35" s="62">
        <f t="shared" ref="AH35" si="167">AF35+AA35</f>
        <v>0</v>
      </c>
      <c r="AI35" s="326">
        <f t="shared" ref="AI35" si="168">SUM(AH35+V35)</f>
        <v>0</v>
      </c>
      <c r="AJ35" s="326">
        <f>-tanks!AW37</f>
        <v>0</v>
      </c>
      <c r="AK35" s="326">
        <f t="shared" ref="AK35" si="169">SUM(AJ35-AI35)</f>
        <v>0</v>
      </c>
      <c r="AL35" s="326">
        <f t="shared" ref="AL35" si="170">S35+L35+G35</f>
        <v>0</v>
      </c>
      <c r="AM35" s="326">
        <f>Y35+AD35</f>
        <v>0</v>
      </c>
      <c r="AN35" s="64">
        <f t="shared" ref="AN35:AP35" si="171">AN34</f>
        <v>67</v>
      </c>
      <c r="AO35" s="328">
        <f t="shared" ref="AO35" si="172">(AN35/100)*3000</f>
        <v>2010.0000000000002</v>
      </c>
      <c r="AP35" s="64">
        <f t="shared" si="171"/>
        <v>70</v>
      </c>
      <c r="AQ35" s="328">
        <f t="shared" ref="AQ35" si="173">(AP35/100)*3000</f>
        <v>2100</v>
      </c>
      <c r="AR35" s="64">
        <f t="shared" ref="AR35" si="174">AR34</f>
        <v>70</v>
      </c>
      <c r="AS35" s="328">
        <f t="shared" ref="AS35" si="175">(AR35/100)*3000</f>
        <v>2100</v>
      </c>
      <c r="AT35" s="328">
        <f t="shared" ref="AT35" si="176">SUM(AO35+AQ35+AS35)</f>
        <v>6210</v>
      </c>
      <c r="AU35" s="328">
        <f t="shared" ref="AU35" si="177">AT34-AT35+AV35</f>
        <v>0</v>
      </c>
      <c r="AV35" s="275"/>
      <c r="AW35" s="275"/>
      <c r="AX35" s="321">
        <f t="shared" ref="AX35" si="178">IF(AV35&gt;0,AW35,AX34)</f>
        <v>0.8</v>
      </c>
    </row>
    <row r="36" spans="1:50">
      <c r="J36" s="291">
        <f>SUM(J5:J34)/(COUNT(J5:J34)-COUNTIF(J5:J34,0))</f>
        <v>1</v>
      </c>
      <c r="V36" s="62">
        <f>SUM(V5:V35)</f>
        <v>1076</v>
      </c>
      <c r="AE36" s="71" t="s">
        <v>385</v>
      </c>
      <c r="AG36" s="354"/>
      <c r="AH36" s="62">
        <f>SUM(AH5:AH35)</f>
        <v>927.20000000001164</v>
      </c>
      <c r="AL36" s="62">
        <f>SUM(AL5:AL35)</f>
        <v>15</v>
      </c>
      <c r="AM36" s="62">
        <f>SUM(AM5:AM35)</f>
        <v>18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870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2003.2000000000116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443.7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B1" zoomScaleNormal="100" workbookViewId="0">
      <pane ySplit="3" topLeftCell="A4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19" t="s">
        <v>95</v>
      </c>
      <c r="AS2" s="620"/>
      <c r="AT2" s="620"/>
      <c r="AU2" s="620"/>
      <c r="AV2" s="621"/>
      <c r="AW2" s="619" t="s">
        <v>96</v>
      </c>
      <c r="AX2" s="620"/>
      <c r="AY2" s="621"/>
      <c r="AZ2" s="619" t="s">
        <v>98</v>
      </c>
      <c r="BA2" s="620"/>
      <c r="BB2" s="62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6" t="s">
        <v>126</v>
      </c>
      <c r="AO3" s="617"/>
      <c r="AP3" s="61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28.5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v>183</v>
      </c>
      <c r="AU22" s="436">
        <f t="shared" si="34"/>
        <v>1.1000000000000001</v>
      </c>
      <c r="AV22" s="204">
        <v>180</v>
      </c>
      <c r="AW22" s="5">
        <v>2.9</v>
      </c>
      <c r="AX22" s="204">
        <v>194</v>
      </c>
      <c r="AY22" s="439">
        <f t="shared" si="7"/>
        <v>164.70000000000002</v>
      </c>
      <c r="AZ22" s="439">
        <f t="shared" si="25"/>
        <v>198.00000000000003</v>
      </c>
      <c r="BA22" s="439">
        <f t="shared" si="26"/>
        <v>562.6</v>
      </c>
      <c r="BB22" s="21">
        <f>AY22-AY21</f>
        <v>0</v>
      </c>
      <c r="BC22" s="21">
        <f t="shared" si="27"/>
        <v>-4.3999999999999773</v>
      </c>
      <c r="BD22" s="21">
        <f t="shared" si="27"/>
        <v>-5.7999999999999545</v>
      </c>
      <c r="BE22" s="24">
        <f t="shared" si="29"/>
        <v>-10.199999999999932</v>
      </c>
      <c r="BF22" s="96">
        <f t="shared" si="8"/>
        <v>10.199999999999932</v>
      </c>
      <c r="BG22" s="82">
        <f t="shared" si="9"/>
        <v>-10.199999999999932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v>147294</v>
      </c>
      <c r="Y23" s="332">
        <f t="shared" si="17"/>
        <v>41</v>
      </c>
      <c r="Z23" s="5">
        <v>96674</v>
      </c>
      <c r="AA23" s="83">
        <f t="shared" si="18"/>
        <v>27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v>193.63</v>
      </c>
      <c r="AF23" s="83">
        <f t="shared" si="19"/>
        <v>2.9699999999999989</v>
      </c>
      <c r="AG23" s="5">
        <v>2064.6799999999998</v>
      </c>
      <c r="AH23" s="83">
        <f t="shared" si="20"/>
        <v>26.459999999999809</v>
      </c>
      <c r="AI23" s="83">
        <f t="shared" si="21"/>
        <v>29.429999999999808</v>
      </c>
      <c r="AJ23" s="334">
        <f t="shared" si="22"/>
        <v>27</v>
      </c>
      <c r="AK23" s="335">
        <f t="shared" si="5"/>
        <v>41</v>
      </c>
      <c r="AL23" s="335">
        <f t="shared" si="23"/>
        <v>27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v>110</v>
      </c>
      <c r="AU23" s="436">
        <f t="shared" si="34"/>
        <v>1.1000000000000001</v>
      </c>
      <c r="AV23" s="204">
        <v>170</v>
      </c>
      <c r="AW23" s="5">
        <v>2.9</v>
      </c>
      <c r="AX23" s="204">
        <v>200</v>
      </c>
      <c r="AY23" s="439">
        <f t="shared" si="7"/>
        <v>99</v>
      </c>
      <c r="AZ23" s="439">
        <f t="shared" si="25"/>
        <v>187.00000000000003</v>
      </c>
      <c r="BA23" s="439">
        <f t="shared" si="26"/>
        <v>580</v>
      </c>
      <c r="BB23" s="21">
        <f t="shared" si="27"/>
        <v>-65.700000000000017</v>
      </c>
      <c r="BC23" s="21">
        <f t="shared" si="27"/>
        <v>-11</v>
      </c>
      <c r="BD23" s="21">
        <f t="shared" si="27"/>
        <v>17.399999999999977</v>
      </c>
      <c r="BE23" s="24">
        <f t="shared" si="29"/>
        <v>-59.30000000000004</v>
      </c>
      <c r="BF23" s="96">
        <f t="shared" si="8"/>
        <v>59.30000000000004</v>
      </c>
      <c r="BG23" s="82">
        <f t="shared" si="9"/>
        <v>-59.30000000000004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5">
        <f t="shared" si="15"/>
        <v>147294</v>
      </c>
      <c r="Y24" s="332">
        <f t="shared" si="17"/>
        <v>0</v>
      </c>
      <c r="Z24" s="5">
        <f t="shared" si="15"/>
        <v>96674</v>
      </c>
      <c r="AA24" s="83">
        <f t="shared" si="18"/>
        <v>0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f t="shared" si="15"/>
        <v>193.63</v>
      </c>
      <c r="AF24" s="83">
        <f t="shared" si="19"/>
        <v>0</v>
      </c>
      <c r="AG24" s="5">
        <f t="shared" si="15"/>
        <v>2064.6799999999998</v>
      </c>
      <c r="AH24" s="83">
        <f t="shared" si="20"/>
        <v>0</v>
      </c>
      <c r="AI24" s="83">
        <f t="shared" si="21"/>
        <v>0</v>
      </c>
      <c r="AJ24" s="334">
        <f t="shared" si="22"/>
        <v>0</v>
      </c>
      <c r="AK24" s="335">
        <f t="shared" si="5"/>
        <v>0</v>
      </c>
      <c r="AL24" s="335">
        <f t="shared" si="23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f t="shared" si="39"/>
        <v>110</v>
      </c>
      <c r="AU24" s="436">
        <f t="shared" si="34"/>
        <v>1.1000000000000001</v>
      </c>
      <c r="AV24" s="204">
        <f t="shared" si="34"/>
        <v>170</v>
      </c>
      <c r="AW24" s="5">
        <v>2.9</v>
      </c>
      <c r="AX24" s="204">
        <f t="shared" ref="AX24" si="40">AX23</f>
        <v>200</v>
      </c>
      <c r="AY24" s="439">
        <f t="shared" si="7"/>
        <v>99</v>
      </c>
      <c r="AZ24" s="439">
        <f t="shared" si="25"/>
        <v>187.00000000000003</v>
      </c>
      <c r="BA24" s="439">
        <f t="shared" si="26"/>
        <v>580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147294</v>
      </c>
      <c r="Y25" s="332">
        <f t="shared" si="17"/>
        <v>0</v>
      </c>
      <c r="Z25" s="5">
        <f t="shared" si="15"/>
        <v>96674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193.63</v>
      </c>
      <c r="AF25" s="83">
        <f t="shared" si="19"/>
        <v>0</v>
      </c>
      <c r="AG25" s="5">
        <f t="shared" si="15"/>
        <v>2064.6799999999998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f t="shared" si="39"/>
        <v>110</v>
      </c>
      <c r="AU25" s="436">
        <f t="shared" si="34"/>
        <v>1.1000000000000001</v>
      </c>
      <c r="AV25" s="204">
        <f t="shared" si="34"/>
        <v>170</v>
      </c>
      <c r="AW25" s="5">
        <v>2.9</v>
      </c>
      <c r="AX25" s="204">
        <f t="shared" ref="AX25" si="41">AX24</f>
        <v>200</v>
      </c>
      <c r="AY25" s="439">
        <f t="shared" si="7"/>
        <v>99</v>
      </c>
      <c r="AZ25" s="439">
        <f t="shared" si="25"/>
        <v>187.00000000000003</v>
      </c>
      <c r="BA25" s="439">
        <f t="shared" si="26"/>
        <v>580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147294</v>
      </c>
      <c r="Y26" s="332">
        <f t="shared" si="17"/>
        <v>0</v>
      </c>
      <c r="Z26" s="5">
        <f t="shared" si="15"/>
        <v>96674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193.63</v>
      </c>
      <c r="AF26" s="83">
        <f t="shared" si="19"/>
        <v>0</v>
      </c>
      <c r="AG26" s="5">
        <f t="shared" si="15"/>
        <v>2064.6799999999998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f t="shared" si="39"/>
        <v>110</v>
      </c>
      <c r="AU26" s="436">
        <f t="shared" si="34"/>
        <v>1.1000000000000001</v>
      </c>
      <c r="AV26" s="204">
        <f t="shared" si="34"/>
        <v>170</v>
      </c>
      <c r="AW26" s="5">
        <v>2.9</v>
      </c>
      <c r="AX26" s="204">
        <f t="shared" ref="AX26" si="42">AX25</f>
        <v>200</v>
      </c>
      <c r="AY26" s="439">
        <f t="shared" si="7"/>
        <v>99</v>
      </c>
      <c r="AZ26" s="439">
        <f t="shared" si="25"/>
        <v>187.00000000000003</v>
      </c>
      <c r="BA26" s="439">
        <f t="shared" si="26"/>
        <v>580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147294</v>
      </c>
      <c r="Y27" s="332">
        <f>SUM(X27-X26)</f>
        <v>0</v>
      </c>
      <c r="Z27" s="5">
        <f t="shared" si="15"/>
        <v>96674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193.63</v>
      </c>
      <c r="AF27" s="83">
        <f t="shared" si="19"/>
        <v>0</v>
      </c>
      <c r="AG27" s="5">
        <f t="shared" si="15"/>
        <v>2064.6799999999998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110</v>
      </c>
      <c r="AU27" s="436">
        <f t="shared" si="34"/>
        <v>1.1000000000000001</v>
      </c>
      <c r="AV27" s="204">
        <f t="shared" si="34"/>
        <v>170</v>
      </c>
      <c r="AW27" s="5">
        <v>2.9</v>
      </c>
      <c r="AX27" s="204">
        <f t="shared" ref="AX27" si="43">AX26</f>
        <v>200</v>
      </c>
      <c r="AY27" s="439">
        <f t="shared" si="7"/>
        <v>99</v>
      </c>
      <c r="AZ27" s="439">
        <f t="shared" si="25"/>
        <v>187.00000000000003</v>
      </c>
      <c r="BA27" s="439">
        <f t="shared" si="26"/>
        <v>580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147294</v>
      </c>
      <c r="Y28" s="332">
        <f t="shared" si="17"/>
        <v>0</v>
      </c>
      <c r="Z28" s="5">
        <f t="shared" si="15"/>
        <v>96674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f t="shared" si="15"/>
        <v>193.63</v>
      </c>
      <c r="AF28" s="83">
        <f t="shared" si="19"/>
        <v>0</v>
      </c>
      <c r="AG28" s="5">
        <f t="shared" si="15"/>
        <v>2064.6799999999998</v>
      </c>
      <c r="AH28" s="83">
        <f t="shared" si="20"/>
        <v>0</v>
      </c>
      <c r="AI28" s="83">
        <f t="shared" si="21"/>
        <v>0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110</v>
      </c>
      <c r="AU28" s="436">
        <f t="shared" si="34"/>
        <v>1.1000000000000001</v>
      </c>
      <c r="AV28" s="204">
        <f t="shared" si="34"/>
        <v>170</v>
      </c>
      <c r="AW28" s="5">
        <v>2.9</v>
      </c>
      <c r="AX28" s="204">
        <f t="shared" ref="AX28" si="44">AX27</f>
        <v>200</v>
      </c>
      <c r="AY28" s="439">
        <f t="shared" si="7"/>
        <v>99</v>
      </c>
      <c r="AZ28" s="439">
        <f t="shared" si="25"/>
        <v>187.00000000000003</v>
      </c>
      <c r="BA28" s="439">
        <f t="shared" si="26"/>
        <v>580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147294</v>
      </c>
      <c r="Y29" s="332">
        <f t="shared" si="17"/>
        <v>0</v>
      </c>
      <c r="Z29" s="5">
        <f t="shared" si="15"/>
        <v>96674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193.63</v>
      </c>
      <c r="AF29" s="83">
        <f t="shared" si="19"/>
        <v>0</v>
      </c>
      <c r="AG29" s="5">
        <f t="shared" si="15"/>
        <v>2064.6799999999998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f t="shared" si="39"/>
        <v>110</v>
      </c>
      <c r="AU29" s="436">
        <f t="shared" si="34"/>
        <v>1.1000000000000001</v>
      </c>
      <c r="AV29" s="204">
        <f t="shared" si="34"/>
        <v>170</v>
      </c>
      <c r="AW29" s="5">
        <v>2.9</v>
      </c>
      <c r="AX29" s="204">
        <f t="shared" ref="AX29" si="45">AX28</f>
        <v>200</v>
      </c>
      <c r="AY29" s="439">
        <f t="shared" si="7"/>
        <v>99</v>
      </c>
      <c r="AZ29" s="439">
        <f t="shared" si="25"/>
        <v>187.00000000000003</v>
      </c>
      <c r="BA29" s="439">
        <f t="shared" si="26"/>
        <v>580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147294</v>
      </c>
      <c r="Y30" s="332">
        <f t="shared" si="17"/>
        <v>0</v>
      </c>
      <c r="Z30" s="5">
        <f t="shared" si="15"/>
        <v>96674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193.63</v>
      </c>
      <c r="AF30" s="83">
        <f t="shared" si="19"/>
        <v>0</v>
      </c>
      <c r="AG30" s="5">
        <f t="shared" si="15"/>
        <v>2064.6799999999998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f t="shared" si="39"/>
        <v>110</v>
      </c>
      <c r="AU30" s="436">
        <f t="shared" si="34"/>
        <v>1.1000000000000001</v>
      </c>
      <c r="AV30" s="204">
        <f t="shared" si="34"/>
        <v>170</v>
      </c>
      <c r="AW30" s="5">
        <v>2.9</v>
      </c>
      <c r="AX30" s="204">
        <f t="shared" ref="AX30" si="46">AX29</f>
        <v>200</v>
      </c>
      <c r="AY30" s="439">
        <f t="shared" si="7"/>
        <v>99</v>
      </c>
      <c r="AZ30" s="439">
        <f t="shared" si="25"/>
        <v>187.00000000000003</v>
      </c>
      <c r="BA30" s="439">
        <f t="shared" si="26"/>
        <v>580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147294</v>
      </c>
      <c r="Y31" s="332">
        <f t="shared" si="17"/>
        <v>0</v>
      </c>
      <c r="Z31" s="5">
        <f t="shared" si="15"/>
        <v>96674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193.63</v>
      </c>
      <c r="AF31" s="83">
        <f t="shared" si="19"/>
        <v>0</v>
      </c>
      <c r="AG31" s="5">
        <f t="shared" si="15"/>
        <v>2064.6799999999998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f t="shared" si="39"/>
        <v>110</v>
      </c>
      <c r="AU31" s="436">
        <f t="shared" si="34"/>
        <v>1.1000000000000001</v>
      </c>
      <c r="AV31" s="204">
        <f t="shared" si="34"/>
        <v>170</v>
      </c>
      <c r="AW31" s="5">
        <v>2.9</v>
      </c>
      <c r="AX31" s="204">
        <f t="shared" ref="AX31" si="47">AX30</f>
        <v>200</v>
      </c>
      <c r="AY31" s="439">
        <f t="shared" si="7"/>
        <v>99</v>
      </c>
      <c r="AZ31" s="439">
        <f t="shared" si="25"/>
        <v>187.00000000000003</v>
      </c>
      <c r="BA31" s="439">
        <f t="shared" si="26"/>
        <v>580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147294</v>
      </c>
      <c r="Y32" s="332">
        <f t="shared" si="17"/>
        <v>0</v>
      </c>
      <c r="Z32" s="5">
        <f t="shared" si="15"/>
        <v>96674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193.63</v>
      </c>
      <c r="AF32" s="83">
        <f t="shared" si="19"/>
        <v>0</v>
      </c>
      <c r="AG32" s="5">
        <f t="shared" si="15"/>
        <v>2064.6799999999998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110</v>
      </c>
      <c r="AU32" s="436">
        <f t="shared" si="34"/>
        <v>1.1000000000000001</v>
      </c>
      <c r="AV32" s="204">
        <f t="shared" si="34"/>
        <v>170</v>
      </c>
      <c r="AW32" s="5">
        <v>2.9</v>
      </c>
      <c r="AX32" s="204">
        <f t="shared" ref="AX32" si="48">AX31</f>
        <v>200</v>
      </c>
      <c r="AY32" s="439">
        <f t="shared" si="7"/>
        <v>99</v>
      </c>
      <c r="AZ32" s="439">
        <f t="shared" si="25"/>
        <v>187.00000000000003</v>
      </c>
      <c r="BA32" s="439">
        <f t="shared" si="26"/>
        <v>580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147294</v>
      </c>
      <c r="Y33" s="332">
        <f t="shared" si="17"/>
        <v>0</v>
      </c>
      <c r="Z33" s="5">
        <f t="shared" si="15"/>
        <v>96674</v>
      </c>
      <c r="AA33" s="83">
        <f t="shared" si="18"/>
        <v>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193.63</v>
      </c>
      <c r="AF33" s="83">
        <f>AE33-AE32</f>
        <v>0</v>
      </c>
      <c r="AG33" s="5">
        <f t="shared" si="15"/>
        <v>2064.6799999999998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f t="shared" si="39"/>
        <v>110</v>
      </c>
      <c r="AU33" s="436">
        <f t="shared" si="34"/>
        <v>1.1000000000000001</v>
      </c>
      <c r="AV33" s="204">
        <f t="shared" si="34"/>
        <v>170</v>
      </c>
      <c r="AW33" s="5">
        <v>2.9</v>
      </c>
      <c r="AX33" s="204">
        <f t="shared" ref="AX33" si="49">AX32</f>
        <v>200</v>
      </c>
      <c r="AY33" s="439">
        <f t="shared" si="7"/>
        <v>99</v>
      </c>
      <c r="AZ33" s="439">
        <f t="shared" si="25"/>
        <v>187.00000000000003</v>
      </c>
      <c r="BA33" s="439">
        <f t="shared" si="26"/>
        <v>580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147294</v>
      </c>
      <c r="Y34" s="332">
        <f t="shared" si="17"/>
        <v>0</v>
      </c>
      <c r="Z34" s="5">
        <f t="shared" si="15"/>
        <v>96674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193.63</v>
      </c>
      <c r="AF34" s="83">
        <f t="shared" si="19"/>
        <v>0</v>
      </c>
      <c r="AG34" s="5">
        <f t="shared" si="15"/>
        <v>2064.6799999999998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110</v>
      </c>
      <c r="AU34" s="437">
        <f t="shared" si="34"/>
        <v>1.1000000000000001</v>
      </c>
      <c r="AV34" s="204">
        <f t="shared" si="34"/>
        <v>170</v>
      </c>
      <c r="AW34" s="5">
        <v>2.9</v>
      </c>
      <c r="AX34" s="204">
        <f t="shared" ref="AX34" si="50">AX33</f>
        <v>200</v>
      </c>
      <c r="AY34" s="439">
        <f t="shared" si="7"/>
        <v>99</v>
      </c>
      <c r="AZ34" s="439">
        <f t="shared" si="25"/>
        <v>187.00000000000003</v>
      </c>
      <c r="BA34" s="439">
        <f t="shared" si="26"/>
        <v>580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147294</v>
      </c>
      <c r="Y35" s="332">
        <f t="shared" si="17"/>
        <v>0</v>
      </c>
      <c r="Z35" s="5">
        <f t="shared" si="15"/>
        <v>96674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193.63</v>
      </c>
      <c r="AF35" s="83">
        <f t="shared" si="19"/>
        <v>0</v>
      </c>
      <c r="AG35" s="5">
        <f t="shared" si="15"/>
        <v>2064.6799999999998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110</v>
      </c>
      <c r="AU35" s="438">
        <f t="shared" si="34"/>
        <v>1.1000000000000001</v>
      </c>
      <c r="AV35" s="204">
        <f t="shared" si="34"/>
        <v>170</v>
      </c>
      <c r="AW35" s="5">
        <v>2.9</v>
      </c>
      <c r="AX35" s="204">
        <f t="shared" ref="AX35" si="51">AX34</f>
        <v>200</v>
      </c>
      <c r="AY35" s="439">
        <f t="shared" si="7"/>
        <v>99</v>
      </c>
      <c r="AZ35" s="439">
        <f t="shared" si="25"/>
        <v>187.00000000000003</v>
      </c>
      <c r="BA35" s="439">
        <f t="shared" si="26"/>
        <v>580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52">B36-B35</f>
        <v>0</v>
      </c>
      <c r="D36" s="430">
        <f t="shared" ref="D36" si="53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54">G36-G35</f>
        <v>0</v>
      </c>
      <c r="I36" s="5">
        <f t="shared" ref="I36" si="55">C36+H36</f>
        <v>0</v>
      </c>
      <c r="J36" s="342">
        <f t="shared" ref="J36" si="56">IF(I36&gt;0,E36/I36,0)</f>
        <v>0</v>
      </c>
      <c r="K36" s="5">
        <f>'Swimming Pool quality check '!H36</f>
        <v>6555</v>
      </c>
      <c r="L36" s="83">
        <f t="shared" ref="L36" si="57">K36-K35</f>
        <v>0</v>
      </c>
      <c r="M36" s="421">
        <f t="shared" si="13"/>
        <v>457.44</v>
      </c>
      <c r="N36" s="529">
        <f t="shared" ref="N36" si="58">SUM(M36-M35)</f>
        <v>0</v>
      </c>
      <c r="O36" s="421">
        <f t="shared" si="14"/>
        <v>529.52</v>
      </c>
      <c r="P36" s="529">
        <f t="shared" ref="P36" si="59">SUM(O36-O35)</f>
        <v>0</v>
      </c>
      <c r="Q36" s="529">
        <f t="shared" ref="Q36" si="60">SUM(P36+N36)</f>
        <v>0</v>
      </c>
      <c r="R36" s="529"/>
      <c r="S36" s="529"/>
      <c r="T36" s="5">
        <f t="shared" si="15"/>
        <v>5040</v>
      </c>
      <c r="U36" s="5">
        <f t="shared" ref="U36" si="61">SUM(T36-T35)</f>
        <v>0</v>
      </c>
      <c r="V36" s="5">
        <f t="shared" si="15"/>
        <v>425</v>
      </c>
      <c r="W36" s="332">
        <f t="shared" ref="W36" si="62">+V36-V35</f>
        <v>0</v>
      </c>
      <c r="X36" s="5">
        <f t="shared" si="15"/>
        <v>147294</v>
      </c>
      <c r="Y36" s="332">
        <f t="shared" ref="Y36" si="63">SUM(X36-X35)</f>
        <v>0</v>
      </c>
      <c r="Z36" s="5">
        <f t="shared" si="15"/>
        <v>96674</v>
      </c>
      <c r="AA36" s="83">
        <f t="shared" ref="AA36" si="64">Z36-Z35</f>
        <v>0</v>
      </c>
      <c r="AB36" s="5">
        <f t="shared" si="15"/>
        <v>264</v>
      </c>
      <c r="AC36" s="5">
        <f t="shared" si="15"/>
        <v>698</v>
      </c>
      <c r="AD36" s="83">
        <f t="shared" ref="AD36" si="65">AC36-AC35</f>
        <v>0</v>
      </c>
      <c r="AE36" s="5">
        <f t="shared" si="15"/>
        <v>193.63</v>
      </c>
      <c r="AF36" s="83">
        <f t="shared" ref="AF36" si="66">AE36-AE35</f>
        <v>0</v>
      </c>
      <c r="AG36" s="5">
        <f t="shared" si="15"/>
        <v>2064.6799999999998</v>
      </c>
      <c r="AH36" s="83">
        <f t="shared" ref="AH36" si="67">AG36-AG35</f>
        <v>0</v>
      </c>
      <c r="AI36" s="83">
        <f t="shared" ref="AI36" si="68">AF36+AH36</f>
        <v>0</v>
      </c>
      <c r="AJ36" s="334">
        <f t="shared" ref="AJ36" si="69">+Z36-Z35</f>
        <v>0</v>
      </c>
      <c r="AK36" s="335">
        <f t="shared" ref="AK36" si="70">SUM(Y36-L36)</f>
        <v>0</v>
      </c>
      <c r="AL36" s="335">
        <f t="shared" ref="AL36" si="71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72">A36</f>
        <v>44074</v>
      </c>
      <c r="AS36" s="435">
        <f t="shared" si="39"/>
        <v>0.9</v>
      </c>
      <c r="AT36" s="204">
        <f t="shared" si="39"/>
        <v>110</v>
      </c>
      <c r="AU36" s="438">
        <f t="shared" si="34"/>
        <v>1.1000000000000001</v>
      </c>
      <c r="AV36" s="204">
        <f t="shared" si="34"/>
        <v>170</v>
      </c>
      <c r="AW36" s="5">
        <v>2.9</v>
      </c>
      <c r="AX36" s="204">
        <f t="shared" ref="AX36" si="73">AX35</f>
        <v>200</v>
      </c>
      <c r="AY36" s="439">
        <f t="shared" ref="AY36" si="74">AS36*AT36</f>
        <v>99</v>
      </c>
      <c r="AZ36" s="439">
        <f t="shared" ref="AZ36" si="75">AU36*AV36</f>
        <v>187.00000000000003</v>
      </c>
      <c r="BA36" s="439">
        <f t="shared" ref="BA36" si="76">AW36*AX36</f>
        <v>580</v>
      </c>
      <c r="BB36" s="21">
        <f t="shared" ref="BB36" si="77">AY36-AY35</f>
        <v>0</v>
      </c>
      <c r="BC36" s="230">
        <f t="shared" ref="BC36" si="78">AZ36-AZ35</f>
        <v>0</v>
      </c>
      <c r="BD36" s="230">
        <f t="shared" ref="BD36" si="79">BA36-BA35</f>
        <v>0</v>
      </c>
      <c r="BE36" s="24">
        <f t="shared" ref="BE36" si="80">SUM(BB36:BD36)</f>
        <v>0</v>
      </c>
      <c r="BF36" s="96">
        <f t="shared" ref="BF36" si="81">SUM(I36-BE36)</f>
        <v>0</v>
      </c>
      <c r="BG36" s="82">
        <f t="shared" ref="BG36" si="82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389</v>
      </c>
      <c r="AK37" s="335" t="e">
        <f t="shared" si="5"/>
        <v>#REF!</v>
      </c>
      <c r="AL37" s="330">
        <f>SUM(AL6:AL35)</f>
        <v>386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2" sqref="F22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2" t="s">
        <v>193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4"/>
    </row>
    <row r="2" spans="1:15" ht="15.75" customHeight="1" thickBot="1">
      <c r="A2" s="625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601">
        <f>'[1]General information '!E36</f>
        <v>0.52</v>
      </c>
      <c r="F5" s="601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>
        <v>31</v>
      </c>
      <c r="C22" s="37">
        <v>26</v>
      </c>
      <c r="D22" s="26">
        <f t="shared" si="3"/>
        <v>28.5</v>
      </c>
      <c r="E22" s="348">
        <v>0.69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26.555555555555557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233</v>
      </c>
      <c r="AT3" s="628" t="s">
        <v>301</v>
      </c>
      <c r="AU3" s="62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7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7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7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232</v>
      </c>
      <c r="C22" s="206">
        <f t="shared" si="18"/>
        <v>4991.7419354838712</v>
      </c>
      <c r="D22">
        <f t="shared" si="19"/>
        <v>232</v>
      </c>
      <c r="E22" s="206">
        <f t="shared" si="18"/>
        <v>4991.7419354838712</v>
      </c>
      <c r="F22">
        <f t="shared" si="20"/>
        <v>232</v>
      </c>
      <c r="G22" s="206">
        <f t="shared" si="1"/>
        <v>4991.7419354838712</v>
      </c>
      <c r="H22" s="206">
        <f t="shared" si="21"/>
        <v>232</v>
      </c>
      <c r="I22" s="206">
        <f t="shared" si="2"/>
        <v>4991.7419354838712</v>
      </c>
      <c r="J22" s="206">
        <f t="shared" si="22"/>
        <v>232</v>
      </c>
      <c r="K22" s="206">
        <f t="shared" si="3"/>
        <v>4991.7419354838712</v>
      </c>
      <c r="L22" s="206">
        <f t="shared" si="23"/>
        <v>232</v>
      </c>
      <c r="M22" s="206">
        <f t="shared" si="4"/>
        <v>4991.7419354838712</v>
      </c>
      <c r="N22" s="206">
        <f t="shared" si="24"/>
        <v>232</v>
      </c>
      <c r="O22" s="206">
        <f t="shared" si="5"/>
        <v>4991.7419354838712</v>
      </c>
      <c r="P22" s="206">
        <f t="shared" si="25"/>
        <v>232</v>
      </c>
      <c r="Q22" s="206">
        <f t="shared" si="6"/>
        <v>4991.7419354838712</v>
      </c>
      <c r="R22" s="206">
        <f t="shared" si="26"/>
        <v>232</v>
      </c>
      <c r="S22" s="206">
        <f t="shared" si="7"/>
        <v>4991.7419354838712</v>
      </c>
      <c r="T22" s="206">
        <f t="shared" si="27"/>
        <v>232</v>
      </c>
      <c r="U22" s="206">
        <f t="shared" si="8"/>
        <v>4991.7419354838712</v>
      </c>
      <c r="V22" s="206">
        <f t="shared" si="28"/>
        <v>232</v>
      </c>
      <c r="W22" s="206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6">
        <f>'B5'!C21</f>
        <v>238.1</v>
      </c>
      <c r="AA22" s="206">
        <f t="shared" si="30"/>
        <v>2381</v>
      </c>
      <c r="AB22" s="206">
        <f t="shared" si="31"/>
        <v>238.1</v>
      </c>
      <c r="AC22" s="206">
        <f t="shared" si="30"/>
        <v>2381</v>
      </c>
      <c r="AD22" s="206">
        <f t="shared" si="32"/>
        <v>238.1</v>
      </c>
      <c r="AE22" s="206">
        <f t="shared" si="11"/>
        <v>2381</v>
      </c>
      <c r="AF22" s="206">
        <f t="shared" si="33"/>
        <v>238.1</v>
      </c>
      <c r="AG22" s="206">
        <f t="shared" si="12"/>
        <v>2381</v>
      </c>
      <c r="AH22" s="206">
        <f t="shared" si="34"/>
        <v>238.1</v>
      </c>
      <c r="AI22" s="206">
        <f t="shared" si="13"/>
        <v>2381</v>
      </c>
      <c r="AJ22" s="206">
        <f t="shared" si="35"/>
        <v>238.1</v>
      </c>
      <c r="AK22" s="206">
        <f t="shared" si="14"/>
        <v>2381</v>
      </c>
      <c r="AL22" s="206">
        <f t="shared" si="36"/>
        <v>238.1</v>
      </c>
      <c r="AM22" s="206">
        <f t="shared" si="15"/>
        <v>2381</v>
      </c>
      <c r="AN22" s="35">
        <f t="shared" si="16"/>
        <v>0.85035714285714281</v>
      </c>
      <c r="AO22" s="36">
        <f t="shared" si="17"/>
        <v>16667</v>
      </c>
      <c r="AQ22" s="226">
        <f t="shared" si="37"/>
        <v>0.76988449274306314</v>
      </c>
      <c r="AR22" s="38">
        <f t="shared" si="41"/>
        <v>71576.161290322576</v>
      </c>
      <c r="AS22" s="200">
        <f t="shared" si="38"/>
        <v>-708.02580645162379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-708.02580645162379</v>
      </c>
      <c r="AY22" s="37">
        <f t="shared" si="40"/>
        <v>-708.02580645162379</v>
      </c>
      <c r="AZ22" s="100">
        <f>ELEC!A19</f>
        <v>0</v>
      </c>
      <c r="BA22" s="118">
        <f>'General information '!D22</f>
        <v>28.5</v>
      </c>
      <c r="BB22" s="404">
        <f>SUM('General information '!E22)</f>
        <v>0.69</v>
      </c>
      <c r="BC22" s="3">
        <f t="shared" si="43"/>
        <v>0</v>
      </c>
      <c r="BD22" s="102">
        <v>19222</v>
      </c>
      <c r="BE22" s="14">
        <f>(305/1185)*ELEC!Q20</f>
        <v>257.38396624472574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230</v>
      </c>
      <c r="C23" s="206">
        <f t="shared" si="18"/>
        <v>4948.7096774193551</v>
      </c>
      <c r="D23">
        <f t="shared" si="19"/>
        <v>230</v>
      </c>
      <c r="E23" s="206">
        <f t="shared" si="18"/>
        <v>4948.7096774193551</v>
      </c>
      <c r="F23">
        <f t="shared" si="20"/>
        <v>230</v>
      </c>
      <c r="G23" s="206">
        <f t="shared" si="1"/>
        <v>4948.7096774193551</v>
      </c>
      <c r="H23" s="206">
        <f t="shared" si="21"/>
        <v>230</v>
      </c>
      <c r="I23" s="206">
        <f t="shared" si="2"/>
        <v>4948.7096774193551</v>
      </c>
      <c r="J23" s="206">
        <f t="shared" si="22"/>
        <v>230</v>
      </c>
      <c r="K23" s="206">
        <f t="shared" si="3"/>
        <v>4948.7096774193551</v>
      </c>
      <c r="L23" s="206">
        <f t="shared" si="23"/>
        <v>230</v>
      </c>
      <c r="M23" s="206">
        <f t="shared" si="4"/>
        <v>4948.7096774193551</v>
      </c>
      <c r="N23" s="206">
        <f t="shared" si="24"/>
        <v>230</v>
      </c>
      <c r="O23" s="206">
        <f t="shared" si="5"/>
        <v>4948.7096774193551</v>
      </c>
      <c r="P23" s="206">
        <f t="shared" si="25"/>
        <v>230</v>
      </c>
      <c r="Q23" s="206">
        <f t="shared" si="6"/>
        <v>4948.7096774193551</v>
      </c>
      <c r="R23" s="206">
        <f t="shared" si="26"/>
        <v>230</v>
      </c>
      <c r="S23" s="206">
        <f t="shared" si="7"/>
        <v>4948.7096774193551</v>
      </c>
      <c r="T23" s="206">
        <f t="shared" si="27"/>
        <v>230</v>
      </c>
      <c r="U23" s="206">
        <f t="shared" si="8"/>
        <v>4948.7096774193551</v>
      </c>
      <c r="V23" s="206">
        <f t="shared" si="28"/>
        <v>230</v>
      </c>
      <c r="W23" s="206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6">
        <f>'B5'!C22</f>
        <v>236</v>
      </c>
      <c r="AA23" s="206">
        <f t="shared" si="30"/>
        <v>2360</v>
      </c>
      <c r="AB23" s="206">
        <f t="shared" si="31"/>
        <v>236</v>
      </c>
      <c r="AC23" s="206">
        <f t="shared" si="30"/>
        <v>2360</v>
      </c>
      <c r="AD23" s="206">
        <f t="shared" si="32"/>
        <v>236</v>
      </c>
      <c r="AE23" s="206">
        <f t="shared" si="11"/>
        <v>2360</v>
      </c>
      <c r="AF23" s="206">
        <f t="shared" si="33"/>
        <v>236</v>
      </c>
      <c r="AG23" s="206">
        <f t="shared" si="12"/>
        <v>2360</v>
      </c>
      <c r="AH23" s="206">
        <f t="shared" si="34"/>
        <v>236</v>
      </c>
      <c r="AI23" s="206">
        <f t="shared" si="13"/>
        <v>2360</v>
      </c>
      <c r="AJ23" s="206">
        <f t="shared" si="35"/>
        <v>236</v>
      </c>
      <c r="AK23" s="206">
        <f t="shared" si="14"/>
        <v>2360</v>
      </c>
      <c r="AL23" s="206">
        <f t="shared" si="36"/>
        <v>236</v>
      </c>
      <c r="AM23" s="206">
        <f t="shared" si="15"/>
        <v>2360</v>
      </c>
      <c r="AN23" s="35">
        <f t="shared" si="16"/>
        <v>0.84285714285714286</v>
      </c>
      <c r="AO23" s="36">
        <f t="shared" si="17"/>
        <v>16520</v>
      </c>
      <c r="AQ23" s="226">
        <f t="shared" si="37"/>
        <v>0.76321185814362602</v>
      </c>
      <c r="AR23" s="38">
        <f t="shared" si="41"/>
        <v>70955.806451612909</v>
      </c>
      <c r="AS23" s="200">
        <f t="shared" si="38"/>
        <v>-620.35483870966709</v>
      </c>
      <c r="AT23" s="277"/>
      <c r="AU23" s="449"/>
      <c r="AV23" s="533">
        <f t="shared" si="42"/>
        <v>0.53500000000000003</v>
      </c>
      <c r="AW23" s="298">
        <f>-SUM('B5'!AI22)</f>
        <v>-455</v>
      </c>
      <c r="AX23" s="298">
        <f t="shared" si="39"/>
        <v>-165.35483870966709</v>
      </c>
      <c r="AY23" s="37">
        <f t="shared" si="40"/>
        <v>-620.35483870966709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230</v>
      </c>
      <c r="C24" s="206">
        <f t="shared" si="18"/>
        <v>4948.7096774193551</v>
      </c>
      <c r="D24">
        <f t="shared" si="19"/>
        <v>230</v>
      </c>
      <c r="E24" s="206">
        <f t="shared" si="18"/>
        <v>4948.7096774193551</v>
      </c>
      <c r="F24">
        <f t="shared" si="20"/>
        <v>230</v>
      </c>
      <c r="G24" s="206">
        <f t="shared" si="1"/>
        <v>4948.7096774193551</v>
      </c>
      <c r="H24" s="206">
        <f t="shared" si="21"/>
        <v>230</v>
      </c>
      <c r="I24" s="206">
        <f t="shared" si="2"/>
        <v>4948.7096774193551</v>
      </c>
      <c r="J24" s="206">
        <f t="shared" si="22"/>
        <v>230</v>
      </c>
      <c r="K24" s="206">
        <f t="shared" si="3"/>
        <v>4948.7096774193551</v>
      </c>
      <c r="L24" s="206">
        <f t="shared" si="23"/>
        <v>230</v>
      </c>
      <c r="M24" s="206">
        <f t="shared" si="4"/>
        <v>4948.7096774193551</v>
      </c>
      <c r="N24" s="206">
        <f t="shared" si="24"/>
        <v>230</v>
      </c>
      <c r="O24" s="206">
        <f t="shared" si="5"/>
        <v>4948.7096774193551</v>
      </c>
      <c r="P24" s="206">
        <f t="shared" si="25"/>
        <v>230</v>
      </c>
      <c r="Q24" s="206">
        <f t="shared" si="6"/>
        <v>4948.7096774193551</v>
      </c>
      <c r="R24" s="206">
        <f t="shared" si="26"/>
        <v>230</v>
      </c>
      <c r="S24" s="206">
        <f t="shared" si="7"/>
        <v>4948.7096774193551</v>
      </c>
      <c r="T24" s="206">
        <f t="shared" si="27"/>
        <v>230</v>
      </c>
      <c r="U24" s="206">
        <f t="shared" si="8"/>
        <v>4948.7096774193551</v>
      </c>
      <c r="V24" s="206">
        <f t="shared" si="28"/>
        <v>230</v>
      </c>
      <c r="W24" s="206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6">
        <f>'B5'!C23</f>
        <v>236</v>
      </c>
      <c r="AA24" s="206">
        <f t="shared" si="30"/>
        <v>2360</v>
      </c>
      <c r="AB24" s="206">
        <f t="shared" si="31"/>
        <v>236</v>
      </c>
      <c r="AC24" s="206">
        <f t="shared" si="30"/>
        <v>2360</v>
      </c>
      <c r="AD24" s="206">
        <f t="shared" si="32"/>
        <v>236</v>
      </c>
      <c r="AE24" s="206">
        <f t="shared" si="11"/>
        <v>2360</v>
      </c>
      <c r="AF24" s="206">
        <f t="shared" si="33"/>
        <v>236</v>
      </c>
      <c r="AG24" s="206">
        <f t="shared" si="12"/>
        <v>2360</v>
      </c>
      <c r="AH24" s="206">
        <f t="shared" si="34"/>
        <v>236</v>
      </c>
      <c r="AI24" s="206">
        <f t="shared" si="13"/>
        <v>2360</v>
      </c>
      <c r="AJ24" s="206">
        <f t="shared" si="35"/>
        <v>236</v>
      </c>
      <c r="AK24" s="206">
        <f t="shared" si="14"/>
        <v>2360</v>
      </c>
      <c r="AL24" s="206">
        <f t="shared" si="36"/>
        <v>236</v>
      </c>
      <c r="AM24" s="206">
        <f t="shared" si="15"/>
        <v>2360</v>
      </c>
      <c r="AN24" s="35">
        <f t="shared" si="16"/>
        <v>0.84285714285714286</v>
      </c>
      <c r="AO24" s="36">
        <f t="shared" si="17"/>
        <v>16520</v>
      </c>
      <c r="AQ24" s="226">
        <f t="shared" si="37"/>
        <v>0.76321185814362602</v>
      </c>
      <c r="AR24" s="38">
        <f t="shared" si="41"/>
        <v>70955.806451612909</v>
      </c>
      <c r="AS24" s="200">
        <f t="shared" si="38"/>
        <v>0</v>
      </c>
      <c r="AT24" s="277"/>
      <c r="AU24" s="449"/>
      <c r="AV24" s="533">
        <f t="shared" si="42"/>
        <v>0.53500000000000003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230</v>
      </c>
      <c r="C25" s="206">
        <f t="shared" si="18"/>
        <v>4948.7096774193551</v>
      </c>
      <c r="D25">
        <f t="shared" si="19"/>
        <v>230</v>
      </c>
      <c r="E25" s="206">
        <f t="shared" si="18"/>
        <v>4948.7096774193551</v>
      </c>
      <c r="F25">
        <f t="shared" si="20"/>
        <v>230</v>
      </c>
      <c r="G25" s="206">
        <f t="shared" si="1"/>
        <v>4948.7096774193551</v>
      </c>
      <c r="H25" s="206">
        <f t="shared" si="21"/>
        <v>230</v>
      </c>
      <c r="I25" s="206">
        <f t="shared" si="2"/>
        <v>4948.7096774193551</v>
      </c>
      <c r="J25" s="206">
        <f t="shared" si="22"/>
        <v>230</v>
      </c>
      <c r="K25" s="206">
        <f t="shared" si="3"/>
        <v>4948.7096774193551</v>
      </c>
      <c r="L25" s="206">
        <f t="shared" si="23"/>
        <v>230</v>
      </c>
      <c r="M25" s="206">
        <f t="shared" si="4"/>
        <v>4948.7096774193551</v>
      </c>
      <c r="N25" s="206">
        <f t="shared" si="24"/>
        <v>230</v>
      </c>
      <c r="O25" s="206">
        <f t="shared" si="5"/>
        <v>4948.7096774193551</v>
      </c>
      <c r="P25" s="206">
        <f t="shared" si="25"/>
        <v>230</v>
      </c>
      <c r="Q25" s="206">
        <f t="shared" si="6"/>
        <v>4948.7096774193551</v>
      </c>
      <c r="R25" s="206">
        <f t="shared" si="26"/>
        <v>230</v>
      </c>
      <c r="S25" s="206">
        <f t="shared" si="7"/>
        <v>4948.7096774193551</v>
      </c>
      <c r="T25" s="206">
        <f t="shared" si="27"/>
        <v>230</v>
      </c>
      <c r="U25" s="206">
        <f t="shared" si="8"/>
        <v>4948.7096774193551</v>
      </c>
      <c r="V25" s="206">
        <f t="shared" si="28"/>
        <v>230</v>
      </c>
      <c r="W25" s="206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6">
        <f>'B5'!C24</f>
        <v>236</v>
      </c>
      <c r="AA25" s="206">
        <f t="shared" si="30"/>
        <v>2360</v>
      </c>
      <c r="AB25" s="206">
        <f t="shared" si="31"/>
        <v>236</v>
      </c>
      <c r="AC25" s="206">
        <f t="shared" si="30"/>
        <v>2360</v>
      </c>
      <c r="AD25" s="206">
        <f t="shared" si="32"/>
        <v>236</v>
      </c>
      <c r="AE25" s="206">
        <f t="shared" si="11"/>
        <v>2360</v>
      </c>
      <c r="AF25" s="206">
        <f t="shared" si="33"/>
        <v>236</v>
      </c>
      <c r="AG25" s="206">
        <f t="shared" si="12"/>
        <v>2360</v>
      </c>
      <c r="AH25" s="206">
        <f t="shared" si="34"/>
        <v>236</v>
      </c>
      <c r="AI25" s="206">
        <f t="shared" si="13"/>
        <v>2360</v>
      </c>
      <c r="AJ25" s="206">
        <f t="shared" si="35"/>
        <v>236</v>
      </c>
      <c r="AK25" s="206">
        <f t="shared" si="14"/>
        <v>2360</v>
      </c>
      <c r="AL25" s="206">
        <f t="shared" si="36"/>
        <v>236</v>
      </c>
      <c r="AM25" s="206">
        <f t="shared" si="15"/>
        <v>2360</v>
      </c>
      <c r="AN25" s="35">
        <f t="shared" si="16"/>
        <v>0.84285714285714286</v>
      </c>
      <c r="AO25" s="36">
        <f t="shared" si="17"/>
        <v>16520</v>
      </c>
      <c r="AQ25" s="226">
        <f t="shared" si="37"/>
        <v>0.76321185814362602</v>
      </c>
      <c r="AR25" s="38">
        <f t="shared" si="41"/>
        <v>70955.806451612909</v>
      </c>
      <c r="AS25" s="200">
        <f t="shared" si="38"/>
        <v>0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230</v>
      </c>
      <c r="C26" s="206">
        <f t="shared" si="18"/>
        <v>4948.7096774193551</v>
      </c>
      <c r="D26">
        <f t="shared" si="19"/>
        <v>230</v>
      </c>
      <c r="E26" s="206">
        <f t="shared" si="18"/>
        <v>4948.7096774193551</v>
      </c>
      <c r="F26">
        <f t="shared" si="20"/>
        <v>230</v>
      </c>
      <c r="G26" s="206">
        <f t="shared" si="1"/>
        <v>4948.7096774193551</v>
      </c>
      <c r="H26" s="206">
        <f t="shared" si="21"/>
        <v>230</v>
      </c>
      <c r="I26" s="206">
        <f t="shared" si="2"/>
        <v>4948.7096774193551</v>
      </c>
      <c r="J26" s="206">
        <f t="shared" si="22"/>
        <v>230</v>
      </c>
      <c r="K26" s="206">
        <f t="shared" si="3"/>
        <v>4948.7096774193551</v>
      </c>
      <c r="L26" s="206">
        <f t="shared" si="23"/>
        <v>230</v>
      </c>
      <c r="M26" s="206">
        <f t="shared" si="4"/>
        <v>4948.7096774193551</v>
      </c>
      <c r="N26" s="206">
        <f t="shared" si="24"/>
        <v>230</v>
      </c>
      <c r="O26" s="206">
        <f t="shared" si="5"/>
        <v>4948.7096774193551</v>
      </c>
      <c r="P26" s="206">
        <f t="shared" si="25"/>
        <v>230</v>
      </c>
      <c r="Q26" s="206">
        <f t="shared" si="6"/>
        <v>4948.7096774193551</v>
      </c>
      <c r="R26" s="206">
        <f t="shared" si="26"/>
        <v>230</v>
      </c>
      <c r="S26" s="206">
        <f t="shared" si="7"/>
        <v>4948.7096774193551</v>
      </c>
      <c r="T26" s="206">
        <f t="shared" si="27"/>
        <v>230</v>
      </c>
      <c r="U26" s="206">
        <f t="shared" si="8"/>
        <v>4948.7096774193551</v>
      </c>
      <c r="V26" s="206">
        <f t="shared" si="28"/>
        <v>230</v>
      </c>
      <c r="W26" s="206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6">
        <f>'B5'!C25</f>
        <v>236</v>
      </c>
      <c r="AA26" s="206">
        <f t="shared" si="30"/>
        <v>2360</v>
      </c>
      <c r="AB26" s="206">
        <f t="shared" si="31"/>
        <v>236</v>
      </c>
      <c r="AC26" s="206">
        <f t="shared" si="30"/>
        <v>2360</v>
      </c>
      <c r="AD26" s="206">
        <f t="shared" si="32"/>
        <v>236</v>
      </c>
      <c r="AE26" s="206">
        <f t="shared" si="11"/>
        <v>2360</v>
      </c>
      <c r="AF26" s="206">
        <f t="shared" si="33"/>
        <v>236</v>
      </c>
      <c r="AG26" s="206">
        <f t="shared" si="12"/>
        <v>2360</v>
      </c>
      <c r="AH26" s="206">
        <f t="shared" si="34"/>
        <v>236</v>
      </c>
      <c r="AI26" s="206">
        <f t="shared" si="13"/>
        <v>2360</v>
      </c>
      <c r="AJ26" s="206">
        <f t="shared" si="35"/>
        <v>236</v>
      </c>
      <c r="AK26" s="206">
        <f t="shared" si="14"/>
        <v>2360</v>
      </c>
      <c r="AL26" s="206">
        <f t="shared" si="36"/>
        <v>236</v>
      </c>
      <c r="AM26" s="206">
        <f t="shared" si="15"/>
        <v>2360</v>
      </c>
      <c r="AN26" s="35">
        <f t="shared" si="16"/>
        <v>0.84285714285714286</v>
      </c>
      <c r="AO26" s="36">
        <f t="shared" si="17"/>
        <v>16520</v>
      </c>
      <c r="AQ26" s="226">
        <f t="shared" si="37"/>
        <v>0.76321185814362602</v>
      </c>
      <c r="AR26" s="38">
        <f t="shared" si="41"/>
        <v>70955.806451612909</v>
      </c>
      <c r="AS26" s="200">
        <f t="shared" si="38"/>
        <v>0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230</v>
      </c>
      <c r="C27" s="206">
        <f t="shared" si="18"/>
        <v>4948.7096774193551</v>
      </c>
      <c r="D27">
        <f t="shared" si="19"/>
        <v>230</v>
      </c>
      <c r="E27" s="206">
        <f t="shared" si="18"/>
        <v>4948.7096774193551</v>
      </c>
      <c r="F27">
        <f t="shared" si="20"/>
        <v>230</v>
      </c>
      <c r="G27" s="206">
        <f t="shared" si="1"/>
        <v>4948.7096774193551</v>
      </c>
      <c r="H27" s="206">
        <f t="shared" si="21"/>
        <v>230</v>
      </c>
      <c r="I27" s="206">
        <f t="shared" si="2"/>
        <v>4948.7096774193551</v>
      </c>
      <c r="J27" s="206">
        <f t="shared" si="22"/>
        <v>230</v>
      </c>
      <c r="K27" s="206">
        <f t="shared" si="3"/>
        <v>4948.7096774193551</v>
      </c>
      <c r="L27" s="206">
        <f t="shared" si="23"/>
        <v>230</v>
      </c>
      <c r="M27" s="206">
        <f t="shared" si="4"/>
        <v>4948.7096774193551</v>
      </c>
      <c r="N27" s="206">
        <f t="shared" si="24"/>
        <v>230</v>
      </c>
      <c r="O27" s="206">
        <f t="shared" si="5"/>
        <v>4948.7096774193551</v>
      </c>
      <c r="P27" s="206">
        <f t="shared" si="25"/>
        <v>230</v>
      </c>
      <c r="Q27" s="206">
        <f t="shared" si="6"/>
        <v>4948.7096774193551</v>
      </c>
      <c r="R27" s="206">
        <f t="shared" si="26"/>
        <v>230</v>
      </c>
      <c r="S27" s="206">
        <f t="shared" si="7"/>
        <v>4948.7096774193551</v>
      </c>
      <c r="T27" s="206">
        <f t="shared" si="27"/>
        <v>230</v>
      </c>
      <c r="U27" s="206">
        <f t="shared" si="8"/>
        <v>4948.7096774193551</v>
      </c>
      <c r="V27" s="206">
        <f t="shared" si="28"/>
        <v>230</v>
      </c>
      <c r="W27" s="206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6">
        <f>'B5'!C26</f>
        <v>236</v>
      </c>
      <c r="AA27" s="206">
        <f t="shared" si="30"/>
        <v>2360</v>
      </c>
      <c r="AB27" s="206">
        <f t="shared" si="31"/>
        <v>236</v>
      </c>
      <c r="AC27" s="206">
        <f t="shared" si="30"/>
        <v>2360</v>
      </c>
      <c r="AD27" s="206">
        <f t="shared" si="32"/>
        <v>236</v>
      </c>
      <c r="AE27" s="206">
        <f t="shared" si="11"/>
        <v>2360</v>
      </c>
      <c r="AF27" s="206">
        <f t="shared" si="33"/>
        <v>236</v>
      </c>
      <c r="AG27" s="206">
        <f t="shared" si="12"/>
        <v>2360</v>
      </c>
      <c r="AH27" s="206">
        <f t="shared" si="34"/>
        <v>236</v>
      </c>
      <c r="AI27" s="206">
        <f t="shared" si="13"/>
        <v>2360</v>
      </c>
      <c r="AJ27" s="206">
        <f t="shared" si="35"/>
        <v>236</v>
      </c>
      <c r="AK27" s="206">
        <f t="shared" si="14"/>
        <v>2360</v>
      </c>
      <c r="AL27" s="206">
        <f t="shared" si="36"/>
        <v>236</v>
      </c>
      <c r="AM27" s="206">
        <f t="shared" si="15"/>
        <v>2360</v>
      </c>
      <c r="AN27" s="35">
        <f t="shared" si="16"/>
        <v>0.84285714285714286</v>
      </c>
      <c r="AO27" s="36">
        <f t="shared" si="17"/>
        <v>16520</v>
      </c>
      <c r="AQ27" s="226">
        <f t="shared" si="37"/>
        <v>0.76321185814362602</v>
      </c>
      <c r="AR27" s="38">
        <f t="shared" si="41"/>
        <v>70955.806451612909</v>
      </c>
      <c r="AS27" s="200">
        <f t="shared" si="38"/>
        <v>0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230</v>
      </c>
      <c r="C28" s="206">
        <f t="shared" si="18"/>
        <v>4948.7096774193551</v>
      </c>
      <c r="D28">
        <f t="shared" si="19"/>
        <v>230</v>
      </c>
      <c r="E28" s="206">
        <f t="shared" si="18"/>
        <v>4948.7096774193551</v>
      </c>
      <c r="F28">
        <f t="shared" si="20"/>
        <v>230</v>
      </c>
      <c r="G28" s="206">
        <f t="shared" si="1"/>
        <v>4948.7096774193551</v>
      </c>
      <c r="H28" s="206">
        <f t="shared" si="21"/>
        <v>230</v>
      </c>
      <c r="I28" s="206">
        <f t="shared" si="2"/>
        <v>4948.7096774193551</v>
      </c>
      <c r="J28" s="206">
        <f t="shared" si="22"/>
        <v>230</v>
      </c>
      <c r="K28" s="206">
        <f t="shared" si="3"/>
        <v>4948.7096774193551</v>
      </c>
      <c r="L28" s="206">
        <f t="shared" si="23"/>
        <v>230</v>
      </c>
      <c r="M28" s="206">
        <f t="shared" si="4"/>
        <v>4948.7096774193551</v>
      </c>
      <c r="N28" s="206">
        <f t="shared" si="24"/>
        <v>230</v>
      </c>
      <c r="O28" s="206">
        <f t="shared" si="5"/>
        <v>4948.7096774193551</v>
      </c>
      <c r="P28" s="206">
        <f t="shared" si="25"/>
        <v>230</v>
      </c>
      <c r="Q28" s="206">
        <f t="shared" si="6"/>
        <v>4948.7096774193551</v>
      </c>
      <c r="R28" s="206">
        <f t="shared" si="26"/>
        <v>230</v>
      </c>
      <c r="S28" s="206">
        <f t="shared" si="7"/>
        <v>4948.7096774193551</v>
      </c>
      <c r="T28" s="206">
        <f t="shared" si="27"/>
        <v>230</v>
      </c>
      <c r="U28" s="206">
        <f t="shared" si="8"/>
        <v>4948.7096774193551</v>
      </c>
      <c r="V28" s="206">
        <f t="shared" si="28"/>
        <v>230</v>
      </c>
      <c r="W28" s="206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6">
        <f>'B5'!C27</f>
        <v>236</v>
      </c>
      <c r="AA28" s="206">
        <f t="shared" si="30"/>
        <v>2360</v>
      </c>
      <c r="AB28" s="206">
        <f t="shared" si="31"/>
        <v>236</v>
      </c>
      <c r="AC28" s="206">
        <f t="shared" si="30"/>
        <v>2360</v>
      </c>
      <c r="AD28" s="206">
        <f t="shared" si="32"/>
        <v>236</v>
      </c>
      <c r="AE28" s="206">
        <f t="shared" si="11"/>
        <v>2360</v>
      </c>
      <c r="AF28" s="206">
        <f t="shared" si="33"/>
        <v>236</v>
      </c>
      <c r="AG28" s="206">
        <f t="shared" si="12"/>
        <v>2360</v>
      </c>
      <c r="AH28" s="206">
        <f t="shared" si="34"/>
        <v>236</v>
      </c>
      <c r="AI28" s="206">
        <f t="shared" si="13"/>
        <v>2360</v>
      </c>
      <c r="AJ28" s="206">
        <f t="shared" si="35"/>
        <v>236</v>
      </c>
      <c r="AK28" s="206">
        <f t="shared" si="14"/>
        <v>2360</v>
      </c>
      <c r="AL28" s="206">
        <f t="shared" si="36"/>
        <v>236</v>
      </c>
      <c r="AM28" s="206">
        <f t="shared" si="15"/>
        <v>2360</v>
      </c>
      <c r="AN28" s="35">
        <f t="shared" si="16"/>
        <v>0.84285714285714286</v>
      </c>
      <c r="AO28" s="36">
        <f t="shared" si="17"/>
        <v>16520</v>
      </c>
      <c r="AQ28" s="226">
        <f t="shared" si="37"/>
        <v>0.76321185814362602</v>
      </c>
      <c r="AR28" s="38">
        <f t="shared" si="41"/>
        <v>70955.806451612909</v>
      </c>
      <c r="AS28" s="200">
        <f t="shared" si="38"/>
        <v>0</v>
      </c>
      <c r="AT28" s="365"/>
      <c r="AU28" s="449"/>
      <c r="AV28" s="533">
        <f t="shared" si="42"/>
        <v>0.53500000000000003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230</v>
      </c>
      <c r="C29" s="206">
        <f t="shared" si="18"/>
        <v>4948.7096774193551</v>
      </c>
      <c r="D29">
        <f t="shared" si="19"/>
        <v>230</v>
      </c>
      <c r="E29" s="206">
        <f t="shared" si="18"/>
        <v>4948.7096774193551</v>
      </c>
      <c r="F29">
        <f t="shared" si="20"/>
        <v>230</v>
      </c>
      <c r="G29" s="206">
        <f t="shared" si="1"/>
        <v>4948.7096774193551</v>
      </c>
      <c r="H29" s="206">
        <f t="shared" si="21"/>
        <v>230</v>
      </c>
      <c r="I29" s="206">
        <f t="shared" si="2"/>
        <v>4948.7096774193551</v>
      </c>
      <c r="J29" s="206">
        <f t="shared" si="22"/>
        <v>230</v>
      </c>
      <c r="K29" s="206">
        <f t="shared" si="3"/>
        <v>4948.7096774193551</v>
      </c>
      <c r="L29" s="206">
        <f t="shared" si="23"/>
        <v>230</v>
      </c>
      <c r="M29" s="206">
        <f t="shared" si="4"/>
        <v>4948.7096774193551</v>
      </c>
      <c r="N29" s="206">
        <f t="shared" si="24"/>
        <v>230</v>
      </c>
      <c r="O29" s="206">
        <f t="shared" si="5"/>
        <v>4948.7096774193551</v>
      </c>
      <c r="P29" s="206">
        <f t="shared" si="25"/>
        <v>230</v>
      </c>
      <c r="Q29" s="206">
        <f t="shared" si="6"/>
        <v>4948.7096774193551</v>
      </c>
      <c r="R29" s="206">
        <f t="shared" si="26"/>
        <v>230</v>
      </c>
      <c r="S29" s="206">
        <f t="shared" si="7"/>
        <v>4948.7096774193551</v>
      </c>
      <c r="T29" s="206">
        <f t="shared" si="27"/>
        <v>230</v>
      </c>
      <c r="U29" s="206">
        <f t="shared" si="8"/>
        <v>4948.7096774193551</v>
      </c>
      <c r="V29" s="206">
        <f t="shared" si="28"/>
        <v>230</v>
      </c>
      <c r="W29" s="206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6">
        <f>'B5'!C28</f>
        <v>236</v>
      </c>
      <c r="AA29" s="206">
        <f t="shared" si="30"/>
        <v>2360</v>
      </c>
      <c r="AB29" s="206">
        <f t="shared" si="31"/>
        <v>236</v>
      </c>
      <c r="AC29" s="206">
        <f t="shared" si="30"/>
        <v>2360</v>
      </c>
      <c r="AD29" s="206">
        <f t="shared" si="32"/>
        <v>236</v>
      </c>
      <c r="AE29" s="206">
        <f t="shared" si="11"/>
        <v>2360</v>
      </c>
      <c r="AF29" s="206">
        <f t="shared" si="33"/>
        <v>236</v>
      </c>
      <c r="AG29" s="206">
        <f t="shared" si="12"/>
        <v>2360</v>
      </c>
      <c r="AH29" s="206">
        <f t="shared" si="34"/>
        <v>236</v>
      </c>
      <c r="AI29" s="206">
        <f t="shared" si="13"/>
        <v>2360</v>
      </c>
      <c r="AJ29" s="206">
        <f t="shared" si="35"/>
        <v>236</v>
      </c>
      <c r="AK29" s="206">
        <f t="shared" si="14"/>
        <v>2360</v>
      </c>
      <c r="AL29" s="206">
        <f t="shared" si="36"/>
        <v>236</v>
      </c>
      <c r="AM29" s="206">
        <f t="shared" si="15"/>
        <v>2360</v>
      </c>
      <c r="AN29" s="35">
        <f t="shared" si="16"/>
        <v>0.84285714285714286</v>
      </c>
      <c r="AO29" s="36">
        <f t="shared" si="17"/>
        <v>16520</v>
      </c>
      <c r="AQ29" s="226">
        <f t="shared" si="37"/>
        <v>0.76321185814362602</v>
      </c>
      <c r="AR29" s="38">
        <f t="shared" si="41"/>
        <v>70955.806451612909</v>
      </c>
      <c r="AS29" s="200">
        <f t="shared" si="38"/>
        <v>0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230</v>
      </c>
      <c r="C30" s="206">
        <f t="shared" si="18"/>
        <v>4948.7096774193551</v>
      </c>
      <c r="D30">
        <f t="shared" ref="D30:D35" si="44">SUM(B30)</f>
        <v>230</v>
      </c>
      <c r="E30" s="206">
        <f t="shared" si="18"/>
        <v>4948.7096774193551</v>
      </c>
      <c r="F30">
        <f t="shared" ref="F30:F35" si="45">SUM(D30)</f>
        <v>230</v>
      </c>
      <c r="G30" s="206">
        <f t="shared" si="1"/>
        <v>4948.7096774193551</v>
      </c>
      <c r="H30" s="206">
        <f t="shared" ref="H30:H35" si="46">SUM(F30)</f>
        <v>230</v>
      </c>
      <c r="I30" s="206">
        <f t="shared" si="2"/>
        <v>4948.7096774193551</v>
      </c>
      <c r="J30" s="206">
        <f t="shared" ref="J30:J35" si="47">SUM(H30)</f>
        <v>230</v>
      </c>
      <c r="K30" s="206">
        <f t="shared" si="3"/>
        <v>4948.7096774193551</v>
      </c>
      <c r="L30" s="206">
        <f t="shared" ref="L30:L35" si="48">SUM(J30)</f>
        <v>230</v>
      </c>
      <c r="M30" s="206">
        <f t="shared" si="4"/>
        <v>4948.7096774193551</v>
      </c>
      <c r="N30" s="206">
        <f t="shared" ref="N30:N35" si="49">SUM(L30)</f>
        <v>230</v>
      </c>
      <c r="O30" s="206">
        <f t="shared" si="5"/>
        <v>4948.7096774193551</v>
      </c>
      <c r="P30" s="206">
        <f t="shared" ref="P30:P35" si="50">SUM(N30)</f>
        <v>230</v>
      </c>
      <c r="Q30" s="206">
        <f t="shared" si="6"/>
        <v>4948.7096774193551</v>
      </c>
      <c r="R30" s="206">
        <f t="shared" ref="R30:R35" si="51">SUM(P30)</f>
        <v>230</v>
      </c>
      <c r="S30" s="206">
        <f t="shared" si="7"/>
        <v>4948.7096774193551</v>
      </c>
      <c r="T30" s="206">
        <f t="shared" ref="T30:T35" si="52">SUM(R30)</f>
        <v>230</v>
      </c>
      <c r="U30" s="206">
        <f t="shared" si="8"/>
        <v>4948.7096774193551</v>
      </c>
      <c r="V30" s="206">
        <f t="shared" ref="V30:V35" si="53">SUM(T30)</f>
        <v>230</v>
      </c>
      <c r="W30" s="206">
        <f t="shared" si="9"/>
        <v>4948.7096774193551</v>
      </c>
      <c r="X30" s="35">
        <f t="shared" ref="X30:X35" si="54">SUM(Y30/73370)</f>
        <v>0.74193548387096786</v>
      </c>
      <c r="Y30" s="36">
        <f t="shared" ref="Y30:Y35" si="55">SUM(C30+E30+G30+I30+K30+M30+O30+Q30+S30+U30+W30)</f>
        <v>54435.806451612909</v>
      </c>
      <c r="Z30" s="206">
        <f>'B5'!C29</f>
        <v>236</v>
      </c>
      <c r="AA30" s="206">
        <f t="shared" si="30"/>
        <v>2360</v>
      </c>
      <c r="AB30" s="206">
        <f t="shared" ref="AB30:AB35" si="56">SUM(Z30)</f>
        <v>236</v>
      </c>
      <c r="AC30" s="206">
        <f t="shared" si="30"/>
        <v>2360</v>
      </c>
      <c r="AD30" s="206">
        <f t="shared" ref="AD30:AD35" si="57">SUM(AB30)</f>
        <v>236</v>
      </c>
      <c r="AE30" s="206">
        <f t="shared" si="11"/>
        <v>2360</v>
      </c>
      <c r="AF30" s="206">
        <f t="shared" ref="AF30:AF35" si="58">SUM(AD30)</f>
        <v>236</v>
      </c>
      <c r="AG30" s="206">
        <f t="shared" si="12"/>
        <v>2360</v>
      </c>
      <c r="AH30" s="206">
        <f t="shared" ref="AH30:AH35" si="59">SUM(AF30)</f>
        <v>236</v>
      </c>
      <c r="AI30" s="206">
        <f t="shared" si="13"/>
        <v>2360</v>
      </c>
      <c r="AJ30" s="206">
        <f t="shared" ref="AJ30:AJ35" si="60">SUM(AH30)</f>
        <v>236</v>
      </c>
      <c r="AK30" s="206">
        <f t="shared" si="14"/>
        <v>2360</v>
      </c>
      <c r="AL30" s="206">
        <f t="shared" ref="AL30:AL35" si="61">SUM(AJ30)</f>
        <v>236</v>
      </c>
      <c r="AM30" s="206">
        <f t="shared" si="15"/>
        <v>2360</v>
      </c>
      <c r="AN30" s="35">
        <f t="shared" ref="AN30:AN35" si="62">SUM(AO30/19600)</f>
        <v>0.84285714285714286</v>
      </c>
      <c r="AO30" s="36">
        <f t="shared" ref="AO30:AO35" si="63">SUM(AA30+AC30+AE30+AG30+AI30+AK30+AM30)</f>
        <v>16520</v>
      </c>
      <c r="AQ30" s="226">
        <f t="shared" si="37"/>
        <v>0.76321185814362602</v>
      </c>
      <c r="AR30" s="38">
        <f t="shared" si="41"/>
        <v>70955.806451612909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230</v>
      </c>
      <c r="C31" s="206">
        <f t="shared" si="18"/>
        <v>4948.7096774193551</v>
      </c>
      <c r="D31">
        <f t="shared" si="44"/>
        <v>230</v>
      </c>
      <c r="E31" s="206">
        <f t="shared" si="18"/>
        <v>4948.7096774193551</v>
      </c>
      <c r="F31">
        <f t="shared" si="45"/>
        <v>230</v>
      </c>
      <c r="G31" s="206">
        <f t="shared" si="1"/>
        <v>4948.7096774193551</v>
      </c>
      <c r="H31" s="206">
        <f t="shared" si="46"/>
        <v>230</v>
      </c>
      <c r="I31" s="206">
        <f t="shared" si="2"/>
        <v>4948.7096774193551</v>
      </c>
      <c r="J31" s="206">
        <f t="shared" si="47"/>
        <v>230</v>
      </c>
      <c r="K31" s="206">
        <f t="shared" si="3"/>
        <v>4948.7096774193551</v>
      </c>
      <c r="L31" s="206">
        <f t="shared" si="48"/>
        <v>230</v>
      </c>
      <c r="M31" s="206">
        <f t="shared" si="4"/>
        <v>4948.7096774193551</v>
      </c>
      <c r="N31" s="206">
        <f t="shared" si="49"/>
        <v>230</v>
      </c>
      <c r="O31" s="206">
        <f t="shared" si="5"/>
        <v>4948.7096774193551</v>
      </c>
      <c r="P31" s="206">
        <f t="shared" si="50"/>
        <v>230</v>
      </c>
      <c r="Q31" s="206">
        <f t="shared" si="6"/>
        <v>4948.7096774193551</v>
      </c>
      <c r="R31" s="206">
        <f t="shared" si="51"/>
        <v>230</v>
      </c>
      <c r="S31" s="206">
        <f t="shared" si="7"/>
        <v>4948.7096774193551</v>
      </c>
      <c r="T31" s="206">
        <f t="shared" si="52"/>
        <v>230</v>
      </c>
      <c r="U31" s="206">
        <f t="shared" si="8"/>
        <v>4948.7096774193551</v>
      </c>
      <c r="V31" s="206">
        <f t="shared" si="53"/>
        <v>230</v>
      </c>
      <c r="W31" s="206">
        <f t="shared" si="9"/>
        <v>4948.7096774193551</v>
      </c>
      <c r="X31" s="35">
        <f t="shared" si="54"/>
        <v>0.74193548387096786</v>
      </c>
      <c r="Y31" s="36">
        <f t="shared" si="55"/>
        <v>54435.806451612909</v>
      </c>
      <c r="Z31" s="206">
        <f>'B5'!C30</f>
        <v>236</v>
      </c>
      <c r="AA31" s="206">
        <f t="shared" si="30"/>
        <v>2360</v>
      </c>
      <c r="AB31" s="206">
        <f t="shared" si="56"/>
        <v>236</v>
      </c>
      <c r="AC31" s="206">
        <f t="shared" si="30"/>
        <v>2360</v>
      </c>
      <c r="AD31" s="206">
        <f t="shared" si="57"/>
        <v>236</v>
      </c>
      <c r="AE31" s="206">
        <f t="shared" si="11"/>
        <v>2360</v>
      </c>
      <c r="AF31" s="206">
        <f t="shared" si="58"/>
        <v>236</v>
      </c>
      <c r="AG31" s="206">
        <f t="shared" si="12"/>
        <v>2360</v>
      </c>
      <c r="AH31" s="206">
        <f t="shared" si="59"/>
        <v>236</v>
      </c>
      <c r="AI31" s="206">
        <f t="shared" si="13"/>
        <v>2360</v>
      </c>
      <c r="AJ31" s="206">
        <f t="shared" si="60"/>
        <v>236</v>
      </c>
      <c r="AK31" s="206">
        <f t="shared" si="14"/>
        <v>2360</v>
      </c>
      <c r="AL31" s="206">
        <f t="shared" si="61"/>
        <v>236</v>
      </c>
      <c r="AM31" s="206">
        <f t="shared" si="15"/>
        <v>2360</v>
      </c>
      <c r="AN31" s="35">
        <f t="shared" si="62"/>
        <v>0.84285714285714286</v>
      </c>
      <c r="AO31" s="36">
        <f t="shared" si="63"/>
        <v>16520</v>
      </c>
      <c r="AQ31" s="226">
        <f t="shared" si="37"/>
        <v>0.76321185814362602</v>
      </c>
      <c r="AR31" s="38">
        <f t="shared" si="41"/>
        <v>70955.806451612909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230</v>
      </c>
      <c r="C32" s="206">
        <f t="shared" si="18"/>
        <v>4948.7096774193551</v>
      </c>
      <c r="D32">
        <f t="shared" si="44"/>
        <v>230</v>
      </c>
      <c r="E32" s="206">
        <f t="shared" si="18"/>
        <v>4948.7096774193551</v>
      </c>
      <c r="F32">
        <f t="shared" si="45"/>
        <v>230</v>
      </c>
      <c r="G32" s="206">
        <f t="shared" si="1"/>
        <v>4948.7096774193551</v>
      </c>
      <c r="H32" s="206">
        <f t="shared" si="46"/>
        <v>230</v>
      </c>
      <c r="I32" s="206">
        <f t="shared" si="2"/>
        <v>4948.7096774193551</v>
      </c>
      <c r="J32" s="206">
        <f t="shared" si="47"/>
        <v>230</v>
      </c>
      <c r="K32" s="206">
        <f t="shared" si="3"/>
        <v>4948.7096774193551</v>
      </c>
      <c r="L32" s="206">
        <f t="shared" si="48"/>
        <v>230</v>
      </c>
      <c r="M32" s="206">
        <f t="shared" si="4"/>
        <v>4948.7096774193551</v>
      </c>
      <c r="N32" s="206">
        <f t="shared" si="49"/>
        <v>230</v>
      </c>
      <c r="O32" s="206">
        <f t="shared" si="5"/>
        <v>4948.7096774193551</v>
      </c>
      <c r="P32" s="206">
        <f t="shared" si="50"/>
        <v>230</v>
      </c>
      <c r="Q32" s="206">
        <f t="shared" si="6"/>
        <v>4948.7096774193551</v>
      </c>
      <c r="R32" s="206">
        <f t="shared" si="51"/>
        <v>230</v>
      </c>
      <c r="S32" s="206">
        <f t="shared" si="7"/>
        <v>4948.7096774193551</v>
      </c>
      <c r="T32" s="206">
        <f t="shared" si="52"/>
        <v>230</v>
      </c>
      <c r="U32" s="206">
        <f t="shared" si="8"/>
        <v>4948.7096774193551</v>
      </c>
      <c r="V32" s="206">
        <f t="shared" si="53"/>
        <v>230</v>
      </c>
      <c r="W32" s="206">
        <f t="shared" si="9"/>
        <v>4948.7096774193551</v>
      </c>
      <c r="X32" s="35">
        <f t="shared" si="54"/>
        <v>0.74193548387096786</v>
      </c>
      <c r="Y32" s="36">
        <f t="shared" si="55"/>
        <v>54435.806451612909</v>
      </c>
      <c r="Z32" s="206">
        <f>'B5'!C31</f>
        <v>236</v>
      </c>
      <c r="AA32" s="206">
        <f t="shared" si="30"/>
        <v>2360</v>
      </c>
      <c r="AB32" s="206">
        <f t="shared" si="56"/>
        <v>236</v>
      </c>
      <c r="AC32" s="206">
        <f t="shared" si="30"/>
        <v>2360</v>
      </c>
      <c r="AD32" s="206">
        <f t="shared" si="57"/>
        <v>236</v>
      </c>
      <c r="AE32" s="206">
        <f t="shared" si="11"/>
        <v>2360</v>
      </c>
      <c r="AF32" s="206">
        <f t="shared" si="58"/>
        <v>236</v>
      </c>
      <c r="AG32" s="206">
        <f t="shared" si="12"/>
        <v>2360</v>
      </c>
      <c r="AH32" s="206">
        <f t="shared" si="59"/>
        <v>236</v>
      </c>
      <c r="AI32" s="206">
        <f t="shared" si="13"/>
        <v>2360</v>
      </c>
      <c r="AJ32" s="206">
        <f t="shared" si="60"/>
        <v>236</v>
      </c>
      <c r="AK32" s="206">
        <f t="shared" si="14"/>
        <v>2360</v>
      </c>
      <c r="AL32" s="206">
        <f t="shared" si="61"/>
        <v>236</v>
      </c>
      <c r="AM32" s="206">
        <f t="shared" si="15"/>
        <v>2360</v>
      </c>
      <c r="AN32" s="35">
        <f t="shared" si="62"/>
        <v>0.84285714285714286</v>
      </c>
      <c r="AO32" s="36">
        <f t="shared" si="63"/>
        <v>16520</v>
      </c>
      <c r="AQ32" s="226">
        <f t="shared" si="37"/>
        <v>0.76321185814362602</v>
      </c>
      <c r="AR32" s="38">
        <f t="shared" si="41"/>
        <v>70955.806451612909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230</v>
      </c>
      <c r="C33" s="206">
        <f t="shared" si="18"/>
        <v>4948.7096774193551</v>
      </c>
      <c r="D33">
        <f t="shared" si="44"/>
        <v>230</v>
      </c>
      <c r="E33" s="206">
        <f t="shared" si="18"/>
        <v>4948.7096774193551</v>
      </c>
      <c r="F33">
        <f t="shared" si="45"/>
        <v>230</v>
      </c>
      <c r="G33" s="206">
        <f t="shared" si="1"/>
        <v>4948.7096774193551</v>
      </c>
      <c r="H33" s="206">
        <f t="shared" si="46"/>
        <v>230</v>
      </c>
      <c r="I33" s="206">
        <f t="shared" si="2"/>
        <v>4948.7096774193551</v>
      </c>
      <c r="J33" s="206">
        <f t="shared" si="47"/>
        <v>230</v>
      </c>
      <c r="K33" s="206">
        <f t="shared" si="3"/>
        <v>4948.7096774193551</v>
      </c>
      <c r="L33" s="206">
        <f t="shared" si="48"/>
        <v>230</v>
      </c>
      <c r="M33" s="206">
        <f t="shared" si="4"/>
        <v>4948.7096774193551</v>
      </c>
      <c r="N33" s="206">
        <f t="shared" si="49"/>
        <v>230</v>
      </c>
      <c r="O33" s="206">
        <f t="shared" si="5"/>
        <v>4948.7096774193551</v>
      </c>
      <c r="P33" s="206">
        <f t="shared" si="50"/>
        <v>230</v>
      </c>
      <c r="Q33" s="206">
        <f t="shared" si="6"/>
        <v>4948.7096774193551</v>
      </c>
      <c r="R33" s="206">
        <f t="shared" si="51"/>
        <v>230</v>
      </c>
      <c r="S33" s="206">
        <f t="shared" si="7"/>
        <v>4948.7096774193551</v>
      </c>
      <c r="T33" s="206">
        <f t="shared" si="52"/>
        <v>230</v>
      </c>
      <c r="U33" s="206">
        <f t="shared" si="8"/>
        <v>4948.7096774193551</v>
      </c>
      <c r="V33" s="206">
        <f t="shared" si="53"/>
        <v>230</v>
      </c>
      <c r="W33" s="206">
        <f t="shared" si="9"/>
        <v>4948.7096774193551</v>
      </c>
      <c r="X33" s="35">
        <f t="shared" si="54"/>
        <v>0.74193548387096786</v>
      </c>
      <c r="Y33" s="36">
        <f t="shared" si="55"/>
        <v>54435.806451612909</v>
      </c>
      <c r="Z33" s="206">
        <f>'B5'!C32</f>
        <v>236</v>
      </c>
      <c r="AA33" s="206">
        <f t="shared" si="30"/>
        <v>2360</v>
      </c>
      <c r="AB33" s="206">
        <f t="shared" si="56"/>
        <v>236</v>
      </c>
      <c r="AC33" s="206">
        <f t="shared" si="30"/>
        <v>2360</v>
      </c>
      <c r="AD33" s="206">
        <f t="shared" si="57"/>
        <v>236</v>
      </c>
      <c r="AE33" s="206">
        <f t="shared" si="11"/>
        <v>2360</v>
      </c>
      <c r="AF33" s="206">
        <f t="shared" si="58"/>
        <v>236</v>
      </c>
      <c r="AG33" s="206">
        <f t="shared" si="12"/>
        <v>2360</v>
      </c>
      <c r="AH33" s="206">
        <f t="shared" si="59"/>
        <v>236</v>
      </c>
      <c r="AI33" s="206">
        <f t="shared" si="13"/>
        <v>2360</v>
      </c>
      <c r="AJ33" s="206">
        <f t="shared" si="60"/>
        <v>236</v>
      </c>
      <c r="AK33" s="206">
        <f t="shared" si="14"/>
        <v>2360</v>
      </c>
      <c r="AL33" s="206">
        <f t="shared" si="61"/>
        <v>236</v>
      </c>
      <c r="AM33" s="206">
        <f t="shared" si="15"/>
        <v>2360</v>
      </c>
      <c r="AN33" s="35">
        <f t="shared" si="62"/>
        <v>0.84285714285714286</v>
      </c>
      <c r="AO33" s="36">
        <f t="shared" si="63"/>
        <v>16520</v>
      </c>
      <c r="AQ33" s="226">
        <f t="shared" si="37"/>
        <v>0.76321185814362602</v>
      </c>
      <c r="AR33" s="38">
        <f t="shared" si="41"/>
        <v>70955.806451612909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230</v>
      </c>
      <c r="C34" s="206">
        <f t="shared" si="18"/>
        <v>4948.7096774193551</v>
      </c>
      <c r="D34">
        <f t="shared" si="44"/>
        <v>230</v>
      </c>
      <c r="E34" s="206">
        <f t="shared" si="18"/>
        <v>4948.7096774193551</v>
      </c>
      <c r="F34">
        <f t="shared" si="45"/>
        <v>230</v>
      </c>
      <c r="G34" s="206">
        <f t="shared" si="1"/>
        <v>4948.7096774193551</v>
      </c>
      <c r="H34" s="206">
        <f t="shared" si="46"/>
        <v>230</v>
      </c>
      <c r="I34" s="206">
        <f t="shared" si="2"/>
        <v>4948.7096774193551</v>
      </c>
      <c r="J34" s="206">
        <f t="shared" si="47"/>
        <v>230</v>
      </c>
      <c r="K34" s="206">
        <f t="shared" si="3"/>
        <v>4948.7096774193551</v>
      </c>
      <c r="L34" s="206">
        <f t="shared" si="48"/>
        <v>230</v>
      </c>
      <c r="M34" s="206">
        <f t="shared" si="4"/>
        <v>4948.7096774193551</v>
      </c>
      <c r="N34" s="206">
        <f t="shared" si="49"/>
        <v>230</v>
      </c>
      <c r="O34" s="206">
        <f t="shared" si="5"/>
        <v>4948.7096774193551</v>
      </c>
      <c r="P34" s="206">
        <f t="shared" si="50"/>
        <v>230</v>
      </c>
      <c r="Q34" s="206">
        <f t="shared" si="6"/>
        <v>4948.7096774193551</v>
      </c>
      <c r="R34" s="206">
        <f t="shared" si="51"/>
        <v>230</v>
      </c>
      <c r="S34" s="206">
        <f t="shared" si="7"/>
        <v>4948.7096774193551</v>
      </c>
      <c r="T34" s="206">
        <f t="shared" si="52"/>
        <v>230</v>
      </c>
      <c r="U34" s="206">
        <f t="shared" si="8"/>
        <v>4948.7096774193551</v>
      </c>
      <c r="V34" s="206">
        <f t="shared" si="53"/>
        <v>230</v>
      </c>
      <c r="W34" s="206">
        <f t="shared" si="9"/>
        <v>4948.7096774193551</v>
      </c>
      <c r="X34" s="35">
        <f t="shared" si="54"/>
        <v>0.74193548387096786</v>
      </c>
      <c r="Y34" s="36">
        <f t="shared" si="55"/>
        <v>54435.806451612909</v>
      </c>
      <c r="Z34" s="206">
        <f>'B5'!C33</f>
        <v>236</v>
      </c>
      <c r="AA34" s="206">
        <f t="shared" si="30"/>
        <v>2360</v>
      </c>
      <c r="AB34" s="206">
        <f t="shared" si="56"/>
        <v>236</v>
      </c>
      <c r="AC34" s="206">
        <f t="shared" si="30"/>
        <v>2360</v>
      </c>
      <c r="AD34" s="206">
        <f t="shared" si="57"/>
        <v>236</v>
      </c>
      <c r="AE34" s="206">
        <f t="shared" si="11"/>
        <v>2360</v>
      </c>
      <c r="AF34" s="206">
        <f t="shared" si="58"/>
        <v>236</v>
      </c>
      <c r="AG34" s="206">
        <f t="shared" si="12"/>
        <v>2360</v>
      </c>
      <c r="AH34" s="206">
        <f t="shared" si="59"/>
        <v>236</v>
      </c>
      <c r="AI34" s="206">
        <f t="shared" si="13"/>
        <v>2360</v>
      </c>
      <c r="AJ34" s="206">
        <f t="shared" si="60"/>
        <v>236</v>
      </c>
      <c r="AK34" s="206">
        <f t="shared" si="14"/>
        <v>2360</v>
      </c>
      <c r="AL34" s="206">
        <f t="shared" si="61"/>
        <v>236</v>
      </c>
      <c r="AM34" s="206">
        <f t="shared" si="15"/>
        <v>2360</v>
      </c>
      <c r="AN34" s="35">
        <f t="shared" si="62"/>
        <v>0.84285714285714286</v>
      </c>
      <c r="AO34" s="36">
        <f t="shared" si="63"/>
        <v>16520</v>
      </c>
      <c r="AQ34" s="226">
        <f>SUM(AR34/92970)</f>
        <v>0.76321185814362602</v>
      </c>
      <c r="AR34" s="38">
        <f t="shared" si="41"/>
        <v>70955.806451612909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230</v>
      </c>
      <c r="C35" s="206">
        <f t="shared" si="18"/>
        <v>4948.7096774193551</v>
      </c>
      <c r="D35">
        <f t="shared" si="44"/>
        <v>230</v>
      </c>
      <c r="E35" s="206">
        <f t="shared" si="18"/>
        <v>4948.7096774193551</v>
      </c>
      <c r="F35">
        <f t="shared" si="45"/>
        <v>230</v>
      </c>
      <c r="G35" s="206">
        <f t="shared" si="1"/>
        <v>4948.7096774193551</v>
      </c>
      <c r="H35" s="206">
        <f t="shared" si="46"/>
        <v>230</v>
      </c>
      <c r="I35" s="206">
        <f t="shared" si="2"/>
        <v>4948.7096774193551</v>
      </c>
      <c r="J35" s="206">
        <f t="shared" si="47"/>
        <v>230</v>
      </c>
      <c r="K35" s="206">
        <f t="shared" si="3"/>
        <v>4948.7096774193551</v>
      </c>
      <c r="L35" s="206">
        <f t="shared" si="48"/>
        <v>230</v>
      </c>
      <c r="M35" s="206">
        <f t="shared" si="4"/>
        <v>4948.7096774193551</v>
      </c>
      <c r="N35" s="206">
        <f t="shared" si="49"/>
        <v>230</v>
      </c>
      <c r="O35" s="206">
        <f t="shared" si="5"/>
        <v>4948.7096774193551</v>
      </c>
      <c r="P35" s="206">
        <f t="shared" si="50"/>
        <v>230</v>
      </c>
      <c r="Q35" s="206">
        <f t="shared" si="6"/>
        <v>4948.7096774193551</v>
      </c>
      <c r="R35" s="206">
        <f t="shared" si="51"/>
        <v>230</v>
      </c>
      <c r="S35" s="206">
        <f t="shared" si="7"/>
        <v>4948.7096774193551</v>
      </c>
      <c r="T35" s="206">
        <f t="shared" si="52"/>
        <v>230</v>
      </c>
      <c r="U35" s="206">
        <f t="shared" si="8"/>
        <v>4948.7096774193551</v>
      </c>
      <c r="V35" s="206">
        <f t="shared" si="53"/>
        <v>230</v>
      </c>
      <c r="W35" s="206">
        <f t="shared" si="9"/>
        <v>4948.7096774193551</v>
      </c>
      <c r="X35" s="35">
        <f t="shared" si="54"/>
        <v>0.74193548387096786</v>
      </c>
      <c r="Y35" s="36">
        <f t="shared" si="55"/>
        <v>54435.806451612909</v>
      </c>
      <c r="Z35" s="206">
        <f>'B5'!C34</f>
        <v>236</v>
      </c>
      <c r="AA35" s="206">
        <f t="shared" si="30"/>
        <v>2360</v>
      </c>
      <c r="AB35" s="206">
        <f t="shared" si="56"/>
        <v>236</v>
      </c>
      <c r="AC35" s="206">
        <f t="shared" si="30"/>
        <v>2360</v>
      </c>
      <c r="AD35" s="206">
        <f t="shared" si="57"/>
        <v>236</v>
      </c>
      <c r="AE35" s="206">
        <f t="shared" si="11"/>
        <v>2360</v>
      </c>
      <c r="AF35" s="206">
        <f t="shared" si="58"/>
        <v>236</v>
      </c>
      <c r="AG35" s="206">
        <f t="shared" si="12"/>
        <v>2360</v>
      </c>
      <c r="AH35" s="206">
        <f t="shared" si="59"/>
        <v>236</v>
      </c>
      <c r="AI35" s="206">
        <f t="shared" si="13"/>
        <v>2360</v>
      </c>
      <c r="AJ35" s="206">
        <f t="shared" si="60"/>
        <v>236</v>
      </c>
      <c r="AK35" s="206">
        <f t="shared" si="14"/>
        <v>2360</v>
      </c>
      <c r="AL35" s="206">
        <f t="shared" si="61"/>
        <v>236</v>
      </c>
      <c r="AM35" s="206">
        <f t="shared" si="15"/>
        <v>2360</v>
      </c>
      <c r="AN35" s="35">
        <f t="shared" si="62"/>
        <v>0.84285714285714286</v>
      </c>
      <c r="AO35" s="36">
        <f t="shared" si="63"/>
        <v>16520</v>
      </c>
      <c r="AQ35" s="226">
        <f>SUM(AR35/92970)</f>
        <v>0.76321185814362602</v>
      </c>
      <c r="AR35" s="38">
        <f t="shared" si="41"/>
        <v>70955.806451612909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230</v>
      </c>
      <c r="C36" s="206">
        <f t="shared" ref="C36" si="64">B36*$B$4</f>
        <v>4948.7096774193551</v>
      </c>
      <c r="D36">
        <f t="shared" ref="D36" si="65">SUM(B36)</f>
        <v>230</v>
      </c>
      <c r="E36" s="206">
        <f t="shared" ref="E36" si="66">D36*$B$4</f>
        <v>4948.7096774193551</v>
      </c>
      <c r="F36">
        <f t="shared" ref="F36" si="67">SUM(D36)</f>
        <v>230</v>
      </c>
      <c r="G36" s="206">
        <f t="shared" ref="G36" si="68">F36*$B$4</f>
        <v>4948.7096774193551</v>
      </c>
      <c r="H36" s="206">
        <f t="shared" ref="H36" si="69">SUM(F36)</f>
        <v>230</v>
      </c>
      <c r="I36" s="206">
        <f t="shared" ref="I36" si="70">H36*$B$4</f>
        <v>4948.7096774193551</v>
      </c>
      <c r="J36" s="206">
        <f t="shared" ref="J36" si="71">SUM(H36)</f>
        <v>230</v>
      </c>
      <c r="K36" s="206">
        <f t="shared" ref="K36" si="72">J36*$B$4</f>
        <v>4948.7096774193551</v>
      </c>
      <c r="L36" s="206">
        <f t="shared" ref="L36" si="73">SUM(J36)</f>
        <v>230</v>
      </c>
      <c r="M36" s="206">
        <f t="shared" ref="M36" si="74">L36*$B$4</f>
        <v>4948.7096774193551</v>
      </c>
      <c r="N36" s="206">
        <f t="shared" ref="N36" si="75">SUM(L36)</f>
        <v>230</v>
      </c>
      <c r="O36" s="206">
        <f t="shared" ref="O36" si="76">N36*$B$4</f>
        <v>4948.7096774193551</v>
      </c>
      <c r="P36" s="206">
        <f t="shared" ref="P36" si="77">SUM(N36)</f>
        <v>230</v>
      </c>
      <c r="Q36" s="206">
        <f t="shared" ref="Q36" si="78">P36*$B$4</f>
        <v>4948.7096774193551</v>
      </c>
      <c r="R36" s="206">
        <f t="shared" ref="R36" si="79">SUM(P36)</f>
        <v>230</v>
      </c>
      <c r="S36" s="206">
        <f t="shared" ref="S36" si="80">R36*$B$4</f>
        <v>4948.7096774193551</v>
      </c>
      <c r="T36" s="206">
        <f t="shared" ref="T36" si="81">SUM(R36)</f>
        <v>230</v>
      </c>
      <c r="U36" s="206">
        <f t="shared" ref="U36" si="82">T36*$B$4</f>
        <v>4948.7096774193551</v>
      </c>
      <c r="V36" s="206">
        <f t="shared" ref="V36" si="83">SUM(T36)</f>
        <v>230</v>
      </c>
      <c r="W36" s="206">
        <f t="shared" ref="W36" si="84">V36*$B$4</f>
        <v>4948.7096774193551</v>
      </c>
      <c r="X36" s="35">
        <f t="shared" ref="X36" si="85">SUM(Y36/73370)</f>
        <v>0.74193548387096786</v>
      </c>
      <c r="Y36" s="36">
        <f t="shared" ref="Y36" si="86">SUM(C36+E36+G36+I36+K36+M36+O36+Q36+S36+U36+W36)</f>
        <v>54435.806451612909</v>
      </c>
      <c r="Z36" s="206">
        <f>'B5'!C35</f>
        <v>236</v>
      </c>
      <c r="AA36" s="206">
        <f t="shared" ref="AA36" si="87">SUM(Z36*$Z$4)</f>
        <v>2360</v>
      </c>
      <c r="AB36" s="206">
        <f t="shared" ref="AB36" si="88">SUM(Z36)</f>
        <v>236</v>
      </c>
      <c r="AC36" s="206">
        <f t="shared" ref="AC36" si="89">SUM(AB36*$Z$4)</f>
        <v>2360</v>
      </c>
      <c r="AD36" s="206">
        <f t="shared" ref="AD36" si="90">SUM(AB36)</f>
        <v>236</v>
      </c>
      <c r="AE36" s="206">
        <f t="shared" ref="AE36" si="91">SUM(AD36*$Z$4)</f>
        <v>2360</v>
      </c>
      <c r="AF36" s="206">
        <f t="shared" ref="AF36" si="92">SUM(AD36)</f>
        <v>236</v>
      </c>
      <c r="AG36" s="206">
        <f t="shared" ref="AG36" si="93">SUM(AF36*$Z$4)</f>
        <v>2360</v>
      </c>
      <c r="AH36" s="206">
        <f t="shared" ref="AH36" si="94">SUM(AF36)</f>
        <v>236</v>
      </c>
      <c r="AI36" s="206">
        <f t="shared" ref="AI36" si="95">SUM(AH36*$Z$4)</f>
        <v>2360</v>
      </c>
      <c r="AJ36" s="206">
        <f t="shared" ref="AJ36" si="96">SUM(AH36)</f>
        <v>236</v>
      </c>
      <c r="AK36" s="206">
        <f t="shared" ref="AK36" si="97">SUM(AJ36*$Z$4)</f>
        <v>2360</v>
      </c>
      <c r="AL36" s="206">
        <f t="shared" ref="AL36" si="98">SUM(AJ36)</f>
        <v>236</v>
      </c>
      <c r="AM36" s="206">
        <f t="shared" ref="AM36" si="99">SUM(AL36*$Z$4)</f>
        <v>2360</v>
      </c>
      <c r="AN36" s="35">
        <f t="shared" ref="AN36" si="100">SUM(AO36/19600)</f>
        <v>0.84285714285714286</v>
      </c>
      <c r="AO36" s="36">
        <f t="shared" ref="AO36" si="101">SUM(AA36+AC36+AE36+AG36+AI36+AK36+AM36)</f>
        <v>16520</v>
      </c>
      <c r="AQ36" s="226">
        <f>SUM(AR36/92970)</f>
        <v>0.76321185814362602</v>
      </c>
      <c r="AR36" s="38">
        <f t="shared" si="41"/>
        <v>70955.806451612909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-23986.670967741913</v>
      </c>
      <c r="AY37" s="206">
        <f>SUM(AY6:AY35)</f>
        <v>-25989.870967741925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-1443.881720430107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5" activePane="bottomLeft" state="frozen"/>
      <selection pane="bottomLeft" activeCell="R19" sqref="R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9">
        <v>9005</v>
      </c>
      <c r="C3" s="295">
        <f>B3-B2</f>
        <v>8</v>
      </c>
      <c r="D3" s="570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0">
        <f>J2</f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11612</v>
      </c>
      <c r="S3" s="295">
        <f t="shared" ref="S3:S32" si="5">R3-R2</f>
        <v>17</v>
      </c>
      <c r="T3" s="570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9">
        <v>9010</v>
      </c>
      <c r="C4" s="295">
        <f t="shared" ref="C4:C32" si="11">B4-B3</f>
        <v>5</v>
      </c>
      <c r="D4" s="570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0">
        <v>11616</v>
      </c>
      <c r="S4" s="295">
        <f t="shared" si="5"/>
        <v>4</v>
      </c>
      <c r="T4" s="570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9">
        <v>9025</v>
      </c>
      <c r="C5" s="295">
        <f t="shared" si="11"/>
        <v>15</v>
      </c>
      <c r="D5" s="570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0">
        <v>10698</v>
      </c>
      <c r="K5" s="295">
        <f t="shared" si="2"/>
        <v>0</v>
      </c>
      <c r="L5" s="570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0">
        <v>11620</v>
      </c>
      <c r="S5" s="295">
        <f t="shared" si="5"/>
        <v>4</v>
      </c>
      <c r="T5" s="570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9">
        <v>9038</v>
      </c>
      <c r="C6" s="295">
        <f t="shared" si="11"/>
        <v>13</v>
      </c>
      <c r="D6" s="570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0">
        <f t="shared" si="14"/>
        <v>10698</v>
      </c>
      <c r="K6" s="295">
        <f t="shared" si="2"/>
        <v>0</v>
      </c>
      <c r="L6" s="570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0">
        <v>11627</v>
      </c>
      <c r="S6" s="295">
        <f t="shared" si="5"/>
        <v>7</v>
      </c>
      <c r="T6" s="570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9">
        <v>9046</v>
      </c>
      <c r="C7" s="295">
        <f t="shared" si="11"/>
        <v>8</v>
      </c>
      <c r="D7" s="570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0">
        <v>10698</v>
      </c>
      <c r="K7" s="295">
        <f t="shared" si="2"/>
        <v>0</v>
      </c>
      <c r="L7" s="570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0">
        <v>11627</v>
      </c>
      <c r="S7" s="295">
        <f t="shared" si="5"/>
        <v>0</v>
      </c>
      <c r="T7" s="570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9">
        <v>9048</v>
      </c>
      <c r="C8" s="295">
        <f t="shared" si="11"/>
        <v>2</v>
      </c>
      <c r="D8" s="570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0">
        <f t="shared" si="14"/>
        <v>10698</v>
      </c>
      <c r="K8" s="295">
        <f t="shared" si="2"/>
        <v>0</v>
      </c>
      <c r="L8" s="570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0">
        <f t="shared" ref="R8:T33" si="27">R7</f>
        <v>11627</v>
      </c>
      <c r="S8" s="295">
        <f t="shared" si="5"/>
        <v>0</v>
      </c>
      <c r="T8" s="570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9">
        <v>9052</v>
      </c>
      <c r="C9" s="295">
        <f t="shared" si="11"/>
        <v>4</v>
      </c>
      <c r="D9" s="570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0">
        <v>10698</v>
      </c>
      <c r="K9" s="295">
        <f t="shared" si="2"/>
        <v>0</v>
      </c>
      <c r="L9" s="570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0">
        <v>11627</v>
      </c>
      <c r="S9" s="295">
        <f t="shared" si="5"/>
        <v>0</v>
      </c>
      <c r="T9" s="570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9">
        <v>9055</v>
      </c>
      <c r="C10" s="295">
        <f t="shared" si="11"/>
        <v>3</v>
      </c>
      <c r="D10" s="570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0">
        <f t="shared" si="14"/>
        <v>10698</v>
      </c>
      <c r="K10" s="295">
        <f t="shared" si="2"/>
        <v>0</v>
      </c>
      <c r="L10" s="570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0">
        <v>11627</v>
      </c>
      <c r="S10" s="295">
        <f t="shared" si="5"/>
        <v>0</v>
      </c>
      <c r="T10" s="570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9">
        <v>9058</v>
      </c>
      <c r="C11" s="295">
        <f t="shared" si="11"/>
        <v>3</v>
      </c>
      <c r="D11" s="570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70">
        <f t="shared" si="14"/>
        <v>10698</v>
      </c>
      <c r="K11" s="295">
        <f t="shared" si="2"/>
        <v>0</v>
      </c>
      <c r="L11" s="570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0">
        <f t="shared" si="27"/>
        <v>11627</v>
      </c>
      <c r="S11" s="295">
        <f t="shared" si="5"/>
        <v>0</v>
      </c>
      <c r="T11" s="570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9">
        <v>9061</v>
      </c>
      <c r="C12" s="295">
        <f t="shared" si="11"/>
        <v>3</v>
      </c>
      <c r="D12" s="570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70">
        <f t="shared" si="14"/>
        <v>10698</v>
      </c>
      <c r="K12" s="295">
        <f t="shared" si="2"/>
        <v>0</v>
      </c>
      <c r="L12" s="570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0">
        <f t="shared" si="27"/>
        <v>11627</v>
      </c>
      <c r="S12" s="295">
        <f t="shared" si="5"/>
        <v>0</v>
      </c>
      <c r="T12" s="570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9">
        <v>9064</v>
      </c>
      <c r="C13" s="295">
        <f t="shared" si="11"/>
        <v>3</v>
      </c>
      <c r="D13" s="570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70">
        <f t="shared" si="14"/>
        <v>10698</v>
      </c>
      <c r="K13" s="295">
        <f t="shared" si="2"/>
        <v>0</v>
      </c>
      <c r="L13" s="570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0">
        <v>11627</v>
      </c>
      <c r="S13" s="295">
        <f t="shared" si="5"/>
        <v>0</v>
      </c>
      <c r="T13" s="570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9">
        <v>9067</v>
      </c>
      <c r="C14" s="295">
        <f t="shared" si="11"/>
        <v>3</v>
      </c>
      <c r="D14" s="570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70">
        <f t="shared" si="14"/>
        <v>10698</v>
      </c>
      <c r="K14" s="295">
        <f t="shared" si="2"/>
        <v>0</v>
      </c>
      <c r="L14" s="570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0">
        <f t="shared" si="27"/>
        <v>11627</v>
      </c>
      <c r="S14" s="295">
        <f t="shared" si="5"/>
        <v>0</v>
      </c>
      <c r="T14" s="570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9">
        <v>9071</v>
      </c>
      <c r="C15" s="295">
        <f t="shared" si="11"/>
        <v>4</v>
      </c>
      <c r="D15" s="570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70">
        <f t="shared" si="14"/>
        <v>10698</v>
      </c>
      <c r="K15" s="295">
        <f t="shared" si="2"/>
        <v>0</v>
      </c>
      <c r="L15" s="570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0">
        <v>11629</v>
      </c>
      <c r="S15" s="295">
        <f t="shared" si="5"/>
        <v>2</v>
      </c>
      <c r="T15" s="570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9">
        <f t="shared" ref="B16:B33" si="29">B15</f>
        <v>9071</v>
      </c>
      <c r="C16" s="295">
        <f t="shared" si="11"/>
        <v>0</v>
      </c>
      <c r="D16" s="570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0">
        <f t="shared" si="14"/>
        <v>10698</v>
      </c>
      <c r="K16" s="295">
        <f t="shared" si="2"/>
        <v>0</v>
      </c>
      <c r="L16" s="570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0">
        <v>11635</v>
      </c>
      <c r="S16" s="598">
        <f t="shared" si="5"/>
        <v>6</v>
      </c>
      <c r="T16" s="570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9">
        <f t="shared" si="29"/>
        <v>9071</v>
      </c>
      <c r="C17" s="295">
        <f t="shared" si="11"/>
        <v>0</v>
      </c>
      <c r="D17" s="570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0">
        <f t="shared" si="14"/>
        <v>10698</v>
      </c>
      <c r="K17" s="295">
        <f t="shared" si="2"/>
        <v>0</v>
      </c>
      <c r="L17" s="570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0">
        <v>11640</v>
      </c>
      <c r="S17" s="295">
        <f t="shared" si="5"/>
        <v>5</v>
      </c>
      <c r="T17" s="570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9">
        <v>9074</v>
      </c>
      <c r="C18" s="295">
        <f t="shared" si="11"/>
        <v>3</v>
      </c>
      <c r="D18" s="570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70">
        <f t="shared" si="14"/>
        <v>10698</v>
      </c>
      <c r="K18" s="295">
        <f t="shared" si="2"/>
        <v>0</v>
      </c>
      <c r="L18" s="570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0">
        <f t="shared" si="27"/>
        <v>11640</v>
      </c>
      <c r="S18" s="295">
        <f t="shared" si="5"/>
        <v>0</v>
      </c>
      <c r="T18" s="570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9">
        <v>9077</v>
      </c>
      <c r="C19" s="295">
        <f t="shared" si="11"/>
        <v>3</v>
      </c>
      <c r="D19" s="570">
        <v>217619</v>
      </c>
      <c r="E19" s="295">
        <f t="shared" si="12"/>
        <v>594</v>
      </c>
      <c r="F19" s="295">
        <f t="shared" si="0"/>
        <v>198</v>
      </c>
      <c r="G19" s="199"/>
      <c r="H19" s="296">
        <f t="shared" si="13"/>
        <v>9100</v>
      </c>
      <c r="I19" s="295" t="str">
        <f t="shared" si="1"/>
        <v>ok</v>
      </c>
      <c r="J19" s="570">
        <f t="shared" si="14"/>
        <v>10698</v>
      </c>
      <c r="K19" s="295">
        <f t="shared" si="2"/>
        <v>0</v>
      </c>
      <c r="L19" s="570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0">
        <f t="shared" si="27"/>
        <v>11640</v>
      </c>
      <c r="S19" s="295">
        <f t="shared" si="5"/>
        <v>0</v>
      </c>
      <c r="T19" s="570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3</v>
      </c>
      <c r="AA19" s="295">
        <f t="shared" si="19"/>
        <v>594</v>
      </c>
      <c r="AB19" s="295">
        <f t="shared" si="20"/>
        <v>198</v>
      </c>
      <c r="AC19" s="295">
        <f t="shared" si="21"/>
        <v>198</v>
      </c>
      <c r="AD19" s="73">
        <f>ELEC!Q19</f>
        <v>1000</v>
      </c>
      <c r="AE19" s="73">
        <f t="shared" si="23"/>
        <v>333.33333333333331</v>
      </c>
      <c r="AF19" s="413">
        <f t="shared" si="24"/>
        <v>0.20833333333333331</v>
      </c>
      <c r="AG19" s="414">
        <f t="shared" si="25"/>
        <v>66.666666666666657</v>
      </c>
      <c r="AH19" s="414">
        <f t="shared" si="22"/>
        <v>131.33333333333334</v>
      </c>
      <c r="AI19" s="73">
        <f t="shared" si="26"/>
        <v>257.38396624472574</v>
      </c>
      <c r="AJ19" s="297">
        <f t="shared" si="9"/>
        <v>0.25738396624472576</v>
      </c>
      <c r="AK19" s="297">
        <f t="shared" si="31"/>
        <v>85.794655414908576</v>
      </c>
    </row>
    <row r="20" spans="1:37" ht="15.75" thickBot="1">
      <c r="A20" s="4">
        <f>ELEC!C20</f>
        <v>44061</v>
      </c>
      <c r="B20" s="569">
        <v>9079</v>
      </c>
      <c r="C20" s="295">
        <f>B20-B19</f>
        <v>2</v>
      </c>
      <c r="D20" s="570">
        <v>218240</v>
      </c>
      <c r="E20" s="295">
        <f t="shared" si="12"/>
        <v>621</v>
      </c>
      <c r="F20" s="295">
        <f t="shared" si="0"/>
        <v>310.5</v>
      </c>
      <c r="G20" s="199"/>
      <c r="H20" s="296">
        <f t="shared" si="13"/>
        <v>9100</v>
      </c>
      <c r="I20" s="295" t="str">
        <f t="shared" si="1"/>
        <v>ok</v>
      </c>
      <c r="J20" s="570">
        <f t="shared" si="14"/>
        <v>10698</v>
      </c>
      <c r="K20" s="295">
        <f t="shared" si="2"/>
        <v>0</v>
      </c>
      <c r="L20" s="570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0">
        <f t="shared" si="27"/>
        <v>11640</v>
      </c>
      <c r="S20" s="295">
        <f t="shared" si="5"/>
        <v>0</v>
      </c>
      <c r="T20" s="570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2</v>
      </c>
      <c r="AA20" s="295">
        <f t="shared" si="19"/>
        <v>621</v>
      </c>
      <c r="AB20" s="295">
        <f t="shared" si="20"/>
        <v>310.5</v>
      </c>
      <c r="AC20" s="295">
        <f t="shared" si="21"/>
        <v>310.5</v>
      </c>
      <c r="AD20" s="73">
        <f>ELEC!Q20</f>
        <v>1000</v>
      </c>
      <c r="AE20" s="73">
        <f t="shared" si="23"/>
        <v>500</v>
      </c>
      <c r="AF20" s="413">
        <f t="shared" si="24"/>
        <v>0.3125</v>
      </c>
      <c r="AG20" s="414">
        <f t="shared" si="25"/>
        <v>100</v>
      </c>
      <c r="AH20" s="414">
        <f t="shared" si="22"/>
        <v>210.5</v>
      </c>
      <c r="AI20" s="73">
        <f>AD20*AJ20</f>
        <v>257.38396624472574</v>
      </c>
      <c r="AJ20" s="297">
        <f t="shared" si="9"/>
        <v>0.25738396624472576</v>
      </c>
      <c r="AK20" s="297">
        <f t="shared" si="31"/>
        <v>128.69198312236287</v>
      </c>
    </row>
    <row r="21" spans="1:37" ht="15.75" thickBot="1">
      <c r="A21" s="4">
        <f>ELEC!C21</f>
        <v>44062</v>
      </c>
      <c r="B21" s="569">
        <f t="shared" si="29"/>
        <v>9079</v>
      </c>
      <c r="C21" s="295">
        <f t="shared" si="11"/>
        <v>0</v>
      </c>
      <c r="D21" s="570">
        <f t="shared" si="30"/>
        <v>218240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9100</v>
      </c>
      <c r="I21" s="295" t="str">
        <f t="shared" si="1"/>
        <v>ok</v>
      </c>
      <c r="J21" s="570">
        <f t="shared" si="14"/>
        <v>10698</v>
      </c>
      <c r="K21" s="295">
        <f t="shared" si="2"/>
        <v>0</v>
      </c>
      <c r="L21" s="570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0">
        <f t="shared" si="27"/>
        <v>11640</v>
      </c>
      <c r="S21" s="295">
        <f t="shared" si="5"/>
        <v>0</v>
      </c>
      <c r="T21" s="570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0</v>
      </c>
      <c r="AA21" s="295">
        <f t="shared" si="19"/>
        <v>0</v>
      </c>
      <c r="AB21" s="295">
        <f t="shared" si="20"/>
        <v>0</v>
      </c>
      <c r="AC21" s="295">
        <f t="shared" si="21"/>
        <v>0</v>
      </c>
      <c r="AD21" s="73">
        <f>ELEC!Q21</f>
        <v>0</v>
      </c>
      <c r="AE21" s="73" t="e">
        <f t="shared" si="23"/>
        <v>#DIV/0!</v>
      </c>
      <c r="AF21" s="413" t="e">
        <f t="shared" si="24"/>
        <v>#DIV/0!</v>
      </c>
      <c r="AG21" s="414" t="e">
        <f t="shared" si="25"/>
        <v>#DIV/0!</v>
      </c>
      <c r="AH21" s="414" t="e">
        <f t="shared" si="22"/>
        <v>#DIV/0!</v>
      </c>
      <c r="AI21" s="73">
        <f t="shared" si="26"/>
        <v>0</v>
      </c>
      <c r="AJ21" s="297">
        <f t="shared" si="9"/>
        <v>0.25738396624472576</v>
      </c>
      <c r="AK21" s="297">
        <f t="shared" si="31"/>
        <v>0</v>
      </c>
    </row>
    <row r="22" spans="1:37" ht="15.75" thickBot="1">
      <c r="A22" s="4">
        <f>ELEC!C22</f>
        <v>44063</v>
      </c>
      <c r="B22" s="569">
        <f t="shared" si="29"/>
        <v>9079</v>
      </c>
      <c r="C22" s="295">
        <f t="shared" si="11"/>
        <v>0</v>
      </c>
      <c r="D22" s="570">
        <f t="shared" si="30"/>
        <v>218240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9100</v>
      </c>
      <c r="I22" s="295" t="str">
        <f t="shared" si="1"/>
        <v>ok</v>
      </c>
      <c r="J22" s="570">
        <f t="shared" si="14"/>
        <v>10698</v>
      </c>
      <c r="K22" s="295">
        <f t="shared" si="2"/>
        <v>0</v>
      </c>
      <c r="L22" s="570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0">
        <f t="shared" si="27"/>
        <v>11640</v>
      </c>
      <c r="S22" s="295">
        <f t="shared" si="5"/>
        <v>0</v>
      </c>
      <c r="T22" s="570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0</v>
      </c>
      <c r="AA22" s="295">
        <f t="shared" si="19"/>
        <v>0</v>
      </c>
      <c r="AB22" s="295">
        <f t="shared" si="20"/>
        <v>0</v>
      </c>
      <c r="AC22" s="295">
        <f t="shared" si="21"/>
        <v>0</v>
      </c>
      <c r="AD22" s="73">
        <f>ELEC!Q22</f>
        <v>0</v>
      </c>
      <c r="AE22" s="73" t="e">
        <f t="shared" si="23"/>
        <v>#DIV/0!</v>
      </c>
      <c r="AF22" s="413" t="e">
        <f t="shared" si="24"/>
        <v>#DIV/0!</v>
      </c>
      <c r="AG22" s="414" t="e">
        <f t="shared" si="25"/>
        <v>#DIV/0!</v>
      </c>
      <c r="AH22" s="414" t="e">
        <f t="shared" si="22"/>
        <v>#DIV/0!</v>
      </c>
      <c r="AI22" s="73">
        <f t="shared" si="26"/>
        <v>0</v>
      </c>
      <c r="AJ22" s="297">
        <f t="shared" si="9"/>
        <v>0.25738396624472576</v>
      </c>
      <c r="AK22" s="297">
        <f t="shared" si="31"/>
        <v>0</v>
      </c>
    </row>
    <row r="23" spans="1:37" ht="15.75" thickBot="1">
      <c r="A23" s="4">
        <f>ELEC!C23</f>
        <v>44064</v>
      </c>
      <c r="B23" s="569">
        <f t="shared" si="29"/>
        <v>9079</v>
      </c>
      <c r="C23" s="295">
        <f t="shared" si="11"/>
        <v>0</v>
      </c>
      <c r="D23" s="570">
        <f t="shared" si="30"/>
        <v>218240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9100</v>
      </c>
      <c r="I23" s="295" t="str">
        <f t="shared" si="1"/>
        <v>ok</v>
      </c>
      <c r="J23" s="570">
        <f t="shared" si="14"/>
        <v>10698</v>
      </c>
      <c r="K23" s="295">
        <f t="shared" si="2"/>
        <v>0</v>
      </c>
      <c r="L23" s="570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0">
        <f t="shared" si="27"/>
        <v>11640</v>
      </c>
      <c r="S23" s="295">
        <f t="shared" si="5"/>
        <v>0</v>
      </c>
      <c r="T23" s="570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0</v>
      </c>
      <c r="AA23" s="295">
        <f t="shared" si="19"/>
        <v>0</v>
      </c>
      <c r="AB23" s="295">
        <f t="shared" si="20"/>
        <v>0</v>
      </c>
      <c r="AC23" s="295">
        <f t="shared" si="21"/>
        <v>0</v>
      </c>
      <c r="AD23" s="73">
        <f>ELEC!Q23</f>
        <v>0</v>
      </c>
      <c r="AE23" s="73" t="e">
        <f t="shared" si="23"/>
        <v>#DIV/0!</v>
      </c>
      <c r="AF23" s="413" t="e">
        <f t="shared" si="24"/>
        <v>#DIV/0!</v>
      </c>
      <c r="AG23" s="414" t="e">
        <f t="shared" si="25"/>
        <v>#DIV/0!</v>
      </c>
      <c r="AH23" s="414" t="e">
        <f t="shared" si="22"/>
        <v>#DIV/0!</v>
      </c>
      <c r="AI23" s="73">
        <f t="shared" si="26"/>
        <v>0</v>
      </c>
      <c r="AJ23" s="297">
        <f t="shared" si="9"/>
        <v>0.25738396624472576</v>
      </c>
      <c r="AK23" s="297">
        <f t="shared" si="31"/>
        <v>0</v>
      </c>
    </row>
    <row r="24" spans="1:37" ht="15.75" thickBot="1">
      <c r="A24" s="4">
        <f>ELEC!C24</f>
        <v>44065</v>
      </c>
      <c r="B24" s="569">
        <f t="shared" si="29"/>
        <v>9079</v>
      </c>
      <c r="C24" s="295">
        <f t="shared" si="11"/>
        <v>0</v>
      </c>
      <c r="D24" s="570">
        <f t="shared" si="30"/>
        <v>218240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ok</v>
      </c>
      <c r="J24" s="570">
        <f t="shared" si="14"/>
        <v>10698</v>
      </c>
      <c r="K24" s="295">
        <f t="shared" si="2"/>
        <v>0</v>
      </c>
      <c r="L24" s="570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0">
        <f t="shared" si="27"/>
        <v>11640</v>
      </c>
      <c r="S24" s="295">
        <f t="shared" si="5"/>
        <v>0</v>
      </c>
      <c r="T24" s="570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0</v>
      </c>
      <c r="AA24" s="295">
        <f t="shared" si="19"/>
        <v>0</v>
      </c>
      <c r="AB24" s="295">
        <f t="shared" si="20"/>
        <v>0</v>
      </c>
      <c r="AC24" s="295">
        <f t="shared" si="21"/>
        <v>0</v>
      </c>
      <c r="AD24" s="73">
        <f>ELEC!Q24</f>
        <v>0</v>
      </c>
      <c r="AE24" s="73" t="e">
        <f t="shared" si="23"/>
        <v>#DIV/0!</v>
      </c>
      <c r="AF24" s="413" t="e">
        <f t="shared" si="24"/>
        <v>#DIV/0!</v>
      </c>
      <c r="AG24" s="414" t="e">
        <f t="shared" si="25"/>
        <v>#DIV/0!</v>
      </c>
      <c r="AH24" s="414" t="e">
        <f t="shared" si="22"/>
        <v>#DIV/0!</v>
      </c>
      <c r="AI24" s="73">
        <f t="shared" si="26"/>
        <v>0</v>
      </c>
      <c r="AJ24" s="297">
        <f t="shared" si="9"/>
        <v>0.25738396624472576</v>
      </c>
      <c r="AK24" s="297">
        <f t="shared" si="31"/>
        <v>0</v>
      </c>
    </row>
    <row r="25" spans="1:37" ht="15.75" thickBot="1">
      <c r="A25" s="4">
        <f>ELEC!C25</f>
        <v>44066</v>
      </c>
      <c r="B25" s="569">
        <f t="shared" si="29"/>
        <v>9079</v>
      </c>
      <c r="C25" s="295">
        <f t="shared" si="11"/>
        <v>0</v>
      </c>
      <c r="D25" s="570">
        <f t="shared" si="30"/>
        <v>218240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5">8920+180</f>
        <v>9100</v>
      </c>
      <c r="I25" s="295" t="str">
        <f t="shared" si="1"/>
        <v>ok</v>
      </c>
      <c r="J25" s="570">
        <f t="shared" si="14"/>
        <v>10698</v>
      </c>
      <c r="K25" s="295">
        <f t="shared" si="2"/>
        <v>0</v>
      </c>
      <c r="L25" s="570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0">
        <f t="shared" si="27"/>
        <v>11640</v>
      </c>
      <c r="S25" s="295">
        <f t="shared" si="5"/>
        <v>0</v>
      </c>
      <c r="T25" s="570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0</v>
      </c>
      <c r="AA25" s="295">
        <f t="shared" si="19"/>
        <v>0</v>
      </c>
      <c r="AB25" s="295">
        <f t="shared" si="20"/>
        <v>0</v>
      </c>
      <c r="AC25" s="295">
        <f t="shared" si="21"/>
        <v>0</v>
      </c>
      <c r="AD25" s="73">
        <f>ELEC!Q25</f>
        <v>0</v>
      </c>
      <c r="AE25" s="73" t="e">
        <f t="shared" si="23"/>
        <v>#DIV/0!</v>
      </c>
      <c r="AF25" s="413" t="e">
        <f t="shared" si="24"/>
        <v>#DIV/0!</v>
      </c>
      <c r="AG25" s="414" t="e">
        <f t="shared" si="25"/>
        <v>#DIV/0!</v>
      </c>
      <c r="AH25" s="414" t="e">
        <f t="shared" si="22"/>
        <v>#DIV/0!</v>
      </c>
      <c r="AI25" s="73">
        <f t="shared" si="26"/>
        <v>0</v>
      </c>
      <c r="AJ25" s="297">
        <f t="shared" si="9"/>
        <v>0.25738396624472576</v>
      </c>
      <c r="AK25" s="297">
        <f t="shared" si="31"/>
        <v>0</v>
      </c>
    </row>
    <row r="26" spans="1:37" ht="15.75" thickBot="1">
      <c r="A26" s="4">
        <f>ELEC!C26</f>
        <v>44067</v>
      </c>
      <c r="B26" s="569">
        <f t="shared" si="29"/>
        <v>9079</v>
      </c>
      <c r="C26" s="295">
        <f t="shared" si="11"/>
        <v>0</v>
      </c>
      <c r="D26" s="570">
        <f t="shared" si="30"/>
        <v>218240</v>
      </c>
      <c r="E26" s="295">
        <f t="shared" si="12"/>
        <v>0</v>
      </c>
      <c r="F26" s="295">
        <f t="shared" si="0"/>
        <v>0</v>
      </c>
      <c r="G26" s="199"/>
      <c r="H26" s="296">
        <f t="shared" si="35"/>
        <v>9100</v>
      </c>
      <c r="I26" s="295" t="str">
        <f t="shared" si="1"/>
        <v>ok</v>
      </c>
      <c r="J26" s="570">
        <f t="shared" si="14"/>
        <v>10698</v>
      </c>
      <c r="K26" s="295">
        <f t="shared" si="2"/>
        <v>0</v>
      </c>
      <c r="L26" s="570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0">
        <f t="shared" si="27"/>
        <v>11640</v>
      </c>
      <c r="S26" s="295">
        <f t="shared" si="5"/>
        <v>0</v>
      </c>
      <c r="T26" s="570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0</v>
      </c>
      <c r="AA26" s="295">
        <f t="shared" si="19"/>
        <v>0</v>
      </c>
      <c r="AB26" s="295">
        <f t="shared" si="20"/>
        <v>0</v>
      </c>
      <c r="AC26" s="295">
        <f t="shared" si="21"/>
        <v>0</v>
      </c>
      <c r="AD26" s="73">
        <f>ELEC!Q26</f>
        <v>0</v>
      </c>
      <c r="AE26" s="73" t="e">
        <f t="shared" si="23"/>
        <v>#DIV/0!</v>
      </c>
      <c r="AF26" s="413" t="e">
        <f t="shared" si="24"/>
        <v>#DIV/0!</v>
      </c>
      <c r="AG26" s="414" t="e">
        <f t="shared" si="25"/>
        <v>#DIV/0!</v>
      </c>
      <c r="AH26" s="414" t="e">
        <f t="shared" si="22"/>
        <v>#DIV/0!</v>
      </c>
      <c r="AI26" s="73">
        <f t="shared" si="26"/>
        <v>0</v>
      </c>
      <c r="AJ26" s="297">
        <f t="shared" si="9"/>
        <v>0.25738396624472576</v>
      </c>
      <c r="AK26" s="297">
        <f t="shared" si="31"/>
        <v>0</v>
      </c>
    </row>
    <row r="27" spans="1:37" ht="15.75" thickBot="1">
      <c r="A27" s="4">
        <f>ELEC!C27</f>
        <v>44068</v>
      </c>
      <c r="B27" s="569">
        <f t="shared" si="29"/>
        <v>9079</v>
      </c>
      <c r="C27" s="295">
        <f t="shared" si="11"/>
        <v>0</v>
      </c>
      <c r="D27" s="570">
        <f t="shared" si="30"/>
        <v>218240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0">
        <f t="shared" si="14"/>
        <v>10698</v>
      </c>
      <c r="K27" s="295">
        <f t="shared" si="2"/>
        <v>0</v>
      </c>
      <c r="L27" s="570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0">
        <f t="shared" si="27"/>
        <v>11640</v>
      </c>
      <c r="S27" s="295">
        <f t="shared" si="5"/>
        <v>0</v>
      </c>
      <c r="T27" s="570">
        <f t="shared" si="27"/>
        <v>342996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69">
        <f t="shared" si="29"/>
        <v>9079</v>
      </c>
      <c r="C28" s="295">
        <f t="shared" si="11"/>
        <v>0</v>
      </c>
      <c r="D28" s="570">
        <f t="shared" si="30"/>
        <v>218240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0">
        <f t="shared" si="14"/>
        <v>10698</v>
      </c>
      <c r="K28" s="295">
        <f t="shared" si="2"/>
        <v>0</v>
      </c>
      <c r="L28" s="570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0">
        <f t="shared" si="27"/>
        <v>11640</v>
      </c>
      <c r="S28" s="295">
        <f t="shared" si="5"/>
        <v>0</v>
      </c>
      <c r="T28" s="570">
        <f t="shared" si="27"/>
        <v>342996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69">
        <f t="shared" si="29"/>
        <v>9079</v>
      </c>
      <c r="C29" s="295">
        <f t="shared" si="11"/>
        <v>0</v>
      </c>
      <c r="D29" s="570">
        <f t="shared" si="30"/>
        <v>218240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0">
        <f t="shared" si="14"/>
        <v>10698</v>
      </c>
      <c r="K29" s="295">
        <f t="shared" si="2"/>
        <v>0</v>
      </c>
      <c r="L29" s="570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0">
        <f t="shared" si="27"/>
        <v>11640</v>
      </c>
      <c r="S29" s="295">
        <f t="shared" si="5"/>
        <v>0</v>
      </c>
      <c r="T29" s="570">
        <f t="shared" si="27"/>
        <v>342996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69">
        <f t="shared" si="29"/>
        <v>9079</v>
      </c>
      <c r="C30" s="295">
        <f t="shared" si="11"/>
        <v>0</v>
      </c>
      <c r="D30" s="570">
        <f t="shared" si="30"/>
        <v>218240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0">
        <f t="shared" si="14"/>
        <v>10698</v>
      </c>
      <c r="K30" s="295">
        <f t="shared" si="2"/>
        <v>0</v>
      </c>
      <c r="L30" s="570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0">
        <f t="shared" si="27"/>
        <v>11640</v>
      </c>
      <c r="S30" s="295">
        <f t="shared" si="5"/>
        <v>0</v>
      </c>
      <c r="T30" s="570">
        <f t="shared" si="27"/>
        <v>342996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69">
        <f t="shared" si="29"/>
        <v>9079</v>
      </c>
      <c r="C31" s="295">
        <f t="shared" si="11"/>
        <v>0</v>
      </c>
      <c r="D31" s="570">
        <f t="shared" si="30"/>
        <v>218240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0">
        <f t="shared" si="14"/>
        <v>10698</v>
      </c>
      <c r="K31" s="295">
        <f t="shared" si="2"/>
        <v>0</v>
      </c>
      <c r="L31" s="570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0">
        <f t="shared" si="27"/>
        <v>11640</v>
      </c>
      <c r="S31" s="295">
        <f t="shared" si="5"/>
        <v>0</v>
      </c>
      <c r="T31" s="570">
        <f t="shared" si="27"/>
        <v>342996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69">
        <f t="shared" si="29"/>
        <v>9079</v>
      </c>
      <c r="C32" s="295">
        <f t="shared" si="11"/>
        <v>0</v>
      </c>
      <c r="D32" s="570">
        <f t="shared" si="30"/>
        <v>218240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0">
        <f t="shared" si="14"/>
        <v>10698</v>
      </c>
      <c r="K32" s="295">
        <f>J32-J31</f>
        <v>0</v>
      </c>
      <c r="L32" s="570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0">
        <f t="shared" si="27"/>
        <v>11640</v>
      </c>
      <c r="S32" s="295">
        <f t="shared" si="5"/>
        <v>0</v>
      </c>
      <c r="T32" s="570">
        <f t="shared" si="27"/>
        <v>342996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9">
        <f t="shared" si="29"/>
        <v>9079</v>
      </c>
      <c r="C33" s="295">
        <f t="shared" ref="C33" si="36">B33-B32</f>
        <v>0</v>
      </c>
      <c r="D33" s="570">
        <f t="shared" si="30"/>
        <v>218240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0">
        <f t="shared" si="14"/>
        <v>10698</v>
      </c>
      <c r="K33" s="295">
        <f>J33-J32</f>
        <v>0</v>
      </c>
      <c r="L33" s="570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0">
        <f t="shared" si="27"/>
        <v>11640</v>
      </c>
      <c r="S33" s="295">
        <f t="shared" ref="S33" si="43">R33-R32</f>
        <v>0</v>
      </c>
      <c r="T33" s="570">
        <f t="shared" si="27"/>
        <v>342996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127</v>
      </c>
      <c r="V34" s="40"/>
      <c r="X34">
        <v>341</v>
      </c>
      <c r="Z34" s="432">
        <f>SUM(Z3:Z32)</f>
        <v>127</v>
      </c>
    </row>
    <row r="35" spans="1:37">
      <c r="C35" s="40">
        <f>SUM(C3:C32)</f>
        <v>82</v>
      </c>
      <c r="K35" s="40">
        <f>SUM(K3:K32)</f>
        <v>0</v>
      </c>
      <c r="S35" s="40">
        <f>SUM(S3:S32)</f>
        <v>45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10988</v>
      </c>
      <c r="E6" s="3">
        <f>ELEC!Q24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7</v>
      </c>
      <c r="B18" s="3">
        <f>ELEC!AF19</f>
        <v>1370</v>
      </c>
      <c r="C18" s="3">
        <f>ELEC!N19</f>
        <v>11726</v>
      </c>
      <c r="D18" s="3">
        <f t="shared" si="0"/>
        <v>10726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-16.39999999999992</v>
      </c>
      <c r="J18" s="9">
        <f>'B5'!A20</f>
        <v>44059</v>
      </c>
    </row>
    <row r="19" spans="1:10">
      <c r="A19" s="3">
        <f>ELEC!T20+ELEC!X20+ELEC!AB20</f>
        <v>19</v>
      </c>
      <c r="B19" s="3">
        <f>ELEC!AF20</f>
        <v>4094</v>
      </c>
      <c r="C19" s="3">
        <f>ELEC!N20</f>
        <v>12104</v>
      </c>
      <c r="D19" s="3">
        <f t="shared" si="0"/>
        <v>11104</v>
      </c>
      <c r="E19" s="3">
        <f>ELEC!Q20</f>
        <v>1000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-69.499999999999972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2</v>
      </c>
      <c r="G20" s="3">
        <f>WATER!C23+WATER!H23</f>
        <v>0</v>
      </c>
      <c r="H20" s="3">
        <f>WATER!L23</f>
        <v>0</v>
      </c>
      <c r="I20" s="15">
        <f>WATER!BC23+WATER!BD23+WATER!BE24-Sheet1!G20</f>
        <v>6.3999999999999773</v>
      </c>
      <c r="J20" s="9">
        <f>'B5'!A22</f>
        <v>44061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44062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44063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44064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44065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5"/>
      <c r="B1" s="632" t="s">
        <v>119</v>
      </c>
      <c r="C1" s="632" t="s">
        <v>118</v>
      </c>
      <c r="D1" s="637" t="s">
        <v>113</v>
      </c>
      <c r="E1" s="637" t="s">
        <v>114</v>
      </c>
      <c r="F1" s="638" t="s">
        <v>120</v>
      </c>
      <c r="G1" s="639" t="s">
        <v>75</v>
      </c>
      <c r="H1" s="640" t="s">
        <v>115</v>
      </c>
      <c r="I1" s="641" t="s">
        <v>116</v>
      </c>
      <c r="J1" s="640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36"/>
      <c r="B2" s="633"/>
      <c r="C2" s="633"/>
      <c r="D2" s="637"/>
      <c r="E2" s="637"/>
      <c r="F2" s="638"/>
      <c r="G2" s="639"/>
      <c r="H2" s="640"/>
      <c r="I2" s="642"/>
      <c r="J2" s="640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-6.1999999999999886</v>
      </c>
      <c r="H21" s="79">
        <f>ELEC!AF19</f>
        <v>1370</v>
      </c>
      <c r="I21" s="79">
        <f>ELEC!Q19</f>
        <v>1000</v>
      </c>
      <c r="J21" s="79">
        <f>ELEC!R19</f>
        <v>10726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211</v>
      </c>
      <c r="C22" s="76">
        <f>'B5'!AH22</f>
        <v>244</v>
      </c>
      <c r="D22" s="76">
        <f>GEN!AI20</f>
        <v>257.38396624472574</v>
      </c>
      <c r="E22" s="247">
        <f t="shared" si="0"/>
        <v>712.3839662447258</v>
      </c>
      <c r="F22" s="75">
        <f>WATER!L22</f>
        <v>0</v>
      </c>
      <c r="G22" s="78">
        <f>WATER!BG22</f>
        <v>-10.199999999999932</v>
      </c>
      <c r="H22" s="79">
        <f>ELEC!AF20</f>
        <v>4094</v>
      </c>
      <c r="I22" s="79">
        <f>ELEC!Q20</f>
        <v>1000</v>
      </c>
      <c r="J22" s="79">
        <f>ELEC!R20</f>
        <v>11104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-59.30000000000004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3" t="s">
        <v>151</v>
      </c>
      <c r="U3" s="64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5</v>
      </c>
      <c r="G23">
        <f t="shared" si="1"/>
        <v>535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zoomScale="80" zoomScaleNormal="80" workbookViewId="0">
      <selection activeCell="L22" sqref="L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7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7">
        <v>30051</v>
      </c>
      <c r="G4" s="160">
        <f t="shared" ref="G4:G32" si="1">F4-F3</f>
        <v>0</v>
      </c>
      <c r="H4" s="567">
        <v>103383</v>
      </c>
      <c r="I4" s="161">
        <f t="shared" ref="I4:I33" si="2">H4-H3</f>
        <v>3514</v>
      </c>
      <c r="J4" s="567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89.88563529905106</v>
      </c>
      <c r="P4" s="305">
        <f>SUM(L4:O4)</f>
        <v>413.15462369042746</v>
      </c>
      <c r="Q4" s="305">
        <f>SUM(-tanks!AX6*tanks!$AU$37)</f>
        <v>3143.9571370967742</v>
      </c>
      <c r="R4" s="305">
        <f>SUM(P4:Q4)</f>
        <v>3557.1117607872015</v>
      </c>
      <c r="S4" s="307">
        <f>SUM(ELEC!N3)</f>
        <v>25351</v>
      </c>
      <c r="T4" s="344">
        <f>IF(S4&gt;0,R4/S4,0)</f>
        <v>0.14031445547659666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57"/>
      <c r="AC4" s="658"/>
    </row>
    <row r="5" spans="1:30" ht="15.75" thickBot="1">
      <c r="A5" s="163">
        <f>ELEC!C4</f>
        <v>44045</v>
      </c>
      <c r="B5" s="567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7">
        <v>31607</v>
      </c>
      <c r="G5" s="160">
        <f t="shared" si="1"/>
        <v>1556</v>
      </c>
      <c r="H5" s="567">
        <v>107210</v>
      </c>
      <c r="I5" s="161">
        <f t="shared" si="2"/>
        <v>3827</v>
      </c>
      <c r="J5" s="567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89.88563529905106</v>
      </c>
      <c r="P5" s="305">
        <f t="shared" ref="P5:P32" si="9">SUM(L5:O5)</f>
        <v>841.26473977666296</v>
      </c>
      <c r="Q5" s="305">
        <f>SUM(-tanks!AX7*tanks!$AU$37)</f>
        <v>1436.2537499999994</v>
      </c>
      <c r="R5" s="305">
        <f t="shared" ref="R5:R32" si="10">SUM(P5:Q5)</f>
        <v>2277.5184897766621</v>
      </c>
      <c r="S5" s="307">
        <f>SUM(ELEC!N4)</f>
        <v>24732</v>
      </c>
      <c r="T5" s="344">
        <f>IF(S5&gt;0,R5/S5,0)</f>
        <v>9.2087922116151633E-2</v>
      </c>
      <c r="U5" s="255"/>
      <c r="V5" s="651"/>
      <c r="W5" s="652"/>
      <c r="X5" s="652"/>
      <c r="Y5" s="653"/>
      <c r="Z5" s="26" t="s">
        <v>203</v>
      </c>
      <c r="AA5" s="270">
        <f>'[5]EDl log'!AA22</f>
        <v>5000</v>
      </c>
      <c r="AB5" s="659"/>
      <c r="AC5" s="660"/>
    </row>
    <row r="6" spans="1:30" ht="15.75" thickBot="1">
      <c r="A6" s="163">
        <f>ELEC!C5</f>
        <v>44046</v>
      </c>
      <c r="B6" s="567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7">
        <v>31607</v>
      </c>
      <c r="G6" s="160">
        <f t="shared" si="1"/>
        <v>0</v>
      </c>
      <c r="H6" s="567">
        <v>110888</v>
      </c>
      <c r="I6" s="161">
        <f t="shared" si="2"/>
        <v>3678</v>
      </c>
      <c r="J6" s="567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89.88563529905106</v>
      </c>
      <c r="P6" s="305">
        <f t="shared" si="9"/>
        <v>406.60603330900125</v>
      </c>
      <c r="Q6" s="305">
        <f>SUM(-tanks!AX8*tanks!$AU$37)</f>
        <v>1913.031854838712</v>
      </c>
      <c r="R6" s="305">
        <f t="shared" si="10"/>
        <v>2319.6378881477131</v>
      </c>
      <c r="S6" s="307">
        <f>SUM(ELEC!N5)</f>
        <v>23757</v>
      </c>
      <c r="T6" s="344">
        <f t="shared" ref="T6:T32" si="12">IF(S6&gt;0,R6/S6,0)</f>
        <v>9.7640185551530631E-2</v>
      </c>
      <c r="V6" s="654"/>
      <c r="W6" s="655"/>
      <c r="X6" s="655"/>
      <c r="Y6" s="656"/>
      <c r="Z6" s="3"/>
      <c r="AA6" s="3"/>
      <c r="AB6" s="659"/>
      <c r="AC6" s="660"/>
    </row>
    <row r="7" spans="1:30" ht="15" customHeight="1" thickBot="1">
      <c r="A7" s="163">
        <f>ELEC!C6</f>
        <v>44047</v>
      </c>
      <c r="B7" s="567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7">
        <v>32332</v>
      </c>
      <c r="G7" s="160">
        <f t="shared" si="1"/>
        <v>725</v>
      </c>
      <c r="H7" s="567">
        <v>114200</v>
      </c>
      <c r="I7" s="161">
        <f t="shared" si="2"/>
        <v>3312</v>
      </c>
      <c r="J7" s="567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89.88563529905106</v>
      </c>
      <c r="P7" s="305">
        <f t="shared" si="9"/>
        <v>668.84682932890178</v>
      </c>
      <c r="Q7" s="305">
        <f>SUM(-tanks!AX9*tanks!$AU$37)</f>
        <v>714.87500000000011</v>
      </c>
      <c r="R7" s="305">
        <f t="shared" si="10"/>
        <v>1383.721829328902</v>
      </c>
      <c r="S7" s="307">
        <f>SUM(ELEC!N6)</f>
        <v>25244</v>
      </c>
      <c r="T7" s="344">
        <f t="shared" si="12"/>
        <v>5.481388961055704E-2</v>
      </c>
      <c r="V7" s="647" t="s">
        <v>204</v>
      </c>
      <c r="W7" s="648"/>
      <c r="X7" s="649" t="s">
        <v>205</v>
      </c>
      <c r="Y7" s="650"/>
      <c r="Z7" s="648"/>
      <c r="AA7" s="26"/>
      <c r="AB7" s="661"/>
      <c r="AC7" s="662"/>
    </row>
    <row r="8" spans="1:30" ht="15.75" customHeight="1" thickBot="1">
      <c r="A8" s="163">
        <f>ELEC!C7</f>
        <v>44048</v>
      </c>
      <c r="B8" s="567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7">
        <v>32678</v>
      </c>
      <c r="G8" s="160">
        <f t="shared" si="1"/>
        <v>346</v>
      </c>
      <c r="H8" s="567">
        <v>116434</v>
      </c>
      <c r="I8" s="161">
        <f t="shared" si="2"/>
        <v>2234</v>
      </c>
      <c r="J8" s="567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89.88563529905106</v>
      </c>
      <c r="P8" s="305">
        <f t="shared" si="9"/>
        <v>329.30719417135623</v>
      </c>
      <c r="Q8" s="305">
        <f>SUM(-tanks!AX10*tanks!$AU$37)</f>
        <v>2466.8822580645119</v>
      </c>
      <c r="R8" s="305">
        <f t="shared" si="10"/>
        <v>2796.189452235868</v>
      </c>
      <c r="S8" s="307">
        <f>SUM(ELEC!N7)</f>
        <v>10988</v>
      </c>
      <c r="T8" s="344">
        <f>IF(S8&gt;0,R8/S8,0)</f>
        <v>0.2544766520054485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7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7">
        <v>33222</v>
      </c>
      <c r="G9" s="160">
        <f t="shared" si="1"/>
        <v>544</v>
      </c>
      <c r="H9" s="567">
        <v>117014</v>
      </c>
      <c r="I9" s="161">
        <f t="shared" si="2"/>
        <v>580</v>
      </c>
      <c r="J9" s="567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89.88563529905106</v>
      </c>
      <c r="P9" s="305">
        <f t="shared" si="9"/>
        <v>339.83588405526996</v>
      </c>
      <c r="Q9" s="305">
        <f>SUM(-tanks!AX11*tanks!$AU$37)</f>
        <v>202.46411290322698</v>
      </c>
      <c r="R9" s="305">
        <f>SUM(P9:Q9)</f>
        <v>542.29999695849688</v>
      </c>
      <c r="S9" s="307">
        <f>SUM(ELEC!N8)</f>
        <v>10699</v>
      </c>
      <c r="T9" s="344">
        <f t="shared" si="12"/>
        <v>5.068697980731815E-2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7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7">
        <v>33793</v>
      </c>
      <c r="G10" s="160">
        <f t="shared" si="1"/>
        <v>571</v>
      </c>
      <c r="H10" s="567">
        <v>121686</v>
      </c>
      <c r="I10" s="161">
        <f t="shared" si="2"/>
        <v>4672</v>
      </c>
      <c r="J10" s="567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89.88563529905106</v>
      </c>
      <c r="P10" s="305">
        <f t="shared" si="9"/>
        <v>606.33273314316375</v>
      </c>
      <c r="Q10" s="305">
        <f>SUM(-tanks!AX12*tanks!$AU$37)</f>
        <v>-1136.0322580645077</v>
      </c>
      <c r="R10" s="305">
        <f t="shared" si="10"/>
        <v>-529.69952492134394</v>
      </c>
      <c r="S10" s="307">
        <f>SUM(ELEC!N9)</f>
        <v>9781</v>
      </c>
      <c r="T10" s="344">
        <f t="shared" si="12"/>
        <v>-5.4155968195618437E-2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7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7">
        <v>34451</v>
      </c>
      <c r="G11" s="160">
        <f t="shared" si="1"/>
        <v>658</v>
      </c>
      <c r="H11" s="567">
        <v>124110</v>
      </c>
      <c r="I11" s="161">
        <f t="shared" si="2"/>
        <v>2424</v>
      </c>
      <c r="J11" s="567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89.88563529905106</v>
      </c>
      <c r="P11" s="305">
        <f t="shared" si="9"/>
        <v>491.53604989274925</v>
      </c>
      <c r="Q11" s="305">
        <f>SUM(-tanks!AX13*tanks!$AU$37)</f>
        <v>609.60995967741223</v>
      </c>
      <c r="R11" s="305">
        <f t="shared" si="10"/>
        <v>1101.1460095701614</v>
      </c>
      <c r="S11" s="307">
        <f>SUM(ELEC!N10)</f>
        <v>10647</v>
      </c>
      <c r="T11" s="344">
        <f t="shared" si="12"/>
        <v>0.10342312478352225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7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7">
        <v>34998</v>
      </c>
      <c r="G12" s="160">
        <f t="shared" si="1"/>
        <v>547</v>
      </c>
      <c r="H12" s="567">
        <v>126161</v>
      </c>
      <c r="I12" s="161">
        <f t="shared" si="2"/>
        <v>2051</v>
      </c>
      <c r="J12" s="567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89.88563529905106</v>
      </c>
      <c r="P12" s="305">
        <f t="shared" si="9"/>
        <v>407.04119085460661</v>
      </c>
      <c r="Q12" s="305">
        <f>SUM(-tanks!AX14*tanks!$AU$37)</f>
        <v>320.71931451613244</v>
      </c>
      <c r="R12" s="305">
        <f t="shared" si="10"/>
        <v>727.76050537073911</v>
      </c>
      <c r="S12" s="307">
        <f>SUM(ELEC!N11)</f>
        <v>8400</v>
      </c>
      <c r="T12" s="344">
        <f t="shared" si="12"/>
        <v>8.6638155401278463E-2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7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7">
        <v>35632</v>
      </c>
      <c r="G13" s="160">
        <f t="shared" si="1"/>
        <v>634</v>
      </c>
      <c r="H13" s="567">
        <v>129428</v>
      </c>
      <c r="I13" s="161">
        <f t="shared" si="2"/>
        <v>3267</v>
      </c>
      <c r="J13" s="567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89.88563529905106</v>
      </c>
      <c r="P13" s="305">
        <f t="shared" si="9"/>
        <v>509.90818919623183</v>
      </c>
      <c r="Q13" s="305">
        <f>SUM(-tanks!AX15*tanks!$AU$37)</f>
        <v>253.34975806451698</v>
      </c>
      <c r="R13" s="305">
        <f t="shared" si="10"/>
        <v>763.25794726074878</v>
      </c>
      <c r="S13" s="307">
        <f>SUM(ELEC!N12)</f>
        <v>10457</v>
      </c>
      <c r="T13" s="344">
        <f t="shared" si="12"/>
        <v>7.2990145095223183E-2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5">
        <f>ELEC!C13</f>
        <v>44054</v>
      </c>
      <c r="B14" s="567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7">
        <v>36294</v>
      </c>
      <c r="G14" s="160">
        <f t="shared" si="1"/>
        <v>662</v>
      </c>
      <c r="H14" s="567">
        <v>132032</v>
      </c>
      <c r="I14" s="161">
        <f t="shared" si="2"/>
        <v>2604</v>
      </c>
      <c r="J14" s="567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89.88563529905106</v>
      </c>
      <c r="P14" s="305">
        <f t="shared" ref="P14:P17" si="18">SUM(L14:O14)</f>
        <v>495.4100134085038</v>
      </c>
      <c r="Q14" s="305">
        <f>SUM(-tanks!AX16*tanks!$AU$37)</f>
        <v>271.52072580643983</v>
      </c>
      <c r="R14" s="305">
        <f t="shared" ref="R14:R17" si="19">SUM(P14:Q14)</f>
        <v>766.93073921494363</v>
      </c>
      <c r="S14" s="307">
        <f>SUM(ELEC!N13)</f>
        <v>10265</v>
      </c>
      <c r="T14" s="344">
        <f t="shared" ref="T14:T17" si="20">IF(S14&gt;0,R14/S14,0)</f>
        <v>7.4713174789570735E-2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7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7">
        <v>36961</v>
      </c>
      <c r="G15" s="160">
        <f t="shared" si="1"/>
        <v>667</v>
      </c>
      <c r="H15" s="567">
        <v>134600</v>
      </c>
      <c r="I15" s="161">
        <f t="shared" si="2"/>
        <v>2568</v>
      </c>
      <c r="J15" s="567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89.88563529905106</v>
      </c>
      <c r="P15" s="305">
        <f t="shared" si="18"/>
        <v>495.9194661448222</v>
      </c>
      <c r="Q15" s="305">
        <f>SUM(-tanks!AX17*tanks!$AU$37)</f>
        <v>911.81153225806793</v>
      </c>
      <c r="R15" s="305">
        <f t="shared" si="19"/>
        <v>1407.7309984028902</v>
      </c>
      <c r="S15" s="307">
        <f>SUM(ELEC!N14)</f>
        <v>10779</v>
      </c>
      <c r="T15" s="344">
        <f t="shared" si="20"/>
        <v>0.1305994061047305</v>
      </c>
      <c r="V15" s="270" t="str">
        <f>'[5]EDl log'!V32</f>
        <v>H Deg</v>
      </c>
      <c r="W15" s="270">
        <f>'[1]EDl log'!W32</f>
        <v>-549.00000000000011</v>
      </c>
      <c r="X15" s="576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7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7">
        <v>37335</v>
      </c>
      <c r="G16" s="160">
        <f t="shared" si="1"/>
        <v>374</v>
      </c>
      <c r="H16" s="567">
        <v>137364</v>
      </c>
      <c r="I16" s="161">
        <f t="shared" si="2"/>
        <v>2764</v>
      </c>
      <c r="J16" s="567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89.88563529905106</v>
      </c>
      <c r="P16" s="305">
        <f t="shared" si="18"/>
        <v>452.47800677500464</v>
      </c>
      <c r="Q16" s="305">
        <f>SUM(-tanks!AX18*tanks!$AU$37)</f>
        <v>0</v>
      </c>
      <c r="R16" s="305">
        <f t="shared" si="19"/>
        <v>452.47800677500464</v>
      </c>
      <c r="S16" s="307">
        <f>SUM(ELEC!N15)</f>
        <v>11455</v>
      </c>
      <c r="T16" s="344">
        <f t="shared" si="20"/>
        <v>3.9500480731122188E-2</v>
      </c>
      <c r="V16" s="270" t="str">
        <f>'[5]EDl log'!V33</f>
        <v>C Deg</v>
      </c>
      <c r="W16" s="270">
        <f>'[1]EDl log'!W33</f>
        <v>0</v>
      </c>
      <c r="X16" s="576">
        <f>'[2]EDl log'!X16</f>
        <v>0</v>
      </c>
      <c r="Y16" s="576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7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7">
        <v>37817</v>
      </c>
      <c r="G17" s="160">
        <f t="shared" si="1"/>
        <v>482</v>
      </c>
      <c r="H17" s="567">
        <v>139727</v>
      </c>
      <c r="I17" s="161">
        <f t="shared" si="2"/>
        <v>2363</v>
      </c>
      <c r="J17" s="567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89.88563529905106</v>
      </c>
      <c r="P17" s="305">
        <f t="shared" si="18"/>
        <v>423.05711125261655</v>
      </c>
      <c r="Q17" s="305">
        <f>SUM(-tanks!AX19*tanks!$AU$37)</f>
        <v>691.42959677419401</v>
      </c>
      <c r="R17" s="305">
        <f t="shared" si="19"/>
        <v>1114.4867080268104</v>
      </c>
      <c r="S17" s="307">
        <f>SUM(ELEC!N16)</f>
        <v>11209</v>
      </c>
      <c r="T17" s="344">
        <f t="shared" si="20"/>
        <v>9.9427844413133237E-2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7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7">
        <v>38527</v>
      </c>
      <c r="G18" s="160">
        <f t="shared" si="1"/>
        <v>710</v>
      </c>
      <c r="H18" s="567">
        <v>141543</v>
      </c>
      <c r="I18" s="161">
        <f t="shared" si="2"/>
        <v>1816</v>
      </c>
      <c r="J18" s="567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89.88563529905106</v>
      </c>
      <c r="P18" s="305">
        <f t="shared" si="9"/>
        <v>458.99475636041092</v>
      </c>
      <c r="Q18" s="305">
        <f>SUM(-tanks!AX20*tanks!$AU$37)</f>
        <v>505.80483870967697</v>
      </c>
      <c r="R18" s="305">
        <f t="shared" si="10"/>
        <v>964.79959507008789</v>
      </c>
      <c r="S18" s="307">
        <f>SUM(ELEC!N17)</f>
        <v>9704</v>
      </c>
      <c r="T18" s="344">
        <f t="shared" si="12"/>
        <v>9.9422876656027198E-2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7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7">
        <v>39113</v>
      </c>
      <c r="G19" s="160">
        <f t="shared" si="1"/>
        <v>586</v>
      </c>
      <c r="H19" s="567">
        <v>143816</v>
      </c>
      <c r="I19" s="161">
        <f t="shared" si="2"/>
        <v>2273</v>
      </c>
      <c r="J19" s="567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89.88563529905106</v>
      </c>
      <c r="P19" s="305">
        <f t="shared" si="9"/>
        <v>450.22792385626497</v>
      </c>
      <c r="Q19" s="305">
        <f>SUM(-tanks!AX21*tanks!$AU$37)</f>
        <v>117.71596774192915</v>
      </c>
      <c r="R19" s="305">
        <f t="shared" si="10"/>
        <v>567.94389159819411</v>
      </c>
      <c r="S19" s="307">
        <f>SUM(ELEC!N18)</f>
        <v>9365</v>
      </c>
      <c r="T19" s="344">
        <f t="shared" si="12"/>
        <v>6.0645370165317042E-2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7">
        <v>286074</v>
      </c>
      <c r="C20" s="270">
        <f t="shared" si="0"/>
        <v>5136</v>
      </c>
      <c r="D20" s="316">
        <f t="shared" si="7"/>
        <v>5136</v>
      </c>
      <c r="E20" s="316">
        <f t="shared" si="11"/>
        <v>286074</v>
      </c>
      <c r="F20" s="567">
        <v>39658</v>
      </c>
      <c r="G20" s="160">
        <f t="shared" si="1"/>
        <v>545</v>
      </c>
      <c r="H20" s="567">
        <v>146584</v>
      </c>
      <c r="I20" s="161">
        <f t="shared" si="2"/>
        <v>2768</v>
      </c>
      <c r="J20" s="567">
        <v>99831</v>
      </c>
      <c r="K20" s="162">
        <f t="shared" si="3"/>
        <v>1823</v>
      </c>
      <c r="L20" s="304">
        <f t="shared" si="21"/>
        <v>115.68822553897181</v>
      </c>
      <c r="M20" s="304">
        <f t="shared" si="22"/>
        <v>205.64908789386402</v>
      </c>
      <c r="N20" s="304">
        <f t="shared" si="23"/>
        <v>96.742951907131015</v>
      </c>
      <c r="O20" s="304">
        <f t="shared" si="24"/>
        <v>89.88563529905106</v>
      </c>
      <c r="P20" s="305">
        <f t="shared" si="9"/>
        <v>507.96590063901783</v>
      </c>
      <c r="Q20" s="305">
        <f>SUM(-tanks!AX22*tanks!$AU$37)</f>
        <v>380.56387096774785</v>
      </c>
      <c r="R20" s="305">
        <f t="shared" si="10"/>
        <v>888.52977160676573</v>
      </c>
      <c r="S20" s="307">
        <f>SUM(ELEC!N19)</f>
        <v>11726</v>
      </c>
      <c r="T20" s="344">
        <f t="shared" si="12"/>
        <v>7.5774328126109985E-2</v>
      </c>
      <c r="V20" t="s">
        <v>414</v>
      </c>
      <c r="AB20" s="270"/>
    </row>
    <row r="21" spans="1:32" ht="15.75" thickBot="1">
      <c r="A21" s="163">
        <f>ELEC!C20</f>
        <v>44061</v>
      </c>
      <c r="B21" s="567">
        <v>291983</v>
      </c>
      <c r="C21" s="270">
        <f t="shared" si="0"/>
        <v>5909</v>
      </c>
      <c r="D21" s="316">
        <f t="shared" si="7"/>
        <v>5909</v>
      </c>
      <c r="E21" s="316">
        <f t="shared" si="11"/>
        <v>291983</v>
      </c>
      <c r="F21" s="567">
        <v>40231</v>
      </c>
      <c r="G21" s="160">
        <f t="shared" si="1"/>
        <v>573</v>
      </c>
      <c r="H21" s="567">
        <v>150160</v>
      </c>
      <c r="I21" s="161">
        <f t="shared" si="2"/>
        <v>3576</v>
      </c>
      <c r="J21" s="567">
        <v>101591</v>
      </c>
      <c r="K21" s="162">
        <f t="shared" si="3"/>
        <v>1760</v>
      </c>
      <c r="L21" s="304">
        <f t="shared" si="21"/>
        <v>121.6318407960199</v>
      </c>
      <c r="M21" s="304">
        <f t="shared" si="22"/>
        <v>265.67960199004978</v>
      </c>
      <c r="N21" s="304">
        <f t="shared" si="23"/>
        <v>93.399668325041461</v>
      </c>
      <c r="O21" s="304">
        <f t="shared" si="24"/>
        <v>89.88563529905106</v>
      </c>
      <c r="P21" s="305">
        <f t="shared" si="9"/>
        <v>570.59674641016215</v>
      </c>
      <c r="Q21" s="305">
        <f>SUM(-tanks!AX23*tanks!$AU$37)</f>
        <v>88.878225806446082</v>
      </c>
      <c r="R21" s="305">
        <f t="shared" si="10"/>
        <v>659.47497221660819</v>
      </c>
      <c r="S21" s="307">
        <f>SUM(ELEC!N20)</f>
        <v>12104</v>
      </c>
      <c r="T21" s="344">
        <f t="shared" si="12"/>
        <v>5.448405256250894E-2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57"/>
      <c r="AC21" s="658"/>
    </row>
    <row r="22" spans="1:32" ht="15.75" thickBot="1">
      <c r="A22" s="163">
        <f>ELEC!C21</f>
        <v>44062</v>
      </c>
      <c r="B22" s="567">
        <f t="shared" ref="B22:B34" si="25">B21</f>
        <v>291983</v>
      </c>
      <c r="C22" s="270">
        <f t="shared" si="0"/>
        <v>0</v>
      </c>
      <c r="D22" s="316">
        <f t="shared" si="7"/>
        <v>0</v>
      </c>
      <c r="E22" s="316">
        <f t="shared" si="11"/>
        <v>291983</v>
      </c>
      <c r="F22" s="567">
        <f t="shared" ref="F22:J34" si="26">F21</f>
        <v>40231</v>
      </c>
      <c r="G22" s="160">
        <f t="shared" si="1"/>
        <v>0</v>
      </c>
      <c r="H22" s="567">
        <f t="shared" si="26"/>
        <v>150160</v>
      </c>
      <c r="I22" s="161">
        <f t="shared" si="2"/>
        <v>0</v>
      </c>
      <c r="J22" s="567">
        <f t="shared" si="26"/>
        <v>101591</v>
      </c>
      <c r="K22" s="162">
        <f t="shared" si="3"/>
        <v>0</v>
      </c>
      <c r="L22" s="304">
        <f t="shared" si="21"/>
        <v>0</v>
      </c>
      <c r="M22" s="304">
        <f t="shared" si="22"/>
        <v>0</v>
      </c>
      <c r="N22" s="304">
        <f t="shared" si="23"/>
        <v>0</v>
      </c>
      <c r="O22" s="304">
        <f t="shared" si="24"/>
        <v>89.88563529905106</v>
      </c>
      <c r="P22" s="305">
        <f t="shared" si="9"/>
        <v>89.88563529905106</v>
      </c>
      <c r="Q22" s="305">
        <f>SUM(-tanks!AX24*tanks!$AU$37)</f>
        <v>0</v>
      </c>
      <c r="R22" s="305">
        <f t="shared" si="10"/>
        <v>89.88563529905106</v>
      </c>
      <c r="S22" s="307">
        <f>SUM(ELEC!N21)</f>
        <v>0</v>
      </c>
      <c r="T22" s="344">
        <f t="shared" si="12"/>
        <v>0</v>
      </c>
      <c r="V22" s="663"/>
      <c r="W22" s="664"/>
      <c r="X22" s="664"/>
      <c r="Y22" s="665"/>
      <c r="Z22" s="26" t="s">
        <v>203</v>
      </c>
      <c r="AA22" s="26">
        <v>5000</v>
      </c>
      <c r="AB22" s="659"/>
      <c r="AC22" s="660"/>
    </row>
    <row r="23" spans="1:32" ht="15.75" thickBot="1">
      <c r="A23" s="163">
        <f>ELEC!C22</f>
        <v>44063</v>
      </c>
      <c r="B23" s="567">
        <f t="shared" si="25"/>
        <v>291983</v>
      </c>
      <c r="C23" s="270">
        <f t="shared" si="0"/>
        <v>0</v>
      </c>
      <c r="D23" s="316">
        <f t="shared" si="7"/>
        <v>0</v>
      </c>
      <c r="E23" s="316">
        <f t="shared" si="11"/>
        <v>291983</v>
      </c>
      <c r="F23" s="567">
        <f t="shared" si="26"/>
        <v>40231</v>
      </c>
      <c r="G23" s="160">
        <f t="shared" si="1"/>
        <v>0</v>
      </c>
      <c r="H23" s="567">
        <f t="shared" si="26"/>
        <v>150160</v>
      </c>
      <c r="I23" s="161">
        <f t="shared" si="2"/>
        <v>0</v>
      </c>
      <c r="J23" s="567">
        <f t="shared" si="26"/>
        <v>101591</v>
      </c>
      <c r="K23" s="162">
        <f t="shared" si="3"/>
        <v>0</v>
      </c>
      <c r="L23" s="304">
        <f t="shared" si="21"/>
        <v>0</v>
      </c>
      <c r="M23" s="304">
        <f t="shared" si="22"/>
        <v>0</v>
      </c>
      <c r="N23" s="304">
        <f t="shared" si="23"/>
        <v>0</v>
      </c>
      <c r="O23" s="304">
        <f t="shared" si="24"/>
        <v>89.88563529905106</v>
      </c>
      <c r="P23" s="305">
        <f t="shared" si="9"/>
        <v>89.88563529905106</v>
      </c>
      <c r="Q23" s="305">
        <f>SUM(-tanks!AX25*tanks!$AU$37)</f>
        <v>0</v>
      </c>
      <c r="R23" s="305">
        <f t="shared" si="10"/>
        <v>89.88563529905106</v>
      </c>
      <c r="S23" s="307">
        <f>SUM(ELEC!N22)</f>
        <v>0</v>
      </c>
      <c r="T23" s="344">
        <f t="shared" si="12"/>
        <v>0</v>
      </c>
      <c r="V23" s="666"/>
      <c r="W23" s="667"/>
      <c r="X23" s="667"/>
      <c r="Y23" s="668"/>
      <c r="Z23" s="669"/>
      <c r="AA23" s="670"/>
      <c r="AB23" s="659"/>
      <c r="AC23" s="660"/>
    </row>
    <row r="24" spans="1:32" ht="15" customHeight="1" thickBot="1">
      <c r="A24" s="163">
        <f>ELEC!C23</f>
        <v>44064</v>
      </c>
      <c r="B24" s="567">
        <f t="shared" si="25"/>
        <v>291983</v>
      </c>
      <c r="C24" s="270">
        <f t="shared" si="0"/>
        <v>0</v>
      </c>
      <c r="D24" s="316">
        <f t="shared" si="7"/>
        <v>0</v>
      </c>
      <c r="E24" s="316">
        <f t="shared" si="11"/>
        <v>291983</v>
      </c>
      <c r="F24" s="567">
        <f t="shared" si="26"/>
        <v>40231</v>
      </c>
      <c r="G24" s="160">
        <f t="shared" si="1"/>
        <v>0</v>
      </c>
      <c r="H24" s="567">
        <f t="shared" si="26"/>
        <v>150160</v>
      </c>
      <c r="I24" s="161">
        <f t="shared" si="2"/>
        <v>0</v>
      </c>
      <c r="J24" s="567">
        <f t="shared" si="26"/>
        <v>101591</v>
      </c>
      <c r="K24" s="162">
        <f t="shared" si="3"/>
        <v>0</v>
      </c>
      <c r="L24" s="304">
        <f t="shared" si="21"/>
        <v>0</v>
      </c>
      <c r="M24" s="304">
        <f t="shared" si="22"/>
        <v>0</v>
      </c>
      <c r="N24" s="304">
        <f t="shared" si="23"/>
        <v>0</v>
      </c>
      <c r="O24" s="304">
        <f t="shared" si="24"/>
        <v>89.88563529905106</v>
      </c>
      <c r="P24" s="305">
        <f t="shared" si="9"/>
        <v>89.88563529905106</v>
      </c>
      <c r="Q24" s="305">
        <f>SUM(-tanks!AX26*tanks!$AU$37)</f>
        <v>0</v>
      </c>
      <c r="R24" s="305">
        <f t="shared" si="10"/>
        <v>89.88563529905106</v>
      </c>
      <c r="S24" s="307">
        <f>SUM(ELEC!N23)</f>
        <v>0</v>
      </c>
      <c r="T24" s="344">
        <f t="shared" si="12"/>
        <v>0</v>
      </c>
      <c r="V24" s="671" t="s">
        <v>204</v>
      </c>
      <c r="W24" s="672"/>
      <c r="X24" s="673" t="s">
        <v>205</v>
      </c>
      <c r="Y24" s="674"/>
      <c r="Z24" s="675"/>
      <c r="AA24" s="170"/>
      <c r="AB24" s="661"/>
      <c r="AC24" s="662"/>
    </row>
    <row r="25" spans="1:32" ht="17.25" customHeight="1" thickBot="1">
      <c r="A25" s="163">
        <f>ELEC!C24</f>
        <v>44065</v>
      </c>
      <c r="B25" s="567">
        <f t="shared" si="25"/>
        <v>291983</v>
      </c>
      <c r="C25" s="270">
        <f t="shared" si="0"/>
        <v>0</v>
      </c>
      <c r="D25" s="316">
        <f t="shared" si="7"/>
        <v>0</v>
      </c>
      <c r="E25" s="316">
        <f t="shared" si="11"/>
        <v>291983</v>
      </c>
      <c r="F25" s="567">
        <f t="shared" si="26"/>
        <v>40231</v>
      </c>
      <c r="G25" s="160">
        <f t="shared" si="1"/>
        <v>0</v>
      </c>
      <c r="H25" s="567">
        <f t="shared" si="26"/>
        <v>150160</v>
      </c>
      <c r="I25" s="161">
        <f t="shared" si="2"/>
        <v>0</v>
      </c>
      <c r="J25" s="567">
        <f t="shared" si="26"/>
        <v>101591</v>
      </c>
      <c r="K25" s="162">
        <f t="shared" si="3"/>
        <v>0</v>
      </c>
      <c r="L25" s="304">
        <f t="shared" si="21"/>
        <v>0</v>
      </c>
      <c r="M25" s="304">
        <f t="shared" si="22"/>
        <v>0</v>
      </c>
      <c r="N25" s="304">
        <f t="shared" si="23"/>
        <v>0</v>
      </c>
      <c r="O25" s="304">
        <f t="shared" si="24"/>
        <v>89.88563529905106</v>
      </c>
      <c r="P25" s="305">
        <f t="shared" si="9"/>
        <v>89.88563529905106</v>
      </c>
      <c r="Q25" s="305">
        <f>SUM(-tanks!AX27*tanks!$AU$37)</f>
        <v>0</v>
      </c>
      <c r="R25" s="305">
        <f t="shared" si="10"/>
        <v>89.88563529905106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44066</v>
      </c>
      <c r="B26" s="567">
        <f t="shared" si="25"/>
        <v>291983</v>
      </c>
      <c r="C26" s="270">
        <f t="shared" si="0"/>
        <v>0</v>
      </c>
      <c r="D26" s="316">
        <f t="shared" si="7"/>
        <v>0</v>
      </c>
      <c r="E26" s="316">
        <f t="shared" si="11"/>
        <v>291983</v>
      </c>
      <c r="F26" s="567">
        <f t="shared" si="26"/>
        <v>40231</v>
      </c>
      <c r="G26" s="160">
        <f t="shared" si="1"/>
        <v>0</v>
      </c>
      <c r="H26" s="567">
        <f t="shared" si="26"/>
        <v>150160</v>
      </c>
      <c r="I26" s="161">
        <f t="shared" si="2"/>
        <v>0</v>
      </c>
      <c r="J26" s="567">
        <f t="shared" si="26"/>
        <v>101591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24"/>
        <v>89.88563529905106</v>
      </c>
      <c r="P26" s="305">
        <f t="shared" si="9"/>
        <v>89.88563529905106</v>
      </c>
      <c r="Q26" s="305">
        <f>SUM(-tanks!AX28*tanks!$AU$37)</f>
        <v>0</v>
      </c>
      <c r="R26" s="305">
        <f t="shared" si="10"/>
        <v>89.88563529905106</v>
      </c>
      <c r="S26" s="307">
        <f>SUM(ELEC!N25)</f>
        <v>0</v>
      </c>
      <c r="T26" s="344">
        <f t="shared" si="12"/>
        <v>0</v>
      </c>
      <c r="V26" s="259">
        <f>W9</f>
        <v>76091</v>
      </c>
      <c r="W26" s="170">
        <f>J34</f>
        <v>101591</v>
      </c>
      <c r="X26" s="172" t="s">
        <v>199</v>
      </c>
      <c r="Y26" s="172">
        <v>80</v>
      </c>
      <c r="Z26" s="172">
        <v>1</v>
      </c>
      <c r="AA26" s="199">
        <f>(W26-V26)*Z26</f>
        <v>25500</v>
      </c>
      <c r="AB26" s="199">
        <f>AA26*Y26</f>
        <v>2040000</v>
      </c>
      <c r="AC26" s="254">
        <f>AC9</f>
        <v>1033333</v>
      </c>
      <c r="AD26" s="215">
        <f>SUM(K38)</f>
        <v>0.29660474800227982</v>
      </c>
    </row>
    <row r="27" spans="1:32" ht="15.75" thickBot="1">
      <c r="A27" s="163">
        <f>ELEC!C26</f>
        <v>44067</v>
      </c>
      <c r="B27" s="567">
        <f t="shared" si="25"/>
        <v>291983</v>
      </c>
      <c r="C27" s="270">
        <f t="shared" si="0"/>
        <v>0</v>
      </c>
      <c r="D27" s="316">
        <f t="shared" si="7"/>
        <v>0</v>
      </c>
      <c r="E27" s="316">
        <f t="shared" si="11"/>
        <v>291983</v>
      </c>
      <c r="F27" s="567">
        <f t="shared" si="26"/>
        <v>40231</v>
      </c>
      <c r="G27" s="160">
        <f t="shared" si="1"/>
        <v>0</v>
      </c>
      <c r="H27" s="567">
        <f t="shared" si="26"/>
        <v>150160</v>
      </c>
      <c r="I27" s="161">
        <f t="shared" si="2"/>
        <v>0</v>
      </c>
      <c r="J27" s="567">
        <f t="shared" si="26"/>
        <v>101591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24"/>
        <v>89.88563529905106</v>
      </c>
      <c r="P27" s="305">
        <f t="shared" si="9"/>
        <v>89.88563529905106</v>
      </c>
      <c r="Q27" s="305">
        <f>SUM(-tanks!AX29*tanks!$AU$37)</f>
        <v>0</v>
      </c>
      <c r="R27" s="305">
        <f t="shared" si="10"/>
        <v>89.88563529905106</v>
      </c>
      <c r="S27" s="307">
        <f>SUM(ELEC!N26)</f>
        <v>0</v>
      </c>
      <c r="T27" s="344">
        <f t="shared" si="12"/>
        <v>0</v>
      </c>
      <c r="V27" s="259">
        <f t="shared" ref="V27:V28" si="27">W10</f>
        <v>99869</v>
      </c>
      <c r="W27" s="170">
        <f>H34</f>
        <v>150160</v>
      </c>
      <c r="X27" s="172" t="s">
        <v>213</v>
      </c>
      <c r="Y27" s="172">
        <v>112</v>
      </c>
      <c r="Z27" s="172">
        <v>1</v>
      </c>
      <c r="AA27" s="199">
        <f>(W27-V27)*Z27</f>
        <v>50291</v>
      </c>
      <c r="AB27" s="199">
        <f>SUM(AA27*Y27)</f>
        <v>5632592</v>
      </c>
      <c r="AC27" s="254">
        <f>AC10</f>
        <v>6200000</v>
      </c>
      <c r="AD27" s="215">
        <f>SUM(I38)</f>
        <v>0.58496272085422174</v>
      </c>
    </row>
    <row r="28" spans="1:32" ht="15.75" thickBot="1">
      <c r="A28" s="163">
        <f>ELEC!C27</f>
        <v>44068</v>
      </c>
      <c r="B28" s="567">
        <f t="shared" si="25"/>
        <v>291983</v>
      </c>
      <c r="C28" s="270">
        <f t="shared" si="0"/>
        <v>0</v>
      </c>
      <c r="D28" s="316">
        <f t="shared" si="7"/>
        <v>0</v>
      </c>
      <c r="E28" s="316">
        <f t="shared" si="11"/>
        <v>291983</v>
      </c>
      <c r="F28" s="567">
        <f t="shared" si="26"/>
        <v>40231</v>
      </c>
      <c r="G28" s="160">
        <f t="shared" si="1"/>
        <v>0</v>
      </c>
      <c r="H28" s="567">
        <f t="shared" si="26"/>
        <v>150160</v>
      </c>
      <c r="I28" s="161">
        <f t="shared" si="2"/>
        <v>0</v>
      </c>
      <c r="J28" s="567">
        <f t="shared" si="26"/>
        <v>101591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24"/>
        <v>89.88563529905106</v>
      </c>
      <c r="P28" s="305">
        <f t="shared" si="9"/>
        <v>89.88563529905106</v>
      </c>
      <c r="Q28" s="305">
        <f>SUM(-tanks!AX30*tanks!$AU$37)</f>
        <v>0</v>
      </c>
      <c r="R28" s="305">
        <f t="shared" si="10"/>
        <v>89.88563529905106</v>
      </c>
      <c r="S28" s="307">
        <f>SUM(ELEC!N27)</f>
        <v>0</v>
      </c>
      <c r="T28" s="344">
        <f t="shared" si="12"/>
        <v>0</v>
      </c>
      <c r="V28" s="259">
        <f t="shared" si="27"/>
        <v>30051</v>
      </c>
      <c r="W28" s="170">
        <f>F34</f>
        <v>40231</v>
      </c>
      <c r="X28" s="172" t="s">
        <v>197</v>
      </c>
      <c r="Y28" s="172">
        <v>320</v>
      </c>
      <c r="Z28" s="172">
        <v>1</v>
      </c>
      <c r="AA28" s="199">
        <f>(W28-V28)*Z28</f>
        <v>10180</v>
      </c>
      <c r="AB28" s="199">
        <f>SUM(AA28*Y28)</f>
        <v>3257600</v>
      </c>
      <c r="AC28" s="254">
        <f>AC11</f>
        <v>1000</v>
      </c>
      <c r="AD28" s="215">
        <f>SUM(G38)</f>
        <v>0.11840926802600817</v>
      </c>
      <c r="AE28" s="40">
        <f>SUM(AB28*5%)</f>
        <v>162880</v>
      </c>
      <c r="AF28" s="82">
        <f>SUM(AE28/7)*31</f>
        <v>721325.7142857142</v>
      </c>
    </row>
    <row r="29" spans="1:32" ht="15.75" thickBot="1">
      <c r="A29" s="163">
        <f>ELEC!C28</f>
        <v>44069</v>
      </c>
      <c r="B29" s="567">
        <f t="shared" si="25"/>
        <v>291983</v>
      </c>
      <c r="C29" s="270">
        <f t="shared" si="0"/>
        <v>0</v>
      </c>
      <c r="D29" s="316">
        <f t="shared" si="7"/>
        <v>0</v>
      </c>
      <c r="E29" s="316">
        <f t="shared" si="11"/>
        <v>291983</v>
      </c>
      <c r="F29" s="567">
        <f t="shared" si="26"/>
        <v>40231</v>
      </c>
      <c r="G29" s="160">
        <f t="shared" si="1"/>
        <v>0</v>
      </c>
      <c r="H29" s="567">
        <f t="shared" si="26"/>
        <v>150160</v>
      </c>
      <c r="I29" s="161">
        <f t="shared" si="2"/>
        <v>0</v>
      </c>
      <c r="J29" s="567">
        <f t="shared" si="26"/>
        <v>101591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24"/>
        <v>89.88563529905106</v>
      </c>
      <c r="P29" s="305">
        <f t="shared" si="9"/>
        <v>89.88563529905106</v>
      </c>
      <c r="Q29" s="305">
        <f>SUM(-tanks!AX31*tanks!$AU$37)</f>
        <v>0</v>
      </c>
      <c r="R29" s="305">
        <f t="shared" si="10"/>
        <v>89.88563529905106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85971</v>
      </c>
      <c r="AB29" s="199"/>
      <c r="AC29" s="254"/>
    </row>
    <row r="30" spans="1:32" ht="14.25" customHeight="1" thickBot="1">
      <c r="A30" s="163">
        <f>ELEC!C29</f>
        <v>44070</v>
      </c>
      <c r="B30" s="567">
        <f t="shared" si="25"/>
        <v>291983</v>
      </c>
      <c r="C30" s="270">
        <f t="shared" si="0"/>
        <v>0</v>
      </c>
      <c r="D30" s="316">
        <f t="shared" si="7"/>
        <v>0</v>
      </c>
      <c r="E30" s="316">
        <f t="shared" si="11"/>
        <v>291983</v>
      </c>
      <c r="F30" s="567">
        <f t="shared" si="26"/>
        <v>40231</v>
      </c>
      <c r="G30" s="160">
        <f t="shared" si="1"/>
        <v>0</v>
      </c>
      <c r="H30" s="567">
        <f t="shared" si="26"/>
        <v>150160</v>
      </c>
      <c r="I30" s="161">
        <f t="shared" si="2"/>
        <v>0</v>
      </c>
      <c r="J30" s="567">
        <f t="shared" si="26"/>
        <v>101591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24"/>
        <v>89.88563529905106</v>
      </c>
      <c r="P30" s="305">
        <f t="shared" si="9"/>
        <v>89.88563529905106</v>
      </c>
      <c r="Q30" s="305">
        <f>SUM(-tanks!AX32*tanks!$AU$37)</f>
        <v>0</v>
      </c>
      <c r="R30" s="305">
        <f t="shared" si="10"/>
        <v>89.88563529905106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10930192</v>
      </c>
      <c r="AC30" s="254">
        <f>SUM(AC26:AC29)/A39*A37</f>
        <v>4200580.4516129037</v>
      </c>
    </row>
    <row r="31" spans="1:32" ht="15.75" thickBot="1">
      <c r="A31" s="163">
        <f>ELEC!C30</f>
        <v>44071</v>
      </c>
      <c r="B31" s="567">
        <f t="shared" si="25"/>
        <v>291983</v>
      </c>
      <c r="C31" s="270">
        <f t="shared" si="0"/>
        <v>0</v>
      </c>
      <c r="D31" s="316">
        <f t="shared" si="7"/>
        <v>0</v>
      </c>
      <c r="E31" s="316">
        <f t="shared" si="11"/>
        <v>291983</v>
      </c>
      <c r="F31" s="567">
        <f t="shared" si="26"/>
        <v>40231</v>
      </c>
      <c r="G31" s="160">
        <f t="shared" si="1"/>
        <v>0</v>
      </c>
      <c r="H31" s="567">
        <f t="shared" si="26"/>
        <v>150160</v>
      </c>
      <c r="I31" s="161">
        <f t="shared" si="2"/>
        <v>0</v>
      </c>
      <c r="J31" s="567">
        <f t="shared" si="26"/>
        <v>101591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24"/>
        <v>89.88563529905106</v>
      </c>
      <c r="P31" s="305">
        <f t="shared" si="9"/>
        <v>89.88563529905106</v>
      </c>
      <c r="Q31" s="305">
        <f>SUM(-tanks!AX33*tanks!$AU$37)</f>
        <v>0</v>
      </c>
      <c r="R31" s="305">
        <f t="shared" si="10"/>
        <v>89.88563529905106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127</v>
      </c>
      <c r="X31" s="225">
        <f>SUM(W31/A37)</f>
        <v>7.0555555555555554</v>
      </c>
      <c r="Y31" s="266">
        <f>SUM(X31/2)</f>
        <v>3.5277777777777777</v>
      </c>
      <c r="Z31" s="3"/>
      <c r="AA31" s="3"/>
      <c r="AB31" s="571">
        <f>SUM(AB30+AC31)</f>
        <v>15130772.451612905</v>
      </c>
      <c r="AC31" s="254">
        <f>SUM(AC30)</f>
        <v>4200580.4516129037</v>
      </c>
    </row>
    <row r="32" spans="1:32" ht="15.75" thickBot="1">
      <c r="A32" s="163">
        <f>ELEC!C31</f>
        <v>44072</v>
      </c>
      <c r="B32" s="567">
        <f t="shared" si="25"/>
        <v>291983</v>
      </c>
      <c r="C32" s="270">
        <f t="shared" si="0"/>
        <v>0</v>
      </c>
      <c r="D32" s="316">
        <f t="shared" si="7"/>
        <v>0</v>
      </c>
      <c r="E32" s="316">
        <f t="shared" si="11"/>
        <v>291983</v>
      </c>
      <c r="F32" s="567">
        <f t="shared" si="26"/>
        <v>40231</v>
      </c>
      <c r="G32" s="160">
        <f t="shared" si="1"/>
        <v>0</v>
      </c>
      <c r="H32" s="567">
        <f t="shared" si="26"/>
        <v>150160</v>
      </c>
      <c r="I32" s="161">
        <f t="shared" si="2"/>
        <v>0</v>
      </c>
      <c r="J32" s="567">
        <f t="shared" si="26"/>
        <v>101591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24"/>
        <v>89.88563529905106</v>
      </c>
      <c r="P32" s="305">
        <f t="shared" si="9"/>
        <v>89.88563529905106</v>
      </c>
      <c r="Q32" s="305">
        <f>SUM(-tanks!AX34*tanks!$AU$37)</f>
        <v>0</v>
      </c>
      <c r="R32" s="305">
        <f t="shared" si="10"/>
        <v>89.88563529905106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-256.20000000000005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7">
        <f t="shared" si="25"/>
        <v>291983</v>
      </c>
      <c r="C33" s="270">
        <f t="shared" si="0"/>
        <v>0</v>
      </c>
      <c r="D33" s="316">
        <f t="shared" si="7"/>
        <v>0</v>
      </c>
      <c r="E33" s="316">
        <f t="shared" si="11"/>
        <v>291983</v>
      </c>
      <c r="F33" s="567">
        <f t="shared" si="26"/>
        <v>40231</v>
      </c>
      <c r="G33" s="160">
        <f>F33-F32</f>
        <v>0</v>
      </c>
      <c r="H33" s="567">
        <f t="shared" si="26"/>
        <v>150160</v>
      </c>
      <c r="I33" s="161">
        <f t="shared" si="2"/>
        <v>0</v>
      </c>
      <c r="J33" s="567">
        <f t="shared" si="26"/>
        <v>101591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89.88563529905106</v>
      </c>
      <c r="P33" s="305">
        <f>SUM(L33:O33)</f>
        <v>89.88563529905106</v>
      </c>
      <c r="Q33" s="305">
        <f>SUM(-tanks!AX35*tanks!$AU$37)</f>
        <v>0</v>
      </c>
      <c r="R33" s="305">
        <f>SUM(P33:Q33)</f>
        <v>89.88563529905106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166.89999999999998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7">
        <f t="shared" si="25"/>
        <v>291983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291983</v>
      </c>
      <c r="F34" s="567">
        <f t="shared" si="26"/>
        <v>40231</v>
      </c>
      <c r="G34" s="160">
        <f>F34-F33</f>
        <v>0</v>
      </c>
      <c r="H34" s="567">
        <f t="shared" si="26"/>
        <v>150160</v>
      </c>
      <c r="I34" s="161">
        <f t="shared" ref="I34" si="29">H34-H33</f>
        <v>0</v>
      </c>
      <c r="J34" s="567">
        <f t="shared" si="26"/>
        <v>101591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89.88563529905106</v>
      </c>
      <c r="P34" s="305">
        <f>SUM(L34:O34)</f>
        <v>89.88563529905106</v>
      </c>
      <c r="Q34" s="305">
        <f>SUM(-tanks!AX36*tanks!$AU$37)</f>
        <v>0</v>
      </c>
      <c r="R34" s="305">
        <f>SUM(P34:Q34)</f>
        <v>89.88563529905106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7"/>
      <c r="B35" s="558"/>
      <c r="C35" s="559"/>
      <c r="D35" s="558"/>
      <c r="E35" s="558"/>
      <c r="F35" s="558"/>
      <c r="G35" s="558"/>
      <c r="H35" s="558"/>
      <c r="I35" s="558"/>
      <c r="J35" s="558"/>
      <c r="K35" s="558"/>
      <c r="L35" s="560"/>
      <c r="M35" s="560"/>
      <c r="N35" s="560"/>
      <c r="O35" s="560"/>
      <c r="P35" s="561"/>
      <c r="Q35" s="561"/>
      <c r="R35" s="561"/>
      <c r="S35" s="562"/>
      <c r="T35" s="563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7"/>
      <c r="B36" s="558"/>
      <c r="C36" s="559"/>
      <c r="D36" s="559"/>
      <c r="E36" s="559"/>
      <c r="F36" s="558"/>
      <c r="G36" s="558"/>
      <c r="H36" s="558"/>
      <c r="I36" s="558"/>
      <c r="J36" s="558"/>
      <c r="K36" s="564"/>
      <c r="L36" s="561"/>
      <c r="M36" s="561"/>
      <c r="N36" s="561"/>
      <c r="O36" s="561"/>
      <c r="P36" s="562"/>
      <c r="Q36" s="562"/>
      <c r="R36" s="562"/>
      <c r="S36" s="562"/>
      <c r="T36" s="563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1664384.9696774196</v>
      </c>
      <c r="AC36" s="286"/>
    </row>
    <row r="37" spans="1:32" ht="15.75" thickBot="1">
      <c r="A37" s="556">
        <f>A39-COUNTIF(C4:C35,0)</f>
        <v>18</v>
      </c>
      <c r="C37" s="176">
        <f>SUM(C4:C35)/A37</f>
        <v>4776.2777777777774</v>
      </c>
      <c r="D37" s="176"/>
      <c r="E37" s="176"/>
      <c r="G37" s="176">
        <f>SUM(G4:G35)/A37</f>
        <v>565.55555555555554</v>
      </c>
      <c r="I37" s="176">
        <f>SUM(I4:I35)/A37</f>
        <v>2793.9444444444443</v>
      </c>
      <c r="K37" s="176">
        <f>SUM(K4:K36)/A37</f>
        <v>1416.6666666666667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16795157.421290323</v>
      </c>
      <c r="AC37" s="286"/>
    </row>
    <row r="38" spans="1:32" ht="15.75" thickBot="1">
      <c r="A38" s="213"/>
      <c r="C38" s="215">
        <f>SUM(G38:K38)</f>
        <v>0.99997673688250965</v>
      </c>
      <c r="G38" s="228">
        <f>IF(C37&gt;0,G37/C37,0)</f>
        <v>0.11840926802600817</v>
      </c>
      <c r="H38" s="215"/>
      <c r="I38" s="228">
        <f>SUM(I37/C37)</f>
        <v>0.58496272085422174</v>
      </c>
      <c r="J38" s="215"/>
      <c r="K38" s="228">
        <f>SUM(K37/C37)</f>
        <v>0.29660474800227982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10036.996651152838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2786.4546942705829</v>
      </c>
      <c r="Z40" s="40"/>
      <c r="AA40" s="300" t="s">
        <v>215</v>
      </c>
      <c r="AB40" s="301">
        <f>SUM(AB38)</f>
        <v>10036.996651152838</v>
      </c>
    </row>
    <row r="41" spans="1:32">
      <c r="V41" s="220"/>
      <c r="W41" s="82">
        <f>(AB30+AB56)/1507.5</f>
        <v>7250.5419568822554</v>
      </c>
      <c r="X41" s="572"/>
      <c r="Z41" s="302">
        <f>SUM(AB40)</f>
        <v>10036.996651152838</v>
      </c>
      <c r="AA41" s="301"/>
      <c r="AB41" s="301"/>
    </row>
    <row r="42" spans="1:32">
      <c r="V42" s="17"/>
      <c r="W42" s="82">
        <f>SUM(W40:W41)</f>
        <v>10036.996651152838</v>
      </c>
      <c r="X42" s="572"/>
      <c r="Y42" s="82"/>
      <c r="Z42" s="302">
        <f>SUM(-tanks!AX37)*tanks!AU37</f>
        <v>12892.83564516128</v>
      </c>
      <c r="AA42" s="101">
        <f>SUM(AB31/A37)</f>
        <v>840598.46953405021</v>
      </c>
      <c r="AB42" s="358">
        <f>SUM(AA42*A39)</f>
        <v>26058552.555555556</v>
      </c>
    </row>
    <row r="43" spans="1:32" ht="18.75">
      <c r="W43" s="82">
        <f>(AB30+AB56)/1507.5</f>
        <v>7250.5419568822554</v>
      </c>
      <c r="Z43" s="282">
        <f>SUM(Z41:Z42)</f>
        <v>22929.832296314118</v>
      </c>
      <c r="AA43" s="301">
        <f>SUM(AA42/1507.5)</f>
        <v>557.61092506404657</v>
      </c>
      <c r="AB43" s="357">
        <f>SUM(AB42/1507.5)</f>
        <v>17285.938676985443</v>
      </c>
    </row>
    <row r="44" spans="1:32">
      <c r="D44" s="534"/>
      <c r="E44" s="534"/>
      <c r="F44" s="534"/>
      <c r="W44" s="82">
        <f>SUM(W42:W43)</f>
        <v>17287.538608035095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7"/>
      <c r="W47" s="578"/>
      <c r="X47" s="17"/>
      <c r="Y47" s="17"/>
      <c r="Z47" s="579"/>
      <c r="AA47" s="17"/>
      <c r="AB47" s="644"/>
      <c r="AC47" s="644"/>
      <c r="AD47" s="17"/>
      <c r="AE47" s="17"/>
      <c r="AF47" s="17"/>
    </row>
    <row r="48" spans="1:32">
      <c r="V48" s="644"/>
      <c r="W48" s="644"/>
      <c r="X48" s="644"/>
      <c r="Y48" s="644"/>
      <c r="Z48" s="579"/>
      <c r="AA48" s="579"/>
      <c r="AB48" s="644"/>
      <c r="AC48" s="644"/>
      <c r="AD48" s="17"/>
      <c r="AE48" s="17"/>
      <c r="AF48" s="17"/>
    </row>
    <row r="49" spans="22:32">
      <c r="V49" s="644"/>
      <c r="W49" s="644"/>
      <c r="X49" s="644"/>
      <c r="Y49" s="644"/>
      <c r="Z49" s="644"/>
      <c r="AA49" s="644"/>
      <c r="AB49" s="644"/>
      <c r="AC49" s="644"/>
      <c r="AD49" s="17"/>
      <c r="AE49" s="17"/>
      <c r="AF49" s="17"/>
    </row>
    <row r="50" spans="22:32">
      <c r="V50" s="645"/>
      <c r="W50" s="645"/>
      <c r="X50" s="646"/>
      <c r="Y50" s="646"/>
      <c r="Z50" s="646"/>
      <c r="AA50" s="580"/>
      <c r="AB50" s="644"/>
      <c r="AC50" s="644"/>
      <c r="AD50" s="17"/>
      <c r="AE50" s="17"/>
      <c r="AF50" s="17"/>
    </row>
    <row r="51" spans="22:32">
      <c r="V51" s="577"/>
      <c r="W51" s="577"/>
      <c r="X51" s="577"/>
      <c r="Y51" s="577"/>
      <c r="Z51" s="577"/>
      <c r="AA51" s="577"/>
      <c r="AB51" s="577"/>
      <c r="AC51" s="581"/>
      <c r="AD51" s="17"/>
      <c r="AE51" s="17"/>
      <c r="AF51" s="17"/>
    </row>
    <row r="52" spans="22:32">
      <c r="V52" s="580"/>
      <c r="W52" s="580"/>
      <c r="X52" s="582"/>
      <c r="Y52" s="582"/>
      <c r="Z52" s="582"/>
      <c r="AA52" s="73"/>
      <c r="AB52" s="73"/>
      <c r="AC52" s="73"/>
      <c r="AD52" s="583"/>
      <c r="AE52" s="17"/>
      <c r="AF52" s="17"/>
    </row>
    <row r="53" spans="22:32">
      <c r="V53" s="580"/>
      <c r="W53" s="580"/>
      <c r="X53" s="582"/>
      <c r="Y53" s="582"/>
      <c r="Z53" s="582"/>
      <c r="AA53" s="73"/>
      <c r="AB53" s="73"/>
      <c r="AC53" s="73"/>
      <c r="AD53" s="583"/>
      <c r="AE53" s="17"/>
      <c r="AF53" s="17"/>
    </row>
    <row r="54" spans="22:32">
      <c r="V54" s="580"/>
      <c r="W54" s="580"/>
      <c r="X54" s="582"/>
      <c r="Y54" s="582"/>
      <c r="Z54" s="582"/>
      <c r="AA54" s="73"/>
      <c r="AB54" s="73"/>
      <c r="AC54" s="73"/>
      <c r="AD54" s="583"/>
      <c r="AE54" s="584"/>
      <c r="AF54" s="585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6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7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9"/>
      <c r="AC61" s="590"/>
      <c r="AD61" s="17"/>
      <c r="AE61" s="17"/>
      <c r="AF61" s="17"/>
    </row>
    <row r="62" spans="22:32">
      <c r="V62" s="17"/>
      <c r="W62" s="17"/>
      <c r="X62" s="17"/>
      <c r="Y62" s="17"/>
      <c r="Z62" s="17"/>
      <c r="AA62" s="591"/>
      <c r="AB62" s="589"/>
      <c r="AC62" s="590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9"/>
      <c r="AC63" s="590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2"/>
      <c r="AC64" s="17"/>
      <c r="AD64" s="17"/>
      <c r="AE64" s="17"/>
      <c r="AF64" s="17"/>
    </row>
    <row r="65" spans="22:32">
      <c r="V65" s="220"/>
      <c r="W65" s="585"/>
      <c r="X65" s="17"/>
      <c r="Y65" s="17"/>
      <c r="Z65" s="584"/>
      <c r="AA65" s="593"/>
      <c r="AB65" s="582"/>
      <c r="AC65" s="17"/>
      <c r="AD65" s="17"/>
      <c r="AE65" s="17"/>
      <c r="AF65" s="17"/>
    </row>
    <row r="66" spans="22:32">
      <c r="V66" s="220"/>
      <c r="W66" s="585"/>
      <c r="X66" s="17"/>
      <c r="Y66" s="17"/>
      <c r="Z66" s="433"/>
      <c r="AA66" s="582"/>
      <c r="AB66" s="582"/>
      <c r="AC66" s="17"/>
      <c r="AD66" s="17"/>
      <c r="AE66" s="17"/>
      <c r="AF66" s="17"/>
    </row>
    <row r="67" spans="22:32">
      <c r="V67" s="17"/>
      <c r="W67" s="585"/>
      <c r="X67" s="17"/>
      <c r="Y67" s="585"/>
      <c r="Z67" s="433"/>
      <c r="AA67" s="582"/>
      <c r="AB67" s="594"/>
      <c r="AC67" s="17"/>
      <c r="AD67" s="17"/>
      <c r="AE67" s="17"/>
      <c r="AF67" s="17"/>
    </row>
    <row r="68" spans="22:32" ht="18.75">
      <c r="V68" s="17"/>
      <c r="W68" s="585"/>
      <c r="X68" s="17"/>
      <c r="Y68" s="17"/>
      <c r="Z68" s="595"/>
      <c r="AA68" s="582"/>
      <c r="AB68" s="596"/>
      <c r="AC68" s="17"/>
      <c r="AD68" s="17"/>
      <c r="AE68" s="17"/>
      <c r="AF68" s="17"/>
    </row>
    <row r="69" spans="22:32">
      <c r="V69" s="17"/>
      <c r="W69" s="585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2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G22" sqref="G22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6" t="s">
        <v>51</v>
      </c>
      <c r="B1" s="688" t="s">
        <v>320</v>
      </c>
      <c r="C1" s="689"/>
      <c r="D1" s="691"/>
      <c r="E1" s="688" t="s">
        <v>321</v>
      </c>
      <c r="F1" s="689"/>
      <c r="G1" s="690"/>
      <c r="H1" s="685" t="s">
        <v>326</v>
      </c>
      <c r="I1" s="682" t="s">
        <v>327</v>
      </c>
      <c r="J1" s="679" t="s">
        <v>43</v>
      </c>
    </row>
    <row r="2" spans="1:18" ht="38.25" thickBot="1">
      <c r="A2" s="677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6"/>
      <c r="I2" s="683"/>
      <c r="J2" s="680"/>
    </row>
    <row r="3" spans="1:18" ht="24" customHeight="1" thickBot="1">
      <c r="A3" s="678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87"/>
      <c r="I3" s="684"/>
      <c r="J3" s="68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f>'[5]Swimming Pool quality check '!M36</f>
        <v>6194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6">
        <v>2.5</v>
      </c>
      <c r="C6" s="567">
        <v>7.8</v>
      </c>
      <c r="D6" s="568">
        <v>28</v>
      </c>
      <c r="E6" s="568">
        <v>2.5</v>
      </c>
      <c r="F6" s="568">
        <v>8</v>
      </c>
      <c r="G6" s="568">
        <v>35</v>
      </c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44045</v>
      </c>
      <c r="B7" s="553">
        <v>25</v>
      </c>
      <c r="C7" s="565">
        <v>7.8</v>
      </c>
      <c r="D7" s="170">
        <v>28</v>
      </c>
      <c r="E7" s="170">
        <v>2</v>
      </c>
      <c r="F7" s="170">
        <v>8</v>
      </c>
      <c r="G7" s="170">
        <v>35</v>
      </c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f t="shared" ref="M7:M36" si="3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f t="shared" si="3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8">
        <f t="shared" ref="H9:H36" si="4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si="3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8">
        <f t="shared" si="4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3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8">
        <f t="shared" si="4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3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8">
        <f t="shared" si="4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3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8">
        <f t="shared" si="4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3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8">
        <f t="shared" si="4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3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8">
        <f t="shared" si="4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3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8">
        <f t="shared" si="4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3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8">
        <f t="shared" si="4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3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8">
        <f t="shared" si="4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3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8">
        <f t="shared" si="4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3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8">
        <f t="shared" si="4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3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44059</v>
      </c>
      <c r="B21" s="524"/>
      <c r="C21" s="524"/>
      <c r="D21" s="524"/>
      <c r="E21" s="524"/>
      <c r="F21" s="524"/>
      <c r="G21" s="524"/>
      <c r="H21" s="568">
        <f t="shared" si="4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3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44060</v>
      </c>
      <c r="B22" s="259"/>
      <c r="C22" s="573"/>
      <c r="D22" s="170"/>
      <c r="E22" s="170"/>
      <c r="F22" s="170"/>
      <c r="G22" s="170"/>
      <c r="H22" s="568">
        <f t="shared" si="4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3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44061</v>
      </c>
      <c r="B23" s="170"/>
      <c r="C23" s="170"/>
      <c r="D23" s="170"/>
      <c r="E23" s="170"/>
      <c r="F23" s="170"/>
      <c r="G23" s="170"/>
      <c r="H23" s="568">
        <f t="shared" si="4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3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44062</v>
      </c>
      <c r="B24" s="524"/>
      <c r="C24" s="524"/>
      <c r="D24" s="524"/>
      <c r="E24" s="524"/>
      <c r="F24" s="524"/>
      <c r="G24" s="524"/>
      <c r="H24" s="568">
        <f t="shared" si="4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3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44063</v>
      </c>
      <c r="B25" s="524"/>
      <c r="C25" s="524"/>
      <c r="D25" s="524"/>
      <c r="E25" s="524"/>
      <c r="F25" s="524"/>
      <c r="G25" s="524"/>
      <c r="H25" s="568">
        <f t="shared" si="4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3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44064</v>
      </c>
      <c r="B26" s="524"/>
      <c r="C26" s="524"/>
      <c r="D26" s="524"/>
      <c r="E26" s="524"/>
      <c r="F26" s="524"/>
      <c r="G26" s="524"/>
      <c r="H26" s="568">
        <f t="shared" si="4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3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44065</v>
      </c>
      <c r="B27" s="524"/>
      <c r="C27" s="524"/>
      <c r="D27" s="524"/>
      <c r="E27" s="524"/>
      <c r="F27" s="524"/>
      <c r="G27" s="524"/>
      <c r="H27" s="568">
        <f t="shared" si="4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3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44066</v>
      </c>
      <c r="B28" s="259"/>
      <c r="C28" s="574"/>
      <c r="D28" s="170"/>
      <c r="E28" s="170"/>
      <c r="F28" s="170"/>
      <c r="G28" s="170"/>
      <c r="H28" s="568">
        <f t="shared" si="4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3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44067</v>
      </c>
      <c r="B29" s="524"/>
      <c r="C29" s="524"/>
      <c r="D29" s="524"/>
      <c r="E29" s="524"/>
      <c r="F29" s="524"/>
      <c r="G29" s="524"/>
      <c r="H29" s="568">
        <f t="shared" si="4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3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68">
        <f t="shared" si="4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3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44069</v>
      </c>
      <c r="B31" s="259"/>
      <c r="C31" s="555"/>
      <c r="D31" s="170"/>
      <c r="E31" s="170"/>
      <c r="F31" s="170"/>
      <c r="G31" s="170"/>
      <c r="H31" s="568">
        <f t="shared" si="4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3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68">
        <f t="shared" si="4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3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68">
        <f t="shared" si="4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3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68">
        <f t="shared" si="4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3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8">
        <f t="shared" si="4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3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8">
        <f t="shared" si="4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3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692" t="s">
        <v>161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</row>
    <row r="2" spans="1:28" ht="19.5">
      <c r="A2" s="693"/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</row>
    <row r="3" spans="1:28" ht="19.5">
      <c r="A3" s="693" t="s">
        <v>162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693"/>
      <c r="W3" s="693"/>
      <c r="X3" s="69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3" t="s">
        <v>411</v>
      </c>
      <c r="B5" s="693"/>
      <c r="C5" s="693"/>
      <c r="D5" s="693"/>
      <c r="E5" s="693"/>
      <c r="F5" s="693"/>
      <c r="G5" s="693"/>
      <c r="H5" s="693"/>
      <c r="I5" s="693"/>
      <c r="J5" s="693"/>
      <c r="K5" s="693"/>
      <c r="L5" s="693"/>
      <c r="M5" s="693"/>
      <c r="N5" s="693"/>
      <c r="O5" s="693"/>
      <c r="P5" s="693"/>
      <c r="Q5" s="693"/>
      <c r="R5" s="693"/>
      <c r="S5" s="693"/>
      <c r="T5" s="693"/>
      <c r="U5" s="693"/>
      <c r="V5" s="693"/>
      <c r="W5" s="693"/>
      <c r="X5" s="693"/>
    </row>
    <row r="6" spans="1:28" ht="15.75" thickBot="1">
      <c r="A6" s="694"/>
      <c r="B6" s="694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  <c r="U6" s="694"/>
      <c r="V6" s="694"/>
      <c r="W6" s="694"/>
      <c r="X6" s="694"/>
    </row>
    <row r="7" spans="1:28" ht="15.75" thickBot="1">
      <c r="A7" s="696" t="s">
        <v>163</v>
      </c>
      <c r="B7" s="697"/>
      <c r="C7" s="698" t="s">
        <v>164</v>
      </c>
      <c r="D7" s="699"/>
      <c r="E7" s="699"/>
      <c r="F7" s="699"/>
      <c r="G7" s="699"/>
      <c r="H7" s="699"/>
      <c r="I7" s="699"/>
      <c r="J7" s="699"/>
      <c r="K7" s="70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-256.20000000000005</v>
      </c>
      <c r="AB17" s="278">
        <f>G81</f>
        <v>166.89999999999998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-664</v>
      </c>
      <c r="AB23" s="134">
        <f>SUM(AB10:AB22)</f>
        <v>816.5999999999998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31</v>
      </c>
      <c r="G64" s="278">
        <f>'General information '!C22</f>
        <v>26</v>
      </c>
      <c r="H64" s="119">
        <f t="shared" si="9"/>
        <v>10.199999999999999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0</v>
      </c>
      <c r="G65" s="278">
        <f>'General information '!C23</f>
        <v>0</v>
      </c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0</v>
      </c>
      <c r="G66" s="278">
        <f>'General information '!C24</f>
        <v>0</v>
      </c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0</v>
      </c>
      <c r="G67" s="278">
        <f>'General information '!C25</f>
        <v>0</v>
      </c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0</v>
      </c>
      <c r="G68" s="278">
        <f>'General information '!C26</f>
        <v>0</v>
      </c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0</v>
      </c>
      <c r="G69" s="278">
        <f>'General information '!C27</f>
        <v>0</v>
      </c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0</v>
      </c>
      <c r="G70" s="278">
        <f>'General information '!C28</f>
        <v>0</v>
      </c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0</v>
      </c>
      <c r="G71" s="278">
        <f>'General information '!C29</f>
        <v>0</v>
      </c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-256.20000000000005</v>
      </c>
      <c r="G81" s="119">
        <f>SUMIF(H48:H78,"&gt;0")</f>
        <v>166.89999999999998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1" t="s">
        <v>174</v>
      </c>
      <c r="O84" s="701" t="s">
        <v>175</v>
      </c>
      <c r="P84" s="134"/>
      <c r="T84" s="134"/>
      <c r="X84" s="134"/>
    </row>
    <row r="85" spans="1:24" ht="20.25" thickBot="1">
      <c r="D85" s="134"/>
      <c r="I85" s="703" t="s">
        <v>182</v>
      </c>
      <c r="J85" s="704"/>
      <c r="K85" s="704"/>
      <c r="L85" s="704"/>
      <c r="N85" s="702"/>
      <c r="O85" s="702"/>
      <c r="P85" s="134"/>
      <c r="R85" s="17"/>
      <c r="S85" s="17"/>
      <c r="T85" s="140"/>
      <c r="U85" s="141"/>
      <c r="X85" s="134"/>
    </row>
    <row r="86" spans="1:24" ht="18.75" thickBot="1">
      <c r="D86" s="134"/>
      <c r="I86" s="705" t="s">
        <v>183</v>
      </c>
      <c r="J86" s="705"/>
      <c r="K86" s="705"/>
      <c r="L86" s="705"/>
      <c r="N86" s="142">
        <f>B43+F43+J43+N43+R43+V43+B81+F81+J81+N81+R81+V81</f>
        <v>-2908.3</v>
      </c>
      <c r="O86" s="142">
        <f>C43+G43+K43+O43+S43+W43+C81+G81+K81+O81+S81+W81</f>
        <v>794.5999999999998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5"/>
      <c r="C88" s="695"/>
      <c r="D88" s="695"/>
      <c r="E88" s="695"/>
      <c r="F88" s="695"/>
      <c r="G88" s="695"/>
      <c r="H88" s="695"/>
      <c r="I88" s="695"/>
      <c r="J88" s="695"/>
      <c r="K88" s="695"/>
      <c r="L88" s="695"/>
      <c r="M88" s="695"/>
      <c r="N88" s="695"/>
      <c r="O88" s="695"/>
      <c r="P88" s="695"/>
      <c r="Q88" s="695"/>
      <c r="R88" s="695"/>
      <c r="S88" s="695"/>
      <c r="T88" s="695"/>
      <c r="U88" s="695"/>
      <c r="V88" s="695"/>
      <c r="W88" s="69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J16" sqref="J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6" t="s">
        <v>216</v>
      </c>
      <c r="B2" s="706"/>
      <c r="C2" s="706"/>
      <c r="D2" s="706"/>
      <c r="E2" s="706"/>
      <c r="F2" s="706"/>
      <c r="G2" s="706"/>
      <c r="H2" s="706"/>
      <c r="I2" s="706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18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9.9888888888888889</v>
      </c>
      <c r="F6" s="188">
        <f>SUM(E6*F4)</f>
        <v>179.8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4354.8387096774195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888.06944444444457</v>
      </c>
      <c r="F8" s="195">
        <f>SUM(E8*F4)</f>
        <v>15985.250000000002</v>
      </c>
      <c r="G8" s="525">
        <f>E8*$F$4</f>
        <v>15985.250000000002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15130772.451612905</v>
      </c>
      <c r="E10" s="185">
        <f>SUM(D10/D4/F4)</f>
        <v>557.61092506404657</v>
      </c>
      <c r="F10" s="185">
        <f>SUM(E10*F4)</f>
        <v>10036.996651152838</v>
      </c>
      <c r="G10" s="525">
        <f>E10*$G$4</f>
        <v>17285.938676985443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1697.6047422683478</v>
      </c>
      <c r="F12" s="183">
        <f>SUM(F6:F10)</f>
        <v>30556.88536083026</v>
      </c>
      <c r="G12" s="182">
        <f>SUM(G6:G10)</f>
        <v>40950.988676985449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166.89999999999998</v>
      </c>
      <c r="C14" s="445">
        <f>'[9]Utility Cost '!C14</f>
        <v>151</v>
      </c>
      <c r="D14" s="170"/>
      <c r="E14" s="170">
        <f t="shared" ref="E14:E18" si="0">B14-C14</f>
        <v>15.899999999999977</v>
      </c>
      <c r="F14" s="524">
        <v>0</v>
      </c>
      <c r="G14" s="433"/>
      <c r="H14" s="434">
        <f>SUM(G12-H12)</f>
        <v>-32550.711323014548</v>
      </c>
      <c r="I14" s="434">
        <f>SUM(G12-I12)</f>
        <v>-72049.011323014551</v>
      </c>
    </row>
    <row r="15" spans="1:11">
      <c r="A15" s="462" t="s">
        <v>303</v>
      </c>
      <c r="B15" s="97">
        <f>'Degree Days 2020'!AA17</f>
        <v>-256.20000000000005</v>
      </c>
      <c r="C15" s="445">
        <f>'[9]Utility Cost '!C15</f>
        <v>-18.3</v>
      </c>
      <c r="D15" s="170"/>
      <c r="E15" s="170">
        <f t="shared" si="0"/>
        <v>-237.90000000000003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9">
        <f>'General information '!D38</f>
        <v>26.555555555555557</v>
      </c>
      <c r="C16" s="445">
        <f>'[9]Utility Cost '!C16</f>
        <v>28.661290322580644</v>
      </c>
      <c r="D16" s="445"/>
      <c r="E16" s="446">
        <f t="shared" si="0"/>
        <v>-2.105734767025087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127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-61.200000000000728</v>
      </c>
      <c r="F18" s="543">
        <f>B18-D18</f>
        <v>-171.16666666666669</v>
      </c>
    </row>
    <row r="19" spans="1:10">
      <c r="A19" s="537" t="s">
        <v>413</v>
      </c>
      <c r="B19" s="535">
        <f>SUM(B18/$F$4)</f>
        <v>7.0555555555555554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2020-08-19T03:51:52Z</dcterms:modified>
</cp:coreProperties>
</file>