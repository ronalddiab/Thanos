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<sst xmlns="http://schemas.openxmlformats.org/spreadsheetml/2006/main" count="108" uniqueCount="33">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</sst>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2021</v>
      </c>
      <c r="E2" s="20">
        <f>Submetering!E3</f>
        <v>0</v>
      </c>
      <c r="F2" s="16">
        <v>0.12</v>
      </c>
      <c r="G2" s="20">
        <f>Submetering!F3+Submetering!G3</f>
        <v>119.29429937850469</v>
      </c>
      <c r="H2" s="16">
        <v>0.71</v>
      </c>
      <c r="I2" s="20">
        <f>Submetering!J3+Submetering!I3+Submetering!H3</f>
        <v>69.617353098000009</v>
      </c>
      <c r="J2" s="16">
        <v>2.3196172978505634</v>
      </c>
      <c r="K2" s="20">
        <f>Submetering!K2</f>
        <v>48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2021</v>
      </c>
      <c r="E3" s="20">
        <f>Submetering!E4</f>
        <v>0</v>
      </c>
      <c r="F3" s="16">
        <v>0.12</v>
      </c>
      <c r="G3" s="20">
        <f>Submetering!F4+Submetering!G4</f>
        <v>125.744159422243</v>
      </c>
      <c r="H3" s="16">
        <v>0.71</v>
      </c>
      <c r="I3" s="20">
        <f>Submetering!J4+Submetering!I4+Submetering!H4</f>
        <v>72.470527805800003</v>
      </c>
      <c r="J3" s="16">
        <v>2.3196172978505634</v>
      </c>
      <c r="K3" s="20">
        <f>Submetering!K3</f>
        <v>50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6</v>
      </c>
      <c r="D4" s="9">
        <v>2021</v>
      </c>
      <c r="E4" s="20">
        <f>Submetering!E5</f>
        <v>0</v>
      </c>
      <c r="F4" s="16">
        <v>0.12</v>
      </c>
      <c r="G4" s="20">
        <f>Submetering!F5+Submetering!G5</f>
        <v>114.26644954943927</v>
      </c>
      <c r="H4" s="16">
        <v>0.71</v>
      </c>
      <c r="I4" s="20">
        <f>Submetering!J5+Submetering!I5+Submetering!H5</f>
        <v>72.586017082929999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2021</v>
      </c>
      <c r="E5" s="20">
        <f>Submetering!E6</f>
        <v>0</v>
      </c>
      <c r="F5" s="16">
        <v>0.12</v>
      </c>
      <c r="G5" s="20">
        <f>Submetering!F6+Submetering!G6</f>
        <v>143.26661783420562</v>
      </c>
      <c r="H5" s="16">
        <v>0.71</v>
      </c>
      <c r="I5" s="20">
        <f>Submetering!J6+Submetering!I6+Submetering!H6</f>
        <v>70.32890319885</v>
      </c>
      <c r="J5" s="16">
        <v>2.3196172978505634</v>
      </c>
      <c r="K5" s="20">
        <f>Submetering!K5</f>
        <v>38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2021</v>
      </c>
      <c r="E6" s="20">
        <f>Submetering!E7</f>
        <v>0</v>
      </c>
      <c r="F6" s="16">
        <v>0.12</v>
      </c>
      <c r="G6" s="20">
        <f>Submetering!F7+Submetering!G7</f>
        <v>106.80358168364486</v>
      </c>
      <c r="H6" s="16">
        <v>0.71</v>
      </c>
      <c r="I6" s="20">
        <f>Submetering!J7+Submetering!I7+Submetering!H7</f>
        <v>62.117987735340002</v>
      </c>
      <c r="J6" s="16">
        <v>2.3196172978505634</v>
      </c>
      <c r="K6" s="20">
        <f>Submetering!K6</f>
        <v>43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2021</v>
      </c>
      <c r="E7" s="20">
        <f>Submetering!E8</f>
        <v>0</v>
      </c>
      <c r="F7" s="16">
        <v>0.12</v>
      </c>
      <c r="G7" s="20">
        <f>Submetering!F8+Submetering!G8</f>
        <v>128.11179469495329</v>
      </c>
      <c r="H7" s="16">
        <v>0.71</v>
      </c>
      <c r="I7" s="20">
        <f>Submetering!J8+Submetering!I8+Submetering!H8</f>
        <v>73.373988112709995</v>
      </c>
      <c r="J7" s="16">
        <v>2.3196172978505634</v>
      </c>
      <c r="K7" s="20">
        <f>Submetering!K7</f>
        <v>41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2021</v>
      </c>
      <c r="E8" s="20">
        <f>Submetering!E9</f>
        <v>0</v>
      </c>
      <c r="F8" s="16">
        <v>0.12</v>
      </c>
      <c r="G8" s="20">
        <f>Submetering!F9+Submetering!G9</f>
        <v>151.23566479850467</v>
      </c>
      <c r="H8" s="16">
        <v>0.71</v>
      </c>
      <c r="I8" s="20">
        <f>Submetering!J9+Submetering!I9+Submetering!H9</f>
        <v>76.021352678669999</v>
      </c>
      <c r="J8" s="16">
        <v>2.3196172978505634</v>
      </c>
      <c r="K8" s="20">
        <f>Submetering!K8</f>
        <v>45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2021</v>
      </c>
      <c r="E9" s="20">
        <f>Submetering!E9</f>
        <v>0</v>
      </c>
      <c r="F9" s="16">
        <v>0.12</v>
      </c>
      <c r="G9" s="20">
        <f>Submetering!F10+Submetering!G10</f>
        <v>124.65825240205608</v>
      </c>
      <c r="H9" s="16">
        <v>0.71</v>
      </c>
      <c r="I9" s="20">
        <f>Submetering!J10+Submetering!I10+Submetering!H10</f>
        <v>79.018651666810001</v>
      </c>
      <c r="J9" s="16">
        <v>2.3196172978505634</v>
      </c>
      <c r="K9" s="20">
        <f>Submetering!K9</f>
        <v>66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2021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79.018651666810001</v>
      </c>
      <c r="J10" s="16">
        <v>2.3196172978505634</v>
      </c>
      <c r="K10" s="20">
        <f>Submetering!K10</f>
        <v>62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68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6</v>
      </c>
      <c r="D32" s="9">
        <v>2021</v>
      </c>
      <c r="E32" s="20">
        <f>Submetering!E32</f>
        <v>7625.9250000000002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44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H17" sqref="H1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2021</v>
      </c>
      <c r="E2" s="32"/>
      <c r="F2" s="10">
        <v>99.780076149532704</v>
      </c>
      <c r="G2" s="10">
        <v>14.117757009345796</v>
      </c>
      <c r="H2" s="32">
        <v>4.5351469761300001</v>
      </c>
      <c r="I2" s="32">
        <v>43</v>
      </c>
      <c r="J2" s="32">
        <v>34.992516177399999</v>
      </c>
      <c r="K2">
        <v>48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2021</v>
      </c>
      <c r="E3" s="32"/>
      <c r="F3" s="10">
        <v>99.665490575700943</v>
      </c>
      <c r="G3" s="10">
        <v>19.628808802803739</v>
      </c>
      <c r="H3" s="32">
        <v>1.6094733415</v>
      </c>
      <c r="I3" s="32">
        <v>40</v>
      </c>
      <c r="J3" s="32">
        <v>28.0078797565</v>
      </c>
      <c r="K3">
        <v>50</v>
      </c>
    </row>
    <row r="4" spans="1:12" x14ac:dyDescent="0.25">
      <c r="A4" s="17" t="s">
        <v>32</v>
      </c>
      <c r="B4" s="6">
        <f t="shared" ref="B4:B32" si="0">B3+1</f>
        <v>3</v>
      </c>
      <c r="C4" s="6">
        <v>6</v>
      </c>
      <c r="D4" s="6">
        <v>2021</v>
      </c>
      <c r="E4" s="32"/>
      <c r="F4" s="10">
        <v>110.92523364485983</v>
      </c>
      <c r="G4" s="10">
        <v>14.818925777383178</v>
      </c>
      <c r="H4" s="32">
        <v>1.4775620155</v>
      </c>
      <c r="I4" s="32">
        <v>42</v>
      </c>
      <c r="J4" s="32">
        <v>28.992965790300001</v>
      </c>
      <c r="K4">
        <v>53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2021</v>
      </c>
      <c r="E5" s="32"/>
      <c r="F5" s="10">
        <v>99.833309811214974</v>
      </c>
      <c r="G5" s="10">
        <v>14.4331397382243</v>
      </c>
      <c r="H5" s="32">
        <v>2.0071196709299999</v>
      </c>
      <c r="I5" s="32">
        <v>39</v>
      </c>
      <c r="J5" s="32">
        <v>31.578897412</v>
      </c>
      <c r="K5">
        <v>38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2021</v>
      </c>
      <c r="E6" s="32"/>
      <c r="F6" s="10">
        <v>129.15559271121495</v>
      </c>
      <c r="G6" s="10">
        <v>14.111025122990656</v>
      </c>
      <c r="H6" s="32">
        <v>1.90455308655</v>
      </c>
      <c r="I6" s="32">
        <v>42</v>
      </c>
      <c r="J6" s="32">
        <v>26.424350112300001</v>
      </c>
      <c r="K6">
        <v>43</v>
      </c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2021</v>
      </c>
      <c r="E7" s="32"/>
      <c r="F7" s="10">
        <v>92.694275047570102</v>
      </c>
      <c r="G7" s="10">
        <v>14.109306636074766</v>
      </c>
      <c r="H7" s="32">
        <v>2.1251490233400001</v>
      </c>
      <c r="I7" s="32">
        <v>33</v>
      </c>
      <c r="J7" s="32">
        <v>26.992838712000001</v>
      </c>
      <c r="K7">
        <v>41</v>
      </c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2021</v>
      </c>
      <c r="E8" s="32"/>
      <c r="F8" s="10">
        <v>112.94205607476637</v>
      </c>
      <c r="G8" s="10">
        <v>15.169738620186918</v>
      </c>
      <c r="H8" s="32">
        <v>7.3786630943100002</v>
      </c>
      <c r="I8" s="32">
        <v>37</v>
      </c>
      <c r="J8" s="32">
        <v>28.995325018399999</v>
      </c>
      <c r="K8">
        <v>45</v>
      </c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2021</v>
      </c>
      <c r="E9" s="32"/>
      <c r="F9" s="10">
        <v>137.15579937196262</v>
      </c>
      <c r="G9" s="10">
        <v>14.079865426542058</v>
      </c>
      <c r="H9" s="32">
        <v>5.0070599753699998</v>
      </c>
      <c r="I9" s="32">
        <v>44</v>
      </c>
      <c r="J9" s="32">
        <v>27.014292703300001</v>
      </c>
      <c r="K9">
        <v>66</v>
      </c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2021</v>
      </c>
      <c r="E10" s="32"/>
      <c r="F10" s="10">
        <v>109.99971673177571</v>
      </c>
      <c r="G10" s="10">
        <v>14.658535670280374</v>
      </c>
      <c r="H10" s="32">
        <v>2.0509399404100002</v>
      </c>
      <c r="I10" s="32">
        <v>47</v>
      </c>
      <c r="J10" s="32">
        <v>29.967711726400001</v>
      </c>
      <c r="K10">
        <v>62</v>
      </c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2021</v>
      </c>
      <c r="E11" s="32"/>
      <c r="F11" s="32"/>
      <c r="G11" s="32"/>
      <c r="H11" s="32"/>
      <c r="I11" s="32"/>
      <c r="J11" s="32"/>
      <c r="K11">
        <v>68</v>
      </c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2021</v>
      </c>
      <c r="E12" s="32"/>
      <c r="F12" s="32"/>
      <c r="G12" s="32"/>
      <c r="H12" s="32"/>
      <c r="I12" s="32"/>
      <c r="J12" s="32"/>
      <c r="K12" s="6"/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2021</v>
      </c>
      <c r="E13" s="32"/>
      <c r="F13" s="32"/>
      <c r="G13" s="32"/>
      <c r="H13" s="32"/>
      <c r="I13" s="32"/>
      <c r="J13" s="32"/>
      <c r="K13" s="6"/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2021</v>
      </c>
      <c r="E14" s="32"/>
      <c r="F14" s="32"/>
      <c r="G14" s="32"/>
      <c r="H14" s="32"/>
      <c r="I14" s="32"/>
      <c r="J14" s="32"/>
      <c r="K14" s="6"/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2021</v>
      </c>
      <c r="E15" s="32"/>
      <c r="F15" s="32"/>
      <c r="G15" s="32"/>
      <c r="H15" s="32"/>
      <c r="I15" s="32"/>
      <c r="J15" s="32"/>
      <c r="K15" s="6"/>
      <c r="L15" s="32"/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2021</v>
      </c>
      <c r="E16" s="32"/>
      <c r="F16" s="32"/>
      <c r="G16" s="32"/>
      <c r="H16" s="32"/>
      <c r="I16" s="32"/>
      <c r="J16" s="32"/>
      <c r="K16" s="6"/>
      <c r="L16" s="32"/>
    </row>
    <row r="17" spans="1:12" x14ac:dyDescent="0.25">
      <c r="A17" s="17" t="s">
        <v>32</v>
      </c>
      <c r="B17" s="6">
        <f t="shared" si="0"/>
        <v>16</v>
      </c>
      <c r="C17" s="6">
        <v>6</v>
      </c>
      <c r="D17" s="6">
        <v>2021</v>
      </c>
      <c r="E17" s="32"/>
      <c r="F17" s="32"/>
      <c r="G17" s="32"/>
      <c r="H17" s="32"/>
      <c r="I17" s="32"/>
      <c r="J17" s="32"/>
      <c r="K17" s="6"/>
      <c r="L17" s="32"/>
    </row>
    <row r="18" spans="1:12" x14ac:dyDescent="0.25">
      <c r="A18" s="17" t="s">
        <v>32</v>
      </c>
      <c r="B18" s="6">
        <f t="shared" si="0"/>
        <v>17</v>
      </c>
      <c r="C18" s="6">
        <v>6</v>
      </c>
      <c r="D18" s="6">
        <v>2021</v>
      </c>
      <c r="E18" s="32"/>
      <c r="F18" s="32"/>
      <c r="G18" s="32"/>
      <c r="H18" s="32"/>
      <c r="I18" s="32"/>
      <c r="J18" s="32"/>
      <c r="K18" s="6"/>
      <c r="L18" s="32"/>
    </row>
    <row r="19" spans="1:12" x14ac:dyDescent="0.25">
      <c r="A19" s="17" t="s">
        <v>32</v>
      </c>
      <c r="B19" s="6">
        <f t="shared" si="0"/>
        <v>18</v>
      </c>
      <c r="C19" s="6">
        <v>6</v>
      </c>
      <c r="D19" s="6">
        <v>2021</v>
      </c>
      <c r="E19" s="32"/>
      <c r="F19" s="32"/>
      <c r="G19" s="32"/>
      <c r="H19" s="32"/>
      <c r="I19" s="32"/>
      <c r="J19" s="32"/>
      <c r="K19" s="6"/>
      <c r="L19" s="32"/>
    </row>
    <row r="20" spans="1:12" x14ac:dyDescent="0.25">
      <c r="A20" s="17" t="s">
        <v>32</v>
      </c>
      <c r="B20" s="6">
        <f t="shared" si="0"/>
        <v>19</v>
      </c>
      <c r="C20" s="6">
        <v>6</v>
      </c>
      <c r="D20" s="6">
        <v>2021</v>
      </c>
      <c r="E20" s="32"/>
      <c r="F20" s="32"/>
      <c r="G20" s="32"/>
      <c r="H20" s="32"/>
      <c r="I20" s="32"/>
      <c r="J20" s="32"/>
      <c r="K20" s="6"/>
      <c r="L20" s="32"/>
    </row>
    <row r="21" spans="1:12" x14ac:dyDescent="0.25">
      <c r="A21" s="17" t="s">
        <v>32</v>
      </c>
      <c r="B21" s="6">
        <f t="shared" si="0"/>
        <v>20</v>
      </c>
      <c r="C21" s="6">
        <v>6</v>
      </c>
      <c r="D21" s="6">
        <v>2021</v>
      </c>
      <c r="E21" s="32"/>
      <c r="F21" s="32"/>
      <c r="G21" s="32"/>
      <c r="H21" s="32"/>
      <c r="I21" s="32"/>
      <c r="J21" s="32"/>
      <c r="K21" s="6"/>
      <c r="L21" s="32"/>
    </row>
    <row r="22" spans="1:12" x14ac:dyDescent="0.25">
      <c r="A22" s="17" t="s">
        <v>32</v>
      </c>
      <c r="B22" s="6">
        <f t="shared" si="0"/>
        <v>21</v>
      </c>
      <c r="C22" s="6">
        <v>6</v>
      </c>
      <c r="D22" s="6">
        <v>2021</v>
      </c>
      <c r="E22" s="32"/>
      <c r="F22" s="32"/>
      <c r="G22" s="32"/>
      <c r="H22" s="32"/>
      <c r="I22" s="32"/>
      <c r="J22" s="32"/>
      <c r="K22" s="6"/>
      <c r="L22" s="32"/>
    </row>
    <row r="23" spans="1:12" x14ac:dyDescent="0.25">
      <c r="A23" s="17" t="s">
        <v>32</v>
      </c>
      <c r="B23" s="6">
        <f t="shared" si="0"/>
        <v>22</v>
      </c>
      <c r="C23" s="6">
        <v>6</v>
      </c>
      <c r="D23" s="6">
        <v>2021</v>
      </c>
      <c r="E23" s="32"/>
      <c r="F23" s="32"/>
      <c r="G23" s="32"/>
      <c r="H23" s="32"/>
      <c r="I23" s="32"/>
      <c r="J23" s="32"/>
      <c r="K23" s="6"/>
      <c r="L23" s="32"/>
    </row>
    <row r="24" spans="1:12" x14ac:dyDescent="0.25">
      <c r="A24" s="17" t="s">
        <v>32</v>
      </c>
      <c r="B24" s="6">
        <f t="shared" si="0"/>
        <v>23</v>
      </c>
      <c r="C24" s="6">
        <v>6</v>
      </c>
      <c r="D24" s="6">
        <v>2021</v>
      </c>
      <c r="E24" s="32"/>
      <c r="F24" s="32"/>
      <c r="G24" s="32"/>
      <c r="H24" s="32"/>
      <c r="I24" s="32"/>
      <c r="J24" s="32"/>
      <c r="K24" s="6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6</v>
      </c>
      <c r="D25" s="6">
        <v>2021</v>
      </c>
      <c r="E25" s="32"/>
      <c r="F25" s="32"/>
      <c r="G25" s="32"/>
      <c r="H25" s="32"/>
      <c r="I25" s="32"/>
      <c r="J25" s="32"/>
      <c r="K25" s="6"/>
      <c r="L25" s="32"/>
    </row>
    <row r="26" spans="1:12" x14ac:dyDescent="0.25">
      <c r="A26" s="17" t="s">
        <v>32</v>
      </c>
      <c r="B26" s="6">
        <f>B25+1</f>
        <v>25</v>
      </c>
      <c r="C26" s="6">
        <v>6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2021</v>
      </c>
      <c r="E27" s="32"/>
      <c r="F27" s="32"/>
      <c r="G27" s="32"/>
      <c r="H27" s="32"/>
      <c r="I27" s="32"/>
      <c r="J27" s="32"/>
      <c r="L27" s="32"/>
    </row>
    <row r="28" spans="1:12" x14ac:dyDescent="0.25">
      <c r="A28" s="17" t="s">
        <v>32</v>
      </c>
      <c r="B28" s="6">
        <f t="shared" si="0"/>
        <v>27</v>
      </c>
      <c r="C28" s="6">
        <v>6</v>
      </c>
      <c r="D28" s="6">
        <v>2021</v>
      </c>
      <c r="E28" s="32"/>
      <c r="F28" s="32"/>
      <c r="G28" s="32"/>
      <c r="H28" s="32"/>
      <c r="I28" s="32"/>
      <c r="J28" s="32"/>
      <c r="L28" s="32"/>
    </row>
    <row r="29" spans="1:12" x14ac:dyDescent="0.25">
      <c r="A29" s="17" t="s">
        <v>32</v>
      </c>
      <c r="B29" s="6">
        <f t="shared" si="0"/>
        <v>28</v>
      </c>
      <c r="C29" s="6">
        <v>6</v>
      </c>
      <c r="D29" s="6">
        <v>2021</v>
      </c>
      <c r="E29" s="32"/>
      <c r="F29" s="32"/>
      <c r="G29" s="32"/>
      <c r="H29" s="32"/>
      <c r="I29" s="32"/>
      <c r="J29" s="32"/>
      <c r="L29" s="32"/>
    </row>
    <row r="30" spans="1:12" x14ac:dyDescent="0.25">
      <c r="A30" s="17" t="s">
        <v>32</v>
      </c>
      <c r="B30" s="6">
        <f t="shared" si="0"/>
        <v>29</v>
      </c>
      <c r="C30" s="6">
        <v>6</v>
      </c>
      <c r="D30" s="6">
        <v>2021</v>
      </c>
      <c r="E30" s="32"/>
      <c r="F30" s="32"/>
      <c r="G30" s="32"/>
      <c r="H30" s="32"/>
      <c r="I30" s="32"/>
      <c r="J30" s="32"/>
      <c r="L30" s="32"/>
    </row>
    <row r="31" spans="1:12" x14ac:dyDescent="0.25">
      <c r="A31" s="17" t="s">
        <v>32</v>
      </c>
      <c r="B31" s="6">
        <f t="shared" si="0"/>
        <v>30</v>
      </c>
      <c r="C31" s="6">
        <v>6</v>
      </c>
      <c r="D31" s="6">
        <v>2021</v>
      </c>
      <c r="E31" s="32"/>
      <c r="F31" s="32"/>
      <c r="G31" s="32"/>
      <c r="H31" s="32"/>
      <c r="I31" s="32"/>
      <c r="J31" s="32"/>
      <c r="L31" s="32"/>
    </row>
    <row r="32" spans="1:12" x14ac:dyDescent="0.25">
      <c r="A32" s="17" t="s">
        <v>32</v>
      </c>
      <c r="B32" s="6">
        <f t="shared" si="0"/>
        <v>31</v>
      </c>
      <c r="C32" s="6">
        <v>6</v>
      </c>
      <c r="D32" s="6">
        <v>2021</v>
      </c>
      <c r="E32" s="32">
        <v>7625.9250000000002</v>
      </c>
      <c r="F32" s="32"/>
      <c r="G32" s="32"/>
      <c r="H32" s="32"/>
      <c r="I32" s="32"/>
      <c r="J32" s="32"/>
      <c r="K32" s="33">
        <v>44</v>
      </c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5"/>
      <c r="C1" s="1"/>
      <c r="D1" s="11"/>
      <c r="E1" s="1"/>
      <c r="F1" s="14"/>
      <c r="G1" s="1"/>
      <c r="H1" s="1"/>
      <c r="I1" s="46"/>
      <c r="J1" s="35"/>
      <c r="K1" s="36"/>
      <c r="L1" s="36"/>
      <c r="M1" s="36"/>
      <c r="N1" s="36"/>
      <c r="O1" s="36"/>
      <c r="P1" s="21"/>
      <c r="Q1" s="21"/>
    </row>
    <row r="2" spans="1:17" ht="35.25" customHeight="1" thickBot="1" x14ac:dyDescent="0.3">
      <c r="A2" s="19" t="s">
        <v>15</v>
      </c>
      <c r="B2" s="45"/>
      <c r="C2" s="39" t="s">
        <v>22</v>
      </c>
      <c r="D2" s="40"/>
      <c r="E2" s="49" t="s">
        <v>23</v>
      </c>
      <c r="F2" s="49"/>
      <c r="G2" s="49" t="s">
        <v>24</v>
      </c>
      <c r="H2" s="49"/>
      <c r="I2" s="47"/>
      <c r="J2" s="37" t="s">
        <v>27</v>
      </c>
      <c r="K2" s="38"/>
      <c r="L2" s="41" t="s">
        <v>28</v>
      </c>
      <c r="M2" s="41"/>
      <c r="N2" s="41" t="s">
        <v>29</v>
      </c>
      <c r="O2" s="41"/>
      <c r="P2" s="10"/>
      <c r="Q2" s="10"/>
    </row>
    <row r="3" spans="1:17" ht="44.25" customHeight="1" x14ac:dyDescent="0.25">
      <c r="A3" s="2" t="s">
        <v>0</v>
      </c>
      <c r="B3" s="4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5"/>
      <c r="C4" s="18">
        <v>22342913</v>
      </c>
      <c r="D4" s="42">
        <f>IF((C5-C4&lt;0), "",C5-C4)</f>
        <v>7975</v>
      </c>
      <c r="E4" s="18">
        <v>23837512</v>
      </c>
      <c r="F4" s="43">
        <f>IF((E5-E4&lt;0), "",E5-E4)</f>
        <v>5799</v>
      </c>
      <c r="G4" s="18">
        <v>9975816</v>
      </c>
      <c r="H4" s="42">
        <f>IF((G5-G4&lt;0), "",G5-G4)</f>
        <v>3477</v>
      </c>
      <c r="I4" s="47"/>
      <c r="J4" s="18"/>
      <c r="K4" s="42">
        <v>0</v>
      </c>
      <c r="L4" s="18"/>
      <c r="M4" s="42">
        <v>0</v>
      </c>
      <c r="N4" s="18">
        <v>75776</v>
      </c>
      <c r="O4" s="42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5"/>
      <c r="C5" s="18">
        <v>22350888</v>
      </c>
      <c r="D5" s="42"/>
      <c r="E5" s="18">
        <v>23843311</v>
      </c>
      <c r="F5" s="44"/>
      <c r="G5" s="18">
        <v>9979293</v>
      </c>
      <c r="H5" s="42"/>
      <c r="I5" s="47"/>
      <c r="J5" s="18">
        <v>0</v>
      </c>
      <c r="K5" s="42"/>
      <c r="L5" s="18">
        <v>0</v>
      </c>
      <c r="M5" s="42"/>
      <c r="N5" s="18">
        <v>75809</v>
      </c>
      <c r="O5" s="42"/>
      <c r="P5" s="23"/>
      <c r="Q5" s="23"/>
    </row>
    <row r="6" spans="1:17" ht="45" customHeight="1" x14ac:dyDescent="0.3">
      <c r="A6" s="7">
        <v>43557</v>
      </c>
      <c r="B6" s="4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2021-06-11T14:10:43Z</dcterms:modified>
</cp:coreProperties>
</file>