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40" i="3" l="1"/>
  <c r="U18" i="3" l="1"/>
  <c r="U19" i="3"/>
  <c r="U20" i="3"/>
  <c r="U21" i="3"/>
  <c r="U22" i="3"/>
  <c r="U23" i="3"/>
  <c r="U38" i="3" l="1"/>
  <c r="J31" i="2" s="1"/>
  <c r="U39" i="3"/>
  <c r="J32" i="2" s="1"/>
  <c r="P38" i="3"/>
  <c r="I31" i="2" s="1"/>
  <c r="P39" i="3"/>
  <c r="I32" i="2" s="1"/>
  <c r="N38" i="3"/>
  <c r="H31" i="2" s="1"/>
  <c r="N39" i="3"/>
  <c r="H32" i="2" s="1"/>
  <c r="H38" i="3"/>
  <c r="G31" i="2" s="1"/>
  <c r="H39" i="3"/>
  <c r="G32" i="2" s="1"/>
  <c r="F38" i="3"/>
  <c r="F31" i="2" s="1"/>
  <c r="F39" i="3"/>
  <c r="F32" i="2" s="1"/>
  <c r="D38" i="3"/>
  <c r="E31" i="2" s="1"/>
  <c r="D39" i="3"/>
  <c r="E32" i="2" s="1"/>
  <c r="K31" i="1"/>
  <c r="K32" i="1"/>
  <c r="K27" i="2"/>
  <c r="K28" i="2"/>
  <c r="K29" i="2"/>
  <c r="K30" i="2"/>
  <c r="K31" i="2"/>
  <c r="K32" i="2"/>
  <c r="B37" i="3"/>
  <c r="B38" i="3"/>
  <c r="B39" i="3" s="1"/>
  <c r="V39" i="3" l="1"/>
  <c r="I39" i="3"/>
  <c r="K39" i="3" s="1"/>
  <c r="Q39" i="3"/>
  <c r="R39" i="3"/>
  <c r="V38" i="3"/>
  <c r="R38" i="3"/>
  <c r="Q38" i="3"/>
  <c r="I38" i="3"/>
  <c r="K38" i="3" s="1"/>
  <c r="X39" i="3" l="1"/>
  <c r="Z39" i="3" s="1"/>
  <c r="X38" i="3"/>
  <c r="Z38" i="3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U37" i="3"/>
  <c r="P36" i="3"/>
  <c r="I29" i="2" s="1"/>
  <c r="P37" i="3"/>
  <c r="I30" i="2" s="1"/>
  <c r="N36" i="3"/>
  <c r="H29" i="2" s="1"/>
  <c r="N37" i="3"/>
  <c r="H30" i="2" s="1"/>
  <c r="H35" i="3"/>
  <c r="G28" i="2" s="1"/>
  <c r="H36" i="3"/>
  <c r="G29" i="2" s="1"/>
  <c r="H37" i="3"/>
  <c r="G30" i="2" s="1"/>
  <c r="F36" i="3"/>
  <c r="F29" i="2" s="1"/>
  <c r="F37" i="3"/>
  <c r="F30" i="2" s="1"/>
  <c r="D36" i="3"/>
  <c r="E29" i="2" s="1"/>
  <c r="D37" i="3"/>
  <c r="E30" i="2" s="1"/>
  <c r="H9" i="3"/>
  <c r="G2" i="2" s="1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2" i="2" s="1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E2" i="2" s="1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J2" i="2" s="1"/>
  <c r="I2" i="1" s="1"/>
  <c r="P9" i="3"/>
  <c r="I2" i="2" s="1"/>
  <c r="N9" i="3"/>
  <c r="H2" i="2" s="1"/>
  <c r="U6" i="3"/>
  <c r="V6" i="3" s="1"/>
  <c r="P6" i="3"/>
  <c r="N6" i="3"/>
  <c r="H6" i="3"/>
  <c r="J6" i="3" s="1"/>
  <c r="B6" i="3"/>
  <c r="B30" i="2"/>
  <c r="B31" i="2"/>
  <c r="B32" i="2" s="1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0" i="1"/>
  <c r="B31" i="1"/>
  <c r="B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V33" i="3" l="1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J30" i="2"/>
  <c r="I30" i="1" s="1"/>
  <c r="R32" i="3"/>
  <c r="E7" i="1"/>
  <c r="J6" i="2"/>
  <c r="I6" i="1" s="1"/>
  <c r="I10" i="3"/>
  <c r="K10" i="3" s="1"/>
  <c r="E9" i="1"/>
  <c r="E5" i="1"/>
  <c r="I32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E31" i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E30" i="1"/>
  <c r="I37" i="3"/>
  <c r="K37" i="3" s="1"/>
  <c r="J11" i="2"/>
  <c r="I11" i="1" s="1"/>
  <c r="J7" i="2"/>
  <c r="I7" i="1" s="1"/>
  <c r="J3" i="2"/>
  <c r="I3" i="1" s="1"/>
  <c r="G2" i="1"/>
  <c r="K6" i="3"/>
  <c r="E2" i="1"/>
  <c r="V37" i="3"/>
  <c r="I31" i="1"/>
  <c r="J23" i="2"/>
  <c r="I23" i="1" s="1"/>
  <c r="G26" i="1"/>
  <c r="R36" i="3"/>
  <c r="Q36" i="3"/>
  <c r="G24" i="1"/>
  <c r="G28" i="1"/>
  <c r="G31" i="1"/>
  <c r="G25" i="1"/>
  <c r="G22" i="1"/>
  <c r="G23" i="1"/>
  <c r="Q34" i="3"/>
  <c r="G30" i="1"/>
  <c r="G29" i="1"/>
  <c r="R31" i="3"/>
  <c r="Q37" i="3"/>
  <c r="G32" i="1"/>
  <c r="Q30" i="3"/>
  <c r="R34" i="3"/>
  <c r="R37" i="3"/>
  <c r="G27" i="1"/>
  <c r="E23" i="1"/>
  <c r="E32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O40" i="3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M40" i="3"/>
  <c r="R10" i="3"/>
  <c r="R16" i="3"/>
  <c r="I9" i="3"/>
  <c r="K9" i="3" s="1"/>
  <c r="V9" i="3"/>
  <c r="T40" i="3"/>
  <c r="C40" i="3"/>
  <c r="R11" i="3"/>
  <c r="R13" i="3"/>
  <c r="X13" i="3" s="1"/>
  <c r="Z13" i="3" s="1"/>
  <c r="R15" i="3"/>
  <c r="I17" i="3"/>
  <c r="K17" i="3" s="1"/>
  <c r="R17" i="3"/>
  <c r="I23" i="3"/>
  <c r="K23" i="3" s="1"/>
  <c r="E40" i="3"/>
  <c r="Q6" i="3"/>
  <c r="R6" i="3" s="1"/>
  <c r="G40" i="3"/>
  <c r="I19" i="3"/>
  <c r="K19" i="3" s="1"/>
  <c r="R19" i="3"/>
  <c r="I21" i="3"/>
  <c r="K21" i="3" s="1"/>
  <c r="R21" i="3"/>
  <c r="R9" i="3"/>
  <c r="X6" i="3" l="1"/>
  <c r="Z6" i="3" s="1"/>
  <c r="X32" i="3"/>
  <c r="Z32" i="3" s="1"/>
  <c r="X10" i="3"/>
  <c r="Z10" i="3" s="1"/>
  <c r="V40" i="3"/>
  <c r="X24" i="3"/>
  <c r="Z24" i="3" s="1"/>
  <c r="E26" i="1"/>
  <c r="X31" i="3"/>
  <c r="Z31" i="3" s="1"/>
  <c r="X37" i="3"/>
  <c r="Z37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R40" i="3"/>
  <c r="Q40" i="3"/>
  <c r="K40" i="3"/>
  <c r="X9" i="3"/>
  <c r="X21" i="3"/>
  <c r="Z21" i="3" s="1"/>
  <c r="I40" i="3"/>
  <c r="X40" i="3" l="1"/>
  <c r="Z9" i="3"/>
  <c r="Z40" i="3" s="1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<sst xmlns="http://schemas.openxmlformats.org/spreadsheetml/2006/main" count="310" uniqueCount="123">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</sst>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2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3" fontId="19" fillId="0" borderId="15" xfId="0" applyNumberFormat="1" applyFont="1" applyFill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3" fontId="17" fillId="0" borderId="17" xfId="0" applyNumberFormat="1" applyFont="1" applyFill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17" fillId="0" borderId="30" xfId="0" applyNumberFormat="1" applyFont="1" applyBorder="1" applyAlignment="1">
      <alignment horizontal="center"/>
    </xf>
    <xf numFmtId="3" fontId="19" fillId="0" borderId="30" xfId="0" applyNumberFormat="1" applyFont="1" applyBorder="1" applyAlignment="1">
      <alignment horizont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3" fontId="17" fillId="0" borderId="16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0" fontId="0" fillId="0" borderId="40" xfId="0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O24" sqref="O24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8</v>
      </c>
      <c r="D2" s="6">
        <v>2021</v>
      </c>
      <c r="E2" s="8">
        <f>Submetring!E2+Submetring!F2+Submetring!G2</f>
        <v>13738</v>
      </c>
      <c r="F2" s="6">
        <v>0.251</v>
      </c>
      <c r="G2" s="8">
        <f>Submetring!H2+Submetring!I2</f>
        <v>885</v>
      </c>
      <c r="H2" s="6">
        <v>0.56711199999999995</v>
      </c>
      <c r="I2" s="8">
        <f>Submetring!J2</f>
        <v>428</v>
      </c>
      <c r="J2" s="6">
        <v>3.03</v>
      </c>
      <c r="K2" s="8">
        <f>Hotel!Y9</f>
        <v>111</v>
      </c>
    </row>
    <row r="3" spans="1:11" x14ac:dyDescent="0.25">
      <c r="A3" s="6" t="s">
        <v>11</v>
      </c>
      <c r="B3" s="9">
        <f>B2+1</f>
        <v>2</v>
      </c>
      <c r="C3" s="7">
        <v>8</v>
      </c>
      <c r="D3" s="6">
        <v>2021</v>
      </c>
      <c r="E3" s="8">
        <f>Submetring!E3+Submetring!F3+Submetring!G3</f>
        <v>14867</v>
      </c>
      <c r="F3" s="6">
        <v>0.251</v>
      </c>
      <c r="G3" s="8">
        <f>Submetring!H3+Submetring!I3</f>
        <v>989</v>
      </c>
      <c r="H3" s="6">
        <v>0.56711199999999995</v>
      </c>
      <c r="I3" s="8">
        <f>Submetring!J3</f>
        <v>403</v>
      </c>
      <c r="J3" s="6">
        <v>3.03</v>
      </c>
      <c r="K3" s="8">
        <f>Hotel!Y10</f>
        <v>84</v>
      </c>
    </row>
    <row r="4" spans="1:11" x14ac:dyDescent="0.25">
      <c r="A4" s="6" t="s">
        <v>11</v>
      </c>
      <c r="B4" s="9">
        <f t="shared" ref="B4:B32" si="0">B3+1</f>
        <v>3</v>
      </c>
      <c r="C4" s="7">
        <v>8</v>
      </c>
      <c r="D4" s="6">
        <v>2021</v>
      </c>
      <c r="E4" s="8">
        <f>Submetring!E4+Submetring!F4+Submetring!G4</f>
        <v>14523</v>
      </c>
      <c r="F4" s="6">
        <v>0.251</v>
      </c>
      <c r="G4" s="8">
        <f>Submetring!H4+Submetring!I4</f>
        <v>863</v>
      </c>
      <c r="H4" s="6">
        <v>0.56711199999999995</v>
      </c>
      <c r="I4" s="8">
        <f>Submetring!J4</f>
        <v>391</v>
      </c>
      <c r="J4" s="6">
        <v>3.03</v>
      </c>
      <c r="K4" s="8">
        <f>Hotel!Y11</f>
        <v>79</v>
      </c>
    </row>
    <row r="5" spans="1:11" x14ac:dyDescent="0.25">
      <c r="A5" s="6" t="s">
        <v>11</v>
      </c>
      <c r="B5" s="9">
        <f t="shared" si="0"/>
        <v>4</v>
      </c>
      <c r="C5" s="7">
        <v>8</v>
      </c>
      <c r="D5" s="6">
        <v>2021</v>
      </c>
      <c r="E5" s="8">
        <f>Submetring!E5+Submetring!F5+Submetring!G5</f>
        <v>14740</v>
      </c>
      <c r="F5" s="6">
        <v>0.251</v>
      </c>
      <c r="G5" s="8">
        <f>Submetring!H5+Submetring!I5</f>
        <v>760</v>
      </c>
      <c r="H5" s="6">
        <v>0.56711199999999995</v>
      </c>
      <c r="I5" s="8">
        <f>Submetring!J5</f>
        <v>425</v>
      </c>
      <c r="J5" s="6">
        <v>3.03</v>
      </c>
      <c r="K5" s="8">
        <f>Hotel!Y12</f>
        <v>82</v>
      </c>
    </row>
    <row r="6" spans="1:11" x14ac:dyDescent="0.25">
      <c r="A6" s="6" t="s">
        <v>11</v>
      </c>
      <c r="B6" s="9">
        <f t="shared" si="0"/>
        <v>5</v>
      </c>
      <c r="C6" s="7">
        <v>8</v>
      </c>
      <c r="D6" s="6">
        <v>2021</v>
      </c>
      <c r="E6" s="8">
        <f>Submetring!E6+Submetring!F6+Submetring!G6</f>
        <v>15884</v>
      </c>
      <c r="F6" s="6">
        <v>0.251</v>
      </c>
      <c r="G6" s="8">
        <f>Submetring!H6+Submetring!I6</f>
        <v>1094</v>
      </c>
      <c r="H6" s="6">
        <v>0.56711199999999995</v>
      </c>
      <c r="I6" s="8">
        <f>Submetring!J6</f>
        <v>552</v>
      </c>
      <c r="J6" s="6">
        <v>3.03</v>
      </c>
      <c r="K6" s="8">
        <f>Hotel!Y13</f>
        <v>81</v>
      </c>
    </row>
    <row r="7" spans="1:11" x14ac:dyDescent="0.25">
      <c r="A7" s="6" t="s">
        <v>11</v>
      </c>
      <c r="B7" s="9">
        <f t="shared" si="0"/>
        <v>6</v>
      </c>
      <c r="C7" s="7">
        <v>8</v>
      </c>
      <c r="D7" s="6">
        <v>2021</v>
      </c>
      <c r="E7" s="8">
        <f>Submetring!E7+Submetring!F7+Submetring!G7</f>
        <v>0</v>
      </c>
      <c r="F7" s="6">
        <v>0.251</v>
      </c>
      <c r="G7" s="8">
        <f>Submetring!H7+Submetring!I7</f>
        <v>0</v>
      </c>
      <c r="H7" s="6">
        <v>0.56711199999999995</v>
      </c>
      <c r="I7" s="8" t="str">
        <f>Submetring!J7</f>
        <v>0</v>
      </c>
      <c r="J7" s="6">
        <v>3.03</v>
      </c>
      <c r="K7" s="8">
        <f>Hotel!Y14</f>
        <v>0</v>
      </c>
    </row>
    <row r="8" spans="1:11" x14ac:dyDescent="0.25">
      <c r="A8" s="6" t="s">
        <v>11</v>
      </c>
      <c r="B8" s="9">
        <f t="shared" si="0"/>
        <v>7</v>
      </c>
      <c r="C8" s="7">
        <v>8</v>
      </c>
      <c r="D8" s="6">
        <v>2021</v>
      </c>
      <c r="E8" s="8">
        <f>Submetring!E8+Submetring!F8+Submetring!G8</f>
        <v>0</v>
      </c>
      <c r="F8" s="6">
        <v>0.251</v>
      </c>
      <c r="G8" s="8">
        <f>Submetring!H8+Submetring!I8</f>
        <v>0</v>
      </c>
      <c r="H8" s="6">
        <v>0.56711199999999995</v>
      </c>
      <c r="I8" s="8">
        <f>Submetring!J8</f>
        <v>0</v>
      </c>
      <c r="J8" s="6">
        <v>3.03</v>
      </c>
      <c r="K8" s="8">
        <f>Hotel!Y15</f>
        <v>0</v>
      </c>
    </row>
    <row r="9" spans="1:11" x14ac:dyDescent="0.25">
      <c r="A9" s="6" t="s">
        <v>11</v>
      </c>
      <c r="B9" s="9">
        <f t="shared" si="0"/>
        <v>8</v>
      </c>
      <c r="C9" s="7">
        <v>8</v>
      </c>
      <c r="D9" s="6">
        <v>2021</v>
      </c>
      <c r="E9" s="8">
        <f>Submetring!E9+Submetring!F9+Submetring!G9</f>
        <v>0</v>
      </c>
      <c r="F9" s="6">
        <v>0.251</v>
      </c>
      <c r="G9" s="8">
        <f>Submetring!H9+Submetring!I9</f>
        <v>0</v>
      </c>
      <c r="H9" s="6">
        <v>0.56711199999999995</v>
      </c>
      <c r="I9" s="8">
        <f>Submetring!J9</f>
        <v>0</v>
      </c>
      <c r="J9" s="6">
        <v>3.03</v>
      </c>
      <c r="K9" s="8">
        <f>Hotel!Y16</f>
        <v>0</v>
      </c>
    </row>
    <row r="10" spans="1:11" x14ac:dyDescent="0.25">
      <c r="A10" s="6" t="s">
        <v>11</v>
      </c>
      <c r="B10" s="9">
        <f t="shared" si="0"/>
        <v>9</v>
      </c>
      <c r="C10" s="7">
        <v>8</v>
      </c>
      <c r="D10" s="6">
        <v>2021</v>
      </c>
      <c r="E10" s="8">
        <f>Submetring!E10+Submetring!F10+Submetring!G10</f>
        <v>0</v>
      </c>
      <c r="F10" s="6">
        <v>0.251</v>
      </c>
      <c r="G10" s="8">
        <f>Submetring!H10+Submetring!I10</f>
        <v>0</v>
      </c>
      <c r="H10" s="6">
        <v>0.56711199999999995</v>
      </c>
      <c r="I10" s="8">
        <f>Submetring!J10</f>
        <v>0</v>
      </c>
      <c r="J10" s="6">
        <v>3.03</v>
      </c>
      <c r="K10" s="8">
        <f>Hotel!Y17</f>
        <v>0</v>
      </c>
    </row>
    <row r="11" spans="1:11" x14ac:dyDescent="0.25">
      <c r="A11" s="6" t="s">
        <v>11</v>
      </c>
      <c r="B11" s="9">
        <f t="shared" si="0"/>
        <v>10</v>
      </c>
      <c r="C11" s="7">
        <v>8</v>
      </c>
      <c r="D11" s="6">
        <v>2021</v>
      </c>
      <c r="E11" s="8">
        <f>Submetring!E11+Submetring!F11+Submetring!G11</f>
        <v>0</v>
      </c>
      <c r="F11" s="6">
        <v>0.251</v>
      </c>
      <c r="G11" s="8">
        <f>Submetring!H11+Submetring!I11</f>
        <v>0</v>
      </c>
      <c r="H11" s="6">
        <v>0.56711199999999995</v>
      </c>
      <c r="I11" s="8">
        <f>Submetring!J11</f>
        <v>0</v>
      </c>
      <c r="J11" s="6">
        <v>3.03</v>
      </c>
      <c r="K11" s="8">
        <f>Hotel!Y18</f>
        <v>0</v>
      </c>
    </row>
    <row r="12" spans="1:11" x14ac:dyDescent="0.25">
      <c r="A12" s="6" t="s">
        <v>11</v>
      </c>
      <c r="B12" s="9">
        <f t="shared" si="0"/>
        <v>11</v>
      </c>
      <c r="C12" s="7">
        <v>8</v>
      </c>
      <c r="D12" s="6">
        <v>2021</v>
      </c>
      <c r="E12" s="8">
        <f>Submetring!E12+Submetring!F12+Submetring!G12</f>
        <v>0</v>
      </c>
      <c r="F12" s="6">
        <v>0.251</v>
      </c>
      <c r="G12" s="8">
        <f>Submetring!H12+Submetring!I12</f>
        <v>0</v>
      </c>
      <c r="H12" s="6">
        <v>0.56711199999999995</v>
      </c>
      <c r="I12" s="8">
        <f>Submetring!J12</f>
        <v>0</v>
      </c>
      <c r="J12" s="6">
        <v>3.03</v>
      </c>
      <c r="K12" s="8">
        <f>Hotel!Y19</f>
        <v>0</v>
      </c>
    </row>
    <row r="13" spans="1:11" x14ac:dyDescent="0.25">
      <c r="A13" s="6" t="s">
        <v>11</v>
      </c>
      <c r="B13" s="9">
        <f t="shared" si="0"/>
        <v>12</v>
      </c>
      <c r="C13" s="7">
        <v>8</v>
      </c>
      <c r="D13" s="6">
        <v>2021</v>
      </c>
      <c r="E13" s="8">
        <f>Submetring!E13+Submetring!F13+Submetring!G13</f>
        <v>0</v>
      </c>
      <c r="F13" s="6">
        <v>0.251</v>
      </c>
      <c r="G13" s="8">
        <f>Submetring!H13+Submetring!I13</f>
        <v>0</v>
      </c>
      <c r="H13" s="6">
        <v>0.56711199999999995</v>
      </c>
      <c r="I13" s="8">
        <f>Submetring!J13</f>
        <v>0</v>
      </c>
      <c r="J13" s="6">
        <v>3.03</v>
      </c>
      <c r="K13" s="8">
        <f>Hotel!Y20</f>
        <v>0</v>
      </c>
    </row>
    <row r="14" spans="1:11" x14ac:dyDescent="0.25">
      <c r="A14" s="6" t="s">
        <v>11</v>
      </c>
      <c r="B14" s="9">
        <f t="shared" si="0"/>
        <v>13</v>
      </c>
      <c r="C14" s="7">
        <v>8</v>
      </c>
      <c r="D14" s="6">
        <v>2021</v>
      </c>
      <c r="E14" s="8">
        <f>Submetring!E14+Submetring!F14+Submetring!G14</f>
        <v>0</v>
      </c>
      <c r="F14" s="6">
        <v>0.251</v>
      </c>
      <c r="G14" s="8">
        <f>Submetring!H14+Submetring!I14</f>
        <v>0</v>
      </c>
      <c r="H14" s="6">
        <v>0.56711199999999995</v>
      </c>
      <c r="I14" s="8">
        <f>Submetring!J14</f>
        <v>0</v>
      </c>
      <c r="J14" s="6">
        <v>3.03</v>
      </c>
      <c r="K14" s="8">
        <f>Hotel!Y21</f>
        <v>0</v>
      </c>
    </row>
    <row r="15" spans="1:11" x14ac:dyDescent="0.25">
      <c r="A15" s="6" t="s">
        <v>11</v>
      </c>
      <c r="B15" s="9">
        <f t="shared" si="0"/>
        <v>14</v>
      </c>
      <c r="C15" s="7">
        <v>8</v>
      </c>
      <c r="D15" s="6">
        <v>2021</v>
      </c>
      <c r="E15" s="8">
        <f>Submetring!E15+Submetring!F15+Submetring!G15</f>
        <v>0</v>
      </c>
      <c r="F15" s="6">
        <v>0.251</v>
      </c>
      <c r="G15" s="8">
        <f>Submetring!H15+Submetring!I15</f>
        <v>0</v>
      </c>
      <c r="H15" s="6">
        <v>0.56711199999999995</v>
      </c>
      <c r="I15" s="8">
        <f>Submetring!J15</f>
        <v>0</v>
      </c>
      <c r="J15" s="6">
        <v>3.03</v>
      </c>
      <c r="K15" s="8">
        <f>Hotel!Y22</f>
        <v>0</v>
      </c>
    </row>
    <row r="16" spans="1:11" x14ac:dyDescent="0.25">
      <c r="A16" s="6" t="s">
        <v>11</v>
      </c>
      <c r="B16" s="9">
        <f t="shared" si="0"/>
        <v>15</v>
      </c>
      <c r="C16" s="7">
        <v>8</v>
      </c>
      <c r="D16" s="6">
        <v>2021</v>
      </c>
      <c r="E16" s="8">
        <f>Submetring!E16+Submetring!F16+Submetring!G16</f>
        <v>0</v>
      </c>
      <c r="F16" s="6">
        <v>0.251</v>
      </c>
      <c r="G16" s="8">
        <f>Submetring!H16+Submetring!I16</f>
        <v>0</v>
      </c>
      <c r="H16" s="6">
        <v>0.56711199999999995</v>
      </c>
      <c r="I16" s="8">
        <f>Submetring!J16</f>
        <v>0</v>
      </c>
      <c r="J16" s="6">
        <v>3.03</v>
      </c>
      <c r="K16" s="8">
        <f>Hotel!Y23</f>
        <v>0</v>
      </c>
    </row>
    <row r="17" spans="1:11" x14ac:dyDescent="0.25">
      <c r="A17" s="6" t="s">
        <v>11</v>
      </c>
      <c r="B17" s="9">
        <f t="shared" si="0"/>
        <v>16</v>
      </c>
      <c r="C17" s="7">
        <v>8</v>
      </c>
      <c r="D17" s="6">
        <v>2021</v>
      </c>
      <c r="E17" s="8">
        <f>Submetring!E17+Submetring!F17+Submetring!G17</f>
        <v>0</v>
      </c>
      <c r="F17" s="6">
        <v>0.251</v>
      </c>
      <c r="G17" s="8">
        <f>Submetring!H17+Submetring!I17</f>
        <v>0</v>
      </c>
      <c r="H17" s="6">
        <v>0.56711199999999995</v>
      </c>
      <c r="I17" s="8">
        <f>Submetring!J17</f>
        <v>0</v>
      </c>
      <c r="J17" s="6">
        <v>3.03</v>
      </c>
      <c r="K17" s="8">
        <f>Hotel!Y24</f>
        <v>0</v>
      </c>
    </row>
    <row r="18" spans="1:11" x14ac:dyDescent="0.25">
      <c r="A18" s="6" t="s">
        <v>11</v>
      </c>
      <c r="B18" s="9">
        <f t="shared" si="0"/>
        <v>17</v>
      </c>
      <c r="C18" s="7">
        <v>8</v>
      </c>
      <c r="D18" s="6">
        <v>2021</v>
      </c>
      <c r="E18" s="8">
        <f>Submetring!E18+Submetring!F18+Submetring!G18</f>
        <v>0</v>
      </c>
      <c r="F18" s="6">
        <v>0.251</v>
      </c>
      <c r="G18" s="8">
        <f>Submetring!H18+Submetring!I18</f>
        <v>0</v>
      </c>
      <c r="H18" s="6">
        <v>0.56711199999999995</v>
      </c>
      <c r="I18" s="8">
        <f>Submetring!J18</f>
        <v>0</v>
      </c>
      <c r="J18" s="6">
        <v>3.03</v>
      </c>
      <c r="K18" s="8">
        <f>Hotel!Y25</f>
        <v>0</v>
      </c>
    </row>
    <row r="19" spans="1:11" x14ac:dyDescent="0.25">
      <c r="A19" s="6" t="s">
        <v>11</v>
      </c>
      <c r="B19" s="9">
        <f t="shared" si="0"/>
        <v>18</v>
      </c>
      <c r="C19" s="7">
        <v>8</v>
      </c>
      <c r="D19" s="6">
        <v>2021</v>
      </c>
      <c r="E19" s="8">
        <f>Submetring!E19+Submetring!F19+Submetring!G19</f>
        <v>0</v>
      </c>
      <c r="F19" s="6">
        <v>0.251</v>
      </c>
      <c r="G19" s="8">
        <f>Submetring!H19+Submetring!I19</f>
        <v>0</v>
      </c>
      <c r="H19" s="6">
        <v>0.56711199999999995</v>
      </c>
      <c r="I19" s="8">
        <f>Submetring!J19</f>
        <v>0</v>
      </c>
      <c r="J19" s="6">
        <v>3.03</v>
      </c>
      <c r="K19" s="8">
        <f>Hotel!Y26</f>
        <v>0</v>
      </c>
    </row>
    <row r="20" spans="1:11" x14ac:dyDescent="0.25">
      <c r="A20" s="6" t="s">
        <v>11</v>
      </c>
      <c r="B20" s="9">
        <f t="shared" si="0"/>
        <v>19</v>
      </c>
      <c r="C20" s="7">
        <v>8</v>
      </c>
      <c r="D20" s="6">
        <v>2021</v>
      </c>
      <c r="E20" s="8">
        <f>Submetring!E20+Submetring!F20+Submetring!G20</f>
        <v>0</v>
      </c>
      <c r="F20" s="6">
        <v>0.251</v>
      </c>
      <c r="G20" s="8">
        <f>Submetring!H20+Submetring!I20</f>
        <v>0</v>
      </c>
      <c r="H20" s="6">
        <v>0.56711199999999995</v>
      </c>
      <c r="I20" s="8">
        <f>Submetring!J20</f>
        <v>0</v>
      </c>
      <c r="J20" s="6">
        <v>3.03</v>
      </c>
      <c r="K20" s="8">
        <f>Hotel!Y27</f>
        <v>0</v>
      </c>
    </row>
    <row r="21" spans="1:11" x14ac:dyDescent="0.25">
      <c r="A21" s="6" t="s">
        <v>11</v>
      </c>
      <c r="B21" s="9">
        <f t="shared" si="0"/>
        <v>20</v>
      </c>
      <c r="C21" s="7">
        <v>8</v>
      </c>
      <c r="D21" s="6">
        <v>2021</v>
      </c>
      <c r="E21" s="8">
        <f>Submetring!E21+Submetring!F21+Submetring!G21</f>
        <v>0</v>
      </c>
      <c r="F21" s="6">
        <v>0.251</v>
      </c>
      <c r="G21" s="8">
        <f>Submetring!H21+Submetring!I21</f>
        <v>0</v>
      </c>
      <c r="H21" s="6">
        <v>0.56711199999999995</v>
      </c>
      <c r="I21" s="8">
        <f>Submetring!J21</f>
        <v>0</v>
      </c>
      <c r="J21" s="6">
        <v>3.03</v>
      </c>
      <c r="K21" s="8">
        <f>Hotel!Y28</f>
        <v>0</v>
      </c>
    </row>
    <row r="22" spans="1:11" x14ac:dyDescent="0.25">
      <c r="A22" s="6" t="s">
        <v>11</v>
      </c>
      <c r="B22" s="9">
        <f t="shared" si="0"/>
        <v>21</v>
      </c>
      <c r="C22" s="7">
        <v>8</v>
      </c>
      <c r="D22" s="6">
        <v>2021</v>
      </c>
      <c r="E22" s="8">
        <f>Submetring!E22+Submetring!F22+Submetring!G22</f>
        <v>0</v>
      </c>
      <c r="F22" s="6">
        <v>0.251</v>
      </c>
      <c r="G22" s="8">
        <f>Submetring!H22+Submetring!I22</f>
        <v>0</v>
      </c>
      <c r="H22" s="6">
        <v>0.56711199999999995</v>
      </c>
      <c r="I22" s="8">
        <f>Submetring!J22</f>
        <v>0</v>
      </c>
      <c r="J22" s="6">
        <v>3.03</v>
      </c>
      <c r="K22" s="8">
        <f>Hotel!Y29</f>
        <v>0</v>
      </c>
    </row>
    <row r="23" spans="1:11" x14ac:dyDescent="0.25">
      <c r="A23" s="6" t="s">
        <v>11</v>
      </c>
      <c r="B23" s="9">
        <f t="shared" si="0"/>
        <v>22</v>
      </c>
      <c r="C23" s="7">
        <v>8</v>
      </c>
      <c r="D23" s="6">
        <v>2021</v>
      </c>
      <c r="E23" s="8">
        <f>Submetring!E23+Submetring!F23+Submetring!G23</f>
        <v>0</v>
      </c>
      <c r="F23" s="6">
        <v>0.251</v>
      </c>
      <c r="G23" s="8">
        <f>Submetring!H23+Submetring!I23</f>
        <v>0</v>
      </c>
      <c r="H23" s="6">
        <v>0.56711199999999995</v>
      </c>
      <c r="I23" s="8">
        <f>Submetring!J23</f>
        <v>0</v>
      </c>
      <c r="J23" s="6">
        <v>3.03</v>
      </c>
      <c r="K23" s="8">
        <f>Hotel!Y30</f>
        <v>0</v>
      </c>
    </row>
    <row r="24" spans="1:11" x14ac:dyDescent="0.25">
      <c r="A24" s="6" t="s">
        <v>11</v>
      </c>
      <c r="B24" s="9">
        <f t="shared" si="0"/>
        <v>23</v>
      </c>
      <c r="C24" s="7">
        <v>8</v>
      </c>
      <c r="D24" s="6">
        <v>2021</v>
      </c>
      <c r="E24" s="8">
        <f>Submetring!E24+Submetring!F24+Submetring!G24</f>
        <v>0</v>
      </c>
      <c r="F24" s="6">
        <v>0.251</v>
      </c>
      <c r="G24" s="8">
        <f>Submetring!H24+Submetring!I24</f>
        <v>0</v>
      </c>
      <c r="H24" s="6">
        <v>0.56711199999999995</v>
      </c>
      <c r="I24" s="8">
        <f>Submetring!J24</f>
        <v>0</v>
      </c>
      <c r="J24" s="6">
        <v>3.03</v>
      </c>
      <c r="K24" s="8">
        <f>Hotel!Y31</f>
        <v>0</v>
      </c>
    </row>
    <row r="25" spans="1:11" x14ac:dyDescent="0.25">
      <c r="A25" s="6" t="s">
        <v>11</v>
      </c>
      <c r="B25" s="9">
        <f t="shared" si="0"/>
        <v>24</v>
      </c>
      <c r="C25" s="7">
        <v>8</v>
      </c>
      <c r="D25" s="6">
        <v>2021</v>
      </c>
      <c r="E25" s="8">
        <f>Submetring!E25+Submetring!F25+Submetring!G25</f>
        <v>0</v>
      </c>
      <c r="F25" s="6">
        <v>0.251</v>
      </c>
      <c r="G25" s="8">
        <f>Submetring!H25+Submetring!I25</f>
        <v>0</v>
      </c>
      <c r="H25" s="6">
        <v>0.56711199999999995</v>
      </c>
      <c r="I25" s="8">
        <f>Submetring!J25</f>
        <v>0</v>
      </c>
      <c r="J25" s="6">
        <v>3.03</v>
      </c>
      <c r="K25" s="8">
        <f>Hotel!Y32</f>
        <v>0</v>
      </c>
    </row>
    <row r="26" spans="1:11" x14ac:dyDescent="0.25">
      <c r="A26" s="6" t="s">
        <v>11</v>
      </c>
      <c r="B26" s="9">
        <f>B25+1</f>
        <v>25</v>
      </c>
      <c r="C26" s="7">
        <v>8</v>
      </c>
      <c r="D26" s="6">
        <v>2021</v>
      </c>
      <c r="E26" s="8">
        <f>Submetring!E26+Submetring!F26+Submetring!G26</f>
        <v>0</v>
      </c>
      <c r="F26" s="6">
        <v>0.251</v>
      </c>
      <c r="G26" s="8">
        <f>Submetring!H26+Submetring!I26</f>
        <v>0</v>
      </c>
      <c r="H26" s="6">
        <v>0.56711199999999995</v>
      </c>
      <c r="I26" s="8">
        <f>Submetring!J26</f>
        <v>0</v>
      </c>
      <c r="J26" s="6">
        <v>3.03</v>
      </c>
      <c r="K26" s="8">
        <f>Hotel!Y33</f>
        <v>0</v>
      </c>
    </row>
    <row r="27" spans="1:11" x14ac:dyDescent="0.25">
      <c r="A27" s="6" t="s">
        <v>11</v>
      </c>
      <c r="B27" s="9">
        <f t="shared" si="0"/>
        <v>26</v>
      </c>
      <c r="C27" s="7">
        <v>8</v>
      </c>
      <c r="D27" s="6">
        <v>2021</v>
      </c>
      <c r="E27" s="8">
        <f>Submetring!E27+Submetring!F27+Submetring!G27</f>
        <v>0</v>
      </c>
      <c r="F27" s="6">
        <v>0.251</v>
      </c>
      <c r="G27" s="8">
        <f>Submetring!H27+Submetring!I27</f>
        <v>0</v>
      </c>
      <c r="H27" s="6">
        <v>0.56711199999999995</v>
      </c>
      <c r="I27" s="8">
        <f>Submetring!J27</f>
        <v>0</v>
      </c>
      <c r="J27" s="6">
        <v>3.03</v>
      </c>
      <c r="K27" s="8">
        <f>Hotel!Y34</f>
        <v>0</v>
      </c>
    </row>
    <row r="28" spans="1:11" x14ac:dyDescent="0.25">
      <c r="A28" s="6" t="s">
        <v>11</v>
      </c>
      <c r="B28" s="9">
        <f t="shared" si="0"/>
        <v>27</v>
      </c>
      <c r="C28" s="7">
        <v>8</v>
      </c>
      <c r="D28" s="6">
        <v>2021</v>
      </c>
      <c r="E28" s="8">
        <f>Submetring!E28+Submetring!F28+Submetring!G28</f>
        <v>0</v>
      </c>
      <c r="F28" s="6">
        <v>0.251</v>
      </c>
      <c r="G28" s="8">
        <f>Submetring!H28+Submetring!I28</f>
        <v>0</v>
      </c>
      <c r="H28" s="6">
        <v>0.56711199999999995</v>
      </c>
      <c r="I28" s="8">
        <f>Submetring!J28</f>
        <v>0</v>
      </c>
      <c r="J28" s="6">
        <v>3.03</v>
      </c>
      <c r="K28" s="8">
        <f>Hotel!Y35</f>
        <v>0</v>
      </c>
    </row>
    <row r="29" spans="1:11" x14ac:dyDescent="0.25">
      <c r="A29" s="6" t="s">
        <v>11</v>
      </c>
      <c r="B29" s="9">
        <f t="shared" si="0"/>
        <v>28</v>
      </c>
      <c r="C29" s="7">
        <v>8</v>
      </c>
      <c r="D29" s="6">
        <v>2021</v>
      </c>
      <c r="E29" s="8">
        <f>Submetring!E29+Submetring!F29+Submetring!G29</f>
        <v>0</v>
      </c>
      <c r="F29" s="6">
        <v>0.251</v>
      </c>
      <c r="G29" s="8">
        <f>Submetring!H29+Submetring!I29</f>
        <v>0</v>
      </c>
      <c r="H29" s="6">
        <v>0.56711199999999995</v>
      </c>
      <c r="I29" s="8">
        <f>Submetring!J29</f>
        <v>0</v>
      </c>
      <c r="J29" s="6">
        <v>3.03</v>
      </c>
      <c r="K29" s="8">
        <f>Hotel!Y36</f>
        <v>0</v>
      </c>
    </row>
    <row r="30" spans="1:11" x14ac:dyDescent="0.25">
      <c r="A30" s="6" t="s">
        <v>11</v>
      </c>
      <c r="B30" s="9">
        <f t="shared" si="0"/>
        <v>29</v>
      </c>
      <c r="C30" s="7">
        <v>8</v>
      </c>
      <c r="D30" s="6">
        <v>2021</v>
      </c>
      <c r="E30" s="8">
        <f>Submetring!E30+Submetring!F30+Submetring!G30</f>
        <v>0</v>
      </c>
      <c r="F30" s="6">
        <v>0.251</v>
      </c>
      <c r="G30" s="8">
        <f>Submetring!H30+Submetring!I30</f>
        <v>0</v>
      </c>
      <c r="H30" s="6">
        <v>0.56711199999999995</v>
      </c>
      <c r="I30" s="8">
        <f>Submetring!J30</f>
        <v>0</v>
      </c>
      <c r="J30" s="6">
        <v>3.03</v>
      </c>
      <c r="K30" s="8">
        <f>Hotel!Y37</f>
        <v>0</v>
      </c>
    </row>
    <row r="31" spans="1:11" x14ac:dyDescent="0.25">
      <c r="A31" s="6" t="s">
        <v>11</v>
      </c>
      <c r="B31" s="9">
        <f t="shared" si="0"/>
        <v>30</v>
      </c>
      <c r="C31" s="7">
        <v>8</v>
      </c>
      <c r="D31" s="6">
        <v>2021</v>
      </c>
      <c r="E31" s="8">
        <f>Submetring!E31+Submetring!F31+Submetring!G31</f>
        <v>0</v>
      </c>
      <c r="F31" s="6">
        <v>0.251</v>
      </c>
      <c r="G31" s="8">
        <f>Submetring!H31+Submetring!I31</f>
        <v>0</v>
      </c>
      <c r="H31" s="6">
        <v>0.56711199999999995</v>
      </c>
      <c r="I31" s="8">
        <f>Submetring!J31</f>
        <v>0</v>
      </c>
      <c r="J31" s="6">
        <v>3.03</v>
      </c>
      <c r="K31" s="8">
        <f>Hotel!Y38</f>
        <v>0</v>
      </c>
    </row>
    <row r="32" spans="1:11" x14ac:dyDescent="0.25">
      <c r="A32" s="6" t="s">
        <v>11</v>
      </c>
      <c r="B32" s="9">
        <f t="shared" si="0"/>
        <v>31</v>
      </c>
      <c r="C32" s="7">
        <v>8</v>
      </c>
      <c r="D32" s="6">
        <v>2021</v>
      </c>
      <c r="E32" s="8">
        <f>Submetring!E32+Submetring!F32+Submetring!G32</f>
        <v>0</v>
      </c>
      <c r="F32" s="6">
        <v>0.251</v>
      </c>
      <c r="G32" s="8">
        <f>Submetring!H32+Submetring!I32</f>
        <v>0</v>
      </c>
      <c r="H32" s="6">
        <v>0.56711199999999995</v>
      </c>
      <c r="I32" s="8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workbookViewId="0">
      <selection activeCell="Q16" sqref="Q16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8</v>
      </c>
      <c r="D2" s="10">
        <v>2021</v>
      </c>
      <c r="E2" s="11">
        <f>Hotel!D9</f>
        <v>4687</v>
      </c>
      <c r="F2" s="11">
        <f>Hotel!F9</f>
        <v>4631</v>
      </c>
      <c r="G2" s="11">
        <f>Hotel!H9</f>
        <v>4420</v>
      </c>
      <c r="H2" s="11">
        <f>Hotel!N9</f>
        <v>146</v>
      </c>
      <c r="I2" s="11">
        <f>Hotel!P9</f>
        <v>739</v>
      </c>
      <c r="J2" s="11">
        <f>Hotel!U9</f>
        <v>428</v>
      </c>
      <c r="K2" s="11">
        <f>Hotel!Y9</f>
        <v>111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8</v>
      </c>
      <c r="D3" s="10">
        <v>2021</v>
      </c>
      <c r="E3" s="11">
        <f>Hotel!D10</f>
        <v>5065</v>
      </c>
      <c r="F3" s="11">
        <f>Hotel!F10</f>
        <v>5001</v>
      </c>
      <c r="G3" s="11">
        <f>Hotel!H10</f>
        <v>4801</v>
      </c>
      <c r="H3" s="11">
        <f>Hotel!N10</f>
        <v>147</v>
      </c>
      <c r="I3" s="11">
        <f>Hotel!P10</f>
        <v>842</v>
      </c>
      <c r="J3" s="11">
        <f>Hotel!U10</f>
        <v>403</v>
      </c>
      <c r="K3" s="11">
        <f>Hotel!Y10</f>
        <v>84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8</v>
      </c>
      <c r="D4" s="10">
        <v>2021</v>
      </c>
      <c r="E4" s="11">
        <f>Hotel!D11</f>
        <v>4949</v>
      </c>
      <c r="F4" s="11">
        <f>Hotel!F11</f>
        <v>4905</v>
      </c>
      <c r="G4" s="11">
        <f>Hotel!H11</f>
        <v>4669</v>
      </c>
      <c r="H4" s="11">
        <f>Hotel!N11</f>
        <v>84</v>
      </c>
      <c r="I4" s="11">
        <f>Hotel!P11</f>
        <v>779</v>
      </c>
      <c r="J4" s="11">
        <f>Hotel!U11</f>
        <v>391</v>
      </c>
      <c r="K4" s="11">
        <f>Hotel!Y11</f>
        <v>79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8</v>
      </c>
      <c r="D5" s="10">
        <v>2021</v>
      </c>
      <c r="E5" s="11">
        <f>Hotel!D12</f>
        <v>5120</v>
      </c>
      <c r="F5" s="11">
        <f>Hotel!F12</f>
        <v>4866</v>
      </c>
      <c r="G5" s="11">
        <f>Hotel!H12</f>
        <v>4754</v>
      </c>
      <c r="H5" s="11">
        <f>Hotel!N12</f>
        <v>93</v>
      </c>
      <c r="I5" s="11">
        <f>Hotel!P12</f>
        <v>667</v>
      </c>
      <c r="J5" s="11">
        <f>Hotel!U12</f>
        <v>425</v>
      </c>
      <c r="K5" s="11">
        <f>Hotel!Y12</f>
        <v>82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8</v>
      </c>
      <c r="D6" s="10">
        <v>2021</v>
      </c>
      <c r="E6" s="11">
        <f>Hotel!D13</f>
        <v>5324</v>
      </c>
      <c r="F6" s="11">
        <f>Hotel!F13</f>
        <v>5478</v>
      </c>
      <c r="G6" s="11">
        <f>Hotel!H13</f>
        <v>5082</v>
      </c>
      <c r="H6" s="11">
        <f>Hotel!N13</f>
        <v>200</v>
      </c>
      <c r="I6" s="11">
        <f>Hotel!P13</f>
        <v>894</v>
      </c>
      <c r="J6" s="11">
        <f>Hotel!U13</f>
        <v>552</v>
      </c>
      <c r="K6" s="11">
        <f>Hotel!Y13</f>
        <v>81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8</v>
      </c>
      <c r="D7" s="10">
        <v>2021</v>
      </c>
      <c r="E7" s="11" t="str">
        <f>Hotel!D14</f>
        <v>0</v>
      </c>
      <c r="F7" s="11" t="str">
        <f>Hotel!F14</f>
        <v>0</v>
      </c>
      <c r="G7" s="11" t="str">
        <f>Hotel!H14</f>
        <v>0</v>
      </c>
      <c r="H7" s="11" t="str">
        <f>Hotel!N14</f>
        <v>0</v>
      </c>
      <c r="I7" s="11" t="str">
        <f>Hotel!P14</f>
        <v>0</v>
      </c>
      <c r="J7" s="11" t="str">
        <f>Hotel!U14</f>
        <v>0</v>
      </c>
      <c r="K7" s="11">
        <f>Hotel!Y14</f>
        <v>0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8</v>
      </c>
      <c r="D8" s="10">
        <v>2021</v>
      </c>
      <c r="E8" s="11">
        <f>Hotel!D15</f>
        <v>0</v>
      </c>
      <c r="F8" s="11">
        <f>Hotel!F15</f>
        <v>0</v>
      </c>
      <c r="G8" s="11">
        <f>Hotel!H15</f>
        <v>0</v>
      </c>
      <c r="H8" s="11">
        <f>Hotel!N15</f>
        <v>0</v>
      </c>
      <c r="I8" s="11">
        <f>Hotel!P15</f>
        <v>0</v>
      </c>
      <c r="J8" s="11">
        <f>Hotel!U15</f>
        <v>0</v>
      </c>
      <c r="K8" s="11">
        <f>Hotel!Y15</f>
        <v>0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8</v>
      </c>
      <c r="D9" s="10">
        <v>2021</v>
      </c>
      <c r="E9" s="11">
        <f>Hotel!D16</f>
        <v>0</v>
      </c>
      <c r="F9" s="11">
        <f>Hotel!F16</f>
        <v>0</v>
      </c>
      <c r="G9" s="11">
        <f>Hotel!H16</f>
        <v>0</v>
      </c>
      <c r="H9" s="11">
        <f>Hotel!N16</f>
        <v>0</v>
      </c>
      <c r="I9" s="11">
        <f>Hotel!P16</f>
        <v>0</v>
      </c>
      <c r="J9" s="11">
        <f>Hotel!U16</f>
        <v>0</v>
      </c>
      <c r="K9" s="11">
        <f>Hotel!Y16</f>
        <v>0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8</v>
      </c>
      <c r="D10" s="10">
        <v>2021</v>
      </c>
      <c r="E10" s="11">
        <f>Hotel!D17</f>
        <v>0</v>
      </c>
      <c r="F10" s="11">
        <f>Hotel!F17</f>
        <v>0</v>
      </c>
      <c r="G10" s="11">
        <f>Hotel!H17</f>
        <v>0</v>
      </c>
      <c r="H10" s="11">
        <f>Hotel!N17</f>
        <v>0</v>
      </c>
      <c r="I10" s="11">
        <f>Hotel!P17</f>
        <v>0</v>
      </c>
      <c r="J10" s="11">
        <f>Hotel!U17</f>
        <v>0</v>
      </c>
      <c r="K10" s="11">
        <f>Hotel!Y17</f>
        <v>0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8</v>
      </c>
      <c r="D11" s="10">
        <v>2021</v>
      </c>
      <c r="E11" s="11">
        <f>Hotel!D18</f>
        <v>0</v>
      </c>
      <c r="F11" s="11">
        <f>Hotel!F18</f>
        <v>0</v>
      </c>
      <c r="G11" s="11">
        <f>Hotel!H18</f>
        <v>0</v>
      </c>
      <c r="H11" s="11">
        <f>Hotel!N18</f>
        <v>0</v>
      </c>
      <c r="I11" s="11">
        <f>Hotel!P18</f>
        <v>0</v>
      </c>
      <c r="J11" s="11">
        <f>Hotel!U18</f>
        <v>0</v>
      </c>
      <c r="K11" s="11">
        <f>Hotel!Y18</f>
        <v>0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8</v>
      </c>
      <c r="D12" s="10">
        <v>2021</v>
      </c>
      <c r="E12" s="11">
        <f>Hotel!D19</f>
        <v>0</v>
      </c>
      <c r="F12" s="11">
        <f>Hotel!F19</f>
        <v>0</v>
      </c>
      <c r="G12" s="11">
        <f>Hotel!H19</f>
        <v>0</v>
      </c>
      <c r="H12" s="11">
        <f>Hotel!N19</f>
        <v>0</v>
      </c>
      <c r="I12" s="11">
        <f>Hotel!P19</f>
        <v>0</v>
      </c>
      <c r="J12" s="11">
        <f>Hotel!U19</f>
        <v>0</v>
      </c>
      <c r="K12" s="11">
        <f>Hotel!Y19</f>
        <v>0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8</v>
      </c>
      <c r="D13" s="10">
        <v>2021</v>
      </c>
      <c r="E13" s="11">
        <f>Hotel!D20</f>
        <v>0</v>
      </c>
      <c r="F13" s="11">
        <f>Hotel!F20</f>
        <v>0</v>
      </c>
      <c r="G13" s="11">
        <f>Hotel!H20</f>
        <v>0</v>
      </c>
      <c r="H13" s="11">
        <f>Hotel!N20</f>
        <v>0</v>
      </c>
      <c r="I13" s="11">
        <f>Hotel!P20</f>
        <v>0</v>
      </c>
      <c r="J13" s="11">
        <f>Hotel!U20</f>
        <v>0</v>
      </c>
      <c r="K13" s="11">
        <f>Hotel!Y20</f>
        <v>0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8</v>
      </c>
      <c r="D14" s="10">
        <v>2021</v>
      </c>
      <c r="E14" s="11">
        <f>Hotel!D21</f>
        <v>0</v>
      </c>
      <c r="F14" s="11">
        <f>Hotel!F21</f>
        <v>0</v>
      </c>
      <c r="G14" s="11">
        <f>Hotel!H21</f>
        <v>0</v>
      </c>
      <c r="H14" s="11">
        <f>Hotel!N21</f>
        <v>0</v>
      </c>
      <c r="I14" s="11">
        <f>Hotel!P21</f>
        <v>0</v>
      </c>
      <c r="J14" s="11">
        <f>Hotel!U21</f>
        <v>0</v>
      </c>
      <c r="K14" s="11">
        <f>Hotel!Y21</f>
        <v>0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8</v>
      </c>
      <c r="D15" s="10">
        <v>2021</v>
      </c>
      <c r="E15" s="11">
        <f>Hotel!D22</f>
        <v>0</v>
      </c>
      <c r="F15" s="11">
        <f>Hotel!F22</f>
        <v>0</v>
      </c>
      <c r="G15" s="11">
        <f>Hotel!H22</f>
        <v>0</v>
      </c>
      <c r="H15" s="11">
        <f>Hotel!N22</f>
        <v>0</v>
      </c>
      <c r="I15" s="11">
        <f>Hotel!P22</f>
        <v>0</v>
      </c>
      <c r="J15" s="11">
        <f>Hotel!U22</f>
        <v>0</v>
      </c>
      <c r="K15" s="11">
        <f>Hotel!Y22</f>
        <v>0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8</v>
      </c>
      <c r="D16" s="10">
        <v>2021</v>
      </c>
      <c r="E16" s="11">
        <f>Hotel!D23</f>
        <v>0</v>
      </c>
      <c r="F16" s="11">
        <f>Hotel!F23</f>
        <v>0</v>
      </c>
      <c r="G16" s="11">
        <f>Hotel!H23</f>
        <v>0</v>
      </c>
      <c r="H16" s="11">
        <f>Hotel!N23</f>
        <v>0</v>
      </c>
      <c r="I16" s="11">
        <f>Hotel!P23</f>
        <v>0</v>
      </c>
      <c r="J16" s="11">
        <f>Hotel!U23</f>
        <v>0</v>
      </c>
      <c r="K16" s="11">
        <f>Hotel!Y23</f>
        <v>0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8</v>
      </c>
      <c r="D17" s="10">
        <v>2021</v>
      </c>
      <c r="E17" s="11">
        <f>Hotel!D24</f>
        <v>0</v>
      </c>
      <c r="F17" s="11">
        <f>Hotel!F24</f>
        <v>0</v>
      </c>
      <c r="G17" s="11">
        <f>Hotel!H24</f>
        <v>0</v>
      </c>
      <c r="H17" s="11">
        <f>Hotel!N24</f>
        <v>0</v>
      </c>
      <c r="I17" s="11">
        <f>Hotel!P24</f>
        <v>0</v>
      </c>
      <c r="J17" s="11">
        <f>Hotel!U24</f>
        <v>0</v>
      </c>
      <c r="K17" s="11">
        <f>Hotel!Y24</f>
        <v>0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8</v>
      </c>
      <c r="D18" s="10">
        <v>2021</v>
      </c>
      <c r="E18" s="11">
        <f>Hotel!D25</f>
        <v>0</v>
      </c>
      <c r="F18" s="11">
        <f>Hotel!F25</f>
        <v>0</v>
      </c>
      <c r="G18" s="11">
        <f>Hotel!H25</f>
        <v>0</v>
      </c>
      <c r="H18" s="11">
        <f>Hotel!N25</f>
        <v>0</v>
      </c>
      <c r="I18" s="11">
        <f>Hotel!P25</f>
        <v>0</v>
      </c>
      <c r="J18" s="11">
        <f>Hotel!U25</f>
        <v>0</v>
      </c>
      <c r="K18" s="11">
        <f>Hotel!Y25</f>
        <v>0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8</v>
      </c>
      <c r="D19" s="10">
        <v>2021</v>
      </c>
      <c r="E19" s="11">
        <f>Hotel!D26</f>
        <v>0</v>
      </c>
      <c r="F19" s="11">
        <f>Hotel!F26</f>
        <v>0</v>
      </c>
      <c r="G19" s="11">
        <f>Hotel!H26</f>
        <v>0</v>
      </c>
      <c r="H19" s="11">
        <f>Hotel!N26</f>
        <v>0</v>
      </c>
      <c r="I19" s="11">
        <f>Hotel!P26</f>
        <v>0</v>
      </c>
      <c r="J19" s="11">
        <f>Hotel!U26</f>
        <v>0</v>
      </c>
      <c r="K19" s="11">
        <f>Hotel!Y26</f>
        <v>0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8</v>
      </c>
      <c r="D20" s="10">
        <v>2021</v>
      </c>
      <c r="E20" s="11">
        <f>Hotel!D27</f>
        <v>0</v>
      </c>
      <c r="F20" s="11">
        <f>Hotel!F27</f>
        <v>0</v>
      </c>
      <c r="G20" s="11">
        <f>Hotel!H27</f>
        <v>0</v>
      </c>
      <c r="H20" s="11">
        <f>Hotel!N27</f>
        <v>0</v>
      </c>
      <c r="I20" s="11">
        <f>Hotel!P27</f>
        <v>0</v>
      </c>
      <c r="J20" s="11">
        <f>Hotel!U27</f>
        <v>0</v>
      </c>
      <c r="K20" s="11">
        <f>Hotel!Y27</f>
        <v>0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8</v>
      </c>
      <c r="D21" s="10">
        <v>2021</v>
      </c>
      <c r="E21" s="11">
        <f>Hotel!D28</f>
        <v>0</v>
      </c>
      <c r="F21" s="11">
        <f>Hotel!F28</f>
        <v>0</v>
      </c>
      <c r="G21" s="11">
        <f>Hotel!H28</f>
        <v>0</v>
      </c>
      <c r="H21" s="11">
        <f>Hotel!N28</f>
        <v>0</v>
      </c>
      <c r="I21" s="11">
        <f>Hotel!P28</f>
        <v>0</v>
      </c>
      <c r="J21" s="11">
        <f>Hotel!U28</f>
        <v>0</v>
      </c>
      <c r="K21" s="11">
        <f>Hotel!Y28</f>
        <v>0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8</v>
      </c>
      <c r="D22" s="10">
        <v>2021</v>
      </c>
      <c r="E22" s="11">
        <f>Hotel!D29</f>
        <v>0</v>
      </c>
      <c r="F22" s="11">
        <f>Hotel!F29</f>
        <v>0</v>
      </c>
      <c r="G22" s="11">
        <f>Hotel!H29</f>
        <v>0</v>
      </c>
      <c r="H22" s="11">
        <f>Hotel!N29</f>
        <v>0</v>
      </c>
      <c r="I22" s="11">
        <f>Hotel!P29</f>
        <v>0</v>
      </c>
      <c r="J22" s="11">
        <f>Hotel!U29</f>
        <v>0</v>
      </c>
      <c r="K22" s="11">
        <f>Hotel!Y29</f>
        <v>0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8</v>
      </c>
      <c r="D23" s="10">
        <v>2021</v>
      </c>
      <c r="E23" s="11">
        <f>Hotel!D30</f>
        <v>0</v>
      </c>
      <c r="F23" s="11">
        <f>Hotel!F30</f>
        <v>0</v>
      </c>
      <c r="G23" s="11">
        <f>Hotel!H30</f>
        <v>0</v>
      </c>
      <c r="H23" s="11">
        <f>Hotel!N30</f>
        <v>0</v>
      </c>
      <c r="I23" s="11">
        <f>Hotel!P30</f>
        <v>0</v>
      </c>
      <c r="J23" s="11">
        <f>Hotel!U30</f>
        <v>0</v>
      </c>
      <c r="K23" s="11">
        <f>Hotel!Y30</f>
        <v>0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8</v>
      </c>
      <c r="D24" s="10">
        <v>2021</v>
      </c>
      <c r="E24" s="11">
        <f>Hotel!D31</f>
        <v>0</v>
      </c>
      <c r="F24" s="11">
        <f>Hotel!F31</f>
        <v>0</v>
      </c>
      <c r="G24" s="11">
        <f>Hotel!H31</f>
        <v>0</v>
      </c>
      <c r="H24" s="11">
        <f>Hotel!N31</f>
        <v>0</v>
      </c>
      <c r="I24" s="11">
        <f>Hotel!P31</f>
        <v>0</v>
      </c>
      <c r="J24" s="11">
        <f>Hotel!U31</f>
        <v>0</v>
      </c>
      <c r="K24" s="11">
        <f>Hotel!Y31</f>
        <v>0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8</v>
      </c>
      <c r="D25" s="10">
        <v>2021</v>
      </c>
      <c r="E25" s="11">
        <f>Hotel!D32</f>
        <v>0</v>
      </c>
      <c r="F25" s="11">
        <f>Hotel!F32</f>
        <v>0</v>
      </c>
      <c r="G25" s="11">
        <f>Hotel!H32</f>
        <v>0</v>
      </c>
      <c r="H25" s="11">
        <f>Hotel!N32</f>
        <v>0</v>
      </c>
      <c r="I25" s="11">
        <f>Hotel!P32</f>
        <v>0</v>
      </c>
      <c r="J25" s="11">
        <f>Hotel!U32</f>
        <v>0</v>
      </c>
      <c r="K25" s="11">
        <f>Hotel!Y32</f>
        <v>0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8</v>
      </c>
      <c r="D26" s="10">
        <v>2021</v>
      </c>
      <c r="E26" s="11">
        <f>Hotel!D33</f>
        <v>0</v>
      </c>
      <c r="F26" s="11">
        <f>Hotel!F33</f>
        <v>0</v>
      </c>
      <c r="G26" s="11">
        <f>Hotel!H33</f>
        <v>0</v>
      </c>
      <c r="H26" s="11">
        <f>Hotel!N33</f>
        <v>0</v>
      </c>
      <c r="I26" s="11">
        <f>Hotel!P33</f>
        <v>0</v>
      </c>
      <c r="J26" s="11">
        <f>Hotel!U33</f>
        <v>0</v>
      </c>
      <c r="K26" s="11">
        <f>Hotel!Y33</f>
        <v>0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8</v>
      </c>
      <c r="D27" s="10">
        <v>2021</v>
      </c>
      <c r="E27" s="11">
        <f>Hotel!D34</f>
        <v>0</v>
      </c>
      <c r="F27" s="11">
        <f>Hotel!F34</f>
        <v>0</v>
      </c>
      <c r="G27" s="11">
        <f>Hotel!H34</f>
        <v>0</v>
      </c>
      <c r="H27" s="11">
        <f>Hotel!N34</f>
        <v>0</v>
      </c>
      <c r="I27" s="11">
        <f>Hotel!P34</f>
        <v>0</v>
      </c>
      <c r="J27" s="11">
        <f>Hotel!U34</f>
        <v>0</v>
      </c>
      <c r="K27" s="11">
        <f>Hotel!Y34</f>
        <v>0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8</v>
      </c>
      <c r="D28" s="10">
        <v>2021</v>
      </c>
      <c r="E28" s="11">
        <f>Hotel!D35</f>
        <v>0</v>
      </c>
      <c r="F28" s="11">
        <f>Hotel!F35</f>
        <v>0</v>
      </c>
      <c r="G28" s="11">
        <f>Hotel!H35</f>
        <v>0</v>
      </c>
      <c r="H28" s="11">
        <f>Hotel!N35</f>
        <v>0</v>
      </c>
      <c r="I28" s="11">
        <f>Hotel!P35</f>
        <v>0</v>
      </c>
      <c r="J28" s="11">
        <f>Hotel!U35</f>
        <v>0</v>
      </c>
      <c r="K28" s="11">
        <f>Hotel!Y35</f>
        <v>0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8</v>
      </c>
      <c r="D29" s="10">
        <v>2021</v>
      </c>
      <c r="E29" s="11">
        <f>Hotel!D36</f>
        <v>0</v>
      </c>
      <c r="F29" s="11">
        <f>Hotel!F36</f>
        <v>0</v>
      </c>
      <c r="G29" s="11">
        <f>Hotel!H36</f>
        <v>0</v>
      </c>
      <c r="H29" s="11">
        <f>Hotel!N36</f>
        <v>0</v>
      </c>
      <c r="I29" s="11">
        <f>Hotel!P36</f>
        <v>0</v>
      </c>
      <c r="J29" s="11">
        <f>Hotel!U36</f>
        <v>0</v>
      </c>
      <c r="K29" s="11">
        <f>Hotel!Y36</f>
        <v>0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8</v>
      </c>
      <c r="D30" s="10">
        <v>2021</v>
      </c>
      <c r="E30" s="11">
        <f>Hotel!D37</f>
        <v>0</v>
      </c>
      <c r="F30" s="11">
        <f>Hotel!F37</f>
        <v>0</v>
      </c>
      <c r="G30" s="11">
        <f>Hotel!H37</f>
        <v>0</v>
      </c>
      <c r="H30" s="11">
        <f>Hotel!N37</f>
        <v>0</v>
      </c>
      <c r="I30" s="11">
        <f>Hotel!P37</f>
        <v>0</v>
      </c>
      <c r="J30" s="11">
        <f>Hotel!U37</f>
        <v>0</v>
      </c>
      <c r="K30" s="11">
        <f>Hotel!Y37</f>
        <v>0</v>
      </c>
    </row>
    <row r="31" spans="1:93" x14ac:dyDescent="0.25">
      <c r="A31" t="s">
        <v>11</v>
      </c>
      <c r="B31" s="10">
        <f t="shared" si="0"/>
        <v>30</v>
      </c>
      <c r="C31" s="10">
        <v>8</v>
      </c>
      <c r="D31" s="10">
        <v>2021</v>
      </c>
      <c r="E31" s="11">
        <f>Hotel!D38</f>
        <v>0</v>
      </c>
      <c r="F31" s="11">
        <f>Hotel!F38</f>
        <v>0</v>
      </c>
      <c r="G31" s="11">
        <f>Hotel!H38</f>
        <v>0</v>
      </c>
      <c r="H31" s="11">
        <f>Hotel!N38</f>
        <v>0</v>
      </c>
      <c r="I31" s="11">
        <f>Hotel!P38</f>
        <v>0</v>
      </c>
      <c r="J31" s="11">
        <f>Hotel!U38</f>
        <v>0</v>
      </c>
      <c r="K31" s="11">
        <f>Hotel!Y38</f>
        <v>0</v>
      </c>
    </row>
    <row r="32" spans="1:93" x14ac:dyDescent="0.25">
      <c r="A32" t="s">
        <v>11</v>
      </c>
      <c r="B32" s="10">
        <f t="shared" si="0"/>
        <v>31</v>
      </c>
      <c r="C32" s="10">
        <v>8</v>
      </c>
      <c r="D32" s="10">
        <v>2021</v>
      </c>
      <c r="E32" s="11">
        <f>Hotel!D39</f>
        <v>0</v>
      </c>
      <c r="F32" s="11">
        <f>Hotel!F39</f>
        <v>0</v>
      </c>
      <c r="G32" s="11">
        <f>Hotel!H39</f>
        <v>0</v>
      </c>
      <c r="H32" s="11">
        <f>Hotel!N39</f>
        <v>0</v>
      </c>
      <c r="I32" s="11">
        <f>Hotel!P39</f>
        <v>0</v>
      </c>
      <c r="J32" s="11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zoomScale="91" zoomScaleNormal="91" workbookViewId="0">
      <selection activeCell="Y20" sqref="Y20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33"/>
      <c r="C1" s="133"/>
      <c r="D1" s="133"/>
      <c r="E1" s="133"/>
      <c r="F1" s="134" t="s">
        <v>95</v>
      </c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6"/>
      <c r="W1" s="134" t="s">
        <v>122</v>
      </c>
      <c r="X1" s="135"/>
      <c r="Y1" s="135"/>
      <c r="Z1" s="136"/>
    </row>
    <row r="2" spans="1:27" x14ac:dyDescent="0.25">
      <c r="A2" s="10"/>
      <c r="B2" s="133"/>
      <c r="C2" s="133"/>
      <c r="D2" s="133"/>
      <c r="E2" s="133"/>
      <c r="F2" s="137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9"/>
      <c r="W2" s="137"/>
      <c r="X2" s="138"/>
      <c r="Y2" s="138"/>
      <c r="Z2" s="139"/>
    </row>
    <row r="3" spans="1:27" x14ac:dyDescent="0.25">
      <c r="A3" s="10"/>
      <c r="B3" s="133"/>
      <c r="C3" s="133"/>
      <c r="D3" s="133"/>
      <c r="E3" s="133"/>
      <c r="F3" s="137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9"/>
      <c r="W3" s="137">
        <v>2021</v>
      </c>
      <c r="X3" s="138"/>
      <c r="Y3" s="138"/>
      <c r="Z3" s="139"/>
    </row>
    <row r="4" spans="1:27" x14ac:dyDescent="0.25">
      <c r="A4" s="10"/>
      <c r="B4" s="133"/>
      <c r="C4" s="133"/>
      <c r="D4" s="133"/>
      <c r="E4" s="133"/>
      <c r="F4" s="140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2"/>
      <c r="W4" s="140"/>
      <c r="X4" s="141"/>
      <c r="Y4" s="141"/>
      <c r="Z4" s="142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5657793</v>
      </c>
      <c r="D6" s="28"/>
      <c r="E6" s="29">
        <v>5610038</v>
      </c>
      <c r="F6" s="30"/>
      <c r="G6" s="131">
        <v>5300477</v>
      </c>
      <c r="H6" s="31">
        <f>G6-G5</f>
        <v>5300477</v>
      </c>
      <c r="I6" s="32"/>
      <c r="J6" s="33">
        <f>D6+F6+H6</f>
        <v>5300477</v>
      </c>
      <c r="K6" s="33" t="e">
        <f>D6*0.152+F6*0.238+H6*0.115+#REF!*0.218</f>
        <v>#REF!</v>
      </c>
      <c r="L6" s="34"/>
      <c r="M6" s="35">
        <v>149207</v>
      </c>
      <c r="N6" s="31" t="e">
        <f>M6-#REF!</f>
        <v>#REF!</v>
      </c>
      <c r="O6" s="36">
        <v>2279024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283567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43" t="s">
        <v>97</v>
      </c>
      <c r="D7" s="144"/>
      <c r="E7" s="144"/>
      <c r="F7" s="144"/>
      <c r="G7" s="144"/>
      <c r="H7" s="144"/>
      <c r="I7" s="144"/>
      <c r="J7" s="144"/>
      <c r="K7" s="145"/>
      <c r="L7" s="41"/>
      <c r="M7" s="143" t="s">
        <v>98</v>
      </c>
      <c r="N7" s="144"/>
      <c r="O7" s="144"/>
      <c r="P7" s="144"/>
      <c r="Q7" s="144"/>
      <c r="R7" s="145"/>
      <c r="S7" s="41"/>
      <c r="T7" s="146" t="s">
        <v>99</v>
      </c>
      <c r="U7" s="146"/>
      <c r="V7" s="147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118</v>
      </c>
      <c r="B9" s="59">
        <v>1</v>
      </c>
      <c r="C9" s="60">
        <v>5662480</v>
      </c>
      <c r="D9" s="61">
        <f>IF((C9-C6&lt;0), "0",C9-C6)</f>
        <v>4687</v>
      </c>
      <c r="E9" s="62">
        <v>5614669</v>
      </c>
      <c r="F9" s="61">
        <f>IF((E9-E6&lt;0), "0",E9-E6)</f>
        <v>4631</v>
      </c>
      <c r="G9" s="63">
        <v>5304897</v>
      </c>
      <c r="H9" s="61">
        <f>IF((G9-G6&lt;0), "0",G9-G6)</f>
        <v>4420</v>
      </c>
      <c r="I9" s="60">
        <f>H9+F9+D9</f>
        <v>13738</v>
      </c>
      <c r="J9" s="64">
        <v>0.97</v>
      </c>
      <c r="K9" s="65">
        <f>I9*0.251</f>
        <v>3448.2379999999998</v>
      </c>
      <c r="L9" s="66"/>
      <c r="M9" s="60">
        <v>149353</v>
      </c>
      <c r="N9" s="61">
        <f>IF((M9-M6&lt;0), "0",M9-M6)</f>
        <v>146</v>
      </c>
      <c r="O9" s="60">
        <v>2279763</v>
      </c>
      <c r="P9" s="61">
        <f>IF((O9-O6&lt;0), "0",O9-O6)</f>
        <v>739</v>
      </c>
      <c r="Q9" s="67">
        <f t="shared" ref="Q9:Q39" si="0">N9+P9</f>
        <v>885</v>
      </c>
      <c r="R9" s="68">
        <f>(P9+N9*1.2285)*0.056*10.127</f>
        <v>520.81354343200007</v>
      </c>
      <c r="S9" s="69"/>
      <c r="T9" s="70">
        <v>283995</v>
      </c>
      <c r="U9" s="61">
        <f>IF((T9-T6&lt;0), "0",T9-T6)</f>
        <v>428</v>
      </c>
      <c r="V9" s="71">
        <f>U9*(1.315+1.54)</f>
        <v>1221.94</v>
      </c>
      <c r="W9" s="72"/>
      <c r="X9" s="73">
        <f t="shared" ref="X9:X39" si="1">K9+R9+V9</f>
        <v>5190.9915434320001</v>
      </c>
      <c r="Y9" s="74">
        <v>111</v>
      </c>
      <c r="Z9" s="75">
        <f>X9/Y9</f>
        <v>46.765689580468468</v>
      </c>
    </row>
    <row r="10" spans="1:27" x14ac:dyDescent="0.25">
      <c r="A10" s="10" t="s">
        <v>119</v>
      </c>
      <c r="B10" s="59">
        <f>B9+1</f>
        <v>2</v>
      </c>
      <c r="C10" s="76">
        <v>5667545</v>
      </c>
      <c r="D10" s="61">
        <f t="shared" ref="D10:D39" si="2">IF((C10-C9&lt;0), "0",C10-C9)</f>
        <v>5065</v>
      </c>
      <c r="E10" s="77">
        <v>5619670</v>
      </c>
      <c r="F10" s="61">
        <f>IF((E10-E9&lt;0), "0",E10-E9)</f>
        <v>5001</v>
      </c>
      <c r="G10" s="77">
        <v>5309698</v>
      </c>
      <c r="H10" s="61">
        <f t="shared" ref="H10:H39" si="3">IF((G10-G9&lt;0), "0",G10-G9)</f>
        <v>4801</v>
      </c>
      <c r="I10" s="60">
        <f t="shared" ref="I10:I39" si="4">H10+F10+D10</f>
        <v>14867</v>
      </c>
      <c r="J10" s="64">
        <v>0.97</v>
      </c>
      <c r="K10" s="65">
        <f t="shared" ref="K10:K39" si="5">I10*0.251</f>
        <v>3731.6170000000002</v>
      </c>
      <c r="L10" s="66"/>
      <c r="M10" s="77">
        <v>149500</v>
      </c>
      <c r="N10" s="61">
        <f>IF((M10-M9&lt;0), "0",M10-M9)</f>
        <v>147</v>
      </c>
      <c r="O10" s="77">
        <v>2280605</v>
      </c>
      <c r="P10" s="61">
        <f>IF((O10-O9&lt;0), "0",O10-O9)</f>
        <v>842</v>
      </c>
      <c r="Q10" s="67">
        <f t="shared" si="0"/>
        <v>989</v>
      </c>
      <c r="R10" s="68">
        <f t="shared" ref="R10:R39" si="6">(P10+N10*1.2285)*0.056*10.127</f>
        <v>579.92277652400014</v>
      </c>
      <c r="S10" s="69"/>
      <c r="T10" s="78">
        <v>284398</v>
      </c>
      <c r="U10" s="61">
        <f>IF((T10-T9&lt;0), "0",T10-T9)</f>
        <v>403</v>
      </c>
      <c r="V10" s="71">
        <f t="shared" ref="V10:V39" si="7">U10*(1.315+1.54)</f>
        <v>1150.5650000000001</v>
      </c>
      <c r="W10" s="72"/>
      <c r="X10" s="79">
        <f t="shared" si="1"/>
        <v>5462.104776524</v>
      </c>
      <c r="Y10" s="80">
        <v>84</v>
      </c>
      <c r="Z10" s="81">
        <f t="shared" ref="Z10:Z39" si="8">X10/Y10</f>
        <v>65.025056863380954</v>
      </c>
    </row>
    <row r="11" spans="1:27" x14ac:dyDescent="0.25">
      <c r="A11" s="10" t="s">
        <v>120</v>
      </c>
      <c r="B11" s="59">
        <f t="shared" ref="B11:B39" si="9">B10+1</f>
        <v>3</v>
      </c>
      <c r="C11" s="76">
        <v>5672494</v>
      </c>
      <c r="D11" s="61">
        <f t="shared" si="2"/>
        <v>4949</v>
      </c>
      <c r="E11" s="76">
        <v>5624575</v>
      </c>
      <c r="F11" s="61">
        <f t="shared" ref="F11:F39" si="10">IF((E11-E10&lt;0), "0",E11-E10)</f>
        <v>4905</v>
      </c>
      <c r="G11" s="77">
        <v>5314367</v>
      </c>
      <c r="H11" s="61">
        <f t="shared" si="3"/>
        <v>4669</v>
      </c>
      <c r="I11" s="60">
        <f t="shared" si="4"/>
        <v>14523</v>
      </c>
      <c r="J11" s="64">
        <v>0.97</v>
      </c>
      <c r="K11" s="65">
        <f t="shared" si="5"/>
        <v>3645.2730000000001</v>
      </c>
      <c r="L11" s="66"/>
      <c r="M11" s="77">
        <v>149584</v>
      </c>
      <c r="N11" s="61">
        <f t="shared" ref="N11:N39" si="11">IF((M11-M10&lt;0), "0",M11-M10)</f>
        <v>84</v>
      </c>
      <c r="O11" s="77">
        <v>2281384</v>
      </c>
      <c r="P11" s="61">
        <f t="shared" ref="P11:P39" si="12">IF((O11-O10&lt;0), "0",O11-O10)</f>
        <v>779</v>
      </c>
      <c r="Q11" s="67">
        <f t="shared" si="0"/>
        <v>863</v>
      </c>
      <c r="R11" s="68">
        <f t="shared" si="6"/>
        <v>500.30280372800001</v>
      </c>
      <c r="S11" s="69"/>
      <c r="T11" s="82">
        <v>284789</v>
      </c>
      <c r="U11" s="61">
        <f t="shared" ref="U11:U39" si="13">IF((T11-T10&lt;0), "0",T11-T10)</f>
        <v>391</v>
      </c>
      <c r="V11" s="71">
        <f t="shared" si="7"/>
        <v>1116.3050000000001</v>
      </c>
      <c r="W11" s="72"/>
      <c r="X11" s="79">
        <f t="shared" si="1"/>
        <v>5261.8808037280005</v>
      </c>
      <c r="Y11" s="80">
        <v>79</v>
      </c>
      <c r="Z11" s="81">
        <f t="shared" si="8"/>
        <v>66.606086123139249</v>
      </c>
    </row>
    <row r="12" spans="1:27" x14ac:dyDescent="0.25">
      <c r="A12" s="10" t="s">
        <v>121</v>
      </c>
      <c r="B12" s="59">
        <f t="shared" si="9"/>
        <v>4</v>
      </c>
      <c r="C12" s="76">
        <v>5677614</v>
      </c>
      <c r="D12" s="61">
        <f t="shared" si="2"/>
        <v>5120</v>
      </c>
      <c r="E12" s="76">
        <v>5629441</v>
      </c>
      <c r="F12" s="61">
        <f t="shared" si="10"/>
        <v>4866</v>
      </c>
      <c r="G12" s="77">
        <v>5319121</v>
      </c>
      <c r="H12" s="61">
        <f t="shared" si="3"/>
        <v>4754</v>
      </c>
      <c r="I12" s="60">
        <f t="shared" si="4"/>
        <v>14740</v>
      </c>
      <c r="J12" s="64">
        <v>0.97</v>
      </c>
      <c r="K12" s="65">
        <f t="shared" si="5"/>
        <v>3699.7400000000002</v>
      </c>
      <c r="L12" s="66"/>
      <c r="M12" s="77">
        <v>149677</v>
      </c>
      <c r="N12" s="61">
        <f t="shared" si="11"/>
        <v>93</v>
      </c>
      <c r="O12" s="77">
        <v>2282051</v>
      </c>
      <c r="P12" s="61">
        <f t="shared" si="12"/>
        <v>667</v>
      </c>
      <c r="Q12" s="67">
        <f t="shared" si="0"/>
        <v>760</v>
      </c>
      <c r="R12" s="68">
        <f t="shared" si="6"/>
        <v>443.05653355600003</v>
      </c>
      <c r="S12" s="69"/>
      <c r="T12" s="78">
        <v>285214</v>
      </c>
      <c r="U12" s="61">
        <f t="shared" si="13"/>
        <v>425</v>
      </c>
      <c r="V12" s="71">
        <f t="shared" si="7"/>
        <v>1213.375</v>
      </c>
      <c r="W12" s="72"/>
      <c r="X12" s="79">
        <f t="shared" si="1"/>
        <v>5356.1715335560002</v>
      </c>
      <c r="Y12" s="80">
        <v>82</v>
      </c>
      <c r="Z12" s="81">
        <f t="shared" si="8"/>
        <v>65.319165043365857</v>
      </c>
    </row>
    <row r="13" spans="1:27" x14ac:dyDescent="0.25">
      <c r="A13" s="10" t="s">
        <v>96</v>
      </c>
      <c r="B13" s="59">
        <f t="shared" si="9"/>
        <v>5</v>
      </c>
      <c r="C13" s="63">
        <v>5682938</v>
      </c>
      <c r="D13" s="61">
        <f t="shared" si="2"/>
        <v>5324</v>
      </c>
      <c r="E13" s="76">
        <v>5634919</v>
      </c>
      <c r="F13" s="61">
        <f t="shared" si="10"/>
        <v>5478</v>
      </c>
      <c r="G13" s="63">
        <v>5324203</v>
      </c>
      <c r="H13" s="61">
        <f t="shared" si="3"/>
        <v>5082</v>
      </c>
      <c r="I13" s="60">
        <f t="shared" si="4"/>
        <v>15884</v>
      </c>
      <c r="J13" s="64">
        <v>0.97</v>
      </c>
      <c r="K13" s="65">
        <f t="shared" si="5"/>
        <v>3986.884</v>
      </c>
      <c r="L13" s="66"/>
      <c r="M13" s="77">
        <v>149877</v>
      </c>
      <c r="N13" s="61">
        <f t="shared" si="11"/>
        <v>200</v>
      </c>
      <c r="O13" s="76">
        <v>2282945</v>
      </c>
      <c r="P13" s="61">
        <f t="shared" si="12"/>
        <v>894</v>
      </c>
      <c r="Q13" s="67">
        <f t="shared" si="0"/>
        <v>1094</v>
      </c>
      <c r="R13" s="68">
        <f t="shared" si="6"/>
        <v>646.33754640000006</v>
      </c>
      <c r="S13" s="69"/>
      <c r="T13" s="83">
        <v>285766</v>
      </c>
      <c r="U13" s="61">
        <f t="shared" si="13"/>
        <v>552</v>
      </c>
      <c r="V13" s="71">
        <f t="shared" si="7"/>
        <v>1575.96</v>
      </c>
      <c r="W13" s="72"/>
      <c r="X13" s="79">
        <f t="shared" si="1"/>
        <v>6209.1815464000001</v>
      </c>
      <c r="Y13" s="80">
        <v>81</v>
      </c>
      <c r="Z13" s="81">
        <f t="shared" si="8"/>
        <v>76.656562301234572</v>
      </c>
    </row>
    <row r="14" spans="1:27" x14ac:dyDescent="0.25">
      <c r="A14" s="10" t="s">
        <v>116</v>
      </c>
      <c r="B14" s="59">
        <f t="shared" si="9"/>
        <v>6</v>
      </c>
      <c r="C14" s="76"/>
      <c r="D14" s="61" t="str">
        <f t="shared" si="2"/>
        <v>0</v>
      </c>
      <c r="E14" s="76"/>
      <c r="F14" s="61" t="str">
        <f t="shared" si="10"/>
        <v>0</v>
      </c>
      <c r="G14" s="63"/>
      <c r="H14" s="61" t="str">
        <f t="shared" si="3"/>
        <v>0</v>
      </c>
      <c r="I14" s="60">
        <f t="shared" si="4"/>
        <v>0</v>
      </c>
      <c r="J14" s="64"/>
      <c r="K14" s="65">
        <f t="shared" si="5"/>
        <v>0</v>
      </c>
      <c r="L14" s="66"/>
      <c r="M14" s="77"/>
      <c r="N14" s="61" t="str">
        <f t="shared" si="11"/>
        <v>0</v>
      </c>
      <c r="O14" s="76"/>
      <c r="P14" s="61" t="str">
        <f t="shared" si="12"/>
        <v>0</v>
      </c>
      <c r="Q14" s="67">
        <f t="shared" si="0"/>
        <v>0</v>
      </c>
      <c r="R14" s="68">
        <f t="shared" si="6"/>
        <v>0</v>
      </c>
      <c r="S14" s="69"/>
      <c r="T14" s="83"/>
      <c r="U14" s="61" t="str">
        <f t="shared" si="13"/>
        <v>0</v>
      </c>
      <c r="V14" s="71">
        <f t="shared" si="7"/>
        <v>0</v>
      </c>
      <c r="W14" s="72"/>
      <c r="X14" s="79">
        <f t="shared" si="1"/>
        <v>0</v>
      </c>
      <c r="Y14" s="80"/>
      <c r="Z14" s="81" t="e">
        <f t="shared" si="8"/>
        <v>#DIV/0!</v>
      </c>
    </row>
    <row r="15" spans="1:27" x14ac:dyDescent="0.25">
      <c r="A15" s="10" t="s">
        <v>117</v>
      </c>
      <c r="B15" s="59">
        <f t="shared" si="9"/>
        <v>7</v>
      </c>
      <c r="C15" s="76"/>
      <c r="D15" s="61">
        <f t="shared" si="2"/>
        <v>0</v>
      </c>
      <c r="E15" s="76"/>
      <c r="F15" s="61">
        <f t="shared" si="10"/>
        <v>0</v>
      </c>
      <c r="G15" s="76"/>
      <c r="H15" s="61">
        <f t="shared" si="3"/>
        <v>0</v>
      </c>
      <c r="I15" s="60">
        <f t="shared" si="4"/>
        <v>0</v>
      </c>
      <c r="J15" s="64"/>
      <c r="K15" s="65">
        <f t="shared" si="5"/>
        <v>0</v>
      </c>
      <c r="L15" s="66"/>
      <c r="M15" s="77"/>
      <c r="N15" s="61">
        <f t="shared" si="11"/>
        <v>0</v>
      </c>
      <c r="O15" s="76"/>
      <c r="P15" s="61">
        <f t="shared" si="12"/>
        <v>0</v>
      </c>
      <c r="Q15" s="67">
        <f t="shared" si="0"/>
        <v>0</v>
      </c>
      <c r="R15" s="68">
        <f t="shared" si="6"/>
        <v>0</v>
      </c>
      <c r="S15" s="69"/>
      <c r="T15" s="83"/>
      <c r="U15" s="61">
        <f t="shared" si="13"/>
        <v>0</v>
      </c>
      <c r="V15" s="71">
        <f t="shared" si="7"/>
        <v>0</v>
      </c>
      <c r="W15" s="72"/>
      <c r="X15" s="79">
        <f t="shared" si="1"/>
        <v>0</v>
      </c>
      <c r="Y15" s="80"/>
      <c r="Z15" s="81" t="e">
        <f t="shared" si="8"/>
        <v>#DIV/0!</v>
      </c>
    </row>
    <row r="16" spans="1:27" x14ac:dyDescent="0.25">
      <c r="A16" s="10" t="s">
        <v>118</v>
      </c>
      <c r="B16" s="59">
        <f t="shared" si="9"/>
        <v>8</v>
      </c>
      <c r="C16" s="76"/>
      <c r="D16" s="61">
        <f t="shared" si="2"/>
        <v>0</v>
      </c>
      <c r="E16" s="76"/>
      <c r="F16" s="61">
        <f t="shared" si="10"/>
        <v>0</v>
      </c>
      <c r="G16" s="76"/>
      <c r="H16" s="61">
        <f t="shared" si="3"/>
        <v>0</v>
      </c>
      <c r="I16" s="60">
        <f t="shared" si="4"/>
        <v>0</v>
      </c>
      <c r="J16" s="64"/>
      <c r="K16" s="65">
        <f t="shared" si="5"/>
        <v>0</v>
      </c>
      <c r="L16" s="66"/>
      <c r="M16" s="77"/>
      <c r="N16" s="61">
        <f t="shared" si="11"/>
        <v>0</v>
      </c>
      <c r="O16" s="76"/>
      <c r="P16" s="61">
        <f t="shared" si="12"/>
        <v>0</v>
      </c>
      <c r="Q16" s="67">
        <f t="shared" si="0"/>
        <v>0</v>
      </c>
      <c r="R16" s="68">
        <f t="shared" si="6"/>
        <v>0</v>
      </c>
      <c r="S16" s="69"/>
      <c r="T16" s="83"/>
      <c r="U16" s="61">
        <f t="shared" si="13"/>
        <v>0</v>
      </c>
      <c r="V16" s="71">
        <f t="shared" si="7"/>
        <v>0</v>
      </c>
      <c r="W16" s="72"/>
      <c r="X16" s="79">
        <f t="shared" si="1"/>
        <v>0</v>
      </c>
      <c r="Y16" s="80"/>
      <c r="Z16" s="81" t="e">
        <f t="shared" si="8"/>
        <v>#DIV/0!</v>
      </c>
    </row>
    <row r="17" spans="1:26" x14ac:dyDescent="0.25">
      <c r="A17" s="10" t="s">
        <v>119</v>
      </c>
      <c r="B17" s="59">
        <v>9</v>
      </c>
      <c r="C17" s="84"/>
      <c r="D17" s="61">
        <f t="shared" si="2"/>
        <v>0</v>
      </c>
      <c r="E17" s="84"/>
      <c r="F17" s="61">
        <f t="shared" si="10"/>
        <v>0</v>
      </c>
      <c r="G17" s="84"/>
      <c r="H17" s="61">
        <f t="shared" si="3"/>
        <v>0</v>
      </c>
      <c r="I17" s="60">
        <f t="shared" si="4"/>
        <v>0</v>
      </c>
      <c r="J17" s="64"/>
      <c r="K17" s="65">
        <f t="shared" si="5"/>
        <v>0</v>
      </c>
      <c r="L17" s="66"/>
      <c r="M17" s="84"/>
      <c r="N17" s="61">
        <f t="shared" si="11"/>
        <v>0</v>
      </c>
      <c r="O17" s="84"/>
      <c r="P17" s="61">
        <f t="shared" si="12"/>
        <v>0</v>
      </c>
      <c r="Q17" s="67">
        <f t="shared" si="0"/>
        <v>0</v>
      </c>
      <c r="R17" s="68">
        <f t="shared" si="6"/>
        <v>0</v>
      </c>
      <c r="S17" s="69"/>
      <c r="T17" s="85"/>
      <c r="U17" s="61">
        <f t="shared" si="13"/>
        <v>0</v>
      </c>
      <c r="V17" s="71">
        <f t="shared" si="7"/>
        <v>0</v>
      </c>
      <c r="W17" s="72"/>
      <c r="X17" s="79">
        <f t="shared" si="1"/>
        <v>0</v>
      </c>
      <c r="Y17" s="80"/>
      <c r="Z17" s="81" t="e">
        <f t="shared" si="8"/>
        <v>#DIV/0!</v>
      </c>
    </row>
    <row r="18" spans="1:26" x14ac:dyDescent="0.25">
      <c r="A18" s="10" t="s">
        <v>120</v>
      </c>
      <c r="B18" s="86">
        <f t="shared" si="9"/>
        <v>10</v>
      </c>
      <c r="C18" s="84"/>
      <c r="D18" s="61">
        <f t="shared" si="2"/>
        <v>0</v>
      </c>
      <c r="E18" s="76"/>
      <c r="F18" s="61">
        <f t="shared" si="10"/>
        <v>0</v>
      </c>
      <c r="G18" s="76"/>
      <c r="H18" s="61">
        <f t="shared" si="3"/>
        <v>0</v>
      </c>
      <c r="I18" s="60">
        <f t="shared" si="4"/>
        <v>0</v>
      </c>
      <c r="J18" s="64"/>
      <c r="K18" s="65">
        <f t="shared" si="5"/>
        <v>0</v>
      </c>
      <c r="L18" s="87"/>
      <c r="M18" s="77"/>
      <c r="N18" s="61">
        <f t="shared" si="11"/>
        <v>0</v>
      </c>
      <c r="O18" s="76"/>
      <c r="P18" s="61">
        <f t="shared" si="12"/>
        <v>0</v>
      </c>
      <c r="Q18" s="67">
        <f t="shared" si="0"/>
        <v>0</v>
      </c>
      <c r="R18" s="68">
        <f t="shared" si="6"/>
        <v>0</v>
      </c>
      <c r="S18" s="88"/>
      <c r="T18" s="83"/>
      <c r="U18" s="61">
        <f t="shared" si="13"/>
        <v>0</v>
      </c>
      <c r="V18" s="71">
        <f t="shared" si="7"/>
        <v>0</v>
      </c>
      <c r="W18" s="72"/>
      <c r="X18" s="79">
        <f t="shared" si="1"/>
        <v>0</v>
      </c>
      <c r="Y18" s="80"/>
      <c r="Z18" s="89" t="e">
        <f t="shared" si="8"/>
        <v>#DIV/0!</v>
      </c>
    </row>
    <row r="19" spans="1:26" x14ac:dyDescent="0.25">
      <c r="A19" s="10" t="s">
        <v>121</v>
      </c>
      <c r="B19" s="90">
        <f t="shared" si="9"/>
        <v>11</v>
      </c>
      <c r="C19" s="76"/>
      <c r="D19" s="61">
        <f t="shared" si="2"/>
        <v>0</v>
      </c>
      <c r="E19" s="76"/>
      <c r="F19" s="61">
        <f t="shared" si="10"/>
        <v>0</v>
      </c>
      <c r="G19" s="76"/>
      <c r="H19" s="61">
        <f t="shared" si="3"/>
        <v>0</v>
      </c>
      <c r="I19" s="60">
        <f t="shared" si="4"/>
        <v>0</v>
      </c>
      <c r="J19" s="64"/>
      <c r="K19" s="65">
        <f t="shared" si="5"/>
        <v>0</v>
      </c>
      <c r="L19" s="66"/>
      <c r="M19" s="77"/>
      <c r="N19" s="61">
        <f t="shared" si="11"/>
        <v>0</v>
      </c>
      <c r="O19" s="91"/>
      <c r="P19" s="61">
        <f t="shared" si="12"/>
        <v>0</v>
      </c>
      <c r="Q19" s="67">
        <f t="shared" si="0"/>
        <v>0</v>
      </c>
      <c r="R19" s="68">
        <f t="shared" si="6"/>
        <v>0</v>
      </c>
      <c r="S19" s="69"/>
      <c r="T19" s="92"/>
      <c r="U19" s="61">
        <f t="shared" si="13"/>
        <v>0</v>
      </c>
      <c r="V19" s="71">
        <f t="shared" si="7"/>
        <v>0</v>
      </c>
      <c r="W19" s="72"/>
      <c r="X19" s="79">
        <f t="shared" si="1"/>
        <v>0</v>
      </c>
      <c r="Y19" s="80"/>
      <c r="Z19" s="75" t="e">
        <f t="shared" si="8"/>
        <v>#DIV/0!</v>
      </c>
    </row>
    <row r="20" spans="1:26" x14ac:dyDescent="0.25">
      <c r="A20" s="10" t="s">
        <v>96</v>
      </c>
      <c r="B20" s="59">
        <f t="shared" si="9"/>
        <v>12</v>
      </c>
      <c r="C20" s="76"/>
      <c r="D20" s="61">
        <f t="shared" si="2"/>
        <v>0</v>
      </c>
      <c r="E20" s="76"/>
      <c r="F20" s="61">
        <f t="shared" si="10"/>
        <v>0</v>
      </c>
      <c r="G20" s="76"/>
      <c r="H20" s="61">
        <f t="shared" si="3"/>
        <v>0</v>
      </c>
      <c r="I20" s="60">
        <f t="shared" si="4"/>
        <v>0</v>
      </c>
      <c r="J20" s="64"/>
      <c r="K20" s="65">
        <f t="shared" si="5"/>
        <v>0</v>
      </c>
      <c r="L20" s="66"/>
      <c r="M20" s="77"/>
      <c r="N20" s="61">
        <f t="shared" si="11"/>
        <v>0</v>
      </c>
      <c r="O20" s="76"/>
      <c r="P20" s="61">
        <f t="shared" si="12"/>
        <v>0</v>
      </c>
      <c r="Q20" s="67">
        <f t="shared" si="0"/>
        <v>0</v>
      </c>
      <c r="R20" s="68">
        <f t="shared" si="6"/>
        <v>0</v>
      </c>
      <c r="S20" s="69"/>
      <c r="T20" s="83"/>
      <c r="U20" s="61">
        <f t="shared" si="13"/>
        <v>0</v>
      </c>
      <c r="V20" s="71">
        <f t="shared" si="7"/>
        <v>0</v>
      </c>
      <c r="W20" s="72"/>
      <c r="X20" s="79">
        <f t="shared" si="1"/>
        <v>0</v>
      </c>
      <c r="Y20" s="80"/>
      <c r="Z20" s="81" t="e">
        <f t="shared" si="8"/>
        <v>#DIV/0!</v>
      </c>
    </row>
    <row r="21" spans="1:26" x14ac:dyDescent="0.25">
      <c r="A21" s="10" t="s">
        <v>116</v>
      </c>
      <c r="B21" s="59">
        <f t="shared" si="9"/>
        <v>13</v>
      </c>
      <c r="C21" s="84"/>
      <c r="D21" s="61">
        <f t="shared" si="2"/>
        <v>0</v>
      </c>
      <c r="E21" s="76"/>
      <c r="F21" s="61">
        <f t="shared" si="10"/>
        <v>0</v>
      </c>
      <c r="G21" s="76"/>
      <c r="H21" s="61">
        <f t="shared" si="3"/>
        <v>0</v>
      </c>
      <c r="I21" s="60">
        <f t="shared" si="4"/>
        <v>0</v>
      </c>
      <c r="J21" s="64"/>
      <c r="K21" s="65">
        <f t="shared" si="5"/>
        <v>0</v>
      </c>
      <c r="L21" s="66"/>
      <c r="M21" s="77"/>
      <c r="N21" s="61">
        <f t="shared" si="11"/>
        <v>0</v>
      </c>
      <c r="O21" s="76"/>
      <c r="P21" s="61">
        <f t="shared" si="12"/>
        <v>0</v>
      </c>
      <c r="Q21" s="67">
        <f t="shared" si="0"/>
        <v>0</v>
      </c>
      <c r="R21" s="68">
        <f t="shared" si="6"/>
        <v>0</v>
      </c>
      <c r="S21" s="69"/>
      <c r="T21" s="83"/>
      <c r="U21" s="61">
        <f t="shared" si="13"/>
        <v>0</v>
      </c>
      <c r="V21" s="71">
        <f t="shared" si="7"/>
        <v>0</v>
      </c>
      <c r="W21" s="72"/>
      <c r="X21" s="79">
        <f t="shared" si="1"/>
        <v>0</v>
      </c>
      <c r="Y21" s="80"/>
      <c r="Z21" s="81" t="e">
        <f t="shared" si="8"/>
        <v>#DIV/0!</v>
      </c>
    </row>
    <row r="22" spans="1:26" x14ac:dyDescent="0.25">
      <c r="A22" s="10" t="s">
        <v>117</v>
      </c>
      <c r="B22" s="59">
        <f t="shared" si="9"/>
        <v>14</v>
      </c>
      <c r="C22" s="84"/>
      <c r="D22" s="61">
        <f t="shared" si="2"/>
        <v>0</v>
      </c>
      <c r="E22" s="76"/>
      <c r="F22" s="61">
        <f t="shared" si="10"/>
        <v>0</v>
      </c>
      <c r="G22" s="76"/>
      <c r="H22" s="61">
        <f t="shared" si="3"/>
        <v>0</v>
      </c>
      <c r="I22" s="60">
        <f t="shared" si="4"/>
        <v>0</v>
      </c>
      <c r="J22" s="64"/>
      <c r="K22" s="65">
        <f t="shared" si="5"/>
        <v>0</v>
      </c>
      <c r="L22" s="66"/>
      <c r="M22" s="77"/>
      <c r="N22" s="61">
        <f t="shared" si="11"/>
        <v>0</v>
      </c>
      <c r="O22" s="76"/>
      <c r="P22" s="61">
        <f t="shared" si="12"/>
        <v>0</v>
      </c>
      <c r="Q22" s="67">
        <f t="shared" si="0"/>
        <v>0</v>
      </c>
      <c r="R22" s="68">
        <f t="shared" si="6"/>
        <v>0</v>
      </c>
      <c r="S22" s="69"/>
      <c r="T22" s="83"/>
      <c r="U22" s="61">
        <f t="shared" si="13"/>
        <v>0</v>
      </c>
      <c r="V22" s="71">
        <f t="shared" si="7"/>
        <v>0</v>
      </c>
      <c r="W22" s="72"/>
      <c r="X22" s="79">
        <f t="shared" si="1"/>
        <v>0</v>
      </c>
      <c r="Y22" s="80"/>
      <c r="Z22" s="81" t="e">
        <f t="shared" si="8"/>
        <v>#DIV/0!</v>
      </c>
    </row>
    <row r="23" spans="1:26" x14ac:dyDescent="0.25">
      <c r="A23" s="10" t="s">
        <v>118</v>
      </c>
      <c r="B23" s="59">
        <f t="shared" si="9"/>
        <v>15</v>
      </c>
      <c r="C23" s="76"/>
      <c r="D23" s="61">
        <f t="shared" si="2"/>
        <v>0</v>
      </c>
      <c r="E23" s="76"/>
      <c r="F23" s="61">
        <f t="shared" si="10"/>
        <v>0</v>
      </c>
      <c r="G23" s="76"/>
      <c r="H23" s="61">
        <f t="shared" si="3"/>
        <v>0</v>
      </c>
      <c r="I23" s="60">
        <f t="shared" si="4"/>
        <v>0</v>
      </c>
      <c r="J23" s="64"/>
      <c r="K23" s="65">
        <f t="shared" si="5"/>
        <v>0</v>
      </c>
      <c r="L23" s="66"/>
      <c r="M23" s="77"/>
      <c r="N23" s="61">
        <f t="shared" si="11"/>
        <v>0</v>
      </c>
      <c r="O23" s="76"/>
      <c r="P23" s="61">
        <f t="shared" si="12"/>
        <v>0</v>
      </c>
      <c r="Q23" s="67">
        <f t="shared" si="0"/>
        <v>0</v>
      </c>
      <c r="R23" s="68">
        <f t="shared" si="6"/>
        <v>0</v>
      </c>
      <c r="S23" s="69"/>
      <c r="T23" s="83"/>
      <c r="U23" s="61">
        <f t="shared" si="13"/>
        <v>0</v>
      </c>
      <c r="V23" s="71">
        <f t="shared" si="7"/>
        <v>0</v>
      </c>
      <c r="W23" s="72"/>
      <c r="X23" s="79">
        <f t="shared" si="1"/>
        <v>0</v>
      </c>
      <c r="Y23" s="80"/>
      <c r="Z23" s="81" t="e">
        <f t="shared" si="8"/>
        <v>#DIV/0!</v>
      </c>
    </row>
    <row r="24" spans="1:26" x14ac:dyDescent="0.25">
      <c r="A24" s="10" t="s">
        <v>119</v>
      </c>
      <c r="B24" s="59">
        <f t="shared" si="9"/>
        <v>16</v>
      </c>
      <c r="C24" s="76"/>
      <c r="D24" s="61">
        <f t="shared" si="2"/>
        <v>0</v>
      </c>
      <c r="E24" s="76"/>
      <c r="F24" s="61">
        <f t="shared" si="10"/>
        <v>0</v>
      </c>
      <c r="G24" s="76"/>
      <c r="H24" s="61">
        <f t="shared" si="3"/>
        <v>0</v>
      </c>
      <c r="I24" s="60">
        <f t="shared" si="4"/>
        <v>0</v>
      </c>
      <c r="J24" s="64"/>
      <c r="K24" s="65">
        <f t="shared" si="5"/>
        <v>0</v>
      </c>
      <c r="L24" s="66"/>
      <c r="M24" s="77"/>
      <c r="N24" s="61">
        <f t="shared" si="11"/>
        <v>0</v>
      </c>
      <c r="O24" s="76"/>
      <c r="P24" s="61">
        <f t="shared" si="12"/>
        <v>0</v>
      </c>
      <c r="Q24" s="67">
        <f t="shared" si="0"/>
        <v>0</v>
      </c>
      <c r="R24" s="68">
        <f t="shared" si="6"/>
        <v>0</v>
      </c>
      <c r="S24" s="69"/>
      <c r="T24" s="83"/>
      <c r="U24" s="61">
        <f t="shared" si="13"/>
        <v>0</v>
      </c>
      <c r="V24" s="71">
        <f t="shared" si="7"/>
        <v>0</v>
      </c>
      <c r="W24" s="72"/>
      <c r="X24" s="79">
        <f t="shared" si="1"/>
        <v>0</v>
      </c>
      <c r="Y24" s="80"/>
      <c r="Z24" s="81" t="e">
        <f t="shared" si="8"/>
        <v>#DIV/0!</v>
      </c>
    </row>
    <row r="25" spans="1:26" x14ac:dyDescent="0.25">
      <c r="A25" s="10" t="s">
        <v>120</v>
      </c>
      <c r="B25" s="59">
        <f t="shared" si="9"/>
        <v>17</v>
      </c>
      <c r="C25" s="76"/>
      <c r="D25" s="61">
        <f t="shared" si="2"/>
        <v>0</v>
      </c>
      <c r="E25" s="76"/>
      <c r="F25" s="61">
        <f t="shared" si="10"/>
        <v>0</v>
      </c>
      <c r="G25" s="76"/>
      <c r="H25" s="61">
        <f t="shared" si="3"/>
        <v>0</v>
      </c>
      <c r="I25" s="60">
        <f t="shared" si="4"/>
        <v>0</v>
      </c>
      <c r="J25" s="64"/>
      <c r="K25" s="65">
        <f t="shared" si="5"/>
        <v>0</v>
      </c>
      <c r="L25" s="66"/>
      <c r="M25" s="77"/>
      <c r="N25" s="61">
        <f t="shared" si="11"/>
        <v>0</v>
      </c>
      <c r="O25" s="76"/>
      <c r="P25" s="61">
        <f t="shared" si="12"/>
        <v>0</v>
      </c>
      <c r="Q25" s="67">
        <f t="shared" si="0"/>
        <v>0</v>
      </c>
      <c r="R25" s="68">
        <f t="shared" si="6"/>
        <v>0</v>
      </c>
      <c r="S25" s="69"/>
      <c r="T25" s="83"/>
      <c r="U25" s="61">
        <f t="shared" si="13"/>
        <v>0</v>
      </c>
      <c r="V25" s="71">
        <f t="shared" si="7"/>
        <v>0</v>
      </c>
      <c r="W25" s="72"/>
      <c r="X25" s="79">
        <f t="shared" si="1"/>
        <v>0</v>
      </c>
      <c r="Y25" s="80"/>
      <c r="Z25" s="81" t="e">
        <f t="shared" si="8"/>
        <v>#DIV/0!</v>
      </c>
    </row>
    <row r="26" spans="1:26" x14ac:dyDescent="0.25">
      <c r="A26" s="10" t="s">
        <v>121</v>
      </c>
      <c r="B26" s="59">
        <f t="shared" si="9"/>
        <v>18</v>
      </c>
      <c r="C26" s="76"/>
      <c r="D26" s="61">
        <f t="shared" si="2"/>
        <v>0</v>
      </c>
      <c r="E26" s="76"/>
      <c r="F26" s="61">
        <f t="shared" si="10"/>
        <v>0</v>
      </c>
      <c r="G26" s="76"/>
      <c r="H26" s="61">
        <f t="shared" si="3"/>
        <v>0</v>
      </c>
      <c r="I26" s="60">
        <f t="shared" si="4"/>
        <v>0</v>
      </c>
      <c r="J26" s="64"/>
      <c r="K26" s="65">
        <f t="shared" si="5"/>
        <v>0</v>
      </c>
      <c r="L26" s="66"/>
      <c r="M26" s="77"/>
      <c r="N26" s="61">
        <f t="shared" si="11"/>
        <v>0</v>
      </c>
      <c r="O26" s="76"/>
      <c r="P26" s="61">
        <f t="shared" si="12"/>
        <v>0</v>
      </c>
      <c r="Q26" s="67">
        <f t="shared" si="0"/>
        <v>0</v>
      </c>
      <c r="R26" s="68">
        <f t="shared" si="6"/>
        <v>0</v>
      </c>
      <c r="S26" s="69"/>
      <c r="T26" s="83"/>
      <c r="U26" s="61">
        <f t="shared" si="13"/>
        <v>0</v>
      </c>
      <c r="V26" s="71">
        <f t="shared" si="7"/>
        <v>0</v>
      </c>
      <c r="W26" s="72"/>
      <c r="X26" s="79">
        <f t="shared" si="1"/>
        <v>0</v>
      </c>
      <c r="Y26" s="80"/>
      <c r="Z26" s="81" t="e">
        <f t="shared" si="8"/>
        <v>#DIV/0!</v>
      </c>
    </row>
    <row r="27" spans="1:26" x14ac:dyDescent="0.25">
      <c r="A27" s="10" t="s">
        <v>96</v>
      </c>
      <c r="B27" s="59">
        <f t="shared" si="9"/>
        <v>19</v>
      </c>
      <c r="C27" s="76"/>
      <c r="D27" s="61">
        <f t="shared" si="2"/>
        <v>0</v>
      </c>
      <c r="E27" s="76"/>
      <c r="F27" s="61">
        <f t="shared" si="10"/>
        <v>0</v>
      </c>
      <c r="G27" s="76"/>
      <c r="H27" s="61">
        <f t="shared" si="3"/>
        <v>0</v>
      </c>
      <c r="I27" s="60">
        <f t="shared" si="4"/>
        <v>0</v>
      </c>
      <c r="J27" s="64"/>
      <c r="K27" s="65">
        <f t="shared" si="5"/>
        <v>0</v>
      </c>
      <c r="L27" s="93"/>
      <c r="M27" s="77"/>
      <c r="N27" s="61">
        <f t="shared" si="11"/>
        <v>0</v>
      </c>
      <c r="O27" s="76"/>
      <c r="P27" s="61">
        <f t="shared" si="12"/>
        <v>0</v>
      </c>
      <c r="Q27" s="67">
        <f t="shared" si="0"/>
        <v>0</v>
      </c>
      <c r="R27" s="68">
        <f t="shared" si="6"/>
        <v>0</v>
      </c>
      <c r="S27" s="69"/>
      <c r="T27" s="83"/>
      <c r="U27" s="61">
        <f t="shared" si="13"/>
        <v>0</v>
      </c>
      <c r="V27" s="71">
        <f t="shared" si="7"/>
        <v>0</v>
      </c>
      <c r="W27" s="72"/>
      <c r="X27" s="79">
        <f t="shared" si="1"/>
        <v>0</v>
      </c>
      <c r="Y27" s="80"/>
      <c r="Z27" s="81" t="e">
        <f t="shared" si="8"/>
        <v>#DIV/0!</v>
      </c>
    </row>
    <row r="28" spans="1:26" x14ac:dyDescent="0.25">
      <c r="A28" s="10" t="s">
        <v>116</v>
      </c>
      <c r="B28" s="86">
        <f t="shared" si="9"/>
        <v>20</v>
      </c>
      <c r="C28" s="84"/>
      <c r="D28" s="61">
        <f t="shared" si="2"/>
        <v>0</v>
      </c>
      <c r="E28" s="84"/>
      <c r="F28" s="61">
        <f t="shared" si="10"/>
        <v>0</v>
      </c>
      <c r="G28" s="84"/>
      <c r="H28" s="61">
        <f t="shared" si="3"/>
        <v>0</v>
      </c>
      <c r="I28" s="60">
        <f t="shared" si="4"/>
        <v>0</v>
      </c>
      <c r="J28" s="64"/>
      <c r="K28" s="65">
        <f t="shared" si="5"/>
        <v>0</v>
      </c>
      <c r="L28" s="94"/>
      <c r="M28" s="77"/>
      <c r="N28" s="61">
        <f t="shared" si="11"/>
        <v>0</v>
      </c>
      <c r="O28" s="76"/>
      <c r="P28" s="61">
        <f t="shared" si="12"/>
        <v>0</v>
      </c>
      <c r="Q28" s="67">
        <f t="shared" si="0"/>
        <v>0</v>
      </c>
      <c r="R28" s="68">
        <f t="shared" si="6"/>
        <v>0</v>
      </c>
      <c r="S28" s="76"/>
      <c r="T28" s="83"/>
      <c r="U28" s="61">
        <f t="shared" si="13"/>
        <v>0</v>
      </c>
      <c r="V28" s="71">
        <f t="shared" si="7"/>
        <v>0</v>
      </c>
      <c r="W28" s="72"/>
      <c r="X28" s="95">
        <f t="shared" si="1"/>
        <v>0</v>
      </c>
      <c r="Y28" s="80"/>
      <c r="Z28" s="89" t="e">
        <f t="shared" si="8"/>
        <v>#DIV/0!</v>
      </c>
    </row>
    <row r="29" spans="1:26" x14ac:dyDescent="0.25">
      <c r="A29" s="10" t="s">
        <v>117</v>
      </c>
      <c r="B29" s="90">
        <f t="shared" si="9"/>
        <v>21</v>
      </c>
      <c r="C29" s="76"/>
      <c r="D29" s="61">
        <f t="shared" si="2"/>
        <v>0</v>
      </c>
      <c r="E29" s="76"/>
      <c r="F29" s="61">
        <f t="shared" si="10"/>
        <v>0</v>
      </c>
      <c r="G29" s="76"/>
      <c r="H29" s="61">
        <f t="shared" si="3"/>
        <v>0</v>
      </c>
      <c r="I29" s="60">
        <f t="shared" si="4"/>
        <v>0</v>
      </c>
      <c r="J29" s="64"/>
      <c r="K29" s="65">
        <f t="shared" si="5"/>
        <v>0</v>
      </c>
      <c r="L29" s="66"/>
      <c r="M29" s="77"/>
      <c r="N29" s="61">
        <f t="shared" si="11"/>
        <v>0</v>
      </c>
      <c r="O29" s="76"/>
      <c r="P29" s="61">
        <f t="shared" si="12"/>
        <v>0</v>
      </c>
      <c r="Q29" s="67">
        <f t="shared" si="0"/>
        <v>0</v>
      </c>
      <c r="R29" s="68">
        <f t="shared" si="6"/>
        <v>0</v>
      </c>
      <c r="S29" s="69"/>
      <c r="T29" s="83"/>
      <c r="U29" s="61">
        <f t="shared" si="13"/>
        <v>0</v>
      </c>
      <c r="V29" s="71">
        <f t="shared" si="7"/>
        <v>0</v>
      </c>
      <c r="W29" s="72"/>
      <c r="X29" s="73">
        <f t="shared" si="1"/>
        <v>0</v>
      </c>
      <c r="Y29" s="80"/>
      <c r="Z29" s="75" t="e">
        <f t="shared" si="8"/>
        <v>#DIV/0!</v>
      </c>
    </row>
    <row r="30" spans="1:26" x14ac:dyDescent="0.25">
      <c r="A30" s="10" t="s">
        <v>118</v>
      </c>
      <c r="B30" s="59">
        <f t="shared" si="9"/>
        <v>22</v>
      </c>
      <c r="C30" s="76"/>
      <c r="D30" s="61">
        <f t="shared" si="2"/>
        <v>0</v>
      </c>
      <c r="E30" s="76"/>
      <c r="F30" s="61">
        <f t="shared" si="10"/>
        <v>0</v>
      </c>
      <c r="G30" s="76"/>
      <c r="H30" s="61">
        <f t="shared" si="3"/>
        <v>0</v>
      </c>
      <c r="I30" s="60">
        <f t="shared" si="4"/>
        <v>0</v>
      </c>
      <c r="J30" s="64"/>
      <c r="K30" s="65">
        <f t="shared" si="5"/>
        <v>0</v>
      </c>
      <c r="L30" s="66"/>
      <c r="M30" s="77"/>
      <c r="N30" s="61">
        <f t="shared" si="11"/>
        <v>0</v>
      </c>
      <c r="O30" s="76"/>
      <c r="P30" s="61">
        <f t="shared" si="12"/>
        <v>0</v>
      </c>
      <c r="Q30" s="67">
        <f t="shared" si="0"/>
        <v>0</v>
      </c>
      <c r="R30" s="68">
        <f t="shared" si="6"/>
        <v>0</v>
      </c>
      <c r="S30" s="69"/>
      <c r="T30" s="83"/>
      <c r="U30" s="61">
        <f t="shared" si="13"/>
        <v>0</v>
      </c>
      <c r="V30" s="71">
        <f t="shared" si="7"/>
        <v>0</v>
      </c>
      <c r="W30" s="72"/>
      <c r="X30" s="79">
        <f t="shared" si="1"/>
        <v>0</v>
      </c>
      <c r="Y30" s="80"/>
      <c r="Z30" s="81" t="e">
        <f t="shared" si="8"/>
        <v>#DIV/0!</v>
      </c>
    </row>
    <row r="31" spans="1:26" x14ac:dyDescent="0.25">
      <c r="A31" s="10" t="s">
        <v>119</v>
      </c>
      <c r="B31" s="59">
        <f t="shared" si="9"/>
        <v>23</v>
      </c>
      <c r="C31" s="76"/>
      <c r="D31" s="61">
        <f t="shared" si="2"/>
        <v>0</v>
      </c>
      <c r="E31" s="76"/>
      <c r="F31" s="61">
        <f t="shared" si="10"/>
        <v>0</v>
      </c>
      <c r="G31" s="76"/>
      <c r="H31" s="61">
        <f t="shared" si="3"/>
        <v>0</v>
      </c>
      <c r="I31" s="60">
        <f t="shared" si="4"/>
        <v>0</v>
      </c>
      <c r="J31" s="64"/>
      <c r="K31" s="65">
        <f t="shared" si="5"/>
        <v>0</v>
      </c>
      <c r="L31" s="66"/>
      <c r="M31" s="77"/>
      <c r="N31" s="61">
        <f t="shared" si="11"/>
        <v>0</v>
      </c>
      <c r="O31" s="76"/>
      <c r="P31" s="61">
        <f t="shared" si="12"/>
        <v>0</v>
      </c>
      <c r="Q31" s="67">
        <f t="shared" si="0"/>
        <v>0</v>
      </c>
      <c r="R31" s="68">
        <f t="shared" si="6"/>
        <v>0</v>
      </c>
      <c r="S31" s="69"/>
      <c r="T31" s="83"/>
      <c r="U31" s="61">
        <f t="shared" si="13"/>
        <v>0</v>
      </c>
      <c r="V31" s="71">
        <f t="shared" si="7"/>
        <v>0</v>
      </c>
      <c r="W31" s="72"/>
      <c r="X31" s="96">
        <f t="shared" si="1"/>
        <v>0</v>
      </c>
      <c r="Y31" s="80"/>
      <c r="Z31" s="81" t="e">
        <f t="shared" si="8"/>
        <v>#DIV/0!</v>
      </c>
    </row>
    <row r="32" spans="1:26" x14ac:dyDescent="0.25">
      <c r="A32" s="10" t="s">
        <v>120</v>
      </c>
      <c r="B32" s="59">
        <f t="shared" si="9"/>
        <v>24</v>
      </c>
      <c r="C32" s="76"/>
      <c r="D32" s="61">
        <f t="shared" si="2"/>
        <v>0</v>
      </c>
      <c r="E32" s="76"/>
      <c r="F32" s="61">
        <f t="shared" si="10"/>
        <v>0</v>
      </c>
      <c r="G32" s="76"/>
      <c r="H32" s="61">
        <f t="shared" si="3"/>
        <v>0</v>
      </c>
      <c r="I32" s="60">
        <f t="shared" si="4"/>
        <v>0</v>
      </c>
      <c r="J32" s="64"/>
      <c r="K32" s="65">
        <f t="shared" si="5"/>
        <v>0</v>
      </c>
      <c r="L32" s="66"/>
      <c r="M32" s="77"/>
      <c r="N32" s="61">
        <f t="shared" si="11"/>
        <v>0</v>
      </c>
      <c r="O32" s="76"/>
      <c r="P32" s="61">
        <f t="shared" si="12"/>
        <v>0</v>
      </c>
      <c r="Q32" s="67">
        <f t="shared" si="0"/>
        <v>0</v>
      </c>
      <c r="R32" s="68">
        <f t="shared" si="6"/>
        <v>0</v>
      </c>
      <c r="S32" s="69"/>
      <c r="T32" s="83"/>
      <c r="U32" s="61">
        <f t="shared" si="13"/>
        <v>0</v>
      </c>
      <c r="V32" s="71">
        <f t="shared" si="7"/>
        <v>0</v>
      </c>
      <c r="W32" s="72"/>
      <c r="X32" s="96">
        <f t="shared" si="1"/>
        <v>0</v>
      </c>
      <c r="Y32" s="80"/>
      <c r="Z32" s="81" t="e">
        <f t="shared" si="8"/>
        <v>#DIV/0!</v>
      </c>
    </row>
    <row r="33" spans="1:26" x14ac:dyDescent="0.25">
      <c r="A33" s="10" t="s">
        <v>121</v>
      </c>
      <c r="B33" s="59">
        <f t="shared" si="9"/>
        <v>25</v>
      </c>
      <c r="C33" s="76"/>
      <c r="D33" s="61">
        <f t="shared" si="2"/>
        <v>0</v>
      </c>
      <c r="E33" s="76"/>
      <c r="F33" s="61">
        <f t="shared" si="10"/>
        <v>0</v>
      </c>
      <c r="G33" s="76"/>
      <c r="H33" s="61">
        <f t="shared" si="3"/>
        <v>0</v>
      </c>
      <c r="I33" s="60">
        <f t="shared" si="4"/>
        <v>0</v>
      </c>
      <c r="J33" s="64"/>
      <c r="K33" s="65">
        <f t="shared" si="5"/>
        <v>0</v>
      </c>
      <c r="L33" s="66"/>
      <c r="M33" s="77"/>
      <c r="N33" s="61">
        <f t="shared" si="11"/>
        <v>0</v>
      </c>
      <c r="O33" s="76"/>
      <c r="P33" s="61">
        <f t="shared" si="12"/>
        <v>0</v>
      </c>
      <c r="Q33" s="67">
        <f t="shared" si="0"/>
        <v>0</v>
      </c>
      <c r="R33" s="68">
        <f t="shared" si="6"/>
        <v>0</v>
      </c>
      <c r="S33" s="69"/>
      <c r="T33" s="83"/>
      <c r="U33" s="61">
        <f t="shared" si="13"/>
        <v>0</v>
      </c>
      <c r="V33" s="71">
        <f t="shared" si="7"/>
        <v>0</v>
      </c>
      <c r="W33" s="72"/>
      <c r="X33" s="96">
        <f t="shared" si="1"/>
        <v>0</v>
      </c>
      <c r="Y33" s="80"/>
      <c r="Z33" s="81" t="e">
        <f t="shared" si="8"/>
        <v>#DIV/0!</v>
      </c>
    </row>
    <row r="34" spans="1:26" x14ac:dyDescent="0.25">
      <c r="A34" s="10" t="s">
        <v>96</v>
      </c>
      <c r="B34" s="59">
        <f t="shared" si="9"/>
        <v>26</v>
      </c>
      <c r="C34" s="84"/>
      <c r="D34" s="61">
        <f t="shared" si="2"/>
        <v>0</v>
      </c>
      <c r="E34" s="76"/>
      <c r="F34" s="61">
        <f t="shared" si="10"/>
        <v>0</v>
      </c>
      <c r="G34" s="76"/>
      <c r="H34" s="61">
        <f t="shared" si="3"/>
        <v>0</v>
      </c>
      <c r="I34" s="60">
        <f t="shared" si="4"/>
        <v>0</v>
      </c>
      <c r="J34" s="64"/>
      <c r="K34" s="65">
        <f t="shared" si="5"/>
        <v>0</v>
      </c>
      <c r="L34" s="66"/>
      <c r="M34" s="77"/>
      <c r="N34" s="61">
        <f t="shared" si="11"/>
        <v>0</v>
      </c>
      <c r="O34" s="76"/>
      <c r="P34" s="61">
        <f t="shared" si="12"/>
        <v>0</v>
      </c>
      <c r="Q34" s="67">
        <f t="shared" si="0"/>
        <v>0</v>
      </c>
      <c r="R34" s="68">
        <f t="shared" si="6"/>
        <v>0</v>
      </c>
      <c r="S34" s="69"/>
      <c r="T34" s="83"/>
      <c r="U34" s="61">
        <f t="shared" si="13"/>
        <v>0</v>
      </c>
      <c r="V34" s="71">
        <f t="shared" si="7"/>
        <v>0</v>
      </c>
      <c r="W34" s="72"/>
      <c r="X34" s="96">
        <f t="shared" si="1"/>
        <v>0</v>
      </c>
      <c r="Y34" s="80"/>
      <c r="Z34" s="81" t="e">
        <f t="shared" si="8"/>
        <v>#DIV/0!</v>
      </c>
    </row>
    <row r="35" spans="1:26" x14ac:dyDescent="0.25">
      <c r="A35" s="10" t="s">
        <v>116</v>
      </c>
      <c r="B35" s="59">
        <f t="shared" si="9"/>
        <v>27</v>
      </c>
      <c r="C35" s="84"/>
      <c r="D35" s="61">
        <f t="shared" si="2"/>
        <v>0</v>
      </c>
      <c r="E35" s="76"/>
      <c r="F35" s="61">
        <f t="shared" si="10"/>
        <v>0</v>
      </c>
      <c r="G35" s="76"/>
      <c r="H35" s="61">
        <f t="shared" si="3"/>
        <v>0</v>
      </c>
      <c r="I35" s="60">
        <f t="shared" si="4"/>
        <v>0</v>
      </c>
      <c r="J35" s="64"/>
      <c r="K35" s="65">
        <f t="shared" si="5"/>
        <v>0</v>
      </c>
      <c r="L35" s="66"/>
      <c r="M35" s="77"/>
      <c r="N35" s="61">
        <f t="shared" si="11"/>
        <v>0</v>
      </c>
      <c r="O35" s="76"/>
      <c r="P35" s="61">
        <f t="shared" si="12"/>
        <v>0</v>
      </c>
      <c r="Q35" s="67">
        <f t="shared" si="0"/>
        <v>0</v>
      </c>
      <c r="R35" s="68">
        <f t="shared" si="6"/>
        <v>0</v>
      </c>
      <c r="S35" s="69"/>
      <c r="T35" s="83"/>
      <c r="U35" s="61">
        <f t="shared" si="13"/>
        <v>0</v>
      </c>
      <c r="V35" s="71">
        <f t="shared" si="7"/>
        <v>0</v>
      </c>
      <c r="W35" s="72"/>
      <c r="X35" s="96">
        <f t="shared" si="1"/>
        <v>0</v>
      </c>
      <c r="Y35" s="80"/>
      <c r="Z35" s="81" t="e">
        <f t="shared" si="8"/>
        <v>#DIV/0!</v>
      </c>
    </row>
    <row r="36" spans="1:26" x14ac:dyDescent="0.25">
      <c r="A36" s="10" t="s">
        <v>117</v>
      </c>
      <c r="B36" s="59">
        <f t="shared" si="9"/>
        <v>28</v>
      </c>
      <c r="C36" s="84"/>
      <c r="D36" s="61">
        <f t="shared" si="2"/>
        <v>0</v>
      </c>
      <c r="E36" s="76"/>
      <c r="F36" s="61">
        <f t="shared" si="10"/>
        <v>0</v>
      </c>
      <c r="G36" s="76"/>
      <c r="H36" s="61">
        <f t="shared" si="3"/>
        <v>0</v>
      </c>
      <c r="I36" s="60">
        <f t="shared" si="4"/>
        <v>0</v>
      </c>
      <c r="J36" s="64"/>
      <c r="K36" s="65">
        <f t="shared" si="5"/>
        <v>0</v>
      </c>
      <c r="L36" s="66"/>
      <c r="M36" s="77"/>
      <c r="N36" s="61">
        <f t="shared" si="11"/>
        <v>0</v>
      </c>
      <c r="O36" s="76"/>
      <c r="P36" s="61">
        <f t="shared" si="12"/>
        <v>0</v>
      </c>
      <c r="Q36" s="67">
        <f t="shared" si="0"/>
        <v>0</v>
      </c>
      <c r="R36" s="68">
        <f t="shared" si="6"/>
        <v>0</v>
      </c>
      <c r="S36" s="69"/>
      <c r="T36" s="83"/>
      <c r="U36" s="61">
        <f t="shared" si="13"/>
        <v>0</v>
      </c>
      <c r="V36" s="71">
        <f t="shared" si="7"/>
        <v>0</v>
      </c>
      <c r="W36" s="72"/>
      <c r="X36" s="96">
        <f t="shared" si="1"/>
        <v>0</v>
      </c>
      <c r="Y36" s="80"/>
      <c r="Z36" s="81" t="e">
        <f t="shared" si="8"/>
        <v>#DIV/0!</v>
      </c>
    </row>
    <row r="37" spans="1:26" x14ac:dyDescent="0.25">
      <c r="A37" s="10" t="s">
        <v>118</v>
      </c>
      <c r="B37" s="59">
        <f t="shared" si="9"/>
        <v>29</v>
      </c>
      <c r="C37" s="63"/>
      <c r="D37" s="61">
        <f t="shared" si="2"/>
        <v>0</v>
      </c>
      <c r="E37" s="109"/>
      <c r="F37" s="61">
        <f t="shared" si="10"/>
        <v>0</v>
      </c>
      <c r="G37" s="60"/>
      <c r="H37" s="61">
        <f t="shared" si="3"/>
        <v>0</v>
      </c>
      <c r="I37" s="60">
        <f t="shared" si="4"/>
        <v>0</v>
      </c>
      <c r="J37" s="64"/>
      <c r="K37" s="65">
        <f t="shared" si="5"/>
        <v>0</v>
      </c>
      <c r="L37" s="66"/>
      <c r="M37" s="60"/>
      <c r="N37" s="61">
        <f t="shared" si="11"/>
        <v>0</v>
      </c>
      <c r="O37" s="60"/>
      <c r="P37" s="61">
        <f t="shared" si="12"/>
        <v>0</v>
      </c>
      <c r="Q37" s="67">
        <f t="shared" si="0"/>
        <v>0</v>
      </c>
      <c r="R37" s="68">
        <f t="shared" si="6"/>
        <v>0</v>
      </c>
      <c r="S37" s="69"/>
      <c r="T37" s="83"/>
      <c r="U37" s="61">
        <f t="shared" si="13"/>
        <v>0</v>
      </c>
      <c r="V37" s="71">
        <f t="shared" si="7"/>
        <v>0</v>
      </c>
      <c r="W37" s="72"/>
      <c r="X37" s="96">
        <f t="shared" si="1"/>
        <v>0</v>
      </c>
      <c r="Y37" s="110"/>
      <c r="Z37" s="81" t="e">
        <f t="shared" si="8"/>
        <v>#DIV/0!</v>
      </c>
    </row>
    <row r="38" spans="1:26" x14ac:dyDescent="0.25">
      <c r="A38" s="10" t="s">
        <v>119</v>
      </c>
      <c r="B38" s="59">
        <f t="shared" si="9"/>
        <v>30</v>
      </c>
      <c r="C38" s="63"/>
      <c r="D38" s="61">
        <f t="shared" si="2"/>
        <v>0</v>
      </c>
      <c r="E38" s="109"/>
      <c r="F38" s="61">
        <f t="shared" si="10"/>
        <v>0</v>
      </c>
      <c r="G38" s="60"/>
      <c r="H38" s="61">
        <f t="shared" si="3"/>
        <v>0</v>
      </c>
      <c r="I38" s="60">
        <f t="shared" si="4"/>
        <v>0</v>
      </c>
      <c r="J38" s="64"/>
      <c r="K38" s="65">
        <f t="shared" si="5"/>
        <v>0</v>
      </c>
      <c r="L38" s="66"/>
      <c r="M38" s="60"/>
      <c r="N38" s="61">
        <f t="shared" si="11"/>
        <v>0</v>
      </c>
      <c r="O38" s="60"/>
      <c r="P38" s="61">
        <f t="shared" si="12"/>
        <v>0</v>
      </c>
      <c r="Q38" s="67">
        <f t="shared" si="0"/>
        <v>0</v>
      </c>
      <c r="R38" s="68">
        <f t="shared" si="6"/>
        <v>0</v>
      </c>
      <c r="S38" s="69"/>
      <c r="T38" s="83"/>
      <c r="U38" s="61">
        <f t="shared" si="13"/>
        <v>0</v>
      </c>
      <c r="V38" s="71">
        <f t="shared" si="7"/>
        <v>0</v>
      </c>
      <c r="W38" s="72"/>
      <c r="X38" s="96">
        <f t="shared" si="1"/>
        <v>0</v>
      </c>
      <c r="Y38" s="110"/>
      <c r="Z38" s="81" t="e">
        <f t="shared" si="8"/>
        <v>#DIV/0!</v>
      </c>
    </row>
    <row r="39" spans="1:26" x14ac:dyDescent="0.25">
      <c r="A39" s="10" t="s">
        <v>120</v>
      </c>
      <c r="B39" s="59">
        <f t="shared" si="9"/>
        <v>31</v>
      </c>
      <c r="C39" s="63"/>
      <c r="D39" s="61">
        <f t="shared" si="2"/>
        <v>0</v>
      </c>
      <c r="E39" s="109"/>
      <c r="F39" s="61">
        <f t="shared" si="10"/>
        <v>0</v>
      </c>
      <c r="G39" s="60"/>
      <c r="H39" s="61">
        <f t="shared" si="3"/>
        <v>0</v>
      </c>
      <c r="I39" s="60">
        <f t="shared" si="4"/>
        <v>0</v>
      </c>
      <c r="J39" s="64"/>
      <c r="K39" s="65">
        <f t="shared" si="5"/>
        <v>0</v>
      </c>
      <c r="L39" s="66"/>
      <c r="M39" s="60"/>
      <c r="N39" s="61">
        <f t="shared" si="11"/>
        <v>0</v>
      </c>
      <c r="O39" s="60"/>
      <c r="P39" s="61">
        <f t="shared" si="12"/>
        <v>0</v>
      </c>
      <c r="Q39" s="67">
        <f t="shared" si="0"/>
        <v>0</v>
      </c>
      <c r="R39" s="68">
        <f t="shared" si="6"/>
        <v>0</v>
      </c>
      <c r="S39" s="69"/>
      <c r="T39" s="83"/>
      <c r="U39" s="61">
        <f t="shared" si="13"/>
        <v>0</v>
      </c>
      <c r="V39" s="71">
        <f t="shared" si="7"/>
        <v>0</v>
      </c>
      <c r="W39" s="72"/>
      <c r="X39" s="96">
        <f t="shared" si="1"/>
        <v>0</v>
      </c>
      <c r="Y39" s="110"/>
      <c r="Z39" s="81" t="e">
        <f t="shared" si="8"/>
        <v>#DIV/0!</v>
      </c>
    </row>
    <row r="40" spans="1:26" x14ac:dyDescent="0.25">
      <c r="A40" s="10"/>
      <c r="B40" s="97"/>
      <c r="C40" s="98">
        <f>SUMIF(D9:D36,"&gt;0")</f>
        <v>25145</v>
      </c>
      <c r="D40" s="99"/>
      <c r="E40" s="148">
        <f>SUMIF(F9:F36,"&gt;0")</f>
        <v>24881</v>
      </c>
      <c r="F40" s="149"/>
      <c r="G40" s="150">
        <f>SUMIF(H9:H36,"&gt;0")</f>
        <v>23726</v>
      </c>
      <c r="H40" s="149"/>
      <c r="I40" s="100">
        <f>SUMIF(I9:I36,"&gt;0")</f>
        <v>73752</v>
      </c>
      <c r="J40" s="101"/>
      <c r="K40" s="102">
        <f>SUMIF(K9:K36,"&gt;0")</f>
        <v>18511.752</v>
      </c>
      <c r="L40" s="100"/>
      <c r="M40" s="150">
        <f>SUMIF(N9:N36,"&gt;0")</f>
        <v>670</v>
      </c>
      <c r="N40" s="149"/>
      <c r="O40" s="150">
        <f>SUMIF(P9:P36,"&gt;0")</f>
        <v>3921</v>
      </c>
      <c r="P40" s="149"/>
      <c r="Q40" s="101">
        <f>SUMIF(Q9:Q36,"&gt;0")</f>
        <v>4591</v>
      </c>
      <c r="R40" s="102">
        <f>SUMIF(R9:R36,"&gt;0")</f>
        <v>2690.4332036400001</v>
      </c>
      <c r="S40" s="103"/>
      <c r="T40" s="151">
        <f>SUMIF(U9:U36,"&gt;0")</f>
        <v>2199</v>
      </c>
      <c r="U40" s="151"/>
      <c r="V40" s="104">
        <f>SUMIF(V9:V36,"&gt;0")</f>
        <v>6278.1450000000004</v>
      </c>
      <c r="W40" s="105"/>
      <c r="X40" s="106">
        <f>SUMIF(X9:X36,"&gt;0")</f>
        <v>27480.330203639998</v>
      </c>
      <c r="Y40" s="107">
        <f>SUM(Y9:Y39)</f>
        <v>437</v>
      </c>
      <c r="Z40" s="108">
        <f>(SUMIF(Z9:Z36,"&gt;0")/31)</f>
        <v>10.334598706825453</v>
      </c>
    </row>
  </sheetData>
  <mergeCells count="12">
    <mergeCell ref="E40:F40"/>
    <mergeCell ref="G40:H40"/>
    <mergeCell ref="M40:N40"/>
    <mergeCell ref="O40:P40"/>
    <mergeCell ref="T40:U40"/>
    <mergeCell ref="B1:E4"/>
    <mergeCell ref="F1:V4"/>
    <mergeCell ref="W1:Z2"/>
    <mergeCell ref="W3:Z4"/>
    <mergeCell ref="C7:K7"/>
    <mergeCell ref="M7:R7"/>
    <mergeCell ref="T7:V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zoomScale="68" zoomScaleNormal="68" workbookViewId="0">
      <selection activeCell="J20" sqref="J20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111">
        <v>49433</v>
      </c>
      <c r="C6" s="112">
        <v>79236</v>
      </c>
      <c r="D6" s="113">
        <v>15207</v>
      </c>
      <c r="E6" s="113">
        <v>13719</v>
      </c>
      <c r="F6" s="113">
        <v>189420</v>
      </c>
      <c r="G6" s="113">
        <v>3495</v>
      </c>
      <c r="H6" s="112">
        <v>1485</v>
      </c>
      <c r="I6" s="113">
        <v>380288</v>
      </c>
      <c r="J6" s="113">
        <v>68377</v>
      </c>
      <c r="K6" s="113">
        <v>7921</v>
      </c>
      <c r="L6" s="113">
        <v>29890</v>
      </c>
      <c r="M6" s="113">
        <v>52115</v>
      </c>
      <c r="N6" s="113">
        <v>38542</v>
      </c>
      <c r="O6" s="113">
        <v>181658</v>
      </c>
      <c r="P6" s="113">
        <v>375920</v>
      </c>
      <c r="Q6" s="113">
        <v>2808</v>
      </c>
      <c r="R6" s="113">
        <v>18050</v>
      </c>
      <c r="S6" s="113">
        <v>25503</v>
      </c>
      <c r="T6" s="113">
        <v>278413</v>
      </c>
      <c r="U6" s="113">
        <v>375407</v>
      </c>
      <c r="V6" s="113">
        <v>40159</v>
      </c>
      <c r="W6" s="113">
        <v>5416</v>
      </c>
      <c r="X6" s="113">
        <v>13927</v>
      </c>
      <c r="Y6" s="113">
        <v>86195</v>
      </c>
      <c r="Z6" s="112">
        <v>540</v>
      </c>
      <c r="AA6" s="113">
        <v>170186</v>
      </c>
      <c r="AB6" s="113">
        <v>7562</v>
      </c>
      <c r="AC6" s="113">
        <v>1974</v>
      </c>
      <c r="AD6" s="113">
        <v>17975</v>
      </c>
      <c r="AE6" s="113">
        <v>76508</v>
      </c>
      <c r="AF6" s="113">
        <v>205359</v>
      </c>
      <c r="AG6" s="113">
        <v>1125790</v>
      </c>
      <c r="AH6" s="113">
        <v>11123</v>
      </c>
      <c r="AI6" s="113">
        <v>483379</v>
      </c>
      <c r="AJ6" s="113">
        <v>637743</v>
      </c>
      <c r="AK6" s="113">
        <v>9334</v>
      </c>
      <c r="AL6" s="114">
        <v>29315</v>
      </c>
      <c r="AM6" s="113">
        <v>28542</v>
      </c>
      <c r="AN6" s="115">
        <v>596531</v>
      </c>
      <c r="AO6" s="115">
        <v>5246</v>
      </c>
      <c r="AP6" s="116">
        <v>0</v>
      </c>
      <c r="AQ6" s="113">
        <v>109712</v>
      </c>
      <c r="AR6" s="113">
        <v>217210</v>
      </c>
      <c r="AS6" s="113">
        <v>63112</v>
      </c>
      <c r="AT6" s="113">
        <v>560</v>
      </c>
      <c r="AU6" s="113">
        <v>107079</v>
      </c>
      <c r="AV6" s="113">
        <v>44534</v>
      </c>
      <c r="AW6" s="113">
        <v>38275</v>
      </c>
      <c r="AX6" s="113">
        <v>175158</v>
      </c>
      <c r="AY6" s="117">
        <v>481902</v>
      </c>
    </row>
    <row r="7" spans="1:83" ht="90" x14ac:dyDescent="0.25">
      <c r="A7" s="118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9" t="s">
        <v>63</v>
      </c>
      <c r="BA7" s="119" t="s">
        <v>64</v>
      </c>
      <c r="BB7" s="119" t="s">
        <v>65</v>
      </c>
      <c r="BC7" s="119" t="s">
        <v>66</v>
      </c>
      <c r="BD7" s="119" t="s">
        <v>67</v>
      </c>
      <c r="BE7" s="119" t="s">
        <v>68</v>
      </c>
      <c r="BF7" s="119" t="s">
        <v>69</v>
      </c>
      <c r="BG7" s="119" t="s">
        <v>70</v>
      </c>
      <c r="BH7" s="119" t="s">
        <v>71</v>
      </c>
      <c r="BI7" s="119" t="s">
        <v>72</v>
      </c>
      <c r="BJ7" s="119" t="s">
        <v>73</v>
      </c>
      <c r="BK7" s="119" t="s">
        <v>74</v>
      </c>
      <c r="BL7" s="119" t="s">
        <v>75</v>
      </c>
      <c r="BM7" s="119" t="s">
        <v>76</v>
      </c>
      <c r="BN7" s="119" t="s">
        <v>77</v>
      </c>
      <c r="BO7" s="119" t="s">
        <v>78</v>
      </c>
      <c r="BP7" s="119" t="s">
        <v>79</v>
      </c>
      <c r="BQ7" s="119" t="s">
        <v>80</v>
      </c>
      <c r="BR7" s="119" t="s">
        <v>81</v>
      </c>
      <c r="BS7" s="120" t="s">
        <v>82</v>
      </c>
      <c r="BT7" s="120" t="s">
        <v>83</v>
      </c>
      <c r="BU7" s="120" t="s">
        <v>84</v>
      </c>
      <c r="BV7" s="120" t="s">
        <v>85</v>
      </c>
      <c r="BW7" s="120" t="s">
        <v>86</v>
      </c>
      <c r="BX7" s="120" t="s">
        <v>87</v>
      </c>
      <c r="BY7" s="120" t="s">
        <v>88</v>
      </c>
      <c r="BZ7" s="120" t="s">
        <v>89</v>
      </c>
      <c r="CA7" s="120" t="s">
        <v>90</v>
      </c>
      <c r="CB7" s="120" t="s">
        <v>91</v>
      </c>
      <c r="CC7" s="120" t="s">
        <v>92</v>
      </c>
      <c r="CD7" s="120" t="s">
        <v>93</v>
      </c>
      <c r="CE7" s="120" t="s">
        <v>94</v>
      </c>
    </row>
    <row r="8" spans="1:83" x14ac:dyDescent="0.25">
      <c r="A8">
        <v>1</v>
      </c>
      <c r="B8" s="121">
        <v>78665</v>
      </c>
      <c r="C8" s="122">
        <v>109693</v>
      </c>
      <c r="D8" s="122">
        <v>19704</v>
      </c>
      <c r="E8" s="122">
        <v>21539</v>
      </c>
      <c r="F8" s="122">
        <v>273829</v>
      </c>
      <c r="G8" s="122">
        <v>4911</v>
      </c>
      <c r="H8" s="122">
        <v>10011</v>
      </c>
      <c r="I8" s="122">
        <v>540431</v>
      </c>
      <c r="J8" s="122">
        <v>91252</v>
      </c>
      <c r="K8" s="122">
        <v>8077</v>
      </c>
      <c r="L8" s="122">
        <v>39901</v>
      </c>
      <c r="M8" s="122">
        <v>61484</v>
      </c>
      <c r="N8" s="122">
        <v>55539</v>
      </c>
      <c r="O8" s="122">
        <v>269908</v>
      </c>
      <c r="P8" s="122">
        <v>561781</v>
      </c>
      <c r="Q8" s="122">
        <v>5098</v>
      </c>
      <c r="R8" s="122">
        <v>26608</v>
      </c>
      <c r="S8" s="122">
        <v>25503</v>
      </c>
      <c r="T8" s="122">
        <v>374396</v>
      </c>
      <c r="U8" s="122">
        <v>536193</v>
      </c>
      <c r="V8" s="122">
        <v>59337</v>
      </c>
      <c r="W8" s="122">
        <v>7566</v>
      </c>
      <c r="X8" s="122">
        <v>21967</v>
      </c>
      <c r="Y8" s="122">
        <v>123967</v>
      </c>
      <c r="Z8" s="122">
        <v>1302</v>
      </c>
      <c r="AA8" s="132">
        <v>235926</v>
      </c>
      <c r="AB8" s="122">
        <v>11340</v>
      </c>
      <c r="AC8" s="122">
        <v>2753</v>
      </c>
      <c r="AD8" s="122">
        <v>24995</v>
      </c>
      <c r="AE8" s="122">
        <v>121998</v>
      </c>
      <c r="AF8" s="122">
        <v>310420</v>
      </c>
      <c r="AG8" s="122">
        <v>1520062</v>
      </c>
      <c r="AH8" s="122">
        <v>13954</v>
      </c>
      <c r="AI8" s="122">
        <v>4944003</v>
      </c>
      <c r="AJ8" s="122">
        <v>910226</v>
      </c>
      <c r="AK8" s="122">
        <v>19573</v>
      </c>
      <c r="AL8" s="122">
        <v>48315</v>
      </c>
      <c r="AM8" s="123">
        <v>48576</v>
      </c>
      <c r="AN8" s="122">
        <v>845596</v>
      </c>
      <c r="AO8" s="124">
        <v>5710</v>
      </c>
      <c r="AP8" s="124">
        <v>0</v>
      </c>
      <c r="AQ8" s="124">
        <v>151987</v>
      </c>
      <c r="AR8" s="122">
        <v>302719</v>
      </c>
      <c r="AS8" s="122">
        <v>862857</v>
      </c>
      <c r="AT8" s="122">
        <v>865</v>
      </c>
      <c r="AU8" s="122">
        <v>162360</v>
      </c>
      <c r="AV8" s="122">
        <v>61387</v>
      </c>
      <c r="AW8" s="122">
        <v>51470</v>
      </c>
      <c r="AX8" s="122">
        <v>256991</v>
      </c>
      <c r="AY8" s="122">
        <v>693331</v>
      </c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</row>
    <row r="9" spans="1:83" x14ac:dyDescent="0.25">
      <c r="A9">
        <v>2</v>
      </c>
      <c r="B9" s="112">
        <v>78754</v>
      </c>
      <c r="C9" s="112">
        <v>109866</v>
      </c>
      <c r="D9" s="112">
        <v>19721</v>
      </c>
      <c r="E9" s="112">
        <v>21573</v>
      </c>
      <c r="F9" s="112">
        <v>274023</v>
      </c>
      <c r="G9" s="112">
        <v>4914</v>
      </c>
      <c r="H9" s="112">
        <v>10029</v>
      </c>
      <c r="I9" s="112">
        <v>540817</v>
      </c>
      <c r="J9" s="112">
        <v>91283</v>
      </c>
      <c r="K9" s="112">
        <v>8077</v>
      </c>
      <c r="L9" s="112">
        <v>39930</v>
      </c>
      <c r="M9" s="112">
        <v>61515</v>
      </c>
      <c r="N9" s="112">
        <v>55561</v>
      </c>
      <c r="O9" s="112">
        <v>270105</v>
      </c>
      <c r="P9" s="112">
        <v>562298</v>
      </c>
      <c r="Q9" s="112">
        <v>5104</v>
      </c>
      <c r="R9" s="112">
        <v>26622</v>
      </c>
      <c r="S9" s="112">
        <v>25503</v>
      </c>
      <c r="T9" s="112">
        <v>374536</v>
      </c>
      <c r="U9" s="112">
        <v>536581</v>
      </c>
      <c r="V9" s="112">
        <v>59384</v>
      </c>
      <c r="W9" s="112">
        <v>7607</v>
      </c>
      <c r="X9" s="112">
        <v>21990</v>
      </c>
      <c r="Y9" s="112">
        <v>124102</v>
      </c>
      <c r="Z9" s="112">
        <v>1302</v>
      </c>
      <c r="AA9" s="112">
        <v>236194</v>
      </c>
      <c r="AB9" s="112">
        <v>11343</v>
      </c>
      <c r="AC9" s="112">
        <v>2755</v>
      </c>
      <c r="AD9" s="112">
        <v>25022</v>
      </c>
      <c r="AE9" s="112">
        <v>122103</v>
      </c>
      <c r="AF9" s="112">
        <v>310613</v>
      </c>
      <c r="AG9" s="112">
        <v>1520757</v>
      </c>
      <c r="AH9" s="112">
        <v>13961</v>
      </c>
      <c r="AI9" s="112">
        <v>494020</v>
      </c>
      <c r="AJ9" s="112">
        <v>910881</v>
      </c>
      <c r="AK9" s="112">
        <v>14588</v>
      </c>
      <c r="AL9" s="126">
        <v>48329</v>
      </c>
      <c r="AM9" s="112">
        <v>48783</v>
      </c>
      <c r="AN9" s="116">
        <v>846391</v>
      </c>
      <c r="AO9" s="116">
        <v>5710</v>
      </c>
      <c r="AP9" s="116">
        <v>0</v>
      </c>
      <c r="AQ9" s="112">
        <v>152115</v>
      </c>
      <c r="AR9" s="112">
        <v>302962</v>
      </c>
      <c r="AS9" s="112">
        <v>863252</v>
      </c>
      <c r="AT9" s="112">
        <v>866</v>
      </c>
      <c r="AU9" s="112">
        <v>162513</v>
      </c>
      <c r="AV9" s="112">
        <v>61427</v>
      </c>
      <c r="AW9" s="112">
        <v>51508</v>
      </c>
      <c r="AX9" s="112">
        <v>257181</v>
      </c>
      <c r="AY9" s="112">
        <v>693940</v>
      </c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</row>
    <row r="10" spans="1:83" x14ac:dyDescent="0.25">
      <c r="A10">
        <v>3</v>
      </c>
      <c r="B10" s="112">
        <v>78853</v>
      </c>
      <c r="C10" s="112">
        <v>119049</v>
      </c>
      <c r="D10" s="112">
        <v>19731</v>
      </c>
      <c r="E10" s="112">
        <v>21599</v>
      </c>
      <c r="F10" s="112">
        <v>274211</v>
      </c>
      <c r="G10" s="112">
        <v>4917</v>
      </c>
      <c r="H10" s="112">
        <v>10052</v>
      </c>
      <c r="I10" s="112">
        <v>541210</v>
      </c>
      <c r="J10" s="112">
        <v>91324</v>
      </c>
      <c r="K10" s="112">
        <v>8078</v>
      </c>
      <c r="L10" s="112">
        <v>39964</v>
      </c>
      <c r="M10" s="112">
        <v>61543</v>
      </c>
      <c r="N10" s="112">
        <v>55588</v>
      </c>
      <c r="O10" s="112">
        <v>270301</v>
      </c>
      <c r="P10" s="112">
        <v>562941</v>
      </c>
      <c r="Q10" s="112">
        <v>5110</v>
      </c>
      <c r="R10" s="112">
        <v>26636</v>
      </c>
      <c r="S10" s="112">
        <v>25503</v>
      </c>
      <c r="T10" s="112">
        <v>374686</v>
      </c>
      <c r="U10" s="112">
        <v>536958</v>
      </c>
      <c r="V10" s="112">
        <v>59424</v>
      </c>
      <c r="W10" s="112">
        <v>7633</v>
      </c>
      <c r="X10" s="112">
        <v>22001</v>
      </c>
      <c r="Y10" s="112">
        <v>124175</v>
      </c>
      <c r="Z10" s="112">
        <v>1302</v>
      </c>
      <c r="AA10" s="112">
        <v>236328</v>
      </c>
      <c r="AB10" s="112">
        <v>11343</v>
      </c>
      <c r="AC10" s="112">
        <v>2756</v>
      </c>
      <c r="AD10" s="112">
        <v>25050</v>
      </c>
      <c r="AE10" s="112">
        <v>122220</v>
      </c>
      <c r="AF10" s="112">
        <v>310802</v>
      </c>
      <c r="AG10" s="112">
        <v>1521468</v>
      </c>
      <c r="AH10" s="112">
        <v>13969</v>
      </c>
      <c r="AI10" s="112">
        <v>494037</v>
      </c>
      <c r="AJ10" s="112">
        <v>911538</v>
      </c>
      <c r="AK10" s="112">
        <v>14601</v>
      </c>
      <c r="AL10" s="126">
        <v>48344</v>
      </c>
      <c r="AM10" s="112">
        <v>48883</v>
      </c>
      <c r="AN10" s="116">
        <v>847255</v>
      </c>
      <c r="AO10" s="116">
        <v>5710</v>
      </c>
      <c r="AP10" s="116">
        <v>0</v>
      </c>
      <c r="AQ10" s="112">
        <v>152242</v>
      </c>
      <c r="AR10" s="112">
        <v>303193</v>
      </c>
      <c r="AS10" s="112">
        <v>863644</v>
      </c>
      <c r="AT10" s="112">
        <v>867</v>
      </c>
      <c r="AU10" s="112">
        <v>162693</v>
      </c>
      <c r="AV10" s="112">
        <v>61468</v>
      </c>
      <c r="AW10" s="112">
        <v>51545</v>
      </c>
      <c r="AX10" s="112">
        <v>257383</v>
      </c>
      <c r="AY10" s="112">
        <v>6945661</v>
      </c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</row>
    <row r="11" spans="1:83" x14ac:dyDescent="0.25">
      <c r="A11">
        <v>4</v>
      </c>
      <c r="B11" s="112">
        <v>78940</v>
      </c>
      <c r="C11" s="112">
        <v>110234</v>
      </c>
      <c r="D11" s="112">
        <v>19739</v>
      </c>
      <c r="E11" s="112">
        <v>21613</v>
      </c>
      <c r="F11" s="112">
        <v>274402</v>
      </c>
      <c r="G11" s="112">
        <v>4920</v>
      </c>
      <c r="H11" s="112">
        <v>10079</v>
      </c>
      <c r="I11" s="112">
        <v>541605</v>
      </c>
      <c r="J11" s="112">
        <v>91359</v>
      </c>
      <c r="K11" s="112">
        <v>8078</v>
      </c>
      <c r="L11" s="112">
        <v>39992</v>
      </c>
      <c r="M11" s="112">
        <v>61568</v>
      </c>
      <c r="N11" s="112">
        <v>55622</v>
      </c>
      <c r="O11" s="112">
        <v>270505</v>
      </c>
      <c r="P11" s="112">
        <v>563557</v>
      </c>
      <c r="Q11" s="112">
        <v>5117</v>
      </c>
      <c r="R11" s="112">
        <v>26649</v>
      </c>
      <c r="S11" s="112">
        <v>25503</v>
      </c>
      <c r="T11" s="112">
        <v>374830</v>
      </c>
      <c r="U11" s="112">
        <v>537343</v>
      </c>
      <c r="V11" s="112">
        <v>59471</v>
      </c>
      <c r="W11" s="112">
        <v>7656</v>
      </c>
      <c r="X11" s="112">
        <v>22020</v>
      </c>
      <c r="Y11" s="112">
        <v>124244</v>
      </c>
      <c r="Z11" s="112">
        <v>1302</v>
      </c>
      <c r="AA11" s="112">
        <v>236455</v>
      </c>
      <c r="AB11" s="112">
        <v>11343</v>
      </c>
      <c r="AC11" s="112">
        <v>2758</v>
      </c>
      <c r="AD11" s="112">
        <v>25081</v>
      </c>
      <c r="AE11" s="112">
        <v>122331</v>
      </c>
      <c r="AF11" s="112">
        <v>311020</v>
      </c>
      <c r="AG11" s="112">
        <v>1522288</v>
      </c>
      <c r="AH11" s="112">
        <v>13977</v>
      </c>
      <c r="AI11" s="112">
        <v>494054</v>
      </c>
      <c r="AJ11" s="112">
        <v>912126</v>
      </c>
      <c r="AK11" s="112">
        <v>14609</v>
      </c>
      <c r="AL11" s="126">
        <v>48358</v>
      </c>
      <c r="AM11" s="112">
        <v>48989</v>
      </c>
      <c r="AN11" s="116">
        <v>848008</v>
      </c>
      <c r="AO11" s="116">
        <v>5710</v>
      </c>
      <c r="AP11" s="116">
        <v>0</v>
      </c>
      <c r="AQ11" s="112">
        <v>152362</v>
      </c>
      <c r="AR11" s="112">
        <v>303431</v>
      </c>
      <c r="AS11" s="112">
        <v>864021</v>
      </c>
      <c r="AT11" s="112">
        <v>867</v>
      </c>
      <c r="AU11" s="112">
        <v>162873</v>
      </c>
      <c r="AV11" s="112">
        <v>61506</v>
      </c>
      <c r="AW11" s="112">
        <v>51579</v>
      </c>
      <c r="AX11" s="112">
        <v>257590</v>
      </c>
      <c r="AY11" s="112">
        <v>695151</v>
      </c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</row>
    <row r="12" spans="1:83" x14ac:dyDescent="0.25">
      <c r="A12">
        <v>5</v>
      </c>
      <c r="B12" s="112">
        <v>79044</v>
      </c>
      <c r="C12" s="112">
        <v>110425</v>
      </c>
      <c r="D12" s="112">
        <v>19752</v>
      </c>
      <c r="E12" s="112">
        <v>21621</v>
      </c>
      <c r="F12" s="112">
        <v>274607</v>
      </c>
      <c r="G12" s="112">
        <v>4923</v>
      </c>
      <c r="H12" s="112">
        <v>10104</v>
      </c>
      <c r="I12" s="112">
        <v>541989</v>
      </c>
      <c r="J12" s="112">
        <v>91406</v>
      </c>
      <c r="K12" s="112">
        <v>8079</v>
      </c>
      <c r="L12" s="112">
        <v>40024</v>
      </c>
      <c r="M12" s="112">
        <v>61591</v>
      </c>
      <c r="N12" s="112">
        <v>55652</v>
      </c>
      <c r="O12" s="112">
        <v>270710</v>
      </c>
      <c r="P12" s="112">
        <v>564141</v>
      </c>
      <c r="Q12" s="112">
        <v>5124</v>
      </c>
      <c r="R12" s="112">
        <v>26660</v>
      </c>
      <c r="S12" s="112">
        <v>25503</v>
      </c>
      <c r="T12" s="112">
        <v>374979</v>
      </c>
      <c r="U12" s="112">
        <v>537737</v>
      </c>
      <c r="V12" s="112">
        <v>59513</v>
      </c>
      <c r="W12" s="112">
        <v>7677</v>
      </c>
      <c r="X12" s="112">
        <v>22033</v>
      </c>
      <c r="Y12" s="112">
        <v>124314</v>
      </c>
      <c r="Z12" s="112">
        <v>1302</v>
      </c>
      <c r="AA12" s="112">
        <v>236617</v>
      </c>
      <c r="AB12" s="112">
        <v>11344</v>
      </c>
      <c r="AC12" s="112">
        <v>2761</v>
      </c>
      <c r="AD12" s="112">
        <v>25112</v>
      </c>
      <c r="AE12" s="112">
        <v>122431</v>
      </c>
      <c r="AF12" s="112">
        <v>311284</v>
      </c>
      <c r="AG12" s="112">
        <v>1523102</v>
      </c>
      <c r="AH12" s="112">
        <v>13986</v>
      </c>
      <c r="AI12" s="112">
        <v>494071</v>
      </c>
      <c r="AJ12" s="112">
        <v>912763</v>
      </c>
      <c r="AK12" s="112">
        <v>14619</v>
      </c>
      <c r="AL12" s="112">
        <v>48372</v>
      </c>
      <c r="AM12" s="112">
        <v>49093</v>
      </c>
      <c r="AN12" s="112">
        <v>848822</v>
      </c>
      <c r="AO12" s="112">
        <v>5710</v>
      </c>
      <c r="AP12" s="112">
        <v>0</v>
      </c>
      <c r="AQ12" s="112">
        <v>152490</v>
      </c>
      <c r="AR12" s="112">
        <v>303675</v>
      </c>
      <c r="AS12" s="112">
        <v>864412</v>
      </c>
      <c r="AT12" s="112">
        <v>868</v>
      </c>
      <c r="AU12" s="112">
        <v>163043</v>
      </c>
      <c r="AV12" s="112">
        <v>61544</v>
      </c>
      <c r="AW12" s="112">
        <v>51614</v>
      </c>
      <c r="AX12" s="112">
        <v>257806</v>
      </c>
      <c r="AY12" s="112">
        <v>695719</v>
      </c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</row>
    <row r="13" spans="1:83" x14ac:dyDescent="0.25">
      <c r="A13">
        <v>6</v>
      </c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26"/>
      <c r="AM13" s="112"/>
      <c r="AN13" s="116"/>
      <c r="AO13" s="116"/>
      <c r="AP13" s="116"/>
      <c r="AQ13" s="112"/>
      <c r="AR13" s="112"/>
      <c r="AS13" s="112"/>
      <c r="AT13" s="112"/>
      <c r="AU13" s="112"/>
      <c r="AV13" s="112"/>
      <c r="AW13" s="112"/>
      <c r="AX13" s="112"/>
      <c r="AY13" s="112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</row>
    <row r="14" spans="1:83" x14ac:dyDescent="0.25">
      <c r="A14">
        <v>7</v>
      </c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26"/>
      <c r="AM14" s="112"/>
      <c r="AN14" s="116"/>
      <c r="AO14" s="116"/>
      <c r="AP14" s="116"/>
      <c r="AQ14" s="112"/>
      <c r="AR14" s="112"/>
      <c r="AS14" s="112"/>
      <c r="AT14" s="112"/>
      <c r="AU14" s="112"/>
      <c r="AV14" s="112"/>
      <c r="AW14" s="112"/>
      <c r="AX14" s="112"/>
      <c r="AY14" s="112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</row>
    <row r="15" spans="1:83" x14ac:dyDescent="0.25">
      <c r="A15">
        <v>8</v>
      </c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26"/>
      <c r="AM15" s="112"/>
      <c r="AN15" s="116"/>
      <c r="AO15" s="116"/>
      <c r="AP15" s="116"/>
      <c r="AQ15" s="112"/>
      <c r="AR15" s="112"/>
      <c r="AS15" s="112"/>
      <c r="AT15" s="112"/>
      <c r="AU15" s="112"/>
      <c r="AV15" s="112"/>
      <c r="AW15" s="112"/>
      <c r="AX15" s="112"/>
      <c r="AY15" s="112"/>
      <c r="AZ15" s="125"/>
      <c r="BA15" s="125"/>
      <c r="BB15" s="125"/>
      <c r="BC15" s="125"/>
      <c r="BD15" s="125"/>
      <c r="BE15" s="125"/>
      <c r="BF15" s="125"/>
      <c r="BG15" s="125"/>
      <c r="BH15" s="125"/>
      <c r="BI15" s="125"/>
      <c r="BJ15" s="125"/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</row>
    <row r="16" spans="1:83" x14ac:dyDescent="0.25">
      <c r="A16">
        <v>9</v>
      </c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26"/>
      <c r="AM16" s="112"/>
      <c r="AN16" s="116"/>
      <c r="AO16" s="116"/>
      <c r="AP16" s="116"/>
      <c r="AQ16" s="112"/>
      <c r="AR16" s="112"/>
      <c r="AS16" s="112"/>
      <c r="AT16" s="112"/>
      <c r="AU16" s="112"/>
      <c r="AV16" s="112"/>
      <c r="AW16" s="112"/>
      <c r="AX16" s="112"/>
      <c r="AY16" s="112"/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5"/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</row>
    <row r="17" spans="1:83" x14ac:dyDescent="0.25">
      <c r="A17">
        <v>10</v>
      </c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26"/>
      <c r="AM17" s="112"/>
      <c r="AN17" s="116"/>
      <c r="AO17" s="116"/>
      <c r="AP17" s="116"/>
      <c r="AQ17" s="112"/>
      <c r="AR17" s="112"/>
      <c r="AS17" s="112"/>
      <c r="AT17" s="112"/>
      <c r="AU17" s="112"/>
      <c r="AV17" s="112"/>
      <c r="AW17" s="112"/>
      <c r="AX17" s="112"/>
      <c r="AY17" s="112"/>
      <c r="AZ17" s="125"/>
      <c r="BA17" s="125"/>
      <c r="BB17" s="125"/>
      <c r="BC17" s="125"/>
      <c r="BD17" s="125"/>
      <c r="BE17" s="125"/>
      <c r="BF17" s="125"/>
      <c r="BG17" s="125"/>
      <c r="BH17" s="125"/>
      <c r="BI17" s="125"/>
      <c r="BJ17" s="125"/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</row>
    <row r="18" spans="1:83" x14ac:dyDescent="0.25">
      <c r="A18">
        <v>11</v>
      </c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26"/>
      <c r="AM18" s="112"/>
      <c r="AN18" s="116"/>
      <c r="AO18" s="116"/>
      <c r="AP18" s="116"/>
      <c r="AQ18" s="112"/>
      <c r="AR18" s="112"/>
      <c r="AS18" s="112"/>
      <c r="AT18" s="112"/>
      <c r="AU18" s="112"/>
      <c r="AV18" s="112"/>
      <c r="AW18" s="112"/>
      <c r="AX18" s="112"/>
      <c r="AY18" s="112"/>
      <c r="AZ18" s="125"/>
      <c r="BA18" s="125"/>
      <c r="BB18" s="125"/>
      <c r="BC18" s="125"/>
      <c r="BD18" s="125"/>
      <c r="BE18" s="125"/>
      <c r="BF18" s="125"/>
      <c r="BG18" s="125"/>
      <c r="BH18" s="125"/>
      <c r="BI18" s="125"/>
      <c r="BJ18" s="125"/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</row>
    <row r="19" spans="1:83" x14ac:dyDescent="0.25">
      <c r="A19">
        <v>12</v>
      </c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26"/>
      <c r="AM19" s="112"/>
      <c r="AN19" s="116"/>
      <c r="AO19" s="116"/>
      <c r="AP19" s="116"/>
      <c r="AQ19" s="112"/>
      <c r="AR19" s="112"/>
      <c r="AS19" s="112"/>
      <c r="AT19" s="112"/>
      <c r="AU19" s="112"/>
      <c r="AV19" s="112"/>
      <c r="AW19" s="112"/>
      <c r="AX19" s="112"/>
      <c r="AY19" s="112"/>
      <c r="AZ19" s="125"/>
      <c r="BA19" s="125"/>
      <c r="BB19" s="125"/>
      <c r="BC19" s="125"/>
      <c r="BD19" s="125"/>
      <c r="BE19" s="125"/>
      <c r="BF19" s="125"/>
      <c r="BG19" s="125"/>
      <c r="BH19" s="125"/>
      <c r="BI19" s="125"/>
      <c r="BJ19" s="125"/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</row>
    <row r="20" spans="1:83" x14ac:dyDescent="0.25">
      <c r="A20">
        <v>13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6"/>
      <c r="AK20" s="116"/>
      <c r="AL20" s="12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25"/>
      <c r="BA20" s="125"/>
      <c r="BB20" s="125"/>
      <c r="BC20" s="125"/>
      <c r="BD20" s="125"/>
      <c r="BE20" s="125"/>
      <c r="BF20" s="125"/>
      <c r="BG20" s="125"/>
      <c r="BH20" s="125"/>
      <c r="BI20" s="125"/>
      <c r="BJ20" s="125"/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</row>
    <row r="21" spans="1:83" x14ac:dyDescent="0.25">
      <c r="A21">
        <v>14</v>
      </c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6"/>
      <c r="AK21" s="116"/>
      <c r="AL21" s="12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25"/>
      <c r="BA21" s="125"/>
      <c r="BB21" s="125"/>
      <c r="BC21" s="125"/>
      <c r="BD21" s="125"/>
      <c r="BE21" s="125"/>
      <c r="BF21" s="125"/>
      <c r="BG21" s="125"/>
      <c r="BH21" s="125"/>
      <c r="BI21" s="125"/>
      <c r="BJ21" s="125"/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</row>
    <row r="22" spans="1:83" x14ac:dyDescent="0.25">
      <c r="A22">
        <v>15</v>
      </c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6"/>
      <c r="AK22" s="116"/>
      <c r="AL22" s="12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25"/>
      <c r="BA22" s="125"/>
      <c r="BB22" s="125"/>
      <c r="BC22" s="125"/>
      <c r="BD22" s="125"/>
      <c r="BE22" s="125"/>
      <c r="BF22" s="125"/>
      <c r="BG22" s="125"/>
      <c r="BH22" s="125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</row>
    <row r="23" spans="1:83" x14ac:dyDescent="0.25">
      <c r="A23">
        <v>16</v>
      </c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26"/>
      <c r="AM23" s="112"/>
      <c r="AN23" s="116"/>
      <c r="AO23" s="116"/>
      <c r="AP23" s="116"/>
      <c r="AQ23" s="112"/>
      <c r="AR23" s="112"/>
      <c r="AS23" s="112"/>
      <c r="AT23" s="112"/>
      <c r="AU23" s="112"/>
      <c r="AV23" s="112"/>
      <c r="AW23" s="112"/>
      <c r="AX23" s="112"/>
      <c r="AY23" s="112"/>
      <c r="AZ23" s="125"/>
      <c r="BA23" s="125"/>
      <c r="BB23" s="125"/>
      <c r="BC23" s="125"/>
      <c r="BD23" s="125"/>
      <c r="BE23" s="125"/>
      <c r="BF23" s="125"/>
      <c r="BG23" s="125"/>
      <c r="BH23" s="125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</row>
    <row r="24" spans="1:83" x14ac:dyDescent="0.25">
      <c r="A24">
        <v>17</v>
      </c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26"/>
      <c r="AM24" s="112"/>
      <c r="AN24" s="116"/>
      <c r="AO24" s="116"/>
      <c r="AP24" s="116"/>
      <c r="AQ24" s="112"/>
      <c r="AR24" s="112"/>
      <c r="AS24" s="112"/>
      <c r="AT24" s="112"/>
      <c r="AU24" s="112"/>
      <c r="AV24" s="112"/>
      <c r="AW24" s="112"/>
      <c r="AX24" s="112"/>
      <c r="AY24" s="112"/>
      <c r="AZ24" s="125"/>
      <c r="BA24" s="125"/>
      <c r="BB24" s="125"/>
      <c r="BC24" s="125"/>
      <c r="BD24" s="125"/>
      <c r="BE24" s="125"/>
      <c r="BF24" s="125"/>
      <c r="BG24" s="125"/>
      <c r="BH24" s="125"/>
      <c r="BI24" s="125"/>
      <c r="BJ24" s="125"/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</row>
    <row r="25" spans="1:83" x14ac:dyDescent="0.25">
      <c r="A25">
        <v>18</v>
      </c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26"/>
      <c r="AM25" s="112"/>
      <c r="AN25" s="116"/>
      <c r="AO25" s="116"/>
      <c r="AP25" s="116"/>
      <c r="AQ25" s="112"/>
      <c r="AR25" s="112"/>
      <c r="AS25" s="112"/>
      <c r="AT25" s="112"/>
      <c r="AU25" s="112"/>
      <c r="AV25" s="112"/>
      <c r="AW25" s="112"/>
      <c r="AX25" s="112"/>
      <c r="AY25" s="112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</row>
    <row r="26" spans="1:83" x14ac:dyDescent="0.25">
      <c r="A26">
        <v>19</v>
      </c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26"/>
      <c r="AM26" s="112"/>
      <c r="AN26" s="116"/>
      <c r="AO26" s="116"/>
      <c r="AP26" s="116"/>
      <c r="AQ26" s="112"/>
      <c r="AR26" s="112"/>
      <c r="AS26" s="112"/>
      <c r="AT26" s="112"/>
      <c r="AU26" s="112"/>
      <c r="AV26" s="112"/>
      <c r="AW26" s="112"/>
      <c r="AX26" s="112"/>
      <c r="AY26" s="112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</row>
    <row r="27" spans="1:83" x14ac:dyDescent="0.25">
      <c r="A27">
        <v>20</v>
      </c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26"/>
      <c r="AM27" s="112"/>
      <c r="AN27" s="116"/>
      <c r="AO27" s="116"/>
      <c r="AP27" s="116"/>
      <c r="AQ27" s="112"/>
      <c r="AR27" s="112"/>
      <c r="AS27" s="112"/>
      <c r="AT27" s="112"/>
      <c r="AU27" s="112"/>
      <c r="AV27" s="112"/>
      <c r="AW27" s="112"/>
      <c r="AX27" s="112"/>
      <c r="AY27" s="112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</row>
    <row r="28" spans="1:83" x14ac:dyDescent="0.25">
      <c r="A28">
        <v>21</v>
      </c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26"/>
      <c r="AM28" s="112"/>
      <c r="AN28" s="116"/>
      <c r="AO28" s="116"/>
      <c r="AP28" s="116"/>
      <c r="AQ28" s="112"/>
      <c r="AR28" s="112"/>
      <c r="AS28" s="112"/>
      <c r="AT28" s="112"/>
      <c r="AU28" s="112"/>
      <c r="AV28" s="112"/>
      <c r="AW28" s="112"/>
      <c r="AX28" s="112"/>
      <c r="AY28" s="112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</row>
    <row r="29" spans="1:83" x14ac:dyDescent="0.25">
      <c r="A29">
        <v>22</v>
      </c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26"/>
      <c r="AM29" s="112"/>
      <c r="AN29" s="116"/>
      <c r="AO29" s="116"/>
      <c r="AP29" s="116"/>
      <c r="AQ29" s="112"/>
      <c r="AR29" s="112"/>
      <c r="AS29" s="112"/>
      <c r="AT29" s="112"/>
      <c r="AU29" s="112"/>
      <c r="AV29" s="112"/>
      <c r="AW29" s="112"/>
      <c r="AX29" s="112"/>
      <c r="AY29" s="112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</row>
    <row r="30" spans="1:83" x14ac:dyDescent="0.25">
      <c r="A30">
        <v>23</v>
      </c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26"/>
      <c r="AM30" s="112"/>
      <c r="AN30" s="116"/>
      <c r="AO30" s="116"/>
      <c r="AP30" s="116"/>
      <c r="AQ30" s="112"/>
      <c r="AR30" s="116"/>
      <c r="AS30" s="112"/>
      <c r="AT30" s="112"/>
      <c r="AU30" s="112"/>
      <c r="AV30" s="112"/>
      <c r="AW30" s="112"/>
      <c r="AX30" s="112"/>
      <c r="AY30" s="112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</row>
    <row r="31" spans="1:83" x14ac:dyDescent="0.25">
      <c r="A31">
        <v>24</v>
      </c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26"/>
      <c r="AM31" s="112"/>
      <c r="AN31" s="116"/>
      <c r="AO31" s="116"/>
      <c r="AP31" s="116"/>
      <c r="AQ31" s="112"/>
      <c r="AR31" s="112"/>
      <c r="AS31" s="112"/>
      <c r="AT31" s="112"/>
      <c r="AU31" s="112"/>
      <c r="AV31" s="112"/>
      <c r="AW31" s="112"/>
      <c r="AX31" s="112"/>
      <c r="AY31" s="112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</row>
    <row r="32" spans="1:83" x14ac:dyDescent="0.25">
      <c r="A32">
        <v>25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26"/>
      <c r="AM32" s="112"/>
      <c r="AN32" s="116"/>
      <c r="AO32" s="116"/>
      <c r="AP32" s="116"/>
      <c r="AQ32" s="112"/>
      <c r="AR32" s="112"/>
      <c r="AS32" s="112"/>
      <c r="AT32" s="112"/>
      <c r="AU32" s="112"/>
      <c r="AV32" s="112"/>
      <c r="AW32" s="112"/>
      <c r="AX32" s="112"/>
      <c r="AY32" s="112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</row>
    <row r="33" spans="1:83" x14ac:dyDescent="0.25">
      <c r="A33">
        <v>26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26"/>
      <c r="AM33" s="112"/>
      <c r="AN33" s="116"/>
      <c r="AO33" s="116"/>
      <c r="AP33" s="116"/>
      <c r="AQ33" s="112"/>
      <c r="AR33" s="112"/>
      <c r="AS33" s="112"/>
      <c r="AT33" s="112"/>
      <c r="AU33" s="112"/>
      <c r="AV33" s="112"/>
      <c r="AW33" s="112"/>
      <c r="AX33" s="112"/>
      <c r="AY33" s="112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</row>
    <row r="34" spans="1:83" x14ac:dyDescent="0.25">
      <c r="A34">
        <v>27</v>
      </c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26"/>
      <c r="AM34" s="112"/>
      <c r="AN34" s="116"/>
      <c r="AO34" s="116"/>
      <c r="AP34" s="116"/>
      <c r="AQ34" s="112"/>
      <c r="AR34" s="112"/>
      <c r="AS34" s="112"/>
      <c r="AT34" s="112"/>
      <c r="AU34" s="112"/>
      <c r="AV34" s="112"/>
      <c r="AW34" s="112"/>
      <c r="AX34" s="112"/>
      <c r="AY34" s="112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</row>
    <row r="35" spans="1:83" x14ac:dyDescent="0.25">
      <c r="A35">
        <v>28</v>
      </c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26"/>
      <c r="AM35" s="112"/>
      <c r="AN35" s="116"/>
      <c r="AO35" s="116"/>
      <c r="AP35" s="116"/>
      <c r="AQ35" s="112"/>
      <c r="AR35" s="112"/>
      <c r="AS35" s="112"/>
      <c r="AT35" s="112"/>
      <c r="AU35" s="112"/>
      <c r="AV35" s="112"/>
      <c r="AW35" s="112"/>
      <c r="AX35" s="112"/>
      <c r="AY35" s="112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</row>
    <row r="36" spans="1:83" x14ac:dyDescent="0.25">
      <c r="A36">
        <v>29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26"/>
      <c r="AM36" s="112"/>
      <c r="AN36" s="116"/>
      <c r="AO36" s="116"/>
      <c r="AP36" s="116"/>
      <c r="AQ36" s="112"/>
      <c r="AR36" s="112"/>
      <c r="AS36" s="112"/>
      <c r="AT36" s="112"/>
      <c r="AU36" s="112"/>
      <c r="AV36" s="112"/>
      <c r="AW36" s="112"/>
      <c r="AX36" s="112"/>
      <c r="AY36" s="112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</row>
    <row r="37" spans="1:83" ht="15.75" thickBot="1" x14ac:dyDescent="0.3">
      <c r="A37">
        <v>30</v>
      </c>
      <c r="B37" s="127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26"/>
      <c r="AM37" s="112"/>
      <c r="AN37" s="116"/>
      <c r="AO37" s="116"/>
      <c r="AP37" s="116"/>
      <c r="AQ37" s="112"/>
      <c r="AR37" s="112"/>
      <c r="AS37" s="112"/>
      <c r="AT37" s="112"/>
      <c r="AU37" s="112"/>
      <c r="AV37" s="112"/>
      <c r="AW37" s="112"/>
      <c r="AX37" s="112"/>
      <c r="AY37" s="128"/>
      <c r="AZ37" s="129"/>
      <c r="BA37" s="129"/>
      <c r="BB37" s="129"/>
      <c r="BC37" s="129"/>
      <c r="BD37" s="129"/>
      <c r="BE37" s="129"/>
      <c r="BF37" s="129"/>
      <c r="BG37" s="129"/>
      <c r="BH37" s="129"/>
      <c r="BI37" s="129"/>
      <c r="BJ37" s="129"/>
      <c r="BK37" s="129"/>
      <c r="BL37" s="129"/>
      <c r="BM37" s="129"/>
      <c r="BN37" s="129"/>
      <c r="BO37" s="129"/>
      <c r="BP37" s="129"/>
      <c r="BQ37" s="129"/>
      <c r="BR37" s="129"/>
      <c r="BS37" s="129"/>
      <c r="BT37" s="129"/>
      <c r="BU37" s="129"/>
      <c r="BV37" s="129"/>
      <c r="BW37" s="129"/>
      <c r="BX37" s="129"/>
      <c r="BY37" s="129"/>
      <c r="BZ37" s="129"/>
      <c r="CA37" s="129"/>
      <c r="CB37" s="129"/>
      <c r="CC37" s="129"/>
      <c r="CD37" s="129"/>
      <c r="CE37" s="129"/>
    </row>
    <row r="38" spans="1:83" ht="15.75" thickBot="1" x14ac:dyDescent="0.3">
      <c r="A38">
        <v>31</v>
      </c>
      <c r="B38" s="111"/>
      <c r="C38" s="112"/>
      <c r="D38" s="113"/>
      <c r="E38" s="113"/>
      <c r="F38" s="113"/>
      <c r="G38" s="113"/>
      <c r="H38" s="112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2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4"/>
      <c r="AM38" s="113"/>
      <c r="AN38" s="115"/>
      <c r="AO38" s="115"/>
      <c r="AP38" s="116"/>
      <c r="AQ38" s="113"/>
      <c r="AR38" s="113"/>
      <c r="AS38" s="113"/>
      <c r="AT38" s="113"/>
      <c r="AU38" s="113"/>
      <c r="AV38" s="113"/>
      <c r="AW38" s="113"/>
      <c r="AX38" s="113"/>
      <c r="AY38" s="117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</row>
    <row r="39" spans="1:83" x14ac:dyDescent="0.25">
      <c r="D39" s="130"/>
      <c r="E39" s="23"/>
    </row>
    <row r="40" spans="1:83" x14ac:dyDescent="0.25">
      <c r="D40" s="130"/>
      <c r="E40" s="23"/>
    </row>
    <row r="41" spans="1:83" x14ac:dyDescent="0.25">
      <c r="D41" s="130"/>
      <c r="E41" s="23"/>
    </row>
    <row r="42" spans="1:83" x14ac:dyDescent="0.25">
      <c r="D42" s="130"/>
      <c r="E42" s="23"/>
    </row>
    <row r="43" spans="1:83" x14ac:dyDescent="0.25">
      <c r="D43" s="130"/>
      <c r="E43" s="23"/>
    </row>
    <row r="44" spans="1:83" x14ac:dyDescent="0.25">
      <c r="D44" s="130"/>
      <c r="E44" s="23"/>
    </row>
    <row r="45" spans="1:83" x14ac:dyDescent="0.25">
      <c r="D45" s="130"/>
      <c r="E45" s="23"/>
    </row>
    <row r="46" spans="1:83" x14ac:dyDescent="0.25">
      <c r="D46" s="130"/>
      <c r="E46" s="23"/>
    </row>
    <row r="47" spans="1:83" x14ac:dyDescent="0.25">
      <c r="D47" s="130"/>
      <c r="E47" s="23"/>
    </row>
    <row r="48" spans="1:83" x14ac:dyDescent="0.25">
      <c r="D48" s="130"/>
      <c r="E48" s="23"/>
    </row>
    <row r="49" spans="4:5" x14ac:dyDescent="0.25">
      <c r="D49" s="130"/>
      <c r="E49" s="23"/>
    </row>
    <row r="50" spans="4:5" x14ac:dyDescent="0.25">
      <c r="D50" s="130"/>
      <c r="E50" s="1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2021-08-06T18:09:34Z</dcterms:modified>
</cp:coreProperties>
</file>