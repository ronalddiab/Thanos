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Downloads\"/>
    </mc:Choice>
  </mc:AlternateContent>
  <bookViews>
    <workbookView xWindow="0" yWindow="0" windowWidth="19200" windowHeight="7305" tabRatio="762" activeTab="1"/>
  </bookViews>
  <sheets>
    <sheet name="TOTAL" sheetId="11" r:id="rId1"/>
    <sheet name="FS Jimbaran August 2021" sheetId="14" r:id="rId2"/>
    <sheet name="RNs &amp; Covers August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9" i="14" l="1"/>
  <c r="AH49" i="14"/>
  <c r="AA49" i="14"/>
  <c r="P49" i="14"/>
  <c r="R47" i="14" l="1"/>
  <c r="Q47" i="14"/>
  <c r="AL42" i="14"/>
  <c r="AI42" i="14"/>
  <c r="AG42" i="14"/>
  <c r="G32" i="11" s="1"/>
  <c r="AA42" i="14"/>
  <c r="V42" i="14"/>
  <c r="K32" i="11" s="1"/>
  <c r="N42" i="14"/>
  <c r="P42" i="14"/>
  <c r="E32" i="11" s="1"/>
  <c r="I42" i="14"/>
  <c r="B32" i="11"/>
  <c r="I32" i="11"/>
  <c r="J32" i="11"/>
  <c r="M32" i="11"/>
  <c r="N32" i="11"/>
  <c r="AA12" i="14"/>
  <c r="AA13" i="14"/>
  <c r="AA14" i="14"/>
  <c r="AA15" i="14"/>
  <c r="AB15" i="14" s="1"/>
  <c r="AA16" i="14"/>
  <c r="AA17" i="14"/>
  <c r="AA18" i="14"/>
  <c r="AA19" i="14"/>
  <c r="AA20" i="14"/>
  <c r="AB20" i="14" s="1"/>
  <c r="AA21" i="14"/>
  <c r="AA22" i="14"/>
  <c r="AA23" i="14"/>
  <c r="AA24" i="14"/>
  <c r="AA25" i="14"/>
  <c r="AA26" i="14"/>
  <c r="AB26" i="14" s="1"/>
  <c r="AA27" i="14"/>
  <c r="AA28" i="14"/>
  <c r="AA29" i="14"/>
  <c r="AB29" i="14" s="1"/>
  <c r="AA30" i="14"/>
  <c r="AA31" i="14"/>
  <c r="AB31" i="14" s="1"/>
  <c r="AG12" i="14"/>
  <c r="AG13" i="14"/>
  <c r="AG14" i="14"/>
  <c r="AG15" i="14"/>
  <c r="AG16" i="14"/>
  <c r="AG17" i="14"/>
  <c r="AG18" i="14"/>
  <c r="AG19" i="14"/>
  <c r="AG20" i="14"/>
  <c r="AG21" i="14"/>
  <c r="AG22" i="14"/>
  <c r="H12" i="11" s="1"/>
  <c r="AG23" i="14"/>
  <c r="AG24" i="14"/>
  <c r="AG25" i="14"/>
  <c r="AG26" i="14"/>
  <c r="AG27" i="14"/>
  <c r="AG28" i="14"/>
  <c r="AG29" i="14"/>
  <c r="AG30" i="14"/>
  <c r="H20" i="11" s="1"/>
  <c r="AG31" i="14"/>
  <c r="H21" i="11" s="1"/>
  <c r="B38" i="10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/>
  <c r="G31" i="11" s="1"/>
  <c r="AG32" i="14"/>
  <c r="H22" i="11" s="1"/>
  <c r="AG33" i="14"/>
  <c r="G23" i="11" s="1"/>
  <c r="AG34" i="14"/>
  <c r="G24" i="11" s="1"/>
  <c r="AG35" i="14"/>
  <c r="AG36" i="14"/>
  <c r="AG37" i="14"/>
  <c r="AG38" i="14"/>
  <c r="H28" i="11" s="1"/>
  <c r="AG39" i="14"/>
  <c r="H29" i="11" s="1"/>
  <c r="AG40" i="14"/>
  <c r="G30" i="11" s="1"/>
  <c r="N32" i="14"/>
  <c r="N33" i="14"/>
  <c r="N34" i="14"/>
  <c r="N35" i="14"/>
  <c r="N36" i="14"/>
  <c r="N37" i="14"/>
  <c r="N38" i="14"/>
  <c r="N39" i="14"/>
  <c r="O39" i="14" s="1"/>
  <c r="N40" i="14"/>
  <c r="N41" i="14"/>
  <c r="N13" i="14"/>
  <c r="N14" i="14"/>
  <c r="N15" i="14"/>
  <c r="N16" i="14"/>
  <c r="N17" i="14"/>
  <c r="N18" i="14"/>
  <c r="O18" i="14" s="1"/>
  <c r="N19" i="14"/>
  <c r="N20" i="14"/>
  <c r="N21" i="14"/>
  <c r="N22" i="14"/>
  <c r="N23" i="14"/>
  <c r="N24" i="14"/>
  <c r="N25" i="14"/>
  <c r="N26" i="14"/>
  <c r="N27" i="14"/>
  <c r="O27" i="14" s="1"/>
  <c r="N28" i="14"/>
  <c r="N29" i="14"/>
  <c r="N30" i="14"/>
  <c r="N31" i="14"/>
  <c r="N12" i="14"/>
  <c r="C38" i="10"/>
  <c r="AI40" i="14"/>
  <c r="AL40" i="14"/>
  <c r="AL41" i="14"/>
  <c r="AI41" i="14"/>
  <c r="AA40" i="14"/>
  <c r="AB40" i="14" s="1"/>
  <c r="AA41" i="14"/>
  <c r="AB41" i="14" s="1"/>
  <c r="V40" i="14"/>
  <c r="K30" i="11" s="1"/>
  <c r="V41" i="14"/>
  <c r="K31" i="11" s="1"/>
  <c r="P40" i="14"/>
  <c r="E30" i="11" s="1"/>
  <c r="P41" i="14"/>
  <c r="E31" i="11" s="1"/>
  <c r="I40" i="14"/>
  <c r="I41" i="14"/>
  <c r="I30" i="11"/>
  <c r="J30" i="11"/>
  <c r="I31" i="11"/>
  <c r="J31" i="11"/>
  <c r="V33" i="14"/>
  <c r="K23" i="11" s="1"/>
  <c r="V34" i="14"/>
  <c r="K24" i="11" s="1"/>
  <c r="V35" i="14"/>
  <c r="V36" i="14"/>
  <c r="K26" i="11" s="1"/>
  <c r="V37" i="14"/>
  <c r="K27" i="11" s="1"/>
  <c r="V38" i="14"/>
  <c r="V39" i="14"/>
  <c r="V24" i="14"/>
  <c r="K14" i="11" s="1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7" i="11"/>
  <c r="G27" i="11"/>
  <c r="H25" i="11"/>
  <c r="G25" i="11"/>
  <c r="H23" i="11"/>
  <c r="G28" i="11"/>
  <c r="H26" i="11"/>
  <c r="G26" i="11"/>
  <c r="H24" i="11"/>
  <c r="AA32" i="14"/>
  <c r="AA33" i="14"/>
  <c r="L23" i="11" s="1"/>
  <c r="AA34" i="14"/>
  <c r="AB34" i="14" s="1"/>
  <c r="AA35" i="14"/>
  <c r="AA36" i="14"/>
  <c r="AA37" i="14"/>
  <c r="AA38" i="14"/>
  <c r="L28" i="11" s="1"/>
  <c r="AA39" i="14"/>
  <c r="AB39" i="14" s="1"/>
  <c r="V31" i="14"/>
  <c r="K21" i="11" s="1"/>
  <c r="V32" i="14"/>
  <c r="L22" i="11" s="1"/>
  <c r="K22" i="11"/>
  <c r="K25" i="11"/>
  <c r="K28" i="11"/>
  <c r="K29" i="11"/>
  <c r="I39" i="14"/>
  <c r="I38" i="14"/>
  <c r="I37" i="14"/>
  <c r="O37" i="14" s="1"/>
  <c r="I36" i="14"/>
  <c r="I35" i="14"/>
  <c r="I34" i="14"/>
  <c r="I33" i="14"/>
  <c r="I32" i="14"/>
  <c r="I31" i="14"/>
  <c r="O31" i="14" s="1"/>
  <c r="L29" i="11"/>
  <c r="P31" i="14"/>
  <c r="E21" i="11" s="1"/>
  <c r="P32" i="14"/>
  <c r="E22" i="11" s="1"/>
  <c r="P33" i="14"/>
  <c r="E23" i="11" s="1"/>
  <c r="P34" i="14"/>
  <c r="E24" i="11"/>
  <c r="P35" i="14"/>
  <c r="E25" i="11" s="1"/>
  <c r="P36" i="14"/>
  <c r="E26" i="11" s="1"/>
  <c r="P37" i="14"/>
  <c r="E27" i="11" s="1"/>
  <c r="P38" i="14"/>
  <c r="E28" i="11" s="1"/>
  <c r="P39" i="14"/>
  <c r="E29" i="11" s="1"/>
  <c r="AB38" i="14"/>
  <c r="AB36" i="14"/>
  <c r="AB32" i="14"/>
  <c r="V30" i="14"/>
  <c r="V29" i="14"/>
  <c r="V28" i="14"/>
  <c r="K18" i="11" s="1"/>
  <c r="V27" i="14"/>
  <c r="L17" i="11" s="1"/>
  <c r="V26" i="14"/>
  <c r="K16" i="11" s="1"/>
  <c r="V25" i="14"/>
  <c r="K15" i="11" s="1"/>
  <c r="V23" i="14"/>
  <c r="V22" i="14"/>
  <c r="K12" i="11" s="1"/>
  <c r="V21" i="14"/>
  <c r="V20" i="14"/>
  <c r="K10" i="11" s="1"/>
  <c r="V19" i="14"/>
  <c r="L9" i="11" s="1"/>
  <c r="V18" i="14"/>
  <c r="V17" i="14"/>
  <c r="V16" i="14"/>
  <c r="K6" i="11" s="1"/>
  <c r="V15" i="14"/>
  <c r="K5" i="11" s="1"/>
  <c r="V14" i="14"/>
  <c r="V13" i="14"/>
  <c r="V12" i="14"/>
  <c r="K2" i="11" s="1"/>
  <c r="AJ47" i="14"/>
  <c r="K11" i="11"/>
  <c r="K17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E15" i="11" s="1"/>
  <c r="AL24" i="14"/>
  <c r="I24" i="14"/>
  <c r="O24" i="14" s="1"/>
  <c r="AL23" i="14"/>
  <c r="P23" i="14"/>
  <c r="E13" i="11" s="1"/>
  <c r="I22" i="14"/>
  <c r="P21" i="14"/>
  <c r="E11" i="11" s="1"/>
  <c r="AL20" i="14"/>
  <c r="I20" i="14"/>
  <c r="I9" i="11"/>
  <c r="AB19" i="14"/>
  <c r="AL18" i="14"/>
  <c r="P18" i="14"/>
  <c r="E8" i="11" s="1"/>
  <c r="I18" i="14"/>
  <c r="AL17" i="14"/>
  <c r="I7" i="11"/>
  <c r="P17" i="14"/>
  <c r="AL16" i="14"/>
  <c r="I16" i="14"/>
  <c r="O16" i="14" s="1"/>
  <c r="AL15" i="14"/>
  <c r="P15" i="14"/>
  <c r="E5" i="11" s="1"/>
  <c r="AL13" i="14"/>
  <c r="I12" i="14"/>
  <c r="H11" i="11"/>
  <c r="H5" i="11"/>
  <c r="G2" i="11"/>
  <c r="H7" i="11"/>
  <c r="H13" i="11"/>
  <c r="H3" i="11"/>
  <c r="G8" i="11"/>
  <c r="H8" i="11"/>
  <c r="G9" i="11"/>
  <c r="H9" i="11"/>
  <c r="AI22" i="14"/>
  <c r="AI24" i="14"/>
  <c r="H14" i="11"/>
  <c r="AI25" i="14"/>
  <c r="H15" i="11"/>
  <c r="G16" i="11"/>
  <c r="H16" i="11"/>
  <c r="AI28" i="14"/>
  <c r="H18" i="11"/>
  <c r="AI29" i="14"/>
  <c r="H19" i="11"/>
  <c r="AI30" i="14"/>
  <c r="AI14" i="14"/>
  <c r="AI16" i="14"/>
  <c r="H6" i="11"/>
  <c r="AI20" i="14"/>
  <c r="H10" i="11"/>
  <c r="AI27" i="14"/>
  <c r="H17" i="11"/>
  <c r="O29" i="14"/>
  <c r="G15" i="11"/>
  <c r="G14" i="1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P27" i="14"/>
  <c r="E17" i="11" s="1"/>
  <c r="P29" i="14"/>
  <c r="E19" i="11" s="1"/>
  <c r="P30" i="14"/>
  <c r="J16" i="11"/>
  <c r="J8" i="11"/>
  <c r="K3" i="11"/>
  <c r="G6" i="11"/>
  <c r="I12" i="11"/>
  <c r="I4" i="11"/>
  <c r="J15" i="11"/>
  <c r="I19" i="14"/>
  <c r="G4" i="11"/>
  <c r="I18" i="11"/>
  <c r="K8" i="11"/>
  <c r="L47" i="14"/>
  <c r="P14" i="14"/>
  <c r="E4" i="11" s="1"/>
  <c r="P20" i="14"/>
  <c r="E10" i="11" s="1"/>
  <c r="P22" i="14"/>
  <c r="G19" i="11"/>
  <c r="I17" i="11"/>
  <c r="L10" i="11"/>
  <c r="P13" i="14"/>
  <c r="E3" i="11" s="1"/>
  <c r="AF47" i="14"/>
  <c r="I10" i="11"/>
  <c r="M47" i="14"/>
  <c r="P16" i="14"/>
  <c r="E6" i="11" s="1"/>
  <c r="I17" i="14"/>
  <c r="I21" i="14"/>
  <c r="O21" i="14"/>
  <c r="F11" i="11" s="1"/>
  <c r="G18" i="11"/>
  <c r="G10" i="11"/>
  <c r="I16" i="11"/>
  <c r="I8" i="11"/>
  <c r="J19" i="11"/>
  <c r="J3" i="11"/>
  <c r="K47" i="14"/>
  <c r="P26" i="14"/>
  <c r="E16" i="11" s="1"/>
  <c r="E47" i="14"/>
  <c r="I13" i="14"/>
  <c r="O13" i="14" s="1"/>
  <c r="I15" i="14"/>
  <c r="P19" i="14"/>
  <c r="E9" i="11" s="1"/>
  <c r="I23" i="14"/>
  <c r="P28" i="14"/>
  <c r="E18" i="11" s="1"/>
  <c r="G17" i="11"/>
  <c r="J18" i="11"/>
  <c r="J10" i="11"/>
  <c r="K13" i="11"/>
  <c r="F47" i="14"/>
  <c r="I14" i="14"/>
  <c r="O14" i="14" s="1"/>
  <c r="P24" i="14"/>
  <c r="E14" i="11" s="1"/>
  <c r="I25" i="14"/>
  <c r="O25" i="14"/>
  <c r="I14" i="11"/>
  <c r="I6" i="11"/>
  <c r="K4" i="11"/>
  <c r="L2" i="11"/>
  <c r="H2" i="11"/>
  <c r="H47" i="14"/>
  <c r="P12" i="14"/>
  <c r="E2" i="11" s="1"/>
  <c r="J2" i="11"/>
  <c r="AC47" i="14"/>
  <c r="E12" i="11"/>
  <c r="AI18" i="14"/>
  <c r="AI19" i="14"/>
  <c r="AB24" i="14"/>
  <c r="L14" i="11"/>
  <c r="AB22" i="14"/>
  <c r="L12" i="11"/>
  <c r="AI13" i="14"/>
  <c r="AI15" i="14"/>
  <c r="O17" i="14"/>
  <c r="AB28" i="14"/>
  <c r="AB14" i="14"/>
  <c r="L4" i="11"/>
  <c r="AB30" i="14"/>
  <c r="L20" i="11"/>
  <c r="X47" i="14"/>
  <c r="AB25" i="14"/>
  <c r="AB23" i="14"/>
  <c r="AI21" i="14"/>
  <c r="AB17" i="14"/>
  <c r="Y47" i="14"/>
  <c r="AB27" i="14"/>
  <c r="L5" i="11"/>
  <c r="AI23" i="14"/>
  <c r="AI17" i="14"/>
  <c r="AB21" i="14"/>
  <c r="AL19" i="14"/>
  <c r="J9" i="11"/>
  <c r="AB13" i="14"/>
  <c r="AK47" i="14"/>
  <c r="AL47" i="14" s="1"/>
  <c r="AL12" i="14"/>
  <c r="AH47" i="14"/>
  <c r="AI47" i="14" s="1"/>
  <c r="AI12" i="14"/>
  <c r="Z47" i="14"/>
  <c r="AB12" i="14"/>
  <c r="AB16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L6" i="11" l="1"/>
  <c r="L25" i="11"/>
  <c r="O32" i="14"/>
  <c r="F22" i="11" s="1"/>
  <c r="AA47" i="14"/>
  <c r="AB47" i="14" s="1"/>
  <c r="L15" i="11"/>
  <c r="AB33" i="14"/>
  <c r="L27" i="11"/>
  <c r="O22" i="14"/>
  <c r="F12" i="11" s="1"/>
  <c r="N47" i="14"/>
  <c r="O35" i="14"/>
  <c r="O42" i="14"/>
  <c r="F32" i="11" s="1"/>
  <c r="O34" i="14"/>
  <c r="F24" i="11" s="1"/>
  <c r="AG47" i="14"/>
  <c r="H32" i="11"/>
  <c r="G21" i="11"/>
  <c r="H30" i="11"/>
  <c r="G12" i="11"/>
  <c r="G20" i="11"/>
  <c r="H4" i="11"/>
  <c r="G22" i="11"/>
  <c r="G29" i="11"/>
  <c r="H31" i="11"/>
  <c r="L8" i="11"/>
  <c r="L32" i="11"/>
  <c r="AB18" i="14"/>
  <c r="L13" i="11"/>
  <c r="L21" i="11"/>
  <c r="L11" i="11"/>
  <c r="L3" i="11"/>
  <c r="V47" i="14"/>
  <c r="L24" i="11"/>
  <c r="L30" i="11"/>
  <c r="K9" i="11"/>
  <c r="AB42" i="14"/>
  <c r="L26" i="11"/>
  <c r="AB35" i="14"/>
  <c r="L16" i="11"/>
  <c r="L18" i="11"/>
  <c r="L31" i="11"/>
  <c r="AB37" i="14"/>
  <c r="L7" i="11"/>
  <c r="L19" i="11"/>
  <c r="K7" i="11"/>
  <c r="O23" i="14"/>
  <c r="F13" i="11" s="1"/>
  <c r="O15" i="14"/>
  <c r="F5" i="11" s="1"/>
  <c r="O30" i="14"/>
  <c r="F20" i="11" s="1"/>
  <c r="F8" i="11"/>
  <c r="F29" i="11"/>
  <c r="F15" i="11"/>
  <c r="O19" i="14"/>
  <c r="F9" i="11" s="1"/>
  <c r="O36" i="14"/>
  <c r="F26" i="11" s="1"/>
  <c r="O28" i="14"/>
  <c r="F18" i="11" s="1"/>
  <c r="O20" i="14"/>
  <c r="F10" i="11" s="1"/>
  <c r="F14" i="11"/>
  <c r="O41" i="14"/>
  <c r="F31" i="11" s="1"/>
  <c r="F6" i="11"/>
  <c r="O26" i="14"/>
  <c r="F16" i="11" s="1"/>
  <c r="O38" i="14"/>
  <c r="F28" i="11" s="1"/>
  <c r="O40" i="14"/>
  <c r="F30" i="11" s="1"/>
  <c r="O33" i="14"/>
  <c r="F23" i="11" s="1"/>
  <c r="F4" i="11"/>
  <c r="F27" i="11"/>
  <c r="F21" i="11"/>
  <c r="I47" i="14"/>
  <c r="F7" i="11"/>
  <c r="F19" i="11"/>
  <c r="F3" i="11"/>
  <c r="F17" i="11"/>
  <c r="F25" i="11"/>
  <c r="E7" i="11"/>
  <c r="O12" i="14"/>
  <c r="P47" i="14"/>
  <c r="S47" i="14" s="1"/>
  <c r="E20" i="11"/>
  <c r="F2" i="11" l="1"/>
  <c r="O47" i="14"/>
  <c r="T47" i="14" s="1"/>
  <c r="U47" i="14" s="1"/>
  <c r="U48" i="14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<sst xmlns="http://schemas.openxmlformats.org/spreadsheetml/2006/main" count="101" uniqueCount="55">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</sst>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7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6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3" xfId="2" applyNumberFormat="1" applyFont="1" applyFill="1" applyBorder="1" applyProtection="1">
      <protection locked="0"/>
    </xf>
    <xf numFmtId="168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9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8" fontId="12" fillId="0" borderId="0" xfId="2" applyNumberFormat="1" applyFont="1"/>
    <xf numFmtId="1" fontId="4" fillId="0" borderId="0" xfId="0" applyNumberFormat="1" applyFont="1"/>
    <xf numFmtId="168" fontId="4" fillId="0" borderId="0" xfId="2" applyNumberFormat="1" applyFont="1"/>
    <xf numFmtId="0" fontId="4" fillId="0" borderId="0" xfId="0" applyFont="1"/>
    <xf numFmtId="171" fontId="4" fillId="0" borderId="0" xfId="2" applyNumberFormat="1" applyFont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F15" sqref="F15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60" x14ac:dyDescent="0.25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50</v>
      </c>
      <c r="J1" s="157" t="s">
        <v>51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x14ac:dyDescent="0.25">
      <c r="A2" s="160" t="s">
        <v>49</v>
      </c>
      <c r="B2" s="161">
        <v>1</v>
      </c>
      <c r="C2" s="162">
        <v>8</v>
      </c>
      <c r="D2" s="161">
        <v>2021</v>
      </c>
      <c r="E2" s="163">
        <f>'FS Jimbaran August 2021'!P12</f>
        <v>13379.99999999974</v>
      </c>
      <c r="F2" s="172">
        <f>'FS Jimbaran August 2021'!O12/'FS Jimbaran August 2021'!P12</f>
        <v>1120.1596860986576</v>
      </c>
      <c r="G2" s="163">
        <f>'FS Jimbaran August 2021'!AG12</f>
        <v>12</v>
      </c>
      <c r="H2" s="172">
        <f>'FS Jimbaran August 2021'!AH12/'FS Jimbaran August 2021'!AG12</f>
        <v>11458.333333333334</v>
      </c>
      <c r="I2" s="163">
        <f>'FS Jimbaran August 2021'!AJ12</f>
        <v>108.75</v>
      </c>
      <c r="J2" s="164">
        <f>'FS Jimbaran August 2021'!AK12/'FS Jimbaran August 2021'!AJ12</f>
        <v>9900</v>
      </c>
      <c r="K2" s="163">
        <f>'FS Jimbaran August 2021'!V12</f>
        <v>849.06</v>
      </c>
      <c r="L2" s="172">
        <f>'FS Jimbaran August 2021'!AA12/'FS Jimbaran August 2021'!V12</f>
        <v>6057.9581132075473</v>
      </c>
      <c r="M2" s="163">
        <f>+'RNs &amp; Covers August 2021'!B6</f>
        <v>4</v>
      </c>
      <c r="N2" s="174">
        <f>+'RNs &amp; Covers August 2021'!C6</f>
        <v>95</v>
      </c>
    </row>
    <row r="3" spans="1:15" x14ac:dyDescent="0.25">
      <c r="A3" s="160" t="s">
        <v>49</v>
      </c>
      <c r="B3" s="161">
        <f>B2+1</f>
        <v>2</v>
      </c>
      <c r="C3" s="162">
        <v>8</v>
      </c>
      <c r="D3" s="161">
        <v>2021</v>
      </c>
      <c r="E3" s="174">
        <f>'FS Jimbaran August 2021'!P13</f>
        <v>12720.000000000382</v>
      </c>
      <c r="F3" s="172">
        <f>'FS Jimbaran August 2021'!O13/'FS Jimbaran August 2021'!P13</f>
        <v>1126.1664622641499</v>
      </c>
      <c r="G3" s="174">
        <f>'FS Jimbaran August 2021'!AG13</f>
        <v>0</v>
      </c>
      <c r="H3" s="172" t="e">
        <f>'FS Jimbaran August 2021'!AH13/'FS Jimbaran August 2021'!AG13</f>
        <v>#DIV/0!</v>
      </c>
      <c r="I3" s="174">
        <f>'FS Jimbaran August 2021'!AJ13</f>
        <v>346.97000000000116</v>
      </c>
      <c r="J3" s="164">
        <f>'FS Jimbaran August 2021'!AK13/'FS Jimbaran August 2021'!AJ13</f>
        <v>9900</v>
      </c>
      <c r="K3" s="174">
        <f>'FS Jimbaran August 2021'!V13</f>
        <v>933.61</v>
      </c>
      <c r="L3" s="172">
        <f>'FS Jimbaran August 2021'!AA13/'FS Jimbaran August 2021'!V13</f>
        <v>5880.7043088655864</v>
      </c>
      <c r="M3" s="174">
        <f>+'RNs &amp; Covers August 2021'!B7</f>
        <v>5</v>
      </c>
      <c r="N3" s="174">
        <f>+'RNs &amp; Covers August 2021'!C7</f>
        <v>44</v>
      </c>
    </row>
    <row r="4" spans="1:15" x14ac:dyDescent="0.25">
      <c r="A4" s="160" t="s">
        <v>49</v>
      </c>
      <c r="B4" s="161">
        <f t="shared" ref="B4:B32" si="0">B3+1</f>
        <v>3</v>
      </c>
      <c r="C4" s="162">
        <v>8</v>
      </c>
      <c r="D4" s="161">
        <v>2021</v>
      </c>
      <c r="E4" s="174">
        <f>'FS Jimbaran August 2021'!P14</f>
        <v>12440.000000000011</v>
      </c>
      <c r="F4" s="172">
        <f>'FS Jimbaran August 2021'!O14/'FS Jimbaran August 2021'!P14</f>
        <v>1121.5399196141486</v>
      </c>
      <c r="G4" s="174">
        <f>'FS Jimbaran August 2021'!AG14</f>
        <v>0</v>
      </c>
      <c r="H4" s="172" t="e">
        <f>'FS Jimbaran August 2021'!AH14/'FS Jimbaran August 2021'!AG14</f>
        <v>#DIV/0!</v>
      </c>
      <c r="I4" s="174">
        <f>'FS Jimbaran August 2021'!AJ14</f>
        <v>276.88999999999942</v>
      </c>
      <c r="J4" s="164">
        <f>'FS Jimbaran August 2021'!AK14/'FS Jimbaran August 2021'!AJ14</f>
        <v>9900</v>
      </c>
      <c r="K4" s="174">
        <f>'FS Jimbaran August 2021'!V14</f>
        <v>890.89</v>
      </c>
      <c r="L4" s="172">
        <f>'FS Jimbaran August 2021'!AA14/'FS Jimbaran August 2021'!V14</f>
        <v>5972.8426573426577</v>
      </c>
      <c r="M4" s="174">
        <f>+'RNs &amp; Covers August 2021'!B8</f>
        <v>3</v>
      </c>
      <c r="N4" s="174">
        <f>+'RNs &amp; Covers August 2021'!C8</f>
        <v>47</v>
      </c>
    </row>
    <row r="5" spans="1:15" x14ac:dyDescent="0.25">
      <c r="A5" s="160" t="s">
        <v>49</v>
      </c>
      <c r="B5" s="161">
        <f t="shared" si="0"/>
        <v>4</v>
      </c>
      <c r="C5" s="162">
        <v>8</v>
      </c>
      <c r="D5" s="161">
        <v>2021</v>
      </c>
      <c r="E5" s="174">
        <f>'FS Jimbaran August 2021'!P15</f>
        <v>13219.9999999999</v>
      </c>
      <c r="F5" s="172">
        <f>'FS Jimbaran August 2021'!O15/'FS Jimbaran August 2021'!P15</f>
        <v>1126.66538577912</v>
      </c>
      <c r="G5" s="174">
        <f>'FS Jimbaran August 2021'!AG15</f>
        <v>0</v>
      </c>
      <c r="H5" s="172" t="e">
        <f>'FS Jimbaran August 2021'!AH15/'FS Jimbaran August 2021'!AG15</f>
        <v>#DIV/0!</v>
      </c>
      <c r="I5" s="174">
        <f>'FS Jimbaran August 2021'!AJ15</f>
        <v>385.38999999999942</v>
      </c>
      <c r="J5" s="164">
        <f>'FS Jimbaran August 2021'!AK15/'FS Jimbaran August 2021'!AJ15</f>
        <v>9900</v>
      </c>
      <c r="K5" s="174">
        <f>'FS Jimbaran August 2021'!V15</f>
        <v>896.23</v>
      </c>
      <c r="L5" s="172">
        <f>'FS Jimbaran August 2021'!AA15/'FS Jimbaran August 2021'!V15</f>
        <v>5962.5487388282027</v>
      </c>
      <c r="M5" s="174">
        <f>+'RNs &amp; Covers August 2021'!B9</f>
        <v>3</v>
      </c>
      <c r="N5" s="174">
        <f>+'RNs &amp; Covers August 2021'!C9</f>
        <v>43</v>
      </c>
    </row>
    <row r="6" spans="1:15" x14ac:dyDescent="0.25">
      <c r="A6" s="160" t="s">
        <v>49</v>
      </c>
      <c r="B6" s="161">
        <f t="shared" si="0"/>
        <v>5</v>
      </c>
      <c r="C6" s="162">
        <v>8</v>
      </c>
      <c r="D6" s="161">
        <v>2021</v>
      </c>
      <c r="E6" s="174">
        <f>'FS Jimbaran August 2021'!P16</f>
        <v>13299.999999999854</v>
      </c>
      <c r="F6" s="172">
        <f>'FS Jimbaran August 2021'!O16/'FS Jimbaran August 2021'!P16</f>
        <v>1123.0035789473727</v>
      </c>
      <c r="G6" s="174">
        <f>'FS Jimbaran August 2021'!AG16</f>
        <v>0</v>
      </c>
      <c r="H6" s="172" t="e">
        <f>'FS Jimbaran August 2021'!AH16/'FS Jimbaran August 2021'!AG16</f>
        <v>#DIV/0!</v>
      </c>
      <c r="I6" s="174">
        <f>'FS Jimbaran August 2021'!AJ16</f>
        <v>117.19999999999709</v>
      </c>
      <c r="J6" s="164">
        <f>'FS Jimbaran August 2021'!AK16/'FS Jimbaran August 2021'!AJ16</f>
        <v>9900</v>
      </c>
      <c r="K6" s="174">
        <f>'FS Jimbaran August 2021'!V16</f>
        <v>1032.4000000000001</v>
      </c>
      <c r="L6" s="172">
        <f>'FS Jimbaran August 2021'!AA16/'FS Jimbaran August 2021'!V16</f>
        <v>5724.2015517241371</v>
      </c>
      <c r="M6" s="174">
        <f>+'RNs &amp; Covers August 2021'!B10</f>
        <v>3</v>
      </c>
      <c r="N6" s="174">
        <f>+'RNs &amp; Covers August 2021'!C10</f>
        <v>27</v>
      </c>
    </row>
    <row r="7" spans="1:15" x14ac:dyDescent="0.25">
      <c r="A7" s="160" t="s">
        <v>49</v>
      </c>
      <c r="B7" s="161">
        <f t="shared" si="0"/>
        <v>6</v>
      </c>
      <c r="C7" s="162">
        <v>8</v>
      </c>
      <c r="D7" s="161">
        <v>2021</v>
      </c>
      <c r="E7" s="174">
        <f>'FS Jimbaran August 2021'!P17</f>
        <v>13420.000000000186</v>
      </c>
      <c r="F7" s="172">
        <f>'FS Jimbaran August 2021'!O17/'FS Jimbaran August 2021'!P17</f>
        <v>1126.8545454545424</v>
      </c>
      <c r="G7" s="174">
        <f>'FS Jimbaran August 2021'!AG17</f>
        <v>0</v>
      </c>
      <c r="H7" s="172" t="e">
        <f>'FS Jimbaran August 2021'!AH17/'FS Jimbaran August 2021'!AG17</f>
        <v>#DIV/0!</v>
      </c>
      <c r="I7" s="174">
        <f>'FS Jimbaran August 2021'!AJ17</f>
        <v>323.88000000000466</v>
      </c>
      <c r="J7" s="164">
        <f>'FS Jimbaran August 2021'!AK17/'FS Jimbaran August 2021'!AJ17</f>
        <v>9900</v>
      </c>
      <c r="K7" s="174">
        <f>'FS Jimbaran August 2021'!V17</f>
        <v>952.30000000000007</v>
      </c>
      <c r="L7" s="172">
        <f>'FS Jimbaran August 2021'!AA17/'FS Jimbaran August 2021'!V17</f>
        <v>5822.950429906542</v>
      </c>
      <c r="M7" s="174">
        <f>+'RNs &amp; Covers August 2021'!B11</f>
        <v>5</v>
      </c>
      <c r="N7" s="174">
        <f>+'RNs &amp; Covers August 2021'!C11</f>
        <v>46</v>
      </c>
    </row>
    <row r="8" spans="1:15" x14ac:dyDescent="0.25">
      <c r="A8" s="160" t="s">
        <v>49</v>
      </c>
      <c r="B8" s="161">
        <f t="shared" si="0"/>
        <v>7</v>
      </c>
      <c r="C8" s="162">
        <v>8</v>
      </c>
      <c r="D8" s="161">
        <v>2021</v>
      </c>
      <c r="E8" s="174">
        <f>'FS Jimbaran August 2021'!P18</f>
        <v>13560.000000000073</v>
      </c>
      <c r="F8" s="172">
        <f>'FS Jimbaran August 2021'!O18/'FS Jimbaran August 2021'!P18</f>
        <v>1124.3865486725663</v>
      </c>
      <c r="G8" s="174">
        <f>'FS Jimbaran August 2021'!AG18</f>
        <v>12</v>
      </c>
      <c r="H8" s="172">
        <f>'FS Jimbaran August 2021'!AH18/'FS Jimbaran August 2021'!AG18</f>
        <v>11458.333333333334</v>
      </c>
      <c r="I8" s="174">
        <f>'FS Jimbaran August 2021'!AJ18</f>
        <v>245.56999999999971</v>
      </c>
      <c r="J8" s="164">
        <f>'FS Jimbaran August 2021'!AK18/'FS Jimbaran August 2021'!AJ18</f>
        <v>9900</v>
      </c>
      <c r="K8" s="174">
        <f>'FS Jimbaran August 2021'!V18</f>
        <v>1000.36</v>
      </c>
      <c r="L8" s="172">
        <f>'FS Jimbaran August 2021'!AA18/'FS Jimbaran August 2021'!V18</f>
        <v>5795.99462633452</v>
      </c>
      <c r="M8" s="174">
        <f>+'RNs &amp; Covers August 2021'!B12</f>
        <v>5</v>
      </c>
      <c r="N8" s="174">
        <f>+'RNs &amp; Covers August 2021'!C12</f>
        <v>74</v>
      </c>
    </row>
    <row r="9" spans="1:15" x14ac:dyDescent="0.25">
      <c r="A9" s="160" t="s">
        <v>49</v>
      </c>
      <c r="B9" s="161">
        <f t="shared" si="0"/>
        <v>8</v>
      </c>
      <c r="C9" s="162">
        <v>8</v>
      </c>
      <c r="D9" s="161">
        <v>2021</v>
      </c>
      <c r="E9" s="174">
        <f>'FS Jimbaran August 2021'!P19</f>
        <v>13339.999999999747</v>
      </c>
      <c r="F9" s="172">
        <f>'FS Jimbaran August 2021'!O19/'FS Jimbaran August 2021'!P19</f>
        <v>1124.2949325337361</v>
      </c>
      <c r="G9" s="174">
        <f>'FS Jimbaran August 2021'!AG19</f>
        <v>400</v>
      </c>
      <c r="H9" s="172">
        <f>'FS Jimbaran August 2021'!AH19/'FS Jimbaran August 2021'!AG19</f>
        <v>14740</v>
      </c>
      <c r="I9" s="174">
        <f>'FS Jimbaran August 2021'!AJ19</f>
        <v>101.97999999999593</v>
      </c>
      <c r="J9" s="164">
        <f>'FS Jimbaran August 2021'!AK19/'FS Jimbaran August 2021'!AJ19</f>
        <v>9900</v>
      </c>
      <c r="K9" s="174">
        <f>'FS Jimbaran August 2021'!V19</f>
        <v>880.21</v>
      </c>
      <c r="L9" s="172">
        <f>'FS Jimbaran August 2021'!AA19/'FS Jimbaran August 2021'!V19</f>
        <v>5979.9272194135492</v>
      </c>
      <c r="M9" s="174">
        <f>+'RNs &amp; Covers August 2021'!B13</f>
        <v>3</v>
      </c>
      <c r="N9" s="174">
        <f>+'RNs &amp; Covers August 2021'!C13</f>
        <v>51</v>
      </c>
      <c r="O9" s="165" t="s">
        <v>46</v>
      </c>
    </row>
    <row r="10" spans="1:15" x14ac:dyDescent="0.25">
      <c r="A10" s="160" t="s">
        <v>49</v>
      </c>
      <c r="B10" s="161">
        <f t="shared" si="0"/>
        <v>9</v>
      </c>
      <c r="C10" s="162">
        <v>8</v>
      </c>
      <c r="D10" s="161">
        <v>2021</v>
      </c>
      <c r="E10" s="174">
        <f>'FS Jimbaran August 2021'!P20</f>
        <v>13220.000000000155</v>
      </c>
      <c r="F10" s="172">
        <f>'FS Jimbaran August 2021'!O20/'FS Jimbaran August 2021'!P20</f>
        <v>1123.5314069591507</v>
      </c>
      <c r="G10" s="174">
        <f>'FS Jimbaran August 2021'!AG20</f>
        <v>12</v>
      </c>
      <c r="H10" s="172">
        <f>'FS Jimbaran August 2021'!AH20/'FS Jimbaran August 2021'!AG20</f>
        <v>11458.333333333334</v>
      </c>
      <c r="I10" s="174">
        <f>'FS Jimbaran August 2021'!AJ20</f>
        <v>378.90000000000146</v>
      </c>
      <c r="J10" s="164">
        <f>'FS Jimbaran August 2021'!AK20/'FS Jimbaran August 2021'!AJ20</f>
        <v>9900</v>
      </c>
      <c r="K10" s="174">
        <f>'FS Jimbaran August 2021'!V20</f>
        <v>943.4</v>
      </c>
      <c r="L10" s="172">
        <f>'FS Jimbaran August 2021'!AA20/'FS Jimbaran August 2021'!V20</f>
        <v>5863.7318867924532</v>
      </c>
      <c r="M10" s="174">
        <f>+'RNs &amp; Covers August 2021'!B14</f>
        <v>5</v>
      </c>
      <c r="N10" s="174">
        <f>+'RNs &amp; Covers August 2021'!C14</f>
        <v>40</v>
      </c>
    </row>
    <row r="11" spans="1:15" x14ac:dyDescent="0.25">
      <c r="A11" s="160" t="s">
        <v>49</v>
      </c>
      <c r="B11" s="161">
        <f t="shared" si="0"/>
        <v>10</v>
      </c>
      <c r="C11" s="162">
        <v>8</v>
      </c>
      <c r="D11" s="161">
        <v>2021</v>
      </c>
      <c r="E11" s="174">
        <f>'FS Jimbaran August 2021'!P21</f>
        <v>12479.999999999947</v>
      </c>
      <c r="F11" s="172">
        <f>'FS Jimbaran August 2021'!O21/'FS Jimbaran August 2021'!P21</f>
        <v>1127.904663461537</v>
      </c>
      <c r="G11" s="174">
        <f>'FS Jimbaran August 2021'!AG21</f>
        <v>0</v>
      </c>
      <c r="H11" s="172" t="e">
        <f>'FS Jimbaran August 2021'!AH21/'FS Jimbaran August 2021'!AG21</f>
        <v>#DIV/0!</v>
      </c>
      <c r="I11" s="174">
        <f>'FS Jimbaran August 2021'!AJ21</f>
        <v>135.01000000000204</v>
      </c>
      <c r="J11" s="164">
        <f>'FS Jimbaran August 2021'!AK21/'FS Jimbaran August 2021'!AJ21</f>
        <v>9900</v>
      </c>
      <c r="K11" s="174">
        <f>'FS Jimbaran August 2021'!V21</f>
        <v>853.51</v>
      </c>
      <c r="L11" s="172">
        <f>'FS Jimbaran August 2021'!AA21/'FS Jimbaran August 2021'!V21</f>
        <v>6077.1309489051109</v>
      </c>
      <c r="M11" s="174">
        <f>+'RNs &amp; Covers August 2021'!B15</f>
        <v>3</v>
      </c>
      <c r="N11" s="174">
        <f>+'RNs &amp; Covers August 2021'!C15</f>
        <v>42</v>
      </c>
    </row>
    <row r="12" spans="1:15" x14ac:dyDescent="0.25">
      <c r="A12" s="160" t="s">
        <v>49</v>
      </c>
      <c r="B12" s="161">
        <f t="shared" si="0"/>
        <v>11</v>
      </c>
      <c r="C12" s="162">
        <v>8</v>
      </c>
      <c r="D12" s="161">
        <v>2021</v>
      </c>
      <c r="E12" s="174">
        <f>'FS Jimbaran August 2021'!P22</f>
        <v>13279.999999999845</v>
      </c>
      <c r="F12" s="172">
        <f>'FS Jimbaran August 2021'!O22/'FS Jimbaran August 2021'!P22</f>
        <v>1126.2547590361469</v>
      </c>
      <c r="G12" s="174">
        <f>'FS Jimbaran August 2021'!AG22</f>
        <v>0</v>
      </c>
      <c r="H12" s="172" t="e">
        <f>'FS Jimbaran August 2021'!AH22/'FS Jimbaran August 2021'!AG22</f>
        <v>#DIV/0!</v>
      </c>
      <c r="I12" s="174">
        <f>'FS Jimbaran August 2021'!AJ22</f>
        <v>520.13999999997759</v>
      </c>
      <c r="J12" s="164">
        <f>'FS Jimbaran August 2021'!AK22/'FS Jimbaran August 2021'!AJ22</f>
        <v>9900</v>
      </c>
      <c r="K12" s="174">
        <f>'FS Jimbaran August 2021'!V22</f>
        <v>929.16</v>
      </c>
      <c r="L12" s="172">
        <f>'FS Jimbaran August 2021'!AA22/'FS Jimbaran August 2021'!V22</f>
        <v>5888.5372796934871</v>
      </c>
      <c r="M12" s="174">
        <f>+'RNs &amp; Covers August 2021'!B16</f>
        <v>3</v>
      </c>
      <c r="N12" s="174">
        <f>+'RNs &amp; Covers August 2021'!C16</f>
        <v>32</v>
      </c>
    </row>
    <row r="13" spans="1:15" x14ac:dyDescent="0.25">
      <c r="A13" s="160" t="s">
        <v>49</v>
      </c>
      <c r="B13" s="161">
        <f t="shared" si="0"/>
        <v>12</v>
      </c>
      <c r="C13" s="162">
        <v>8</v>
      </c>
      <c r="D13" s="161">
        <v>2021</v>
      </c>
      <c r="E13" s="174">
        <f>'FS Jimbaran August 2021'!P23</f>
        <v>13440.000000000167</v>
      </c>
      <c r="F13" s="172">
        <f>'FS Jimbaran August 2021'!O23/'FS Jimbaran August 2021'!P23</f>
        <v>1123.6363392857145</v>
      </c>
      <c r="G13" s="174">
        <f>'FS Jimbaran August 2021'!AG23</f>
        <v>12</v>
      </c>
      <c r="H13" s="172">
        <f>'FS Jimbaran August 2021'!AH23/'FS Jimbaran August 2021'!AG23</f>
        <v>11458.333333333334</v>
      </c>
      <c r="I13" s="174">
        <f>'FS Jimbaran August 2021'!AJ23</f>
        <v>287.86000000002241</v>
      </c>
      <c r="J13" s="164">
        <f>'FS Jimbaran August 2021'!AK23/'FS Jimbaran August 2021'!AJ23</f>
        <v>9900</v>
      </c>
      <c r="K13" s="174">
        <f>'FS Jimbaran August 2021'!V23</f>
        <v>1001.25</v>
      </c>
      <c r="L13" s="172">
        <f>'FS Jimbaran August 2021'!AA23/'FS Jimbaran August 2021'!V23</f>
        <v>5782.4158399999997</v>
      </c>
      <c r="M13" s="174">
        <f>+'RNs &amp; Covers August 2021'!B17</f>
        <v>5</v>
      </c>
      <c r="N13" s="174">
        <f>+'RNs &amp; Covers August 2021'!C17</f>
        <v>37</v>
      </c>
    </row>
    <row r="14" spans="1:15" x14ac:dyDescent="0.25">
      <c r="A14" s="160" t="s">
        <v>49</v>
      </c>
      <c r="B14" s="161">
        <f t="shared" si="0"/>
        <v>13</v>
      </c>
      <c r="C14" s="162">
        <v>8</v>
      </c>
      <c r="D14" s="161">
        <v>2021</v>
      </c>
      <c r="E14" s="174">
        <f>'FS Jimbaran August 2021'!P24</f>
        <v>13459.999999999724</v>
      </c>
      <c r="F14" s="172">
        <f>'FS Jimbaran August 2021'!O24/'FS Jimbaran August 2021'!P24</f>
        <v>1122.7362704309066</v>
      </c>
      <c r="G14" s="174">
        <f>'FS Jimbaran August 2021'!AG24</f>
        <v>0</v>
      </c>
      <c r="H14" s="172" t="e">
        <f>'FS Jimbaran August 2021'!AH24/'FS Jimbaran August 2021'!AG24</f>
        <v>#DIV/0!</v>
      </c>
      <c r="I14" s="174">
        <f>'FS Jimbaran August 2021'!AJ24</f>
        <v>321.77999999999884</v>
      </c>
      <c r="J14" s="164">
        <f>'FS Jimbaran August 2021'!AK24/'FS Jimbaran August 2021'!AJ24</f>
        <v>9900</v>
      </c>
      <c r="K14" s="174">
        <f>'FS Jimbaran August 2021'!V24</f>
        <v>1028.8399999999999</v>
      </c>
      <c r="L14" s="172">
        <f>'FS Jimbaran August 2021'!AA24/'FS Jimbaran August 2021'!V24</f>
        <v>5764.9386159169553</v>
      </c>
      <c r="M14" s="174">
        <f>+'RNs &amp; Covers August 2021'!B18</f>
        <v>5</v>
      </c>
      <c r="N14" s="174">
        <f>+'RNs &amp; Covers August 2021'!C18</f>
        <v>34</v>
      </c>
    </row>
    <row r="15" spans="1:15" x14ac:dyDescent="0.25">
      <c r="A15" s="160" t="s">
        <v>49</v>
      </c>
      <c r="B15" s="161">
        <f t="shared" si="0"/>
        <v>14</v>
      </c>
      <c r="C15" s="162">
        <v>8</v>
      </c>
      <c r="D15" s="161">
        <v>2021</v>
      </c>
      <c r="E15" s="174">
        <f>'FS Jimbaran August 2021'!P25</f>
        <v>13380.000000000266</v>
      </c>
      <c r="F15" s="172">
        <f>'FS Jimbaran August 2021'!O25/'FS Jimbaran August 2021'!P25</f>
        <v>1128.6750672645708</v>
      </c>
      <c r="G15" s="174">
        <f>'FS Jimbaran August 2021'!AG25</f>
        <v>12</v>
      </c>
      <c r="H15" s="172">
        <f>'FS Jimbaran August 2021'!AH25/'FS Jimbaran August 2021'!AG25</f>
        <v>11458.333333333334</v>
      </c>
      <c r="I15" s="174">
        <f>'FS Jimbaran August 2021'!AJ25</f>
        <v>116.94000000000233</v>
      </c>
      <c r="J15" s="164">
        <f>'FS Jimbaran August 2021'!AK25/'FS Jimbaran August 2021'!AJ25</f>
        <v>9900</v>
      </c>
      <c r="K15" s="174">
        <f>'FS Jimbaran August 2021'!V25</f>
        <v>1003.92</v>
      </c>
      <c r="L15" s="172">
        <f>'FS Jimbaran August 2021'!AA25/'FS Jimbaran August 2021'!V25</f>
        <v>5778.327446808511</v>
      </c>
      <c r="M15" s="174">
        <f>+'RNs &amp; Covers August 2021'!B19</f>
        <v>5</v>
      </c>
      <c r="N15" s="174">
        <f>+'RNs &amp; Covers August 2021'!C19</f>
        <v>56</v>
      </c>
    </row>
    <row r="16" spans="1:15" x14ac:dyDescent="0.25">
      <c r="A16" s="160" t="s">
        <v>49</v>
      </c>
      <c r="B16" s="161">
        <f t="shared" si="0"/>
        <v>15</v>
      </c>
      <c r="C16" s="162">
        <v>8</v>
      </c>
      <c r="D16" s="161">
        <v>2021</v>
      </c>
      <c r="E16" s="174">
        <f>'FS Jimbaran August 2021'!P26</f>
        <v>13640.000000000073</v>
      </c>
      <c r="F16" s="172">
        <f>'FS Jimbaran August 2021'!O26/'FS Jimbaran August 2021'!P26</f>
        <v>1121.5887536656915</v>
      </c>
      <c r="G16" s="174">
        <f>'FS Jimbaran August 2021'!AG26</f>
        <v>62</v>
      </c>
      <c r="H16" s="172">
        <f>'FS Jimbaran August 2021'!AH26/'FS Jimbaran August 2021'!AG26</f>
        <v>14104.838709677419</v>
      </c>
      <c r="I16" s="174">
        <f>'FS Jimbaran August 2021'!AJ26</f>
        <v>81.379999999997381</v>
      </c>
      <c r="J16" s="164">
        <f>'FS Jimbaran August 2021'!AK26/'FS Jimbaran August 2021'!AJ26</f>
        <v>9900</v>
      </c>
      <c r="K16" s="174">
        <f>'FS Jimbaran August 2021'!V26</f>
        <v>1004.81</v>
      </c>
      <c r="L16" s="172">
        <f>'FS Jimbaran August 2021'!AA26/'FS Jimbaran August 2021'!V26</f>
        <v>5789.1265367581937</v>
      </c>
      <c r="M16" s="174">
        <f>+'RNs &amp; Covers August 2021'!B20</f>
        <v>1</v>
      </c>
      <c r="N16" s="174">
        <f>+'RNs &amp; Covers August 2021'!C20</f>
        <v>75</v>
      </c>
    </row>
    <row r="17" spans="1:14" x14ac:dyDescent="0.25">
      <c r="A17" s="160" t="s">
        <v>49</v>
      </c>
      <c r="B17" s="161">
        <f t="shared" si="0"/>
        <v>16</v>
      </c>
      <c r="C17" s="162">
        <v>8</v>
      </c>
      <c r="D17" s="161">
        <v>2021</v>
      </c>
      <c r="E17" s="174">
        <f>'FS Jimbaran August 2021'!P27</f>
        <v>13299.999999999756</v>
      </c>
      <c r="F17" s="172">
        <f>'FS Jimbaran August 2021'!O27/'FS Jimbaran August 2021'!P27</f>
        <v>1123.7823609022557</v>
      </c>
      <c r="G17" s="174">
        <f>'FS Jimbaran August 2021'!AG27</f>
        <v>412</v>
      </c>
      <c r="H17" s="172">
        <f>'FS Jimbaran August 2021'!AH27/'FS Jimbaran August 2021'!AG27</f>
        <v>14644.417475728156</v>
      </c>
      <c r="I17" s="174">
        <f>'FS Jimbaran August 2021'!AJ27</f>
        <v>351.13999999999942</v>
      </c>
      <c r="J17" s="164">
        <f>'FS Jimbaran August 2021'!AK27/'FS Jimbaran August 2021'!AJ27</f>
        <v>9900</v>
      </c>
      <c r="K17" s="174">
        <f>'FS Jimbaran August 2021'!V27</f>
        <v>916.7</v>
      </c>
      <c r="L17" s="172">
        <f>'FS Jimbaran August 2021'!AA27/'FS Jimbaran August 2021'!V27</f>
        <v>6017.4786019417479</v>
      </c>
      <c r="M17" s="174">
        <f>+'RNs &amp; Covers August 2021'!B21</f>
        <v>1</v>
      </c>
      <c r="N17" s="174">
        <f>+'RNs &amp; Covers August 2021'!C21</f>
        <v>18</v>
      </c>
    </row>
    <row r="18" spans="1:14" x14ac:dyDescent="0.25">
      <c r="A18" s="160" t="s">
        <v>49</v>
      </c>
      <c r="B18" s="161">
        <f t="shared" si="0"/>
        <v>17</v>
      </c>
      <c r="C18" s="162">
        <v>8</v>
      </c>
      <c r="D18" s="161">
        <v>2021</v>
      </c>
      <c r="E18" s="174">
        <f>'FS Jimbaran August 2021'!P28</f>
        <v>12680.000000000235</v>
      </c>
      <c r="F18" s="172">
        <f>'FS Jimbaran August 2021'!O28/'FS Jimbaran August 2021'!P28</f>
        <v>1125.6347318611968</v>
      </c>
      <c r="G18" s="174">
        <f>'FS Jimbaran August 2021'!AG28</f>
        <v>12</v>
      </c>
      <c r="H18" s="172">
        <f>'FS Jimbaran August 2021'!AH28/'FS Jimbaran August 2021'!AG28</f>
        <v>11458.333333333334</v>
      </c>
      <c r="I18" s="174">
        <f>'FS Jimbaran August 2021'!AJ28</f>
        <v>179.38999999999942</v>
      </c>
      <c r="J18" s="164">
        <f>'FS Jimbaran August 2021'!AK28/'FS Jimbaran August 2021'!AJ28</f>
        <v>9900</v>
      </c>
      <c r="K18" s="174">
        <f>'FS Jimbaran August 2021'!V28</f>
        <v>800.11</v>
      </c>
      <c r="L18" s="172">
        <f>'FS Jimbaran August 2021'!AA28/'FS Jimbaran August 2021'!V28</f>
        <v>5649.773370411569</v>
      </c>
      <c r="M18" s="174">
        <f>+'RNs &amp; Covers August 2021'!B22</f>
        <v>1</v>
      </c>
      <c r="N18" s="174">
        <f>+'RNs &amp; Covers August 2021'!C22</f>
        <v>58</v>
      </c>
    </row>
    <row r="19" spans="1:14" x14ac:dyDescent="0.25">
      <c r="A19" s="160" t="s">
        <v>49</v>
      </c>
      <c r="B19" s="161">
        <f t="shared" si="0"/>
        <v>18</v>
      </c>
      <c r="C19" s="162">
        <v>8</v>
      </c>
      <c r="D19" s="161">
        <v>2021</v>
      </c>
      <c r="E19" s="174">
        <f>'FS Jimbaran August 2021'!P29</f>
        <v>13459.999999999724</v>
      </c>
      <c r="F19" s="172">
        <f>'FS Jimbaran August 2021'!O29/'FS Jimbaran August 2021'!P29</f>
        <v>1124.275319465085</v>
      </c>
      <c r="G19" s="174">
        <f>'FS Jimbaran August 2021'!AG29</f>
        <v>0</v>
      </c>
      <c r="H19" s="172" t="e">
        <f>'FS Jimbaran August 2021'!AH29/'FS Jimbaran August 2021'!AG29</f>
        <v>#DIV/0!</v>
      </c>
      <c r="I19" s="174">
        <f>'FS Jimbaran August 2021'!AJ29</f>
        <v>315.24999999998545</v>
      </c>
      <c r="J19" s="164">
        <f>'FS Jimbaran August 2021'!AK29/'FS Jimbaran August 2021'!AJ29</f>
        <v>9900</v>
      </c>
      <c r="K19" s="174">
        <f>'FS Jimbaran August 2021'!V29</f>
        <v>830.37</v>
      </c>
      <c r="L19" s="172">
        <f>'FS Jimbaran August 2021'!AA29/'FS Jimbaran August 2021'!V29</f>
        <v>4245.18</v>
      </c>
      <c r="M19" s="174">
        <f>+'RNs &amp; Covers August 2021'!B23</f>
        <v>1</v>
      </c>
      <c r="N19" s="174">
        <f>+'RNs &amp; Covers August 2021'!C23</f>
        <v>29</v>
      </c>
    </row>
    <row r="20" spans="1:14" x14ac:dyDescent="0.25">
      <c r="A20" s="160" t="s">
        <v>49</v>
      </c>
      <c r="B20" s="161">
        <f t="shared" si="0"/>
        <v>19</v>
      </c>
      <c r="C20" s="162">
        <v>8</v>
      </c>
      <c r="D20" s="161">
        <v>2021</v>
      </c>
      <c r="E20" s="174">
        <f>'FS Jimbaran August 2021'!P30</f>
        <v>13039.999999999935</v>
      </c>
      <c r="F20" s="172">
        <f>'FS Jimbaran August 2021'!O30/'FS Jimbaran August 2021'!P30</f>
        <v>1125.537009202453</v>
      </c>
      <c r="G20" s="174">
        <f>'FS Jimbaran August 2021'!AG30</f>
        <v>12</v>
      </c>
      <c r="H20" s="172">
        <f>'FS Jimbaran August 2021'!AH30/'FS Jimbaran August 2021'!AG30</f>
        <v>11458.333333333334</v>
      </c>
      <c r="I20" s="174">
        <f>'FS Jimbaran August 2021'!AJ30</f>
        <v>118.83000000000175</v>
      </c>
      <c r="J20" s="164">
        <f>'FS Jimbaran August 2021'!AK30/'FS Jimbaran August 2021'!AJ30</f>
        <v>9900</v>
      </c>
      <c r="K20" s="174">
        <f>'FS Jimbaran August 2021'!V30</f>
        <v>930.94</v>
      </c>
      <c r="L20" s="172">
        <f>'FS Jimbaran August 2021'!AA30/'FS Jimbaran August 2021'!V30</f>
        <v>5636.0824091778204</v>
      </c>
      <c r="M20" s="174">
        <f>+'RNs &amp; Covers August 2021'!B24</f>
        <v>1</v>
      </c>
      <c r="N20" s="174">
        <f>+'RNs &amp; Covers August 2021'!C24</f>
        <v>15</v>
      </c>
    </row>
    <row r="21" spans="1:14" x14ac:dyDescent="0.25">
      <c r="A21" s="160" t="s">
        <v>49</v>
      </c>
      <c r="B21" s="161">
        <f t="shared" si="0"/>
        <v>20</v>
      </c>
      <c r="C21" s="162">
        <v>8</v>
      </c>
      <c r="D21" s="161">
        <v>2021</v>
      </c>
      <c r="E21" s="174">
        <f>'FS Jimbaran August 2021'!P31</f>
        <v>13220.000000000367</v>
      </c>
      <c r="F21" s="172">
        <f>'FS Jimbaran August 2021'!O31/'FS Jimbaran August 2021'!P31</f>
        <v>1125.0983963691365</v>
      </c>
      <c r="G21" s="174">
        <f>'FS Jimbaran August 2021'!AG31</f>
        <v>12</v>
      </c>
      <c r="H21" s="172">
        <f>'FS Jimbaran August 2021'!AH31/'FS Jimbaran August 2021'!AG31</f>
        <v>11458.333333333334</v>
      </c>
      <c r="I21" s="174">
        <f>'FS Jimbaran August 2021'!AJ31</f>
        <v>338.63000000000466</v>
      </c>
      <c r="J21" s="164">
        <f>'FS Jimbaran August 2021'!AK31/'FS Jimbaran August 2021'!AJ31</f>
        <v>9900</v>
      </c>
      <c r="K21" s="174">
        <f>'FS Jimbaran August 2021'!V31</f>
        <v>1042.19</v>
      </c>
      <c r="L21" s="172">
        <f>'FS Jimbaran August 2021'!AA31/'FS Jimbaran August 2021'!V31</f>
        <v>5745.4711699402214</v>
      </c>
      <c r="M21" s="174">
        <f>+'RNs &amp; Covers August 2021'!B25</f>
        <v>2</v>
      </c>
      <c r="N21" s="174">
        <f>+'RNs &amp; Covers August 2021'!C25</f>
        <v>26</v>
      </c>
    </row>
    <row r="22" spans="1:14" x14ac:dyDescent="0.25">
      <c r="A22" s="160" t="s">
        <v>49</v>
      </c>
      <c r="B22" s="161">
        <f t="shared" si="0"/>
        <v>21</v>
      </c>
      <c r="C22" s="162">
        <v>8</v>
      </c>
      <c r="D22" s="161">
        <v>2021</v>
      </c>
      <c r="E22" s="174">
        <f>'FS Jimbaran August 2021'!P32</f>
        <v>13660.000000000067</v>
      </c>
      <c r="F22" s="172">
        <f>'FS Jimbaran August 2021'!O32/'FS Jimbaran August 2021'!P32</f>
        <v>1123.7378916544665</v>
      </c>
      <c r="G22" s="174">
        <f>'FS Jimbaran August 2021'!AG32</f>
        <v>12</v>
      </c>
      <c r="H22" s="172">
        <f>'FS Jimbaran August 2021'!AH32/'FS Jimbaran August 2021'!AG32</f>
        <v>11458.333333333334</v>
      </c>
      <c r="I22" s="174">
        <f>'FS Jimbaran August 2021'!AJ32</f>
        <v>111.21999999996478</v>
      </c>
      <c r="J22" s="164">
        <f>'FS Jimbaran August 2021'!AK32/'FS Jimbaran August 2021'!AJ32</f>
        <v>9900</v>
      </c>
      <c r="K22" s="174">
        <f>'FS Jimbaran August 2021'!V32</f>
        <v>978.11</v>
      </c>
      <c r="L22" s="172">
        <f>'FS Jimbaran August 2021'!AA32/'FS Jimbaran August 2021'!V32</f>
        <v>5356.6936305732488</v>
      </c>
      <c r="M22" s="174">
        <f>+'RNs &amp; Covers August 2021'!B26</f>
        <v>2</v>
      </c>
      <c r="N22" s="174">
        <f>+'RNs &amp; Covers August 2021'!C26</f>
        <v>49</v>
      </c>
    </row>
    <row r="23" spans="1:14" x14ac:dyDescent="0.25">
      <c r="A23" s="160" t="s">
        <v>49</v>
      </c>
      <c r="B23" s="161">
        <f t="shared" si="0"/>
        <v>22</v>
      </c>
      <c r="C23" s="162">
        <v>8</v>
      </c>
      <c r="D23" s="161">
        <v>2021</v>
      </c>
      <c r="E23" s="174">
        <f>'FS Jimbaran August 2021'!P33</f>
        <v>13100.000000000009</v>
      </c>
      <c r="F23" s="172">
        <f>'FS Jimbaran August 2021'!O33/'FS Jimbaran August 2021'!P33</f>
        <v>1124.3352366412209</v>
      </c>
      <c r="G23" s="174">
        <f>'FS Jimbaran August 2021'!AG33</f>
        <v>0</v>
      </c>
      <c r="H23" s="172" t="e">
        <f>'FS Jimbaran August 2021'!AH33/'FS Jimbaran August 2021'!AG33</f>
        <v>#DIV/0!</v>
      </c>
      <c r="I23" s="174">
        <f>'FS Jimbaran August 2021'!AJ33</f>
        <v>115.5</v>
      </c>
      <c r="J23" s="164">
        <f>'FS Jimbaran August 2021'!AK33/'FS Jimbaran August 2021'!AJ33</f>
        <v>9900</v>
      </c>
      <c r="K23" s="174">
        <f>'FS Jimbaran August 2021'!V33</f>
        <v>891.78</v>
      </c>
      <c r="L23" s="172">
        <f>'FS Jimbaran August 2021'!AA33/'FS Jimbaran August 2021'!V33</f>
        <v>5532.784870259482</v>
      </c>
      <c r="M23" s="174">
        <f>+'RNs &amp; Covers August 2021'!B27</f>
        <v>3</v>
      </c>
      <c r="N23" s="174">
        <f>+'RNs &amp; Covers August 2021'!C27</f>
        <v>53</v>
      </c>
    </row>
    <row r="24" spans="1:14" x14ac:dyDescent="0.25">
      <c r="A24" s="160" t="s">
        <v>49</v>
      </c>
      <c r="B24" s="161">
        <f t="shared" si="0"/>
        <v>23</v>
      </c>
      <c r="C24" s="162">
        <v>8</v>
      </c>
      <c r="D24" s="161">
        <v>2021</v>
      </c>
      <c r="E24" s="174">
        <f>'FS Jimbaran August 2021'!P34</f>
        <v>12979.999999999607</v>
      </c>
      <c r="F24" s="172">
        <f>'FS Jimbaran August 2021'!O34/'FS Jimbaran August 2021'!P34</f>
        <v>1125.1539291217282</v>
      </c>
      <c r="G24" s="174">
        <f>'FS Jimbaran August 2021'!AG34</f>
        <v>12</v>
      </c>
      <c r="H24" s="172">
        <f>'FS Jimbaran August 2021'!AH34/'FS Jimbaran August 2021'!AG34</f>
        <v>11458.333333333334</v>
      </c>
      <c r="I24" s="174">
        <f>'FS Jimbaran August 2021'!AJ34</f>
        <v>360.16999999999825</v>
      </c>
      <c r="J24" s="164">
        <f>'FS Jimbaran August 2021'!AK34/'FS Jimbaran August 2021'!AJ34</f>
        <v>9900</v>
      </c>
      <c r="K24" s="174">
        <f>'FS Jimbaran August 2021'!V34</f>
        <v>985.23</v>
      </c>
      <c r="L24" s="172">
        <f>'FS Jimbaran August 2021'!AA34/'FS Jimbaran August 2021'!V34</f>
        <v>5770.2155555555555</v>
      </c>
      <c r="M24" s="174">
        <f>+'RNs &amp; Covers August 2021'!B28</f>
        <v>4</v>
      </c>
      <c r="N24" s="174">
        <f>+'RNs &amp; Covers August 2021'!C28</f>
        <v>28</v>
      </c>
    </row>
    <row r="25" spans="1:14" x14ac:dyDescent="0.25">
      <c r="A25" s="160" t="s">
        <v>49</v>
      </c>
      <c r="B25" s="161">
        <f t="shared" si="0"/>
        <v>24</v>
      </c>
      <c r="C25" s="162">
        <v>8</v>
      </c>
      <c r="D25" s="161">
        <v>2021</v>
      </c>
      <c r="E25" s="174">
        <f>'FS Jimbaran August 2021'!P35</f>
        <v>12800.000000000196</v>
      </c>
      <c r="F25" s="172">
        <f>'FS Jimbaran August 2021'!O35/'FS Jimbaran August 2021'!P35</f>
        <v>1124.7923437499987</v>
      </c>
      <c r="G25" s="174">
        <f>'FS Jimbaran August 2021'!AG35</f>
        <v>0</v>
      </c>
      <c r="H25" s="172" t="e">
        <f>'FS Jimbaran August 2021'!AH35/'FS Jimbaran August 2021'!AG35</f>
        <v>#DIV/0!</v>
      </c>
      <c r="I25" s="174">
        <f>'FS Jimbaran August 2021'!AJ35</f>
        <v>197.19000000000233</v>
      </c>
      <c r="J25" s="164">
        <f>'FS Jimbaran August 2021'!AK35/'FS Jimbaran August 2021'!AJ35</f>
        <v>9900</v>
      </c>
      <c r="K25" s="174">
        <f>'FS Jimbaran August 2021'!V35</f>
        <v>1018.1600000000001</v>
      </c>
      <c r="L25" s="172">
        <f>'FS Jimbaran August 2021'!AA35/'FS Jimbaran August 2021'!V35</f>
        <v>6032.8309440559442</v>
      </c>
      <c r="M25" s="174">
        <f>+'RNs &amp; Covers August 2021'!B29</f>
        <v>6</v>
      </c>
      <c r="N25" s="174">
        <f>+'RNs &amp; Covers August 2021'!C29</f>
        <v>42</v>
      </c>
    </row>
    <row r="26" spans="1:14" x14ac:dyDescent="0.25">
      <c r="A26" s="160" t="s">
        <v>49</v>
      </c>
      <c r="B26" s="161">
        <f>B25+1</f>
        <v>25</v>
      </c>
      <c r="C26" s="162">
        <v>8</v>
      </c>
      <c r="D26" s="161">
        <v>2021</v>
      </c>
      <c r="E26" s="174">
        <f>'FS Jimbaran August 2021'!P36</f>
        <v>13420.000000000116</v>
      </c>
      <c r="F26" s="172">
        <f>'FS Jimbaran August 2021'!O36/'FS Jimbaran August 2021'!P36</f>
        <v>1125.3109090909052</v>
      </c>
      <c r="G26" s="174">
        <f>'FS Jimbaran August 2021'!AG36</f>
        <v>436</v>
      </c>
      <c r="H26" s="172">
        <f>'FS Jimbaran August 2021'!AH36/'FS Jimbaran August 2021'!AG36</f>
        <v>14469.036697247706</v>
      </c>
      <c r="I26" s="174">
        <f>'FS Jimbaran August 2021'!AJ36</f>
        <v>278.83999999999651</v>
      </c>
      <c r="J26" s="164">
        <f>'FS Jimbaran August 2021'!AK36/'FS Jimbaran August 2021'!AJ36</f>
        <v>9900</v>
      </c>
      <c r="K26" s="174">
        <f>'FS Jimbaran August 2021'!V36</f>
        <v>901.57</v>
      </c>
      <c r="L26" s="172">
        <f>'FS Jimbaran August 2021'!AA36/'FS Jimbaran August 2021'!V36</f>
        <v>5789.7865942744329</v>
      </c>
      <c r="M26" s="174">
        <f>+'RNs &amp; Covers August 2021'!B30</f>
        <v>4</v>
      </c>
      <c r="N26" s="174">
        <f>+'RNs &amp; Covers August 2021'!C30</f>
        <v>28</v>
      </c>
    </row>
    <row r="27" spans="1:14" x14ac:dyDescent="0.25">
      <c r="A27" s="160" t="s">
        <v>49</v>
      </c>
      <c r="B27" s="161">
        <f t="shared" si="0"/>
        <v>26</v>
      </c>
      <c r="C27" s="162">
        <v>8</v>
      </c>
      <c r="D27" s="161">
        <v>2021</v>
      </c>
      <c r="E27" s="174">
        <f>'FS Jimbaran August 2021'!P37</f>
        <v>12659.99999999984</v>
      </c>
      <c r="F27" s="172">
        <f>'FS Jimbaran August 2021'!O37/'FS Jimbaran August 2021'!P37</f>
        <v>1127.4129857819914</v>
      </c>
      <c r="G27" s="174">
        <f>'FS Jimbaran August 2021'!AG37</f>
        <v>0</v>
      </c>
      <c r="H27" s="172" t="e">
        <f>'FS Jimbaran August 2021'!AH37/'FS Jimbaran August 2021'!AG37</f>
        <v>#DIV/0!</v>
      </c>
      <c r="I27" s="174">
        <f>'FS Jimbaran August 2021'!AJ37</f>
        <v>226.9800000000032</v>
      </c>
      <c r="J27" s="164">
        <f>'FS Jimbaran August 2021'!AK37/'FS Jimbaran August 2021'!AJ37</f>
        <v>9900</v>
      </c>
      <c r="K27" s="174">
        <f>'FS Jimbaran August 2021'!V37</f>
        <v>963.87</v>
      </c>
      <c r="L27" s="172">
        <f>'FS Jimbaran August 2021'!AA37/'FS Jimbaran August 2021'!V37</f>
        <v>5537.8694182825484</v>
      </c>
      <c r="M27" s="174">
        <f>+'RNs &amp; Covers August 2021'!B31</f>
        <v>4</v>
      </c>
      <c r="N27" s="174">
        <f>+'RNs &amp; Covers August 2021'!C31</f>
        <v>47</v>
      </c>
    </row>
    <row r="28" spans="1:14" x14ac:dyDescent="0.25">
      <c r="A28" s="160" t="s">
        <v>49</v>
      </c>
      <c r="B28" s="161">
        <f t="shared" si="0"/>
        <v>27</v>
      </c>
      <c r="C28" s="162">
        <v>8</v>
      </c>
      <c r="D28" s="161">
        <v>2021</v>
      </c>
      <c r="E28" s="174">
        <f>'FS Jimbaran August 2021'!P38</f>
        <v>13319.999999999909</v>
      </c>
      <c r="F28" s="172">
        <f>'FS Jimbaran August 2021'!O38/'FS Jimbaran August 2021'!P38</f>
        <v>1126.7606756756763</v>
      </c>
      <c r="G28" s="174">
        <f>'FS Jimbaran August 2021'!AG38</f>
        <v>0</v>
      </c>
      <c r="H28" s="172" t="e">
        <f>'FS Jimbaran August 2021'!AH38/'FS Jimbaran August 2021'!AG38</f>
        <v>#DIV/0!</v>
      </c>
      <c r="I28" s="174">
        <f>'FS Jimbaran August 2021'!AJ38</f>
        <v>284.89999999999418</v>
      </c>
      <c r="J28" s="164">
        <f>'FS Jimbaran August 2021'!AK38/'FS Jimbaran August 2021'!AJ38</f>
        <v>9900</v>
      </c>
      <c r="K28" s="174">
        <f>'FS Jimbaran August 2021'!V38</f>
        <v>906.91</v>
      </c>
      <c r="L28" s="172">
        <f>'FS Jimbaran August 2021'!AA38/'FS Jimbaran August 2021'!V38</f>
        <v>5969.2633758586862</v>
      </c>
      <c r="M28" s="174">
        <f>+'RNs &amp; Covers August 2021'!B32</f>
        <v>5</v>
      </c>
      <c r="N28" s="174">
        <f>+'RNs &amp; Covers August 2021'!C32</f>
        <v>41</v>
      </c>
    </row>
    <row r="29" spans="1:14" x14ac:dyDescent="0.25">
      <c r="A29" s="160" t="s">
        <v>49</v>
      </c>
      <c r="B29" s="161">
        <f t="shared" si="0"/>
        <v>28</v>
      </c>
      <c r="C29" s="162">
        <v>8</v>
      </c>
      <c r="D29" s="161">
        <v>2021</v>
      </c>
      <c r="E29" s="174">
        <f>'FS Jimbaran August 2021'!P39</f>
        <v>13740.000000000166</v>
      </c>
      <c r="F29" s="172">
        <f>'FS Jimbaran August 2021'!O39/'FS Jimbaran August 2021'!P39</f>
        <v>1126.2411353711809</v>
      </c>
      <c r="G29" s="174">
        <f>'FS Jimbaran August 2021'!AG39</f>
        <v>12</v>
      </c>
      <c r="H29" s="172">
        <f>'FS Jimbaran August 2021'!AH39/'FS Jimbaran August 2021'!AG39</f>
        <v>11458.333333333334</v>
      </c>
      <c r="I29" s="174">
        <f>'FS Jimbaran August 2021'!AJ39</f>
        <v>169.82000000001426</v>
      </c>
      <c r="J29" s="164">
        <f>'FS Jimbaran August 2021'!AK39/'FS Jimbaran August 2021'!AJ39</f>
        <v>9900</v>
      </c>
      <c r="K29" s="174">
        <f>'FS Jimbaran August 2021'!V39</f>
        <v>986.12</v>
      </c>
      <c r="L29" s="172">
        <f>'FS Jimbaran August 2021'!AA39/'FS Jimbaran August 2021'!V39</f>
        <v>5830.7765342960292</v>
      </c>
      <c r="M29" s="174">
        <f>+'RNs &amp; Covers August 2021'!B33</f>
        <v>6</v>
      </c>
      <c r="N29" s="174">
        <f>+'RNs &amp; Covers August 2021'!C33</f>
        <v>47</v>
      </c>
    </row>
    <row r="30" spans="1:14" x14ac:dyDescent="0.25">
      <c r="A30" s="160" t="s">
        <v>49</v>
      </c>
      <c r="B30" s="161">
        <f t="shared" si="0"/>
        <v>29</v>
      </c>
      <c r="C30" s="162">
        <v>8</v>
      </c>
      <c r="D30" s="161">
        <v>2021</v>
      </c>
      <c r="E30" s="174">
        <f>'FS Jimbaran August 2021'!P40</f>
        <v>13839.999999999847</v>
      </c>
      <c r="F30" s="172">
        <f>'FS Jimbaran August 2021'!O40/'FS Jimbaran August 2021'!P40</f>
        <v>1124.0907225433536</v>
      </c>
      <c r="G30" s="174">
        <f>'FS Jimbaran August 2021'!AG40</f>
        <v>12</v>
      </c>
      <c r="H30" s="172">
        <f>'FS Jimbaran August 2021'!AH40/'FS Jimbaran August 2021'!AG40</f>
        <v>11458.333333333334</v>
      </c>
      <c r="I30" s="174">
        <f>'FS Jimbaran August 2021'!AJ40</f>
        <v>117.83999999999651</v>
      </c>
      <c r="J30" s="164">
        <f>'FS Jimbaran August 2021'!AK40/'FS Jimbaran August 2021'!AJ40</f>
        <v>9900.0000000000018</v>
      </c>
      <c r="K30" s="174">
        <f>'FS Jimbaran August 2021'!V40</f>
        <v>868.64</v>
      </c>
      <c r="L30" s="172">
        <f>'FS Jimbaran August 2021'!AA40/'FS Jimbaran August 2021'!V40</f>
        <v>6045.221967213115</v>
      </c>
      <c r="M30" s="174">
        <f>+'RNs &amp; Covers August 2021'!B34</f>
        <v>6</v>
      </c>
      <c r="N30" s="174">
        <f>+'RNs &amp; Covers August 2021'!C34</f>
        <v>97</v>
      </c>
    </row>
    <row r="31" spans="1:14" x14ac:dyDescent="0.25">
      <c r="A31" s="160" t="s">
        <v>49</v>
      </c>
      <c r="B31" s="161">
        <f t="shared" si="0"/>
        <v>30</v>
      </c>
      <c r="C31" s="162">
        <v>8</v>
      </c>
      <c r="D31" s="161">
        <v>2021</v>
      </c>
      <c r="E31" s="174">
        <f>'FS Jimbaran August 2021'!P41</f>
        <v>13839.999999999891</v>
      </c>
      <c r="F31" s="172">
        <f>'FS Jimbaran August 2021'!O41/'FS Jimbaran August 2021'!P41</f>
        <v>1123.342326589596</v>
      </c>
      <c r="G31" s="174">
        <f>'FS Jimbaran August 2021'!AG41</f>
        <v>12</v>
      </c>
      <c r="H31" s="172">
        <f>'FS Jimbaran August 2021'!AH41/'FS Jimbaran August 2021'!AG41</f>
        <v>11458.333333333334</v>
      </c>
      <c r="I31" s="174">
        <f>'FS Jimbaran August 2021'!AJ41</f>
        <v>281.34000000000378</v>
      </c>
      <c r="J31" s="164">
        <f>'FS Jimbaran August 2021'!AK41/'FS Jimbaran August 2021'!AJ41</f>
        <v>9900</v>
      </c>
      <c r="K31" s="174">
        <f>'FS Jimbaran August 2021'!V41</f>
        <v>936.28</v>
      </c>
      <c r="L31" s="172">
        <f>'FS Jimbaran August 2021'!AA41/'FS Jimbaran August 2021'!V41</f>
        <v>5915.1809125475293</v>
      </c>
      <c r="M31" s="174">
        <f>+'RNs &amp; Covers August 2021'!B35</f>
        <v>4</v>
      </c>
      <c r="N31" s="174">
        <f>+'RNs &amp; Covers August 2021'!C35</f>
        <v>46</v>
      </c>
    </row>
    <row r="32" spans="1:14" x14ac:dyDescent="0.25">
      <c r="A32" s="160" t="s">
        <v>49</v>
      </c>
      <c r="B32" s="161">
        <f t="shared" si="0"/>
        <v>31</v>
      </c>
      <c r="C32" s="162">
        <v>8</v>
      </c>
      <c r="D32" s="161">
        <v>2021</v>
      </c>
      <c r="E32" s="174">
        <f>'FS Jimbaran August 2021'!P42</f>
        <v>13180.000000000306</v>
      </c>
      <c r="F32" s="172">
        <f>'FS Jimbaran August 2021'!O42/'FS Jimbaran August 2021'!P42</f>
        <v>1123.0118512898302</v>
      </c>
      <c r="G32" s="174">
        <f>'FS Jimbaran August 2021'!AG42</f>
        <v>0</v>
      </c>
      <c r="H32" s="172" t="e">
        <f>'FS Jimbaran August 2021'!AH42/'FS Jimbaran August 2021'!AG42</f>
        <v>#DIV/0!</v>
      </c>
      <c r="I32" s="174">
        <f>'FS Jimbaran August 2021'!AJ42</f>
        <v>97.860000000000582</v>
      </c>
      <c r="J32" s="164">
        <f>'FS Jimbaran August 2021'!AK42/'FS Jimbaran August 2021'!AJ42</f>
        <v>9900</v>
      </c>
      <c r="K32" s="174">
        <f>'FS Jimbaran August 2021'!V42</f>
        <v>898.9</v>
      </c>
      <c r="L32" s="172">
        <f>'FS Jimbaran August 2021'!AA42/'FS Jimbaran August 2021'!V42</f>
        <v>5971.0370693069308</v>
      </c>
      <c r="M32" s="174">
        <f>+'RNs &amp; Covers August 2021'!B36</f>
        <v>3</v>
      </c>
      <c r="N32" s="174">
        <f>+'RNs &amp; Covers August 2021'!C36</f>
        <v>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6"/>
  <sheetViews>
    <sheetView tabSelected="1" zoomScale="62" zoomScaleNormal="62" workbookViewId="0">
      <pane xSplit="4" ySplit="10" topLeftCell="Q11" activePane="bottomRight" state="frozen"/>
      <selection pane="topRight" activeCell="E1" sqref="E1"/>
      <selection pane="bottomLeft" activeCell="A11" sqref="A11"/>
      <selection pane="bottomRight" activeCell="AJ47" sqref="AJ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13.14062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5"/>
      <c r="X5" s="176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27" t="s">
        <v>54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9"/>
      <c r="AM7" s="32"/>
    </row>
    <row r="8" spans="1:39" s="8" customFormat="1" ht="15.75" customHeight="1" thickBot="1" x14ac:dyDescent="0.3">
      <c r="A8" s="28"/>
      <c r="B8" s="230" t="s">
        <v>1</v>
      </c>
      <c r="C8" s="233" t="s">
        <v>2</v>
      </c>
      <c r="D8" s="236" t="s">
        <v>3</v>
      </c>
      <c r="E8" s="239" t="s">
        <v>34</v>
      </c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40"/>
      <c r="V8" s="241" t="s">
        <v>19</v>
      </c>
      <c r="W8" s="242"/>
      <c r="X8" s="242"/>
      <c r="Y8" s="242"/>
      <c r="Z8" s="242"/>
      <c r="AA8" s="242"/>
      <c r="AB8" s="243"/>
      <c r="AC8" s="244" t="s">
        <v>24</v>
      </c>
      <c r="AD8" s="244"/>
      <c r="AE8" s="244"/>
      <c r="AF8" s="244"/>
      <c r="AG8" s="244"/>
      <c r="AH8" s="244"/>
      <c r="AI8" s="244"/>
      <c r="AJ8" s="244"/>
      <c r="AK8" s="244"/>
      <c r="AL8" s="245"/>
      <c r="AM8" s="30"/>
    </row>
    <row r="9" spans="1:39" ht="15" customHeight="1" thickBot="1" x14ac:dyDescent="0.3">
      <c r="A9" s="31"/>
      <c r="B9" s="231"/>
      <c r="C9" s="234"/>
      <c r="D9" s="237"/>
      <c r="E9" s="246" t="s">
        <v>33</v>
      </c>
      <c r="F9" s="247"/>
      <c r="G9" s="247"/>
      <c r="H9" s="247"/>
      <c r="I9" s="248"/>
      <c r="J9" s="249" t="s">
        <v>5</v>
      </c>
      <c r="K9" s="249"/>
      <c r="L9" s="249"/>
      <c r="M9" s="249"/>
      <c r="N9" s="250"/>
      <c r="O9" s="236" t="s">
        <v>12</v>
      </c>
      <c r="P9" s="251" t="s">
        <v>32</v>
      </c>
      <c r="Q9" s="253" t="s">
        <v>52</v>
      </c>
      <c r="R9" s="219" t="s">
        <v>21</v>
      </c>
      <c r="S9" s="221" t="s">
        <v>13</v>
      </c>
      <c r="T9" s="223" t="s">
        <v>18</v>
      </c>
      <c r="U9" s="224"/>
      <c r="V9" s="53"/>
      <c r="W9" s="53" t="s">
        <v>4</v>
      </c>
      <c r="X9" s="53"/>
      <c r="Y9" s="54"/>
      <c r="Z9" s="181"/>
      <c r="AA9" s="225" t="s">
        <v>27</v>
      </c>
      <c r="AB9" s="226"/>
      <c r="AC9" s="244" t="s">
        <v>22</v>
      </c>
      <c r="AD9" s="244"/>
      <c r="AE9" s="244"/>
      <c r="AF9" s="244"/>
      <c r="AG9" s="244"/>
      <c r="AH9" s="244"/>
      <c r="AI9" s="245"/>
      <c r="AJ9" s="255" t="s">
        <v>20</v>
      </c>
      <c r="AK9" s="256"/>
      <c r="AL9" s="257"/>
      <c r="AM9" s="31"/>
    </row>
    <row r="10" spans="1:39" ht="61.5" customHeight="1" thickBot="1" x14ac:dyDescent="0.3">
      <c r="A10" s="29"/>
      <c r="B10" s="232"/>
      <c r="C10" s="235"/>
      <c r="D10" s="238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38"/>
      <c r="P10" s="252"/>
      <c r="Q10" s="254"/>
      <c r="R10" s="220"/>
      <c r="S10" s="222"/>
      <c r="T10" s="182" t="s">
        <v>16</v>
      </c>
      <c r="U10" s="24" t="s">
        <v>17</v>
      </c>
      <c r="V10" s="183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4"/>
      <c r="E11" s="185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6"/>
      <c r="R11" s="113"/>
      <c r="S11" s="187"/>
      <c r="T11" s="187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149">
        <v>4</v>
      </c>
      <c r="D12" s="151">
        <v>95</v>
      </c>
      <c r="E12" s="106">
        <v>9819.999999999709</v>
      </c>
      <c r="F12" s="3">
        <v>10171359.599999698</v>
      </c>
      <c r="G12" s="37">
        <v>1840.0000000000318</v>
      </c>
      <c r="H12" s="3">
        <v>2858752.8000000496</v>
      </c>
      <c r="I12" s="103">
        <f>F12+H12</f>
        <v>13030112.399999747</v>
      </c>
      <c r="J12" s="106">
        <v>1379.9999999999955</v>
      </c>
      <c r="K12" s="3">
        <v>1429376.3999999953</v>
      </c>
      <c r="L12" s="188">
        <v>340.00000000000341</v>
      </c>
      <c r="M12" s="189">
        <v>528247.80000000529</v>
      </c>
      <c r="N12" s="94">
        <f>+K12+M12</f>
        <v>1957624.2000000007</v>
      </c>
      <c r="O12" s="108">
        <f>N12+I12</f>
        <v>14987736.599999748</v>
      </c>
      <c r="P12" s="111">
        <f>L12+J12+G12+E12</f>
        <v>13379.99999999974</v>
      </c>
      <c r="Q12" s="135"/>
      <c r="R12" s="203"/>
      <c r="S12" s="217"/>
      <c r="T12" s="214"/>
      <c r="U12" s="212">
        <v>0</v>
      </c>
      <c r="V12" s="190">
        <f>Y12+W12</f>
        <v>849.06</v>
      </c>
      <c r="W12" s="3">
        <v>112.14</v>
      </c>
      <c r="X12" s="3">
        <v>2015211.87</v>
      </c>
      <c r="Y12" s="33">
        <v>736.92</v>
      </c>
      <c r="Z12" s="33">
        <v>3128358.0455999998</v>
      </c>
      <c r="AA12" s="33">
        <f t="shared" ref="AA12:AA39" si="0">Z12+X12</f>
        <v>5143569.9155999999</v>
      </c>
      <c r="AB12" s="128">
        <f t="shared" ref="AB12:AB39" si="1">AA12/$AL$48</f>
        <v>396.3882737866337</v>
      </c>
      <c r="AC12" s="134">
        <v>0</v>
      </c>
      <c r="AD12" s="3">
        <v>0</v>
      </c>
      <c r="AE12" s="3">
        <v>0</v>
      </c>
      <c r="AF12" s="3">
        <v>12</v>
      </c>
      <c r="AG12" s="3">
        <f t="shared" ref="AG12:AG31" si="2">+AE12+AF12</f>
        <v>12</v>
      </c>
      <c r="AH12" s="3">
        <v>137500</v>
      </c>
      <c r="AI12" s="43">
        <f t="shared" ref="AI12:AI39" si="3">AH12/$AL$48</f>
        <v>10.596412324513778</v>
      </c>
      <c r="AJ12" s="142">
        <v>108.75</v>
      </c>
      <c r="AK12" s="3">
        <v>1076625</v>
      </c>
      <c r="AL12" s="39">
        <f t="shared" ref="AL12:AL42" si="4">AK12/$AL$48</f>
        <v>82.969908500942893</v>
      </c>
      <c r="AM12" s="7"/>
    </row>
    <row r="13" spans="1:39" x14ac:dyDescent="0.25">
      <c r="A13" s="35"/>
      <c r="B13" s="58">
        <v>2</v>
      </c>
      <c r="C13" s="149">
        <v>5</v>
      </c>
      <c r="D13" s="151">
        <v>44</v>
      </c>
      <c r="E13" s="106">
        <v>9120.0000000003456</v>
      </c>
      <c r="F13" s="3">
        <v>9446313.6000003573</v>
      </c>
      <c r="G13" s="37">
        <v>1840.0000000000318</v>
      </c>
      <c r="H13" s="3">
        <v>2858752.8000000496</v>
      </c>
      <c r="I13" s="103">
        <f t="shared" ref="I13:I42" si="5">F13+H13</f>
        <v>12305066.400000406</v>
      </c>
      <c r="J13" s="106">
        <v>1379.9999999999955</v>
      </c>
      <c r="K13" s="3">
        <v>1429376.3999999953</v>
      </c>
      <c r="L13" s="188">
        <v>380.00000000000966</v>
      </c>
      <c r="M13" s="189">
        <v>590394.60000001499</v>
      </c>
      <c r="N13" s="94">
        <f t="shared" ref="N13:N41" si="6">+K13+M13</f>
        <v>2019771.0000000102</v>
      </c>
      <c r="O13" s="108">
        <f t="shared" ref="O13:O39" si="7">N13+I13</f>
        <v>14324837.400000416</v>
      </c>
      <c r="P13" s="111">
        <f t="shared" ref="P13:P39" si="8">L13+J13+G13+E13</f>
        <v>12720.000000000382</v>
      </c>
      <c r="Q13" s="193"/>
      <c r="R13" s="204"/>
      <c r="S13" s="217"/>
      <c r="T13" s="214"/>
      <c r="U13" s="212">
        <v>0</v>
      </c>
      <c r="V13" s="190">
        <f t="shared" ref="V13:V41" si="9">Y13+W13</f>
        <v>933.61</v>
      </c>
      <c r="W13" s="3">
        <v>111.25</v>
      </c>
      <c r="X13" s="3">
        <v>1999218.125</v>
      </c>
      <c r="Y13" s="33">
        <v>822.36</v>
      </c>
      <c r="Z13" s="33">
        <v>3491066.2248000004</v>
      </c>
      <c r="AA13" s="33">
        <f t="shared" si="0"/>
        <v>5490284.3498</v>
      </c>
      <c r="AB13" s="128">
        <f t="shared" si="1"/>
        <v>423.10775817676972</v>
      </c>
      <c r="AC13" s="134">
        <v>0</v>
      </c>
      <c r="AD13" s="3">
        <v>0</v>
      </c>
      <c r="AE13" s="3">
        <v>0</v>
      </c>
      <c r="AF13" s="3">
        <v>0</v>
      </c>
      <c r="AG13" s="3">
        <f t="shared" si="2"/>
        <v>0</v>
      </c>
      <c r="AH13" s="3">
        <v>0</v>
      </c>
      <c r="AI13" s="43">
        <f t="shared" si="3"/>
        <v>0</v>
      </c>
      <c r="AJ13" s="142">
        <v>346.97000000000116</v>
      </c>
      <c r="AK13" s="3">
        <v>3435003.0000000116</v>
      </c>
      <c r="AL13" s="39">
        <f t="shared" si="4"/>
        <v>264.7178772650322</v>
      </c>
      <c r="AM13" s="7"/>
    </row>
    <row r="14" spans="1:39" x14ac:dyDescent="0.25">
      <c r="A14" s="35"/>
      <c r="B14" s="58">
        <v>3</v>
      </c>
      <c r="C14" s="149">
        <v>3</v>
      </c>
      <c r="D14" s="151">
        <v>47</v>
      </c>
      <c r="E14" s="106">
        <v>9000</v>
      </c>
      <c r="F14" s="3">
        <v>9322020</v>
      </c>
      <c r="G14" s="37">
        <v>1720.0000000000273</v>
      </c>
      <c r="H14" s="3">
        <v>2672312.4000000427</v>
      </c>
      <c r="I14" s="103">
        <f t="shared" si="5"/>
        <v>11994332.400000043</v>
      </c>
      <c r="J14" s="106">
        <v>1379.9999999999955</v>
      </c>
      <c r="K14" s="3">
        <v>1429376.3999999953</v>
      </c>
      <c r="L14" s="188">
        <v>339.9999999999892</v>
      </c>
      <c r="M14" s="189">
        <v>528247.79999998328</v>
      </c>
      <c r="N14" s="94">
        <f t="shared" si="6"/>
        <v>1957624.1999999785</v>
      </c>
      <c r="O14" s="108">
        <f t="shared" si="7"/>
        <v>13951956.600000022</v>
      </c>
      <c r="P14" s="111">
        <f t="shared" si="8"/>
        <v>12440.000000000011</v>
      </c>
      <c r="Q14" s="193"/>
      <c r="R14" s="204"/>
      <c r="S14" s="217"/>
      <c r="T14" s="214"/>
      <c r="U14" s="212">
        <v>0</v>
      </c>
      <c r="V14" s="190">
        <f t="shared" si="9"/>
        <v>890.89</v>
      </c>
      <c r="W14" s="3">
        <v>112.14</v>
      </c>
      <c r="X14" s="3">
        <v>2015211.87</v>
      </c>
      <c r="Y14" s="33">
        <v>778.75</v>
      </c>
      <c r="Z14" s="33">
        <v>3305933.9250000003</v>
      </c>
      <c r="AA14" s="33">
        <f t="shared" si="0"/>
        <v>5321145.7949999999</v>
      </c>
      <c r="AB14" s="128">
        <f t="shared" si="1"/>
        <v>410.07312641943759</v>
      </c>
      <c r="AC14" s="134">
        <v>0</v>
      </c>
      <c r="AD14" s="3">
        <v>0</v>
      </c>
      <c r="AE14" s="3">
        <v>0</v>
      </c>
      <c r="AF14" s="3">
        <v>0</v>
      </c>
      <c r="AG14" s="3">
        <f t="shared" si="2"/>
        <v>0</v>
      </c>
      <c r="AH14" s="3">
        <v>0</v>
      </c>
      <c r="AI14" s="43">
        <f t="shared" si="3"/>
        <v>0</v>
      </c>
      <c r="AJ14" s="142">
        <v>276.88999999999942</v>
      </c>
      <c r="AK14" s="3">
        <v>2741210.9999999944</v>
      </c>
      <c r="AL14" s="39">
        <f t="shared" si="4"/>
        <v>211.25092381449221</v>
      </c>
      <c r="AM14" s="7"/>
    </row>
    <row r="15" spans="1:39" x14ac:dyDescent="0.25">
      <c r="A15" s="35"/>
      <c r="B15" s="58">
        <v>4</v>
      </c>
      <c r="C15" s="149">
        <v>3</v>
      </c>
      <c r="D15" s="151">
        <v>43</v>
      </c>
      <c r="E15" s="106">
        <v>9519.9999999999818</v>
      </c>
      <c r="F15" s="3">
        <v>9860625.599999981</v>
      </c>
      <c r="G15" s="37">
        <v>1959.9999999999227</v>
      </c>
      <c r="H15" s="3">
        <v>3045193.19999988</v>
      </c>
      <c r="I15" s="103">
        <f t="shared" si="5"/>
        <v>12905818.799999861</v>
      </c>
      <c r="J15" s="106">
        <v>1379.9999999999955</v>
      </c>
      <c r="K15" s="3">
        <v>1429376.3999999953</v>
      </c>
      <c r="L15" s="188">
        <v>359.99999999999943</v>
      </c>
      <c r="M15" s="189">
        <v>559321.19999999914</v>
      </c>
      <c r="N15" s="94">
        <f t="shared" si="6"/>
        <v>1988697.5999999945</v>
      </c>
      <c r="O15" s="108">
        <f t="shared" si="7"/>
        <v>14894516.399999855</v>
      </c>
      <c r="P15" s="111">
        <f t="shared" si="8"/>
        <v>13219.9999999999</v>
      </c>
      <c r="Q15" s="193"/>
      <c r="R15" s="204"/>
      <c r="S15" s="217"/>
      <c r="T15" s="214"/>
      <c r="U15" s="212">
        <v>0</v>
      </c>
      <c r="V15" s="190">
        <f t="shared" si="9"/>
        <v>896.23</v>
      </c>
      <c r="W15" s="3">
        <v>112.14</v>
      </c>
      <c r="X15" s="3">
        <v>2015211.87</v>
      </c>
      <c r="Y15" s="33">
        <v>784.09</v>
      </c>
      <c r="Z15" s="33">
        <v>3328603.1862000003</v>
      </c>
      <c r="AA15" s="33">
        <f t="shared" si="0"/>
        <v>5343815.0562000005</v>
      </c>
      <c r="AB15" s="128">
        <f t="shared" si="1"/>
        <v>411.8201288831998</v>
      </c>
      <c r="AC15" s="134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3">
        <f t="shared" si="3"/>
        <v>0</v>
      </c>
      <c r="AJ15" s="142">
        <v>385.38999999999942</v>
      </c>
      <c r="AK15" s="3">
        <v>3815360.9999999944</v>
      </c>
      <c r="AL15" s="39">
        <f t="shared" si="4"/>
        <v>294.03009689359385</v>
      </c>
      <c r="AM15" s="7"/>
    </row>
    <row r="16" spans="1:39" x14ac:dyDescent="0.25">
      <c r="A16" s="35"/>
      <c r="B16" s="58">
        <v>5</v>
      </c>
      <c r="C16" s="149">
        <v>3</v>
      </c>
      <c r="D16" s="151">
        <v>27</v>
      </c>
      <c r="E16" s="106">
        <v>9719.9999999997999</v>
      </c>
      <c r="F16" s="3">
        <v>10067781.599999793</v>
      </c>
      <c r="G16" s="37">
        <v>1920.0000000000728</v>
      </c>
      <c r="H16" s="3">
        <v>2983046.4000001131</v>
      </c>
      <c r="I16" s="103">
        <f t="shared" si="5"/>
        <v>13050827.999999907</v>
      </c>
      <c r="J16" s="106">
        <v>1339.999999999975</v>
      </c>
      <c r="K16" s="3">
        <v>1387945.1999999741</v>
      </c>
      <c r="L16" s="188">
        <v>320.00000000000739</v>
      </c>
      <c r="M16" s="189">
        <v>497174.40000001149</v>
      </c>
      <c r="N16" s="94">
        <f t="shared" si="6"/>
        <v>1885119.5999999857</v>
      </c>
      <c r="O16" s="108">
        <f t="shared" si="7"/>
        <v>14935947.599999893</v>
      </c>
      <c r="P16" s="111">
        <f t="shared" si="8"/>
        <v>13299.999999999854</v>
      </c>
      <c r="Q16" s="193"/>
      <c r="R16" s="204"/>
      <c r="S16" s="217"/>
      <c r="T16" s="214"/>
      <c r="U16" s="212">
        <v>0</v>
      </c>
      <c r="V16" s="190">
        <f t="shared" si="9"/>
        <v>1032.4000000000001</v>
      </c>
      <c r="W16" s="3">
        <v>111.25</v>
      </c>
      <c r="X16" s="3">
        <v>1999218.125</v>
      </c>
      <c r="Y16" s="33">
        <v>921.15</v>
      </c>
      <c r="Z16" s="33">
        <v>3910447.557</v>
      </c>
      <c r="AA16" s="33">
        <f t="shared" si="0"/>
        <v>5909665.682</v>
      </c>
      <c r="AB16" s="128">
        <f t="shared" si="1"/>
        <v>455.42730375637035</v>
      </c>
      <c r="AC16" s="134">
        <v>0</v>
      </c>
      <c r="AD16" s="3">
        <v>0</v>
      </c>
      <c r="AE16" s="3">
        <v>0</v>
      </c>
      <c r="AF16" s="3">
        <v>0</v>
      </c>
      <c r="AG16" s="3">
        <f t="shared" si="2"/>
        <v>0</v>
      </c>
      <c r="AH16" s="3">
        <v>0</v>
      </c>
      <c r="AI16" s="43">
        <f t="shared" si="3"/>
        <v>0</v>
      </c>
      <c r="AJ16" s="142">
        <v>117.19999999999709</v>
      </c>
      <c r="AK16" s="3">
        <v>1160279.9999999711</v>
      </c>
      <c r="AL16" s="39">
        <f t="shared" si="4"/>
        <v>89.416765759174851</v>
      </c>
      <c r="AM16" s="7"/>
    </row>
    <row r="17" spans="1:39" x14ac:dyDescent="0.25">
      <c r="A17" s="35"/>
      <c r="B17" s="58">
        <v>6</v>
      </c>
      <c r="C17" s="149">
        <v>5</v>
      </c>
      <c r="D17" s="151">
        <v>46</v>
      </c>
      <c r="E17" s="106">
        <v>9760.0000000002183</v>
      </c>
      <c r="F17" s="3">
        <v>10109212.800000226</v>
      </c>
      <c r="G17" s="37">
        <v>2039.9999999999636</v>
      </c>
      <c r="H17" s="3">
        <v>3169486.7999999435</v>
      </c>
      <c r="I17" s="103">
        <f t="shared" si="5"/>
        <v>13278699.600000169</v>
      </c>
      <c r="J17" s="106">
        <v>1300.0000000000114</v>
      </c>
      <c r="K17" s="3">
        <v>1346514.0000000116</v>
      </c>
      <c r="L17" s="188">
        <v>319.99999999999318</v>
      </c>
      <c r="M17" s="189">
        <v>497174.39999998943</v>
      </c>
      <c r="N17" s="94">
        <f t="shared" si="6"/>
        <v>1843688.4000000011</v>
      </c>
      <c r="O17" s="108">
        <f t="shared" si="7"/>
        <v>15122388.00000017</v>
      </c>
      <c r="P17" s="111">
        <f t="shared" si="8"/>
        <v>13420.000000000186</v>
      </c>
      <c r="Q17" s="193"/>
      <c r="R17" s="204"/>
      <c r="S17" s="217"/>
      <c r="T17" s="214"/>
      <c r="U17" s="212">
        <v>0</v>
      </c>
      <c r="V17" s="190">
        <f t="shared" si="9"/>
        <v>952.30000000000007</v>
      </c>
      <c r="W17" s="3">
        <v>109.47</v>
      </c>
      <c r="X17" s="3">
        <v>1967230.635</v>
      </c>
      <c r="Y17" s="33">
        <v>842.83</v>
      </c>
      <c r="Z17" s="33">
        <v>3577965.0594000006</v>
      </c>
      <c r="AA17" s="33">
        <f t="shared" si="0"/>
        <v>5545195.6944000004</v>
      </c>
      <c r="AB17" s="128">
        <f t="shared" si="1"/>
        <v>427.33949089440659</v>
      </c>
      <c r="AC17" s="134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3">
        <f t="shared" si="3"/>
        <v>0</v>
      </c>
      <c r="AJ17" s="142">
        <v>323.88000000000466</v>
      </c>
      <c r="AK17" s="3">
        <v>3206412.0000000461</v>
      </c>
      <c r="AL17" s="39">
        <f t="shared" si="4"/>
        <v>247.10155370377717</v>
      </c>
      <c r="AM17" s="7"/>
    </row>
    <row r="18" spans="1:39" x14ac:dyDescent="0.25">
      <c r="A18" s="35"/>
      <c r="B18" s="58">
        <v>7</v>
      </c>
      <c r="C18" s="149">
        <v>5</v>
      </c>
      <c r="D18" s="151">
        <v>74</v>
      </c>
      <c r="E18" s="106">
        <v>9960.0000000000364</v>
      </c>
      <c r="F18" s="3">
        <v>10316368.800000038</v>
      </c>
      <c r="G18" s="37">
        <v>2000</v>
      </c>
      <c r="H18" s="3">
        <v>3107340</v>
      </c>
      <c r="I18" s="103">
        <f t="shared" si="5"/>
        <v>13423708.800000038</v>
      </c>
      <c r="J18" s="106">
        <v>1280.0000000000296</v>
      </c>
      <c r="K18" s="3">
        <v>1325798.4000000306</v>
      </c>
      <c r="L18" s="188">
        <v>320.00000000000739</v>
      </c>
      <c r="M18" s="189">
        <v>497174.40000001149</v>
      </c>
      <c r="N18" s="94">
        <f t="shared" si="6"/>
        <v>1822972.8000000422</v>
      </c>
      <c r="O18" s="108">
        <f t="shared" si="7"/>
        <v>15246681.60000008</v>
      </c>
      <c r="P18" s="111">
        <f t="shared" si="8"/>
        <v>13560.000000000073</v>
      </c>
      <c r="Q18" s="193"/>
      <c r="R18" s="204"/>
      <c r="S18" s="217"/>
      <c r="T18" s="214"/>
      <c r="U18" s="212">
        <v>0</v>
      </c>
      <c r="V18" s="190">
        <f t="shared" si="9"/>
        <v>1000.36</v>
      </c>
      <c r="W18" s="3">
        <v>113.03</v>
      </c>
      <c r="X18" s="3">
        <v>2031205.615</v>
      </c>
      <c r="Y18" s="33">
        <v>887.33</v>
      </c>
      <c r="Z18" s="33">
        <v>3766875.5694000004</v>
      </c>
      <c r="AA18" s="33">
        <f t="shared" si="0"/>
        <v>5798081.1844000006</v>
      </c>
      <c r="AB18" s="128">
        <f t="shared" si="1"/>
        <v>446.82806487932811</v>
      </c>
      <c r="AC18" s="134">
        <v>0</v>
      </c>
      <c r="AD18" s="3">
        <v>0</v>
      </c>
      <c r="AE18" s="3">
        <v>0</v>
      </c>
      <c r="AF18" s="3">
        <v>12</v>
      </c>
      <c r="AG18" s="3">
        <f t="shared" si="2"/>
        <v>12</v>
      </c>
      <c r="AH18" s="3">
        <v>137500</v>
      </c>
      <c r="AI18" s="43">
        <f t="shared" si="3"/>
        <v>10.596412324513778</v>
      </c>
      <c r="AJ18" s="142">
        <v>245.56999999999971</v>
      </c>
      <c r="AK18" s="3">
        <v>2431142.9999999972</v>
      </c>
      <c r="AL18" s="39">
        <f t="shared" si="4"/>
        <v>187.35559016622088</v>
      </c>
      <c r="AM18" s="7"/>
    </row>
    <row r="19" spans="1:39" x14ac:dyDescent="0.25">
      <c r="A19" s="35"/>
      <c r="B19" s="58">
        <v>8</v>
      </c>
      <c r="C19" s="149">
        <v>3</v>
      </c>
      <c r="D19" s="151">
        <v>51</v>
      </c>
      <c r="E19" s="106">
        <v>9799.9999999997272</v>
      </c>
      <c r="F19" s="3">
        <v>10150643.999999717</v>
      </c>
      <c r="G19" s="37">
        <v>1960.0000000000364</v>
      </c>
      <c r="H19" s="3">
        <v>3045193.2000000565</v>
      </c>
      <c r="I19" s="103">
        <f t="shared" si="5"/>
        <v>13195837.199999774</v>
      </c>
      <c r="J19" s="106">
        <v>1259.9999999999909</v>
      </c>
      <c r="K19" s="3">
        <v>1305082.7999999905</v>
      </c>
      <c r="L19" s="188">
        <v>319.99999999999318</v>
      </c>
      <c r="M19" s="189">
        <v>497174.39999998943</v>
      </c>
      <c r="N19" s="94">
        <f t="shared" si="6"/>
        <v>1802257.1999999799</v>
      </c>
      <c r="O19" s="108">
        <f t="shared" si="7"/>
        <v>14998094.399999755</v>
      </c>
      <c r="P19" s="111">
        <f t="shared" si="8"/>
        <v>13339.999999999747</v>
      </c>
      <c r="Q19" s="193"/>
      <c r="R19" s="204"/>
      <c r="S19" s="217"/>
      <c r="T19" s="214"/>
      <c r="U19" s="212">
        <v>0</v>
      </c>
      <c r="V19" s="190">
        <f t="shared" si="9"/>
        <v>880.21</v>
      </c>
      <c r="W19" s="3">
        <v>111.25</v>
      </c>
      <c r="X19" s="3">
        <v>1999218.125</v>
      </c>
      <c r="Y19" s="33">
        <v>768.96</v>
      </c>
      <c r="Z19" s="33">
        <v>3264373.6128000002</v>
      </c>
      <c r="AA19" s="33">
        <f t="shared" si="0"/>
        <v>5263591.7378000002</v>
      </c>
      <c r="AB19" s="128">
        <f t="shared" si="1"/>
        <v>405.6377335391478</v>
      </c>
      <c r="AC19" s="134">
        <v>0</v>
      </c>
      <c r="AD19" s="3">
        <v>0</v>
      </c>
      <c r="AE19" s="3">
        <v>400</v>
      </c>
      <c r="AF19" s="3">
        <v>0</v>
      </c>
      <c r="AG19" s="3">
        <f t="shared" si="2"/>
        <v>400</v>
      </c>
      <c r="AH19" s="3">
        <v>5896000</v>
      </c>
      <c r="AI19" s="43">
        <f t="shared" si="3"/>
        <v>454.3741604751508</v>
      </c>
      <c r="AJ19" s="142">
        <v>101.97999999999593</v>
      </c>
      <c r="AK19" s="3">
        <v>1009601.9999999597</v>
      </c>
      <c r="AL19" s="39">
        <f t="shared" si="4"/>
        <v>77.80479327747878</v>
      </c>
      <c r="AM19" s="7"/>
    </row>
    <row r="20" spans="1:39" x14ac:dyDescent="0.25">
      <c r="A20" s="35"/>
      <c r="B20" s="58">
        <v>9</v>
      </c>
      <c r="C20" s="149">
        <v>5</v>
      </c>
      <c r="D20" s="151">
        <v>40</v>
      </c>
      <c r="E20" s="106">
        <v>9760.0000000002183</v>
      </c>
      <c r="F20" s="3">
        <v>10109212.800000226</v>
      </c>
      <c r="G20" s="37">
        <v>1919.9999999999591</v>
      </c>
      <c r="H20" s="3">
        <v>2983046.3999999366</v>
      </c>
      <c r="I20" s="103">
        <f t="shared" si="5"/>
        <v>13092259.200000163</v>
      </c>
      <c r="J20" s="106">
        <v>1219.9999999999704</v>
      </c>
      <c r="K20" s="3">
        <v>1263651.5999999694</v>
      </c>
      <c r="L20" s="188">
        <v>320.00000000000739</v>
      </c>
      <c r="M20" s="189">
        <v>497174.40000001149</v>
      </c>
      <c r="N20" s="94">
        <f t="shared" si="6"/>
        <v>1760825.9999999809</v>
      </c>
      <c r="O20" s="108">
        <f t="shared" si="7"/>
        <v>14853085.200000145</v>
      </c>
      <c r="P20" s="111">
        <f t="shared" si="8"/>
        <v>13220.000000000155</v>
      </c>
      <c r="Q20" s="193"/>
      <c r="R20" s="204"/>
      <c r="S20" s="217"/>
      <c r="T20" s="214"/>
      <c r="U20" s="212">
        <v>0</v>
      </c>
      <c r="V20" s="190">
        <f t="shared" si="9"/>
        <v>943.4</v>
      </c>
      <c r="W20" s="3">
        <v>111.25</v>
      </c>
      <c r="X20" s="3">
        <v>1999218.125</v>
      </c>
      <c r="Y20" s="33">
        <v>832.15</v>
      </c>
      <c r="Z20" s="33">
        <v>3532626.537</v>
      </c>
      <c r="AA20" s="33">
        <f t="shared" si="0"/>
        <v>5531844.6620000005</v>
      </c>
      <c r="AB20" s="128">
        <f t="shared" si="1"/>
        <v>426.31059602700049</v>
      </c>
      <c r="AC20" s="134">
        <v>0</v>
      </c>
      <c r="AD20" s="3">
        <v>0</v>
      </c>
      <c r="AE20" s="3">
        <v>0</v>
      </c>
      <c r="AF20" s="3">
        <v>12</v>
      </c>
      <c r="AG20" s="3">
        <f t="shared" si="2"/>
        <v>12</v>
      </c>
      <c r="AH20" s="3">
        <v>137500</v>
      </c>
      <c r="AI20" s="43">
        <f t="shared" si="3"/>
        <v>10.596412324513778</v>
      </c>
      <c r="AJ20" s="142">
        <v>378.90000000000146</v>
      </c>
      <c r="AK20" s="3">
        <v>3751110.0000000144</v>
      </c>
      <c r="AL20" s="39">
        <f t="shared" si="4"/>
        <v>289.07860534259663</v>
      </c>
      <c r="AM20" s="7"/>
    </row>
    <row r="21" spans="1:39" x14ac:dyDescent="0.25">
      <c r="A21" s="35"/>
      <c r="B21" s="58">
        <v>10</v>
      </c>
      <c r="C21" s="149">
        <v>3</v>
      </c>
      <c r="D21" s="151">
        <v>42</v>
      </c>
      <c r="E21" s="106">
        <v>9039.9999999999636</v>
      </c>
      <c r="F21" s="3">
        <v>9363451.199999962</v>
      </c>
      <c r="G21" s="37">
        <v>1919.9999999999591</v>
      </c>
      <c r="H21" s="3">
        <v>2983046.3999999366</v>
      </c>
      <c r="I21" s="103">
        <f t="shared" si="5"/>
        <v>12346497.599999899</v>
      </c>
      <c r="J21" s="106">
        <v>1220.0000000000273</v>
      </c>
      <c r="K21" s="3">
        <v>1263651.6000000283</v>
      </c>
      <c r="L21" s="188">
        <v>299.99999999999716</v>
      </c>
      <c r="M21" s="189">
        <v>466100.99999999563</v>
      </c>
      <c r="N21" s="94">
        <f t="shared" si="6"/>
        <v>1729752.6000000238</v>
      </c>
      <c r="O21" s="108">
        <f t="shared" si="7"/>
        <v>14076250.199999923</v>
      </c>
      <c r="P21" s="111">
        <f t="shared" si="8"/>
        <v>12479.999999999947</v>
      </c>
      <c r="Q21" s="193"/>
      <c r="R21" s="204"/>
      <c r="S21" s="217"/>
      <c r="T21" s="214"/>
      <c r="U21" s="212">
        <v>0</v>
      </c>
      <c r="V21" s="190">
        <f t="shared" si="9"/>
        <v>853.51</v>
      </c>
      <c r="W21" s="3">
        <v>113.92</v>
      </c>
      <c r="X21" s="3">
        <v>2047199.36</v>
      </c>
      <c r="Y21" s="33">
        <v>739.59</v>
      </c>
      <c r="Z21" s="33">
        <v>3139692.6762000006</v>
      </c>
      <c r="AA21" s="33">
        <f t="shared" si="0"/>
        <v>5186892.0362000009</v>
      </c>
      <c r="AB21" s="128">
        <f t="shared" si="1"/>
        <v>399.72688507863313</v>
      </c>
      <c r="AC21" s="134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3">
        <f t="shared" si="3"/>
        <v>0</v>
      </c>
      <c r="AJ21" s="142">
        <v>135.01000000000204</v>
      </c>
      <c r="AK21" s="3">
        <v>1336599.0000000203</v>
      </c>
      <c r="AL21" s="39">
        <f t="shared" si="4"/>
        <v>103.00475721114914</v>
      </c>
      <c r="AM21" s="7"/>
    </row>
    <row r="22" spans="1:39" x14ac:dyDescent="0.25">
      <c r="A22" s="35"/>
      <c r="B22" s="58">
        <v>11</v>
      </c>
      <c r="C22" s="149">
        <v>3</v>
      </c>
      <c r="D22" s="151">
        <v>32</v>
      </c>
      <c r="E22" s="106">
        <v>9719.9999999997999</v>
      </c>
      <c r="F22" s="3">
        <v>10067781.599999793</v>
      </c>
      <c r="G22" s="37">
        <v>1960.0000000000364</v>
      </c>
      <c r="H22" s="3">
        <v>3045193.2000000565</v>
      </c>
      <c r="I22" s="103">
        <f t="shared" si="5"/>
        <v>13112974.79999985</v>
      </c>
      <c r="J22" s="106">
        <v>1240.0000000000091</v>
      </c>
      <c r="K22" s="3">
        <v>1284367.2000000095</v>
      </c>
      <c r="L22" s="188">
        <v>359.99999999999943</v>
      </c>
      <c r="M22" s="189">
        <v>559321.19999999914</v>
      </c>
      <c r="N22" s="94">
        <f t="shared" si="6"/>
        <v>1843688.4000000088</v>
      </c>
      <c r="O22" s="108">
        <f t="shared" si="7"/>
        <v>14956663.199999858</v>
      </c>
      <c r="P22" s="111">
        <f t="shared" si="8"/>
        <v>13279.999999999845</v>
      </c>
      <c r="Q22" s="193"/>
      <c r="R22" s="204"/>
      <c r="S22" s="217"/>
      <c r="T22" s="214"/>
      <c r="U22" s="212">
        <v>0</v>
      </c>
      <c r="V22" s="190">
        <f t="shared" si="9"/>
        <v>929.16</v>
      </c>
      <c r="W22" s="3">
        <v>111.25</v>
      </c>
      <c r="X22" s="3">
        <v>1999218.125</v>
      </c>
      <c r="Y22" s="33">
        <v>817.91</v>
      </c>
      <c r="Z22" s="33">
        <v>3472175.1738</v>
      </c>
      <c r="AA22" s="33">
        <f t="shared" si="0"/>
        <v>5471393.2988</v>
      </c>
      <c r="AB22" s="128">
        <f t="shared" si="1"/>
        <v>421.65192279030123</v>
      </c>
      <c r="AC22" s="134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3">
        <f t="shared" si="3"/>
        <v>0</v>
      </c>
      <c r="AJ22" s="142">
        <v>520.13999999997759</v>
      </c>
      <c r="AK22" s="3">
        <v>5149385.9999997783</v>
      </c>
      <c r="AL22" s="39">
        <f t="shared" si="4"/>
        <v>396.83648926600989</v>
      </c>
      <c r="AM22" s="7"/>
    </row>
    <row r="23" spans="1:39" x14ac:dyDescent="0.25">
      <c r="A23" s="35"/>
      <c r="B23" s="58">
        <v>12</v>
      </c>
      <c r="C23" s="149">
        <v>5</v>
      </c>
      <c r="D23" s="151">
        <v>37</v>
      </c>
      <c r="E23" s="106">
        <v>9800.0000000001819</v>
      </c>
      <c r="F23" s="3">
        <v>10150644.000000188</v>
      </c>
      <c r="G23" s="37">
        <v>1960.0000000000364</v>
      </c>
      <c r="H23" s="3">
        <v>3045193.2000000565</v>
      </c>
      <c r="I23" s="103">
        <f t="shared" si="5"/>
        <v>13195837.200000245</v>
      </c>
      <c r="J23" s="106">
        <v>1359.9999999999568</v>
      </c>
      <c r="K23" s="3">
        <v>1408660.7999999551</v>
      </c>
      <c r="L23" s="188">
        <v>319.99999999999318</v>
      </c>
      <c r="M23" s="189">
        <v>497174.39999998943</v>
      </c>
      <c r="N23" s="94">
        <f t="shared" si="6"/>
        <v>1905835.1999999445</v>
      </c>
      <c r="O23" s="108">
        <f t="shared" si="7"/>
        <v>15101672.40000019</v>
      </c>
      <c r="P23" s="111">
        <f t="shared" si="8"/>
        <v>13440.000000000167</v>
      </c>
      <c r="Q23" s="193"/>
      <c r="R23" s="204"/>
      <c r="S23" s="217"/>
      <c r="T23" s="214"/>
      <c r="U23" s="212">
        <v>0</v>
      </c>
      <c r="V23" s="190">
        <f t="shared" si="9"/>
        <v>1001.25</v>
      </c>
      <c r="W23" s="3">
        <v>112.14</v>
      </c>
      <c r="X23" s="3">
        <v>2015211.87</v>
      </c>
      <c r="Y23" s="33">
        <v>889.11</v>
      </c>
      <c r="Z23" s="33">
        <v>3774431.9898000001</v>
      </c>
      <c r="AA23" s="33">
        <f t="shared" si="0"/>
        <v>5789643.8597999997</v>
      </c>
      <c r="AB23" s="128">
        <f t="shared" si="1"/>
        <v>446.17784400385631</v>
      </c>
      <c r="AC23" s="134">
        <v>0</v>
      </c>
      <c r="AD23" s="3">
        <v>0</v>
      </c>
      <c r="AE23" s="3">
        <v>0</v>
      </c>
      <c r="AF23" s="3">
        <v>12</v>
      </c>
      <c r="AG23" s="3">
        <f t="shared" si="2"/>
        <v>12</v>
      </c>
      <c r="AH23" s="3">
        <v>137500</v>
      </c>
      <c r="AI23" s="43">
        <f t="shared" si="3"/>
        <v>10.596412324513778</v>
      </c>
      <c r="AJ23" s="142">
        <v>287.86000000002241</v>
      </c>
      <c r="AK23" s="3">
        <v>2849814.0000002217</v>
      </c>
      <c r="AL23" s="39">
        <f t="shared" si="4"/>
        <v>219.6203941249037</v>
      </c>
      <c r="AM23" s="7"/>
    </row>
    <row r="24" spans="1:39" x14ac:dyDescent="0.25">
      <c r="A24" s="35"/>
      <c r="B24" s="58">
        <v>13</v>
      </c>
      <c r="C24" s="149">
        <v>5</v>
      </c>
      <c r="D24" s="151">
        <v>34</v>
      </c>
      <c r="E24" s="106">
        <v>9799.9999999997272</v>
      </c>
      <c r="F24" s="3">
        <v>10150643.999999717</v>
      </c>
      <c r="G24" s="37">
        <v>1919.9999999999591</v>
      </c>
      <c r="H24" s="3">
        <v>2983046.3999999366</v>
      </c>
      <c r="I24" s="103">
        <f t="shared" si="5"/>
        <v>13133690.399999654</v>
      </c>
      <c r="J24" s="106">
        <v>1400.0000000000341</v>
      </c>
      <c r="K24" s="3">
        <v>1450092.0000000354</v>
      </c>
      <c r="L24" s="188">
        <v>340.00000000000341</v>
      </c>
      <c r="M24" s="189">
        <v>528247.80000000529</v>
      </c>
      <c r="N24" s="94">
        <f t="shared" si="6"/>
        <v>1978339.8000000408</v>
      </c>
      <c r="O24" s="108">
        <f t="shared" si="7"/>
        <v>15112030.199999694</v>
      </c>
      <c r="P24" s="111">
        <f t="shared" si="8"/>
        <v>13459.999999999724</v>
      </c>
      <c r="Q24" s="193"/>
      <c r="R24" s="204"/>
      <c r="S24" s="217"/>
      <c r="T24" s="214"/>
      <c r="U24" s="212">
        <v>0</v>
      </c>
      <c r="V24" s="190">
        <f>Y24+W24</f>
        <v>1028.8399999999999</v>
      </c>
      <c r="W24" s="3">
        <v>113.92</v>
      </c>
      <c r="X24" s="3">
        <v>2047199.36</v>
      </c>
      <c r="Y24" s="33">
        <v>914.92</v>
      </c>
      <c r="Z24" s="33">
        <v>3884000.0855999999</v>
      </c>
      <c r="AA24" s="33">
        <f t="shared" si="0"/>
        <v>5931199.4456000002</v>
      </c>
      <c r="AB24" s="128">
        <f t="shared" si="1"/>
        <v>457.08679930549187</v>
      </c>
      <c r="AC24" s="134">
        <v>0</v>
      </c>
      <c r="AD24" s="3">
        <v>0</v>
      </c>
      <c r="AE24" s="3">
        <v>0</v>
      </c>
      <c r="AF24" s="3">
        <v>0</v>
      </c>
      <c r="AG24" s="3">
        <f t="shared" si="2"/>
        <v>0</v>
      </c>
      <c r="AH24" s="3">
        <v>0</v>
      </c>
      <c r="AI24" s="43">
        <f t="shared" si="3"/>
        <v>0</v>
      </c>
      <c r="AJ24" s="142">
        <v>321.77999999999884</v>
      </c>
      <c r="AK24" s="3">
        <v>3185621.9999999884</v>
      </c>
      <c r="AL24" s="39">
        <f t="shared" si="4"/>
        <v>245.49937616030624</v>
      </c>
      <c r="AM24" s="7"/>
    </row>
    <row r="25" spans="1:39" x14ac:dyDescent="0.25">
      <c r="A25" s="35"/>
      <c r="B25" s="58">
        <v>14</v>
      </c>
      <c r="C25" s="149">
        <v>5</v>
      </c>
      <c r="D25" s="151">
        <v>56</v>
      </c>
      <c r="E25" s="106">
        <v>9640.0000000003274</v>
      </c>
      <c r="F25" s="3">
        <v>9984919.2000003383</v>
      </c>
      <c r="G25" s="37">
        <v>2039.9999999999636</v>
      </c>
      <c r="H25" s="3">
        <v>3169486.7999999435</v>
      </c>
      <c r="I25" s="103">
        <f t="shared" si="5"/>
        <v>13154406.000000281</v>
      </c>
      <c r="J25" s="106">
        <v>1339.999999999975</v>
      </c>
      <c r="K25" s="3">
        <v>1387945.1999999741</v>
      </c>
      <c r="L25" s="188">
        <v>359.99999999999943</v>
      </c>
      <c r="M25" s="189">
        <v>559321.19999999914</v>
      </c>
      <c r="N25" s="94">
        <f t="shared" si="6"/>
        <v>1947266.3999999734</v>
      </c>
      <c r="O25" s="108">
        <f t="shared" si="7"/>
        <v>15101672.400000256</v>
      </c>
      <c r="P25" s="111">
        <f t="shared" si="8"/>
        <v>13380.000000000266</v>
      </c>
      <c r="Q25" s="193"/>
      <c r="R25" s="204"/>
      <c r="S25" s="217"/>
      <c r="T25" s="214"/>
      <c r="U25" s="212">
        <v>0</v>
      </c>
      <c r="V25" s="190">
        <f t="shared" si="9"/>
        <v>1003.92</v>
      </c>
      <c r="W25" s="3">
        <v>112.14</v>
      </c>
      <c r="X25" s="3">
        <v>2015211.87</v>
      </c>
      <c r="Y25" s="33">
        <v>891.78</v>
      </c>
      <c r="Z25" s="33">
        <v>3785766.6204000004</v>
      </c>
      <c r="AA25" s="33">
        <f t="shared" si="0"/>
        <v>5800978.4904000005</v>
      </c>
      <c r="AB25" s="128">
        <f t="shared" si="1"/>
        <v>447.05134523573747</v>
      </c>
      <c r="AC25" s="134">
        <v>0</v>
      </c>
      <c r="AD25" s="3">
        <v>0</v>
      </c>
      <c r="AE25" s="3">
        <v>0</v>
      </c>
      <c r="AF25" s="3">
        <v>12</v>
      </c>
      <c r="AG25" s="3">
        <f t="shared" si="2"/>
        <v>12</v>
      </c>
      <c r="AH25" s="3">
        <v>137500</v>
      </c>
      <c r="AI25" s="43">
        <f t="shared" si="3"/>
        <v>10.596412324513778</v>
      </c>
      <c r="AJ25" s="142">
        <v>116.94000000000233</v>
      </c>
      <c r="AK25" s="3">
        <v>1157706.0000000231</v>
      </c>
      <c r="AL25" s="39">
        <f t="shared" si="4"/>
        <v>89.218400920463949</v>
      </c>
      <c r="AM25" s="7"/>
    </row>
    <row r="26" spans="1:39" x14ac:dyDescent="0.25">
      <c r="A26" s="35"/>
      <c r="B26" s="58">
        <v>15</v>
      </c>
      <c r="C26" s="149">
        <v>1</v>
      </c>
      <c r="D26" s="151">
        <v>75</v>
      </c>
      <c r="E26" s="106">
        <v>10039.999999999964</v>
      </c>
      <c r="F26" s="3">
        <v>10399231.199999962</v>
      </c>
      <c r="G26" s="37">
        <v>1920.0000000000728</v>
      </c>
      <c r="H26" s="3">
        <v>2983046.4000001131</v>
      </c>
      <c r="I26" s="103">
        <f t="shared" si="5"/>
        <v>13382277.600000076</v>
      </c>
      <c r="J26" s="106">
        <v>1340.0000000000318</v>
      </c>
      <c r="K26" s="3">
        <v>1387945.200000033</v>
      </c>
      <c r="L26" s="188">
        <v>340.00000000000341</v>
      </c>
      <c r="M26" s="189">
        <v>528247.80000000529</v>
      </c>
      <c r="N26" s="94">
        <f t="shared" si="6"/>
        <v>1916193.0000000382</v>
      </c>
      <c r="O26" s="108">
        <f t="shared" si="7"/>
        <v>15298470.600000113</v>
      </c>
      <c r="P26" s="111">
        <f t="shared" si="8"/>
        <v>13640.000000000073</v>
      </c>
      <c r="Q26" s="193"/>
      <c r="R26" s="204"/>
      <c r="S26" s="217"/>
      <c r="T26" s="214"/>
      <c r="U26" s="212">
        <v>0</v>
      </c>
      <c r="V26" s="190">
        <f t="shared" si="9"/>
        <v>1004.81</v>
      </c>
      <c r="W26" s="3">
        <v>113.03</v>
      </c>
      <c r="X26" s="3">
        <v>2031205.615</v>
      </c>
      <c r="Y26" s="33">
        <v>891.78</v>
      </c>
      <c r="Z26" s="33">
        <v>3785766.6204000004</v>
      </c>
      <c r="AA26" s="33">
        <f t="shared" si="0"/>
        <v>5816972.2354000006</v>
      </c>
      <c r="AB26" s="128">
        <f t="shared" si="1"/>
        <v>448.2839002657966</v>
      </c>
      <c r="AC26" s="134">
        <v>0</v>
      </c>
      <c r="AD26" s="3">
        <v>0</v>
      </c>
      <c r="AE26" s="3">
        <v>50</v>
      </c>
      <c r="AF26" s="3">
        <v>12</v>
      </c>
      <c r="AG26" s="3">
        <f t="shared" si="2"/>
        <v>62</v>
      </c>
      <c r="AH26" s="3">
        <v>874500</v>
      </c>
      <c r="AI26" s="43">
        <f t="shared" si="3"/>
        <v>67.393182383907629</v>
      </c>
      <c r="AJ26" s="142">
        <v>81.379999999997381</v>
      </c>
      <c r="AK26" s="3">
        <v>805661.99999997404</v>
      </c>
      <c r="AL26" s="39">
        <f t="shared" si="4"/>
        <v>62.088194517761053</v>
      </c>
      <c r="AM26" s="7"/>
    </row>
    <row r="27" spans="1:39" x14ac:dyDescent="0.25">
      <c r="A27" s="35"/>
      <c r="B27" s="58">
        <v>16</v>
      </c>
      <c r="C27" s="149">
        <v>1</v>
      </c>
      <c r="D27" s="151">
        <v>18</v>
      </c>
      <c r="E27" s="106">
        <v>9719.9999999997999</v>
      </c>
      <c r="F27" s="3">
        <v>10067781.599999793</v>
      </c>
      <c r="G27" s="37">
        <v>1919.9999999999591</v>
      </c>
      <c r="H27" s="3">
        <v>2983046.3999999366</v>
      </c>
      <c r="I27" s="103">
        <f t="shared" si="5"/>
        <v>13050827.99999973</v>
      </c>
      <c r="J27" s="106">
        <v>1319.9999999999932</v>
      </c>
      <c r="K27" s="3">
        <v>1367229.5999999929</v>
      </c>
      <c r="L27" s="188">
        <v>340.00000000000341</v>
      </c>
      <c r="M27" s="189">
        <v>528247.80000000529</v>
      </c>
      <c r="N27" s="94">
        <f t="shared" si="6"/>
        <v>1895477.399999998</v>
      </c>
      <c r="O27" s="108">
        <f t="shared" si="7"/>
        <v>14946305.399999728</v>
      </c>
      <c r="P27" s="111">
        <f t="shared" si="8"/>
        <v>13299.999999999756</v>
      </c>
      <c r="Q27" s="193"/>
      <c r="R27" s="204"/>
      <c r="S27" s="217"/>
      <c r="T27" s="214"/>
      <c r="U27" s="212">
        <v>0</v>
      </c>
      <c r="V27" s="190">
        <f t="shared" si="9"/>
        <v>916.7</v>
      </c>
      <c r="W27" s="3">
        <v>118.37</v>
      </c>
      <c r="X27" s="3">
        <v>2127168.085</v>
      </c>
      <c r="Y27" s="33">
        <v>798.33</v>
      </c>
      <c r="Z27" s="33">
        <v>3389054.5494000004</v>
      </c>
      <c r="AA27" s="33">
        <f t="shared" si="0"/>
        <v>5516222.6344000008</v>
      </c>
      <c r="AB27" s="128">
        <f t="shared" si="1"/>
        <v>425.10668733031298</v>
      </c>
      <c r="AC27" s="134">
        <v>0</v>
      </c>
      <c r="AD27" s="3">
        <v>0</v>
      </c>
      <c r="AE27" s="3">
        <v>400</v>
      </c>
      <c r="AF27" s="3">
        <v>12</v>
      </c>
      <c r="AG27" s="3">
        <f t="shared" si="2"/>
        <v>412</v>
      </c>
      <c r="AH27" s="3">
        <v>6033500</v>
      </c>
      <c r="AI27" s="43">
        <f t="shared" si="3"/>
        <v>464.97057279966458</v>
      </c>
      <c r="AJ27" s="142">
        <v>351.13999999999942</v>
      </c>
      <c r="AK27" s="3">
        <v>3476285.9999999944</v>
      </c>
      <c r="AL27" s="39">
        <f t="shared" si="4"/>
        <v>267.89934410134288</v>
      </c>
      <c r="AM27" s="7"/>
    </row>
    <row r="28" spans="1:39" x14ac:dyDescent="0.25">
      <c r="A28" s="35"/>
      <c r="B28" s="58">
        <v>17</v>
      </c>
      <c r="C28" s="149">
        <v>1</v>
      </c>
      <c r="D28" s="151">
        <v>58</v>
      </c>
      <c r="E28" s="106">
        <v>9200.0000000002728</v>
      </c>
      <c r="F28" s="3">
        <v>9529176.0000002831</v>
      </c>
      <c r="G28" s="37">
        <v>1879.9999999999955</v>
      </c>
      <c r="H28" s="3">
        <v>2920899.5999999931</v>
      </c>
      <c r="I28" s="103">
        <f t="shared" si="5"/>
        <v>12450075.600000277</v>
      </c>
      <c r="J28" s="106">
        <v>1279.9999999999727</v>
      </c>
      <c r="K28" s="3">
        <v>1325798.3999999717</v>
      </c>
      <c r="L28" s="188">
        <v>319.99999999999318</v>
      </c>
      <c r="M28" s="189">
        <v>497174.39999998943</v>
      </c>
      <c r="N28" s="94">
        <f t="shared" si="6"/>
        <v>1822972.7999999612</v>
      </c>
      <c r="O28" s="108">
        <f t="shared" si="7"/>
        <v>14273048.400000239</v>
      </c>
      <c r="P28" s="111">
        <f t="shared" si="8"/>
        <v>12680.000000000235</v>
      </c>
      <c r="Q28" s="193"/>
      <c r="R28" s="206"/>
      <c r="S28" s="217"/>
      <c r="T28" s="214"/>
      <c r="U28" s="212">
        <v>0</v>
      </c>
      <c r="V28" s="190">
        <f t="shared" si="9"/>
        <v>800.11</v>
      </c>
      <c r="W28" s="3">
        <v>81.88</v>
      </c>
      <c r="X28" s="3">
        <v>1471424.5399999998</v>
      </c>
      <c r="Y28" s="33">
        <v>718.23</v>
      </c>
      <c r="Z28" s="33">
        <v>3049015.6314000003</v>
      </c>
      <c r="AA28" s="33">
        <f t="shared" si="0"/>
        <v>4520440.1714000003</v>
      </c>
      <c r="AB28" s="128">
        <f t="shared" si="1"/>
        <v>348.36689414145559</v>
      </c>
      <c r="AC28" s="134">
        <v>0</v>
      </c>
      <c r="AD28" s="3">
        <v>0</v>
      </c>
      <c r="AE28" s="3">
        <v>0</v>
      </c>
      <c r="AF28" s="3">
        <v>12</v>
      </c>
      <c r="AG28" s="3">
        <f t="shared" si="2"/>
        <v>12</v>
      </c>
      <c r="AH28" s="3">
        <v>137500</v>
      </c>
      <c r="AI28" s="43">
        <f t="shared" si="3"/>
        <v>10.596412324513778</v>
      </c>
      <c r="AJ28" s="142">
        <v>179.38999999999942</v>
      </c>
      <c r="AK28" s="3">
        <v>1775960.9999999942</v>
      </c>
      <c r="AL28" s="39">
        <f t="shared" si="4"/>
        <v>136.86410929640547</v>
      </c>
      <c r="AM28" s="7"/>
    </row>
    <row r="29" spans="1:39" x14ac:dyDescent="0.25">
      <c r="A29" s="35"/>
      <c r="B29" s="58">
        <v>18</v>
      </c>
      <c r="C29" s="149">
        <v>1</v>
      </c>
      <c r="D29" s="151">
        <v>29</v>
      </c>
      <c r="E29" s="106">
        <v>9879.9999999996544</v>
      </c>
      <c r="F29" s="3">
        <v>10233506.399999641</v>
      </c>
      <c r="G29" s="37">
        <v>1960.0000000000364</v>
      </c>
      <c r="H29" s="3">
        <v>3045193.2000000565</v>
      </c>
      <c r="I29" s="103">
        <f t="shared" si="5"/>
        <v>13278699.599999698</v>
      </c>
      <c r="J29" s="106">
        <v>1280.0000000000296</v>
      </c>
      <c r="K29" s="3">
        <v>1325798.4000000306</v>
      </c>
      <c r="L29" s="188">
        <v>340.00000000000341</v>
      </c>
      <c r="M29" s="189">
        <v>528247.80000000529</v>
      </c>
      <c r="N29" s="94">
        <f t="shared" si="6"/>
        <v>1854046.200000036</v>
      </c>
      <c r="O29" s="108">
        <f t="shared" si="7"/>
        <v>15132745.799999734</v>
      </c>
      <c r="P29" s="111">
        <f t="shared" si="8"/>
        <v>13459.999999999724</v>
      </c>
      <c r="Q29" s="194"/>
      <c r="R29" s="207"/>
      <c r="S29" s="217"/>
      <c r="T29" s="214"/>
      <c r="U29" s="212">
        <v>0</v>
      </c>
      <c r="V29" s="190">
        <f t="shared" si="9"/>
        <v>830.37</v>
      </c>
      <c r="W29" s="3">
        <v>0</v>
      </c>
      <c r="X29" s="3">
        <v>0</v>
      </c>
      <c r="Y29" s="33">
        <v>830.37</v>
      </c>
      <c r="Z29" s="33">
        <v>3525070.1166000003</v>
      </c>
      <c r="AA29" s="33">
        <f t="shared" si="0"/>
        <v>3525070.1166000003</v>
      </c>
      <c r="AB29" s="128">
        <f t="shared" si="1"/>
        <v>271.65888311502158</v>
      </c>
      <c r="AC29" s="134">
        <v>0</v>
      </c>
      <c r="AD29" s="3">
        <v>0</v>
      </c>
      <c r="AE29" s="3">
        <v>0</v>
      </c>
      <c r="AF29" s="3">
        <v>0</v>
      </c>
      <c r="AG29" s="3">
        <f t="shared" si="2"/>
        <v>0</v>
      </c>
      <c r="AH29" s="3">
        <v>0</v>
      </c>
      <c r="AI29" s="43">
        <f t="shared" si="3"/>
        <v>0</v>
      </c>
      <c r="AJ29" s="142">
        <v>315.24999999998545</v>
      </c>
      <c r="AK29" s="3">
        <v>3120974.9999998561</v>
      </c>
      <c r="AL29" s="39">
        <f t="shared" si="4"/>
        <v>240.51736694180266</v>
      </c>
      <c r="AM29" s="7"/>
    </row>
    <row r="30" spans="1:39" x14ac:dyDescent="0.25">
      <c r="A30" s="35"/>
      <c r="B30" s="58">
        <v>19</v>
      </c>
      <c r="C30" s="149">
        <v>1</v>
      </c>
      <c r="D30" s="151">
        <v>15</v>
      </c>
      <c r="E30" s="106">
        <v>9519.9999999999818</v>
      </c>
      <c r="F30" s="3">
        <v>9860625.599999981</v>
      </c>
      <c r="G30" s="37">
        <v>1919.9999999999591</v>
      </c>
      <c r="H30" s="3">
        <v>2983046.3999999366</v>
      </c>
      <c r="I30" s="103">
        <f t="shared" si="5"/>
        <v>12843671.999999918</v>
      </c>
      <c r="J30" s="106">
        <v>1259.9999999999909</v>
      </c>
      <c r="K30" s="3">
        <v>1305082.7999999905</v>
      </c>
      <c r="L30" s="188">
        <v>340.00000000000341</v>
      </c>
      <c r="M30" s="189">
        <v>528247.80000000529</v>
      </c>
      <c r="N30" s="94">
        <f t="shared" si="6"/>
        <v>1833330.5999999959</v>
      </c>
      <c r="O30" s="108">
        <f t="shared" si="7"/>
        <v>14677002.599999914</v>
      </c>
      <c r="P30" s="111">
        <f t="shared" si="8"/>
        <v>13039.999999999935</v>
      </c>
      <c r="Q30" s="193"/>
      <c r="R30" s="193"/>
      <c r="S30" s="217"/>
      <c r="T30" s="214"/>
      <c r="U30" s="212">
        <v>0</v>
      </c>
      <c r="V30" s="190">
        <f t="shared" si="9"/>
        <v>930.94</v>
      </c>
      <c r="W30" s="3">
        <v>94.34</v>
      </c>
      <c r="X30" s="3">
        <v>1695336.97</v>
      </c>
      <c r="Y30" s="33">
        <v>836.6</v>
      </c>
      <c r="Z30" s="33">
        <v>3551517.5880000005</v>
      </c>
      <c r="AA30" s="33">
        <f t="shared" si="0"/>
        <v>5246854.5580000002</v>
      </c>
      <c r="AB30" s="128">
        <f t="shared" si="1"/>
        <v>404.34788584234542</v>
      </c>
      <c r="AC30" s="134">
        <v>0</v>
      </c>
      <c r="AD30" s="3">
        <v>0</v>
      </c>
      <c r="AE30" s="3">
        <v>0</v>
      </c>
      <c r="AF30" s="3">
        <v>12</v>
      </c>
      <c r="AG30" s="3">
        <f t="shared" si="2"/>
        <v>12</v>
      </c>
      <c r="AH30" s="3">
        <v>137500</v>
      </c>
      <c r="AI30" s="43">
        <f t="shared" si="3"/>
        <v>10.596412324513778</v>
      </c>
      <c r="AJ30" s="142">
        <v>118.83000000000175</v>
      </c>
      <c r="AK30" s="3">
        <v>1176417.0000000172</v>
      </c>
      <c r="AL30" s="39">
        <f t="shared" si="4"/>
        <v>90.66036070958333</v>
      </c>
      <c r="AM30" s="7"/>
    </row>
    <row r="31" spans="1:39" x14ac:dyDescent="0.25">
      <c r="A31" s="35"/>
      <c r="B31" s="58">
        <v>20</v>
      </c>
      <c r="C31" s="149">
        <v>2</v>
      </c>
      <c r="D31" s="151">
        <v>26</v>
      </c>
      <c r="E31" s="106">
        <v>9600.0000000003638</v>
      </c>
      <c r="F31" s="3">
        <v>9943488.0000003763</v>
      </c>
      <c r="G31" s="37">
        <v>1960.0000000000364</v>
      </c>
      <c r="H31" s="3">
        <v>3045193.2000000565</v>
      </c>
      <c r="I31" s="103">
        <f t="shared" si="5"/>
        <v>12988681.200000433</v>
      </c>
      <c r="J31" s="106">
        <v>1339.999999999975</v>
      </c>
      <c r="K31" s="3">
        <v>1387945.1999999741</v>
      </c>
      <c r="L31" s="188">
        <v>319.99999999999318</v>
      </c>
      <c r="M31" s="189">
        <v>497174.39999998943</v>
      </c>
      <c r="N31" s="94">
        <f t="shared" si="6"/>
        <v>1885119.5999999635</v>
      </c>
      <c r="O31" s="108">
        <f t="shared" si="7"/>
        <v>14873800.800000397</v>
      </c>
      <c r="P31" s="111">
        <f t="shared" si="8"/>
        <v>13220.000000000367</v>
      </c>
      <c r="Q31" s="194"/>
      <c r="R31" s="194"/>
      <c r="S31" s="217"/>
      <c r="T31" s="214"/>
      <c r="U31" s="212">
        <v>0</v>
      </c>
      <c r="V31" s="190">
        <f t="shared" si="9"/>
        <v>1042.19</v>
      </c>
      <c r="W31" s="3">
        <v>113.92</v>
      </c>
      <c r="X31" s="3">
        <v>2047199.36</v>
      </c>
      <c r="Y31" s="33">
        <v>928.27</v>
      </c>
      <c r="Z31" s="33">
        <v>3940673.2386000003</v>
      </c>
      <c r="AA31" s="33">
        <f t="shared" si="0"/>
        <v>5987872.5986000001</v>
      </c>
      <c r="AB31" s="128">
        <f t="shared" si="1"/>
        <v>461.45430546489735</v>
      </c>
      <c r="AC31" s="134">
        <v>0</v>
      </c>
      <c r="AD31" s="3">
        <v>0</v>
      </c>
      <c r="AE31" s="3">
        <v>0</v>
      </c>
      <c r="AF31" s="3">
        <v>12</v>
      </c>
      <c r="AG31" s="3">
        <f t="shared" si="2"/>
        <v>12</v>
      </c>
      <c r="AH31" s="3">
        <v>137500</v>
      </c>
      <c r="AI31" s="43">
        <f t="shared" si="3"/>
        <v>10.596412324513778</v>
      </c>
      <c r="AJ31" s="142">
        <v>338.63000000000466</v>
      </c>
      <c r="AK31" s="3">
        <v>3352437.0000000461</v>
      </c>
      <c r="AL31" s="39">
        <f t="shared" si="4"/>
        <v>258.35494359241079</v>
      </c>
      <c r="AM31" s="7"/>
    </row>
    <row r="32" spans="1:39" x14ac:dyDescent="0.25">
      <c r="A32" s="35"/>
      <c r="B32" s="58">
        <v>21</v>
      </c>
      <c r="C32" s="149">
        <v>2</v>
      </c>
      <c r="D32" s="151">
        <v>49</v>
      </c>
      <c r="E32" s="106">
        <v>9960.0000000000364</v>
      </c>
      <c r="F32" s="3">
        <v>10316368.800000038</v>
      </c>
      <c r="G32" s="37">
        <v>1960.0000000000364</v>
      </c>
      <c r="H32" s="3">
        <v>3045193.2000000565</v>
      </c>
      <c r="I32" s="103">
        <f t="shared" si="5"/>
        <v>13361562.000000095</v>
      </c>
      <c r="J32" s="106">
        <v>1379.9999999999955</v>
      </c>
      <c r="K32" s="3">
        <v>1429376.3999999953</v>
      </c>
      <c r="L32" s="188">
        <v>359.99999999999943</v>
      </c>
      <c r="M32" s="189">
        <v>559321.19999999914</v>
      </c>
      <c r="N32" s="94">
        <f>+K32+M32</f>
        <v>1988697.5999999945</v>
      </c>
      <c r="O32" s="108">
        <f t="shared" si="7"/>
        <v>15350259.600000089</v>
      </c>
      <c r="P32" s="111">
        <f t="shared" si="8"/>
        <v>13660.000000000067</v>
      </c>
      <c r="Q32" s="193"/>
      <c r="R32" s="205"/>
      <c r="S32" s="217"/>
      <c r="T32" s="214"/>
      <c r="U32" s="212">
        <v>0</v>
      </c>
      <c r="V32" s="190">
        <f t="shared" si="9"/>
        <v>978.11</v>
      </c>
      <c r="W32" s="3">
        <v>79.210000000000008</v>
      </c>
      <c r="X32" s="3">
        <v>1423443.3050000002</v>
      </c>
      <c r="Y32" s="33">
        <v>898.9</v>
      </c>
      <c r="Z32" s="33">
        <v>3815992.3020000001</v>
      </c>
      <c r="AA32" s="33">
        <f t="shared" si="0"/>
        <v>5239435.6070000008</v>
      </c>
      <c r="AB32" s="128">
        <f t="shared" si="1"/>
        <v>403.7761457418992</v>
      </c>
      <c r="AC32" s="134">
        <v>0</v>
      </c>
      <c r="AD32" s="3">
        <v>0</v>
      </c>
      <c r="AE32" s="3">
        <v>0</v>
      </c>
      <c r="AF32" s="3">
        <v>12</v>
      </c>
      <c r="AG32" s="3">
        <f t="shared" ref="AG32:AG40" si="10">+AE32+AF32</f>
        <v>12</v>
      </c>
      <c r="AH32" s="3">
        <v>137500</v>
      </c>
      <c r="AI32" s="43">
        <f t="shared" si="3"/>
        <v>10.596412324513778</v>
      </c>
      <c r="AJ32" s="142">
        <v>111.21999999996478</v>
      </c>
      <c r="AK32" s="3">
        <v>1101077.9999996515</v>
      </c>
      <c r="AL32" s="39">
        <f t="shared" si="4"/>
        <v>84.854374468707562</v>
      </c>
      <c r="AM32" s="7"/>
    </row>
    <row r="33" spans="1:39" x14ac:dyDescent="0.25">
      <c r="A33" s="35"/>
      <c r="B33" s="58">
        <v>22</v>
      </c>
      <c r="C33" s="149">
        <v>3</v>
      </c>
      <c r="D33" s="151">
        <v>53</v>
      </c>
      <c r="E33" s="106">
        <v>9519.9999999999818</v>
      </c>
      <c r="F33" s="3">
        <v>9860625.599999981</v>
      </c>
      <c r="G33" s="37">
        <v>1879.9999999999955</v>
      </c>
      <c r="H33" s="3">
        <v>2920899.5999999931</v>
      </c>
      <c r="I33" s="103">
        <f t="shared" si="5"/>
        <v>12781525.199999973</v>
      </c>
      <c r="J33" s="106">
        <v>1340.0000000000318</v>
      </c>
      <c r="K33" s="3">
        <v>1387945.200000033</v>
      </c>
      <c r="L33" s="188">
        <v>359.99999999999943</v>
      </c>
      <c r="M33" s="189">
        <v>559321.19999999914</v>
      </c>
      <c r="N33" s="94">
        <f t="shared" si="6"/>
        <v>1947266.400000032</v>
      </c>
      <c r="O33" s="108">
        <f t="shared" si="7"/>
        <v>14728791.600000005</v>
      </c>
      <c r="P33" s="111">
        <f t="shared" si="8"/>
        <v>13100.000000000009</v>
      </c>
      <c r="Q33" s="193"/>
      <c r="R33" s="206"/>
      <c r="S33" s="217"/>
      <c r="T33" s="214"/>
      <c r="U33" s="212">
        <v>0</v>
      </c>
      <c r="V33" s="190">
        <f t="shared" si="9"/>
        <v>891.78</v>
      </c>
      <c r="W33" s="3">
        <v>83.66</v>
      </c>
      <c r="X33" s="3">
        <v>1503412.03</v>
      </c>
      <c r="Y33" s="33">
        <v>808.12</v>
      </c>
      <c r="Z33" s="33">
        <v>3430614.8616000004</v>
      </c>
      <c r="AA33" s="33">
        <f t="shared" si="0"/>
        <v>4934026.8916000007</v>
      </c>
      <c r="AB33" s="128">
        <f t="shared" si="1"/>
        <v>380.23987900823749</v>
      </c>
      <c r="AC33" s="134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3">
        <f t="shared" si="3"/>
        <v>0</v>
      </c>
      <c r="AJ33" s="142">
        <v>115.5</v>
      </c>
      <c r="AK33" s="3">
        <v>1143450</v>
      </c>
      <c r="AL33" s="39">
        <f t="shared" si="4"/>
        <v>88.119764890656583</v>
      </c>
      <c r="AM33" s="7"/>
    </row>
    <row r="34" spans="1:39" x14ac:dyDescent="0.25">
      <c r="A34" s="35"/>
      <c r="B34" s="58">
        <v>23</v>
      </c>
      <c r="C34" s="149">
        <v>4</v>
      </c>
      <c r="D34" s="151">
        <v>28</v>
      </c>
      <c r="E34" s="106">
        <v>9399.9999999996362</v>
      </c>
      <c r="F34" s="3">
        <v>9736331.9999996237</v>
      </c>
      <c r="G34" s="37">
        <v>1879.9999999999955</v>
      </c>
      <c r="H34" s="3">
        <v>2920899.5999999931</v>
      </c>
      <c r="I34" s="103">
        <f t="shared" si="5"/>
        <v>12657231.599999618</v>
      </c>
      <c r="J34" s="106">
        <v>1339.999999999975</v>
      </c>
      <c r="K34" s="3">
        <v>1387945.1999999741</v>
      </c>
      <c r="L34" s="188">
        <v>359.99999999999943</v>
      </c>
      <c r="M34" s="189">
        <v>559321.19999999914</v>
      </c>
      <c r="N34" s="94">
        <f t="shared" si="6"/>
        <v>1947266.3999999734</v>
      </c>
      <c r="O34" s="108">
        <f t="shared" si="7"/>
        <v>14604497.99999959</v>
      </c>
      <c r="P34" s="111">
        <f t="shared" si="8"/>
        <v>12979.999999999607</v>
      </c>
      <c r="Q34" s="194"/>
      <c r="R34" s="207"/>
      <c r="S34" s="217"/>
      <c r="T34" s="214"/>
      <c r="U34" s="212">
        <v>0</v>
      </c>
      <c r="V34" s="190">
        <f t="shared" si="9"/>
        <v>985.23</v>
      </c>
      <c r="W34" s="3">
        <v>109.47</v>
      </c>
      <c r="X34" s="3">
        <v>1967230.635</v>
      </c>
      <c r="Y34" s="33">
        <v>875.76</v>
      </c>
      <c r="Z34" s="33">
        <v>3717758.8368000002</v>
      </c>
      <c r="AA34" s="33">
        <f t="shared" si="0"/>
        <v>5684989.4718000004</v>
      </c>
      <c r="AB34" s="128">
        <f t="shared" si="1"/>
        <v>438.11267275427349</v>
      </c>
      <c r="AC34" s="134">
        <v>0</v>
      </c>
      <c r="AD34" s="3">
        <v>0</v>
      </c>
      <c r="AE34" s="3">
        <v>0</v>
      </c>
      <c r="AF34" s="3">
        <v>12</v>
      </c>
      <c r="AG34" s="3">
        <f t="shared" si="10"/>
        <v>12</v>
      </c>
      <c r="AH34" s="3">
        <v>137500</v>
      </c>
      <c r="AI34" s="43">
        <f t="shared" si="3"/>
        <v>10.596412324513778</v>
      </c>
      <c r="AJ34" s="142">
        <v>360.16999999999825</v>
      </c>
      <c r="AK34" s="3">
        <v>3565682.9999999828</v>
      </c>
      <c r="AL34" s="39">
        <f t="shared" si="4"/>
        <v>274.78870753824788</v>
      </c>
      <c r="AM34" s="7"/>
    </row>
    <row r="35" spans="1:39" x14ac:dyDescent="0.25">
      <c r="A35" s="35"/>
      <c r="B35" s="58">
        <v>24</v>
      </c>
      <c r="C35" s="149">
        <v>6</v>
      </c>
      <c r="D35" s="151">
        <v>42</v>
      </c>
      <c r="E35" s="106">
        <v>9280.0000000002001</v>
      </c>
      <c r="F35" s="3">
        <v>9612038.4000002071</v>
      </c>
      <c r="G35" s="37">
        <v>1879.9999999999955</v>
      </c>
      <c r="H35" s="3">
        <v>2920899.5999999931</v>
      </c>
      <c r="I35" s="103">
        <f t="shared" si="5"/>
        <v>12532938.000000201</v>
      </c>
      <c r="J35" s="106">
        <v>1319.9999999999932</v>
      </c>
      <c r="K35" s="3">
        <v>1367229.5999999929</v>
      </c>
      <c r="L35" s="188">
        <v>320.00000000000739</v>
      </c>
      <c r="M35" s="189">
        <v>497174.40000001149</v>
      </c>
      <c r="N35" s="94">
        <f t="shared" si="6"/>
        <v>1864404.0000000044</v>
      </c>
      <c r="O35" s="108">
        <f t="shared" si="7"/>
        <v>14397342.000000205</v>
      </c>
      <c r="P35" s="111">
        <f t="shared" si="8"/>
        <v>12800.000000000196</v>
      </c>
      <c r="Q35" s="193"/>
      <c r="R35" s="205"/>
      <c r="S35" s="217"/>
      <c r="T35" s="214"/>
      <c r="U35" s="212">
        <v>0</v>
      </c>
      <c r="V35" s="190">
        <f t="shared" si="9"/>
        <v>1018.1600000000001</v>
      </c>
      <c r="W35" s="3">
        <v>132.61000000000001</v>
      </c>
      <c r="X35" s="3">
        <v>2383068.0050000004</v>
      </c>
      <c r="Y35" s="33">
        <v>885.55000000000007</v>
      </c>
      <c r="Z35" s="33">
        <v>3759319.1490000007</v>
      </c>
      <c r="AA35" s="33">
        <f t="shared" si="0"/>
        <v>6142387.154000001</v>
      </c>
      <c r="AB35" s="128">
        <f t="shared" si="1"/>
        <v>473.36194138604162</v>
      </c>
      <c r="AC35" s="134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3">
        <f t="shared" si="3"/>
        <v>0</v>
      </c>
      <c r="AJ35" s="142">
        <v>197.19000000000233</v>
      </c>
      <c r="AK35" s="3">
        <v>1952181.0000000231</v>
      </c>
      <c r="AL35" s="39">
        <f t="shared" si="4"/>
        <v>150.44447133150456</v>
      </c>
      <c r="AM35" s="7"/>
    </row>
    <row r="36" spans="1:39" x14ac:dyDescent="0.25">
      <c r="A36" s="35"/>
      <c r="B36" s="58">
        <v>25</v>
      </c>
      <c r="C36" s="149">
        <v>4</v>
      </c>
      <c r="D36" s="151">
        <v>28</v>
      </c>
      <c r="E36" s="106">
        <v>9840.0000000001455</v>
      </c>
      <c r="F36" s="3">
        <v>10192075.20000015</v>
      </c>
      <c r="G36" s="37">
        <v>1959.9999999999227</v>
      </c>
      <c r="H36" s="3">
        <v>3045193.19999988</v>
      </c>
      <c r="I36" s="103">
        <f t="shared" si="5"/>
        <v>13237268.40000003</v>
      </c>
      <c r="J36" s="106">
        <v>1260.0000000000477</v>
      </c>
      <c r="K36" s="3">
        <v>1305082.8000000494</v>
      </c>
      <c r="L36" s="188">
        <v>359.99999999999943</v>
      </c>
      <c r="M36" s="189">
        <v>559321.19999999914</v>
      </c>
      <c r="N36" s="94">
        <f t="shared" si="6"/>
        <v>1864404.0000000484</v>
      </c>
      <c r="O36" s="108">
        <f t="shared" si="7"/>
        <v>15101672.400000079</v>
      </c>
      <c r="P36" s="111">
        <f t="shared" si="8"/>
        <v>13420.000000000116</v>
      </c>
      <c r="Q36" s="193"/>
      <c r="R36" s="205"/>
      <c r="S36" s="217"/>
      <c r="T36" s="214"/>
      <c r="U36" s="212">
        <v>0</v>
      </c>
      <c r="V36" s="190">
        <f t="shared" si="9"/>
        <v>901.57</v>
      </c>
      <c r="W36" s="3">
        <v>101.46000000000001</v>
      </c>
      <c r="X36" s="3">
        <v>1823286.9300000002</v>
      </c>
      <c r="Y36" s="33">
        <v>800.11</v>
      </c>
      <c r="Z36" s="33">
        <v>3396610.9698000001</v>
      </c>
      <c r="AA36" s="33">
        <f t="shared" si="0"/>
        <v>5219897.8998000007</v>
      </c>
      <c r="AB36" s="128">
        <f t="shared" si="1"/>
        <v>402.27047591377686</v>
      </c>
      <c r="AC36" s="134">
        <v>0</v>
      </c>
      <c r="AD36" s="3">
        <v>0</v>
      </c>
      <c r="AE36" s="3">
        <v>400</v>
      </c>
      <c r="AF36" s="3">
        <v>36</v>
      </c>
      <c r="AG36" s="3">
        <f t="shared" si="10"/>
        <v>436</v>
      </c>
      <c r="AH36" s="3">
        <v>6308500</v>
      </c>
      <c r="AI36" s="43">
        <f t="shared" si="3"/>
        <v>486.16339744869219</v>
      </c>
      <c r="AJ36" s="142">
        <v>278.83999999999651</v>
      </c>
      <c r="AK36" s="3">
        <v>2760515.9999999655</v>
      </c>
      <c r="AL36" s="39">
        <f t="shared" si="4"/>
        <v>212.73866010485173</v>
      </c>
      <c r="AM36" s="7"/>
    </row>
    <row r="37" spans="1:39" x14ac:dyDescent="0.25">
      <c r="A37" s="35"/>
      <c r="B37" s="58">
        <v>26</v>
      </c>
      <c r="C37" s="149">
        <v>4</v>
      </c>
      <c r="D37" s="151">
        <v>47</v>
      </c>
      <c r="E37" s="106">
        <v>9159.9999999998545</v>
      </c>
      <c r="F37" s="3">
        <v>9487744.7999998499</v>
      </c>
      <c r="G37" s="37">
        <v>1879.9999999999955</v>
      </c>
      <c r="H37" s="3">
        <v>2920899.5999999931</v>
      </c>
      <c r="I37" s="103">
        <f t="shared" si="5"/>
        <v>12408644.399999842</v>
      </c>
      <c r="J37" s="106">
        <v>1259.9999999999909</v>
      </c>
      <c r="K37" s="3">
        <v>1305082.7999999905</v>
      </c>
      <c r="L37" s="188">
        <v>359.99999999999943</v>
      </c>
      <c r="M37" s="189">
        <v>559321.19999999914</v>
      </c>
      <c r="N37" s="94">
        <f t="shared" si="6"/>
        <v>1864403.9999999898</v>
      </c>
      <c r="O37" s="108">
        <f t="shared" si="7"/>
        <v>14273048.399999831</v>
      </c>
      <c r="P37" s="111">
        <f t="shared" si="8"/>
        <v>12659.99999999984</v>
      </c>
      <c r="Q37" s="193"/>
      <c r="R37" s="205"/>
      <c r="S37" s="217"/>
      <c r="T37" s="214"/>
      <c r="U37" s="212">
        <v>0</v>
      </c>
      <c r="V37" s="190">
        <f t="shared" si="9"/>
        <v>963.87</v>
      </c>
      <c r="W37" s="3">
        <v>90.78</v>
      </c>
      <c r="X37" s="3">
        <v>1631361.99</v>
      </c>
      <c r="Y37" s="33">
        <v>873.09</v>
      </c>
      <c r="Z37" s="33">
        <v>3706424.2062000004</v>
      </c>
      <c r="AA37" s="33">
        <f t="shared" si="0"/>
        <v>5337786.1962000001</v>
      </c>
      <c r="AB37" s="128">
        <f t="shared" si="1"/>
        <v>411.35551589115056</v>
      </c>
      <c r="AC37" s="134">
        <v>0</v>
      </c>
      <c r="AD37" s="3">
        <v>0</v>
      </c>
      <c r="AE37" s="3">
        <v>0</v>
      </c>
      <c r="AF37" s="3">
        <v>0</v>
      </c>
      <c r="AG37" s="3">
        <f t="shared" si="10"/>
        <v>0</v>
      </c>
      <c r="AH37" s="3">
        <v>0</v>
      </c>
      <c r="AI37" s="43">
        <f t="shared" si="3"/>
        <v>0</v>
      </c>
      <c r="AJ37" s="142">
        <v>226.9800000000032</v>
      </c>
      <c r="AK37" s="3">
        <v>2247102.0000000317</v>
      </c>
      <c r="AL37" s="39">
        <f t="shared" si="4"/>
        <v>173.17250419810833</v>
      </c>
      <c r="AM37" s="7"/>
    </row>
    <row r="38" spans="1:39" x14ac:dyDescent="0.25">
      <c r="A38" s="35"/>
      <c r="B38" s="58">
        <v>27</v>
      </c>
      <c r="C38" s="149">
        <v>5</v>
      </c>
      <c r="D38" s="151">
        <v>41</v>
      </c>
      <c r="E38" s="106">
        <v>9559.9999999999454</v>
      </c>
      <c r="F38" s="3">
        <v>9902056.799999943</v>
      </c>
      <c r="G38" s="37">
        <v>2000</v>
      </c>
      <c r="H38" s="3">
        <v>3107340</v>
      </c>
      <c r="I38" s="103">
        <f t="shared" si="5"/>
        <v>13009396.799999943</v>
      </c>
      <c r="J38" s="106">
        <v>1419.9999999999591</v>
      </c>
      <c r="K38" s="3">
        <v>1470807.5999999575</v>
      </c>
      <c r="L38" s="188">
        <v>340.00000000000341</v>
      </c>
      <c r="M38" s="189">
        <v>528247.80000000529</v>
      </c>
      <c r="N38" s="94">
        <f t="shared" si="6"/>
        <v>1999055.3999999627</v>
      </c>
      <c r="O38" s="108">
        <f t="shared" si="7"/>
        <v>15008452.199999906</v>
      </c>
      <c r="P38" s="111">
        <f t="shared" si="8"/>
        <v>13319.999999999909</v>
      </c>
      <c r="Q38" s="193"/>
      <c r="R38" s="205"/>
      <c r="S38" s="217"/>
      <c r="T38" s="214"/>
      <c r="U38" s="212">
        <v>0</v>
      </c>
      <c r="V38" s="190">
        <f t="shared" si="9"/>
        <v>906.91</v>
      </c>
      <c r="W38" s="3">
        <v>113.92</v>
      </c>
      <c r="X38" s="3">
        <v>2047199.36</v>
      </c>
      <c r="Y38" s="33">
        <v>792.99</v>
      </c>
      <c r="Z38" s="33">
        <v>3366385.2882000003</v>
      </c>
      <c r="AA38" s="33">
        <f t="shared" si="0"/>
        <v>5413584.6482000006</v>
      </c>
      <c r="AB38" s="128">
        <f t="shared" si="1"/>
        <v>417.19690971625511</v>
      </c>
      <c r="AC38" s="134">
        <v>0</v>
      </c>
      <c r="AD38" s="3">
        <v>0</v>
      </c>
      <c r="AE38" s="3">
        <v>0</v>
      </c>
      <c r="AF38" s="3">
        <v>0</v>
      </c>
      <c r="AG38" s="3">
        <f t="shared" si="10"/>
        <v>0</v>
      </c>
      <c r="AH38" s="3">
        <v>0</v>
      </c>
      <c r="AI38" s="43">
        <f t="shared" si="3"/>
        <v>0</v>
      </c>
      <c r="AJ38" s="142">
        <v>284.89999999999418</v>
      </c>
      <c r="AK38" s="3">
        <v>2820509.9999999423</v>
      </c>
      <c r="AL38" s="39">
        <f t="shared" si="4"/>
        <v>217.36208673028179</v>
      </c>
      <c r="AM38" s="7"/>
    </row>
    <row r="39" spans="1:39" x14ac:dyDescent="0.25">
      <c r="A39" s="35"/>
      <c r="B39" s="58">
        <v>28</v>
      </c>
      <c r="C39" s="149">
        <v>6</v>
      </c>
      <c r="D39" s="151">
        <v>47</v>
      </c>
      <c r="E39" s="106">
        <v>9960.0000000000364</v>
      </c>
      <c r="F39" s="3">
        <v>10316368.800000038</v>
      </c>
      <c r="G39" s="37">
        <v>2040.0000000000773</v>
      </c>
      <c r="H39" s="3">
        <v>3169486.8000001204</v>
      </c>
      <c r="I39" s="103">
        <f t="shared" si="5"/>
        <v>13485855.600000158</v>
      </c>
      <c r="J39" s="106">
        <v>1380.0000000000523</v>
      </c>
      <c r="K39" s="3">
        <v>1429376.4000000542</v>
      </c>
      <c r="L39" s="188">
        <v>359.99999999999943</v>
      </c>
      <c r="M39" s="189">
        <v>559321.19999999914</v>
      </c>
      <c r="N39" s="94">
        <f t="shared" si="6"/>
        <v>1988697.6000000532</v>
      </c>
      <c r="O39" s="108">
        <f t="shared" si="7"/>
        <v>15474553.200000212</v>
      </c>
      <c r="P39" s="111">
        <f t="shared" si="8"/>
        <v>13740.000000000166</v>
      </c>
      <c r="Q39" s="193"/>
      <c r="R39" s="208"/>
      <c r="S39" s="217"/>
      <c r="T39" s="214"/>
      <c r="U39" s="212">
        <v>0</v>
      </c>
      <c r="V39" s="190">
        <f t="shared" si="9"/>
        <v>986.12</v>
      </c>
      <c r="W39" s="3">
        <v>113.92</v>
      </c>
      <c r="X39" s="3">
        <v>2047199.36</v>
      </c>
      <c r="Y39" s="33">
        <v>872.2</v>
      </c>
      <c r="Z39" s="33">
        <v>3702645.9960000003</v>
      </c>
      <c r="AA39" s="33">
        <f t="shared" si="0"/>
        <v>5749845.3560000006</v>
      </c>
      <c r="AB39" s="128">
        <f t="shared" si="1"/>
        <v>443.11077959539432</v>
      </c>
      <c r="AC39" s="134">
        <v>0</v>
      </c>
      <c r="AD39" s="3">
        <v>0</v>
      </c>
      <c r="AE39" s="3">
        <v>0</v>
      </c>
      <c r="AF39" s="3">
        <v>12</v>
      </c>
      <c r="AG39" s="3">
        <f t="shared" si="10"/>
        <v>12</v>
      </c>
      <c r="AH39" s="3">
        <v>137500</v>
      </c>
      <c r="AI39" s="43">
        <f t="shared" si="3"/>
        <v>10.596412324513778</v>
      </c>
      <c r="AJ39" s="142">
        <v>169.82000000001426</v>
      </c>
      <c r="AK39" s="3">
        <v>1681218.0000001411</v>
      </c>
      <c r="AL39" s="39">
        <f t="shared" si="4"/>
        <v>129.56275734833383</v>
      </c>
      <c r="AM39" s="7"/>
    </row>
    <row r="40" spans="1:39" x14ac:dyDescent="0.25">
      <c r="A40" s="35"/>
      <c r="B40" s="58">
        <v>29</v>
      </c>
      <c r="C40" s="149">
        <v>6</v>
      </c>
      <c r="D40" s="151">
        <v>97</v>
      </c>
      <c r="E40" s="106">
        <v>10119.999999999891</v>
      </c>
      <c r="F40" s="3">
        <v>10482093.599999886</v>
      </c>
      <c r="G40" s="37">
        <v>2000</v>
      </c>
      <c r="H40" s="3">
        <v>3107340</v>
      </c>
      <c r="I40" s="103">
        <f t="shared" si="5"/>
        <v>13589433.599999886</v>
      </c>
      <c r="J40" s="106">
        <v>1359.9999999999568</v>
      </c>
      <c r="K40" s="3">
        <v>1408660.7999999551</v>
      </c>
      <c r="L40" s="188">
        <v>359.99999999999943</v>
      </c>
      <c r="M40" s="189">
        <v>559321.19999999914</v>
      </c>
      <c r="N40" s="94">
        <f t="shared" si="6"/>
        <v>1967981.9999999544</v>
      </c>
      <c r="O40" s="108">
        <f t="shared" ref="O40:O41" si="11">N40+I40</f>
        <v>15557415.599999841</v>
      </c>
      <c r="P40" s="111">
        <f t="shared" ref="P40:P41" si="12">L40+J40+G40+E40</f>
        <v>13839.999999999847</v>
      </c>
      <c r="Q40" s="194"/>
      <c r="R40" s="209"/>
      <c r="S40" s="217"/>
      <c r="T40" s="214"/>
      <c r="U40" s="212">
        <v>0</v>
      </c>
      <c r="V40" s="190">
        <f t="shared" si="9"/>
        <v>868.64</v>
      </c>
      <c r="W40" s="3">
        <v>113.92</v>
      </c>
      <c r="X40" s="3">
        <v>2047199.36</v>
      </c>
      <c r="Y40" s="33">
        <v>754.72</v>
      </c>
      <c r="Z40" s="33">
        <v>3203922.2496000002</v>
      </c>
      <c r="AA40" s="33">
        <f t="shared" ref="AA40:AA41" si="13">Z40+X40</f>
        <v>5251121.6096000001</v>
      </c>
      <c r="AB40" s="128">
        <f t="shared" ref="AB40:AB41" si="14">AA40/$AL$48</f>
        <v>404.676725392626</v>
      </c>
      <c r="AC40" s="134">
        <v>0</v>
      </c>
      <c r="AD40" s="3">
        <v>0</v>
      </c>
      <c r="AE40" s="3">
        <v>0</v>
      </c>
      <c r="AF40" s="3">
        <v>12</v>
      </c>
      <c r="AG40" s="3">
        <f t="shared" si="10"/>
        <v>12</v>
      </c>
      <c r="AH40" s="3">
        <v>137500</v>
      </c>
      <c r="AI40" s="43">
        <f t="shared" ref="AI40:AI42" si="15">AH40/$AL$48</f>
        <v>10.596412324513778</v>
      </c>
      <c r="AJ40" s="142">
        <v>117.83999999999651</v>
      </c>
      <c r="AK40" s="3">
        <v>1166615.9999999655</v>
      </c>
      <c r="AL40" s="39">
        <f t="shared" si="4"/>
        <v>89.905048439088006</v>
      </c>
      <c r="AM40" s="7"/>
    </row>
    <row r="41" spans="1:39" ht="17.25" customHeight="1" x14ac:dyDescent="0.25">
      <c r="A41" s="35"/>
      <c r="B41" s="58">
        <v>30</v>
      </c>
      <c r="C41" s="149">
        <v>4</v>
      </c>
      <c r="D41" s="151">
        <v>46</v>
      </c>
      <c r="E41" s="106">
        <v>10119.999999999891</v>
      </c>
      <c r="F41" s="3">
        <v>10482093.599999886</v>
      </c>
      <c r="G41" s="37">
        <v>2000</v>
      </c>
      <c r="H41" s="3">
        <v>3107340</v>
      </c>
      <c r="I41" s="103">
        <f t="shared" si="5"/>
        <v>13589433.599999886</v>
      </c>
      <c r="J41" s="106">
        <v>1379.9999999999955</v>
      </c>
      <c r="K41" s="3">
        <v>1429376.3999999953</v>
      </c>
      <c r="L41" s="188">
        <v>340.00000000000341</v>
      </c>
      <c r="M41" s="189">
        <v>528247.80000000529</v>
      </c>
      <c r="N41" s="94">
        <f t="shared" si="6"/>
        <v>1957624.2000000007</v>
      </c>
      <c r="O41" s="108">
        <f t="shared" si="11"/>
        <v>15547057.799999887</v>
      </c>
      <c r="P41" s="111">
        <f t="shared" si="12"/>
        <v>13839.999999999891</v>
      </c>
      <c r="Q41" s="193"/>
      <c r="R41" s="210"/>
      <c r="S41" s="217"/>
      <c r="T41" s="214"/>
      <c r="U41" s="212">
        <v>0</v>
      </c>
      <c r="V41" s="190">
        <f t="shared" si="9"/>
        <v>936.28</v>
      </c>
      <c r="W41" s="3">
        <v>113.92</v>
      </c>
      <c r="X41" s="3">
        <v>2047199.36</v>
      </c>
      <c r="Y41" s="33">
        <v>822.36</v>
      </c>
      <c r="Z41" s="33">
        <v>3491066.2248000004</v>
      </c>
      <c r="AA41" s="33">
        <f t="shared" si="13"/>
        <v>5538265.5848000003</v>
      </c>
      <c r="AB41" s="128">
        <f t="shared" si="14"/>
        <v>426.80542326694717</v>
      </c>
      <c r="AC41" s="134">
        <v>0</v>
      </c>
      <c r="AD41" s="3">
        <v>0</v>
      </c>
      <c r="AE41" s="3">
        <v>0</v>
      </c>
      <c r="AF41" s="3">
        <v>12</v>
      </c>
      <c r="AG41" s="3">
        <f>+AE41+AF41</f>
        <v>12</v>
      </c>
      <c r="AH41" s="3">
        <v>137500</v>
      </c>
      <c r="AI41" s="43">
        <f t="shared" si="15"/>
        <v>10.596412324513778</v>
      </c>
      <c r="AJ41" s="142">
        <v>281.34000000000378</v>
      </c>
      <c r="AK41" s="3">
        <v>2785266.0000000373</v>
      </c>
      <c r="AL41" s="39">
        <f t="shared" si="4"/>
        <v>214.64601432326972</v>
      </c>
      <c r="AM41" s="7"/>
    </row>
    <row r="42" spans="1:39" x14ac:dyDescent="0.25">
      <c r="A42" s="35"/>
      <c r="B42" s="58">
        <v>31</v>
      </c>
      <c r="C42" s="177">
        <v>3</v>
      </c>
      <c r="D42" s="178">
        <v>47</v>
      </c>
      <c r="E42" s="106">
        <v>9660.0000000003092</v>
      </c>
      <c r="F42" s="3">
        <v>10005634.800000319</v>
      </c>
      <c r="G42" s="37">
        <v>1879.9999999999955</v>
      </c>
      <c r="H42" s="3">
        <v>2920899.5999999931</v>
      </c>
      <c r="I42" s="103">
        <f t="shared" si="5"/>
        <v>12926534.400000311</v>
      </c>
      <c r="J42" s="106">
        <v>1300.0000000000114</v>
      </c>
      <c r="K42" s="3">
        <v>1346514.0000000116</v>
      </c>
      <c r="L42" s="188">
        <v>339.9999999999892</v>
      </c>
      <c r="M42" s="189">
        <v>528247.79999998328</v>
      </c>
      <c r="N42" s="94">
        <f t="shared" ref="N42" si="16">+K42+M42</f>
        <v>1874761.7999999949</v>
      </c>
      <c r="O42" s="108">
        <f t="shared" ref="O42" si="17">N42+I42</f>
        <v>14801296.200000307</v>
      </c>
      <c r="P42" s="111">
        <f t="shared" ref="P42" si="18">L42+J42+G42+E42</f>
        <v>13180.000000000306</v>
      </c>
      <c r="Q42" s="193"/>
      <c r="R42" s="210"/>
      <c r="S42" s="217"/>
      <c r="T42" s="214"/>
      <c r="U42" s="212">
        <v>0</v>
      </c>
      <c r="V42" s="190">
        <f t="shared" ref="V42" si="19">Y42+W42</f>
        <v>898.9</v>
      </c>
      <c r="W42" s="3">
        <v>113.03</v>
      </c>
      <c r="X42" s="3">
        <v>2031205.615</v>
      </c>
      <c r="Y42" s="33">
        <v>785.87</v>
      </c>
      <c r="Z42" s="33">
        <v>3336159.6066000001</v>
      </c>
      <c r="AA42" s="33">
        <f t="shared" ref="AA42" si="20">Z42+X42</f>
        <v>5367365.2215999998</v>
      </c>
      <c r="AB42" s="128">
        <f t="shared" ref="AB42" si="21">AA42/$AL$48</f>
        <v>413.63501806784632</v>
      </c>
      <c r="AC42" s="134">
        <v>0</v>
      </c>
      <c r="AD42" s="3">
        <v>0</v>
      </c>
      <c r="AE42" s="3">
        <v>0</v>
      </c>
      <c r="AF42" s="3">
        <v>0</v>
      </c>
      <c r="AG42" s="3">
        <f>+AE42+AF42</f>
        <v>0</v>
      </c>
      <c r="AH42" s="3">
        <v>0</v>
      </c>
      <c r="AI42" s="43">
        <f t="shared" si="15"/>
        <v>0</v>
      </c>
      <c r="AJ42" s="142">
        <v>97.860000000000582</v>
      </c>
      <c r="AK42" s="3">
        <v>968814.00000000582</v>
      </c>
      <c r="AL42" s="39">
        <f t="shared" si="4"/>
        <v>74.661473525538568</v>
      </c>
      <c r="AM42" s="7"/>
    </row>
    <row r="43" spans="1:39" ht="16.5" thickBot="1" x14ac:dyDescent="0.3">
      <c r="A43" s="35"/>
      <c r="B43" s="122"/>
      <c r="C43" s="150"/>
      <c r="D43" s="152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9"/>
      <c r="R43" s="211"/>
      <c r="S43" s="218"/>
      <c r="T43" s="218"/>
      <c r="U43" s="213"/>
      <c r="V43" s="190"/>
      <c r="W43" s="3"/>
      <c r="X43" s="3"/>
      <c r="Y43" s="33"/>
      <c r="Z43" s="33"/>
      <c r="AA43" s="18"/>
      <c r="AB43" s="129"/>
      <c r="AC43" s="127"/>
      <c r="AD43" s="3"/>
      <c r="AE43" s="2"/>
      <c r="AF43" s="2"/>
      <c r="AG43" s="2"/>
      <c r="AH43" s="3"/>
      <c r="AI43" s="43"/>
      <c r="AJ43" s="142"/>
      <c r="AK43" s="3"/>
      <c r="AL43" s="39"/>
      <c r="AM43" s="7"/>
    </row>
    <row r="44" spans="1:39" s="8" customFormat="1" ht="4.5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7"/>
      <c r="T44" s="15"/>
      <c r="U44" s="34"/>
      <c r="V44" s="130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6"/>
      <c r="AK44" s="15"/>
      <c r="AL44" s="34"/>
      <c r="AM44" s="15"/>
    </row>
    <row r="45" spans="1:39" s="8" customFormat="1" ht="6" customHeight="1" x14ac:dyDescent="0.25">
      <c r="A45" s="15"/>
      <c r="B45" s="117"/>
      <c r="C45" s="118"/>
      <c r="D45" s="118"/>
      <c r="E45" s="116"/>
      <c r="F45" s="7"/>
      <c r="G45" s="15"/>
      <c r="H45" s="7"/>
      <c r="I45" s="15"/>
      <c r="J45" s="15"/>
      <c r="K45" s="15"/>
      <c r="L45" s="7"/>
      <c r="M45" s="62"/>
      <c r="N45" s="66"/>
      <c r="O45" s="15"/>
      <c r="P45" s="66"/>
      <c r="Q45" s="15"/>
      <c r="R45" s="86"/>
      <c r="S45" s="16"/>
      <c r="T45" s="16"/>
      <c r="U45" s="34"/>
      <c r="V45" s="130"/>
      <c r="W45" s="15"/>
      <c r="X45" s="15"/>
      <c r="Y45" s="15"/>
      <c r="Z45" s="15"/>
      <c r="AA45" s="15"/>
      <c r="AB45" s="131"/>
      <c r="AC45" s="15"/>
      <c r="AD45" s="7"/>
      <c r="AE45" s="15"/>
      <c r="AF45" s="15"/>
      <c r="AG45" s="15"/>
      <c r="AH45" s="7"/>
      <c r="AI45" s="15"/>
      <c r="AJ45" s="88"/>
      <c r="AK45" s="5"/>
      <c r="AL45" s="40"/>
      <c r="AM45" s="15"/>
    </row>
    <row r="46" spans="1:39" s="8" customFormat="1" ht="16.5" thickBot="1" x14ac:dyDescent="0.3">
      <c r="A46" s="15"/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1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3"/>
      <c r="AK46" s="79"/>
      <c r="AL46" s="80"/>
      <c r="AM46" s="15"/>
    </row>
    <row r="47" spans="1:39" ht="17.25" thickTop="1" thickBot="1" x14ac:dyDescent="0.3">
      <c r="A47" s="26"/>
      <c r="B47" s="69"/>
      <c r="C47" s="70">
        <f>SUM(C12:C43)</f>
        <v>111</v>
      </c>
      <c r="D47" s="70">
        <f>SUM(D12:D43)</f>
        <v>1414</v>
      </c>
      <c r="E47" s="70">
        <f>SUM(E12:E43)</f>
        <v>298999.99999999994</v>
      </c>
      <c r="F47" s="70">
        <f>SUM(F12:F43)</f>
        <v>309698220.00000006</v>
      </c>
      <c r="G47" s="70">
        <f>SUM(G12:G43)</f>
        <v>59920.000000000065</v>
      </c>
      <c r="H47" s="70">
        <f t="shared" ref="H47:O47" si="22">SUM(H12:H43)</f>
        <v>93095906.40000011</v>
      </c>
      <c r="I47" s="70">
        <f t="shared" si="22"/>
        <v>402794126.40000021</v>
      </c>
      <c r="J47" s="70">
        <f t="shared" si="22"/>
        <v>41039.999999999964</v>
      </c>
      <c r="K47" s="70">
        <f t="shared" si="22"/>
        <v>42508411.199999966</v>
      </c>
      <c r="L47" s="70">
        <f t="shared" si="22"/>
        <v>10560.000000000004</v>
      </c>
      <c r="M47" s="70">
        <f t="shared" si="22"/>
        <v>16406755.200000003</v>
      </c>
      <c r="N47" s="70">
        <f t="shared" si="22"/>
        <v>58915166.399999969</v>
      </c>
      <c r="O47" s="70">
        <f t="shared" si="22"/>
        <v>461709292.80000013</v>
      </c>
      <c r="P47" s="82">
        <f>SUM(P12:P43)</f>
        <v>410519.99999999994</v>
      </c>
      <c r="Q47" s="192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80">
        <f>SUM(V12:V42)</f>
        <v>29055.829999999994</v>
      </c>
      <c r="W47" s="52">
        <f>SUM(W12:W42)</f>
        <v>3254.7300000000005</v>
      </c>
      <c r="X47" s="52">
        <f t="shared" ref="X47:Z47" si="23">SUM(X12:X42)</f>
        <v>58489125.465000004</v>
      </c>
      <c r="Y47" s="52">
        <f t="shared" si="23"/>
        <v>25801.100000000006</v>
      </c>
      <c r="Z47" s="52">
        <f t="shared" si="23"/>
        <v>109530313.698</v>
      </c>
      <c r="AA47" s="136">
        <f>SUM(AA12:AA42)</f>
        <v>168019439.16300005</v>
      </c>
      <c r="AB47" s="124">
        <f>AA47/$AL$48</f>
        <v>12948.387315670594</v>
      </c>
      <c r="AC47" s="44">
        <f>SUM(AC12:AC41)</f>
        <v>0</v>
      </c>
      <c r="AD47" s="138">
        <f>SUM(AD12:AD41)</f>
        <v>0</v>
      </c>
      <c r="AE47" s="44">
        <f>SUM(AE12:AE42)</f>
        <v>1250</v>
      </c>
      <c r="AF47" s="44">
        <f>SUM(AF12:AF42)</f>
        <v>216</v>
      </c>
      <c r="AG47" s="216">
        <f>SUM(AG12:AG42)</f>
        <v>1466</v>
      </c>
      <c r="AH47" s="146">
        <f>SUM(AH12:AH43)</f>
        <v>20900000</v>
      </c>
      <c r="AI47" s="147">
        <f>AH47/$AL$48</f>
        <v>1610.6546733260943</v>
      </c>
      <c r="AJ47" s="215">
        <f>SUM(AJ12:AJ43)</f>
        <v>7293.5399999999645</v>
      </c>
      <c r="AK47" s="144">
        <f>SUM(AK12:AK43)</f>
        <v>72206045.999999642</v>
      </c>
      <c r="AL47" s="145">
        <f>AK47/AL48</f>
        <v>5564.5457144640368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81" t="s">
        <v>29</v>
      </c>
      <c r="U48" s="153" t="e">
        <f>U47/S47</f>
        <v>#REF!</v>
      </c>
      <c r="V48" s="195" t="s">
        <v>53</v>
      </c>
      <c r="W48" s="11"/>
      <c r="X48" s="11"/>
      <c r="Y48" s="139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88"/>
      <c r="AK48" s="11"/>
      <c r="AL48" s="148">
        <v>12976.09</v>
      </c>
      <c r="AM48" s="26"/>
    </row>
    <row r="49" spans="1:39" s="198" customFormat="1" x14ac:dyDescent="0.25">
      <c r="A49" s="196"/>
      <c r="B49" s="196"/>
      <c r="C49" s="197"/>
      <c r="E49" s="197"/>
      <c r="F49" s="197"/>
      <c r="H49" s="197"/>
      <c r="L49" s="197"/>
      <c r="M49" s="199"/>
      <c r="N49" s="200"/>
      <c r="P49" s="262">
        <f>O47/P47</f>
        <v>1124.6937854428534</v>
      </c>
      <c r="R49" s="201"/>
      <c r="AA49" s="263">
        <f>AA47/V47</f>
        <v>5782.6411829570889</v>
      </c>
      <c r="AD49" s="197"/>
      <c r="AH49" s="264">
        <f>AH47/AG47</f>
        <v>14256.480218281036</v>
      </c>
      <c r="AI49" s="265"/>
      <c r="AJ49" s="266"/>
      <c r="AK49" s="265">
        <f>AK47/AJ47</f>
        <v>9900</v>
      </c>
      <c r="AL49" s="202"/>
      <c r="AM49" s="196"/>
    </row>
    <row r="50" spans="1:39" s="198" customFormat="1" x14ac:dyDescent="0.25">
      <c r="A50" s="196"/>
      <c r="B50" s="196"/>
      <c r="C50" s="197"/>
      <c r="E50" s="197"/>
      <c r="F50" s="197"/>
      <c r="H50" s="197"/>
      <c r="L50" s="197"/>
      <c r="M50" s="199"/>
      <c r="N50" s="200"/>
      <c r="P50" s="200"/>
      <c r="R50" s="201"/>
      <c r="AD50" s="197"/>
      <c r="AH50" s="197"/>
      <c r="AJ50" s="201"/>
      <c r="AL50" s="202"/>
      <c r="AM50" s="196"/>
    </row>
    <row r="51" spans="1:39" s="198" customFormat="1" x14ac:dyDescent="0.25">
      <c r="A51" s="196"/>
      <c r="B51" s="196"/>
      <c r="C51" s="197"/>
      <c r="E51" s="197"/>
      <c r="F51" s="197"/>
      <c r="H51" s="197"/>
      <c r="L51" s="197"/>
      <c r="M51" s="199"/>
      <c r="N51" s="200"/>
      <c r="P51" s="200"/>
      <c r="R51" s="201"/>
      <c r="AD51" s="197"/>
      <c r="AH51" s="197"/>
      <c r="AJ51" s="201"/>
      <c r="AL51" s="202"/>
      <c r="AM51" s="196"/>
    </row>
    <row r="52" spans="1:39" s="198" customFormat="1" x14ac:dyDescent="0.25">
      <c r="A52" s="196"/>
      <c r="B52" s="196"/>
      <c r="C52" s="197"/>
      <c r="E52" s="197"/>
      <c r="F52" s="197"/>
      <c r="H52" s="197"/>
      <c r="L52" s="197"/>
      <c r="M52" s="199"/>
      <c r="N52" s="200"/>
      <c r="P52" s="200"/>
      <c r="R52" s="201"/>
      <c r="AD52" s="197"/>
      <c r="AH52" s="197"/>
      <c r="AJ52" s="201"/>
      <c r="AL52" s="202"/>
      <c r="AM52" s="196"/>
    </row>
    <row r="53" spans="1:39" s="198" customFormat="1" x14ac:dyDescent="0.25">
      <c r="A53" s="196"/>
      <c r="B53" s="196"/>
      <c r="C53" s="197"/>
      <c r="E53" s="197"/>
      <c r="F53" s="197"/>
      <c r="H53" s="197"/>
      <c r="L53" s="197"/>
      <c r="M53" s="199"/>
      <c r="N53" s="200"/>
      <c r="P53" s="200"/>
      <c r="R53" s="201"/>
      <c r="AD53" s="197"/>
      <c r="AH53" s="197"/>
      <c r="AJ53" s="201"/>
      <c r="AL53" s="202"/>
      <c r="AM53" s="196"/>
    </row>
    <row r="54" spans="1:39" s="198" customFormat="1" x14ac:dyDescent="0.25">
      <c r="A54" s="196"/>
      <c r="B54" s="196"/>
      <c r="C54" s="197"/>
      <c r="E54" s="197"/>
      <c r="F54" s="197"/>
      <c r="H54" s="197"/>
      <c r="L54" s="197"/>
      <c r="M54" s="199"/>
      <c r="N54" s="200"/>
      <c r="P54" s="200"/>
      <c r="R54" s="201"/>
      <c r="AD54" s="197"/>
      <c r="AH54" s="197"/>
      <c r="AJ54" s="201"/>
      <c r="AL54" s="202"/>
      <c r="AM54" s="196"/>
    </row>
    <row r="55" spans="1:39" s="198" customFormat="1" x14ac:dyDescent="0.25">
      <c r="A55" s="196"/>
      <c r="B55" s="196"/>
      <c r="C55" s="197"/>
      <c r="E55" s="197"/>
      <c r="F55" s="197"/>
      <c r="H55" s="197"/>
      <c r="L55" s="197"/>
      <c r="M55" s="199"/>
      <c r="N55" s="200"/>
      <c r="P55" s="200"/>
      <c r="R55" s="201"/>
      <c r="AD55" s="197"/>
      <c r="AH55" s="197"/>
      <c r="AJ55" s="201"/>
      <c r="AL55" s="202"/>
      <c r="AM55" s="196"/>
    </row>
    <row r="56" spans="1:39" s="198" customFormat="1" x14ac:dyDescent="0.25">
      <c r="A56" s="196"/>
      <c r="B56" s="196"/>
      <c r="C56" s="197"/>
      <c r="E56" s="197"/>
      <c r="F56" s="197"/>
      <c r="H56" s="197"/>
      <c r="L56" s="197"/>
      <c r="M56" s="199"/>
      <c r="N56" s="200"/>
      <c r="P56" s="200"/>
      <c r="R56" s="201"/>
      <c r="AD56" s="197"/>
      <c r="AH56" s="197"/>
      <c r="AJ56" s="201"/>
      <c r="AL56" s="202"/>
      <c r="AM56" s="196"/>
    </row>
    <row r="57" spans="1:39" s="198" customFormat="1" x14ac:dyDescent="0.25">
      <c r="A57" s="196"/>
      <c r="B57" s="196"/>
      <c r="C57" s="197"/>
      <c r="E57" s="197"/>
      <c r="F57" s="197"/>
      <c r="H57" s="197"/>
      <c r="L57" s="197"/>
      <c r="M57" s="199"/>
      <c r="N57" s="200"/>
      <c r="P57" s="200"/>
      <c r="R57" s="201"/>
      <c r="AD57" s="197"/>
      <c r="AH57" s="197"/>
      <c r="AJ57" s="201"/>
      <c r="AL57" s="202"/>
      <c r="AM57" s="196"/>
    </row>
    <row r="58" spans="1:39" s="198" customFormat="1" x14ac:dyDescent="0.25">
      <c r="A58" s="196"/>
      <c r="B58" s="196"/>
      <c r="C58" s="197"/>
      <c r="E58" s="197"/>
      <c r="F58" s="197"/>
      <c r="H58" s="197"/>
      <c r="L58" s="197"/>
      <c r="M58" s="199"/>
      <c r="N58" s="200"/>
      <c r="P58" s="200"/>
      <c r="R58" s="201"/>
      <c r="AD58" s="197"/>
      <c r="AH58" s="197"/>
      <c r="AJ58" s="201"/>
      <c r="AL58" s="202"/>
      <c r="AM58" s="196"/>
    </row>
    <row r="59" spans="1:39" s="198" customFormat="1" x14ac:dyDescent="0.25">
      <c r="A59" s="196"/>
      <c r="B59" s="196"/>
      <c r="C59" s="197"/>
      <c r="E59" s="197"/>
      <c r="F59" s="197"/>
      <c r="H59" s="197"/>
      <c r="L59" s="197"/>
      <c r="M59" s="199"/>
      <c r="N59" s="200"/>
      <c r="P59" s="200"/>
      <c r="R59" s="201"/>
      <c r="AD59" s="197"/>
      <c r="AH59" s="197"/>
      <c r="AJ59" s="201"/>
      <c r="AL59" s="202"/>
      <c r="AM59" s="196"/>
    </row>
    <row r="60" spans="1:39" s="198" customFormat="1" x14ac:dyDescent="0.25">
      <c r="A60" s="196"/>
      <c r="B60" s="196"/>
      <c r="C60" s="197"/>
      <c r="E60" s="197"/>
      <c r="F60" s="197"/>
      <c r="H60" s="197"/>
      <c r="L60" s="197"/>
      <c r="M60" s="199"/>
      <c r="N60" s="200"/>
      <c r="P60" s="200"/>
      <c r="R60" s="201"/>
      <c r="AD60" s="197"/>
      <c r="AH60" s="197"/>
      <c r="AJ60" s="201"/>
      <c r="AL60" s="202"/>
      <c r="AM60" s="196"/>
    </row>
    <row r="61" spans="1:39" s="198" customFormat="1" x14ac:dyDescent="0.25">
      <c r="A61" s="196"/>
      <c r="B61" s="196"/>
      <c r="C61" s="197"/>
      <c r="E61" s="197"/>
      <c r="F61" s="197"/>
      <c r="H61" s="197"/>
      <c r="L61" s="197"/>
      <c r="M61" s="199"/>
      <c r="N61" s="200"/>
      <c r="P61" s="200"/>
      <c r="R61" s="201"/>
      <c r="AD61" s="197"/>
      <c r="AH61" s="197"/>
      <c r="AJ61" s="201"/>
      <c r="AL61" s="202"/>
      <c r="AM61" s="196"/>
    </row>
    <row r="62" spans="1:39" s="198" customFormat="1" x14ac:dyDescent="0.25">
      <c r="A62" s="196"/>
      <c r="B62" s="196"/>
      <c r="C62" s="197"/>
      <c r="E62" s="197"/>
      <c r="F62" s="197"/>
      <c r="H62" s="197"/>
      <c r="L62" s="197"/>
      <c r="M62" s="199"/>
      <c r="N62" s="200"/>
      <c r="P62" s="200"/>
      <c r="R62" s="201"/>
      <c r="AD62" s="197"/>
      <c r="AH62" s="197"/>
      <c r="AJ62" s="201"/>
      <c r="AL62" s="202"/>
      <c r="AM62" s="196"/>
    </row>
    <row r="63" spans="1:39" s="198" customFormat="1" x14ac:dyDescent="0.25">
      <c r="A63" s="196"/>
      <c r="B63" s="196"/>
      <c r="C63" s="197"/>
      <c r="E63" s="197"/>
      <c r="F63" s="197"/>
      <c r="H63" s="197"/>
      <c r="L63" s="197"/>
      <c r="M63" s="199"/>
      <c r="N63" s="200"/>
      <c r="P63" s="200"/>
      <c r="R63" s="201"/>
      <c r="AD63" s="197"/>
      <c r="AH63" s="197"/>
      <c r="AJ63" s="201"/>
      <c r="AL63" s="202"/>
      <c r="AM63" s="196"/>
    </row>
    <row r="64" spans="1:39" s="198" customFormat="1" x14ac:dyDescent="0.25">
      <c r="A64" s="196"/>
      <c r="B64" s="196"/>
      <c r="C64" s="197"/>
      <c r="E64" s="197"/>
      <c r="F64" s="197"/>
      <c r="H64" s="197"/>
      <c r="L64" s="197"/>
      <c r="M64" s="199"/>
      <c r="N64" s="200"/>
      <c r="P64" s="200"/>
      <c r="R64" s="201"/>
      <c r="AD64" s="197"/>
      <c r="AH64" s="197"/>
      <c r="AJ64" s="201"/>
      <c r="AL64" s="202"/>
      <c r="AM64" s="196"/>
    </row>
    <row r="65" spans="1:39" s="198" customFormat="1" x14ac:dyDescent="0.25">
      <c r="A65" s="196"/>
      <c r="B65" s="196"/>
      <c r="C65" s="197"/>
      <c r="E65" s="197"/>
      <c r="F65" s="197"/>
      <c r="H65" s="197"/>
      <c r="L65" s="197"/>
      <c r="M65" s="199"/>
      <c r="N65" s="200"/>
      <c r="P65" s="200"/>
      <c r="R65" s="201"/>
      <c r="AD65" s="197"/>
      <c r="AH65" s="197"/>
      <c r="AJ65" s="201"/>
      <c r="AL65" s="202"/>
      <c r="AM65" s="196"/>
    </row>
    <row r="66" spans="1:39" s="198" customFormat="1" x14ac:dyDescent="0.25">
      <c r="A66" s="196"/>
      <c r="B66" s="196"/>
      <c r="C66" s="197"/>
      <c r="E66" s="197"/>
      <c r="F66" s="197"/>
      <c r="H66" s="197"/>
      <c r="L66" s="197"/>
      <c r="M66" s="199"/>
      <c r="N66" s="200"/>
      <c r="P66" s="200"/>
      <c r="R66" s="201"/>
      <c r="AD66" s="197"/>
      <c r="AH66" s="197"/>
      <c r="AJ66" s="201"/>
      <c r="AL66" s="202"/>
      <c r="AM66" s="196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21" sqref="J21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7" t="s">
        <v>28</v>
      </c>
    </row>
    <row r="2" spans="1:3" ht="18.75" x14ac:dyDescent="0.3">
      <c r="A2" s="258">
        <v>44409</v>
      </c>
      <c r="B2" s="259"/>
      <c r="C2" s="259"/>
    </row>
    <row r="3" spans="1:3" x14ac:dyDescent="0.25">
      <c r="A3" s="261" t="s">
        <v>1</v>
      </c>
      <c r="B3" s="260" t="s">
        <v>2</v>
      </c>
      <c r="C3" s="260" t="s">
        <v>3</v>
      </c>
    </row>
    <row r="4" spans="1:3" x14ac:dyDescent="0.25">
      <c r="A4" s="261"/>
      <c r="B4" s="260"/>
      <c r="C4" s="260"/>
    </row>
    <row r="5" spans="1:3" x14ac:dyDescent="0.25">
      <c r="A5" s="261"/>
      <c r="B5" s="260"/>
      <c r="C5" s="260"/>
    </row>
    <row r="6" spans="1:3" x14ac:dyDescent="0.25">
      <c r="A6" s="2">
        <v>1</v>
      </c>
      <c r="B6" s="2">
        <v>4</v>
      </c>
      <c r="C6" s="2">
        <v>95</v>
      </c>
    </row>
    <row r="7" spans="1:3" x14ac:dyDescent="0.25">
      <c r="A7" s="2">
        <v>2</v>
      </c>
      <c r="B7" s="2">
        <v>5</v>
      </c>
      <c r="C7" s="2">
        <v>44</v>
      </c>
    </row>
    <row r="8" spans="1:3" x14ac:dyDescent="0.25">
      <c r="A8" s="2">
        <f>A7+1</f>
        <v>3</v>
      </c>
      <c r="B8" s="2">
        <v>3</v>
      </c>
      <c r="C8" s="2">
        <v>47</v>
      </c>
    </row>
    <row r="9" spans="1:3" x14ac:dyDescent="0.25">
      <c r="A9" s="2">
        <f>A8+1</f>
        <v>4</v>
      </c>
      <c r="B9" s="2">
        <v>3</v>
      </c>
      <c r="C9" s="2">
        <v>43</v>
      </c>
    </row>
    <row r="10" spans="1:3" x14ac:dyDescent="0.25">
      <c r="A10" s="2">
        <f t="shared" ref="A10:A35" si="0">A9+1</f>
        <v>5</v>
      </c>
      <c r="B10" s="2">
        <v>3</v>
      </c>
      <c r="C10" s="2">
        <v>27</v>
      </c>
    </row>
    <row r="11" spans="1:3" x14ac:dyDescent="0.25">
      <c r="A11" s="2">
        <f t="shared" si="0"/>
        <v>6</v>
      </c>
      <c r="B11" s="2">
        <v>5</v>
      </c>
      <c r="C11" s="2">
        <v>46</v>
      </c>
    </row>
    <row r="12" spans="1:3" x14ac:dyDescent="0.25">
      <c r="A12" s="2">
        <f t="shared" si="0"/>
        <v>7</v>
      </c>
      <c r="B12" s="2">
        <v>5</v>
      </c>
      <c r="C12" s="2">
        <v>74</v>
      </c>
    </row>
    <row r="13" spans="1:3" x14ac:dyDescent="0.25">
      <c r="A13" s="2">
        <f t="shared" si="0"/>
        <v>8</v>
      </c>
      <c r="B13" s="2">
        <v>3</v>
      </c>
      <c r="C13" s="2">
        <v>51</v>
      </c>
    </row>
    <row r="14" spans="1:3" x14ac:dyDescent="0.25">
      <c r="A14" s="2">
        <f t="shared" si="0"/>
        <v>9</v>
      </c>
      <c r="B14" s="2">
        <v>5</v>
      </c>
      <c r="C14" s="2">
        <v>40</v>
      </c>
    </row>
    <row r="15" spans="1:3" x14ac:dyDescent="0.25">
      <c r="A15" s="2">
        <f t="shared" si="0"/>
        <v>10</v>
      </c>
      <c r="B15" s="2">
        <v>3</v>
      </c>
      <c r="C15" s="2">
        <v>42</v>
      </c>
    </row>
    <row r="16" spans="1:3" x14ac:dyDescent="0.25">
      <c r="A16" s="2">
        <f t="shared" si="0"/>
        <v>11</v>
      </c>
      <c r="B16" s="2">
        <v>3</v>
      </c>
      <c r="C16" s="2">
        <v>32</v>
      </c>
    </row>
    <row r="17" spans="1:3" x14ac:dyDescent="0.25">
      <c r="A17" s="2">
        <f t="shared" si="0"/>
        <v>12</v>
      </c>
      <c r="B17" s="2">
        <v>5</v>
      </c>
      <c r="C17" s="2">
        <v>37</v>
      </c>
    </row>
    <row r="18" spans="1:3" x14ac:dyDescent="0.25">
      <c r="A18" s="2">
        <f t="shared" si="0"/>
        <v>13</v>
      </c>
      <c r="B18" s="2">
        <v>5</v>
      </c>
      <c r="C18" s="2">
        <v>34</v>
      </c>
    </row>
    <row r="19" spans="1:3" x14ac:dyDescent="0.25">
      <c r="A19" s="2">
        <f t="shared" si="0"/>
        <v>14</v>
      </c>
      <c r="B19" s="2">
        <v>5</v>
      </c>
      <c r="C19" s="2">
        <v>56</v>
      </c>
    </row>
    <row r="20" spans="1:3" x14ac:dyDescent="0.25">
      <c r="A20" s="2">
        <f t="shared" si="0"/>
        <v>15</v>
      </c>
      <c r="B20" s="2">
        <v>1</v>
      </c>
      <c r="C20" s="2">
        <v>75</v>
      </c>
    </row>
    <row r="21" spans="1:3" x14ac:dyDescent="0.25">
      <c r="A21" s="2">
        <f t="shared" si="0"/>
        <v>16</v>
      </c>
      <c r="B21" s="2">
        <v>1</v>
      </c>
      <c r="C21" s="2">
        <v>18</v>
      </c>
    </row>
    <row r="22" spans="1:3" x14ac:dyDescent="0.25">
      <c r="A22" s="2">
        <f t="shared" si="0"/>
        <v>17</v>
      </c>
      <c r="B22" s="2">
        <v>1</v>
      </c>
      <c r="C22" s="2">
        <v>58</v>
      </c>
    </row>
    <row r="23" spans="1:3" x14ac:dyDescent="0.25">
      <c r="A23" s="2">
        <f t="shared" si="0"/>
        <v>18</v>
      </c>
      <c r="B23" s="2">
        <v>1</v>
      </c>
      <c r="C23" s="2">
        <v>29</v>
      </c>
    </row>
    <row r="24" spans="1:3" x14ac:dyDescent="0.25">
      <c r="A24" s="2">
        <f t="shared" si="0"/>
        <v>19</v>
      </c>
      <c r="B24" s="2">
        <v>1</v>
      </c>
      <c r="C24" s="2">
        <v>15</v>
      </c>
    </row>
    <row r="25" spans="1:3" x14ac:dyDescent="0.25">
      <c r="A25" s="2">
        <f t="shared" si="0"/>
        <v>20</v>
      </c>
      <c r="B25" s="2">
        <v>2</v>
      </c>
      <c r="C25" s="2">
        <v>26</v>
      </c>
    </row>
    <row r="26" spans="1:3" x14ac:dyDescent="0.25">
      <c r="A26" s="2">
        <f t="shared" si="0"/>
        <v>21</v>
      </c>
      <c r="B26" s="2">
        <v>2</v>
      </c>
      <c r="C26" s="2">
        <v>49</v>
      </c>
    </row>
    <row r="27" spans="1:3" x14ac:dyDescent="0.25">
      <c r="A27" s="2">
        <f t="shared" si="0"/>
        <v>22</v>
      </c>
      <c r="B27" s="2">
        <v>3</v>
      </c>
      <c r="C27" s="2">
        <v>53</v>
      </c>
    </row>
    <row r="28" spans="1:3" x14ac:dyDescent="0.25">
      <c r="A28" s="2">
        <f t="shared" si="0"/>
        <v>23</v>
      </c>
      <c r="B28" s="2">
        <v>4</v>
      </c>
      <c r="C28" s="2">
        <v>28</v>
      </c>
    </row>
    <row r="29" spans="1:3" x14ac:dyDescent="0.25">
      <c r="A29" s="2">
        <f t="shared" si="0"/>
        <v>24</v>
      </c>
      <c r="B29" s="2">
        <v>6</v>
      </c>
      <c r="C29" s="2">
        <v>42</v>
      </c>
    </row>
    <row r="30" spans="1:3" x14ac:dyDescent="0.25">
      <c r="A30" s="2">
        <f t="shared" si="0"/>
        <v>25</v>
      </c>
      <c r="B30" s="2">
        <v>4</v>
      </c>
      <c r="C30" s="2">
        <v>28</v>
      </c>
    </row>
    <row r="31" spans="1:3" x14ac:dyDescent="0.25">
      <c r="A31" s="2">
        <f t="shared" si="0"/>
        <v>26</v>
      </c>
      <c r="B31" s="2">
        <v>4</v>
      </c>
      <c r="C31" s="2">
        <v>47</v>
      </c>
    </row>
    <row r="32" spans="1:3" x14ac:dyDescent="0.25">
      <c r="A32" s="2">
        <f t="shared" si="0"/>
        <v>27</v>
      </c>
      <c r="B32" s="2">
        <v>5</v>
      </c>
      <c r="C32" s="2">
        <v>41</v>
      </c>
    </row>
    <row r="33" spans="1:3" x14ac:dyDescent="0.25">
      <c r="A33" s="2">
        <f t="shared" si="0"/>
        <v>28</v>
      </c>
      <c r="B33" s="2">
        <v>6</v>
      </c>
      <c r="C33" s="2">
        <v>47</v>
      </c>
    </row>
    <row r="34" spans="1:3" x14ac:dyDescent="0.25">
      <c r="A34" s="2">
        <f t="shared" si="0"/>
        <v>29</v>
      </c>
      <c r="B34" s="2">
        <v>6</v>
      </c>
      <c r="C34" s="2">
        <v>97</v>
      </c>
    </row>
    <row r="35" spans="1:3" x14ac:dyDescent="0.25">
      <c r="A35" s="2">
        <f t="shared" si="0"/>
        <v>30</v>
      </c>
      <c r="B35" s="2">
        <v>4</v>
      </c>
      <c r="C35" s="2">
        <v>46</v>
      </c>
    </row>
    <row r="36" spans="1:3" x14ac:dyDescent="0.25">
      <c r="A36" s="2">
        <v>31</v>
      </c>
      <c r="B36" s="2">
        <v>3</v>
      </c>
      <c r="C36" s="2">
        <v>47</v>
      </c>
    </row>
    <row r="38" spans="1:3" x14ac:dyDescent="0.25">
      <c r="B38" s="6">
        <f>SUM(B6:B36)</f>
        <v>111</v>
      </c>
      <c r="C38" s="6">
        <f>SUM(C6:C36)</f>
        <v>1414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600A1B8-D067-46A4-BFF3-33C56F47C4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August 2021</vt:lpstr>
      <vt:lpstr>RNs &amp; Covers August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2022-04-15T04:49:18Z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