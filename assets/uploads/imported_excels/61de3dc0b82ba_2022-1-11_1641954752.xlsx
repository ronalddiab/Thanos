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2" i="4" l="1"/>
  <c r="Q12" i="4"/>
  <c r="O12" i="4"/>
  <c r="M12" i="4"/>
  <c r="K12" i="4"/>
  <c r="H12" i="4"/>
  <c r="F12" i="4"/>
  <c r="I12" i="4" s="1"/>
  <c r="D12" i="4"/>
  <c r="D13" i="4"/>
  <c r="F13" i="4"/>
  <c r="H13" i="4"/>
  <c r="K13" i="4"/>
  <c r="M13" i="4"/>
  <c r="O13" i="4"/>
  <c r="Q13" i="4"/>
  <c r="S13" i="4"/>
  <c r="W13" i="4"/>
  <c r="I13" i="4" l="1"/>
  <c r="AA8" i="4" l="1"/>
  <c r="AA9" i="4"/>
  <c r="AA10" i="4"/>
  <c r="AA11" i="4"/>
  <c r="AD4" i="1" l="1"/>
  <c r="AB4" i="1"/>
  <c r="AB5" i="1" s="1"/>
  <c r="AB6" i="1" s="1"/>
  <c r="AB10" i="1" s="1"/>
  <c r="AB11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F14" i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D8" i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Z14" i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X14" i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J5" i="2"/>
  <c r="C3" i="2"/>
  <c r="E3" i="2"/>
  <c r="G3" i="2"/>
  <c r="I3" i="2"/>
  <c r="M3" i="2"/>
  <c r="O3" i="2"/>
  <c r="R3" i="2"/>
  <c r="U3" i="2"/>
  <c r="M4" i="2"/>
  <c r="R4" i="2"/>
  <c r="S4" i="2" s="1"/>
  <c r="U4" i="2"/>
  <c r="U5" i="2"/>
  <c r="Q4" i="2" l="1"/>
  <c r="Q5" i="2"/>
  <c r="C4" i="2"/>
  <c r="C5" i="2"/>
  <c r="I4" i="2"/>
  <c r="I5" i="2"/>
  <c r="O4" i="2"/>
  <c r="O5" i="2"/>
  <c r="G4" i="2"/>
  <c r="G5" i="2"/>
  <c r="R5" i="2"/>
  <c r="S5" i="2" s="1"/>
  <c r="M5" i="2"/>
  <c r="E4" i="2" l="1"/>
  <c r="E5" i="2"/>
  <c r="Q6" i="1" l="1"/>
  <c r="Q7" i="1"/>
  <c r="Q8" i="1" s="1"/>
  <c r="Q9" i="1" s="1"/>
  <c r="Q10" i="1" s="1"/>
  <c r="N14" i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K14" i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H14" i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E14" i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B14" i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AA2" i="1"/>
  <c r="Y2" i="1"/>
  <c r="S2" i="1"/>
  <c r="P2" i="1"/>
  <c r="M2" i="1"/>
  <c r="J2" i="1"/>
  <c r="G2" i="1"/>
  <c r="D2" i="1"/>
  <c r="B14" i="5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H14" i="3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F14" i="3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D14" i="3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J2" i="3"/>
  <c r="K2" i="3" s="1"/>
  <c r="T14" i="2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R6" i="2"/>
  <c r="R7" i="2" s="1"/>
  <c r="R9" i="2" s="1"/>
  <c r="R10" i="2" s="1"/>
  <c r="R11" i="2" s="1"/>
  <c r="R12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P6" i="2"/>
  <c r="P7" i="2"/>
  <c r="P8" i="2" s="1"/>
  <c r="P9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14" i="2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14" i="2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J10" i="2"/>
  <c r="J11" i="2" s="1"/>
  <c r="J12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H14" i="2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14" i="2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14" i="2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P2" i="2"/>
  <c r="V14" i="4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R14" i="4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P14" i="4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N14" i="4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B10" i="4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Z2" i="4"/>
  <c r="X2" i="4"/>
  <c r="T2" i="1" l="1"/>
  <c r="AE31" i="1"/>
  <c r="AE32" i="1"/>
  <c r="E20" i="2" l="1"/>
  <c r="C20" i="2"/>
  <c r="G20" i="2"/>
  <c r="I20" i="2"/>
  <c r="O20" i="2"/>
  <c r="Q20" i="2"/>
  <c r="U20" i="2"/>
  <c r="M20" i="2"/>
  <c r="S20" i="2"/>
  <c r="AE13" i="1" l="1"/>
  <c r="AG12" i="1"/>
  <c r="C12" i="5" l="1"/>
  <c r="AE11" i="1" l="1"/>
  <c r="C11" i="5" l="1"/>
  <c r="E4" i="3" l="1"/>
  <c r="E5" i="3"/>
  <c r="E6" i="3"/>
  <c r="E3" i="3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T3" i="1"/>
  <c r="U3" i="1" s="1"/>
  <c r="D3" i="4"/>
  <c r="X32" i="8"/>
  <c r="Q32" i="8"/>
  <c r="P32" i="8"/>
  <c r="O32" i="8"/>
  <c r="N32" i="8"/>
  <c r="B32" i="8"/>
  <c r="K32" i="9"/>
  <c r="B32" i="9"/>
  <c r="AG33" i="1"/>
  <c r="AA33" i="1"/>
  <c r="Y33" i="1"/>
  <c r="R33" i="1"/>
  <c r="S33" i="1" s="1"/>
  <c r="O34" i="1"/>
  <c r="L33" i="1"/>
  <c r="I33" i="1"/>
  <c r="F33" i="1"/>
  <c r="G33" i="1" s="1"/>
  <c r="C33" i="1"/>
  <c r="C33" i="5"/>
  <c r="G32" i="9" s="1"/>
  <c r="I33" i="3"/>
  <c r="H32" i="8" s="1"/>
  <c r="G33" i="3"/>
  <c r="I32" i="8" s="1"/>
  <c r="U33" i="2"/>
  <c r="Q33" i="2"/>
  <c r="AC32" i="8" s="1"/>
  <c r="O33" i="2"/>
  <c r="AB32" i="8" s="1"/>
  <c r="M33" i="2"/>
  <c r="AA32" i="8" s="1"/>
  <c r="I33" i="2"/>
  <c r="G33" i="2"/>
  <c r="E33" i="2"/>
  <c r="C33" i="2"/>
  <c r="K34" i="2"/>
  <c r="W33" i="4"/>
  <c r="S33" i="4"/>
  <c r="Q33" i="4"/>
  <c r="O33" i="4"/>
  <c r="M33" i="4"/>
  <c r="H33" i="4"/>
  <c r="J32" i="8" s="1"/>
  <c r="F33" i="4"/>
  <c r="D33" i="4"/>
  <c r="U34" i="4"/>
  <c r="T34" i="4"/>
  <c r="AE33" i="1" l="1"/>
  <c r="AE14" i="1"/>
  <c r="E7" i="3"/>
  <c r="K9" i="4"/>
  <c r="V32" i="8"/>
  <c r="M33" i="1"/>
  <c r="I33" i="4"/>
  <c r="O33" i="1"/>
  <c r="U32" i="8" s="1"/>
  <c r="W32" i="8"/>
  <c r="J33" i="1"/>
  <c r="T32" i="8"/>
  <c r="D33" i="1"/>
  <c r="R32" i="8"/>
  <c r="Z32" i="8"/>
  <c r="K32" i="8"/>
  <c r="Z33" i="4"/>
  <c r="E8" i="3" l="1"/>
  <c r="K10" i="4"/>
  <c r="P33" i="1"/>
  <c r="C30" i="5"/>
  <c r="G29" i="9" s="1"/>
  <c r="C31" i="5"/>
  <c r="G30" i="9" s="1"/>
  <c r="C32" i="5"/>
  <c r="G31" i="9" s="1"/>
  <c r="E9" i="3" l="1"/>
  <c r="K11" i="4"/>
  <c r="L26" i="1"/>
  <c r="E10" i="3" l="1"/>
  <c r="AE12" i="1"/>
  <c r="AE15" i="1"/>
  <c r="AE16" i="1"/>
  <c r="AE17" i="1"/>
  <c r="AE18" i="1"/>
  <c r="AE19" i="1"/>
  <c r="AE21" i="1"/>
  <c r="AE22" i="1"/>
  <c r="AE23" i="1"/>
  <c r="AE24" i="1"/>
  <c r="AE25" i="1"/>
  <c r="AE26" i="1"/>
  <c r="AE27" i="1"/>
  <c r="AE28" i="1"/>
  <c r="AE29" i="1"/>
  <c r="AE30" i="1"/>
  <c r="AE10" i="1"/>
  <c r="AE9" i="1"/>
  <c r="AE8" i="1"/>
  <c r="AE7" i="1"/>
  <c r="AE6" i="1"/>
  <c r="AE5" i="1"/>
  <c r="AE4" i="1"/>
  <c r="AE3" i="1"/>
  <c r="E11" i="3" l="1"/>
  <c r="AG17" i="1"/>
  <c r="AG16" i="1"/>
  <c r="AG15" i="1"/>
  <c r="AG14" i="1"/>
  <c r="AG13" i="1"/>
  <c r="AG11" i="1"/>
  <c r="AG10" i="1"/>
  <c r="AG9" i="1"/>
  <c r="AG8" i="1"/>
  <c r="AG7" i="1"/>
  <c r="AG6" i="1"/>
  <c r="AG5" i="1"/>
  <c r="AG4" i="1"/>
  <c r="AG3" i="1"/>
  <c r="E12" i="3" l="1"/>
  <c r="K14" i="4"/>
  <c r="AG20" i="1"/>
  <c r="O18" i="4"/>
  <c r="E13" i="3" l="1"/>
  <c r="K15" i="4"/>
  <c r="AG21" i="1"/>
  <c r="AC15" i="1"/>
  <c r="AA15" i="1"/>
  <c r="Y15" i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E14" i="3" l="1"/>
  <c r="K16" i="4"/>
  <c r="AG22" i="1"/>
  <c r="T15" i="1"/>
  <c r="U15" i="1" s="1"/>
  <c r="U15" i="2"/>
  <c r="Q15" i="2"/>
  <c r="O15" i="2"/>
  <c r="M15" i="2"/>
  <c r="I15" i="2"/>
  <c r="G15" i="2"/>
  <c r="E15" i="3" l="1"/>
  <c r="K17" i="4"/>
  <c r="AG23" i="1"/>
  <c r="E16" i="3" l="1"/>
  <c r="K18" i="4"/>
  <c r="AG24" i="1"/>
  <c r="E17" i="3" l="1"/>
  <c r="K19" i="4"/>
  <c r="Z13" i="4"/>
  <c r="AG25" i="1"/>
  <c r="X13" i="4"/>
  <c r="W12" i="4"/>
  <c r="E18" i="3" l="1"/>
  <c r="K20" i="4"/>
  <c r="Y13" i="4"/>
  <c r="AG26" i="1"/>
  <c r="E19" i="3" l="1"/>
  <c r="K21" i="4"/>
  <c r="AG27" i="1"/>
  <c r="E20" i="3" l="1"/>
  <c r="K22" i="4"/>
  <c r="AG28" i="1"/>
  <c r="E21" i="3" l="1"/>
  <c r="K23" i="4"/>
  <c r="AG29" i="1"/>
  <c r="E22" i="3" l="1"/>
  <c r="K24" i="4"/>
  <c r="AG30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E23" i="3" l="1"/>
  <c r="K25" i="4"/>
  <c r="AG31" i="1"/>
  <c r="AG32" i="1"/>
  <c r="AC25" i="1"/>
  <c r="E24" i="3" l="1"/>
  <c r="K26" i="4"/>
  <c r="AC27" i="1"/>
  <c r="AC26" i="1"/>
  <c r="D18" i="4"/>
  <c r="E25" i="3" l="1"/>
  <c r="K27" i="4"/>
  <c r="AA30" i="1"/>
  <c r="AC28" i="1"/>
  <c r="AC4" i="1"/>
  <c r="AC5" i="1"/>
  <c r="AC6" i="1"/>
  <c r="AC7" i="1"/>
  <c r="AC8" i="1"/>
  <c r="E26" i="3" l="1"/>
  <c r="K28" i="4"/>
  <c r="AC29" i="1"/>
  <c r="E27" i="3" l="1"/>
  <c r="K29" i="4"/>
  <c r="AC30" i="1"/>
  <c r="C9" i="5"/>
  <c r="O10" i="1"/>
  <c r="E28" i="3" l="1"/>
  <c r="K30" i="4"/>
  <c r="AC31" i="1"/>
  <c r="AC10" i="1"/>
  <c r="AC11" i="1"/>
  <c r="AC12" i="1"/>
  <c r="AC13" i="1"/>
  <c r="AC14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E29" i="3" l="1"/>
  <c r="K31" i="4"/>
  <c r="Y3" i="1"/>
  <c r="AA4" i="1"/>
  <c r="E30" i="3" l="1"/>
  <c r="K32" i="4"/>
  <c r="K33" i="4"/>
  <c r="X33" i="4" s="1"/>
  <c r="Y33" i="4" s="1"/>
  <c r="O14" i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E31" i="3" l="1"/>
  <c r="E15" i="2"/>
  <c r="G25" i="2"/>
  <c r="E33" i="3" l="1"/>
  <c r="E32" i="3"/>
  <c r="F32" i="8" l="1"/>
  <c r="G32" i="8"/>
  <c r="M26" i="2"/>
  <c r="AA32" i="1" l="1"/>
  <c r="Y7" i="1"/>
  <c r="Y8" i="1"/>
  <c r="Y9" i="1"/>
  <c r="Y10" i="1"/>
  <c r="Y11" i="1"/>
  <c r="Y12" i="1"/>
  <c r="Y13" i="1"/>
  <c r="Y14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1" i="1"/>
  <c r="Y5" i="1"/>
  <c r="Y6" i="1"/>
  <c r="AA34" i="1" l="1"/>
  <c r="Y34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L31" i="1"/>
  <c r="L32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D4" i="1" l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4" i="4"/>
  <c r="D5" i="4"/>
  <c r="D6" i="4"/>
  <c r="D7" i="4"/>
  <c r="D8" i="4"/>
  <c r="D9" i="4"/>
  <c r="D10" i="4"/>
  <c r="D11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F4" i="4"/>
  <c r="F5" i="4"/>
  <c r="F6" i="4"/>
  <c r="F7" i="4"/>
  <c r="F8" i="4"/>
  <c r="F9" i="4"/>
  <c r="F10" i="4"/>
  <c r="F11" i="4"/>
  <c r="I11" i="4" s="1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L5" i="1" l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M32" i="1" l="1"/>
  <c r="N26" i="10"/>
  <c r="Q22" i="2" l="1"/>
  <c r="I3" i="3" l="1"/>
  <c r="G3" i="3"/>
  <c r="C3" i="3"/>
  <c r="C6" i="5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15" i="5" l="1"/>
  <c r="C8" i="3" l="1"/>
  <c r="C3" i="5" l="1"/>
  <c r="I4" i="3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C4" i="5"/>
  <c r="N94" i="10" l="1"/>
  <c r="D34" i="1" l="1"/>
  <c r="C34" i="1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S8" i="2" l="1"/>
  <c r="K9" i="11"/>
  <c r="K7" i="11"/>
  <c r="K10" i="11"/>
  <c r="K4" i="11"/>
  <c r="K3" i="11"/>
  <c r="K8" i="11"/>
  <c r="K6" i="11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S32" i="4"/>
  <c r="S31" i="4"/>
  <c r="Q32" i="4"/>
  <c r="Q31" i="4"/>
  <c r="O32" i="4"/>
  <c r="O31" i="4"/>
  <c r="M31" i="4"/>
  <c r="J31" i="8"/>
  <c r="AA30" i="8" l="1"/>
  <c r="K5" i="11"/>
  <c r="AA31" i="8"/>
  <c r="I32" i="4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W31" i="4"/>
  <c r="X31" i="4" s="1"/>
  <c r="S31" i="2" l="1"/>
  <c r="AC30" i="8" s="1"/>
  <c r="AC31" i="8"/>
  <c r="Z31" i="4"/>
  <c r="W32" i="4"/>
  <c r="W25" i="4"/>
  <c r="T30" i="8" l="1"/>
  <c r="K12" i="11"/>
  <c r="K13" i="11" s="1"/>
  <c r="K14" i="11" s="1"/>
  <c r="X32" i="4"/>
  <c r="Y32" i="4" s="1"/>
  <c r="Z32" i="4"/>
  <c r="I34" i="1" l="1"/>
  <c r="J34" i="1"/>
  <c r="T31" i="8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I14" i="3"/>
  <c r="Q14" i="2"/>
  <c r="Z15" i="4" l="1"/>
  <c r="X15" i="4"/>
  <c r="I15" i="4"/>
  <c r="X14" i="4"/>
  <c r="Z14" i="4"/>
  <c r="I14" i="4"/>
  <c r="T14" i="1" l="1"/>
  <c r="U14" i="1" s="1"/>
  <c r="Y15" i="4"/>
  <c r="Y14" i="4"/>
  <c r="E11" i="2" l="1"/>
  <c r="C5" i="5" l="1"/>
  <c r="C7" i="5"/>
  <c r="C8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S11" i="4"/>
  <c r="O10" i="8" s="1"/>
  <c r="S10" i="4"/>
  <c r="O9" i="8" s="1"/>
  <c r="N11" i="8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O11" i="8"/>
  <c r="O11" i="4"/>
  <c r="M11" i="4"/>
  <c r="L10" i="8" s="1"/>
  <c r="G9" i="9"/>
  <c r="M12" i="2"/>
  <c r="E12" i="2"/>
  <c r="E10" i="2"/>
  <c r="Q10" i="2"/>
  <c r="Q9" i="2"/>
  <c r="F11" i="8"/>
  <c r="O13" i="8"/>
  <c r="L11" i="8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I17" i="2"/>
  <c r="I16" i="2"/>
  <c r="S10" i="8"/>
  <c r="P12" i="8"/>
  <c r="N12" i="8"/>
  <c r="M13" i="8"/>
  <c r="J14" i="8"/>
  <c r="G11" i="9"/>
  <c r="G10" i="9"/>
  <c r="G13" i="3"/>
  <c r="G12" i="8" s="1"/>
  <c r="F13" i="8"/>
  <c r="T14" i="8"/>
  <c r="P13" i="8"/>
  <c r="N13" i="8"/>
  <c r="M14" i="8"/>
  <c r="O16" i="4"/>
  <c r="M15" i="8" s="1"/>
  <c r="G12" i="9"/>
  <c r="G13" i="8"/>
  <c r="F15" i="8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G17" i="9"/>
  <c r="G15" i="9"/>
  <c r="G14" i="9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G16" i="9"/>
  <c r="U23" i="2"/>
  <c r="E21" i="2"/>
  <c r="S22" i="4"/>
  <c r="O21" i="8" s="1"/>
  <c r="K19" i="8"/>
  <c r="G18" i="9"/>
  <c r="G19" i="9"/>
  <c r="U17" i="8"/>
  <c r="U24" i="2"/>
  <c r="AA19" i="8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I21" i="3"/>
  <c r="H20" i="8" s="1"/>
  <c r="G19" i="3"/>
  <c r="G18" i="8" s="1"/>
  <c r="G20" i="3"/>
  <c r="G21" i="3"/>
  <c r="G20" i="8" s="1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I23" i="3"/>
  <c r="H22" i="8" s="1"/>
  <c r="T25" i="8"/>
  <c r="I24" i="3"/>
  <c r="H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AB19" i="8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G27" i="9"/>
  <c r="G26" i="9"/>
  <c r="G28" i="9"/>
  <c r="S27" i="8"/>
  <c r="V27" i="8"/>
  <c r="S34" i="2" l="1"/>
  <c r="J6" i="3"/>
  <c r="J5" i="3"/>
  <c r="K5" i="3" s="1"/>
  <c r="J9" i="3"/>
  <c r="K9" i="3" s="1"/>
  <c r="J7" i="3"/>
  <c r="K7" i="3" s="1"/>
  <c r="E9" i="8"/>
  <c r="AD9" i="8" s="1"/>
  <c r="AE9" i="8" s="1"/>
  <c r="J10" i="3"/>
  <c r="K10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AA25" i="4" s="1"/>
  <c r="X22" i="4"/>
  <c r="X10" i="4"/>
  <c r="I10" i="4"/>
  <c r="Y9" i="8"/>
  <c r="I9" i="4"/>
  <c r="I3" i="8"/>
  <c r="I13" i="8"/>
  <c r="Y13" i="8" s="1"/>
  <c r="Z4" i="4"/>
  <c r="X4" i="4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W15" i="8"/>
  <c r="O17" i="4"/>
  <c r="M16" i="8" s="1"/>
  <c r="S17" i="4"/>
  <c r="T9" i="1"/>
  <c r="U9" i="1" s="1"/>
  <c r="M11" i="8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AD7" i="8"/>
  <c r="AE7" i="8" s="1"/>
  <c r="F10" i="8"/>
  <c r="H17" i="8"/>
  <c r="H11" i="8"/>
  <c r="AD6" i="8"/>
  <c r="AE6" i="8" s="1"/>
  <c r="C27" i="11"/>
  <c r="D27" i="11" s="1"/>
  <c r="D26" i="11"/>
  <c r="C16" i="11"/>
  <c r="D16" i="11" s="1"/>
  <c r="D14" i="11"/>
  <c r="AA28" i="4" l="1"/>
  <c r="AA24" i="4"/>
  <c r="AA16" i="4"/>
  <c r="AA26" i="4"/>
  <c r="AA27" i="4"/>
  <c r="AA23" i="4"/>
  <c r="Y6" i="4"/>
  <c r="AD4" i="8"/>
  <c r="AE4" i="8" s="1"/>
  <c r="I4" i="9" s="1"/>
  <c r="I2" i="9"/>
  <c r="I8" i="9"/>
  <c r="I6" i="9"/>
  <c r="I5" i="9"/>
  <c r="I7" i="9"/>
  <c r="I9" i="9"/>
  <c r="R34" i="1"/>
  <c r="W34" i="4"/>
  <c r="Y7" i="4"/>
  <c r="G34" i="3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Y10" i="4"/>
  <c r="O16" i="8"/>
  <c r="Z17" i="4"/>
  <c r="AA9" i="8"/>
  <c r="M12" i="8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4" i="2" s="1"/>
  <c r="K11" i="8"/>
  <c r="X12" i="4"/>
  <c r="C22" i="11"/>
  <c r="D22" i="11" s="1"/>
  <c r="AA17" i="8"/>
  <c r="AA8" i="8"/>
  <c r="O19" i="4"/>
  <c r="M18" i="8" s="1"/>
  <c r="P28" i="8"/>
  <c r="Z29" i="4"/>
  <c r="Z9" i="8"/>
  <c r="P17" i="8"/>
  <c r="X21" i="4"/>
  <c r="L20" i="8"/>
  <c r="I11" i="8"/>
  <c r="Z11" i="4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A12" i="4" l="1"/>
  <c r="AA13" i="4"/>
  <c r="AA14" i="4"/>
  <c r="AA15" i="4"/>
  <c r="AA32" i="4"/>
  <c r="AA17" i="4"/>
  <c r="AA31" i="4"/>
  <c r="AA30" i="4"/>
  <c r="AA29" i="4"/>
  <c r="F34" i="1"/>
  <c r="S32" i="8"/>
  <c r="T33" i="1"/>
  <c r="U33" i="1" s="1"/>
  <c r="I34" i="2"/>
  <c r="K34" i="4"/>
  <c r="S34" i="1"/>
  <c r="L34" i="1"/>
  <c r="P34" i="1"/>
  <c r="O34" i="4"/>
  <c r="S34" i="4"/>
  <c r="Z10" i="8"/>
  <c r="I17" i="4"/>
  <c r="Y17" i="4" s="1"/>
  <c r="J16" i="8"/>
  <c r="Y16" i="8" s="1"/>
  <c r="Y11" i="8"/>
  <c r="Z18" i="4"/>
  <c r="E8" i="9"/>
  <c r="E9" i="9"/>
  <c r="X18" i="4"/>
  <c r="K17" i="8"/>
  <c r="Y12" i="8"/>
  <c r="AA18" i="8"/>
  <c r="G12" i="2"/>
  <c r="G13" i="2"/>
  <c r="Z12" i="8" s="1"/>
  <c r="K18" i="8"/>
  <c r="X19" i="4"/>
  <c r="M17" i="8"/>
  <c r="Z19" i="4"/>
  <c r="AA22" i="4" s="1"/>
  <c r="Y10" i="8"/>
  <c r="V18" i="8"/>
  <c r="V17" i="8"/>
  <c r="AA21" i="4" l="1"/>
  <c r="AA18" i="4"/>
  <c r="AA20" i="4"/>
  <c r="AA19" i="4"/>
  <c r="Y12" i="4"/>
  <c r="M34" i="1"/>
  <c r="G34" i="2"/>
  <c r="Z34" i="4"/>
  <c r="J17" i="8"/>
  <c r="Y17" i="8" s="1"/>
  <c r="I18" i="4"/>
  <c r="Y18" i="4" s="1"/>
  <c r="I19" i="4"/>
  <c r="AA11" i="8"/>
  <c r="Z11" i="8"/>
  <c r="AA20" i="8"/>
  <c r="AA10" i="8"/>
  <c r="X34" i="4"/>
  <c r="R29" i="8" l="1"/>
  <c r="AA34" i="4"/>
  <c r="T30" i="1"/>
  <c r="U30" i="1" s="1"/>
  <c r="J18" i="8"/>
  <c r="Y18" i="8" s="1"/>
  <c r="Y19" i="4"/>
  <c r="AA21" i="8"/>
  <c r="AA13" i="8"/>
  <c r="AA22" i="8" l="1"/>
  <c r="R30" i="8"/>
  <c r="T31" i="1"/>
  <c r="U31" i="1" s="1"/>
  <c r="J19" i="8"/>
  <c r="Y19" i="8" s="1"/>
  <c r="I20" i="4"/>
  <c r="Y20" i="4" s="1"/>
  <c r="AA12" i="8"/>
  <c r="R31" i="8" l="1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AD3" i="8" l="1"/>
  <c r="AE3" i="8" s="1"/>
  <c r="I3" i="9" s="1"/>
  <c r="K4" i="3"/>
  <c r="C11" i="3"/>
  <c r="C12" i="3"/>
  <c r="B14" i="3"/>
  <c r="J12" i="3" l="1"/>
  <c r="K12" i="3" s="1"/>
  <c r="E11" i="8"/>
  <c r="C14" i="3"/>
  <c r="B15" i="3"/>
  <c r="J11" i="3"/>
  <c r="E10" i="8"/>
  <c r="C13" i="3"/>
  <c r="C15" i="3" l="1"/>
  <c r="B16" i="3"/>
  <c r="AD11" i="8"/>
  <c r="AE11" i="8" s="1"/>
  <c r="K11" i="3"/>
  <c r="E13" i="8"/>
  <c r="J14" i="3"/>
  <c r="K14" i="3" s="1"/>
  <c r="E12" i="8"/>
  <c r="J13" i="3"/>
  <c r="K13" i="3" s="1"/>
  <c r="AD10" i="8"/>
  <c r="AD12" i="8" l="1"/>
  <c r="AE12" i="8"/>
  <c r="I11" i="9"/>
  <c r="I10" i="9"/>
  <c r="B17" i="3"/>
  <c r="C16" i="3"/>
  <c r="AE10" i="8"/>
  <c r="AD13" i="8"/>
  <c r="AE13" i="8"/>
  <c r="J15" i="3"/>
  <c r="K15" i="3" s="1"/>
  <c r="E14" i="8"/>
  <c r="J16" i="3" l="1"/>
  <c r="K16" i="3" s="1"/>
  <c r="E15" i="8"/>
  <c r="I13" i="9"/>
  <c r="I12" i="9"/>
  <c r="AD14" i="8"/>
  <c r="C17" i="3"/>
  <c r="B18" i="3"/>
  <c r="J17" i="3" l="1"/>
  <c r="E16" i="8"/>
  <c r="AD15" i="8"/>
  <c r="AE14" i="8"/>
  <c r="I14" i="9" s="1"/>
  <c r="C18" i="3"/>
  <c r="B19" i="3"/>
  <c r="E17" i="8" l="1"/>
  <c r="J18" i="3"/>
  <c r="K18" i="3" s="1"/>
  <c r="B20" i="3"/>
  <c r="C19" i="3"/>
  <c r="AE15" i="8"/>
  <c r="I15" i="9" s="1"/>
  <c r="AD16" i="8"/>
  <c r="K17" i="3"/>
  <c r="E18" i="8" l="1"/>
  <c r="J19" i="3"/>
  <c r="B21" i="3"/>
  <c r="C20" i="3"/>
  <c r="AE16" i="8"/>
  <c r="I16" i="9" s="1"/>
  <c r="AD17" i="8"/>
  <c r="AE17" i="8" l="1"/>
  <c r="I17" i="9" s="1"/>
  <c r="K19" i="3"/>
  <c r="J20" i="3"/>
  <c r="K20" i="3" s="1"/>
  <c r="E19" i="8"/>
  <c r="B22" i="3"/>
  <c r="C21" i="3"/>
  <c r="AD18" i="8"/>
  <c r="AD19" i="8" l="1"/>
  <c r="AE18" i="8"/>
  <c r="I18" i="9" s="1"/>
  <c r="E20" i="8"/>
  <c r="J21" i="3"/>
  <c r="K21" i="3" s="1"/>
  <c r="C22" i="3"/>
  <c r="B23" i="3"/>
  <c r="C23" i="3" l="1"/>
  <c r="B24" i="3"/>
  <c r="AD20" i="8"/>
  <c r="J22" i="3"/>
  <c r="K22" i="3" s="1"/>
  <c r="E21" i="8"/>
  <c r="AE19" i="8"/>
  <c r="I19" i="9" s="1"/>
  <c r="AE20" i="8" l="1"/>
  <c r="I20" i="9" s="1"/>
  <c r="C24" i="3"/>
  <c r="B25" i="3"/>
  <c r="AD21" i="8"/>
  <c r="AE21" i="8" s="1"/>
  <c r="E22" i="8"/>
  <c r="J23" i="3"/>
  <c r="K23" i="3" s="1"/>
  <c r="B26" i="3" l="1"/>
  <c r="C25" i="3"/>
  <c r="I21" i="9"/>
  <c r="J24" i="3"/>
  <c r="K24" i="3" s="1"/>
  <c r="E23" i="8"/>
  <c r="AD22" i="8"/>
  <c r="AD23" i="8" l="1"/>
  <c r="AE23" i="8" s="1"/>
  <c r="J25" i="3"/>
  <c r="K25" i="3" s="1"/>
  <c r="E24" i="8"/>
  <c r="AE22" i="8"/>
  <c r="I22" i="9" s="1"/>
  <c r="B27" i="3"/>
  <c r="C26" i="3"/>
  <c r="AD24" i="8" l="1"/>
  <c r="J26" i="3"/>
  <c r="K26" i="3" s="1"/>
  <c r="E25" i="8"/>
  <c r="B28" i="3"/>
  <c r="C27" i="3"/>
  <c r="I23" i="9"/>
  <c r="J27" i="3" l="1"/>
  <c r="K27" i="3" s="1"/>
  <c r="E26" i="8"/>
  <c r="C28" i="3"/>
  <c r="B29" i="3"/>
  <c r="AD25" i="8"/>
  <c r="AE24" i="8"/>
  <c r="I24" i="9" s="1"/>
  <c r="AE25" i="8" l="1"/>
  <c r="I25" i="9" s="1"/>
  <c r="C29" i="3"/>
  <c r="B30" i="3"/>
  <c r="J28" i="3"/>
  <c r="K28" i="3" s="1"/>
  <c r="E27" i="8"/>
  <c r="AD26" i="8"/>
  <c r="AE26" i="8" s="1"/>
  <c r="B31" i="3" l="1"/>
  <c r="C30" i="3"/>
  <c r="AD27" i="8"/>
  <c r="E28" i="8"/>
  <c r="J29" i="3"/>
  <c r="K29" i="3" s="1"/>
  <c r="I26" i="9"/>
  <c r="AD28" i="8" l="1"/>
  <c r="AE28" i="8" s="1"/>
  <c r="AE27" i="8"/>
  <c r="I27" i="9" s="1"/>
  <c r="J30" i="3"/>
  <c r="K30" i="3" s="1"/>
  <c r="E29" i="8"/>
  <c r="B32" i="3"/>
  <c r="C31" i="3"/>
  <c r="AD29" i="8" l="1"/>
  <c r="E30" i="8"/>
  <c r="J31" i="3"/>
  <c r="I28" i="9"/>
  <c r="C32" i="3"/>
  <c r="B33" i="3"/>
  <c r="C33" i="3" s="1"/>
  <c r="E31" i="8" l="1"/>
  <c r="J32" i="3"/>
  <c r="L30" i="8"/>
  <c r="K31" i="3"/>
  <c r="M30" i="8" s="1"/>
  <c r="AD30" i="8"/>
  <c r="AE30" i="8" s="1"/>
  <c r="J33" i="3"/>
  <c r="E32" i="8"/>
  <c r="C34" i="3"/>
  <c r="AE29" i="8"/>
  <c r="I29" i="9" s="1"/>
  <c r="Y30" i="8" l="1"/>
  <c r="E30" i="9" s="1"/>
  <c r="AD32" i="8"/>
  <c r="K32" i="3"/>
  <c r="M31" i="8" s="1"/>
  <c r="L31" i="8"/>
  <c r="L32" i="8"/>
  <c r="K33" i="3"/>
  <c r="J34" i="3"/>
  <c r="AD31" i="8"/>
  <c r="I30" i="9"/>
  <c r="Y31" i="8" l="1"/>
  <c r="E31" i="9" s="1"/>
  <c r="AE31" i="8"/>
  <c r="I31" i="9" s="1"/>
  <c r="AE32" i="8"/>
  <c r="I32" i="9" s="1"/>
  <c r="M32" i="8"/>
  <c r="K34" i="3"/>
  <c r="Y32" i="8" l="1"/>
  <c r="E32" i="9" s="1"/>
</calcChain>
</file>

<file path=xl/sharedStrings.xml><?xml version="1.0" encoding="utf-8"?>
<sst xmlns="http://schemas.openxmlformats.org/spreadsheetml/2006/main" count="443" uniqueCount="149">
  <si>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</si>
  <si>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</si>
  <si>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</si>
  <si>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</si>
  <si>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</si>
  <si>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</si>
  <si>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</si>
  <si>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</si>
  <si>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</si>
  <si>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</si>
  <si>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</si>
  <si>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</si>
  <si>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</si>
  <si>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</si>
  <si>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</si>
  <si>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</si>
  <si>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</si>
  <si>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</si>
  <si>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</si>
  <si>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</si>
  <si>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</si>
  <si>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</si>
  <si>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</si>
  <si>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</si>
  <si>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</si>
  <si>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</si>
  <si>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</si>
  <si>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</si>
  <si>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</si>
  <si>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</si>
  <si>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</si>
  <si>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</si>
  <si>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</si>
  <si>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</si>
  <si>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</si>
  <si>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</si>
  <si>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</si>
  <si>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</si>
  <si>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</si>
  <si>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</si>
  <si>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</si>
  <si>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</si>
  <si>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</si>
  <si>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</si>
  <si>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</si>
  <si>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</si>
  <si>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</si>
  <si>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</si>
  <si>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</si>
  <si>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</si>
  <si>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</si>
  <si>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</si>
  <si>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</si>
  <si>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</si>
  <si>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</si>
  <si>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</si>
  <si>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</si>
  <si>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</si>
  <si>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</si>
  <si>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</si>
  <si>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</si>
  <si>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</si>
  <si>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</si>
  <si>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</si>
  <si>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</si>
  <si>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</si>
  <si>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</si>
  <si>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</si>
  <si>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</si>
  <si>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</si>
  <si>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</si>
  <si>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</si>
  <si>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</si>
  <si>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</si>
  <si>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</si>
  <si>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</si>
  <si>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</si>
  <si>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</si>
  <si>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</si>
  <si>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</si>
  <si>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</si>
  <si>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</si>
  <si>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</si>
  <si>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</si>
  <si>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</si>
  <si>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</si>
  <si>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</si>
  <si>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</si>
  <si>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</si>
  <si>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</si>
  <si>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</si>
  <si>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</si>
  <si>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</si>
  <si>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</si>
  <si>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</si>
  <si>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</si>
  <si>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</si>
  <si>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</si>
  <si>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</si>
  <si>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</si>
  <si>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</si>
  <si>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</si>
  <si>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</si>
  <si>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</si>
  <si>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</si>
  <si>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</si>
  <si>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</si>
  <si>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</si>
  <si>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</si>
  <si>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</si>
  <si>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</si>
  <si>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</si>
  <si>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</si>
  <si>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</si>
  <si>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</si>
  <si>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</si>
  <si>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</si>
  <si>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</si>
  <si>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</si>
  <si>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</si>
  <si>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</si>
  <si>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</si>
  <si>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</si>
  <si>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</si>
  <si>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</si>
  <si>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</si>
  <si>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</si>
  <si>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</si>
  <si>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</si>
  <si>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</si>
  <si>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</si>
  <si>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</si>
  <si>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</si>
  <si>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</si>
  <si>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</si>
  <si>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</si>
  <si>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</si>
  <si>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</si>
  <si>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</si>
  <si>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</si>
  <si>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</si>
  <si>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</si>
  <si>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</si>
  <si>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</si>
  <si>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Chilled Water</t>
  </si>
  <si>
    <t>Acutal till Octobar 2021</t>
  </si>
  <si>
    <t>Oil Boiler</t>
  </si>
  <si>
    <t xml:space="preserve">B2 Cooling tower </t>
  </si>
  <si>
    <t>Energy Monthly Statement January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</si>
</sst>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3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2" fillId="2" borderId="0" applyNumberFormat="0" applyBorder="0" applyAlignment="0" applyProtection="0"/>
    <xf numFmtId="165" fontId="12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7" fillId="0" borderId="0"/>
    <xf numFmtId="0" fontId="1" fillId="0" borderId="0"/>
    <xf numFmtId="0" fontId="1" fillId="0" borderId="0"/>
    <xf numFmtId="165" fontId="41" fillId="0" borderId="0"/>
  </cellStyleXfs>
  <cellXfs count="19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3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28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32" fillId="0" borderId="0" xfId="0" applyNumberFormat="1" applyFont="1"/>
    <xf numFmtId="1" fontId="31" fillId="0" borderId="0" xfId="0" applyNumberFormat="1" applyFont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1" fillId="0" borderId="1" xfId="0" applyNumberFormat="1" applyFont="1" applyBorder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0" fontId="17" fillId="0" borderId="0" xfId="0" applyFont="1"/>
    <xf numFmtId="0" fontId="35" fillId="0" borderId="5" xfId="0" applyFont="1" applyBorder="1"/>
    <xf numFmtId="0" fontId="36" fillId="0" borderId="0" xfId="0" applyFont="1"/>
    <xf numFmtId="1" fontId="28" fillId="0" borderId="5" xfId="0" applyNumberFormat="1" applyFont="1" applyBorder="1" applyAlignment="1">
      <alignment wrapText="1"/>
    </xf>
    <xf numFmtId="0" fontId="28" fillId="0" borderId="5" xfId="0" applyFont="1" applyBorder="1" applyAlignment="1">
      <alignment horizontal="center" wrapText="1"/>
    </xf>
    <xf numFmtId="0" fontId="37" fillId="0" borderId="5" xfId="0" applyFont="1" applyBorder="1" applyAlignment="1">
      <alignment horizontal="center"/>
    </xf>
    <xf numFmtId="1" fontId="28" fillId="0" borderId="5" xfId="0" applyNumberFormat="1" applyFont="1" applyBorder="1" applyAlignment="1">
      <alignment horizontal="center" wrapText="1"/>
    </xf>
    <xf numFmtId="0" fontId="36" fillId="0" borderId="0" xfId="0" applyFont="1" applyAlignment="1">
      <alignment horizontal="center"/>
    </xf>
    <xf numFmtId="2" fontId="28" fillId="0" borderId="5" xfId="0" applyNumberFormat="1" applyFont="1" applyBorder="1" applyAlignment="1">
      <alignment horizontal="center" wrapText="1"/>
    </xf>
    <xf numFmtId="166" fontId="18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9" fillId="4" borderId="4" xfId="8" applyFont="1" applyFill="1" applyBorder="1" applyAlignment="1">
      <alignment horizontal="center" vertical="center" wrapText="1"/>
    </xf>
    <xf numFmtId="0" fontId="19" fillId="4" borderId="4" xfId="8" applyFont="1" applyFill="1" applyBorder="1" applyAlignment="1">
      <alignment horizontal="left" vertical="center" wrapText="1"/>
    </xf>
    <xf numFmtId="0" fontId="20" fillId="4" borderId="4" xfId="8" applyFont="1" applyFill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3" fontId="19" fillId="0" borderId="4" xfId="8" applyNumberFormat="1" applyFont="1" applyBorder="1" applyAlignment="1">
      <alignment horizontal="left" vertical="center" wrapText="1"/>
    </xf>
    <xf numFmtId="0" fontId="22" fillId="0" borderId="4" xfId="8" applyFont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3" fillId="5" borderId="4" xfId="8" applyNumberFormat="1" applyFont="1" applyFill="1" applyBorder="1" applyAlignment="1">
      <alignment horizontal="left" vertical="center" wrapText="1"/>
    </xf>
    <xf numFmtId="0" fontId="22" fillId="3" borderId="4" xfId="8" applyFont="1" applyFill="1" applyBorder="1" applyAlignment="1">
      <alignment horizontal="center" vertical="center" wrapText="1"/>
    </xf>
    <xf numFmtId="0" fontId="19" fillId="6" borderId="7" xfId="8" applyFont="1" applyFill="1" applyBorder="1" applyAlignment="1">
      <alignment horizontal="center" vertical="center" wrapText="1"/>
    </xf>
    <xf numFmtId="0" fontId="21" fillId="6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0" fontId="22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0" fontId="19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left" vertical="center" wrapText="1"/>
    </xf>
    <xf numFmtId="3" fontId="19" fillId="6" borderId="4" xfId="8" applyNumberFormat="1" applyFont="1" applyFill="1" applyBorder="1" applyAlignment="1">
      <alignment horizontal="left" vertical="center" wrapText="1"/>
    </xf>
    <xf numFmtId="3" fontId="25" fillId="4" borderId="4" xfId="8" applyNumberFormat="1" applyFont="1" applyFill="1" applyBorder="1" applyAlignment="1">
      <alignment horizontal="left" vertical="center"/>
    </xf>
    <xf numFmtId="0" fontId="26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6" fillId="14" borderId="1" xfId="0" applyFont="1" applyFill="1" applyBorder="1" applyAlignment="1">
      <alignment horizontal="center" vertical="center"/>
    </xf>
    <xf numFmtId="43" fontId="36" fillId="0" borderId="1" xfId="0" applyNumberFormat="1" applyFont="1" applyFill="1" applyBorder="1" applyAlignment="1">
      <alignment horizontal="center" vertical="center"/>
    </xf>
    <xf numFmtId="43" fontId="36" fillId="0" borderId="0" xfId="0" applyNumberFormat="1" applyFont="1" applyFill="1" applyBorder="1" applyAlignment="1">
      <alignment horizontal="center" vertical="center"/>
    </xf>
    <xf numFmtId="0" fontId="36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6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164" fontId="36" fillId="0" borderId="1" xfId="0" applyNumberFormat="1" applyFont="1" applyFill="1" applyBorder="1" applyAlignment="1">
      <alignment horizontal="center" vertical="center"/>
    </xf>
    <xf numFmtId="164" fontId="36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6" fillId="0" borderId="1" xfId="13" applyFont="1" applyFill="1" applyBorder="1" applyAlignment="1">
      <alignment horizontal="center" vertical="center"/>
    </xf>
    <xf numFmtId="164" fontId="36" fillId="0" borderId="1" xfId="13" applyNumberFormat="1" applyFont="1" applyFill="1" applyBorder="1" applyAlignment="1">
      <alignment horizontal="center" vertical="center"/>
    </xf>
    <xf numFmtId="164" fontId="36" fillId="0" borderId="0" xfId="13" applyNumberFormat="1" applyFont="1" applyFill="1" applyBorder="1" applyAlignment="1">
      <alignment horizontal="center" vertical="center"/>
    </xf>
    <xf numFmtId="164" fontId="36" fillId="0" borderId="1" xfId="3" applyNumberFormat="1" applyFont="1" applyFill="1" applyBorder="1" applyAlignment="1">
      <alignment horizontal="center" vertical="center"/>
    </xf>
    <xf numFmtId="0" fontId="36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6" fillId="0" borderId="8" xfId="13" applyNumberFormat="1" applyFont="1" applyFill="1" applyBorder="1" applyAlignment="1">
      <alignment horizontal="center" vertical="center"/>
    </xf>
    <xf numFmtId="164" fontId="39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6" fillId="0" borderId="0" xfId="13" applyFont="1" applyFill="1" applyBorder="1" applyAlignment="1">
      <alignment horizontal="center"/>
    </xf>
    <xf numFmtId="0" fontId="36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6" fillId="0" borderId="1" xfId="3" applyNumberFormat="1" applyFont="1" applyFill="1" applyBorder="1" applyAlignment="1">
      <alignment horizontal="center" vertical="center"/>
    </xf>
    <xf numFmtId="1" fontId="28" fillId="0" borderId="0" xfId="0" applyNumberFormat="1" applyFont="1" applyBorder="1" applyAlignment="1">
      <alignment wrapText="1"/>
    </xf>
    <xf numFmtId="0" fontId="28" fillId="0" borderId="0" xfId="0" applyFont="1" applyAlignment="1">
      <alignment horizontal="center" vertical="center" wrapText="1"/>
    </xf>
    <xf numFmtId="1" fontId="31" fillId="13" borderId="1" xfId="0" applyNumberFormat="1" applyFont="1" applyFill="1" applyBorder="1" applyAlignment="1">
      <alignment horizontal="center" vertical="center"/>
    </xf>
    <xf numFmtId="0" fontId="13" fillId="13" borderId="0" xfId="0" applyFont="1" applyFill="1"/>
    <xf numFmtId="0" fontId="0" fillId="13" borderId="0" xfId="0" applyFill="1"/>
    <xf numFmtId="1" fontId="11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4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1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2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1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170" fontId="31" fillId="0" borderId="0" xfId="0" applyNumberFormat="1" applyFont="1" applyAlignment="1">
      <alignment horizontal="center" vertical="center"/>
    </xf>
    <xf numFmtId="165" fontId="11" fillId="0" borderId="2" xfId="0" applyNumberFormat="1" applyFont="1" applyBorder="1" applyAlignment="1">
      <alignment horizontal="left" vertical="center" indent="1"/>
    </xf>
    <xf numFmtId="165" fontId="11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13" fillId="18" borderId="10" xfId="0" applyFont="1" applyFill="1" applyBorder="1" applyAlignment="1">
      <alignment horizontal="left" vertical="center"/>
    </xf>
    <xf numFmtId="0" fontId="13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5" fillId="4" borderId="4" xfId="8" applyFont="1" applyFill="1" applyBorder="1" applyAlignment="1">
      <alignment horizontal="center" vertical="center"/>
    </xf>
    <xf numFmtId="0" fontId="19" fillId="0" borderId="12" xfId="8" applyFont="1" applyBorder="1" applyAlignment="1">
      <alignment horizontal="center" vertical="center" wrapText="1"/>
    </xf>
    <xf numFmtId="0" fontId="19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9" fillId="0" borderId="7" xfId="8" applyFont="1" applyBorder="1" applyAlignment="1">
      <alignment horizontal="center" vertical="center" wrapText="1"/>
    </xf>
    <xf numFmtId="0" fontId="19" fillId="0" borderId="12" xfId="8" applyFont="1" applyFill="1" applyBorder="1" applyAlignment="1">
      <alignment horizontal="center" vertical="center" wrapText="1"/>
    </xf>
    <xf numFmtId="0" fontId="19" fillId="0" borderId="7" xfId="8" applyFont="1" applyFill="1" applyBorder="1" applyAlignment="1">
      <alignment horizontal="center" vertical="center" wrapText="1"/>
    </xf>
    <xf numFmtId="0" fontId="19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E39" sqref="E39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6" width="12.5703125" style="15" customWidth="1"/>
    <col min="7" max="7" width="12.140625" style="15" customWidth="1"/>
    <col min="8" max="11" width="11.5703125" style="15"/>
  </cols>
  <sheetData>
    <row r="1" spans="1:14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4" t="s">
        <v>48</v>
      </c>
      <c r="F1" s="54" t="s">
        <v>49</v>
      </c>
      <c r="G1" s="54" t="s">
        <v>74</v>
      </c>
      <c r="H1" s="54" t="s">
        <v>75</v>
      </c>
      <c r="I1" s="54" t="s">
        <v>50</v>
      </c>
      <c r="J1" s="54" t="s">
        <v>51</v>
      </c>
      <c r="K1" s="54" t="s">
        <v>52</v>
      </c>
    </row>
    <row r="2" spans="1:14" x14ac:dyDescent="0.2">
      <c r="A2" s="52" t="s">
        <v>53</v>
      </c>
      <c r="B2" s="57">
        <v>1</v>
      </c>
      <c r="C2" s="57">
        <v>1</v>
      </c>
      <c r="D2" s="57">
        <v>2022</v>
      </c>
      <c r="E2" s="41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47170.881339999993</v>
      </c>
      <c r="F2" s="144">
        <v>1.27</v>
      </c>
      <c r="G2" s="41">
        <f>Gas!C3*0.9147</f>
        <v>3427.3808999999997</v>
      </c>
      <c r="H2" s="145">
        <v>3.65</v>
      </c>
      <c r="I2" s="146">
        <f>Submetering!H2+Submetering!AD2+Submetering!AE2</f>
        <v>636</v>
      </c>
      <c r="J2" s="147">
        <v>10.029999999999999</v>
      </c>
      <c r="K2" s="41">
        <f>ELECT.!B3</f>
        <v>226</v>
      </c>
    </row>
    <row r="3" spans="1:14" x14ac:dyDescent="0.2">
      <c r="A3" s="52" t="s">
        <v>53</v>
      </c>
      <c r="B3" s="57">
        <f>B2+1</f>
        <v>2</v>
      </c>
      <c r="C3" s="57">
        <v>1</v>
      </c>
      <c r="D3" s="57">
        <v>2022</v>
      </c>
      <c r="E3" s="41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36629.516924000003</v>
      </c>
      <c r="F3" s="144">
        <v>1.27</v>
      </c>
      <c r="G3" s="41">
        <f>Gas!C4*0.9147</f>
        <v>2148.6302999999998</v>
      </c>
      <c r="H3" s="145">
        <v>3.65</v>
      </c>
      <c r="I3" s="147">
        <f>Submetering!H3+Submetering!AD3+Submetering!AE3</f>
        <v>586</v>
      </c>
      <c r="J3" s="147">
        <v>10.029999999999999</v>
      </c>
      <c r="K3" s="41">
        <f>ELECT.!B4</f>
        <v>222</v>
      </c>
    </row>
    <row r="4" spans="1:14" x14ac:dyDescent="0.2">
      <c r="A4" s="52" t="s">
        <v>53</v>
      </c>
      <c r="B4" s="57">
        <f t="shared" ref="B4:B32" si="0">B3+1</f>
        <v>3</v>
      </c>
      <c r="C4" s="57">
        <v>1</v>
      </c>
      <c r="D4" s="57">
        <v>2022</v>
      </c>
      <c r="E4" s="41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58788.707471999995</v>
      </c>
      <c r="F4" s="144">
        <v>1.27</v>
      </c>
      <c r="G4" s="41">
        <f>Gas!C5*0.9147</f>
        <v>3064.2449999999999</v>
      </c>
      <c r="H4" s="145">
        <v>3.65</v>
      </c>
      <c r="I4" s="147">
        <f>Submetering!H4+Submetering!AD4+Submetering!AE4</f>
        <v>525.99999999999989</v>
      </c>
      <c r="J4" s="147">
        <v>10.029999999999999</v>
      </c>
      <c r="K4" s="41">
        <f>ELECT.!B5</f>
        <v>179</v>
      </c>
    </row>
    <row r="5" spans="1:14" x14ac:dyDescent="0.2">
      <c r="A5" s="52" t="s">
        <v>53</v>
      </c>
      <c r="B5" s="57">
        <f t="shared" si="0"/>
        <v>4</v>
      </c>
      <c r="C5" s="57">
        <v>1</v>
      </c>
      <c r="D5" s="57">
        <v>2022</v>
      </c>
      <c r="E5" s="41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41093.803295999998</v>
      </c>
      <c r="F5" s="144">
        <v>1.27</v>
      </c>
      <c r="G5" s="41">
        <f>Gas!C6*0.9147</f>
        <v>3413.6603999999998</v>
      </c>
      <c r="H5" s="145">
        <v>3.65</v>
      </c>
      <c r="I5" s="147">
        <f>Submetering!H5+Submetering!AD5+Submetering!AE5</f>
        <v>586</v>
      </c>
      <c r="J5" s="147">
        <v>10.029999999999999</v>
      </c>
      <c r="K5" s="41">
        <f>ELECT.!B6</f>
        <v>181</v>
      </c>
    </row>
    <row r="6" spans="1:14" x14ac:dyDescent="0.2">
      <c r="A6" s="52" t="s">
        <v>53</v>
      </c>
      <c r="B6" s="57">
        <f t="shared" si="0"/>
        <v>5</v>
      </c>
      <c r="C6" s="57">
        <v>1</v>
      </c>
      <c r="D6" s="57">
        <v>2022</v>
      </c>
      <c r="E6" s="41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52838.818340000005</v>
      </c>
      <c r="F6" s="144">
        <v>1.27</v>
      </c>
      <c r="G6" s="41">
        <f>Gas!C7*0.9147</f>
        <v>3079.7948999999999</v>
      </c>
      <c r="H6" s="145">
        <v>3.65</v>
      </c>
      <c r="I6" s="147">
        <f>Submetering!H6+Submetering!AD6+Submetering!AE6</f>
        <v>546</v>
      </c>
      <c r="J6" s="147">
        <v>10.029999999999999</v>
      </c>
      <c r="K6" s="41">
        <f>ELECT.!B7</f>
        <v>190</v>
      </c>
    </row>
    <row r="7" spans="1:14" x14ac:dyDescent="0.2">
      <c r="A7" s="52" t="s">
        <v>53</v>
      </c>
      <c r="B7" s="57">
        <f t="shared" si="0"/>
        <v>6</v>
      </c>
      <c r="C7" s="57">
        <v>1</v>
      </c>
      <c r="D7" s="57">
        <v>2022</v>
      </c>
      <c r="E7" s="41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34019.290819999995</v>
      </c>
      <c r="F7" s="144">
        <v>1.27</v>
      </c>
      <c r="G7" s="41">
        <f>Gas!C8*0.9147</f>
        <v>3168.5207999999998</v>
      </c>
      <c r="H7" s="145">
        <v>3.65</v>
      </c>
      <c r="I7" s="147">
        <f>Submetering!H7+Submetering!AD7+Submetering!AE7</f>
        <v>546</v>
      </c>
      <c r="J7" s="147">
        <v>10.029999999999999</v>
      </c>
      <c r="K7" s="41">
        <f>ELECT.!B8</f>
        <v>197</v>
      </c>
    </row>
    <row r="8" spans="1:14" x14ac:dyDescent="0.2">
      <c r="A8" s="52" t="s">
        <v>53</v>
      </c>
      <c r="B8" s="57">
        <f t="shared" si="0"/>
        <v>7</v>
      </c>
      <c r="C8" s="57">
        <v>1</v>
      </c>
      <c r="D8" s="57">
        <v>2022</v>
      </c>
      <c r="E8" s="41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58468.091988000007</v>
      </c>
      <c r="F8" s="144">
        <v>1.27</v>
      </c>
      <c r="G8" s="41">
        <f>Gas!C9*0.9147</f>
        <v>2321.5086000000001</v>
      </c>
      <c r="H8" s="145">
        <v>3.65</v>
      </c>
      <c r="I8" s="147">
        <f>Submetering!H8+Submetering!AD8+Submetering!AE8</f>
        <v>366.00000000000006</v>
      </c>
      <c r="J8" s="147">
        <v>10.029999999999999</v>
      </c>
      <c r="K8" s="41">
        <f>ELECT.!B9</f>
        <v>125</v>
      </c>
    </row>
    <row r="9" spans="1:14" x14ac:dyDescent="0.2">
      <c r="A9" s="52" t="s">
        <v>53</v>
      </c>
      <c r="B9" s="57">
        <f t="shared" si="0"/>
        <v>8</v>
      </c>
      <c r="C9" s="57">
        <v>1</v>
      </c>
      <c r="D9" s="57">
        <v>2022</v>
      </c>
      <c r="E9" s="41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42896.240816000005</v>
      </c>
      <c r="F9" s="144">
        <v>1.27</v>
      </c>
      <c r="G9" s="41">
        <f>Gas!C10*0.9147</f>
        <v>2840.1434999999997</v>
      </c>
      <c r="H9" s="145">
        <v>3.65</v>
      </c>
      <c r="I9" s="147">
        <f>Submetering!H9+Submetering!AD9+Submetering!AE9</f>
        <v>566</v>
      </c>
      <c r="J9" s="147">
        <v>10.029999999999999</v>
      </c>
      <c r="K9" s="41">
        <f>ELECT.!B10</f>
        <v>125</v>
      </c>
      <c r="N9" t="s">
        <v>12</v>
      </c>
    </row>
    <row r="10" spans="1:14" x14ac:dyDescent="0.2">
      <c r="A10" s="52" t="s">
        <v>53</v>
      </c>
      <c r="B10" s="57">
        <f t="shared" si="0"/>
        <v>9</v>
      </c>
      <c r="C10" s="57">
        <v>1</v>
      </c>
      <c r="D10" s="57">
        <v>2022</v>
      </c>
      <c r="E10" s="41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40182.636859999999</v>
      </c>
      <c r="F10" s="144">
        <v>1.27</v>
      </c>
      <c r="G10" s="41">
        <f>Gas!C11*0.9147</f>
        <v>2599.5773999999997</v>
      </c>
      <c r="H10" s="145">
        <v>3.65</v>
      </c>
      <c r="I10" s="147">
        <f>Submetering!H10+Submetering!AD10+Submetering!AE10</f>
        <v>616</v>
      </c>
      <c r="J10" s="147">
        <v>10.029999999999999</v>
      </c>
      <c r="K10" s="41">
        <f>ELECT.!B11</f>
        <v>201</v>
      </c>
    </row>
    <row r="11" spans="1:14" x14ac:dyDescent="0.2">
      <c r="A11" s="52" t="s">
        <v>53</v>
      </c>
      <c r="B11" s="57">
        <f t="shared" si="0"/>
        <v>10</v>
      </c>
      <c r="C11" s="57">
        <v>1</v>
      </c>
      <c r="D11" s="57">
        <v>2022</v>
      </c>
      <c r="E11" s="41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51949.422940000004</v>
      </c>
      <c r="F11" s="144">
        <v>1.27</v>
      </c>
      <c r="G11" s="41">
        <f>Gas!C12*0.9147</f>
        <v>2794.4085</v>
      </c>
      <c r="H11" s="145">
        <v>3.65</v>
      </c>
      <c r="I11" s="147">
        <f>Submetering!H11+Submetering!AD11+Submetering!AE11</f>
        <v>526</v>
      </c>
      <c r="J11" s="147">
        <v>10.029999999999999</v>
      </c>
      <c r="K11" s="41">
        <f>ELECT.!B12</f>
        <v>188</v>
      </c>
    </row>
    <row r="12" spans="1:14" x14ac:dyDescent="0.2">
      <c r="A12" s="52" t="s">
        <v>53</v>
      </c>
      <c r="B12" s="57">
        <f t="shared" si="0"/>
        <v>11</v>
      </c>
      <c r="C12" s="57">
        <v>1</v>
      </c>
      <c r="D12" s="57">
        <v>2022</v>
      </c>
      <c r="E12" s="41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32212.809824000004</v>
      </c>
      <c r="F12" s="144">
        <v>1.27</v>
      </c>
      <c r="G12" s="41">
        <f>Gas!C13*0.9147</f>
        <v>3084.3683999999998</v>
      </c>
      <c r="H12" s="145">
        <v>3.65</v>
      </c>
      <c r="I12" s="147">
        <f>Submetering!H12+Submetering!AD12+Submetering!AE12</f>
        <v>986.00000000000011</v>
      </c>
      <c r="J12" s="147">
        <v>10.029999999999999</v>
      </c>
      <c r="K12" s="41">
        <f>ELECT.!B13</f>
        <v>203</v>
      </c>
    </row>
    <row r="13" spans="1:14" x14ac:dyDescent="0.2">
      <c r="A13" s="52" t="s">
        <v>53</v>
      </c>
      <c r="B13" s="57">
        <f t="shared" si="0"/>
        <v>12</v>
      </c>
      <c r="C13" s="57">
        <v>1</v>
      </c>
      <c r="D13" s="57">
        <v>2022</v>
      </c>
      <c r="E13" s="41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44">
        <v>1.27</v>
      </c>
      <c r="G13" s="41">
        <f>Gas!C14*0.9147</f>
        <v>0</v>
      </c>
      <c r="H13" s="145">
        <v>3.65</v>
      </c>
      <c r="I13" s="147">
        <f>Submetering!H13+Submetering!AD13+Submetering!AE13</f>
        <v>-194</v>
      </c>
      <c r="J13" s="147">
        <v>10.029999999999999</v>
      </c>
      <c r="K13" s="41">
        <f>ELECT.!B14</f>
        <v>203</v>
      </c>
    </row>
    <row r="14" spans="1:14" x14ac:dyDescent="0.2">
      <c r="A14" s="52" t="s">
        <v>53</v>
      </c>
      <c r="B14" s="57">
        <f t="shared" si="0"/>
        <v>13</v>
      </c>
      <c r="C14" s="57">
        <v>1</v>
      </c>
      <c r="D14" s="57">
        <v>2022</v>
      </c>
      <c r="E14" s="41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44">
        <v>1.27</v>
      </c>
      <c r="G14" s="41">
        <f>Gas!C15*0.9147</f>
        <v>0</v>
      </c>
      <c r="H14" s="145">
        <v>3.65</v>
      </c>
      <c r="I14" s="147">
        <f>Submetering!H14+Submetering!AD14+Submetering!AE14</f>
        <v>-194</v>
      </c>
      <c r="J14" s="147">
        <v>10.029999999999999</v>
      </c>
      <c r="K14" s="41">
        <f>ELECT.!B15</f>
        <v>203</v>
      </c>
    </row>
    <row r="15" spans="1:14" x14ac:dyDescent="0.2">
      <c r="A15" s="52" t="s">
        <v>53</v>
      </c>
      <c r="B15" s="57">
        <f t="shared" si="0"/>
        <v>14</v>
      </c>
      <c r="C15" s="57">
        <v>1</v>
      </c>
      <c r="D15" s="57">
        <v>2022</v>
      </c>
      <c r="E15" s="41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44">
        <v>1.27</v>
      </c>
      <c r="G15" s="41">
        <f>Gas!C16*0.9147</f>
        <v>0</v>
      </c>
      <c r="H15" s="145">
        <v>3.65</v>
      </c>
      <c r="I15" s="147">
        <f>Submetering!H15+Submetering!AD15+Submetering!AE15</f>
        <v>-194</v>
      </c>
      <c r="J15" s="147">
        <v>10.029999999999999</v>
      </c>
      <c r="K15" s="41">
        <f>ELECT.!B16</f>
        <v>203</v>
      </c>
    </row>
    <row r="16" spans="1:14" x14ac:dyDescent="0.2">
      <c r="A16" s="52" t="s">
        <v>53</v>
      </c>
      <c r="B16" s="57">
        <f t="shared" si="0"/>
        <v>15</v>
      </c>
      <c r="C16" s="57">
        <v>1</v>
      </c>
      <c r="D16" s="57">
        <v>2022</v>
      </c>
      <c r="E16" s="41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44">
        <v>1.27</v>
      </c>
      <c r="G16" s="41">
        <f>Gas!C17*0.9147</f>
        <v>0</v>
      </c>
      <c r="H16" s="145">
        <v>3.65</v>
      </c>
      <c r="I16" s="147">
        <f>Submetering!H16+Submetering!AD16+Submetering!AE16</f>
        <v>-194</v>
      </c>
      <c r="J16" s="147">
        <v>10.029999999999999</v>
      </c>
      <c r="K16" s="41">
        <f>ELECT.!B17</f>
        <v>203</v>
      </c>
    </row>
    <row r="17" spans="1:13" x14ac:dyDescent="0.2">
      <c r="A17" s="52" t="s">
        <v>53</v>
      </c>
      <c r="B17" s="57">
        <f t="shared" si="0"/>
        <v>16</v>
      </c>
      <c r="C17" s="57">
        <v>1</v>
      </c>
      <c r="D17" s="57">
        <v>2022</v>
      </c>
      <c r="E17" s="41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44">
        <v>1.27</v>
      </c>
      <c r="G17" s="41">
        <f>Gas!C18*0.9147</f>
        <v>0</v>
      </c>
      <c r="H17" s="145">
        <v>3.65</v>
      </c>
      <c r="I17" s="147">
        <f>Submetering!H17+Submetering!AD17+Submetering!AE17</f>
        <v>-194</v>
      </c>
      <c r="J17" s="147">
        <v>10.029999999999999</v>
      </c>
      <c r="K17" s="41">
        <f>ELECT.!B18</f>
        <v>203</v>
      </c>
    </row>
    <row r="18" spans="1:13" x14ac:dyDescent="0.2">
      <c r="A18" s="52" t="s">
        <v>53</v>
      </c>
      <c r="B18" s="57">
        <f t="shared" si="0"/>
        <v>17</v>
      </c>
      <c r="C18" s="57">
        <v>1</v>
      </c>
      <c r="D18" s="57">
        <v>2022</v>
      </c>
      <c r="E18" s="41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4">
        <v>1.27</v>
      </c>
      <c r="G18" s="41">
        <f>Gas!C19*0.9147</f>
        <v>0</v>
      </c>
      <c r="H18" s="145">
        <v>3.65</v>
      </c>
      <c r="I18" s="147">
        <f>Submetering!H18+Submetering!AD18+Submetering!AE18</f>
        <v>-194</v>
      </c>
      <c r="J18" s="147">
        <v>10.029999999999999</v>
      </c>
      <c r="K18" s="41">
        <f>ELECT.!B19</f>
        <v>203</v>
      </c>
    </row>
    <row r="19" spans="1:13" x14ac:dyDescent="0.2">
      <c r="A19" s="52" t="s">
        <v>53</v>
      </c>
      <c r="B19" s="57">
        <f t="shared" si="0"/>
        <v>18</v>
      </c>
      <c r="C19" s="57">
        <v>1</v>
      </c>
      <c r="D19" s="57">
        <v>2022</v>
      </c>
      <c r="E19" s="41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4">
        <v>1.27</v>
      </c>
      <c r="G19" s="41">
        <f>Gas!C20*0.9147</f>
        <v>0</v>
      </c>
      <c r="H19" s="145">
        <v>3.65</v>
      </c>
      <c r="I19" s="147">
        <f>Submetering!H19+Submetering!AD19+Submetering!AE19</f>
        <v>-194</v>
      </c>
      <c r="J19" s="147">
        <v>10.029999999999999</v>
      </c>
      <c r="K19" s="41">
        <f>ELECT.!B20</f>
        <v>203</v>
      </c>
    </row>
    <row r="20" spans="1:13" x14ac:dyDescent="0.2">
      <c r="A20" s="52" t="s">
        <v>53</v>
      </c>
      <c r="B20" s="57">
        <f t="shared" si="0"/>
        <v>19</v>
      </c>
      <c r="C20" s="57">
        <v>1</v>
      </c>
      <c r="D20" s="57">
        <v>2022</v>
      </c>
      <c r="E20" s="41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4">
        <v>1.27</v>
      </c>
      <c r="G20" s="41">
        <f>Gas!C21*0.9147</f>
        <v>0</v>
      </c>
      <c r="H20" s="145">
        <v>3.65</v>
      </c>
      <c r="I20" s="147">
        <f>Submetering!H20+Submetering!AD20+Submetering!AE20</f>
        <v>-194</v>
      </c>
      <c r="J20" s="147">
        <v>10.029999999999999</v>
      </c>
      <c r="K20" s="41">
        <f>ELECT.!B21</f>
        <v>203</v>
      </c>
    </row>
    <row r="21" spans="1:13" x14ac:dyDescent="0.2">
      <c r="A21" s="52" t="s">
        <v>53</v>
      </c>
      <c r="B21" s="57">
        <f t="shared" si="0"/>
        <v>20</v>
      </c>
      <c r="C21" s="57">
        <v>1</v>
      </c>
      <c r="D21" s="57">
        <v>2022</v>
      </c>
      <c r="E21" s="41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4">
        <v>1.27</v>
      </c>
      <c r="G21" s="41">
        <f>Gas!C22*0.9147</f>
        <v>0</v>
      </c>
      <c r="H21" s="145">
        <v>3.65</v>
      </c>
      <c r="I21" s="147">
        <f>Submetering!H21+Submetering!AD21+Submetering!AE21</f>
        <v>-194</v>
      </c>
      <c r="J21" s="147">
        <v>10.029999999999999</v>
      </c>
      <c r="K21" s="41">
        <f>ELECT.!B22</f>
        <v>203</v>
      </c>
    </row>
    <row r="22" spans="1:13" x14ac:dyDescent="0.2">
      <c r="A22" s="52" t="s">
        <v>53</v>
      </c>
      <c r="B22" s="57">
        <f t="shared" si="0"/>
        <v>21</v>
      </c>
      <c r="C22" s="57">
        <v>1</v>
      </c>
      <c r="D22" s="57">
        <v>2022</v>
      </c>
      <c r="E22" s="41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4">
        <v>1.27</v>
      </c>
      <c r="G22" s="41">
        <f>Gas!C23*0.9147</f>
        <v>0</v>
      </c>
      <c r="H22" s="145">
        <v>3.65</v>
      </c>
      <c r="I22" s="147">
        <f>Submetering!H22+Submetering!AD22+Submetering!AE22</f>
        <v>-194</v>
      </c>
      <c r="J22" s="147">
        <v>10.029999999999999</v>
      </c>
      <c r="K22" s="41">
        <f>ELECT.!B23</f>
        <v>203</v>
      </c>
    </row>
    <row r="23" spans="1:13" x14ac:dyDescent="0.2">
      <c r="A23" s="52" t="s">
        <v>53</v>
      </c>
      <c r="B23" s="57">
        <f t="shared" si="0"/>
        <v>22</v>
      </c>
      <c r="C23" s="57">
        <v>1</v>
      </c>
      <c r="D23" s="57">
        <v>2022</v>
      </c>
      <c r="E23" s="41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4">
        <v>1.27</v>
      </c>
      <c r="G23" s="41">
        <f>Gas!C24*0.9147</f>
        <v>0</v>
      </c>
      <c r="H23" s="145">
        <v>3.65</v>
      </c>
      <c r="I23" s="147">
        <f>Submetering!H23+Submetering!AD23+Submetering!AE23</f>
        <v>-194</v>
      </c>
      <c r="J23" s="147">
        <v>10.029999999999999</v>
      </c>
      <c r="K23" s="41">
        <f>ELECT.!B24</f>
        <v>203</v>
      </c>
    </row>
    <row r="24" spans="1:13" x14ac:dyDescent="0.2">
      <c r="A24" s="52" t="s">
        <v>53</v>
      </c>
      <c r="B24" s="57">
        <f t="shared" si="0"/>
        <v>23</v>
      </c>
      <c r="C24" s="57">
        <v>1</v>
      </c>
      <c r="D24" s="57">
        <v>2022</v>
      </c>
      <c r="E24" s="41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4">
        <v>1.27</v>
      </c>
      <c r="G24" s="41">
        <f>Gas!C25*0.9147</f>
        <v>0</v>
      </c>
      <c r="H24" s="145">
        <v>3.65</v>
      </c>
      <c r="I24" s="147">
        <f>Submetering!H24+Submetering!AD24+Submetering!AE24</f>
        <v>-194</v>
      </c>
      <c r="J24" s="147">
        <v>10.029999999999999</v>
      </c>
      <c r="K24" s="41">
        <f>ELECT.!B25</f>
        <v>203</v>
      </c>
    </row>
    <row r="25" spans="1:13" x14ac:dyDescent="0.2">
      <c r="A25" s="52" t="s">
        <v>53</v>
      </c>
      <c r="B25" s="57">
        <f t="shared" si="0"/>
        <v>24</v>
      </c>
      <c r="C25" s="57">
        <v>1</v>
      </c>
      <c r="D25" s="57">
        <v>2022</v>
      </c>
      <c r="E25" s="41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4">
        <v>1.27</v>
      </c>
      <c r="G25" s="41">
        <f>Gas!C26*0.9147</f>
        <v>0</v>
      </c>
      <c r="H25" s="145">
        <v>3.65</v>
      </c>
      <c r="I25" s="147">
        <f>Submetering!H25+Submetering!AD25+Submetering!AE25</f>
        <v>-194</v>
      </c>
      <c r="J25" s="147">
        <v>10.029999999999999</v>
      </c>
      <c r="K25" s="41">
        <f>ELECT.!B26</f>
        <v>203</v>
      </c>
    </row>
    <row r="26" spans="1:13" x14ac:dyDescent="0.2">
      <c r="A26" s="52" t="s">
        <v>53</v>
      </c>
      <c r="B26" s="57">
        <f>B25+1</f>
        <v>25</v>
      </c>
      <c r="C26" s="57">
        <v>1</v>
      </c>
      <c r="D26" s="57">
        <v>2022</v>
      </c>
      <c r="E26" s="41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4">
        <v>1.27</v>
      </c>
      <c r="G26" s="41">
        <f>Gas!C27*0.9147</f>
        <v>0</v>
      </c>
      <c r="H26" s="145">
        <v>3.65</v>
      </c>
      <c r="I26" s="147">
        <f>Submetering!H26+Submetering!AD26+Submetering!AE26</f>
        <v>-194</v>
      </c>
      <c r="J26" s="147">
        <v>10.029999999999999</v>
      </c>
      <c r="K26" s="41">
        <f>ELECT.!B27</f>
        <v>203</v>
      </c>
      <c r="M26" s="30" t="s">
        <v>12</v>
      </c>
    </row>
    <row r="27" spans="1:13" x14ac:dyDescent="0.2">
      <c r="A27" s="52" t="s">
        <v>53</v>
      </c>
      <c r="B27" s="57">
        <f t="shared" si="0"/>
        <v>26</v>
      </c>
      <c r="C27" s="57">
        <v>1</v>
      </c>
      <c r="D27" s="57">
        <v>2022</v>
      </c>
      <c r="E27" s="41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4">
        <v>1.27</v>
      </c>
      <c r="G27" s="41">
        <f>Gas!C28*0.9147</f>
        <v>0</v>
      </c>
      <c r="H27" s="145">
        <v>3.65</v>
      </c>
      <c r="I27" s="147">
        <f>Submetering!H27+Submetering!AD27+Submetering!AE27</f>
        <v>-194</v>
      </c>
      <c r="J27" s="147">
        <v>10.029999999999999</v>
      </c>
      <c r="K27" s="41">
        <f>ELECT.!B28</f>
        <v>203</v>
      </c>
    </row>
    <row r="28" spans="1:13" x14ac:dyDescent="0.2">
      <c r="A28" s="52" t="s">
        <v>53</v>
      </c>
      <c r="B28" s="57">
        <f t="shared" si="0"/>
        <v>27</v>
      </c>
      <c r="C28" s="57">
        <v>1</v>
      </c>
      <c r="D28" s="57">
        <v>2022</v>
      </c>
      <c r="E28" s="41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4">
        <v>1.27</v>
      </c>
      <c r="G28" s="41">
        <f>Gas!C29*0.9147</f>
        <v>0</v>
      </c>
      <c r="H28" s="145">
        <v>3.65</v>
      </c>
      <c r="I28" s="147">
        <f>Submetering!H28+Submetering!AD28+Submetering!AE28</f>
        <v>-194</v>
      </c>
      <c r="J28" s="147">
        <v>10.029999999999999</v>
      </c>
      <c r="K28" s="41">
        <f>ELECT.!B29</f>
        <v>203</v>
      </c>
    </row>
    <row r="29" spans="1:13" x14ac:dyDescent="0.2">
      <c r="A29" s="52" t="s">
        <v>53</v>
      </c>
      <c r="B29" s="57">
        <f t="shared" si="0"/>
        <v>28</v>
      </c>
      <c r="C29" s="57">
        <v>1</v>
      </c>
      <c r="D29" s="57">
        <v>2022</v>
      </c>
      <c r="E29" s="41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4">
        <v>1.27</v>
      </c>
      <c r="G29" s="41">
        <f>Gas!C30*0.9147</f>
        <v>0</v>
      </c>
      <c r="H29" s="145">
        <v>3.65</v>
      </c>
      <c r="I29" s="147">
        <f>Submetering!H29+Submetering!AD29+Submetering!AE29</f>
        <v>-194</v>
      </c>
      <c r="J29" s="147">
        <v>10.029999999999999</v>
      </c>
      <c r="K29" s="41">
        <f>ELECT.!B30</f>
        <v>203</v>
      </c>
    </row>
    <row r="30" spans="1:13" x14ac:dyDescent="0.2">
      <c r="A30" s="52" t="s">
        <v>53</v>
      </c>
      <c r="B30" s="57">
        <f t="shared" si="0"/>
        <v>29</v>
      </c>
      <c r="C30" s="57">
        <v>1</v>
      </c>
      <c r="D30" s="57">
        <v>2022</v>
      </c>
      <c r="E30" s="41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4">
        <v>1.27</v>
      </c>
      <c r="G30" s="41">
        <f>Gas!C31*0.9147</f>
        <v>0</v>
      </c>
      <c r="H30" s="145">
        <v>3.65</v>
      </c>
      <c r="I30" s="147">
        <f>Submetering!H30+Submetering!AD30+Submetering!AE30</f>
        <v>-194</v>
      </c>
      <c r="J30" s="147">
        <v>10.029999999999999</v>
      </c>
      <c r="K30" s="41">
        <f>ELECT.!B31</f>
        <v>203</v>
      </c>
    </row>
    <row r="31" spans="1:13" x14ac:dyDescent="0.2">
      <c r="A31" s="52" t="s">
        <v>53</v>
      </c>
      <c r="B31" s="57">
        <f t="shared" si="0"/>
        <v>30</v>
      </c>
      <c r="C31" s="57">
        <v>1</v>
      </c>
      <c r="D31" s="57">
        <v>2022</v>
      </c>
      <c r="E31" s="41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4">
        <v>1.27</v>
      </c>
      <c r="G31" s="41">
        <f>Gas!C32*0.9147</f>
        <v>0</v>
      </c>
      <c r="H31" s="145">
        <v>3.65</v>
      </c>
      <c r="I31" s="147">
        <f>Submetering!H31+Submetering!AD31+Submetering!AE31</f>
        <v>-194</v>
      </c>
      <c r="J31" s="147">
        <v>10.029999999999999</v>
      </c>
      <c r="K31" s="41">
        <f>ELECT.!B32</f>
        <v>203</v>
      </c>
    </row>
    <row r="32" spans="1:13" x14ac:dyDescent="0.2">
      <c r="A32" s="52" t="s">
        <v>53</v>
      </c>
      <c r="B32" s="57">
        <f t="shared" si="0"/>
        <v>31</v>
      </c>
      <c r="C32" s="57">
        <v>1</v>
      </c>
      <c r="D32" s="57">
        <v>2022</v>
      </c>
      <c r="E32" s="41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5">
        <v>1.27</v>
      </c>
      <c r="G32" s="41">
        <f>Gas!C33*0.9147</f>
        <v>0</v>
      </c>
      <c r="H32" s="145">
        <v>3.65</v>
      </c>
      <c r="I32" s="147">
        <f>Submetering!H32+Submetering!AD32+Submetering!AE32</f>
        <v>-194</v>
      </c>
      <c r="J32" s="147">
        <v>10.029999999999999</v>
      </c>
      <c r="K32" s="41">
        <f>ELECT.!B33</f>
        <v>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E43" sqref="E43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17" width="12.5703125" style="41" customWidth="1"/>
    <col min="18" max="21" width="12.5703125" style="42" customWidth="1"/>
    <col min="22" max="22" width="13.140625" style="42" customWidth="1"/>
    <col min="23" max="23" width="12.5703125" style="42" customWidth="1"/>
    <col min="24" max="25" width="11.5703125" style="39"/>
    <col min="27" max="27" width="13.7109375" bestFit="1" customWidth="1"/>
    <col min="28" max="28" width="13.5703125" bestFit="1" customWidth="1"/>
    <col min="30" max="30" width="15.5703125" customWidth="1"/>
  </cols>
  <sheetData>
    <row r="1" spans="1:31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6" t="s">
        <v>64</v>
      </c>
      <c r="F1" s="56" t="s">
        <v>65</v>
      </c>
      <c r="G1" s="56" t="s">
        <v>66</v>
      </c>
      <c r="H1" s="56" t="s">
        <v>67</v>
      </c>
      <c r="I1" s="56" t="s">
        <v>57</v>
      </c>
      <c r="J1" s="56" t="s">
        <v>56</v>
      </c>
      <c r="K1" s="56" t="s">
        <v>55</v>
      </c>
      <c r="L1" s="56" t="s">
        <v>58</v>
      </c>
      <c r="M1" s="56" t="s">
        <v>59</v>
      </c>
      <c r="N1" s="56" t="s">
        <v>60</v>
      </c>
      <c r="O1" s="56" t="s">
        <v>61</v>
      </c>
      <c r="P1" s="56" t="s">
        <v>62</v>
      </c>
      <c r="Q1" s="56" t="s">
        <v>76</v>
      </c>
      <c r="R1" s="58" t="s">
        <v>68</v>
      </c>
      <c r="S1" s="58" t="s">
        <v>69</v>
      </c>
      <c r="T1" s="58" t="s">
        <v>70</v>
      </c>
      <c r="U1" s="58" t="s">
        <v>71</v>
      </c>
      <c r="V1" s="58" t="s">
        <v>72</v>
      </c>
      <c r="W1" s="58" t="s">
        <v>73</v>
      </c>
      <c r="X1" s="53" t="s">
        <v>52</v>
      </c>
      <c r="Y1" s="132" t="s">
        <v>128</v>
      </c>
      <c r="Z1" s="38" t="s">
        <v>129</v>
      </c>
      <c r="AA1" s="38" t="s">
        <v>130</v>
      </c>
      <c r="AB1" s="38" t="s">
        <v>131</v>
      </c>
      <c r="AC1" s="38" t="s">
        <v>132</v>
      </c>
      <c r="AD1" s="133" t="s">
        <v>133</v>
      </c>
      <c r="AE1" s="133" t="s">
        <v>134</v>
      </c>
    </row>
    <row r="2" spans="1:31" x14ac:dyDescent="0.2">
      <c r="A2" s="52" t="s">
        <v>53</v>
      </c>
      <c r="B2" s="57">
        <v>1</v>
      </c>
      <c r="C2" s="57">
        <v>1</v>
      </c>
      <c r="D2" s="57">
        <v>2022</v>
      </c>
      <c r="E2" s="41">
        <f>Water!C3</f>
        <v>830</v>
      </c>
      <c r="F2" s="41">
        <f>Water!E3</f>
        <v>520</v>
      </c>
      <c r="G2" s="41">
        <f>Water!G3</f>
        <v>310.5</v>
      </c>
      <c r="H2" s="41">
        <f>Water!I3</f>
        <v>4.3469999999999995</v>
      </c>
      <c r="I2" s="41">
        <f>ELECT.!F3</f>
        <v>12531</v>
      </c>
      <c r="J2" s="41">
        <f>ELECT.!H3</f>
        <v>36806</v>
      </c>
      <c r="K2" s="41">
        <f>ELECT.!K3</f>
        <v>7986</v>
      </c>
      <c r="L2" s="41">
        <f>ELECT.!M3</f>
        <v>6251</v>
      </c>
      <c r="M2" s="41">
        <f>ELECT.!O3</f>
        <v>6132</v>
      </c>
      <c r="N2" s="41">
        <f>ELECT.!Q3</f>
        <v>2370</v>
      </c>
      <c r="O2" s="41">
        <f>ELECT.!S3</f>
        <v>9345</v>
      </c>
      <c r="P2" s="41">
        <f>ELECT.!W3*2</f>
        <v>20040</v>
      </c>
      <c r="Q2" s="41">
        <f>ELECT.!D3</f>
        <v>320</v>
      </c>
      <c r="R2" s="42">
        <f>BTU!C3</f>
        <v>2.1630000000004657</v>
      </c>
      <c r="S2" s="42">
        <f>BTU!F3</f>
        <v>0.49499999999989086</v>
      </c>
      <c r="T2" s="42">
        <f>BTU!I3</f>
        <v>4</v>
      </c>
      <c r="U2" s="42">
        <f>BTU!O3</f>
        <v>1.3890000000001237</v>
      </c>
      <c r="V2" s="42">
        <f>BTU!L3</f>
        <v>0</v>
      </c>
      <c r="W2" s="42">
        <f>BTU!R3</f>
        <v>0.66000000000076398</v>
      </c>
      <c r="X2" s="39">
        <f>ELECT.!B3</f>
        <v>226</v>
      </c>
      <c r="Y2" s="39">
        <f>I2+J2-(K2+L2+M2+N2+O2+P2)</f>
        <v>-2787</v>
      </c>
      <c r="Z2">
        <f>'Mall, Citadel, Rotana'!C3+'Mall, Citadel, Rotana'!E3+'Mall, Citadel, Rotana'!G3+'Mall, Citadel, Rotana'!I3</f>
        <v>1219</v>
      </c>
      <c r="AA2">
        <f>'Mall, Citadel, Rotana'!K3+'Mall, Citadel, Rotana'!M3</f>
        <v>320</v>
      </c>
      <c r="AB2">
        <f>'Mall, Citadel, Rotana'!O3</f>
        <v>83</v>
      </c>
      <c r="AC2">
        <f>'Mall, Citadel, Rotana'!Q3+'Mall, Citadel, Rotana'!S3</f>
        <v>140</v>
      </c>
      <c r="AD2" s="39">
        <f>(E2-H2-194)*0.1318</f>
        <v>83.2518654</v>
      </c>
      <c r="AE2" s="39">
        <f>E2-H2-AD2-194</f>
        <v>548.40113459999998</v>
      </c>
    </row>
    <row r="3" spans="1:31" x14ac:dyDescent="0.2">
      <c r="A3" s="52" t="s">
        <v>53</v>
      </c>
      <c r="B3" s="57">
        <f>B2+1</f>
        <v>2</v>
      </c>
      <c r="C3" s="57">
        <v>1</v>
      </c>
      <c r="D3" s="57">
        <v>2022</v>
      </c>
      <c r="E3" s="41">
        <f>Water!C4</f>
        <v>780</v>
      </c>
      <c r="F3" s="41">
        <f>Water!E4</f>
        <v>450</v>
      </c>
      <c r="G3" s="41">
        <f>Water!G4</f>
        <v>275.39999999999998</v>
      </c>
      <c r="H3" s="41">
        <f>Water!I4</f>
        <v>4.8330000000000002</v>
      </c>
      <c r="I3" s="41">
        <f>ELECT.!F4</f>
        <v>8910</v>
      </c>
      <c r="J3" s="41">
        <f>ELECT.!H4</f>
        <v>30604</v>
      </c>
      <c r="K3" s="41">
        <f>ELECT.!K4</f>
        <v>7438</v>
      </c>
      <c r="L3" s="41">
        <f>ELECT.!M4</f>
        <v>4336</v>
      </c>
      <c r="M3" s="41">
        <f>ELECT.!O4</f>
        <v>4456</v>
      </c>
      <c r="N3" s="41">
        <f>ELECT.!Q4</f>
        <v>1972</v>
      </c>
      <c r="O3" s="41">
        <f>ELECT.!S4</f>
        <v>7825</v>
      </c>
      <c r="P3" s="41">
        <f>ELECT.!W4*2</f>
        <v>16136</v>
      </c>
      <c r="Q3" s="41">
        <f>ELECT.!D4</f>
        <v>320</v>
      </c>
      <c r="R3" s="42">
        <f>BTU!C4</f>
        <v>2.2049999999981083</v>
      </c>
      <c r="S3" s="42">
        <f>BTU!F4</f>
        <v>0.70499999999992724</v>
      </c>
      <c r="T3" s="42">
        <f>BTU!I4</f>
        <v>5</v>
      </c>
      <c r="U3" s="42">
        <f>BTU!O4</f>
        <v>1.2300000000000182</v>
      </c>
      <c r="V3" s="42">
        <f>BTU!L4</f>
        <v>0.17000000000007276</v>
      </c>
      <c r="W3" s="42">
        <f>BTU!R4</f>
        <v>0.26999999999952706</v>
      </c>
      <c r="X3" s="39">
        <f>ELECT.!B4</f>
        <v>222</v>
      </c>
      <c r="Y3" s="39">
        <f t="shared" ref="Y3:Y31" si="0">I3+J3-(K3+L3+M3+N3+O3+P3)</f>
        <v>-2649</v>
      </c>
      <c r="Z3">
        <f>'Mall, Citadel, Rotana'!C4+'Mall, Citadel, Rotana'!E4+'Mall, Citadel, Rotana'!G4+'Mall, Citadel, Rotana'!I4</f>
        <v>1557</v>
      </c>
      <c r="AA3">
        <f>'Mall, Citadel, Rotana'!K4+'Mall, Citadel, Rotana'!M4</f>
        <v>800</v>
      </c>
      <c r="AB3">
        <f>'Mall, Citadel, Rotana'!O4</f>
        <v>119</v>
      </c>
      <c r="AC3">
        <f>'Mall, Citadel, Rotana'!Q4+'Mall, Citadel, Rotana'!S4</f>
        <v>117</v>
      </c>
      <c r="AD3" s="39">
        <f t="shared" ref="AD3:AD31" si="1">(E3-H3-194)*0.1318</f>
        <v>76.597810600000003</v>
      </c>
      <c r="AE3" s="39">
        <f t="shared" ref="AE3:AE31" si="2">E3-H3-AD3-194</f>
        <v>504.56918940000003</v>
      </c>
    </row>
    <row r="4" spans="1:31" x14ac:dyDescent="0.2">
      <c r="A4" s="52" t="s">
        <v>53</v>
      </c>
      <c r="B4" s="57">
        <f t="shared" ref="B4:B32" si="3">B3+1</f>
        <v>3</v>
      </c>
      <c r="C4" s="57">
        <v>1</v>
      </c>
      <c r="D4" s="57">
        <v>2022</v>
      </c>
      <c r="E4" s="41">
        <f>Water!C5</f>
        <v>720</v>
      </c>
      <c r="F4" s="41">
        <f>Water!E5</f>
        <v>370</v>
      </c>
      <c r="G4" s="41">
        <f>Water!G5</f>
        <v>261.89999999999998</v>
      </c>
      <c r="H4" s="41">
        <f>Water!I5</f>
        <v>4.59</v>
      </c>
      <c r="I4" s="41">
        <f>ELECT.!F5</f>
        <v>14949</v>
      </c>
      <c r="J4" s="41">
        <f>ELECT.!H5</f>
        <v>46304</v>
      </c>
      <c r="K4" s="41">
        <f>ELECT.!K5</f>
        <v>11184</v>
      </c>
      <c r="L4" s="41">
        <f>ELECT.!M5</f>
        <v>7159</v>
      </c>
      <c r="M4" s="41">
        <f>ELECT.!O5</f>
        <v>7618</v>
      </c>
      <c r="N4" s="41">
        <f>ELECT.!Q5</f>
        <v>2981</v>
      </c>
      <c r="O4" s="41">
        <f>ELECT.!S5</f>
        <v>11524</v>
      </c>
      <c r="P4" s="41">
        <f>ELECT.!W5*2</f>
        <v>24784</v>
      </c>
      <c r="Q4" s="41">
        <f>ELECT.!D5</f>
        <v>320</v>
      </c>
      <c r="R4" s="42">
        <f>BTU!C5</f>
        <v>2.3569999999999709</v>
      </c>
      <c r="S4" s="42">
        <f>BTU!F5</f>
        <v>0.75100000000020373</v>
      </c>
      <c r="T4" s="42">
        <f>BTU!I5</f>
        <v>4</v>
      </c>
      <c r="U4" s="42">
        <f>BTU!O5</f>
        <v>1.1320000000000618</v>
      </c>
      <c r="V4" s="42">
        <f>BTU!L5</f>
        <v>1.8500000000003638</v>
      </c>
      <c r="W4" s="42">
        <f>BTU!R5</f>
        <v>0.63000000000010914</v>
      </c>
      <c r="X4" s="39">
        <f>ELECT.!B5</f>
        <v>179</v>
      </c>
      <c r="Y4" s="39">
        <f t="shared" si="0"/>
        <v>-3997</v>
      </c>
      <c r="Z4">
        <f>'Mall, Citadel, Rotana'!C5+'Mall, Citadel, Rotana'!E5+'Mall, Citadel, Rotana'!G5+'Mall, Citadel, Rotana'!I5</f>
        <v>1359</v>
      </c>
      <c r="AA4">
        <f>'Mall, Citadel, Rotana'!K5+'Mall, Citadel, Rotana'!M5</f>
        <v>320</v>
      </c>
      <c r="AB4">
        <f>'Mall, Citadel, Rotana'!O5</f>
        <v>122</v>
      </c>
      <c r="AC4">
        <f>'Mall, Citadel, Rotana'!Q5+'Mall, Citadel, Rotana'!S5</f>
        <v>168</v>
      </c>
      <c r="AD4" s="39">
        <f t="shared" si="1"/>
        <v>68.721837999999991</v>
      </c>
      <c r="AE4" s="39">
        <f t="shared" si="2"/>
        <v>452.68816199999992</v>
      </c>
    </row>
    <row r="5" spans="1:31" x14ac:dyDescent="0.2">
      <c r="A5" s="52" t="s">
        <v>53</v>
      </c>
      <c r="B5" s="57">
        <f t="shared" si="3"/>
        <v>4</v>
      </c>
      <c r="C5" s="57">
        <v>1</v>
      </c>
      <c r="D5" s="57">
        <v>2022</v>
      </c>
      <c r="E5" s="41">
        <f>Water!C6</f>
        <v>780</v>
      </c>
      <c r="F5" s="41">
        <f>Water!E6</f>
        <v>420</v>
      </c>
      <c r="G5" s="41">
        <f>Water!G6</f>
        <v>280.8</v>
      </c>
      <c r="H5" s="41">
        <f>Water!I6</f>
        <v>5.8860000000000001</v>
      </c>
      <c r="I5" s="41">
        <f>ELECT.!F6</f>
        <v>10902</v>
      </c>
      <c r="J5" s="41">
        <f>ELECT.!H6</f>
        <v>32332</v>
      </c>
      <c r="K5" s="41">
        <f>ELECT.!K6</f>
        <v>7824</v>
      </c>
      <c r="L5" s="41">
        <f>ELECT.!M6</f>
        <v>5445</v>
      </c>
      <c r="M5" s="41">
        <f>ELECT.!O6</f>
        <v>5300</v>
      </c>
      <c r="N5" s="41">
        <f>ELECT.!Q6</f>
        <v>2173</v>
      </c>
      <c r="O5" s="41">
        <f>ELECT.!S6</f>
        <v>8172</v>
      </c>
      <c r="P5" s="41">
        <f>ELECT.!W6*2</f>
        <v>17072</v>
      </c>
      <c r="Q5" s="41">
        <f>ELECT.!D6</f>
        <v>320</v>
      </c>
      <c r="R5" s="42">
        <f>BTU!C6</f>
        <v>2.2850000000034925</v>
      </c>
      <c r="S5" s="42">
        <f>BTU!F6</f>
        <v>0.77799999999979264</v>
      </c>
      <c r="T5" s="42">
        <f>BTU!I6</f>
        <v>3</v>
      </c>
      <c r="U5" s="42">
        <f>BTU!O6</f>
        <v>1.043999999999869</v>
      </c>
      <c r="V5" s="42">
        <f>BTU!L6</f>
        <v>2.2199999999993452</v>
      </c>
      <c r="W5" s="42">
        <f>BTU!R6</f>
        <v>0</v>
      </c>
      <c r="X5" s="39">
        <f>ELECT.!B6</f>
        <v>181</v>
      </c>
      <c r="Y5" s="39">
        <f t="shared" si="0"/>
        <v>-2752</v>
      </c>
      <c r="Z5">
        <f>'Mall, Citadel, Rotana'!C6+'Mall, Citadel, Rotana'!E6+'Mall, Citadel, Rotana'!G6+'Mall, Citadel, Rotana'!I6</f>
        <v>1196</v>
      </c>
      <c r="AA5">
        <f>'Mall, Citadel, Rotana'!K6+'Mall, Citadel, Rotana'!M6</f>
        <v>480</v>
      </c>
      <c r="AB5">
        <f>'Mall, Citadel, Rotana'!O6</f>
        <v>130</v>
      </c>
      <c r="AC5">
        <f>'Mall, Citadel, Rotana'!Q6+'Mall, Citadel, Rotana'!S6</f>
        <v>0</v>
      </c>
      <c r="AD5" s="39">
        <f t="shared" si="1"/>
        <v>76.459025199999999</v>
      </c>
      <c r="AE5" s="39">
        <f t="shared" si="2"/>
        <v>503.65497479999999</v>
      </c>
    </row>
    <row r="6" spans="1:31" x14ac:dyDescent="0.2">
      <c r="A6" s="52" t="s">
        <v>53</v>
      </c>
      <c r="B6" s="57">
        <f t="shared" si="3"/>
        <v>5</v>
      </c>
      <c r="C6" s="57">
        <v>1</v>
      </c>
      <c r="D6" s="57">
        <v>2022</v>
      </c>
      <c r="E6" s="41">
        <f>Water!C7</f>
        <v>740</v>
      </c>
      <c r="F6" s="41">
        <f>Water!E7</f>
        <v>420</v>
      </c>
      <c r="G6" s="41">
        <f>Water!G7</f>
        <v>272.7</v>
      </c>
      <c r="H6" s="41">
        <f>Water!I7</f>
        <v>4.3469999999999995</v>
      </c>
      <c r="I6" s="41">
        <f>ELECT.!F7</f>
        <v>12561</v>
      </c>
      <c r="J6" s="41">
        <f>ELECT.!H7</f>
        <v>42519</v>
      </c>
      <c r="K6" s="41">
        <f>ELECT.!K7</f>
        <v>10536</v>
      </c>
      <c r="L6" s="41">
        <f>ELECT.!M7</f>
        <v>5830</v>
      </c>
      <c r="M6" s="41">
        <f>ELECT.!O7</f>
        <v>6598</v>
      </c>
      <c r="N6" s="41">
        <f>ELECT.!Q7</f>
        <v>2732</v>
      </c>
      <c r="O6" s="41">
        <f>ELECT.!S7</f>
        <v>10881</v>
      </c>
      <c r="P6" s="41">
        <f>ELECT.!W7*2</f>
        <v>22454</v>
      </c>
      <c r="Q6" s="41">
        <f>ELECT.!D7</f>
        <v>320</v>
      </c>
      <c r="R6" s="42">
        <f>BTU!C7</f>
        <v>2.7669999999998254</v>
      </c>
      <c r="S6" s="42">
        <f>BTU!F7</f>
        <v>0.76400000000012369</v>
      </c>
      <c r="T6" s="42">
        <f>BTU!I7</f>
        <v>6</v>
      </c>
      <c r="U6" s="42">
        <f>BTU!O7</f>
        <v>1.4239999999999782</v>
      </c>
      <c r="V6" s="42">
        <f>BTU!L7</f>
        <v>2.3400000000001455</v>
      </c>
      <c r="W6" s="42">
        <f>BTU!R7</f>
        <v>0</v>
      </c>
      <c r="X6" s="39">
        <f>ELECT.!B7</f>
        <v>190</v>
      </c>
      <c r="Y6" s="39">
        <f t="shared" si="0"/>
        <v>-3951</v>
      </c>
      <c r="Z6">
        <f>'Mall, Citadel, Rotana'!C7+'Mall, Citadel, Rotana'!E7+'Mall, Citadel, Rotana'!G7+'Mall, Citadel, Rotana'!I7</f>
        <v>1216</v>
      </c>
      <c r="AA6">
        <f>'Mall, Citadel, Rotana'!K7+'Mall, Citadel, Rotana'!M7</f>
        <v>480</v>
      </c>
      <c r="AB6">
        <f>'Mall, Citadel, Rotana'!O7</f>
        <v>117</v>
      </c>
      <c r="AC6">
        <f>'Mall, Citadel, Rotana'!Q7+'Mall, Citadel, Rotana'!S7</f>
        <v>0</v>
      </c>
      <c r="AD6" s="39">
        <f t="shared" si="1"/>
        <v>71.389865400000005</v>
      </c>
      <c r="AE6" s="39">
        <f t="shared" si="2"/>
        <v>470.26313460000006</v>
      </c>
    </row>
    <row r="7" spans="1:31" x14ac:dyDescent="0.2">
      <c r="A7" s="52" t="s">
        <v>53</v>
      </c>
      <c r="B7" s="57">
        <f t="shared" si="3"/>
        <v>6</v>
      </c>
      <c r="C7" s="57">
        <v>1</v>
      </c>
      <c r="D7" s="57">
        <v>2022</v>
      </c>
      <c r="E7" s="41">
        <f>Water!C8</f>
        <v>740</v>
      </c>
      <c r="F7" s="41">
        <f>Water!E8</f>
        <v>420</v>
      </c>
      <c r="G7" s="41">
        <f>Water!G8</f>
        <v>272.7</v>
      </c>
      <c r="H7" s="41">
        <f>Water!I8</f>
        <v>4.3469999999999995</v>
      </c>
      <c r="I7" s="41">
        <f>ELECT.!F8</f>
        <v>8427</v>
      </c>
      <c r="J7" s="41">
        <f>ELECT.!H8</f>
        <v>27588</v>
      </c>
      <c r="K7" s="41">
        <f>ELECT.!K8</f>
        <v>6088</v>
      </c>
      <c r="L7" s="41">
        <f>ELECT.!M8</f>
        <v>3900</v>
      </c>
      <c r="M7" s="41">
        <f>ELECT.!O8</f>
        <v>4408</v>
      </c>
      <c r="N7" s="41">
        <f>ELECT.!Q8</f>
        <v>1731</v>
      </c>
      <c r="O7" s="41">
        <f>ELECT.!S8</f>
        <v>7155</v>
      </c>
      <c r="P7" s="41">
        <f>ELECT.!W8*2</f>
        <v>14800</v>
      </c>
      <c r="Q7" s="41">
        <f>ELECT.!D8</f>
        <v>640</v>
      </c>
      <c r="R7" s="42">
        <f>BTU!C8</f>
        <v>2.2649999999994179</v>
      </c>
      <c r="S7" s="42">
        <f>BTU!F8</f>
        <v>0.36200000000008004</v>
      </c>
      <c r="T7" s="42">
        <f>BTU!I8</f>
        <v>4</v>
      </c>
      <c r="U7" s="42">
        <f>BTU!O8</f>
        <v>1.1929999999997563</v>
      </c>
      <c r="V7" s="42">
        <f>BTU!L8</f>
        <v>3.0000000000654836E-2</v>
      </c>
      <c r="W7" s="42">
        <f>BTU!R8</f>
        <v>0</v>
      </c>
      <c r="X7" s="39">
        <f>ELECT.!B8</f>
        <v>197</v>
      </c>
      <c r="Y7" s="39">
        <f t="shared" si="0"/>
        <v>-2067</v>
      </c>
      <c r="Z7">
        <f>'Mall, Citadel, Rotana'!C8+'Mall, Citadel, Rotana'!E8+'Mall, Citadel, Rotana'!G8+'Mall, Citadel, Rotana'!I8</f>
        <v>1357</v>
      </c>
      <c r="AA7">
        <f>'Mall, Citadel, Rotana'!K8+'Mall, Citadel, Rotana'!M8</f>
        <v>320</v>
      </c>
      <c r="AB7">
        <f>'Mall, Citadel, Rotana'!O8</f>
        <v>83</v>
      </c>
      <c r="AC7">
        <f>'Mall, Citadel, Rotana'!Q8+'Mall, Citadel, Rotana'!S8</f>
        <v>0</v>
      </c>
      <c r="AD7" s="39">
        <f t="shared" si="1"/>
        <v>71.389865400000005</v>
      </c>
      <c r="AE7" s="39">
        <f t="shared" si="2"/>
        <v>470.26313460000006</v>
      </c>
    </row>
    <row r="8" spans="1:31" x14ac:dyDescent="0.2">
      <c r="A8" s="52" t="s">
        <v>53</v>
      </c>
      <c r="B8" s="57">
        <f t="shared" si="3"/>
        <v>7</v>
      </c>
      <c r="C8" s="57">
        <v>1</v>
      </c>
      <c r="D8" s="57">
        <v>2022</v>
      </c>
      <c r="E8" s="41">
        <f>Water!C9</f>
        <v>560</v>
      </c>
      <c r="F8" s="41">
        <f>Water!E9</f>
        <v>340</v>
      </c>
      <c r="G8" s="41">
        <f>Water!G9</f>
        <v>199.8</v>
      </c>
      <c r="H8" s="41">
        <f>Water!I9</f>
        <v>4.7519999999999998</v>
      </c>
      <c r="I8" s="41">
        <f>ELECT.!F9</f>
        <v>13765</v>
      </c>
      <c r="J8" s="41">
        <f>ELECT.!H9</f>
        <v>46624</v>
      </c>
      <c r="K8" s="41">
        <f>ELECT.!K9</f>
        <v>9748</v>
      </c>
      <c r="L8" s="41">
        <f>ELECT.!M9</f>
        <v>6355</v>
      </c>
      <c r="M8" s="41">
        <f>ELECT.!O9</f>
        <v>7232</v>
      </c>
      <c r="N8" s="41">
        <f>ELECT.!Q9</f>
        <v>4914</v>
      </c>
      <c r="O8" s="41">
        <f>ELECT.!S9</f>
        <v>12213</v>
      </c>
      <c r="P8" s="41">
        <f>ELECT.!W9*2</f>
        <v>25094</v>
      </c>
      <c r="Q8" s="41">
        <f>ELECT.!D9</f>
        <v>480</v>
      </c>
      <c r="R8" s="42">
        <f>BTU!C9</f>
        <v>2.1519999999982247</v>
      </c>
      <c r="S8" s="42">
        <f>BTU!F9</f>
        <v>0.34499999999979991</v>
      </c>
      <c r="T8" s="42">
        <f>BTU!I9</f>
        <v>5</v>
      </c>
      <c r="U8" s="42">
        <f>BTU!O9</f>
        <v>1.1620000000002619</v>
      </c>
      <c r="V8" s="42">
        <f>BTU!L9</f>
        <v>0</v>
      </c>
      <c r="W8" s="42">
        <f>BTU!R9</f>
        <v>0</v>
      </c>
      <c r="X8" s="39">
        <f>ELECT.!B9</f>
        <v>125</v>
      </c>
      <c r="Y8" s="39">
        <f t="shared" si="0"/>
        <v>-5167</v>
      </c>
      <c r="Z8">
        <f>'Mall, Citadel, Rotana'!C9+'Mall, Citadel, Rotana'!E9+'Mall, Citadel, Rotana'!G9+'Mall, Citadel, Rotana'!I9</f>
        <v>1035</v>
      </c>
      <c r="AA8">
        <f>'Mall, Citadel, Rotana'!K9+'Mall, Citadel, Rotana'!M9</f>
        <v>320</v>
      </c>
      <c r="AB8">
        <f>'Mall, Citadel, Rotana'!O9</f>
        <v>73</v>
      </c>
      <c r="AC8">
        <f>'Mall, Citadel, Rotana'!Q9+'Mall, Citadel, Rotana'!S9</f>
        <v>0</v>
      </c>
      <c r="AD8" s="39">
        <f t="shared" si="1"/>
        <v>47.612486400000009</v>
      </c>
      <c r="AE8" s="39">
        <f t="shared" si="2"/>
        <v>313.63551360000002</v>
      </c>
    </row>
    <row r="9" spans="1:31" x14ac:dyDescent="0.2">
      <c r="A9" s="52" t="s">
        <v>53</v>
      </c>
      <c r="B9" s="57">
        <f t="shared" si="3"/>
        <v>8</v>
      </c>
      <c r="C9" s="57">
        <v>1</v>
      </c>
      <c r="D9" s="57">
        <v>2022</v>
      </c>
      <c r="E9" s="41">
        <f>Water!C10</f>
        <v>760</v>
      </c>
      <c r="F9" s="41">
        <f>Water!E10</f>
        <v>400</v>
      </c>
      <c r="G9" s="41">
        <f>Water!G10</f>
        <v>259.2</v>
      </c>
      <c r="H9" s="41">
        <f>Water!I10</f>
        <v>4.32</v>
      </c>
      <c r="I9" s="41">
        <f>ELECT.!F10</f>
        <v>10649</v>
      </c>
      <c r="J9" s="41">
        <f>ELECT.!H10</f>
        <v>34766</v>
      </c>
      <c r="K9" s="41">
        <f>ELECT.!K10</f>
        <v>7880</v>
      </c>
      <c r="L9" s="41">
        <f>ELECT.!M10</f>
        <v>4758</v>
      </c>
      <c r="M9" s="41">
        <f>ELECT.!O10</f>
        <v>5760</v>
      </c>
      <c r="N9" s="41">
        <f>ELECT.!Q10</f>
        <v>236</v>
      </c>
      <c r="O9" s="41">
        <f>ELECT.!S10</f>
        <v>8710</v>
      </c>
      <c r="P9" s="41">
        <f>ELECT.!W10*2</f>
        <v>18914</v>
      </c>
      <c r="Q9" s="41">
        <f>ELECT.!D10</f>
        <v>320</v>
      </c>
      <c r="R9" s="42">
        <f>BTU!C10</f>
        <v>2.2590000000018335</v>
      </c>
      <c r="S9" s="42">
        <f>BTU!F10</f>
        <v>0.42300000000022919</v>
      </c>
      <c r="T9" s="42">
        <f>BTU!I10</f>
        <v>4</v>
      </c>
      <c r="U9" s="42">
        <f>BTU!O10</f>
        <v>1.2930000000001201</v>
      </c>
      <c r="V9" s="42">
        <f>BTU!L10</f>
        <v>0</v>
      </c>
      <c r="W9" s="42">
        <f>BTU!R10</f>
        <v>0</v>
      </c>
      <c r="X9" s="39">
        <f>ELECT.!B10</f>
        <v>125</v>
      </c>
      <c r="Y9" s="39">
        <f t="shared" si="0"/>
        <v>-843</v>
      </c>
      <c r="Z9">
        <f>'Mall, Citadel, Rotana'!C10+'Mall, Citadel, Rotana'!E10+'Mall, Citadel, Rotana'!G10+'Mall, Citadel, Rotana'!I10</f>
        <v>1351</v>
      </c>
      <c r="AA9">
        <f>'Mall, Citadel, Rotana'!K10+'Mall, Citadel, Rotana'!M10</f>
        <v>320</v>
      </c>
      <c r="AB9">
        <f>'Mall, Citadel, Rotana'!O10</f>
        <v>93</v>
      </c>
      <c r="AC9">
        <f>'Mall, Citadel, Rotana'!Q10+'Mall, Citadel, Rotana'!S10</f>
        <v>385</v>
      </c>
      <c r="AD9" s="39">
        <f t="shared" si="1"/>
        <v>74.029423999999992</v>
      </c>
      <c r="AE9" s="39">
        <f t="shared" si="2"/>
        <v>487.650576</v>
      </c>
    </row>
    <row r="10" spans="1:31" x14ac:dyDescent="0.2">
      <c r="A10" s="52" t="s">
        <v>53</v>
      </c>
      <c r="B10" s="57">
        <f t="shared" si="3"/>
        <v>9</v>
      </c>
      <c r="C10" s="57">
        <v>1</v>
      </c>
      <c r="D10" s="57">
        <v>2022</v>
      </c>
      <c r="E10" s="41">
        <f>Water!C11</f>
        <v>810</v>
      </c>
      <c r="F10" s="41">
        <f>Water!E11</f>
        <v>430</v>
      </c>
      <c r="G10" s="41">
        <f>Water!G11</f>
        <v>321.3</v>
      </c>
      <c r="H10" s="41">
        <f>Water!I11</f>
        <v>5.6159999999999997</v>
      </c>
      <c r="I10" s="41">
        <f>ELECT.!F11</f>
        <v>10085</v>
      </c>
      <c r="J10" s="41">
        <f>ELECT.!H11</f>
        <v>32173</v>
      </c>
      <c r="K10" s="41">
        <f>ELECT.!K11</f>
        <v>9864</v>
      </c>
      <c r="L10" s="41">
        <f>ELECT.!M11</f>
        <v>4715</v>
      </c>
      <c r="M10" s="41">
        <f>ELECT.!O11</f>
        <v>5238</v>
      </c>
      <c r="N10" s="41">
        <f>ELECT.!Q11</f>
        <v>2020</v>
      </c>
      <c r="O10" s="41">
        <f>ELECT.!S11</f>
        <v>8183</v>
      </c>
      <c r="P10" s="41">
        <f>ELECT.!W11*2</f>
        <v>17182</v>
      </c>
      <c r="Q10" s="41">
        <f>ELECT.!D11</f>
        <v>320</v>
      </c>
      <c r="R10" s="42">
        <f>BTU!C11</f>
        <v>1.5659999999988941</v>
      </c>
      <c r="S10" s="42">
        <f>BTU!F11</f>
        <v>0.40699999999969805</v>
      </c>
      <c r="T10" s="42">
        <f>BTU!I11</f>
        <v>3</v>
      </c>
      <c r="U10" s="42">
        <f>BTU!O11</f>
        <v>0.69599999999991269</v>
      </c>
      <c r="V10" s="42">
        <f>BTU!L11</f>
        <v>0</v>
      </c>
      <c r="W10" s="42">
        <f>BTU!R11</f>
        <v>0</v>
      </c>
      <c r="X10" s="39">
        <f>ELECT.!B11</f>
        <v>201</v>
      </c>
      <c r="Y10" s="39">
        <f t="shared" si="0"/>
        <v>-4944</v>
      </c>
      <c r="Z10">
        <f>'Mall, Citadel, Rotana'!C11+'Mall, Citadel, Rotana'!E11+'Mall, Citadel, Rotana'!G11+'Mall, Citadel, Rotana'!I11</f>
        <v>1192</v>
      </c>
      <c r="AA10">
        <f>'Mall, Citadel, Rotana'!K11+'Mall, Citadel, Rotana'!M11</f>
        <v>320</v>
      </c>
      <c r="AB10">
        <f>'Mall, Citadel, Rotana'!O11</f>
        <v>79</v>
      </c>
      <c r="AC10">
        <f>'Mall, Citadel, Rotana'!Q11+'Mall, Citadel, Rotana'!S11</f>
        <v>229</v>
      </c>
      <c r="AD10" s="39">
        <f t="shared" si="1"/>
        <v>80.448611200000002</v>
      </c>
      <c r="AE10" s="39">
        <f t="shared" si="2"/>
        <v>529.93538880000006</v>
      </c>
    </row>
    <row r="11" spans="1:31" x14ac:dyDescent="0.2">
      <c r="A11" s="52" t="s">
        <v>53</v>
      </c>
      <c r="B11" s="57">
        <f t="shared" si="3"/>
        <v>10</v>
      </c>
      <c r="C11" s="57">
        <v>1</v>
      </c>
      <c r="D11" s="57">
        <v>2022</v>
      </c>
      <c r="E11" s="41">
        <f>Water!C12</f>
        <v>720</v>
      </c>
      <c r="F11" s="41">
        <f>Water!E12</f>
        <v>350</v>
      </c>
      <c r="G11" s="41">
        <f>Water!G12</f>
        <v>305.10000000000002</v>
      </c>
      <c r="H11" s="41">
        <f>Water!I12</f>
        <v>4.9409999999999998</v>
      </c>
      <c r="I11" s="41">
        <f>ELECT.!F12</f>
        <v>7718</v>
      </c>
      <c r="J11" s="41">
        <f>ELECT.!H12</f>
        <v>46960</v>
      </c>
      <c r="K11" s="41">
        <f>ELECT.!K12</f>
        <v>8172</v>
      </c>
      <c r="L11" s="41">
        <f>ELECT.!M12</f>
        <v>5628</v>
      </c>
      <c r="M11" s="41">
        <f>ELECT.!O12</f>
        <v>1958</v>
      </c>
      <c r="N11" s="41">
        <f>ELECT.!Q12</f>
        <v>6254</v>
      </c>
      <c r="O11" s="41">
        <f>ELECT.!S12</f>
        <v>11303</v>
      </c>
      <c r="P11" s="41">
        <f>ELECT.!W12*2</f>
        <v>22882</v>
      </c>
      <c r="Q11" s="41">
        <f>ELECT.!D12</f>
        <v>480</v>
      </c>
      <c r="R11" s="42">
        <f>BTU!C12</f>
        <v>2.1909999999988941</v>
      </c>
      <c r="S11" s="42">
        <f>BTU!F12</f>
        <v>0.57700000000022555</v>
      </c>
      <c r="T11" s="42">
        <f>BTU!I12</f>
        <v>5</v>
      </c>
      <c r="U11" s="42">
        <f>BTU!O12</f>
        <v>1.0850000000000364</v>
      </c>
      <c r="V11" s="42">
        <f>BTU!L12</f>
        <v>0</v>
      </c>
      <c r="W11" s="42">
        <f>BTU!R12</f>
        <v>0</v>
      </c>
      <c r="X11" s="39">
        <f>ELECT.!B12</f>
        <v>188</v>
      </c>
      <c r="Y11" s="39">
        <f t="shared" si="0"/>
        <v>-1519</v>
      </c>
      <c r="Z11">
        <f>'Mall, Citadel, Rotana'!C12+'Mall, Citadel, Rotana'!E12+'Mall, Citadel, Rotana'!G12+'Mall, Citadel, Rotana'!I12</f>
        <v>1242</v>
      </c>
      <c r="AA11">
        <f>'Mall, Citadel, Rotana'!K12+'Mall, Citadel, Rotana'!M12</f>
        <v>800</v>
      </c>
      <c r="AB11">
        <f>'Mall, Citadel, Rotana'!O12</f>
        <v>162</v>
      </c>
      <c r="AC11">
        <f>'Mall, Citadel, Rotana'!Q12+'Mall, Citadel, Rotana'!S12</f>
        <v>69</v>
      </c>
      <c r="AD11" s="39">
        <f t="shared" si="1"/>
        <v>68.675576199999995</v>
      </c>
      <c r="AE11" s="39">
        <f t="shared" si="2"/>
        <v>452.38342379999995</v>
      </c>
    </row>
    <row r="12" spans="1:31" x14ac:dyDescent="0.2">
      <c r="A12" s="52" t="s">
        <v>53</v>
      </c>
      <c r="B12" s="57">
        <f t="shared" si="3"/>
        <v>11</v>
      </c>
      <c r="C12" s="57">
        <v>1</v>
      </c>
      <c r="D12" s="57">
        <v>2022</v>
      </c>
      <c r="E12" s="41">
        <f>Water!C13</f>
        <v>1180</v>
      </c>
      <c r="F12" s="41">
        <f>Water!E13</f>
        <v>850</v>
      </c>
      <c r="G12" s="41">
        <f>Water!G13</f>
        <v>267.3</v>
      </c>
      <c r="H12" s="41">
        <f>Water!I13</f>
        <v>5.859</v>
      </c>
      <c r="I12" s="41">
        <f>ELECT.!F13</f>
        <v>4948</v>
      </c>
      <c r="J12" s="41">
        <f>ELECT.!H13</f>
        <v>29711</v>
      </c>
      <c r="K12" s="41">
        <f>ELECT.!K13</f>
        <v>6404</v>
      </c>
      <c r="L12" s="41">
        <f>ELECT.!M13</f>
        <v>3861</v>
      </c>
      <c r="M12" s="41">
        <f>ELECT.!O13</f>
        <v>1010</v>
      </c>
      <c r="N12" s="41">
        <f>ELECT.!Q13</f>
        <v>4544</v>
      </c>
      <c r="O12" s="41">
        <f>ELECT.!S13</f>
        <v>7058</v>
      </c>
      <c r="P12" s="41">
        <f>ELECT.!W13*2</f>
        <v>14078</v>
      </c>
      <c r="Q12" s="41">
        <f>ELECT.!D13</f>
        <v>480</v>
      </c>
      <c r="R12" s="42">
        <f>BTU!C13</f>
        <v>2.9350000000013097</v>
      </c>
      <c r="S12" s="42">
        <f>BTU!F13</f>
        <v>0.84999999999990905</v>
      </c>
      <c r="T12" s="42">
        <f>BTU!I13</f>
        <v>6</v>
      </c>
      <c r="U12" s="42">
        <f>BTU!O13</f>
        <v>1.4290000000000873</v>
      </c>
      <c r="V12" s="42">
        <f>BTU!L13</f>
        <v>0</v>
      </c>
      <c r="W12" s="42">
        <f>BTU!R13</f>
        <v>0</v>
      </c>
      <c r="X12" s="39">
        <f>ELECT.!B13</f>
        <v>203</v>
      </c>
      <c r="Y12" s="39">
        <f t="shared" si="0"/>
        <v>-2296</v>
      </c>
      <c r="Z12">
        <f>'Mall, Citadel, Rotana'!C13+'Mall, Citadel, Rotana'!E13+'Mall, Citadel, Rotana'!G13+'Mall, Citadel, Rotana'!I13</f>
        <v>1340</v>
      </c>
      <c r="AA12">
        <f>'Mall, Citadel, Rotana'!K13+'Mall, Citadel, Rotana'!M13</f>
        <v>640</v>
      </c>
      <c r="AB12">
        <f>'Mall, Citadel, Rotana'!O13</f>
        <v>114</v>
      </c>
      <c r="AC12">
        <f>'Mall, Citadel, Rotana'!Q13+'Mall, Citadel, Rotana'!S13</f>
        <v>127</v>
      </c>
      <c r="AD12" s="39">
        <f t="shared" si="1"/>
        <v>129.1825838</v>
      </c>
      <c r="AE12" s="39">
        <f t="shared" si="2"/>
        <v>850.9584162000001</v>
      </c>
    </row>
    <row r="13" spans="1:31" x14ac:dyDescent="0.2">
      <c r="A13" s="52" t="s">
        <v>53</v>
      </c>
      <c r="B13" s="57">
        <f t="shared" si="3"/>
        <v>12</v>
      </c>
      <c r="C13" s="57">
        <v>1</v>
      </c>
      <c r="D13" s="57">
        <v>2022</v>
      </c>
      <c r="E13" s="41">
        <f>Water!C14</f>
        <v>0</v>
      </c>
      <c r="F13" s="41">
        <f>Water!E14</f>
        <v>0</v>
      </c>
      <c r="G13" s="41">
        <f>Water!G14</f>
        <v>0</v>
      </c>
      <c r="H13" s="41">
        <f>Water!I14</f>
        <v>0</v>
      </c>
      <c r="I13" s="41" t="str">
        <f>ELECT.!F14</f>
        <v>0</v>
      </c>
      <c r="J13" s="41" t="str">
        <f>ELECT.!H14</f>
        <v>0</v>
      </c>
      <c r="K13" s="41">
        <f>ELECT.!K14</f>
        <v>0</v>
      </c>
      <c r="L13" s="41" t="str">
        <f>ELECT.!M14</f>
        <v>0</v>
      </c>
      <c r="M13" s="41">
        <f>ELECT.!O14</f>
        <v>0</v>
      </c>
      <c r="N13" s="41">
        <f>ELECT.!Q14</f>
        <v>0</v>
      </c>
      <c r="O13" s="41">
        <f>ELECT.!S14</f>
        <v>0</v>
      </c>
      <c r="P13" s="41">
        <f>ELECT.!W14*2</f>
        <v>0</v>
      </c>
      <c r="Q13" s="41">
        <f>ELECT.!D14</f>
        <v>0</v>
      </c>
      <c r="R13" s="42">
        <f>BTU!C14</f>
        <v>0</v>
      </c>
      <c r="S13" s="42">
        <f>BTU!F14</f>
        <v>0</v>
      </c>
      <c r="T13" s="42">
        <f>BTU!I14</f>
        <v>0</v>
      </c>
      <c r="U13" s="42">
        <f>BTU!O14</f>
        <v>0</v>
      </c>
      <c r="V13" s="42">
        <f>BTU!L14</f>
        <v>0</v>
      </c>
      <c r="W13" s="42">
        <f>BTU!R14</f>
        <v>0</v>
      </c>
      <c r="X13" s="39">
        <f>ELECT.!B14</f>
        <v>203</v>
      </c>
      <c r="Y13" s="39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9">
        <f t="shared" si="1"/>
        <v>-25.569199999999999</v>
      </c>
      <c r="AE13" s="39">
        <f t="shared" si="2"/>
        <v>-168.4308</v>
      </c>
    </row>
    <row r="14" spans="1:31" x14ac:dyDescent="0.2">
      <c r="A14" s="52" t="s">
        <v>53</v>
      </c>
      <c r="B14" s="57">
        <f t="shared" si="3"/>
        <v>13</v>
      </c>
      <c r="C14" s="57">
        <v>1</v>
      </c>
      <c r="D14" s="57">
        <v>2022</v>
      </c>
      <c r="E14" s="41">
        <f>Water!C15</f>
        <v>0</v>
      </c>
      <c r="F14" s="41">
        <f>Water!E15</f>
        <v>0</v>
      </c>
      <c r="G14" s="41">
        <f>Water!G15</f>
        <v>0</v>
      </c>
      <c r="H14" s="41">
        <f>Water!I15</f>
        <v>0</v>
      </c>
      <c r="I14" s="41">
        <f>ELECT.!F15</f>
        <v>0</v>
      </c>
      <c r="J14" s="41">
        <f>ELECT.!H15</f>
        <v>0</v>
      </c>
      <c r="K14" s="41">
        <f>ELECT.!K15</f>
        <v>0</v>
      </c>
      <c r="L14" s="41">
        <f>ELECT.!M15</f>
        <v>0</v>
      </c>
      <c r="M14" s="41">
        <f>ELECT.!O15</f>
        <v>0</v>
      </c>
      <c r="N14" s="41">
        <f>ELECT.!Q15</f>
        <v>0</v>
      </c>
      <c r="O14" s="41">
        <f>ELECT.!S15</f>
        <v>0</v>
      </c>
      <c r="P14" s="41">
        <f>ELECT.!W15*2</f>
        <v>0</v>
      </c>
      <c r="Q14" s="41">
        <f>ELECT.!D15</f>
        <v>0</v>
      </c>
      <c r="R14" s="42">
        <f>BTU!C15</f>
        <v>0</v>
      </c>
      <c r="S14" s="42">
        <f>BTU!F15</f>
        <v>0</v>
      </c>
      <c r="T14" s="42">
        <f>BTU!I15</f>
        <v>0</v>
      </c>
      <c r="U14" s="42">
        <f>BTU!O15</f>
        <v>0</v>
      </c>
      <c r="V14" s="42">
        <f>BTU!L15</f>
        <v>0</v>
      </c>
      <c r="W14" s="42">
        <f>BTU!R15</f>
        <v>0</v>
      </c>
      <c r="X14" s="39">
        <f>ELECT.!B15</f>
        <v>203</v>
      </c>
      <c r="Y14" s="39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9">
        <f t="shared" si="1"/>
        <v>-25.569199999999999</v>
      </c>
      <c r="AE14" s="39">
        <f t="shared" si="2"/>
        <v>-168.4308</v>
      </c>
    </row>
    <row r="15" spans="1:31" x14ac:dyDescent="0.2">
      <c r="A15" s="52" t="s">
        <v>53</v>
      </c>
      <c r="B15" s="57">
        <f t="shared" si="3"/>
        <v>14</v>
      </c>
      <c r="C15" s="57">
        <v>1</v>
      </c>
      <c r="D15" s="57">
        <v>2022</v>
      </c>
      <c r="E15" s="41">
        <f>Water!C16</f>
        <v>0</v>
      </c>
      <c r="F15" s="41">
        <f>Water!E16</f>
        <v>0</v>
      </c>
      <c r="G15" s="41">
        <f>Water!G16</f>
        <v>0</v>
      </c>
      <c r="H15" s="41">
        <f>Water!I16</f>
        <v>0</v>
      </c>
      <c r="I15" s="41">
        <f>ELECT.!F16</f>
        <v>0</v>
      </c>
      <c r="J15" s="41">
        <f>ELECT.!H16</f>
        <v>0</v>
      </c>
      <c r="K15" s="41">
        <f>ELECT.!K16</f>
        <v>0</v>
      </c>
      <c r="L15" s="41">
        <f>ELECT.!M16</f>
        <v>0</v>
      </c>
      <c r="M15" s="41">
        <f>ELECT.!O16</f>
        <v>0</v>
      </c>
      <c r="N15" s="41">
        <f>ELECT.!Q16</f>
        <v>0</v>
      </c>
      <c r="O15" s="41">
        <f>ELECT.!S16</f>
        <v>0</v>
      </c>
      <c r="P15" s="41">
        <f>ELECT.!W16*2</f>
        <v>0</v>
      </c>
      <c r="Q15" s="41">
        <f>ELECT.!D16</f>
        <v>0</v>
      </c>
      <c r="R15" s="42">
        <f>BTU!C16</f>
        <v>0</v>
      </c>
      <c r="S15" s="42">
        <f>BTU!F16</f>
        <v>0</v>
      </c>
      <c r="T15" s="42">
        <f>BTU!I16</f>
        <v>0</v>
      </c>
      <c r="U15" s="42">
        <f>BTU!O16</f>
        <v>0</v>
      </c>
      <c r="V15" s="42">
        <f>BTU!L16</f>
        <v>0</v>
      </c>
      <c r="W15" s="42">
        <f>BTU!R16</f>
        <v>0</v>
      </c>
      <c r="X15" s="39">
        <f>ELECT.!B16</f>
        <v>203</v>
      </c>
      <c r="Y15" s="39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9">
        <f t="shared" si="1"/>
        <v>-25.569199999999999</v>
      </c>
      <c r="AE15" s="39">
        <f t="shared" si="2"/>
        <v>-168.4308</v>
      </c>
    </row>
    <row r="16" spans="1:31" x14ac:dyDescent="0.2">
      <c r="A16" s="52" t="s">
        <v>53</v>
      </c>
      <c r="B16" s="57">
        <f t="shared" si="3"/>
        <v>15</v>
      </c>
      <c r="C16" s="57">
        <v>1</v>
      </c>
      <c r="D16" s="57">
        <v>2022</v>
      </c>
      <c r="E16" s="41">
        <f>Water!C17</f>
        <v>0</v>
      </c>
      <c r="F16" s="41">
        <f>Water!E17</f>
        <v>0</v>
      </c>
      <c r="G16" s="41">
        <f>Water!G17</f>
        <v>0</v>
      </c>
      <c r="H16" s="41">
        <f>Water!I17</f>
        <v>0</v>
      </c>
      <c r="I16" s="41">
        <f>ELECT.!F17</f>
        <v>0</v>
      </c>
      <c r="J16" s="41">
        <f>ELECT.!H17</f>
        <v>0</v>
      </c>
      <c r="K16" s="41">
        <f>ELECT.!K17</f>
        <v>0</v>
      </c>
      <c r="L16" s="41">
        <f>ELECT.!M17</f>
        <v>0</v>
      </c>
      <c r="M16" s="41">
        <f>ELECT.!O17</f>
        <v>0</v>
      </c>
      <c r="N16" s="41">
        <f>ELECT.!Q17</f>
        <v>0</v>
      </c>
      <c r="O16" s="41">
        <f>ELECT.!S17</f>
        <v>0</v>
      </c>
      <c r="P16" s="41">
        <f>ELECT.!W17*2</f>
        <v>0</v>
      </c>
      <c r="Q16" s="41">
        <f>ELECT.!D17</f>
        <v>0</v>
      </c>
      <c r="R16" s="42">
        <f>BTU!C17</f>
        <v>0</v>
      </c>
      <c r="S16" s="42">
        <f>BTU!F17</f>
        <v>0</v>
      </c>
      <c r="T16" s="42">
        <f>BTU!I17</f>
        <v>0</v>
      </c>
      <c r="U16" s="42">
        <f>BTU!O17</f>
        <v>0</v>
      </c>
      <c r="V16" s="42">
        <f>BTU!L17</f>
        <v>0</v>
      </c>
      <c r="W16" s="42">
        <f>BTU!R17</f>
        <v>0</v>
      </c>
      <c r="X16" s="39">
        <f>ELECT.!B17</f>
        <v>203</v>
      </c>
      <c r="Y16" s="39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9">
        <f t="shared" si="1"/>
        <v>-25.569199999999999</v>
      </c>
      <c r="AE16" s="39">
        <f t="shared" si="2"/>
        <v>-168.4308</v>
      </c>
    </row>
    <row r="17" spans="1:31" x14ac:dyDescent="0.2">
      <c r="A17" s="52" t="s">
        <v>53</v>
      </c>
      <c r="B17" s="57">
        <f t="shared" si="3"/>
        <v>16</v>
      </c>
      <c r="C17" s="57">
        <v>1</v>
      </c>
      <c r="D17" s="57">
        <v>2022</v>
      </c>
      <c r="E17" s="41">
        <f>Water!C18</f>
        <v>0</v>
      </c>
      <c r="F17" s="41">
        <f>Water!E18</f>
        <v>0</v>
      </c>
      <c r="G17" s="41">
        <f>Water!G18</f>
        <v>0</v>
      </c>
      <c r="H17" s="41">
        <f>Water!I18</f>
        <v>0</v>
      </c>
      <c r="I17" s="41">
        <f>ELECT.!F18</f>
        <v>0</v>
      </c>
      <c r="J17" s="41">
        <f>ELECT.!H18</f>
        <v>0</v>
      </c>
      <c r="K17" s="41">
        <f>ELECT.!K18</f>
        <v>0</v>
      </c>
      <c r="L17" s="41">
        <f>ELECT.!M18</f>
        <v>0</v>
      </c>
      <c r="M17" s="41">
        <f>ELECT.!O18</f>
        <v>0</v>
      </c>
      <c r="N17" s="41">
        <f>ELECT.!Q18</f>
        <v>0</v>
      </c>
      <c r="O17" s="41">
        <f>ELECT.!S18</f>
        <v>0</v>
      </c>
      <c r="P17" s="41">
        <f>ELECT.!W18*2</f>
        <v>0</v>
      </c>
      <c r="Q17" s="41">
        <f>ELECT.!D18</f>
        <v>0</v>
      </c>
      <c r="R17" s="42">
        <f>BTU!C18</f>
        <v>0</v>
      </c>
      <c r="S17" s="42">
        <f>BTU!F18</f>
        <v>0</v>
      </c>
      <c r="T17" s="42">
        <f>BTU!I18</f>
        <v>0</v>
      </c>
      <c r="U17" s="42">
        <f>BTU!O18</f>
        <v>0</v>
      </c>
      <c r="V17" s="42">
        <f>BTU!L18</f>
        <v>0</v>
      </c>
      <c r="W17" s="42">
        <f>BTU!R18</f>
        <v>0</v>
      </c>
      <c r="X17" s="39">
        <f>ELECT.!B18</f>
        <v>203</v>
      </c>
      <c r="Y17" s="39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9">
        <f t="shared" si="1"/>
        <v>-25.569199999999999</v>
      </c>
      <c r="AE17" s="39">
        <f t="shared" si="2"/>
        <v>-168.4308</v>
      </c>
    </row>
    <row r="18" spans="1:31" x14ac:dyDescent="0.2">
      <c r="A18" s="52" t="s">
        <v>53</v>
      </c>
      <c r="B18" s="57">
        <f t="shared" si="3"/>
        <v>17</v>
      </c>
      <c r="C18" s="57">
        <v>1</v>
      </c>
      <c r="D18" s="57">
        <v>2022</v>
      </c>
      <c r="E18" s="41">
        <f>Water!C19</f>
        <v>0</v>
      </c>
      <c r="F18" s="41">
        <f>Water!E19</f>
        <v>0</v>
      </c>
      <c r="G18" s="41">
        <f>Water!G19</f>
        <v>0</v>
      </c>
      <c r="H18" s="41">
        <f>Water!I19</f>
        <v>0</v>
      </c>
      <c r="I18" s="41">
        <f>ELECT.!F19</f>
        <v>0</v>
      </c>
      <c r="J18" s="41">
        <f>ELECT.!H19</f>
        <v>0</v>
      </c>
      <c r="K18" s="41">
        <f>ELECT.!K19</f>
        <v>0</v>
      </c>
      <c r="L18" s="41">
        <f>ELECT.!M19</f>
        <v>0</v>
      </c>
      <c r="M18" s="41">
        <f>ELECT.!O19</f>
        <v>0</v>
      </c>
      <c r="N18" s="41">
        <f>ELECT.!Q19</f>
        <v>0</v>
      </c>
      <c r="O18" s="41">
        <f>ELECT.!S19</f>
        <v>0</v>
      </c>
      <c r="P18" s="41">
        <f>ELECT.!W19*2</f>
        <v>0</v>
      </c>
      <c r="Q18" s="41">
        <f>ELECT.!D19</f>
        <v>0</v>
      </c>
      <c r="R18" s="42">
        <f>BTU!C19</f>
        <v>0</v>
      </c>
      <c r="S18" s="42">
        <f>BTU!F19</f>
        <v>0</v>
      </c>
      <c r="T18" s="42">
        <f>BTU!I19</f>
        <v>0</v>
      </c>
      <c r="U18" s="42">
        <f>BTU!O19</f>
        <v>0</v>
      </c>
      <c r="V18" s="42">
        <f>BTU!L19</f>
        <v>0</v>
      </c>
      <c r="W18" s="42">
        <f>BTU!R19</f>
        <v>0</v>
      </c>
      <c r="X18" s="39">
        <f>ELECT.!B19</f>
        <v>203</v>
      </c>
      <c r="Y18" s="39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9">
        <f t="shared" si="1"/>
        <v>-25.569199999999999</v>
      </c>
      <c r="AE18" s="39">
        <f t="shared" si="2"/>
        <v>-168.4308</v>
      </c>
    </row>
    <row r="19" spans="1:31" x14ac:dyDescent="0.2">
      <c r="A19" s="52" t="s">
        <v>53</v>
      </c>
      <c r="B19" s="57">
        <f t="shared" si="3"/>
        <v>18</v>
      </c>
      <c r="C19" s="57">
        <v>1</v>
      </c>
      <c r="D19" s="57">
        <v>2022</v>
      </c>
      <c r="E19" s="41">
        <f>Water!C20</f>
        <v>0</v>
      </c>
      <c r="F19" s="41">
        <f>Water!E20</f>
        <v>0</v>
      </c>
      <c r="G19" s="41">
        <f>Water!G20</f>
        <v>0</v>
      </c>
      <c r="H19" s="41">
        <f>Water!I20</f>
        <v>0</v>
      </c>
      <c r="I19" s="41">
        <f>ELECT.!F20</f>
        <v>0</v>
      </c>
      <c r="J19" s="41">
        <f>ELECT.!H20</f>
        <v>0</v>
      </c>
      <c r="K19" s="41">
        <f>ELECT.!K20</f>
        <v>0</v>
      </c>
      <c r="L19" s="41">
        <f>ELECT.!M20</f>
        <v>0</v>
      </c>
      <c r="M19" s="41">
        <f>ELECT.!O20</f>
        <v>0</v>
      </c>
      <c r="N19" s="41">
        <f>ELECT.!Q20</f>
        <v>0</v>
      </c>
      <c r="O19" s="41">
        <f>ELECT.!S20</f>
        <v>0</v>
      </c>
      <c r="P19" s="41">
        <f>ELECT.!W20*2</f>
        <v>0</v>
      </c>
      <c r="Q19" s="41">
        <f>ELECT.!D20</f>
        <v>0</v>
      </c>
      <c r="R19" s="42">
        <f>BTU!C20</f>
        <v>0</v>
      </c>
      <c r="S19" s="42">
        <f>BTU!F20</f>
        <v>0</v>
      </c>
      <c r="T19" s="42">
        <f>BTU!I20</f>
        <v>0</v>
      </c>
      <c r="U19" s="42">
        <f>BTU!O20</f>
        <v>0</v>
      </c>
      <c r="V19" s="42">
        <f>BTU!L20</f>
        <v>0</v>
      </c>
      <c r="W19" s="42">
        <f>BTU!R20</f>
        <v>0</v>
      </c>
      <c r="X19" s="39">
        <f>ELECT.!B20</f>
        <v>203</v>
      </c>
      <c r="Y19" s="39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9">
        <f t="shared" si="1"/>
        <v>-25.569199999999999</v>
      </c>
      <c r="AE19" s="39">
        <f t="shared" si="2"/>
        <v>-168.4308</v>
      </c>
    </row>
    <row r="20" spans="1:31" x14ac:dyDescent="0.2">
      <c r="A20" s="52" t="s">
        <v>53</v>
      </c>
      <c r="B20" s="57">
        <f t="shared" si="3"/>
        <v>19</v>
      </c>
      <c r="C20" s="57">
        <v>1</v>
      </c>
      <c r="D20" s="57">
        <v>2022</v>
      </c>
      <c r="E20" s="41">
        <f>Water!C21</f>
        <v>0</v>
      </c>
      <c r="F20" s="41">
        <f>Water!E21</f>
        <v>0</v>
      </c>
      <c r="G20" s="41">
        <f>Water!G21</f>
        <v>0</v>
      </c>
      <c r="H20" s="41">
        <f>Water!I21</f>
        <v>0</v>
      </c>
      <c r="I20" s="41">
        <f>ELECT.!F21</f>
        <v>0</v>
      </c>
      <c r="J20" s="41">
        <f>ELECT.!H21</f>
        <v>0</v>
      </c>
      <c r="K20" s="41">
        <f>ELECT.!K21</f>
        <v>0</v>
      </c>
      <c r="L20" s="41">
        <f>ELECT.!M21</f>
        <v>0</v>
      </c>
      <c r="M20" s="41">
        <f>ELECT.!O21</f>
        <v>0</v>
      </c>
      <c r="N20" s="41">
        <f>ELECT.!Q21</f>
        <v>0</v>
      </c>
      <c r="O20" s="41">
        <f>ELECT.!S21</f>
        <v>0</v>
      </c>
      <c r="P20" s="41">
        <f>ELECT.!W21*2</f>
        <v>0</v>
      </c>
      <c r="Q20" s="41">
        <f>ELECT.!D21</f>
        <v>0</v>
      </c>
      <c r="R20" s="42">
        <f>BTU!C21</f>
        <v>0</v>
      </c>
      <c r="S20" s="42">
        <f>BTU!F21</f>
        <v>0</v>
      </c>
      <c r="T20" s="42">
        <f>BTU!I21</f>
        <v>0</v>
      </c>
      <c r="U20" s="42">
        <f>BTU!O21</f>
        <v>0</v>
      </c>
      <c r="V20" s="42">
        <f>BTU!L21</f>
        <v>0</v>
      </c>
      <c r="W20" s="42">
        <f>BTU!R21</f>
        <v>0</v>
      </c>
      <c r="X20" s="39">
        <f>ELECT.!B21</f>
        <v>203</v>
      </c>
      <c r="Y20" s="39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9">
        <f t="shared" si="1"/>
        <v>-25.569199999999999</v>
      </c>
      <c r="AE20" s="39">
        <f t="shared" si="2"/>
        <v>-168.4308</v>
      </c>
    </row>
    <row r="21" spans="1:31" x14ac:dyDescent="0.2">
      <c r="A21" s="52" t="s">
        <v>53</v>
      </c>
      <c r="B21" s="57">
        <f t="shared" si="3"/>
        <v>20</v>
      </c>
      <c r="C21" s="57">
        <v>1</v>
      </c>
      <c r="D21" s="57">
        <v>2022</v>
      </c>
      <c r="E21" s="41">
        <f>Water!C22</f>
        <v>0</v>
      </c>
      <c r="F21" s="41">
        <f>Water!E22</f>
        <v>0</v>
      </c>
      <c r="G21" s="41">
        <f>Water!G22</f>
        <v>0</v>
      </c>
      <c r="H21" s="41">
        <f>Water!I22</f>
        <v>0</v>
      </c>
      <c r="I21" s="41">
        <f>ELECT.!F22</f>
        <v>0</v>
      </c>
      <c r="J21" s="41">
        <f>ELECT.!H22</f>
        <v>0</v>
      </c>
      <c r="K21" s="41">
        <f>ELECT.!K22</f>
        <v>0</v>
      </c>
      <c r="L21" s="41">
        <f>ELECT.!M22</f>
        <v>0</v>
      </c>
      <c r="M21" s="41">
        <f>ELECT.!O22</f>
        <v>0</v>
      </c>
      <c r="N21" s="41">
        <f>ELECT.!Q22</f>
        <v>0</v>
      </c>
      <c r="O21" s="41">
        <f>ELECT.!S22</f>
        <v>0</v>
      </c>
      <c r="P21" s="41">
        <f>ELECT.!W22*2</f>
        <v>0</v>
      </c>
      <c r="Q21" s="41">
        <f>ELECT.!D22</f>
        <v>0</v>
      </c>
      <c r="R21" s="42">
        <f>BTU!C22</f>
        <v>0</v>
      </c>
      <c r="S21" s="42">
        <f>BTU!F22</f>
        <v>0</v>
      </c>
      <c r="T21" s="42">
        <f>BTU!I22</f>
        <v>0</v>
      </c>
      <c r="U21" s="42">
        <f>BTU!O22</f>
        <v>0</v>
      </c>
      <c r="V21" s="42">
        <f>BTU!L22</f>
        <v>0</v>
      </c>
      <c r="W21" s="42">
        <f>BTU!R22</f>
        <v>0</v>
      </c>
      <c r="X21" s="39">
        <f>ELECT.!B22</f>
        <v>203</v>
      </c>
      <c r="Y21" s="39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9">
        <f t="shared" si="1"/>
        <v>-25.569199999999999</v>
      </c>
      <c r="AE21" s="39">
        <f t="shared" si="2"/>
        <v>-168.4308</v>
      </c>
    </row>
    <row r="22" spans="1:31" x14ac:dyDescent="0.2">
      <c r="A22" s="52" t="s">
        <v>53</v>
      </c>
      <c r="B22" s="57">
        <f t="shared" si="3"/>
        <v>21</v>
      </c>
      <c r="C22" s="57">
        <v>1</v>
      </c>
      <c r="D22" s="57">
        <v>2022</v>
      </c>
      <c r="E22" s="41">
        <f>Water!C23</f>
        <v>0</v>
      </c>
      <c r="F22" s="41">
        <f>Water!E23</f>
        <v>0</v>
      </c>
      <c r="G22" s="41">
        <f>Water!G23</f>
        <v>0</v>
      </c>
      <c r="H22" s="41">
        <f>Water!I23</f>
        <v>0</v>
      </c>
      <c r="I22" s="41">
        <f>ELECT.!F23</f>
        <v>0</v>
      </c>
      <c r="J22" s="41">
        <f>ELECT.!H23</f>
        <v>0</v>
      </c>
      <c r="K22" s="41">
        <f>ELECT.!K23</f>
        <v>0</v>
      </c>
      <c r="L22" s="41">
        <f>ELECT.!M23</f>
        <v>0</v>
      </c>
      <c r="M22" s="41">
        <f>ELECT.!O23</f>
        <v>0</v>
      </c>
      <c r="N22" s="41">
        <f>ELECT.!Q23</f>
        <v>0</v>
      </c>
      <c r="O22" s="41">
        <f>ELECT.!S23</f>
        <v>0</v>
      </c>
      <c r="P22" s="41">
        <f>ELECT.!W23*2</f>
        <v>0</v>
      </c>
      <c r="Q22" s="41">
        <f>ELECT.!D23</f>
        <v>0</v>
      </c>
      <c r="R22" s="42">
        <f>BTU!C23</f>
        <v>0</v>
      </c>
      <c r="S22" s="42">
        <f>BTU!F23</f>
        <v>0</v>
      </c>
      <c r="T22" s="42">
        <f>BTU!I23</f>
        <v>0</v>
      </c>
      <c r="U22" s="42">
        <f>BTU!O23</f>
        <v>0</v>
      </c>
      <c r="V22" s="42">
        <f>BTU!L23</f>
        <v>0</v>
      </c>
      <c r="W22" s="42">
        <f>BTU!R23</f>
        <v>0</v>
      </c>
      <c r="X22" s="39">
        <f>ELECT.!B23</f>
        <v>203</v>
      </c>
      <c r="Y22" s="39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9">
        <f t="shared" si="1"/>
        <v>-25.569199999999999</v>
      </c>
      <c r="AE22" s="39">
        <f t="shared" si="2"/>
        <v>-168.4308</v>
      </c>
    </row>
    <row r="23" spans="1:31" x14ac:dyDescent="0.2">
      <c r="A23" s="52" t="s">
        <v>53</v>
      </c>
      <c r="B23" s="57">
        <f t="shared" si="3"/>
        <v>22</v>
      </c>
      <c r="C23" s="57">
        <v>1</v>
      </c>
      <c r="D23" s="57">
        <v>2022</v>
      </c>
      <c r="E23" s="41">
        <f>Water!C24</f>
        <v>0</v>
      </c>
      <c r="F23" s="41">
        <f>Water!E24</f>
        <v>0</v>
      </c>
      <c r="G23" s="41">
        <f>Water!G24</f>
        <v>0</v>
      </c>
      <c r="H23" s="41">
        <f>Water!I24</f>
        <v>0</v>
      </c>
      <c r="I23" s="41">
        <f>ELECT.!F24</f>
        <v>0</v>
      </c>
      <c r="J23" s="41">
        <f>ELECT.!H24</f>
        <v>0</v>
      </c>
      <c r="K23" s="41">
        <f>ELECT.!K24</f>
        <v>0</v>
      </c>
      <c r="L23" s="41">
        <f>ELECT.!M24</f>
        <v>0</v>
      </c>
      <c r="M23" s="41">
        <f>ELECT.!O24</f>
        <v>0</v>
      </c>
      <c r="N23" s="41">
        <f>ELECT.!Q24</f>
        <v>0</v>
      </c>
      <c r="O23" s="41">
        <f>ELECT.!S24</f>
        <v>0</v>
      </c>
      <c r="P23" s="41">
        <f>ELECT.!W24*2</f>
        <v>0</v>
      </c>
      <c r="Q23" s="41">
        <f>ELECT.!D24</f>
        <v>0</v>
      </c>
      <c r="R23" s="42">
        <f>BTU!C24</f>
        <v>0</v>
      </c>
      <c r="S23" s="42">
        <f>BTU!F24</f>
        <v>0</v>
      </c>
      <c r="T23" s="42">
        <f>BTU!I24</f>
        <v>0</v>
      </c>
      <c r="U23" s="42">
        <f>BTU!O24</f>
        <v>0</v>
      </c>
      <c r="V23" s="42">
        <f>BTU!L24</f>
        <v>0</v>
      </c>
      <c r="W23" s="42">
        <f>BTU!R24</f>
        <v>0</v>
      </c>
      <c r="X23" s="39">
        <f>ELECT.!B24</f>
        <v>203</v>
      </c>
      <c r="Y23" s="39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9">
        <f t="shared" si="1"/>
        <v>-25.569199999999999</v>
      </c>
      <c r="AE23" s="39">
        <f t="shared" si="2"/>
        <v>-168.4308</v>
      </c>
    </row>
    <row r="24" spans="1:31" x14ac:dyDescent="0.2">
      <c r="A24" s="52" t="s">
        <v>53</v>
      </c>
      <c r="B24" s="57">
        <f t="shared" si="3"/>
        <v>23</v>
      </c>
      <c r="C24" s="57">
        <v>1</v>
      </c>
      <c r="D24" s="57">
        <v>2022</v>
      </c>
      <c r="E24" s="41">
        <f>Water!C25</f>
        <v>0</v>
      </c>
      <c r="F24" s="41">
        <f>Water!E25</f>
        <v>0</v>
      </c>
      <c r="G24" s="41">
        <f>Water!G25</f>
        <v>0</v>
      </c>
      <c r="H24" s="41">
        <f>Water!I25</f>
        <v>0</v>
      </c>
      <c r="I24" s="41">
        <f>ELECT.!F25</f>
        <v>0</v>
      </c>
      <c r="J24" s="41">
        <f>ELECT.!H25</f>
        <v>0</v>
      </c>
      <c r="K24" s="41">
        <f>ELECT.!K25</f>
        <v>0</v>
      </c>
      <c r="L24" s="41">
        <f>ELECT.!M25</f>
        <v>0</v>
      </c>
      <c r="M24" s="41">
        <f>ELECT.!O25</f>
        <v>0</v>
      </c>
      <c r="N24" s="41">
        <f>ELECT.!Q25</f>
        <v>0</v>
      </c>
      <c r="O24" s="41">
        <f>ELECT.!S25</f>
        <v>0</v>
      </c>
      <c r="P24" s="41">
        <f>ELECT.!W25*2</f>
        <v>0</v>
      </c>
      <c r="Q24" s="41">
        <f>ELECT.!D25</f>
        <v>0</v>
      </c>
      <c r="R24" s="42">
        <f>BTU!C25</f>
        <v>0</v>
      </c>
      <c r="S24" s="42">
        <f>BTU!F25</f>
        <v>0</v>
      </c>
      <c r="T24" s="42">
        <f>BTU!I25</f>
        <v>0</v>
      </c>
      <c r="U24" s="42">
        <f>BTU!O25</f>
        <v>0</v>
      </c>
      <c r="V24" s="42">
        <f>BTU!L25</f>
        <v>0</v>
      </c>
      <c r="W24" s="42">
        <f>BTU!R25</f>
        <v>0</v>
      </c>
      <c r="X24" s="39">
        <f>ELECT.!B25</f>
        <v>203</v>
      </c>
      <c r="Y24" s="39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9">
        <f t="shared" si="1"/>
        <v>-25.569199999999999</v>
      </c>
      <c r="AE24" s="39">
        <f t="shared" si="2"/>
        <v>-168.4308</v>
      </c>
    </row>
    <row r="25" spans="1:31" x14ac:dyDescent="0.2">
      <c r="A25" s="52" t="s">
        <v>53</v>
      </c>
      <c r="B25" s="57">
        <f t="shared" si="3"/>
        <v>24</v>
      </c>
      <c r="C25" s="57">
        <v>1</v>
      </c>
      <c r="D25" s="57">
        <v>2022</v>
      </c>
      <c r="E25" s="41">
        <f>Water!C26</f>
        <v>0</v>
      </c>
      <c r="F25" s="41">
        <f>Water!E26</f>
        <v>0</v>
      </c>
      <c r="G25" s="41">
        <f>Water!G26</f>
        <v>0</v>
      </c>
      <c r="H25" s="41">
        <f>Water!I26</f>
        <v>0</v>
      </c>
      <c r="I25" s="41">
        <f>ELECT.!F26</f>
        <v>0</v>
      </c>
      <c r="J25" s="41">
        <f>ELECT.!H26</f>
        <v>0</v>
      </c>
      <c r="K25" s="41">
        <f>ELECT.!K26</f>
        <v>0</v>
      </c>
      <c r="L25" s="41">
        <f>ELECT.!M26</f>
        <v>0</v>
      </c>
      <c r="M25" s="41">
        <f>ELECT.!O26</f>
        <v>0</v>
      </c>
      <c r="N25" s="41">
        <f>ELECT.!Q26</f>
        <v>0</v>
      </c>
      <c r="O25" s="41">
        <f>ELECT.!S26</f>
        <v>0</v>
      </c>
      <c r="P25" s="41">
        <f>ELECT.!W26*2</f>
        <v>0</v>
      </c>
      <c r="Q25" s="41">
        <f>ELECT.!D26</f>
        <v>0</v>
      </c>
      <c r="R25" s="42">
        <f>BTU!C26</f>
        <v>0</v>
      </c>
      <c r="S25" s="42">
        <f>BTU!F26</f>
        <v>0</v>
      </c>
      <c r="T25" s="42">
        <f>BTU!I26</f>
        <v>0</v>
      </c>
      <c r="U25" s="42">
        <f>BTU!O26</f>
        <v>0</v>
      </c>
      <c r="V25" s="42">
        <f>BTU!L26</f>
        <v>0</v>
      </c>
      <c r="W25" s="42">
        <f>BTU!R26</f>
        <v>0</v>
      </c>
      <c r="X25" s="39">
        <f>ELECT.!B26</f>
        <v>203</v>
      </c>
      <c r="Y25" s="39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9">
        <f t="shared" si="1"/>
        <v>-25.569199999999999</v>
      </c>
      <c r="AE25" s="39">
        <f t="shared" si="2"/>
        <v>-168.4308</v>
      </c>
    </row>
    <row r="26" spans="1:31" x14ac:dyDescent="0.2">
      <c r="A26" s="52" t="s">
        <v>53</v>
      </c>
      <c r="B26" s="57">
        <f>B25+1</f>
        <v>25</v>
      </c>
      <c r="C26" s="57">
        <v>1</v>
      </c>
      <c r="D26" s="57">
        <v>2022</v>
      </c>
      <c r="E26" s="41">
        <f>Water!C27</f>
        <v>0</v>
      </c>
      <c r="F26" s="41">
        <f>Water!E27</f>
        <v>0</v>
      </c>
      <c r="G26" s="41">
        <f>Water!G27</f>
        <v>0</v>
      </c>
      <c r="H26" s="41">
        <f>Water!I27</f>
        <v>0</v>
      </c>
      <c r="I26" s="41">
        <f>ELECT.!F27</f>
        <v>0</v>
      </c>
      <c r="J26" s="41">
        <f>ELECT.!H27</f>
        <v>0</v>
      </c>
      <c r="K26" s="41">
        <f>ELECT.!K27</f>
        <v>0</v>
      </c>
      <c r="L26" s="41">
        <f>ELECT.!M27</f>
        <v>0</v>
      </c>
      <c r="M26" s="41">
        <f>ELECT.!O27</f>
        <v>0</v>
      </c>
      <c r="N26" s="41">
        <f>ELECT.!Q27</f>
        <v>0</v>
      </c>
      <c r="O26" s="41">
        <f>ELECT.!S27</f>
        <v>0</v>
      </c>
      <c r="P26" s="41">
        <f>ELECT.!W27*2</f>
        <v>0</v>
      </c>
      <c r="Q26" s="41">
        <f>ELECT.!D27</f>
        <v>0</v>
      </c>
      <c r="R26" s="42">
        <f>BTU!C27</f>
        <v>0</v>
      </c>
      <c r="S26" s="42">
        <f>BTU!F27</f>
        <v>0</v>
      </c>
      <c r="T26" s="42">
        <f>BTU!I27</f>
        <v>0</v>
      </c>
      <c r="U26" s="42">
        <f>BTU!O27</f>
        <v>0</v>
      </c>
      <c r="V26" s="42">
        <f>BTU!L27</f>
        <v>0</v>
      </c>
      <c r="W26" s="42">
        <f>BTU!R27</f>
        <v>0</v>
      </c>
      <c r="X26" s="39">
        <f>ELECT.!B27</f>
        <v>203</v>
      </c>
      <c r="Y26" s="39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9">
        <f t="shared" si="1"/>
        <v>-25.569199999999999</v>
      </c>
      <c r="AE26" s="39">
        <f t="shared" si="2"/>
        <v>-168.4308</v>
      </c>
    </row>
    <row r="27" spans="1:31" x14ac:dyDescent="0.2">
      <c r="A27" s="52" t="s">
        <v>53</v>
      </c>
      <c r="B27" s="57">
        <f t="shared" si="3"/>
        <v>26</v>
      </c>
      <c r="C27" s="57">
        <v>1</v>
      </c>
      <c r="D27" s="57">
        <v>2022</v>
      </c>
      <c r="E27" s="41">
        <f>Water!C28</f>
        <v>0</v>
      </c>
      <c r="F27" s="41">
        <f>Water!E28</f>
        <v>0</v>
      </c>
      <c r="G27" s="41">
        <f>Water!G28</f>
        <v>0</v>
      </c>
      <c r="H27" s="41">
        <f>Water!I28</f>
        <v>0</v>
      </c>
      <c r="I27" s="41">
        <f>ELECT.!F28</f>
        <v>0</v>
      </c>
      <c r="J27" s="41">
        <f>ELECT.!H28</f>
        <v>0</v>
      </c>
      <c r="K27" s="41">
        <f>ELECT.!K28</f>
        <v>0</v>
      </c>
      <c r="L27" s="41">
        <f>ELECT.!M28</f>
        <v>0</v>
      </c>
      <c r="M27" s="41">
        <f>ELECT.!O28</f>
        <v>0</v>
      </c>
      <c r="N27" s="41">
        <f>ELECT.!Q28</f>
        <v>0</v>
      </c>
      <c r="O27" s="41">
        <f>ELECT.!S28</f>
        <v>0</v>
      </c>
      <c r="P27" s="41">
        <f>ELECT.!W28*2</f>
        <v>0</v>
      </c>
      <c r="Q27" s="41">
        <f>ELECT.!D28</f>
        <v>0</v>
      </c>
      <c r="R27" s="42">
        <f>BTU!C28</f>
        <v>0</v>
      </c>
      <c r="S27" s="42">
        <f>BTU!F28</f>
        <v>0</v>
      </c>
      <c r="T27" s="42">
        <f>BTU!I28</f>
        <v>0</v>
      </c>
      <c r="U27" s="42">
        <f>BTU!O28</f>
        <v>0</v>
      </c>
      <c r="V27" s="42">
        <f>BTU!L28</f>
        <v>0</v>
      </c>
      <c r="W27" s="42">
        <f>BTU!R28</f>
        <v>0</v>
      </c>
      <c r="X27" s="39">
        <f>ELECT.!B28</f>
        <v>203</v>
      </c>
      <c r="Y27" s="39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9">
        <f t="shared" si="1"/>
        <v>-25.569199999999999</v>
      </c>
      <c r="AE27" s="39">
        <f t="shared" si="2"/>
        <v>-168.4308</v>
      </c>
    </row>
    <row r="28" spans="1:31" x14ac:dyDescent="0.2">
      <c r="A28" s="52" t="s">
        <v>53</v>
      </c>
      <c r="B28" s="57">
        <f t="shared" si="3"/>
        <v>27</v>
      </c>
      <c r="C28" s="57">
        <v>1</v>
      </c>
      <c r="D28" s="57">
        <v>2022</v>
      </c>
      <c r="E28" s="41">
        <f>Water!C29</f>
        <v>0</v>
      </c>
      <c r="F28" s="41">
        <f>Water!E29</f>
        <v>0</v>
      </c>
      <c r="G28" s="41">
        <f>Water!G29</f>
        <v>0</v>
      </c>
      <c r="H28" s="41">
        <f>Water!I29</f>
        <v>0</v>
      </c>
      <c r="I28" s="41">
        <f>ELECT.!F29</f>
        <v>0</v>
      </c>
      <c r="J28" s="41">
        <f>ELECT.!H29</f>
        <v>0</v>
      </c>
      <c r="K28" s="41">
        <f>ELECT.!K29</f>
        <v>0</v>
      </c>
      <c r="L28" s="41">
        <f>ELECT.!M29</f>
        <v>0</v>
      </c>
      <c r="M28" s="41">
        <f>ELECT.!O29</f>
        <v>0</v>
      </c>
      <c r="N28" s="41">
        <f>ELECT.!Q29</f>
        <v>0</v>
      </c>
      <c r="O28" s="41">
        <f>ELECT.!S29</f>
        <v>0</v>
      </c>
      <c r="P28" s="41">
        <f>ELECT.!W29*2</f>
        <v>0</v>
      </c>
      <c r="Q28" s="41">
        <f>ELECT.!D29</f>
        <v>0</v>
      </c>
      <c r="R28" s="42">
        <f>BTU!C29</f>
        <v>0</v>
      </c>
      <c r="S28" s="42">
        <f>BTU!F29</f>
        <v>0</v>
      </c>
      <c r="T28" s="42">
        <f>BTU!I29</f>
        <v>0</v>
      </c>
      <c r="U28" s="42">
        <f>BTU!O29</f>
        <v>0</v>
      </c>
      <c r="V28" s="42">
        <f>BTU!L29</f>
        <v>0</v>
      </c>
      <c r="W28" s="42">
        <f>BTU!R29</f>
        <v>0</v>
      </c>
      <c r="X28" s="39">
        <f>ELECT.!B29</f>
        <v>203</v>
      </c>
      <c r="Y28" s="39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9">
        <f t="shared" si="1"/>
        <v>-25.569199999999999</v>
      </c>
      <c r="AE28" s="39">
        <f t="shared" si="2"/>
        <v>-168.4308</v>
      </c>
    </row>
    <row r="29" spans="1:31" x14ac:dyDescent="0.2">
      <c r="A29" s="52" t="s">
        <v>53</v>
      </c>
      <c r="B29" s="57">
        <f t="shared" si="3"/>
        <v>28</v>
      </c>
      <c r="C29" s="57">
        <v>1</v>
      </c>
      <c r="D29" s="57">
        <v>2022</v>
      </c>
      <c r="E29" s="41">
        <f>Water!C30</f>
        <v>0</v>
      </c>
      <c r="F29" s="41">
        <f>Water!E30</f>
        <v>0</v>
      </c>
      <c r="G29" s="41">
        <f>Water!G30</f>
        <v>0</v>
      </c>
      <c r="H29" s="41">
        <f>Water!I30</f>
        <v>0</v>
      </c>
      <c r="I29" s="41">
        <f>ELECT.!F30</f>
        <v>0</v>
      </c>
      <c r="J29" s="41">
        <f>ELECT.!H30</f>
        <v>0</v>
      </c>
      <c r="K29" s="41">
        <f>ELECT.!K30</f>
        <v>0</v>
      </c>
      <c r="L29" s="41">
        <f>ELECT.!M30</f>
        <v>0</v>
      </c>
      <c r="M29" s="41">
        <f>ELECT.!O30</f>
        <v>0</v>
      </c>
      <c r="N29" s="41">
        <f>ELECT.!Q30</f>
        <v>0</v>
      </c>
      <c r="O29" s="41">
        <f>ELECT.!S30</f>
        <v>0</v>
      </c>
      <c r="P29" s="41">
        <f>ELECT.!W30*2</f>
        <v>0</v>
      </c>
      <c r="Q29" s="41">
        <f>ELECT.!D30</f>
        <v>0</v>
      </c>
      <c r="R29" s="42">
        <f>BTU!C30</f>
        <v>0</v>
      </c>
      <c r="S29" s="42">
        <f>BTU!F30</f>
        <v>0</v>
      </c>
      <c r="T29" s="42">
        <f>BTU!I30</f>
        <v>0</v>
      </c>
      <c r="U29" s="42">
        <f>BTU!O30</f>
        <v>0</v>
      </c>
      <c r="V29" s="42">
        <f>BTU!L30</f>
        <v>0</v>
      </c>
      <c r="W29" s="42">
        <f>BTU!R30</f>
        <v>0</v>
      </c>
      <c r="X29" s="39">
        <f>ELECT.!B30</f>
        <v>203</v>
      </c>
      <c r="Y29" s="39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9">
        <f t="shared" si="1"/>
        <v>-25.569199999999999</v>
      </c>
      <c r="AE29" s="39">
        <f t="shared" si="2"/>
        <v>-168.4308</v>
      </c>
    </row>
    <row r="30" spans="1:31" x14ac:dyDescent="0.2">
      <c r="A30" s="52" t="s">
        <v>53</v>
      </c>
      <c r="B30" s="57">
        <f t="shared" si="3"/>
        <v>29</v>
      </c>
      <c r="C30" s="57">
        <v>1</v>
      </c>
      <c r="D30" s="57">
        <v>2022</v>
      </c>
      <c r="E30" s="41">
        <f>Water!C31</f>
        <v>0</v>
      </c>
      <c r="F30" s="41">
        <f>Water!E31</f>
        <v>0</v>
      </c>
      <c r="G30" s="41">
        <f>Water!E31</f>
        <v>0</v>
      </c>
      <c r="H30" s="41">
        <f>Water!I31</f>
        <v>0</v>
      </c>
      <c r="I30" s="41">
        <f>Water!G31</f>
        <v>0</v>
      </c>
      <c r="J30" s="41">
        <f>ELECT.!H31</f>
        <v>0</v>
      </c>
      <c r="K30" s="41">
        <f>Water!I31</f>
        <v>0</v>
      </c>
      <c r="L30" s="41">
        <f>Water!J31</f>
        <v>0</v>
      </c>
      <c r="M30" s="41">
        <f>Water!K31</f>
        <v>0</v>
      </c>
      <c r="N30" s="41">
        <f>Water!L31</f>
        <v>0</v>
      </c>
      <c r="O30" s="41">
        <f>Water!M31</f>
        <v>0</v>
      </c>
      <c r="P30" s="41">
        <f>Water!N31</f>
        <v>0</v>
      </c>
      <c r="Q30" s="41">
        <f>Water!O31</f>
        <v>0</v>
      </c>
      <c r="R30" s="42">
        <f>BTU!C31</f>
        <v>0</v>
      </c>
      <c r="S30" s="42">
        <f>BTU!F31</f>
        <v>0</v>
      </c>
      <c r="T30" s="42">
        <f>BTU!I31</f>
        <v>0</v>
      </c>
      <c r="U30" s="42">
        <f>BTU!O31</f>
        <v>0</v>
      </c>
      <c r="V30" s="42">
        <f>BTU!L31</f>
        <v>0</v>
      </c>
      <c r="W30" s="42">
        <f>BTU!R31</f>
        <v>0</v>
      </c>
      <c r="X30" s="39">
        <f>ELECT.!B31</f>
        <v>203</v>
      </c>
      <c r="Y30" s="39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9">
        <f t="shared" si="1"/>
        <v>-25.569199999999999</v>
      </c>
      <c r="AE30" s="39">
        <f t="shared" si="2"/>
        <v>-168.4308</v>
      </c>
    </row>
    <row r="31" spans="1:31" x14ac:dyDescent="0.2">
      <c r="A31" s="52" t="s">
        <v>53</v>
      </c>
      <c r="B31" s="57">
        <f t="shared" si="3"/>
        <v>30</v>
      </c>
      <c r="C31" s="57">
        <v>1</v>
      </c>
      <c r="D31" s="57">
        <v>2022</v>
      </c>
      <c r="E31" s="41">
        <f>Water!C32</f>
        <v>0</v>
      </c>
      <c r="F31" s="41">
        <f>Water!E32</f>
        <v>0</v>
      </c>
      <c r="G31" s="41">
        <f>Water!E32</f>
        <v>0</v>
      </c>
      <c r="H31" s="41">
        <f>Water!I32</f>
        <v>0</v>
      </c>
      <c r="I31" s="41">
        <f>Water!G32</f>
        <v>0</v>
      </c>
      <c r="J31" s="41">
        <f>ELECT.!H32</f>
        <v>0</v>
      </c>
      <c r="K31" s="41">
        <f>Water!I32</f>
        <v>0</v>
      </c>
      <c r="L31" s="41">
        <f>Water!J32</f>
        <v>0</v>
      </c>
      <c r="M31" s="41">
        <f>Water!K32</f>
        <v>0</v>
      </c>
      <c r="N31" s="41">
        <f>Water!L32</f>
        <v>0</v>
      </c>
      <c r="O31" s="41">
        <f>Water!M32</f>
        <v>0</v>
      </c>
      <c r="P31" s="41">
        <f>Water!N32</f>
        <v>0</v>
      </c>
      <c r="Q31" s="41">
        <f>Water!O32</f>
        <v>0</v>
      </c>
      <c r="R31" s="42">
        <f>BTU!C32</f>
        <v>0</v>
      </c>
      <c r="S31" s="42">
        <f>BTU!F32</f>
        <v>0</v>
      </c>
      <c r="T31" s="42">
        <f>BTU!I32</f>
        <v>0</v>
      </c>
      <c r="U31" s="42">
        <f>BTU!O32</f>
        <v>0</v>
      </c>
      <c r="V31" s="42">
        <f>BTU!L32</f>
        <v>0</v>
      </c>
      <c r="W31" s="42">
        <f>BTU!R32</f>
        <v>0</v>
      </c>
      <c r="X31" s="39">
        <f>ELECT.!B32</f>
        <v>203</v>
      </c>
      <c r="Y31" s="39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9">
        <f t="shared" si="1"/>
        <v>-25.569199999999999</v>
      </c>
      <c r="AE31" s="39">
        <f t="shared" si="2"/>
        <v>-168.4308</v>
      </c>
    </row>
    <row r="32" spans="1:31" x14ac:dyDescent="0.2">
      <c r="A32" s="52" t="s">
        <v>53</v>
      </c>
      <c r="B32" s="57">
        <f t="shared" si="3"/>
        <v>31</v>
      </c>
      <c r="C32" s="57">
        <v>1</v>
      </c>
      <c r="D32" s="57">
        <v>2022</v>
      </c>
      <c r="E32" s="41">
        <f>Water!C33</f>
        <v>0</v>
      </c>
      <c r="F32" s="41">
        <f>Water!E33</f>
        <v>0</v>
      </c>
      <c r="G32" s="41">
        <f>Water!E33</f>
        <v>0</v>
      </c>
      <c r="H32" s="41">
        <f>Water!I33</f>
        <v>0</v>
      </c>
      <c r="I32" s="41">
        <f>Water!G33</f>
        <v>0</v>
      </c>
      <c r="J32" s="41">
        <f>ELECT.!H33</f>
        <v>0</v>
      </c>
      <c r="K32" s="41">
        <f>Water!I33</f>
        <v>0</v>
      </c>
      <c r="L32" s="41">
        <f>Water!J33</f>
        <v>0</v>
      </c>
      <c r="M32" s="41">
        <f>Water!K33</f>
        <v>0</v>
      </c>
      <c r="N32" s="41">
        <f>Water!L33</f>
        <v>0</v>
      </c>
      <c r="O32" s="41">
        <f>Water!M33</f>
        <v>0</v>
      </c>
      <c r="P32" s="41">
        <f>Water!N33</f>
        <v>0</v>
      </c>
      <c r="Q32" s="41">
        <f>Water!O33</f>
        <v>0</v>
      </c>
      <c r="R32" s="147">
        <f>BTU!C33</f>
        <v>0</v>
      </c>
      <c r="S32" s="147">
        <f>BTU!F33</f>
        <v>0</v>
      </c>
      <c r="T32" s="147">
        <f>BTU!I33</f>
        <v>0</v>
      </c>
      <c r="U32" s="147">
        <f>BTU!O33</f>
        <v>0</v>
      </c>
      <c r="V32" s="147">
        <f>BTU!L33</f>
        <v>0</v>
      </c>
      <c r="W32" s="147">
        <f>BTU!R33</f>
        <v>0</v>
      </c>
      <c r="X32" s="39">
        <f>ELECT.!B33</f>
        <v>203</v>
      </c>
      <c r="Y32" s="39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9">
        <f t="shared" ref="AD32" si="5">(E32-H32-194)*0.1318</f>
        <v>-25.569199999999999</v>
      </c>
      <c r="AE32" s="39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zoomScale="110" zoomScaleNormal="110" workbookViewId="0">
      <pane ySplit="1" topLeftCell="A2" activePane="bottomLeft" state="frozen"/>
      <selection pane="bottomLeft" activeCell="M38" sqref="M38"/>
    </sheetView>
  </sheetViews>
  <sheetFormatPr defaultRowHeight="12.75" x14ac:dyDescent="0.2"/>
  <cols>
    <col min="1" max="1" width="16.5703125" style="18" bestFit="1" customWidth="1"/>
    <col min="2" max="2" width="10.5703125" style="19" bestFit="1" customWidth="1"/>
    <col min="3" max="3" width="11.42578125" style="20" bestFit="1" customWidth="1"/>
    <col min="4" max="4" width="10.7109375" style="19" bestFit="1" customWidth="1"/>
    <col min="5" max="5" width="11.42578125" style="20" bestFit="1" customWidth="1"/>
    <col min="6" max="6" width="8.7109375" style="19" customWidth="1"/>
    <col min="7" max="7" width="9.7109375" style="20" bestFit="1" customWidth="1"/>
    <col min="8" max="8" width="10" style="19" bestFit="1" customWidth="1"/>
    <col min="9" max="9" width="9.7109375" style="20" bestFit="1" customWidth="1"/>
    <col min="10" max="10" width="9.28515625" style="19" bestFit="1" customWidth="1"/>
    <col min="11" max="11" width="11" style="20" bestFit="1" customWidth="1"/>
    <col min="12" max="12" width="8.7109375" style="19" bestFit="1" customWidth="1"/>
    <col min="13" max="13" width="14.140625" style="20" bestFit="1" customWidth="1"/>
    <col min="14" max="14" width="11.42578125" style="35" customWidth="1"/>
    <col min="15" max="15" width="11.42578125" style="20" customWidth="1"/>
    <col min="16" max="16" width="10" style="19" bestFit="1" customWidth="1"/>
    <col min="17" max="17" width="9.7109375" style="20" bestFit="1" customWidth="1"/>
    <col min="18" max="18" width="8.7109375" style="19" customWidth="1"/>
    <col min="19" max="19" width="11" style="20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6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44561</v>
      </c>
      <c r="B2" s="36">
        <v>46419</v>
      </c>
      <c r="C2" s="16">
        <v>0</v>
      </c>
      <c r="D2" s="36">
        <v>40169</v>
      </c>
      <c r="E2" s="16"/>
      <c r="F2" s="36">
        <v>21164</v>
      </c>
      <c r="G2" s="16"/>
      <c r="H2" s="36">
        <v>253097</v>
      </c>
      <c r="I2" s="16"/>
      <c r="J2" s="36">
        <v>303517</v>
      </c>
      <c r="K2" s="16">
        <v>0</v>
      </c>
      <c r="L2" s="36">
        <v>25728</v>
      </c>
      <c r="M2" s="16"/>
      <c r="N2" s="36">
        <v>218807</v>
      </c>
      <c r="O2" s="16"/>
      <c r="P2" s="36" t="str">
        <f t="shared" ref="P2" si="0">P1</f>
        <v>CIB. 1</v>
      </c>
      <c r="Q2" s="16"/>
      <c r="R2" s="1">
        <v>55047</v>
      </c>
      <c r="S2" s="16">
        <v>0</v>
      </c>
      <c r="T2" s="36">
        <v>3889</v>
      </c>
      <c r="U2" s="16"/>
    </row>
    <row r="3" spans="1:24" ht="13.5" thickBot="1" x14ac:dyDescent="0.25">
      <c r="A3" s="10">
        <v>44562</v>
      </c>
      <c r="B3" s="36">
        <v>46424</v>
      </c>
      <c r="C3" s="16">
        <f>(B3-B2)*800/5</f>
        <v>800</v>
      </c>
      <c r="D3" s="36">
        <v>40171</v>
      </c>
      <c r="E3" s="16">
        <f>(D3-D2)*800/5</f>
        <v>320</v>
      </c>
      <c r="F3" s="36">
        <v>21168</v>
      </c>
      <c r="G3" s="16">
        <f>(F3-F2)*100/5</f>
        <v>80</v>
      </c>
      <c r="H3" s="36">
        <v>253116</v>
      </c>
      <c r="I3" s="16">
        <f>(H3-H2)</f>
        <v>19</v>
      </c>
      <c r="J3" s="36">
        <v>303517</v>
      </c>
      <c r="K3" s="16">
        <v>0</v>
      </c>
      <c r="L3" s="36">
        <v>25730</v>
      </c>
      <c r="M3" s="16">
        <f>(L3-L2)*800/5</f>
        <v>320</v>
      </c>
      <c r="N3" s="36">
        <v>218890</v>
      </c>
      <c r="O3" s="16">
        <f>N3-N2</f>
        <v>83</v>
      </c>
      <c r="P3" s="36">
        <v>136382</v>
      </c>
      <c r="Q3" s="16">
        <v>140</v>
      </c>
      <c r="R3" s="1">
        <f>R2</f>
        <v>55047</v>
      </c>
      <c r="S3" s="16">
        <v>0</v>
      </c>
      <c r="T3" s="36">
        <v>3890</v>
      </c>
      <c r="U3" s="16">
        <f>(T3-T2)*800/5</f>
        <v>160</v>
      </c>
    </row>
    <row r="4" spans="1:24" ht="13.5" thickBot="1" x14ac:dyDescent="0.25">
      <c r="A4" s="10">
        <v>44563</v>
      </c>
      <c r="B4" s="36">
        <v>46429</v>
      </c>
      <c r="C4" s="16">
        <f t="shared" ref="C4:C33" si="1">(B4-B3)*800/5</f>
        <v>800</v>
      </c>
      <c r="D4" s="36">
        <v>40175</v>
      </c>
      <c r="E4" s="16">
        <f t="shared" ref="E4:E33" si="2">(D4-D3)*800/5</f>
        <v>640</v>
      </c>
      <c r="F4" s="36">
        <v>21173</v>
      </c>
      <c r="G4" s="16">
        <f t="shared" ref="G4:G33" si="3">(F4-F3)*100/5</f>
        <v>100</v>
      </c>
      <c r="H4" s="36">
        <v>253133</v>
      </c>
      <c r="I4" s="16">
        <f t="shared" ref="I4:I33" si="4">(H4-H3)</f>
        <v>17</v>
      </c>
      <c r="J4" s="36">
        <v>303517</v>
      </c>
      <c r="K4" s="16">
        <v>0</v>
      </c>
      <c r="L4" s="36">
        <v>25735</v>
      </c>
      <c r="M4" s="16">
        <f t="shared" ref="M4:M33" si="5">(L4-L3)*800/5</f>
        <v>800</v>
      </c>
      <c r="N4" s="36">
        <v>219009</v>
      </c>
      <c r="O4" s="16">
        <f t="shared" ref="O4:O33" si="6">N4-N3</f>
        <v>119</v>
      </c>
      <c r="P4" s="36">
        <v>136499</v>
      </c>
      <c r="Q4" s="16">
        <f t="shared" ref="Q4:Q33" si="7">P4-P3</f>
        <v>117</v>
      </c>
      <c r="R4" s="1">
        <f t="shared" ref="R4:R33" si="8">R3</f>
        <v>55047</v>
      </c>
      <c r="S4" s="16">
        <f t="shared" ref="S4:S31" si="9">R4-R3</f>
        <v>0</v>
      </c>
      <c r="T4" s="36">
        <v>3891</v>
      </c>
      <c r="U4" s="16">
        <f t="shared" ref="U4:U33" si="10">(T4-T3)*800/5</f>
        <v>160</v>
      </c>
    </row>
    <row r="5" spans="1:24" ht="13.5" thickBot="1" x14ac:dyDescent="0.25">
      <c r="A5" s="10">
        <v>44564</v>
      </c>
      <c r="B5" s="36">
        <v>46434</v>
      </c>
      <c r="C5" s="16">
        <f t="shared" si="1"/>
        <v>800</v>
      </c>
      <c r="D5" s="36">
        <v>40178</v>
      </c>
      <c r="E5" s="16">
        <f t="shared" si="2"/>
        <v>480</v>
      </c>
      <c r="F5" s="36">
        <v>21176</v>
      </c>
      <c r="G5" s="16">
        <f t="shared" si="3"/>
        <v>60</v>
      </c>
      <c r="H5" s="36">
        <v>253152</v>
      </c>
      <c r="I5" s="16">
        <f t="shared" si="4"/>
        <v>19</v>
      </c>
      <c r="J5" s="36">
        <f>J4</f>
        <v>303517</v>
      </c>
      <c r="K5" s="16">
        <v>0</v>
      </c>
      <c r="L5" s="36">
        <v>25737</v>
      </c>
      <c r="M5" s="16">
        <f t="shared" si="5"/>
        <v>320</v>
      </c>
      <c r="N5" s="36">
        <v>219131</v>
      </c>
      <c r="O5" s="16">
        <f t="shared" si="6"/>
        <v>122</v>
      </c>
      <c r="P5" s="36">
        <v>136667</v>
      </c>
      <c r="Q5" s="16">
        <f t="shared" si="7"/>
        <v>168</v>
      </c>
      <c r="R5" s="1">
        <f t="shared" si="8"/>
        <v>55047</v>
      </c>
      <c r="S5" s="16">
        <f t="shared" si="9"/>
        <v>0</v>
      </c>
      <c r="T5" s="36">
        <v>3893</v>
      </c>
      <c r="U5" s="16">
        <f t="shared" si="10"/>
        <v>320</v>
      </c>
    </row>
    <row r="6" spans="1:24" ht="13.5" thickBot="1" x14ac:dyDescent="0.25">
      <c r="A6" s="10">
        <v>44565</v>
      </c>
      <c r="B6" s="36">
        <v>46438</v>
      </c>
      <c r="C6" s="16">
        <f t="shared" si="1"/>
        <v>640</v>
      </c>
      <c r="D6" s="36">
        <v>40181</v>
      </c>
      <c r="E6" s="16">
        <f t="shared" si="2"/>
        <v>480</v>
      </c>
      <c r="F6" s="36">
        <v>21179</v>
      </c>
      <c r="G6" s="16">
        <f t="shared" si="3"/>
        <v>60</v>
      </c>
      <c r="H6" s="36">
        <v>253168</v>
      </c>
      <c r="I6" s="16">
        <f t="shared" si="4"/>
        <v>16</v>
      </c>
      <c r="J6" s="36">
        <v>303517</v>
      </c>
      <c r="K6" s="16">
        <v>0</v>
      </c>
      <c r="L6" s="36">
        <v>25740</v>
      </c>
      <c r="M6" s="16">
        <f t="shared" si="5"/>
        <v>480</v>
      </c>
      <c r="N6" s="36">
        <v>219261</v>
      </c>
      <c r="O6" s="16">
        <f t="shared" si="6"/>
        <v>130</v>
      </c>
      <c r="P6" s="36">
        <f t="shared" ref="P6:P33" si="11">P5</f>
        <v>136667</v>
      </c>
      <c r="Q6" s="16">
        <f t="shared" si="7"/>
        <v>0</v>
      </c>
      <c r="R6" s="1">
        <f t="shared" si="8"/>
        <v>55047</v>
      </c>
      <c r="S6" s="16">
        <v>0</v>
      </c>
      <c r="T6" s="36">
        <v>3894</v>
      </c>
      <c r="U6" s="16">
        <f t="shared" si="10"/>
        <v>160</v>
      </c>
    </row>
    <row r="7" spans="1:24" ht="13.5" thickBot="1" x14ac:dyDescent="0.25">
      <c r="A7" s="10">
        <v>44566</v>
      </c>
      <c r="B7" s="36">
        <v>46443</v>
      </c>
      <c r="C7" s="16">
        <f t="shared" si="1"/>
        <v>800</v>
      </c>
      <c r="D7" s="36">
        <v>40183</v>
      </c>
      <c r="E7" s="16">
        <f t="shared" si="2"/>
        <v>320</v>
      </c>
      <c r="F7" s="36">
        <v>21183</v>
      </c>
      <c r="G7" s="16">
        <f t="shared" si="3"/>
        <v>80</v>
      </c>
      <c r="H7" s="36">
        <v>253184</v>
      </c>
      <c r="I7" s="16">
        <f t="shared" si="4"/>
        <v>16</v>
      </c>
      <c r="J7" s="36">
        <v>303517</v>
      </c>
      <c r="K7" s="16">
        <v>0</v>
      </c>
      <c r="L7" s="36">
        <v>25743</v>
      </c>
      <c r="M7" s="16">
        <f t="shared" si="5"/>
        <v>480</v>
      </c>
      <c r="N7" s="36">
        <v>219378</v>
      </c>
      <c r="O7" s="16">
        <f t="shared" si="6"/>
        <v>117</v>
      </c>
      <c r="P7" s="36">
        <f t="shared" si="11"/>
        <v>136667</v>
      </c>
      <c r="Q7" s="16">
        <v>0</v>
      </c>
      <c r="R7" s="1">
        <f t="shared" si="8"/>
        <v>55047</v>
      </c>
      <c r="S7" s="16">
        <v>0</v>
      </c>
      <c r="T7" s="36">
        <v>3895</v>
      </c>
      <c r="U7" s="16">
        <f t="shared" si="10"/>
        <v>160</v>
      </c>
    </row>
    <row r="8" spans="1:24" ht="13.5" thickBot="1" x14ac:dyDescent="0.25">
      <c r="A8" s="10">
        <v>44567</v>
      </c>
      <c r="B8" s="36">
        <v>46448</v>
      </c>
      <c r="C8" s="16">
        <f t="shared" si="1"/>
        <v>800</v>
      </c>
      <c r="D8" s="36">
        <v>40186</v>
      </c>
      <c r="E8" s="16">
        <f t="shared" si="2"/>
        <v>480</v>
      </c>
      <c r="F8" s="36">
        <v>21186</v>
      </c>
      <c r="G8" s="16">
        <f t="shared" si="3"/>
        <v>60</v>
      </c>
      <c r="H8" s="36">
        <v>253201</v>
      </c>
      <c r="I8" s="16">
        <f t="shared" si="4"/>
        <v>17</v>
      </c>
      <c r="J8" s="36">
        <v>303517</v>
      </c>
      <c r="K8" s="16">
        <v>0</v>
      </c>
      <c r="L8" s="36">
        <v>25745</v>
      </c>
      <c r="M8" s="16">
        <f t="shared" si="5"/>
        <v>320</v>
      </c>
      <c r="N8" s="36">
        <v>219461</v>
      </c>
      <c r="O8" s="16">
        <f t="shared" si="6"/>
        <v>83</v>
      </c>
      <c r="P8" s="36">
        <f t="shared" si="11"/>
        <v>136667</v>
      </c>
      <c r="Q8" s="16">
        <f t="shared" si="7"/>
        <v>0</v>
      </c>
      <c r="R8" s="1">
        <v>55047</v>
      </c>
      <c r="S8" s="16">
        <f>R8-R7</f>
        <v>0</v>
      </c>
      <c r="T8" s="36">
        <v>3896</v>
      </c>
      <c r="U8" s="16">
        <f t="shared" si="10"/>
        <v>160</v>
      </c>
    </row>
    <row r="9" spans="1:24" ht="13.5" thickBot="1" x14ac:dyDescent="0.25">
      <c r="A9" s="10">
        <v>44568</v>
      </c>
      <c r="B9" s="36">
        <v>46452</v>
      </c>
      <c r="C9" s="16">
        <f t="shared" si="1"/>
        <v>640</v>
      </c>
      <c r="D9" s="36">
        <v>40188</v>
      </c>
      <c r="E9" s="16">
        <f t="shared" si="2"/>
        <v>320</v>
      </c>
      <c r="F9" s="36">
        <v>21189</v>
      </c>
      <c r="G9" s="16">
        <f t="shared" si="3"/>
        <v>60</v>
      </c>
      <c r="H9" s="36">
        <v>253216</v>
      </c>
      <c r="I9" s="16">
        <f t="shared" si="4"/>
        <v>15</v>
      </c>
      <c r="J9" s="36">
        <v>303517</v>
      </c>
      <c r="K9" s="16">
        <v>0</v>
      </c>
      <c r="L9" s="36">
        <v>25747</v>
      </c>
      <c r="M9" s="16">
        <f t="shared" si="5"/>
        <v>320</v>
      </c>
      <c r="N9" s="36">
        <v>219534</v>
      </c>
      <c r="O9" s="16">
        <f t="shared" si="6"/>
        <v>73</v>
      </c>
      <c r="P9" s="36">
        <f t="shared" si="11"/>
        <v>136667</v>
      </c>
      <c r="Q9" s="16">
        <f>P9-P8</f>
        <v>0</v>
      </c>
      <c r="R9" s="1">
        <f t="shared" si="8"/>
        <v>55047</v>
      </c>
      <c r="S9" s="16">
        <f>R9-R8</f>
        <v>0</v>
      </c>
      <c r="T9" s="36">
        <v>3897</v>
      </c>
      <c r="U9" s="16">
        <f t="shared" si="10"/>
        <v>160</v>
      </c>
    </row>
    <row r="10" spans="1:24" ht="13.5" thickBot="1" x14ac:dyDescent="0.25">
      <c r="A10" s="10">
        <v>44569</v>
      </c>
      <c r="B10" s="36">
        <v>46457</v>
      </c>
      <c r="C10" s="16">
        <f t="shared" si="1"/>
        <v>800</v>
      </c>
      <c r="D10" s="36">
        <v>40191</v>
      </c>
      <c r="E10" s="16">
        <f t="shared" si="2"/>
        <v>480</v>
      </c>
      <c r="F10" s="36">
        <v>21192</v>
      </c>
      <c r="G10" s="16">
        <f t="shared" si="3"/>
        <v>60</v>
      </c>
      <c r="H10" s="36">
        <v>253227</v>
      </c>
      <c r="I10" s="16">
        <f t="shared" si="4"/>
        <v>11</v>
      </c>
      <c r="J10" s="36">
        <f t="shared" ref="J10:J32" si="12">J9</f>
        <v>303517</v>
      </c>
      <c r="K10" s="16">
        <v>0</v>
      </c>
      <c r="L10" s="36">
        <v>25749</v>
      </c>
      <c r="M10" s="16">
        <f t="shared" si="5"/>
        <v>320</v>
      </c>
      <c r="N10" s="36">
        <v>219627</v>
      </c>
      <c r="O10" s="16">
        <f t="shared" si="6"/>
        <v>93</v>
      </c>
      <c r="P10" s="36">
        <v>137052</v>
      </c>
      <c r="Q10" s="16">
        <f>P10-P9</f>
        <v>385</v>
      </c>
      <c r="R10" s="1">
        <f t="shared" si="8"/>
        <v>55047</v>
      </c>
      <c r="S10" s="16">
        <f>R10-R9</f>
        <v>0</v>
      </c>
      <c r="T10" s="36">
        <v>3898</v>
      </c>
      <c r="U10" s="16">
        <f t="shared" si="10"/>
        <v>160</v>
      </c>
    </row>
    <row r="11" spans="1:24" ht="13.5" thickBot="1" x14ac:dyDescent="0.25">
      <c r="A11" s="10">
        <v>44570</v>
      </c>
      <c r="B11" s="36">
        <v>46461</v>
      </c>
      <c r="C11" s="16">
        <f t="shared" si="1"/>
        <v>640</v>
      </c>
      <c r="D11" s="36">
        <v>40194</v>
      </c>
      <c r="E11" s="16">
        <f t="shared" si="2"/>
        <v>480</v>
      </c>
      <c r="F11" s="36">
        <v>21195</v>
      </c>
      <c r="G11" s="16">
        <f t="shared" si="3"/>
        <v>60</v>
      </c>
      <c r="H11" s="36">
        <v>253239</v>
      </c>
      <c r="I11" s="16">
        <f t="shared" si="4"/>
        <v>12</v>
      </c>
      <c r="J11" s="36">
        <f t="shared" si="12"/>
        <v>303517</v>
      </c>
      <c r="K11" s="16">
        <v>0</v>
      </c>
      <c r="L11" s="36">
        <v>25751</v>
      </c>
      <c r="M11" s="16">
        <f t="shared" si="5"/>
        <v>320</v>
      </c>
      <c r="N11" s="36">
        <v>219706</v>
      </c>
      <c r="O11" s="16">
        <f t="shared" si="6"/>
        <v>79</v>
      </c>
      <c r="P11" s="36">
        <v>137281</v>
      </c>
      <c r="Q11" s="16">
        <f t="shared" si="7"/>
        <v>229</v>
      </c>
      <c r="R11" s="1">
        <f t="shared" si="8"/>
        <v>55047</v>
      </c>
      <c r="S11" s="16">
        <f t="shared" si="9"/>
        <v>0</v>
      </c>
      <c r="T11" s="36">
        <v>3899</v>
      </c>
      <c r="U11" s="16">
        <f t="shared" si="10"/>
        <v>160</v>
      </c>
    </row>
    <row r="12" spans="1:24" ht="13.5" thickBot="1" x14ac:dyDescent="0.25">
      <c r="A12" s="10">
        <v>44571</v>
      </c>
      <c r="B12" s="36">
        <v>46466</v>
      </c>
      <c r="C12" s="16">
        <f t="shared" si="1"/>
        <v>800</v>
      </c>
      <c r="D12" s="36">
        <v>40196</v>
      </c>
      <c r="E12" s="16">
        <f t="shared" si="2"/>
        <v>320</v>
      </c>
      <c r="F12" s="36">
        <v>21200</v>
      </c>
      <c r="G12" s="16">
        <f t="shared" si="3"/>
        <v>100</v>
      </c>
      <c r="H12" s="36">
        <v>253261</v>
      </c>
      <c r="I12" s="16">
        <f t="shared" si="4"/>
        <v>22</v>
      </c>
      <c r="J12" s="36">
        <f t="shared" si="12"/>
        <v>303517</v>
      </c>
      <c r="K12" s="16">
        <v>0</v>
      </c>
      <c r="L12" s="36">
        <v>25756</v>
      </c>
      <c r="M12" s="16">
        <f t="shared" si="5"/>
        <v>800</v>
      </c>
      <c r="N12" s="36">
        <v>219868</v>
      </c>
      <c r="O12" s="16">
        <f t="shared" si="6"/>
        <v>162</v>
      </c>
      <c r="P12" s="36">
        <v>137350</v>
      </c>
      <c r="Q12" s="16">
        <f t="shared" si="7"/>
        <v>69</v>
      </c>
      <c r="R12" s="1">
        <f t="shared" si="8"/>
        <v>55047</v>
      </c>
      <c r="S12" s="16">
        <f t="shared" si="9"/>
        <v>0</v>
      </c>
      <c r="T12" s="36">
        <v>3900</v>
      </c>
      <c r="U12" s="16">
        <f t="shared" si="10"/>
        <v>160</v>
      </c>
    </row>
    <row r="13" spans="1:24" ht="13.5" thickBot="1" x14ac:dyDescent="0.25">
      <c r="A13" s="10">
        <v>44572</v>
      </c>
      <c r="B13" s="36">
        <v>46471</v>
      </c>
      <c r="C13" s="16">
        <f t="shared" si="1"/>
        <v>800</v>
      </c>
      <c r="D13" s="36">
        <v>40199</v>
      </c>
      <c r="E13" s="16">
        <f t="shared" si="2"/>
        <v>480</v>
      </c>
      <c r="F13" s="36">
        <v>21202</v>
      </c>
      <c r="G13" s="16">
        <f t="shared" si="3"/>
        <v>40</v>
      </c>
      <c r="H13" s="36">
        <v>253281</v>
      </c>
      <c r="I13" s="16">
        <f t="shared" si="4"/>
        <v>20</v>
      </c>
      <c r="J13" s="36">
        <v>303517</v>
      </c>
      <c r="K13" s="16">
        <v>0</v>
      </c>
      <c r="L13" s="36">
        <v>25760</v>
      </c>
      <c r="M13" s="16">
        <f t="shared" si="5"/>
        <v>640</v>
      </c>
      <c r="N13" s="36">
        <v>219982</v>
      </c>
      <c r="O13" s="16">
        <f t="shared" si="6"/>
        <v>114</v>
      </c>
      <c r="P13" s="36">
        <v>137477</v>
      </c>
      <c r="Q13" s="16">
        <f t="shared" si="7"/>
        <v>127</v>
      </c>
      <c r="R13" s="1">
        <v>55047</v>
      </c>
      <c r="S13" s="16">
        <f t="shared" si="9"/>
        <v>0</v>
      </c>
      <c r="T13" s="36">
        <v>3901</v>
      </c>
      <c r="U13" s="16">
        <f t="shared" si="10"/>
        <v>160</v>
      </c>
    </row>
    <row r="14" spans="1:24" ht="13.5" thickBot="1" x14ac:dyDescent="0.25">
      <c r="A14" s="10">
        <v>44573</v>
      </c>
      <c r="B14" s="36">
        <f t="shared" ref="B13:B33" si="13">B13</f>
        <v>46471</v>
      </c>
      <c r="C14" s="16">
        <f t="shared" si="1"/>
        <v>0</v>
      </c>
      <c r="D14" s="36">
        <f t="shared" ref="D13:D33" si="14">D13</f>
        <v>40199</v>
      </c>
      <c r="E14" s="16">
        <f t="shared" si="2"/>
        <v>0</v>
      </c>
      <c r="F14" s="36">
        <f t="shared" ref="F13:F33" si="15">F13</f>
        <v>21202</v>
      </c>
      <c r="G14" s="16">
        <f t="shared" si="3"/>
        <v>0</v>
      </c>
      <c r="H14" s="36">
        <f t="shared" ref="H13:H33" si="16">H13</f>
        <v>253281</v>
      </c>
      <c r="I14" s="16">
        <f t="shared" si="4"/>
        <v>0</v>
      </c>
      <c r="J14" s="36">
        <f t="shared" si="12"/>
        <v>303517</v>
      </c>
      <c r="K14" s="16">
        <v>0</v>
      </c>
      <c r="L14" s="36">
        <f t="shared" ref="L13:L33" si="17">L13</f>
        <v>25760</v>
      </c>
      <c r="M14" s="16">
        <f t="shared" si="5"/>
        <v>0</v>
      </c>
      <c r="N14" s="36">
        <f t="shared" ref="N13:N33" si="18">N13</f>
        <v>219982</v>
      </c>
      <c r="O14" s="16">
        <f t="shared" si="6"/>
        <v>0</v>
      </c>
      <c r="P14" s="36">
        <f t="shared" si="11"/>
        <v>137477</v>
      </c>
      <c r="Q14" s="16">
        <f t="shared" si="7"/>
        <v>0</v>
      </c>
      <c r="R14" s="1">
        <f t="shared" si="8"/>
        <v>55047</v>
      </c>
      <c r="S14" s="16">
        <v>0</v>
      </c>
      <c r="T14" s="36">
        <f t="shared" ref="T13:T33" si="19">T13</f>
        <v>3901</v>
      </c>
      <c r="U14" s="16">
        <f t="shared" si="10"/>
        <v>0</v>
      </c>
    </row>
    <row r="15" spans="1:24" ht="13.5" thickBot="1" x14ac:dyDescent="0.25">
      <c r="A15" s="10">
        <v>44574</v>
      </c>
      <c r="B15" s="36">
        <f t="shared" si="13"/>
        <v>46471</v>
      </c>
      <c r="C15" s="16">
        <f t="shared" si="1"/>
        <v>0</v>
      </c>
      <c r="D15" s="36">
        <f t="shared" si="14"/>
        <v>40199</v>
      </c>
      <c r="E15" s="16">
        <f t="shared" si="2"/>
        <v>0</v>
      </c>
      <c r="F15" s="36">
        <f t="shared" si="15"/>
        <v>21202</v>
      </c>
      <c r="G15" s="16">
        <f t="shared" ref="G15" si="20">(F15-F14)*100/5</f>
        <v>0</v>
      </c>
      <c r="H15" s="36">
        <f t="shared" si="16"/>
        <v>253281</v>
      </c>
      <c r="I15" s="16">
        <f t="shared" ref="I15" si="21">(H15-H14)</f>
        <v>0</v>
      </c>
      <c r="J15" s="36">
        <f t="shared" si="12"/>
        <v>303517</v>
      </c>
      <c r="K15" s="16">
        <v>0</v>
      </c>
      <c r="L15" s="36">
        <f t="shared" si="17"/>
        <v>25760</v>
      </c>
      <c r="M15" s="16">
        <f t="shared" ref="M15" si="22">(L15-L14)*800/5</f>
        <v>0</v>
      </c>
      <c r="N15" s="36">
        <f t="shared" si="18"/>
        <v>219982</v>
      </c>
      <c r="O15" s="16">
        <f t="shared" ref="O15" si="23">N15-N14</f>
        <v>0</v>
      </c>
      <c r="P15" s="36">
        <f t="shared" si="11"/>
        <v>137477</v>
      </c>
      <c r="Q15" s="16">
        <f t="shared" ref="Q15" si="24">P15-P14</f>
        <v>0</v>
      </c>
      <c r="R15" s="1">
        <f t="shared" si="8"/>
        <v>55047</v>
      </c>
      <c r="S15" s="16">
        <v>0</v>
      </c>
      <c r="T15" s="36">
        <f t="shared" si="19"/>
        <v>3901</v>
      </c>
      <c r="U15" s="16">
        <f t="shared" ref="U15" si="25">(T15-T14)*800/5</f>
        <v>0</v>
      </c>
      <c r="X15" t="s">
        <v>12</v>
      </c>
    </row>
    <row r="16" spans="1:24" ht="13.5" thickBot="1" x14ac:dyDescent="0.25">
      <c r="A16" s="10">
        <v>44575</v>
      </c>
      <c r="B16" s="36">
        <f t="shared" si="13"/>
        <v>46471</v>
      </c>
      <c r="C16" s="16">
        <f t="shared" si="1"/>
        <v>0</v>
      </c>
      <c r="D16" s="36">
        <f t="shared" si="14"/>
        <v>40199</v>
      </c>
      <c r="E16" s="16">
        <f t="shared" si="2"/>
        <v>0</v>
      </c>
      <c r="F16" s="36">
        <f t="shared" si="15"/>
        <v>21202</v>
      </c>
      <c r="G16" s="16">
        <f t="shared" si="3"/>
        <v>0</v>
      </c>
      <c r="H16" s="36">
        <f t="shared" si="16"/>
        <v>253281</v>
      </c>
      <c r="I16" s="16">
        <f t="shared" si="4"/>
        <v>0</v>
      </c>
      <c r="J16" s="36">
        <f t="shared" si="12"/>
        <v>303517</v>
      </c>
      <c r="K16" s="16">
        <v>0</v>
      </c>
      <c r="L16" s="36">
        <f t="shared" si="17"/>
        <v>25760</v>
      </c>
      <c r="M16" s="16">
        <f t="shared" si="5"/>
        <v>0</v>
      </c>
      <c r="N16" s="36">
        <f t="shared" si="18"/>
        <v>219982</v>
      </c>
      <c r="O16" s="16">
        <f t="shared" si="6"/>
        <v>0</v>
      </c>
      <c r="P16" s="36">
        <f t="shared" si="11"/>
        <v>137477</v>
      </c>
      <c r="Q16" s="16">
        <f t="shared" si="7"/>
        <v>0</v>
      </c>
      <c r="R16" s="1">
        <f t="shared" si="8"/>
        <v>55047</v>
      </c>
      <c r="S16" s="16">
        <f t="shared" si="9"/>
        <v>0</v>
      </c>
      <c r="T16" s="36">
        <f t="shared" si="19"/>
        <v>3901</v>
      </c>
      <c r="U16" s="16">
        <f t="shared" si="10"/>
        <v>0</v>
      </c>
      <c r="W16" t="s">
        <v>12</v>
      </c>
    </row>
    <row r="17" spans="1:23" ht="13.5" thickBot="1" x14ac:dyDescent="0.25">
      <c r="A17" s="10">
        <v>44576</v>
      </c>
      <c r="B17" s="36">
        <f t="shared" si="13"/>
        <v>46471</v>
      </c>
      <c r="C17" s="16">
        <f t="shared" si="1"/>
        <v>0</v>
      </c>
      <c r="D17" s="36">
        <f t="shared" si="14"/>
        <v>40199</v>
      </c>
      <c r="E17" s="16">
        <f t="shared" si="2"/>
        <v>0</v>
      </c>
      <c r="F17" s="36">
        <f t="shared" si="15"/>
        <v>21202</v>
      </c>
      <c r="G17" s="16">
        <f t="shared" si="3"/>
        <v>0</v>
      </c>
      <c r="H17" s="36">
        <f t="shared" si="16"/>
        <v>253281</v>
      </c>
      <c r="I17" s="16">
        <f t="shared" si="4"/>
        <v>0</v>
      </c>
      <c r="J17" s="36">
        <f t="shared" si="12"/>
        <v>303517</v>
      </c>
      <c r="K17" s="16">
        <v>0</v>
      </c>
      <c r="L17" s="36">
        <f t="shared" si="17"/>
        <v>25760</v>
      </c>
      <c r="M17" s="16">
        <f t="shared" si="5"/>
        <v>0</v>
      </c>
      <c r="N17" s="36">
        <f t="shared" si="18"/>
        <v>219982</v>
      </c>
      <c r="O17" s="16">
        <f t="shared" si="6"/>
        <v>0</v>
      </c>
      <c r="P17" s="36">
        <f t="shared" si="11"/>
        <v>137477</v>
      </c>
      <c r="Q17" s="16">
        <f t="shared" si="7"/>
        <v>0</v>
      </c>
      <c r="R17" s="1">
        <f t="shared" si="8"/>
        <v>55047</v>
      </c>
      <c r="S17" s="16">
        <f>S16</f>
        <v>0</v>
      </c>
      <c r="T17" s="36">
        <f t="shared" si="19"/>
        <v>3901</v>
      </c>
      <c r="U17" s="16">
        <f t="shared" si="10"/>
        <v>0</v>
      </c>
    </row>
    <row r="18" spans="1:23" ht="13.5" thickBot="1" x14ac:dyDescent="0.25">
      <c r="A18" s="10">
        <v>44577</v>
      </c>
      <c r="B18" s="36">
        <f t="shared" si="13"/>
        <v>46471</v>
      </c>
      <c r="C18" s="16">
        <f t="shared" si="1"/>
        <v>0</v>
      </c>
      <c r="D18" s="36">
        <f t="shared" si="14"/>
        <v>40199</v>
      </c>
      <c r="E18" s="16">
        <f t="shared" si="2"/>
        <v>0</v>
      </c>
      <c r="F18" s="36">
        <f t="shared" si="15"/>
        <v>21202</v>
      </c>
      <c r="G18" s="16">
        <f t="shared" si="3"/>
        <v>0</v>
      </c>
      <c r="H18" s="36">
        <f t="shared" si="16"/>
        <v>253281</v>
      </c>
      <c r="I18" s="16">
        <f t="shared" si="4"/>
        <v>0</v>
      </c>
      <c r="J18" s="36">
        <f t="shared" si="12"/>
        <v>303517</v>
      </c>
      <c r="K18" s="16">
        <v>0</v>
      </c>
      <c r="L18" s="36">
        <f t="shared" si="17"/>
        <v>25760</v>
      </c>
      <c r="M18" s="16">
        <f t="shared" si="5"/>
        <v>0</v>
      </c>
      <c r="N18" s="36">
        <f t="shared" si="18"/>
        <v>219982</v>
      </c>
      <c r="O18" s="16">
        <f t="shared" si="6"/>
        <v>0</v>
      </c>
      <c r="P18" s="36">
        <f t="shared" si="11"/>
        <v>137477</v>
      </c>
      <c r="Q18" s="16">
        <f t="shared" si="7"/>
        <v>0</v>
      </c>
      <c r="R18" s="1">
        <f t="shared" si="8"/>
        <v>55047</v>
      </c>
      <c r="S18" s="16">
        <f t="shared" si="9"/>
        <v>0</v>
      </c>
      <c r="T18" s="36">
        <f t="shared" si="19"/>
        <v>3901</v>
      </c>
      <c r="U18" s="16">
        <f t="shared" si="10"/>
        <v>0</v>
      </c>
    </row>
    <row r="19" spans="1:23" ht="13.5" thickBot="1" x14ac:dyDescent="0.25">
      <c r="A19" s="10">
        <v>44578</v>
      </c>
      <c r="B19" s="36">
        <f t="shared" si="13"/>
        <v>46471</v>
      </c>
      <c r="C19" s="16">
        <f t="shared" si="1"/>
        <v>0</v>
      </c>
      <c r="D19" s="36">
        <f t="shared" si="14"/>
        <v>40199</v>
      </c>
      <c r="E19" s="16">
        <f t="shared" si="2"/>
        <v>0</v>
      </c>
      <c r="F19" s="36">
        <f t="shared" si="15"/>
        <v>21202</v>
      </c>
      <c r="G19" s="16">
        <f t="shared" si="3"/>
        <v>0</v>
      </c>
      <c r="H19" s="36">
        <f t="shared" si="16"/>
        <v>253281</v>
      </c>
      <c r="I19" s="16">
        <f t="shared" si="4"/>
        <v>0</v>
      </c>
      <c r="J19" s="36">
        <f t="shared" si="12"/>
        <v>303517</v>
      </c>
      <c r="K19" s="16">
        <v>0</v>
      </c>
      <c r="L19" s="36">
        <f t="shared" si="17"/>
        <v>25760</v>
      </c>
      <c r="M19" s="16">
        <f t="shared" si="5"/>
        <v>0</v>
      </c>
      <c r="N19" s="36">
        <f t="shared" si="18"/>
        <v>219982</v>
      </c>
      <c r="O19" s="16">
        <f t="shared" si="6"/>
        <v>0</v>
      </c>
      <c r="P19" s="36">
        <f t="shared" si="11"/>
        <v>137477</v>
      </c>
      <c r="Q19" s="16">
        <f t="shared" si="7"/>
        <v>0</v>
      </c>
      <c r="R19" s="1">
        <f t="shared" si="8"/>
        <v>55047</v>
      </c>
      <c r="S19" s="16">
        <f t="shared" si="9"/>
        <v>0</v>
      </c>
      <c r="T19" s="36">
        <f t="shared" si="19"/>
        <v>3901</v>
      </c>
      <c r="U19" s="16">
        <f t="shared" si="10"/>
        <v>0</v>
      </c>
      <c r="W19" t="s">
        <v>12</v>
      </c>
    </row>
    <row r="20" spans="1:23" ht="13.5" thickBot="1" x14ac:dyDescent="0.25">
      <c r="A20" s="10">
        <v>44579</v>
      </c>
      <c r="B20" s="36">
        <f t="shared" si="13"/>
        <v>46471</v>
      </c>
      <c r="C20" s="16">
        <f t="shared" si="1"/>
        <v>0</v>
      </c>
      <c r="D20" s="36">
        <f t="shared" si="14"/>
        <v>40199</v>
      </c>
      <c r="E20" s="16">
        <f t="shared" si="2"/>
        <v>0</v>
      </c>
      <c r="F20" s="36">
        <f t="shared" si="15"/>
        <v>21202</v>
      </c>
      <c r="G20" s="16">
        <f t="shared" si="3"/>
        <v>0</v>
      </c>
      <c r="H20" s="36">
        <f t="shared" si="16"/>
        <v>253281</v>
      </c>
      <c r="I20" s="16">
        <f t="shared" si="4"/>
        <v>0</v>
      </c>
      <c r="J20" s="36">
        <f t="shared" si="12"/>
        <v>303517</v>
      </c>
      <c r="K20" s="16">
        <v>0</v>
      </c>
      <c r="L20" s="36">
        <f t="shared" si="17"/>
        <v>25760</v>
      </c>
      <c r="M20" s="16">
        <f t="shared" si="5"/>
        <v>0</v>
      </c>
      <c r="N20" s="36">
        <f t="shared" si="18"/>
        <v>219982</v>
      </c>
      <c r="O20" s="16">
        <f t="shared" si="6"/>
        <v>0</v>
      </c>
      <c r="P20" s="36">
        <f t="shared" si="11"/>
        <v>137477</v>
      </c>
      <c r="Q20" s="16">
        <f>P20-P19</f>
        <v>0</v>
      </c>
      <c r="R20" s="1">
        <f t="shared" si="8"/>
        <v>55047</v>
      </c>
      <c r="S20" s="16">
        <f t="shared" si="9"/>
        <v>0</v>
      </c>
      <c r="T20" s="36">
        <f t="shared" si="19"/>
        <v>3901</v>
      </c>
      <c r="U20" s="16">
        <f t="shared" si="10"/>
        <v>0</v>
      </c>
    </row>
    <row r="21" spans="1:23" ht="13.5" thickBot="1" x14ac:dyDescent="0.25">
      <c r="A21" s="10">
        <v>44580</v>
      </c>
      <c r="B21" s="36">
        <f t="shared" si="13"/>
        <v>46471</v>
      </c>
      <c r="C21" s="16">
        <f t="shared" si="1"/>
        <v>0</v>
      </c>
      <c r="D21" s="36">
        <f t="shared" si="14"/>
        <v>40199</v>
      </c>
      <c r="E21" s="16">
        <f t="shared" si="2"/>
        <v>0</v>
      </c>
      <c r="F21" s="36">
        <f t="shared" si="15"/>
        <v>21202</v>
      </c>
      <c r="G21" s="16">
        <f t="shared" si="3"/>
        <v>0</v>
      </c>
      <c r="H21" s="36">
        <f t="shared" si="16"/>
        <v>253281</v>
      </c>
      <c r="I21" s="16">
        <f t="shared" si="4"/>
        <v>0</v>
      </c>
      <c r="J21" s="36">
        <f t="shared" si="12"/>
        <v>303517</v>
      </c>
      <c r="K21" s="16">
        <v>0</v>
      </c>
      <c r="L21" s="36">
        <f t="shared" si="17"/>
        <v>25760</v>
      </c>
      <c r="M21" s="16">
        <f t="shared" si="5"/>
        <v>0</v>
      </c>
      <c r="N21" s="36">
        <f t="shared" si="18"/>
        <v>219982</v>
      </c>
      <c r="O21" s="16">
        <f t="shared" si="6"/>
        <v>0</v>
      </c>
      <c r="P21" s="36">
        <f t="shared" si="11"/>
        <v>137477</v>
      </c>
      <c r="Q21" s="16">
        <f t="shared" si="7"/>
        <v>0</v>
      </c>
      <c r="R21" s="1">
        <f t="shared" si="8"/>
        <v>55047</v>
      </c>
      <c r="S21" s="16">
        <f t="shared" si="9"/>
        <v>0</v>
      </c>
      <c r="T21" s="36">
        <f t="shared" si="19"/>
        <v>3901</v>
      </c>
      <c r="U21" s="16">
        <f t="shared" si="10"/>
        <v>0</v>
      </c>
    </row>
    <row r="22" spans="1:23" ht="13.5" thickBot="1" x14ac:dyDescent="0.25">
      <c r="A22" s="10">
        <v>44581</v>
      </c>
      <c r="B22" s="36">
        <f t="shared" si="13"/>
        <v>46471</v>
      </c>
      <c r="C22" s="16">
        <f t="shared" si="1"/>
        <v>0</v>
      </c>
      <c r="D22" s="36">
        <f t="shared" si="14"/>
        <v>40199</v>
      </c>
      <c r="E22" s="16">
        <f t="shared" si="2"/>
        <v>0</v>
      </c>
      <c r="F22" s="36">
        <f t="shared" si="15"/>
        <v>21202</v>
      </c>
      <c r="G22" s="16">
        <f t="shared" si="3"/>
        <v>0</v>
      </c>
      <c r="H22" s="36">
        <f t="shared" si="16"/>
        <v>253281</v>
      </c>
      <c r="I22" s="16">
        <f t="shared" si="4"/>
        <v>0</v>
      </c>
      <c r="J22" s="36">
        <f t="shared" si="12"/>
        <v>303517</v>
      </c>
      <c r="K22" s="16">
        <v>0</v>
      </c>
      <c r="L22" s="36">
        <f t="shared" si="17"/>
        <v>25760</v>
      </c>
      <c r="M22" s="16">
        <f t="shared" si="5"/>
        <v>0</v>
      </c>
      <c r="N22" s="36">
        <f t="shared" si="18"/>
        <v>219982</v>
      </c>
      <c r="O22" s="16">
        <f t="shared" si="6"/>
        <v>0</v>
      </c>
      <c r="P22" s="36">
        <f t="shared" si="11"/>
        <v>137477</v>
      </c>
      <c r="Q22" s="16">
        <f>P22-P21</f>
        <v>0</v>
      </c>
      <c r="R22" s="1">
        <f t="shared" si="8"/>
        <v>55047</v>
      </c>
      <c r="S22" s="16">
        <f t="shared" si="9"/>
        <v>0</v>
      </c>
      <c r="T22" s="36">
        <f t="shared" si="19"/>
        <v>3901</v>
      </c>
      <c r="U22" s="16">
        <f t="shared" si="10"/>
        <v>0</v>
      </c>
    </row>
    <row r="23" spans="1:23" ht="13.5" thickBot="1" x14ac:dyDescent="0.25">
      <c r="A23" s="10">
        <v>44582</v>
      </c>
      <c r="B23" s="36">
        <f t="shared" si="13"/>
        <v>46471</v>
      </c>
      <c r="C23" s="16">
        <f t="shared" si="1"/>
        <v>0</v>
      </c>
      <c r="D23" s="36">
        <f t="shared" si="14"/>
        <v>40199</v>
      </c>
      <c r="E23" s="16">
        <f t="shared" si="2"/>
        <v>0</v>
      </c>
      <c r="F23" s="36">
        <f t="shared" si="15"/>
        <v>21202</v>
      </c>
      <c r="G23" s="16">
        <f t="shared" si="3"/>
        <v>0</v>
      </c>
      <c r="H23" s="36">
        <f t="shared" si="16"/>
        <v>253281</v>
      </c>
      <c r="I23" s="16">
        <f t="shared" si="4"/>
        <v>0</v>
      </c>
      <c r="J23" s="36">
        <f t="shared" si="12"/>
        <v>303517</v>
      </c>
      <c r="K23" s="16">
        <v>0</v>
      </c>
      <c r="L23" s="36">
        <f t="shared" si="17"/>
        <v>25760</v>
      </c>
      <c r="M23" s="16">
        <f t="shared" si="5"/>
        <v>0</v>
      </c>
      <c r="N23" s="36">
        <f t="shared" si="18"/>
        <v>219982</v>
      </c>
      <c r="O23" s="16">
        <f t="shared" si="6"/>
        <v>0</v>
      </c>
      <c r="P23" s="36">
        <f t="shared" si="11"/>
        <v>137477</v>
      </c>
      <c r="Q23" s="16">
        <f t="shared" si="7"/>
        <v>0</v>
      </c>
      <c r="R23" s="1">
        <f t="shared" si="8"/>
        <v>55047</v>
      </c>
      <c r="S23" s="16">
        <f t="shared" si="9"/>
        <v>0</v>
      </c>
      <c r="T23" s="36">
        <f t="shared" si="19"/>
        <v>3901</v>
      </c>
      <c r="U23" s="16">
        <f t="shared" si="10"/>
        <v>0</v>
      </c>
    </row>
    <row r="24" spans="1:23" s="136" customFormat="1" ht="13.5" thickBot="1" x14ac:dyDescent="0.25">
      <c r="A24" s="10">
        <v>44583</v>
      </c>
      <c r="B24" s="36">
        <f t="shared" si="13"/>
        <v>46471</v>
      </c>
      <c r="C24" s="16">
        <f t="shared" si="1"/>
        <v>0</v>
      </c>
      <c r="D24" s="36">
        <f t="shared" si="14"/>
        <v>40199</v>
      </c>
      <c r="E24" s="16">
        <f t="shared" si="2"/>
        <v>0</v>
      </c>
      <c r="F24" s="36">
        <f t="shared" si="15"/>
        <v>21202</v>
      </c>
      <c r="G24" s="16">
        <f t="shared" si="3"/>
        <v>0</v>
      </c>
      <c r="H24" s="36">
        <f t="shared" si="16"/>
        <v>253281</v>
      </c>
      <c r="I24" s="16">
        <f t="shared" si="4"/>
        <v>0</v>
      </c>
      <c r="J24" s="36">
        <f t="shared" si="12"/>
        <v>303517</v>
      </c>
      <c r="K24" s="16">
        <v>0</v>
      </c>
      <c r="L24" s="36">
        <f t="shared" si="17"/>
        <v>25760</v>
      </c>
      <c r="M24" s="16">
        <f t="shared" si="5"/>
        <v>0</v>
      </c>
      <c r="N24" s="36">
        <f t="shared" si="18"/>
        <v>219982</v>
      </c>
      <c r="O24" s="16">
        <f t="shared" si="6"/>
        <v>0</v>
      </c>
      <c r="P24" s="36">
        <f t="shared" si="11"/>
        <v>137477</v>
      </c>
      <c r="Q24" s="16">
        <f t="shared" si="7"/>
        <v>0</v>
      </c>
      <c r="R24" s="1">
        <f t="shared" si="8"/>
        <v>55047</v>
      </c>
      <c r="S24" s="16">
        <f t="shared" si="9"/>
        <v>0</v>
      </c>
      <c r="T24" s="36">
        <f t="shared" si="19"/>
        <v>3901</v>
      </c>
      <c r="U24" s="16">
        <f t="shared" si="10"/>
        <v>0</v>
      </c>
    </row>
    <row r="25" spans="1:23" ht="13.5" thickBot="1" x14ac:dyDescent="0.25">
      <c r="A25" s="10">
        <v>44584</v>
      </c>
      <c r="B25" s="36">
        <f t="shared" si="13"/>
        <v>46471</v>
      </c>
      <c r="C25" s="16">
        <f t="shared" si="1"/>
        <v>0</v>
      </c>
      <c r="D25" s="36">
        <f t="shared" si="14"/>
        <v>40199</v>
      </c>
      <c r="E25" s="16">
        <f t="shared" si="2"/>
        <v>0</v>
      </c>
      <c r="F25" s="36">
        <f t="shared" si="15"/>
        <v>21202</v>
      </c>
      <c r="G25" s="16">
        <f t="shared" si="3"/>
        <v>0</v>
      </c>
      <c r="H25" s="36">
        <f t="shared" si="16"/>
        <v>253281</v>
      </c>
      <c r="I25" s="16">
        <f t="shared" si="4"/>
        <v>0</v>
      </c>
      <c r="J25" s="36">
        <f t="shared" si="12"/>
        <v>303517</v>
      </c>
      <c r="K25" s="16">
        <v>0</v>
      </c>
      <c r="L25" s="36">
        <f t="shared" si="17"/>
        <v>25760</v>
      </c>
      <c r="M25" s="16">
        <f t="shared" si="5"/>
        <v>0</v>
      </c>
      <c r="N25" s="36">
        <f t="shared" si="18"/>
        <v>219982</v>
      </c>
      <c r="O25" s="16">
        <f t="shared" si="6"/>
        <v>0</v>
      </c>
      <c r="P25" s="36">
        <f t="shared" si="11"/>
        <v>137477</v>
      </c>
      <c r="Q25" s="16">
        <f t="shared" si="7"/>
        <v>0</v>
      </c>
      <c r="R25" s="1">
        <f t="shared" si="8"/>
        <v>55047</v>
      </c>
      <c r="S25" s="16">
        <f t="shared" si="9"/>
        <v>0</v>
      </c>
      <c r="T25" s="36">
        <f t="shared" si="19"/>
        <v>3901</v>
      </c>
      <c r="U25" s="16">
        <f t="shared" si="10"/>
        <v>0</v>
      </c>
      <c r="V25" t="s">
        <v>12</v>
      </c>
    </row>
    <row r="26" spans="1:23" ht="12.75" customHeight="1" thickBot="1" x14ac:dyDescent="0.25">
      <c r="A26" s="10">
        <v>44585</v>
      </c>
      <c r="B26" s="36">
        <f t="shared" si="13"/>
        <v>46471</v>
      </c>
      <c r="C26" s="16">
        <f t="shared" si="1"/>
        <v>0</v>
      </c>
      <c r="D26" s="36">
        <f t="shared" si="14"/>
        <v>40199</v>
      </c>
      <c r="E26" s="16">
        <f t="shared" si="2"/>
        <v>0</v>
      </c>
      <c r="F26" s="36">
        <f t="shared" si="15"/>
        <v>21202</v>
      </c>
      <c r="G26" s="16">
        <f t="shared" si="3"/>
        <v>0</v>
      </c>
      <c r="H26" s="36">
        <f t="shared" si="16"/>
        <v>253281</v>
      </c>
      <c r="I26" s="16">
        <f t="shared" si="4"/>
        <v>0</v>
      </c>
      <c r="J26" s="36">
        <f t="shared" si="12"/>
        <v>303517</v>
      </c>
      <c r="K26" s="16">
        <v>0</v>
      </c>
      <c r="L26" s="36">
        <f t="shared" si="17"/>
        <v>25760</v>
      </c>
      <c r="M26" s="16">
        <f t="shared" si="5"/>
        <v>0</v>
      </c>
      <c r="N26" s="36">
        <f t="shared" si="18"/>
        <v>219982</v>
      </c>
      <c r="O26" s="16">
        <f t="shared" si="6"/>
        <v>0</v>
      </c>
      <c r="P26" s="36">
        <f t="shared" si="11"/>
        <v>137477</v>
      </c>
      <c r="Q26" s="16">
        <f t="shared" si="7"/>
        <v>0</v>
      </c>
      <c r="R26" s="1">
        <f t="shared" si="8"/>
        <v>55047</v>
      </c>
      <c r="S26" s="16">
        <f t="shared" si="9"/>
        <v>0</v>
      </c>
      <c r="T26" s="36">
        <f t="shared" si="19"/>
        <v>3901</v>
      </c>
      <c r="U26" s="16">
        <f t="shared" si="10"/>
        <v>0</v>
      </c>
      <c r="W26" t="s">
        <v>12</v>
      </c>
    </row>
    <row r="27" spans="1:23" ht="13.5" thickBot="1" x14ac:dyDescent="0.25">
      <c r="A27" s="10">
        <v>44586</v>
      </c>
      <c r="B27" s="36">
        <f t="shared" si="13"/>
        <v>46471</v>
      </c>
      <c r="C27" s="16">
        <f t="shared" si="1"/>
        <v>0</v>
      </c>
      <c r="D27" s="36">
        <f t="shared" si="14"/>
        <v>40199</v>
      </c>
      <c r="E27" s="16">
        <f t="shared" si="2"/>
        <v>0</v>
      </c>
      <c r="F27" s="36">
        <f t="shared" si="15"/>
        <v>21202</v>
      </c>
      <c r="G27" s="16">
        <f t="shared" si="3"/>
        <v>0</v>
      </c>
      <c r="H27" s="36">
        <f t="shared" si="16"/>
        <v>253281</v>
      </c>
      <c r="I27" s="16">
        <f t="shared" si="4"/>
        <v>0</v>
      </c>
      <c r="J27" s="36">
        <f t="shared" si="12"/>
        <v>303517</v>
      </c>
      <c r="K27" s="16">
        <v>0</v>
      </c>
      <c r="L27" s="36">
        <f t="shared" si="17"/>
        <v>25760</v>
      </c>
      <c r="M27" s="16">
        <f t="shared" si="5"/>
        <v>0</v>
      </c>
      <c r="N27" s="36">
        <f t="shared" si="18"/>
        <v>219982</v>
      </c>
      <c r="O27" s="16">
        <f t="shared" si="6"/>
        <v>0</v>
      </c>
      <c r="P27" s="36">
        <f t="shared" si="11"/>
        <v>137477</v>
      </c>
      <c r="Q27" s="16">
        <f t="shared" si="7"/>
        <v>0</v>
      </c>
      <c r="R27" s="1">
        <f t="shared" si="8"/>
        <v>55047</v>
      </c>
      <c r="S27" s="16">
        <f t="shared" si="9"/>
        <v>0</v>
      </c>
      <c r="T27" s="36">
        <f t="shared" si="19"/>
        <v>3901</v>
      </c>
      <c r="U27" s="16">
        <f t="shared" si="10"/>
        <v>0</v>
      </c>
    </row>
    <row r="28" spans="1:23" ht="13.5" thickBot="1" x14ac:dyDescent="0.25">
      <c r="A28" s="10">
        <v>44587</v>
      </c>
      <c r="B28" s="36">
        <f t="shared" si="13"/>
        <v>46471</v>
      </c>
      <c r="C28" s="16">
        <f t="shared" si="1"/>
        <v>0</v>
      </c>
      <c r="D28" s="36">
        <f t="shared" si="14"/>
        <v>40199</v>
      </c>
      <c r="E28" s="16">
        <f t="shared" si="2"/>
        <v>0</v>
      </c>
      <c r="F28" s="36">
        <f t="shared" si="15"/>
        <v>21202</v>
      </c>
      <c r="G28" s="16">
        <f t="shared" si="3"/>
        <v>0</v>
      </c>
      <c r="H28" s="36">
        <f t="shared" si="16"/>
        <v>253281</v>
      </c>
      <c r="I28" s="16">
        <f t="shared" si="4"/>
        <v>0</v>
      </c>
      <c r="J28" s="36">
        <f t="shared" si="12"/>
        <v>303517</v>
      </c>
      <c r="K28" s="16">
        <v>0</v>
      </c>
      <c r="L28" s="36">
        <f t="shared" si="17"/>
        <v>25760</v>
      </c>
      <c r="M28" s="16">
        <f t="shared" si="5"/>
        <v>0</v>
      </c>
      <c r="N28" s="36">
        <f t="shared" si="18"/>
        <v>219982</v>
      </c>
      <c r="O28" s="16">
        <f t="shared" si="6"/>
        <v>0</v>
      </c>
      <c r="P28" s="36">
        <f t="shared" si="11"/>
        <v>137477</v>
      </c>
      <c r="Q28" s="17">
        <f t="shared" si="7"/>
        <v>0</v>
      </c>
      <c r="R28" s="1">
        <f t="shared" si="8"/>
        <v>55047</v>
      </c>
      <c r="S28" s="17">
        <f t="shared" si="9"/>
        <v>0</v>
      </c>
      <c r="T28" s="36">
        <f t="shared" si="19"/>
        <v>3901</v>
      </c>
      <c r="U28" s="16">
        <f t="shared" si="10"/>
        <v>0</v>
      </c>
    </row>
    <row r="29" spans="1:23" ht="13.5" thickBot="1" x14ac:dyDescent="0.25">
      <c r="A29" s="10">
        <v>44588</v>
      </c>
      <c r="B29" s="36">
        <f t="shared" si="13"/>
        <v>46471</v>
      </c>
      <c r="C29" s="16">
        <f t="shared" si="1"/>
        <v>0</v>
      </c>
      <c r="D29" s="36">
        <f t="shared" si="14"/>
        <v>40199</v>
      </c>
      <c r="E29" s="16">
        <f t="shared" si="2"/>
        <v>0</v>
      </c>
      <c r="F29" s="36">
        <f t="shared" si="15"/>
        <v>21202</v>
      </c>
      <c r="G29" s="16">
        <f t="shared" si="3"/>
        <v>0</v>
      </c>
      <c r="H29" s="36">
        <f t="shared" si="16"/>
        <v>253281</v>
      </c>
      <c r="I29" s="16">
        <f t="shared" si="4"/>
        <v>0</v>
      </c>
      <c r="J29" s="36">
        <f t="shared" si="12"/>
        <v>303517</v>
      </c>
      <c r="K29" s="16">
        <v>0</v>
      </c>
      <c r="L29" s="36">
        <f t="shared" si="17"/>
        <v>25760</v>
      </c>
      <c r="M29" s="16">
        <f t="shared" si="5"/>
        <v>0</v>
      </c>
      <c r="N29" s="36">
        <f t="shared" si="18"/>
        <v>219982</v>
      </c>
      <c r="O29" s="16">
        <f t="shared" si="6"/>
        <v>0</v>
      </c>
      <c r="P29" s="36">
        <f t="shared" si="11"/>
        <v>137477</v>
      </c>
      <c r="Q29" s="16">
        <f t="shared" si="7"/>
        <v>0</v>
      </c>
      <c r="R29" s="1">
        <f t="shared" si="8"/>
        <v>55047</v>
      </c>
      <c r="S29" s="16">
        <f t="shared" si="9"/>
        <v>0</v>
      </c>
      <c r="T29" s="36">
        <f t="shared" si="19"/>
        <v>3901</v>
      </c>
      <c r="U29" s="16">
        <f t="shared" si="10"/>
        <v>0</v>
      </c>
    </row>
    <row r="30" spans="1:23" ht="13.5" thickBot="1" x14ac:dyDescent="0.25">
      <c r="A30" s="10">
        <v>44589</v>
      </c>
      <c r="B30" s="36">
        <f t="shared" si="13"/>
        <v>46471</v>
      </c>
      <c r="C30" s="16">
        <f t="shared" si="1"/>
        <v>0</v>
      </c>
      <c r="D30" s="36">
        <f t="shared" si="14"/>
        <v>40199</v>
      </c>
      <c r="E30" s="16">
        <f t="shared" si="2"/>
        <v>0</v>
      </c>
      <c r="F30" s="36">
        <f t="shared" si="15"/>
        <v>21202</v>
      </c>
      <c r="G30" s="16">
        <f t="shared" si="3"/>
        <v>0</v>
      </c>
      <c r="H30" s="36">
        <f t="shared" si="16"/>
        <v>253281</v>
      </c>
      <c r="I30" s="16">
        <f t="shared" si="4"/>
        <v>0</v>
      </c>
      <c r="J30" s="36">
        <f t="shared" si="12"/>
        <v>303517</v>
      </c>
      <c r="K30" s="16">
        <v>0</v>
      </c>
      <c r="L30" s="36">
        <f t="shared" si="17"/>
        <v>25760</v>
      </c>
      <c r="M30" s="16">
        <f t="shared" si="5"/>
        <v>0</v>
      </c>
      <c r="N30" s="36">
        <f t="shared" si="18"/>
        <v>219982</v>
      </c>
      <c r="O30" s="16">
        <f t="shared" si="6"/>
        <v>0</v>
      </c>
      <c r="P30" s="36">
        <f t="shared" si="11"/>
        <v>137477</v>
      </c>
      <c r="Q30" s="16">
        <f t="shared" si="7"/>
        <v>0</v>
      </c>
      <c r="R30" s="1">
        <f t="shared" si="8"/>
        <v>55047</v>
      </c>
      <c r="S30" s="16">
        <f t="shared" si="9"/>
        <v>0</v>
      </c>
      <c r="T30" s="36">
        <f t="shared" si="19"/>
        <v>3901</v>
      </c>
      <c r="U30" s="16">
        <f t="shared" si="10"/>
        <v>0</v>
      </c>
    </row>
    <row r="31" spans="1:23" ht="13.5" thickBot="1" x14ac:dyDescent="0.25">
      <c r="A31" s="10">
        <v>44590</v>
      </c>
      <c r="B31" s="36">
        <f t="shared" si="13"/>
        <v>46471</v>
      </c>
      <c r="C31" s="16">
        <f t="shared" si="1"/>
        <v>0</v>
      </c>
      <c r="D31" s="36">
        <f t="shared" si="14"/>
        <v>40199</v>
      </c>
      <c r="E31" s="16">
        <f t="shared" si="2"/>
        <v>0</v>
      </c>
      <c r="F31" s="36">
        <f t="shared" si="15"/>
        <v>21202</v>
      </c>
      <c r="G31" s="16">
        <f t="shared" si="3"/>
        <v>0</v>
      </c>
      <c r="H31" s="36">
        <f t="shared" si="16"/>
        <v>253281</v>
      </c>
      <c r="I31" s="16">
        <f t="shared" si="4"/>
        <v>0</v>
      </c>
      <c r="J31" s="36">
        <f t="shared" si="12"/>
        <v>303517</v>
      </c>
      <c r="K31" s="16">
        <v>0</v>
      </c>
      <c r="L31" s="36">
        <f t="shared" si="17"/>
        <v>25760</v>
      </c>
      <c r="M31" s="16">
        <f t="shared" si="5"/>
        <v>0</v>
      </c>
      <c r="N31" s="36">
        <f t="shared" si="18"/>
        <v>219982</v>
      </c>
      <c r="O31" s="16">
        <f t="shared" si="6"/>
        <v>0</v>
      </c>
      <c r="P31" s="36">
        <f t="shared" si="11"/>
        <v>137477</v>
      </c>
      <c r="Q31" s="16">
        <f t="shared" si="7"/>
        <v>0</v>
      </c>
      <c r="R31" s="1">
        <f t="shared" si="8"/>
        <v>55047</v>
      </c>
      <c r="S31" s="16">
        <f t="shared" si="9"/>
        <v>0</v>
      </c>
      <c r="T31" s="36">
        <f t="shared" si="19"/>
        <v>3901</v>
      </c>
      <c r="U31" s="16">
        <f t="shared" si="10"/>
        <v>0</v>
      </c>
    </row>
    <row r="32" spans="1:23" ht="15" customHeight="1" thickBot="1" x14ac:dyDescent="0.25">
      <c r="A32" s="10">
        <v>44591</v>
      </c>
      <c r="B32" s="36">
        <f t="shared" si="13"/>
        <v>46471</v>
      </c>
      <c r="C32" s="16">
        <f t="shared" si="1"/>
        <v>0</v>
      </c>
      <c r="D32" s="36">
        <f t="shared" si="14"/>
        <v>40199</v>
      </c>
      <c r="E32" s="16">
        <f t="shared" si="2"/>
        <v>0</v>
      </c>
      <c r="F32" s="36">
        <f t="shared" si="15"/>
        <v>21202</v>
      </c>
      <c r="G32" s="16">
        <f t="shared" si="3"/>
        <v>0</v>
      </c>
      <c r="H32" s="36">
        <f t="shared" si="16"/>
        <v>253281</v>
      </c>
      <c r="I32" s="16">
        <f t="shared" si="4"/>
        <v>0</v>
      </c>
      <c r="J32" s="36">
        <f t="shared" si="12"/>
        <v>303517</v>
      </c>
      <c r="K32" s="16">
        <v>0</v>
      </c>
      <c r="L32" s="36">
        <f t="shared" si="17"/>
        <v>25760</v>
      </c>
      <c r="M32" s="16">
        <f t="shared" si="5"/>
        <v>0</v>
      </c>
      <c r="N32" s="36">
        <f t="shared" si="18"/>
        <v>219982</v>
      </c>
      <c r="O32" s="16">
        <f t="shared" si="6"/>
        <v>0</v>
      </c>
      <c r="P32" s="36">
        <f t="shared" si="11"/>
        <v>137477</v>
      </c>
      <c r="Q32" s="16">
        <f t="shared" si="7"/>
        <v>0</v>
      </c>
      <c r="R32" s="1">
        <f t="shared" si="8"/>
        <v>55047</v>
      </c>
      <c r="S32" s="16">
        <v>0</v>
      </c>
      <c r="T32" s="36">
        <f t="shared" si="19"/>
        <v>3901</v>
      </c>
      <c r="U32" s="16">
        <f t="shared" si="10"/>
        <v>0</v>
      </c>
      <c r="V32" t="s">
        <v>12</v>
      </c>
    </row>
    <row r="33" spans="1:21" ht="13.5" thickBot="1" x14ac:dyDescent="0.25">
      <c r="A33" s="10">
        <v>44592</v>
      </c>
      <c r="B33" s="36">
        <f t="shared" si="13"/>
        <v>46471</v>
      </c>
      <c r="C33" s="16">
        <f t="shared" si="1"/>
        <v>0</v>
      </c>
      <c r="D33" s="36">
        <f t="shared" si="14"/>
        <v>40199</v>
      </c>
      <c r="E33" s="16">
        <f t="shared" si="2"/>
        <v>0</v>
      </c>
      <c r="F33" s="36">
        <f t="shared" si="15"/>
        <v>21202</v>
      </c>
      <c r="G33" s="16">
        <f t="shared" si="3"/>
        <v>0</v>
      </c>
      <c r="H33" s="36">
        <f t="shared" si="16"/>
        <v>253281</v>
      </c>
      <c r="I33" s="16">
        <f t="shared" si="4"/>
        <v>0</v>
      </c>
      <c r="J33" s="36">
        <v>303517</v>
      </c>
      <c r="K33" s="16">
        <v>0</v>
      </c>
      <c r="L33" s="36">
        <f t="shared" si="17"/>
        <v>25760</v>
      </c>
      <c r="M33" s="16">
        <f t="shared" si="5"/>
        <v>0</v>
      </c>
      <c r="N33" s="36">
        <f t="shared" si="18"/>
        <v>219982</v>
      </c>
      <c r="O33" s="16">
        <f t="shared" si="6"/>
        <v>0</v>
      </c>
      <c r="P33" s="36">
        <f t="shared" si="11"/>
        <v>137477</v>
      </c>
      <c r="Q33" s="16">
        <f t="shared" si="7"/>
        <v>0</v>
      </c>
      <c r="R33" s="1">
        <f t="shared" si="8"/>
        <v>55047</v>
      </c>
      <c r="S33" s="16">
        <v>0</v>
      </c>
      <c r="T33" s="36">
        <f t="shared" si="19"/>
        <v>3901</v>
      </c>
      <c r="U33" s="16">
        <f t="shared" si="10"/>
        <v>0</v>
      </c>
    </row>
    <row r="34" spans="1:21" ht="16.5" thickBot="1" x14ac:dyDescent="0.3">
      <c r="A34" s="10" t="s">
        <v>23</v>
      </c>
      <c r="B34" s="1"/>
      <c r="C34" s="11">
        <f>SUM(C4:C33)</f>
        <v>7520</v>
      </c>
      <c r="D34" s="13"/>
      <c r="E34" s="11">
        <f>SUM(E4:E33)</f>
        <v>4480</v>
      </c>
      <c r="F34" s="13"/>
      <c r="G34" s="11">
        <f>SUM(G4:G33)</f>
        <v>680</v>
      </c>
      <c r="H34" s="13"/>
      <c r="I34" s="11">
        <f>SUM(I4:I33)</f>
        <v>165</v>
      </c>
      <c r="J34" s="13"/>
      <c r="K34" s="11">
        <f>SUM(K4:K33)</f>
        <v>0</v>
      </c>
      <c r="L34" s="13"/>
      <c r="M34" s="11">
        <f>SUM(M4:M33)</f>
        <v>4800</v>
      </c>
      <c r="N34" s="37"/>
      <c r="O34" s="11">
        <f>SUM(O4:O33)</f>
        <v>1092</v>
      </c>
      <c r="P34" s="13"/>
      <c r="Q34" s="11">
        <f>SUM(Q4:Q33)</f>
        <v>1095</v>
      </c>
      <c r="R34" s="1"/>
      <c r="S34" s="11">
        <f>SUM(S4:S33)</f>
        <v>0</v>
      </c>
      <c r="T34" s="1"/>
      <c r="U34" s="11">
        <f>SUM(U4:U33)</f>
        <v>1760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tabSelected="1" zoomScaleNormal="100" zoomScaleSheetLayoutView="110" workbookViewId="0">
      <pane ySplit="1" topLeftCell="A2" activePane="bottomLeft" state="frozen"/>
      <selection pane="bottomLeft" activeCell="B13" sqref="B13"/>
    </sheetView>
  </sheetViews>
  <sheetFormatPr defaultColWidth="23" defaultRowHeight="15.75" x14ac:dyDescent="0.25"/>
  <cols>
    <col min="1" max="1" width="20.7109375" style="25" bestFit="1" customWidth="1"/>
    <col min="2" max="2" width="14.85546875" style="45" bestFit="1" customWidth="1"/>
    <col min="3" max="3" width="15.28515625" style="45" bestFit="1" customWidth="1"/>
    <col min="4" max="4" width="11.5703125" style="45" bestFit="1" customWidth="1"/>
    <col min="5" max="5" width="12.85546875" style="24" bestFit="1" customWidth="1"/>
    <col min="6" max="6" width="11.5703125" style="24" bestFit="1" customWidth="1"/>
    <col min="7" max="7" width="14.28515625" style="24" bestFit="1" customWidth="1"/>
    <col min="8" max="8" width="16.5703125" style="24" bestFit="1" customWidth="1"/>
    <col min="9" max="9" width="11.85546875" style="24" customWidth="1"/>
    <col min="10" max="10" width="11.5703125" style="24" bestFit="1" customWidth="1"/>
    <col min="11" max="11" width="10.28515625" style="24" bestFit="1" customWidth="1"/>
    <col min="12" max="12" width="11.5703125" style="24" bestFit="1" customWidth="1"/>
    <col min="13" max="13" width="10.28515625" style="24" bestFit="1" customWidth="1"/>
    <col min="14" max="17" width="11.5703125" style="24" bestFit="1" customWidth="1"/>
    <col min="18" max="18" width="12.85546875" style="24" bestFit="1" customWidth="1"/>
    <col min="19" max="19" width="9" style="24" bestFit="1" customWidth="1"/>
    <col min="20" max="20" width="4.7109375" style="24" bestFit="1" customWidth="1"/>
    <col min="21" max="21" width="10.28515625" style="24" bestFit="1" customWidth="1"/>
    <col min="22" max="22" width="11.5703125" style="24" bestFit="1" customWidth="1"/>
    <col min="23" max="23" width="9" style="24" bestFit="1" customWidth="1"/>
    <col min="24" max="24" width="10.7109375" style="24" bestFit="1" customWidth="1"/>
    <col min="25" max="25" width="12.28515625" style="24" customWidth="1"/>
    <col min="26" max="26" width="27.140625" style="26" bestFit="1" customWidth="1"/>
    <col min="27" max="27" width="26.85546875" style="26" bestFit="1" customWidth="1"/>
    <col min="28" max="16384" width="23" style="24"/>
  </cols>
  <sheetData>
    <row r="1" spans="1:27" ht="16.5" thickBot="1" x14ac:dyDescent="0.3">
      <c r="A1" s="6" t="s">
        <v>0</v>
      </c>
      <c r="B1" s="43" t="s">
        <v>54</v>
      </c>
      <c r="C1" s="46" t="s">
        <v>63</v>
      </c>
      <c r="D1" s="46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3" t="s">
        <v>40</v>
      </c>
      <c r="AA1" s="23" t="s">
        <v>41</v>
      </c>
    </row>
    <row r="2" spans="1:27" ht="16.5" thickBot="1" x14ac:dyDescent="0.3">
      <c r="A2" s="10">
        <v>44561</v>
      </c>
      <c r="B2" s="43">
        <v>286</v>
      </c>
      <c r="C2" s="150">
        <v>19263</v>
      </c>
      <c r="D2" s="43"/>
      <c r="E2" s="151">
        <v>29394326</v>
      </c>
      <c r="F2" s="43"/>
      <c r="G2" s="152">
        <v>93376522</v>
      </c>
      <c r="H2" s="43"/>
      <c r="I2" s="21"/>
      <c r="J2" s="151">
        <v>9244110</v>
      </c>
      <c r="K2" s="43"/>
      <c r="L2" s="154">
        <v>9241929</v>
      </c>
      <c r="M2" s="43"/>
      <c r="N2" s="151">
        <v>6233074</v>
      </c>
      <c r="O2" s="43"/>
      <c r="P2" s="154">
        <v>5733151</v>
      </c>
      <c r="Q2" s="43"/>
      <c r="R2" s="151">
        <v>19746392</v>
      </c>
      <c r="S2" s="43"/>
      <c r="T2" s="151">
        <v>0</v>
      </c>
      <c r="U2" s="11"/>
      <c r="V2" s="151">
        <v>7634077</v>
      </c>
      <c r="W2" s="43"/>
      <c r="X2" s="21">
        <f t="shared" ref="X2" si="0">K2+M2+O2+Q2+S2+U2+W2</f>
        <v>0</v>
      </c>
      <c r="Y2" s="156"/>
      <c r="Z2" s="3">
        <f t="shared" ref="Z2" si="1">(0.93352*(W2+S2)+0.5568*(Q2+O2))*0.26</f>
        <v>0</v>
      </c>
      <c r="AA2" s="3"/>
    </row>
    <row r="3" spans="1:27" ht="16.5" thickBot="1" x14ac:dyDescent="0.3">
      <c r="A3" s="10">
        <v>44562</v>
      </c>
      <c r="B3" s="43">
        <v>226</v>
      </c>
      <c r="C3" s="150">
        <v>19265</v>
      </c>
      <c r="D3" s="43">
        <f>IF((C3-C2)&lt;0,"0",(C3-C2))*160</f>
        <v>320</v>
      </c>
      <c r="E3" s="151">
        <v>29406857</v>
      </c>
      <c r="F3" s="43">
        <f>IF((E3-E2)&lt;0,"0",(E3-E2))</f>
        <v>12531</v>
      </c>
      <c r="G3" s="152">
        <v>93413328</v>
      </c>
      <c r="H3" s="43">
        <f>IF((G3-G2)&lt;0,"0",(G3-G2))</f>
        <v>36806</v>
      </c>
      <c r="I3" s="21">
        <f>F3+H3</f>
        <v>49337</v>
      </c>
      <c r="J3" s="151">
        <v>9248103</v>
      </c>
      <c r="K3" s="43">
        <f>(IF((J3-J2)&lt;L91,"0",(J3-J2)))*2</f>
        <v>7986</v>
      </c>
      <c r="L3" s="154">
        <v>9248180</v>
      </c>
      <c r="M3" s="43">
        <f>IF((L3-L2)&lt;0,"0",(L3-L2))</f>
        <v>6251</v>
      </c>
      <c r="N3" s="151">
        <v>6236140</v>
      </c>
      <c r="O3" s="43">
        <f>(IF((N3-N2)&lt;P91,"0",(N3-N2)))*2</f>
        <v>6132</v>
      </c>
      <c r="P3" s="154">
        <v>5735521</v>
      </c>
      <c r="Q3" s="43">
        <f>IF((P3-P2)&lt;0,"0",(P3-P2))</f>
        <v>2370</v>
      </c>
      <c r="R3" s="151">
        <v>19755737</v>
      </c>
      <c r="S3" s="43">
        <f>IF((R3-R2)&lt;0,"0",(R3-R2))</f>
        <v>9345</v>
      </c>
      <c r="T3" s="151">
        <v>0</v>
      </c>
      <c r="U3" s="155"/>
      <c r="V3" s="151">
        <v>7644097</v>
      </c>
      <c r="W3" s="43">
        <f>IF((V3-V2)&lt;0,"0",(V3-V2))</f>
        <v>10020</v>
      </c>
      <c r="X3" s="21">
        <f>K3+M3+O3+Q3+S3+U3+W3</f>
        <v>42104</v>
      </c>
      <c r="Y3" s="156">
        <f>I3-X3</f>
        <v>7233</v>
      </c>
      <c r="Z3" s="3">
        <f>(0.93352*(W3+S3)+0.5568*(Q3+O3))*0.26</f>
        <v>5930.9973840000002</v>
      </c>
      <c r="AA3" s="3">
        <f>SUM(Z1:Z3)</f>
        <v>5930.9973840000002</v>
      </c>
    </row>
    <row r="4" spans="1:27" ht="16.5" thickBot="1" x14ac:dyDescent="0.3">
      <c r="A4" s="10">
        <v>44563</v>
      </c>
      <c r="B4" s="43">
        <v>222</v>
      </c>
      <c r="C4" s="150">
        <v>19267</v>
      </c>
      <c r="D4" s="43">
        <f t="shared" ref="D4:D33" si="2">IF((C4-C3)&lt;0,"0",(C4-C3))*160</f>
        <v>320</v>
      </c>
      <c r="E4" s="151">
        <v>29415767</v>
      </c>
      <c r="F4" s="43">
        <f t="shared" ref="F4:F33" si="3">IF((E4-E3)&lt;0,"0",(E4-E3))</f>
        <v>8910</v>
      </c>
      <c r="G4" s="152">
        <v>93443932</v>
      </c>
      <c r="H4" s="43">
        <f t="shared" ref="H4:H33" si="4">IF((G4-G3)&lt;0,"0",(G4-G3))</f>
        <v>30604</v>
      </c>
      <c r="I4" s="153">
        <f t="shared" ref="I4:I31" si="5">F4+H4</f>
        <v>39514</v>
      </c>
      <c r="J4" s="151">
        <v>9251822</v>
      </c>
      <c r="K4" s="43">
        <f>(IF((J4-J3)&lt;L93,"0",(J4-J3)))*2</f>
        <v>7438</v>
      </c>
      <c r="L4" s="154">
        <v>9252516</v>
      </c>
      <c r="M4" s="43">
        <f t="shared" ref="M4:M33" si="6">IF((L4-L3)&lt;0,"0",(L4-L3))</f>
        <v>4336</v>
      </c>
      <c r="N4" s="151">
        <v>6238368</v>
      </c>
      <c r="O4" s="43">
        <f>(IF((N4-N3)&lt;P93,"0",(N4-N3)))*2</f>
        <v>4456</v>
      </c>
      <c r="P4" s="154">
        <v>5737493</v>
      </c>
      <c r="Q4" s="43">
        <f t="shared" ref="Q4:Q33" si="7">IF((P4-P3)&lt;0,"0",(P4-P3))</f>
        <v>1972</v>
      </c>
      <c r="R4" s="151">
        <v>19763562</v>
      </c>
      <c r="S4" s="43">
        <f t="shared" ref="S4:S33" si="8">IF((R4-R3)&lt;0,"0",(R4-R3))</f>
        <v>7825</v>
      </c>
      <c r="T4" s="151">
        <v>0</v>
      </c>
      <c r="U4" s="155"/>
      <c r="V4" s="151">
        <v>7652165</v>
      </c>
      <c r="W4" s="43">
        <f t="shared" ref="W4:W33" si="9">IF((V4-V3)&lt;0,"0",(V4-V3))</f>
        <v>8068</v>
      </c>
      <c r="X4" s="21">
        <f t="shared" ref="X4:X33" si="10">K4+M4+O4+Q4+S4+U4+W4</f>
        <v>34095</v>
      </c>
      <c r="Y4" s="156">
        <f t="shared" ref="Y4:Y33" si="11">I4-X4</f>
        <v>5419</v>
      </c>
      <c r="Z4" s="3">
        <f t="shared" ref="Z4:Z33" si="12">(0.93352*(W4+S4)+0.5568*(Q4+O4))*0.26</f>
        <v>4788.0413776000005</v>
      </c>
      <c r="AA4" s="3">
        <f>SUM(Z2:Z4)</f>
        <v>10719.038761600001</v>
      </c>
    </row>
    <row r="5" spans="1:27" ht="16.5" thickBot="1" x14ac:dyDescent="0.3">
      <c r="A5" s="10">
        <v>44564</v>
      </c>
      <c r="B5" s="43">
        <v>179</v>
      </c>
      <c r="C5" s="150">
        <v>19269</v>
      </c>
      <c r="D5" s="43">
        <f t="shared" si="2"/>
        <v>320</v>
      </c>
      <c r="E5" s="151">
        <v>29430716</v>
      </c>
      <c r="F5" s="43">
        <f t="shared" si="3"/>
        <v>14949</v>
      </c>
      <c r="G5" s="152">
        <v>93490236</v>
      </c>
      <c r="H5" s="43">
        <f t="shared" si="4"/>
        <v>46304</v>
      </c>
      <c r="I5" s="153">
        <f t="shared" si="5"/>
        <v>61253</v>
      </c>
      <c r="J5" s="151">
        <v>9257414</v>
      </c>
      <c r="K5" s="43">
        <f t="shared" ref="K5:K33" si="13">(IF((J5-J4)&lt;0,"0",(J5-J4)))*2</f>
        <v>11184</v>
      </c>
      <c r="L5" s="154">
        <v>9259675</v>
      </c>
      <c r="M5" s="43">
        <f t="shared" si="6"/>
        <v>7159</v>
      </c>
      <c r="N5" s="151">
        <v>6242177</v>
      </c>
      <c r="O5" s="43">
        <f t="shared" ref="O5:O33" si="14">(IF((N5-N4)&lt;0,"0",(N5-N4)))*2</f>
        <v>7618</v>
      </c>
      <c r="P5" s="154">
        <v>5740474</v>
      </c>
      <c r="Q5" s="43">
        <f t="shared" si="7"/>
        <v>2981</v>
      </c>
      <c r="R5" s="151">
        <v>19775086</v>
      </c>
      <c r="S5" s="43">
        <f t="shared" si="8"/>
        <v>11524</v>
      </c>
      <c r="T5" s="151">
        <v>0</v>
      </c>
      <c r="U5" s="155"/>
      <c r="V5" s="151">
        <v>7664557</v>
      </c>
      <c r="W5" s="43">
        <f t="shared" si="9"/>
        <v>12392</v>
      </c>
      <c r="X5" s="21">
        <f t="shared" si="10"/>
        <v>52858</v>
      </c>
      <c r="Y5" s="156">
        <f t="shared" si="11"/>
        <v>8395</v>
      </c>
      <c r="Z5" s="3">
        <f t="shared" si="12"/>
        <v>7339.1727552000002</v>
      </c>
      <c r="AA5" s="3">
        <f>SUM(Z3:Z5)</f>
        <v>18058.211516800002</v>
      </c>
    </row>
    <row r="6" spans="1:27" ht="16.5" thickBot="1" x14ac:dyDescent="0.3">
      <c r="A6" s="10">
        <v>44565</v>
      </c>
      <c r="B6" s="43">
        <v>181</v>
      </c>
      <c r="C6" s="150">
        <v>19271</v>
      </c>
      <c r="D6" s="43">
        <f t="shared" si="2"/>
        <v>320</v>
      </c>
      <c r="E6" s="151">
        <v>29441618</v>
      </c>
      <c r="F6" s="43">
        <f t="shared" si="3"/>
        <v>10902</v>
      </c>
      <c r="G6" s="152">
        <v>93522568</v>
      </c>
      <c r="H6" s="43">
        <f t="shared" si="4"/>
        <v>32332</v>
      </c>
      <c r="I6" s="153">
        <f t="shared" si="5"/>
        <v>43234</v>
      </c>
      <c r="J6" s="151">
        <v>9261326</v>
      </c>
      <c r="K6" s="43">
        <f t="shared" si="13"/>
        <v>7824</v>
      </c>
      <c r="L6" s="154">
        <v>9265120</v>
      </c>
      <c r="M6" s="43">
        <f t="shared" si="6"/>
        <v>5445</v>
      </c>
      <c r="N6" s="151">
        <v>6244827</v>
      </c>
      <c r="O6" s="43">
        <f t="shared" si="14"/>
        <v>5300</v>
      </c>
      <c r="P6" s="154">
        <v>5742647</v>
      </c>
      <c r="Q6" s="43">
        <f t="shared" si="7"/>
        <v>2173</v>
      </c>
      <c r="R6" s="151">
        <v>19783258</v>
      </c>
      <c r="S6" s="43">
        <f t="shared" si="8"/>
        <v>8172</v>
      </c>
      <c r="T6" s="151">
        <v>0</v>
      </c>
      <c r="U6" s="155"/>
      <c r="V6" s="151">
        <v>7673093</v>
      </c>
      <c r="W6" s="43">
        <f t="shared" si="9"/>
        <v>8536</v>
      </c>
      <c r="X6" s="21">
        <f t="shared" si="10"/>
        <v>37450</v>
      </c>
      <c r="Y6" s="156">
        <f t="shared" si="11"/>
        <v>5784</v>
      </c>
      <c r="Z6" s="3">
        <f t="shared" si="12"/>
        <v>5137.1368256000005</v>
      </c>
      <c r="AA6" s="3">
        <f>SUM(Z4:Z6)</f>
        <v>17264.350958399998</v>
      </c>
    </row>
    <row r="7" spans="1:27" ht="16.5" thickBot="1" x14ac:dyDescent="0.3">
      <c r="A7" s="10">
        <v>44566</v>
      </c>
      <c r="B7" s="43">
        <v>190</v>
      </c>
      <c r="C7" s="150">
        <v>19273</v>
      </c>
      <c r="D7" s="43">
        <f t="shared" si="2"/>
        <v>320</v>
      </c>
      <c r="E7" s="151">
        <v>29454179</v>
      </c>
      <c r="F7" s="43">
        <f t="shared" si="3"/>
        <v>12561</v>
      </c>
      <c r="G7" s="152">
        <v>93565087</v>
      </c>
      <c r="H7" s="43">
        <f t="shared" si="4"/>
        <v>42519</v>
      </c>
      <c r="I7" s="153">
        <f t="shared" si="5"/>
        <v>55080</v>
      </c>
      <c r="J7" s="151">
        <v>9266594</v>
      </c>
      <c r="K7" s="43">
        <f t="shared" si="13"/>
        <v>10536</v>
      </c>
      <c r="L7" s="154">
        <v>9270950</v>
      </c>
      <c r="M7" s="43">
        <f t="shared" si="6"/>
        <v>5830</v>
      </c>
      <c r="N7" s="151">
        <v>6248126</v>
      </c>
      <c r="O7" s="43">
        <f t="shared" si="14"/>
        <v>6598</v>
      </c>
      <c r="P7" s="154">
        <v>5745379</v>
      </c>
      <c r="Q7" s="43">
        <f t="shared" si="7"/>
        <v>2732</v>
      </c>
      <c r="R7" s="151">
        <v>19794139</v>
      </c>
      <c r="S7" s="43">
        <f t="shared" si="8"/>
        <v>10881</v>
      </c>
      <c r="T7" s="151">
        <v>0</v>
      </c>
      <c r="U7" s="155"/>
      <c r="V7" s="151">
        <v>7684320</v>
      </c>
      <c r="W7" s="43">
        <f t="shared" si="9"/>
        <v>11227</v>
      </c>
      <c r="X7" s="21">
        <f t="shared" si="10"/>
        <v>47804</v>
      </c>
      <c r="Y7" s="156">
        <f t="shared" si="11"/>
        <v>7276</v>
      </c>
      <c r="Z7" s="3">
        <f t="shared" si="12"/>
        <v>6716.6330816000009</v>
      </c>
      <c r="AA7" s="3">
        <f t="shared" ref="AA7:AA33" si="15">SUM(Z4:Z7)</f>
        <v>23980.984039999999</v>
      </c>
    </row>
    <row r="8" spans="1:27" ht="16.5" thickBot="1" x14ac:dyDescent="0.3">
      <c r="A8" s="10">
        <v>44567</v>
      </c>
      <c r="B8" s="43">
        <v>197</v>
      </c>
      <c r="C8" s="150">
        <v>19277</v>
      </c>
      <c r="D8" s="43">
        <f t="shared" si="2"/>
        <v>640</v>
      </c>
      <c r="E8" s="151">
        <v>29462606</v>
      </c>
      <c r="F8" s="43">
        <f t="shared" si="3"/>
        <v>8427</v>
      </c>
      <c r="G8" s="152">
        <v>93592675</v>
      </c>
      <c r="H8" s="43">
        <f t="shared" si="4"/>
        <v>27588</v>
      </c>
      <c r="I8" s="153">
        <f t="shared" si="5"/>
        <v>36015</v>
      </c>
      <c r="J8" s="151">
        <v>9269638</v>
      </c>
      <c r="K8" s="43">
        <f t="shared" si="13"/>
        <v>6088</v>
      </c>
      <c r="L8" s="154">
        <v>9274850</v>
      </c>
      <c r="M8" s="43">
        <f t="shared" si="6"/>
        <v>3900</v>
      </c>
      <c r="N8" s="151">
        <v>6250330</v>
      </c>
      <c r="O8" s="43">
        <f t="shared" si="14"/>
        <v>4408</v>
      </c>
      <c r="P8" s="154">
        <v>5747110</v>
      </c>
      <c r="Q8" s="43">
        <f t="shared" si="7"/>
        <v>1731</v>
      </c>
      <c r="R8" s="151">
        <v>19801294</v>
      </c>
      <c r="S8" s="43">
        <f t="shared" si="8"/>
        <v>7155</v>
      </c>
      <c r="T8" s="151">
        <v>0</v>
      </c>
      <c r="U8" s="155"/>
      <c r="V8" s="151">
        <v>7691720</v>
      </c>
      <c r="W8" s="43">
        <f t="shared" si="9"/>
        <v>7400</v>
      </c>
      <c r="X8" s="21">
        <f t="shared" si="10"/>
        <v>30682</v>
      </c>
      <c r="Y8" s="156">
        <f t="shared" si="11"/>
        <v>5333</v>
      </c>
      <c r="Z8" s="3">
        <f t="shared" si="12"/>
        <v>4421.4504880000004</v>
      </c>
      <c r="AA8" s="3">
        <f t="shared" si="15"/>
        <v>23614.393150399999</v>
      </c>
    </row>
    <row r="9" spans="1:27" ht="16.5" thickBot="1" x14ac:dyDescent="0.3">
      <c r="A9" s="10">
        <v>44568</v>
      </c>
      <c r="B9" s="43">
        <v>125</v>
      </c>
      <c r="C9" s="150">
        <v>19280</v>
      </c>
      <c r="D9" s="43">
        <f t="shared" si="2"/>
        <v>480</v>
      </c>
      <c r="E9" s="151">
        <v>29476371</v>
      </c>
      <c r="F9" s="43">
        <f t="shared" si="3"/>
        <v>13765</v>
      </c>
      <c r="G9" s="152">
        <v>93639299</v>
      </c>
      <c r="H9" s="43">
        <f t="shared" si="4"/>
        <v>46624</v>
      </c>
      <c r="I9" s="153">
        <f t="shared" si="5"/>
        <v>60389</v>
      </c>
      <c r="J9" s="151">
        <v>9274512</v>
      </c>
      <c r="K9" s="43">
        <f t="shared" si="13"/>
        <v>9748</v>
      </c>
      <c r="L9" s="154">
        <v>9281205</v>
      </c>
      <c r="M9" s="43">
        <f t="shared" si="6"/>
        <v>6355</v>
      </c>
      <c r="N9" s="151">
        <v>6253946</v>
      </c>
      <c r="O9" s="43">
        <f t="shared" si="14"/>
        <v>7232</v>
      </c>
      <c r="P9" s="154">
        <v>5752024</v>
      </c>
      <c r="Q9" s="43">
        <f t="shared" si="7"/>
        <v>4914</v>
      </c>
      <c r="R9" s="151">
        <v>19813507</v>
      </c>
      <c r="S9" s="43">
        <f t="shared" si="8"/>
        <v>12213</v>
      </c>
      <c r="T9" s="151">
        <v>0</v>
      </c>
      <c r="U9" s="155"/>
      <c r="V9" s="151">
        <v>7704267</v>
      </c>
      <c r="W9" s="43">
        <f t="shared" si="9"/>
        <v>12547</v>
      </c>
      <c r="X9" s="21">
        <f t="shared" si="10"/>
        <v>53009</v>
      </c>
      <c r="Y9" s="156">
        <f t="shared" si="11"/>
        <v>7380</v>
      </c>
      <c r="Z9" s="3">
        <f t="shared" si="12"/>
        <v>7767.9804800000002</v>
      </c>
      <c r="AA9" s="3">
        <f t="shared" si="15"/>
        <v>24043.200875200004</v>
      </c>
    </row>
    <row r="10" spans="1:27" ht="16.5" thickBot="1" x14ac:dyDescent="0.3">
      <c r="A10" s="10">
        <v>44569</v>
      </c>
      <c r="B10" s="43">
        <f t="shared" ref="B10:B33" si="16">B9</f>
        <v>125</v>
      </c>
      <c r="C10" s="150">
        <v>19282</v>
      </c>
      <c r="D10" s="43">
        <f t="shared" si="2"/>
        <v>320</v>
      </c>
      <c r="E10" s="151">
        <v>29487020</v>
      </c>
      <c r="F10" s="43">
        <f t="shared" si="3"/>
        <v>10649</v>
      </c>
      <c r="G10" s="152">
        <v>93674065</v>
      </c>
      <c r="H10" s="43">
        <f t="shared" si="4"/>
        <v>34766</v>
      </c>
      <c r="I10" s="153">
        <f t="shared" si="5"/>
        <v>45415</v>
      </c>
      <c r="J10" s="151">
        <v>9278452</v>
      </c>
      <c r="K10" s="43">
        <f t="shared" si="13"/>
        <v>7880</v>
      </c>
      <c r="L10" s="154">
        <v>9285963</v>
      </c>
      <c r="M10" s="43">
        <f t="shared" si="6"/>
        <v>4758</v>
      </c>
      <c r="N10" s="151">
        <v>6256826</v>
      </c>
      <c r="O10" s="43">
        <f t="shared" si="14"/>
        <v>5760</v>
      </c>
      <c r="P10" s="154">
        <v>5752260</v>
      </c>
      <c r="Q10" s="43">
        <f t="shared" si="7"/>
        <v>236</v>
      </c>
      <c r="R10" s="151">
        <v>19822217</v>
      </c>
      <c r="S10" s="43">
        <f t="shared" si="8"/>
        <v>8710</v>
      </c>
      <c r="T10" s="151">
        <v>0</v>
      </c>
      <c r="U10" s="155"/>
      <c r="V10" s="151">
        <v>7713724</v>
      </c>
      <c r="W10" s="43">
        <f t="shared" si="9"/>
        <v>9457</v>
      </c>
      <c r="X10" s="21">
        <f t="shared" si="10"/>
        <v>36801</v>
      </c>
      <c r="Y10" s="156">
        <f t="shared" si="11"/>
        <v>8614</v>
      </c>
      <c r="Z10" s="3">
        <f t="shared" si="12"/>
        <v>5277.4359664000003</v>
      </c>
      <c r="AA10" s="3">
        <f t="shared" si="15"/>
        <v>24183.500016000002</v>
      </c>
    </row>
    <row r="11" spans="1:27" ht="15.75" customHeight="1" thickBot="1" x14ac:dyDescent="0.3">
      <c r="A11" s="10">
        <v>44570</v>
      </c>
      <c r="B11" s="43">
        <v>201</v>
      </c>
      <c r="C11" s="150">
        <v>19284</v>
      </c>
      <c r="D11" s="43">
        <f t="shared" si="2"/>
        <v>320</v>
      </c>
      <c r="E11" s="151">
        <v>29497105</v>
      </c>
      <c r="F11" s="43">
        <f t="shared" si="3"/>
        <v>10085</v>
      </c>
      <c r="G11" s="152">
        <v>93706238</v>
      </c>
      <c r="H11" s="43">
        <f t="shared" si="4"/>
        <v>32173</v>
      </c>
      <c r="I11" s="153">
        <f t="shared" si="5"/>
        <v>42258</v>
      </c>
      <c r="J11" s="151">
        <v>9283384</v>
      </c>
      <c r="K11" s="43">
        <f t="shared" si="13"/>
        <v>9864</v>
      </c>
      <c r="L11" s="154">
        <v>9290678</v>
      </c>
      <c r="M11" s="43">
        <f t="shared" si="6"/>
        <v>4715</v>
      </c>
      <c r="N11" s="151">
        <v>6259445</v>
      </c>
      <c r="O11" s="43">
        <f t="shared" si="14"/>
        <v>5238</v>
      </c>
      <c r="P11" s="154">
        <v>5754280</v>
      </c>
      <c r="Q11" s="43">
        <f t="shared" si="7"/>
        <v>2020</v>
      </c>
      <c r="R11" s="151">
        <v>19830400</v>
      </c>
      <c r="S11" s="43">
        <f t="shared" si="8"/>
        <v>8183</v>
      </c>
      <c r="T11" s="151">
        <v>0</v>
      </c>
      <c r="U11" s="155"/>
      <c r="V11" s="151">
        <v>7722315</v>
      </c>
      <c r="W11" s="43">
        <f t="shared" si="9"/>
        <v>8591</v>
      </c>
      <c r="X11" s="21">
        <f t="shared" si="10"/>
        <v>38611</v>
      </c>
      <c r="Y11" s="156">
        <f t="shared" si="11"/>
        <v>3647</v>
      </c>
      <c r="Z11" s="3">
        <f t="shared" si="12"/>
        <v>5122.0309088000004</v>
      </c>
      <c r="AA11" s="3">
        <f t="shared" si="15"/>
        <v>22588.8978432</v>
      </c>
    </row>
    <row r="12" spans="1:27" ht="16.5" thickBot="1" x14ac:dyDescent="0.3">
      <c r="A12" s="10">
        <v>44571</v>
      </c>
      <c r="B12" s="43">
        <v>188</v>
      </c>
      <c r="C12" s="150">
        <v>19287</v>
      </c>
      <c r="D12" s="43">
        <f t="shared" si="2"/>
        <v>480</v>
      </c>
      <c r="E12" s="151">
        <v>29504823</v>
      </c>
      <c r="F12" s="43">
        <f t="shared" si="3"/>
        <v>7718</v>
      </c>
      <c r="G12" s="152">
        <v>93753198</v>
      </c>
      <c r="H12" s="43">
        <f t="shared" si="4"/>
        <v>46960</v>
      </c>
      <c r="I12" s="153">
        <f t="shared" si="5"/>
        <v>54678</v>
      </c>
      <c r="J12" s="151">
        <v>9287470</v>
      </c>
      <c r="K12" s="43">
        <f t="shared" si="13"/>
        <v>8172</v>
      </c>
      <c r="L12" s="154">
        <v>9296306</v>
      </c>
      <c r="M12" s="43">
        <f t="shared" si="6"/>
        <v>5628</v>
      </c>
      <c r="N12" s="151">
        <v>6260424</v>
      </c>
      <c r="O12" s="43">
        <f t="shared" si="14"/>
        <v>1958</v>
      </c>
      <c r="P12" s="154">
        <v>5760534</v>
      </c>
      <c r="Q12" s="43">
        <f t="shared" si="7"/>
        <v>6254</v>
      </c>
      <c r="R12" s="151">
        <v>19841703</v>
      </c>
      <c r="S12" s="43">
        <f t="shared" si="8"/>
        <v>11303</v>
      </c>
      <c r="T12" s="151">
        <v>0</v>
      </c>
      <c r="U12" s="155"/>
      <c r="V12" s="151">
        <v>7733756</v>
      </c>
      <c r="W12" s="43">
        <f t="shared" si="9"/>
        <v>11441</v>
      </c>
      <c r="X12" s="21">
        <f t="shared" si="10"/>
        <v>44756</v>
      </c>
      <c r="Y12" s="156">
        <f t="shared" si="11"/>
        <v>9922</v>
      </c>
      <c r="Z12" s="3">
        <f t="shared" si="12"/>
        <v>6709.1493248000006</v>
      </c>
      <c r="AA12" s="3">
        <f t="shared" si="15"/>
        <v>24876.596680000002</v>
      </c>
    </row>
    <row r="13" spans="1:27" ht="16.5" thickBot="1" x14ac:dyDescent="0.3">
      <c r="A13" s="10">
        <v>44572</v>
      </c>
      <c r="B13" s="43">
        <v>203</v>
      </c>
      <c r="C13" s="150">
        <v>19290</v>
      </c>
      <c r="D13" s="43">
        <f t="shared" ref="D13" si="17">IF((C13-C12)&lt;0,"0",(C13-C12))*160</f>
        <v>480</v>
      </c>
      <c r="E13" s="151">
        <v>29509771</v>
      </c>
      <c r="F13" s="43">
        <f t="shared" ref="F13" si="18">IF((E13-E12)&lt;0,"0",(E13-E12))</f>
        <v>4948</v>
      </c>
      <c r="G13" s="152">
        <v>93782909</v>
      </c>
      <c r="H13" s="43">
        <f t="shared" ref="H13" si="19">IF((G13-G12)&lt;0,"0",(G13-G12))</f>
        <v>29711</v>
      </c>
      <c r="I13" s="153">
        <f t="shared" ref="I13" si="20">F13+H13</f>
        <v>34659</v>
      </c>
      <c r="J13" s="151">
        <v>9290672</v>
      </c>
      <c r="K13" s="43">
        <f t="shared" ref="K13" si="21">(IF((J13-J12)&lt;0,"0",(J13-J12)))*2</f>
        <v>6404</v>
      </c>
      <c r="L13" s="154">
        <v>9300167</v>
      </c>
      <c r="M13" s="43">
        <f t="shared" ref="M13" si="22">IF((L13-L12)&lt;0,"0",(L13-L12))</f>
        <v>3861</v>
      </c>
      <c r="N13" s="151">
        <v>6260929</v>
      </c>
      <c r="O13" s="43">
        <f t="shared" ref="O13" si="23">(IF((N13-N12)&lt;0,"0",(N13-N12)))*2</f>
        <v>1010</v>
      </c>
      <c r="P13" s="154">
        <v>5765078</v>
      </c>
      <c r="Q13" s="43">
        <f t="shared" ref="Q13" si="24">IF((P13-P12)&lt;0,"0",(P13-P12))</f>
        <v>4544</v>
      </c>
      <c r="R13" s="151">
        <v>19848761</v>
      </c>
      <c r="S13" s="43">
        <f t="shared" ref="S13" si="25">IF((R13-R12)&lt;0,"0",(R13-R12))</f>
        <v>7058</v>
      </c>
      <c r="T13" s="151">
        <v>0</v>
      </c>
      <c r="U13" s="155"/>
      <c r="V13" s="151">
        <v>7740795</v>
      </c>
      <c r="W13" s="43">
        <f t="shared" ref="W13" si="26">IF((V13-V12)&lt;0,"0",(V13-V12))</f>
        <v>7039</v>
      </c>
      <c r="X13" s="21">
        <f t="shared" ref="X13" si="27">K13+M13+O13+Q13+S13+U13+W13</f>
        <v>29916</v>
      </c>
      <c r="Y13" s="156">
        <f t="shared" ref="Y13" si="28">I13-X13</f>
        <v>4743</v>
      </c>
      <c r="Z13" s="3">
        <f t="shared" ref="Z13" si="29">(0.93352*(W13+S13)+0.5568*(Q13+O13))*0.26</f>
        <v>4225.5976463999996</v>
      </c>
      <c r="AA13" s="3">
        <f t="shared" si="15"/>
        <v>21334.213846400002</v>
      </c>
    </row>
    <row r="14" spans="1:27" ht="16.5" thickBot="1" x14ac:dyDescent="0.3">
      <c r="A14" s="10">
        <v>44573</v>
      </c>
      <c r="B14" s="43">
        <f t="shared" si="16"/>
        <v>203</v>
      </c>
      <c r="C14" s="150"/>
      <c r="D14" s="43">
        <f t="shared" si="2"/>
        <v>0</v>
      </c>
      <c r="E14" s="151"/>
      <c r="F14" s="43" t="str">
        <f t="shared" si="3"/>
        <v>0</v>
      </c>
      <c r="G14" s="152"/>
      <c r="H14" s="43" t="str">
        <f t="shared" si="4"/>
        <v>0</v>
      </c>
      <c r="I14" s="153">
        <f t="shared" si="5"/>
        <v>0</v>
      </c>
      <c r="J14" s="151"/>
      <c r="K14" s="43">
        <f t="shared" si="13"/>
        <v>0</v>
      </c>
      <c r="L14" s="154"/>
      <c r="M14" s="43" t="str">
        <f t="shared" si="6"/>
        <v>0</v>
      </c>
      <c r="N14" s="151">
        <f t="shared" ref="N13:N33" si="30">N13</f>
        <v>6260929</v>
      </c>
      <c r="O14" s="43">
        <f t="shared" si="14"/>
        <v>0</v>
      </c>
      <c r="P14" s="154">
        <f t="shared" ref="P13:P33" si="31">P13</f>
        <v>5765078</v>
      </c>
      <c r="Q14" s="43">
        <f t="shared" si="7"/>
        <v>0</v>
      </c>
      <c r="R14" s="151">
        <f t="shared" ref="R13:R33" si="32">R13</f>
        <v>19848761</v>
      </c>
      <c r="S14" s="43">
        <f>IF((R14-R13)&lt;0,"0",(R14-R13))</f>
        <v>0</v>
      </c>
      <c r="T14" s="151">
        <v>0</v>
      </c>
      <c r="U14" s="155"/>
      <c r="V14" s="151">
        <f t="shared" ref="V13:V33" si="33">V13</f>
        <v>7740795</v>
      </c>
      <c r="W14" s="43">
        <f t="shared" si="9"/>
        <v>0</v>
      </c>
      <c r="X14" s="21">
        <f t="shared" si="10"/>
        <v>0</v>
      </c>
      <c r="Y14" s="156">
        <f t="shared" si="11"/>
        <v>0</v>
      </c>
      <c r="Z14" s="3">
        <f t="shared" si="12"/>
        <v>0</v>
      </c>
      <c r="AA14" s="3">
        <f t="shared" si="15"/>
        <v>16056.77788</v>
      </c>
    </row>
    <row r="15" spans="1:27" ht="16.5" thickBot="1" x14ac:dyDescent="0.3">
      <c r="A15" s="10">
        <v>44574</v>
      </c>
      <c r="B15" s="43">
        <f t="shared" si="16"/>
        <v>203</v>
      </c>
      <c r="C15" s="150"/>
      <c r="D15" s="43">
        <f t="shared" si="2"/>
        <v>0</v>
      </c>
      <c r="E15" s="151"/>
      <c r="F15" s="43">
        <f t="shared" si="3"/>
        <v>0</v>
      </c>
      <c r="G15" s="152"/>
      <c r="H15" s="43">
        <f t="shared" si="4"/>
        <v>0</v>
      </c>
      <c r="I15" s="153">
        <f t="shared" si="5"/>
        <v>0</v>
      </c>
      <c r="J15" s="151"/>
      <c r="K15" s="43">
        <f t="shared" si="13"/>
        <v>0</v>
      </c>
      <c r="L15" s="154"/>
      <c r="M15" s="43">
        <f t="shared" si="6"/>
        <v>0</v>
      </c>
      <c r="N15" s="151">
        <f t="shared" si="30"/>
        <v>6260929</v>
      </c>
      <c r="O15" s="43">
        <f t="shared" si="14"/>
        <v>0</v>
      </c>
      <c r="P15" s="154">
        <f t="shared" si="31"/>
        <v>5765078</v>
      </c>
      <c r="Q15" s="43">
        <f t="shared" si="7"/>
        <v>0</v>
      </c>
      <c r="R15" s="151">
        <f t="shared" si="32"/>
        <v>19848761</v>
      </c>
      <c r="S15" s="43">
        <f>IF((R15-R14)&lt;0,"0",(R15-R14))</f>
        <v>0</v>
      </c>
      <c r="T15" s="151">
        <v>0</v>
      </c>
      <c r="U15" s="155"/>
      <c r="V15" s="151">
        <f t="shared" si="33"/>
        <v>7740795</v>
      </c>
      <c r="W15" s="43">
        <f t="shared" si="9"/>
        <v>0</v>
      </c>
      <c r="X15" s="21">
        <f t="shared" si="10"/>
        <v>0</v>
      </c>
      <c r="Y15" s="156">
        <f t="shared" si="11"/>
        <v>0</v>
      </c>
      <c r="Z15" s="3">
        <f t="shared" si="12"/>
        <v>0</v>
      </c>
      <c r="AA15" s="3">
        <f t="shared" si="15"/>
        <v>10934.7469712</v>
      </c>
    </row>
    <row r="16" spans="1:27" ht="16.5" thickBot="1" x14ac:dyDescent="0.3">
      <c r="A16" s="10">
        <v>44575</v>
      </c>
      <c r="B16" s="43">
        <f t="shared" si="16"/>
        <v>203</v>
      </c>
      <c r="C16" s="150"/>
      <c r="D16" s="43">
        <f t="shared" si="2"/>
        <v>0</v>
      </c>
      <c r="E16" s="151"/>
      <c r="F16" s="43">
        <f t="shared" si="3"/>
        <v>0</v>
      </c>
      <c r="G16" s="152"/>
      <c r="H16" s="43">
        <f t="shared" si="4"/>
        <v>0</v>
      </c>
      <c r="I16" s="153">
        <f t="shared" si="5"/>
        <v>0</v>
      </c>
      <c r="J16" s="151"/>
      <c r="K16" s="43">
        <f t="shared" si="13"/>
        <v>0</v>
      </c>
      <c r="L16" s="154"/>
      <c r="M16" s="43">
        <f t="shared" si="6"/>
        <v>0</v>
      </c>
      <c r="N16" s="151">
        <f t="shared" si="30"/>
        <v>6260929</v>
      </c>
      <c r="O16" s="43">
        <f t="shared" si="14"/>
        <v>0</v>
      </c>
      <c r="P16" s="154">
        <f t="shared" si="31"/>
        <v>5765078</v>
      </c>
      <c r="Q16" s="43">
        <f t="shared" si="7"/>
        <v>0</v>
      </c>
      <c r="R16" s="151">
        <f t="shared" si="32"/>
        <v>19848761</v>
      </c>
      <c r="S16" s="43">
        <f t="shared" si="8"/>
        <v>0</v>
      </c>
      <c r="T16" s="151">
        <v>0</v>
      </c>
      <c r="U16" s="155"/>
      <c r="V16" s="151">
        <f t="shared" si="33"/>
        <v>7740795</v>
      </c>
      <c r="W16" s="43">
        <f t="shared" si="9"/>
        <v>0</v>
      </c>
      <c r="X16" s="21">
        <f t="shared" si="10"/>
        <v>0</v>
      </c>
      <c r="Y16" s="156">
        <f t="shared" si="11"/>
        <v>0</v>
      </c>
      <c r="Z16" s="3">
        <f t="shared" si="12"/>
        <v>0</v>
      </c>
      <c r="AA16" s="3">
        <f t="shared" si="15"/>
        <v>4225.5976463999996</v>
      </c>
    </row>
    <row r="17" spans="1:27" s="135" customFormat="1" ht="16.5" thickBot="1" x14ac:dyDescent="0.3">
      <c r="A17" s="10">
        <v>44576</v>
      </c>
      <c r="B17" s="43">
        <f t="shared" si="16"/>
        <v>203</v>
      </c>
      <c r="C17" s="150"/>
      <c r="D17" s="43">
        <f t="shared" si="2"/>
        <v>0</v>
      </c>
      <c r="E17" s="151"/>
      <c r="F17" s="43">
        <f t="shared" si="3"/>
        <v>0</v>
      </c>
      <c r="G17" s="152"/>
      <c r="H17" s="43">
        <f t="shared" si="4"/>
        <v>0</v>
      </c>
      <c r="I17" s="157">
        <f t="shared" si="5"/>
        <v>0</v>
      </c>
      <c r="J17" s="151"/>
      <c r="K17" s="134">
        <f t="shared" si="13"/>
        <v>0</v>
      </c>
      <c r="L17" s="154"/>
      <c r="M17" s="134">
        <f t="shared" si="6"/>
        <v>0</v>
      </c>
      <c r="N17" s="151">
        <f t="shared" si="30"/>
        <v>6260929</v>
      </c>
      <c r="O17" s="134">
        <f t="shared" si="14"/>
        <v>0</v>
      </c>
      <c r="P17" s="154">
        <f t="shared" si="31"/>
        <v>5765078</v>
      </c>
      <c r="Q17" s="134">
        <f t="shared" si="7"/>
        <v>0</v>
      </c>
      <c r="R17" s="151">
        <f t="shared" si="32"/>
        <v>19848761</v>
      </c>
      <c r="S17" s="134">
        <f t="shared" si="8"/>
        <v>0</v>
      </c>
      <c r="T17" s="158">
        <v>0</v>
      </c>
      <c r="U17" s="155"/>
      <c r="V17" s="151">
        <f t="shared" si="33"/>
        <v>7740795</v>
      </c>
      <c r="W17" s="134">
        <f t="shared" si="9"/>
        <v>0</v>
      </c>
      <c r="X17" s="21">
        <f t="shared" si="10"/>
        <v>0</v>
      </c>
      <c r="Y17" s="159">
        <f t="shared" si="11"/>
        <v>0</v>
      </c>
      <c r="Z17" s="160">
        <f t="shared" si="12"/>
        <v>0</v>
      </c>
      <c r="AA17" s="3">
        <f t="shared" si="15"/>
        <v>0</v>
      </c>
    </row>
    <row r="18" spans="1:27" s="135" customFormat="1" ht="16.5" thickBot="1" x14ac:dyDescent="0.3">
      <c r="A18" s="10">
        <v>44577</v>
      </c>
      <c r="B18" s="43">
        <f t="shared" si="16"/>
        <v>203</v>
      </c>
      <c r="C18" s="150"/>
      <c r="D18" s="43">
        <f t="shared" si="2"/>
        <v>0</v>
      </c>
      <c r="E18" s="151"/>
      <c r="F18" s="43">
        <f t="shared" si="3"/>
        <v>0</v>
      </c>
      <c r="G18" s="152"/>
      <c r="H18" s="43">
        <f t="shared" si="4"/>
        <v>0</v>
      </c>
      <c r="I18" s="157">
        <f t="shared" si="5"/>
        <v>0</v>
      </c>
      <c r="J18" s="151"/>
      <c r="K18" s="134">
        <f t="shared" si="13"/>
        <v>0</v>
      </c>
      <c r="L18" s="154"/>
      <c r="M18" s="134">
        <f t="shared" si="6"/>
        <v>0</v>
      </c>
      <c r="N18" s="151">
        <f t="shared" si="30"/>
        <v>6260929</v>
      </c>
      <c r="O18" s="134">
        <f t="shared" si="14"/>
        <v>0</v>
      </c>
      <c r="P18" s="154">
        <f t="shared" si="31"/>
        <v>5765078</v>
      </c>
      <c r="Q18" s="134">
        <f t="shared" si="7"/>
        <v>0</v>
      </c>
      <c r="R18" s="151">
        <f t="shared" si="32"/>
        <v>19848761</v>
      </c>
      <c r="S18" s="134">
        <f t="shared" si="8"/>
        <v>0</v>
      </c>
      <c r="T18" s="158">
        <v>0</v>
      </c>
      <c r="U18" s="155"/>
      <c r="V18" s="151">
        <f t="shared" si="33"/>
        <v>7740795</v>
      </c>
      <c r="W18" s="134">
        <f t="shared" si="9"/>
        <v>0</v>
      </c>
      <c r="X18" s="21">
        <f t="shared" si="10"/>
        <v>0</v>
      </c>
      <c r="Y18" s="159">
        <f t="shared" si="11"/>
        <v>0</v>
      </c>
      <c r="Z18" s="160">
        <f t="shared" si="12"/>
        <v>0</v>
      </c>
      <c r="AA18" s="3">
        <f t="shared" si="15"/>
        <v>0</v>
      </c>
    </row>
    <row r="19" spans="1:27" s="135" customFormat="1" ht="16.5" thickBot="1" x14ac:dyDescent="0.3">
      <c r="A19" s="10">
        <v>44578</v>
      </c>
      <c r="B19" s="43">
        <f t="shared" si="16"/>
        <v>203</v>
      </c>
      <c r="C19" s="150"/>
      <c r="D19" s="43">
        <f t="shared" si="2"/>
        <v>0</v>
      </c>
      <c r="E19" s="151"/>
      <c r="F19" s="43">
        <f t="shared" si="3"/>
        <v>0</v>
      </c>
      <c r="G19" s="152"/>
      <c r="H19" s="43">
        <f t="shared" si="4"/>
        <v>0</v>
      </c>
      <c r="I19" s="157">
        <f t="shared" si="5"/>
        <v>0</v>
      </c>
      <c r="J19" s="151"/>
      <c r="K19" s="134">
        <f t="shared" si="13"/>
        <v>0</v>
      </c>
      <c r="L19" s="154"/>
      <c r="M19" s="134">
        <f t="shared" si="6"/>
        <v>0</v>
      </c>
      <c r="N19" s="151">
        <f t="shared" si="30"/>
        <v>6260929</v>
      </c>
      <c r="O19" s="134">
        <f t="shared" si="14"/>
        <v>0</v>
      </c>
      <c r="P19" s="154">
        <f t="shared" si="31"/>
        <v>5765078</v>
      </c>
      <c r="Q19" s="134">
        <f t="shared" si="7"/>
        <v>0</v>
      </c>
      <c r="R19" s="151">
        <f t="shared" si="32"/>
        <v>19848761</v>
      </c>
      <c r="S19" s="134">
        <f t="shared" si="8"/>
        <v>0</v>
      </c>
      <c r="T19" s="158">
        <v>0</v>
      </c>
      <c r="U19" s="155"/>
      <c r="V19" s="151">
        <f t="shared" si="33"/>
        <v>7740795</v>
      </c>
      <c r="W19" s="134">
        <f t="shared" si="9"/>
        <v>0</v>
      </c>
      <c r="X19" s="21">
        <f t="shared" si="10"/>
        <v>0</v>
      </c>
      <c r="Y19" s="159">
        <f t="shared" si="11"/>
        <v>0</v>
      </c>
      <c r="Z19" s="160">
        <f t="shared" si="12"/>
        <v>0</v>
      </c>
      <c r="AA19" s="3">
        <f t="shared" si="15"/>
        <v>0</v>
      </c>
    </row>
    <row r="20" spans="1:27" s="135" customFormat="1" ht="16.5" thickBot="1" x14ac:dyDescent="0.3">
      <c r="A20" s="10">
        <v>44579</v>
      </c>
      <c r="B20" s="43">
        <f t="shared" si="16"/>
        <v>203</v>
      </c>
      <c r="C20" s="150"/>
      <c r="D20" s="43">
        <f t="shared" si="2"/>
        <v>0</v>
      </c>
      <c r="E20" s="151"/>
      <c r="F20" s="43">
        <f t="shared" si="3"/>
        <v>0</v>
      </c>
      <c r="G20" s="152"/>
      <c r="H20" s="43">
        <f t="shared" si="4"/>
        <v>0</v>
      </c>
      <c r="I20" s="157">
        <f t="shared" si="5"/>
        <v>0</v>
      </c>
      <c r="J20" s="151"/>
      <c r="K20" s="134">
        <f t="shared" si="13"/>
        <v>0</v>
      </c>
      <c r="L20" s="154"/>
      <c r="M20" s="134">
        <f t="shared" si="6"/>
        <v>0</v>
      </c>
      <c r="N20" s="151">
        <f t="shared" si="30"/>
        <v>6260929</v>
      </c>
      <c r="O20" s="134">
        <f t="shared" si="14"/>
        <v>0</v>
      </c>
      <c r="P20" s="154">
        <f t="shared" si="31"/>
        <v>5765078</v>
      </c>
      <c r="Q20" s="134">
        <f t="shared" si="7"/>
        <v>0</v>
      </c>
      <c r="R20" s="151">
        <f t="shared" si="32"/>
        <v>19848761</v>
      </c>
      <c r="S20" s="134">
        <f t="shared" si="8"/>
        <v>0</v>
      </c>
      <c r="T20" s="158">
        <v>0</v>
      </c>
      <c r="U20" s="155"/>
      <c r="V20" s="151">
        <f t="shared" si="33"/>
        <v>7740795</v>
      </c>
      <c r="W20" s="134">
        <f t="shared" si="9"/>
        <v>0</v>
      </c>
      <c r="X20" s="21">
        <f t="shared" si="10"/>
        <v>0</v>
      </c>
      <c r="Y20" s="159">
        <f t="shared" si="11"/>
        <v>0</v>
      </c>
      <c r="Z20" s="160">
        <f t="shared" si="12"/>
        <v>0</v>
      </c>
      <c r="AA20" s="3">
        <f t="shared" si="15"/>
        <v>0</v>
      </c>
    </row>
    <row r="21" spans="1:27" s="135" customFormat="1" ht="16.5" thickBot="1" x14ac:dyDescent="0.3">
      <c r="A21" s="10">
        <v>44580</v>
      </c>
      <c r="B21" s="43">
        <f t="shared" si="16"/>
        <v>203</v>
      </c>
      <c r="C21" s="150"/>
      <c r="D21" s="43">
        <f t="shared" si="2"/>
        <v>0</v>
      </c>
      <c r="E21" s="151"/>
      <c r="F21" s="43">
        <f t="shared" si="3"/>
        <v>0</v>
      </c>
      <c r="G21" s="152"/>
      <c r="H21" s="43">
        <f t="shared" si="4"/>
        <v>0</v>
      </c>
      <c r="I21" s="157">
        <f t="shared" si="5"/>
        <v>0</v>
      </c>
      <c r="J21" s="151"/>
      <c r="K21" s="134">
        <f t="shared" si="13"/>
        <v>0</v>
      </c>
      <c r="L21" s="154"/>
      <c r="M21" s="134">
        <f t="shared" si="6"/>
        <v>0</v>
      </c>
      <c r="N21" s="151">
        <f t="shared" si="30"/>
        <v>6260929</v>
      </c>
      <c r="O21" s="134">
        <f t="shared" si="14"/>
        <v>0</v>
      </c>
      <c r="P21" s="154">
        <f t="shared" si="31"/>
        <v>5765078</v>
      </c>
      <c r="Q21" s="134">
        <f t="shared" si="7"/>
        <v>0</v>
      </c>
      <c r="R21" s="151">
        <f t="shared" si="32"/>
        <v>19848761</v>
      </c>
      <c r="S21" s="134">
        <f t="shared" si="8"/>
        <v>0</v>
      </c>
      <c r="T21" s="158">
        <v>0</v>
      </c>
      <c r="U21" s="155"/>
      <c r="V21" s="151">
        <f t="shared" si="33"/>
        <v>7740795</v>
      </c>
      <c r="W21" s="134">
        <f t="shared" si="9"/>
        <v>0</v>
      </c>
      <c r="X21" s="21">
        <f t="shared" si="10"/>
        <v>0</v>
      </c>
      <c r="Y21" s="159">
        <f t="shared" si="11"/>
        <v>0</v>
      </c>
      <c r="Z21" s="160">
        <f t="shared" si="12"/>
        <v>0</v>
      </c>
      <c r="AA21" s="3">
        <f t="shared" si="15"/>
        <v>0</v>
      </c>
    </row>
    <row r="22" spans="1:27" ht="16.5" thickBot="1" x14ac:dyDescent="0.3">
      <c r="A22" s="10">
        <v>44581</v>
      </c>
      <c r="B22" s="43">
        <f t="shared" si="16"/>
        <v>203</v>
      </c>
      <c r="C22" s="150"/>
      <c r="D22" s="43">
        <f t="shared" si="2"/>
        <v>0</v>
      </c>
      <c r="E22" s="151"/>
      <c r="F22" s="43">
        <f t="shared" si="3"/>
        <v>0</v>
      </c>
      <c r="G22" s="152"/>
      <c r="H22" s="43">
        <f t="shared" si="4"/>
        <v>0</v>
      </c>
      <c r="I22" s="153">
        <f t="shared" si="5"/>
        <v>0</v>
      </c>
      <c r="J22" s="151"/>
      <c r="K22" s="43">
        <f t="shared" si="13"/>
        <v>0</v>
      </c>
      <c r="L22" s="154"/>
      <c r="M22" s="43">
        <f t="shared" si="6"/>
        <v>0</v>
      </c>
      <c r="N22" s="151">
        <f t="shared" si="30"/>
        <v>6260929</v>
      </c>
      <c r="O22" s="43">
        <f t="shared" si="14"/>
        <v>0</v>
      </c>
      <c r="P22" s="154">
        <f t="shared" si="31"/>
        <v>5765078</v>
      </c>
      <c r="Q22" s="43">
        <f t="shared" si="7"/>
        <v>0</v>
      </c>
      <c r="R22" s="151">
        <f t="shared" si="32"/>
        <v>19848761</v>
      </c>
      <c r="S22" s="43">
        <f t="shared" si="8"/>
        <v>0</v>
      </c>
      <c r="T22" s="151">
        <v>0</v>
      </c>
      <c r="U22" s="155"/>
      <c r="V22" s="151">
        <f t="shared" si="33"/>
        <v>7740795</v>
      </c>
      <c r="W22" s="43">
        <f t="shared" si="9"/>
        <v>0</v>
      </c>
      <c r="X22" s="21">
        <f t="shared" si="10"/>
        <v>0</v>
      </c>
      <c r="Y22" s="156">
        <f t="shared" si="11"/>
        <v>0</v>
      </c>
      <c r="Z22" s="3">
        <f t="shared" si="12"/>
        <v>0</v>
      </c>
      <c r="AA22" s="3">
        <f t="shared" si="15"/>
        <v>0</v>
      </c>
    </row>
    <row r="23" spans="1:27" ht="16.5" thickBot="1" x14ac:dyDescent="0.3">
      <c r="A23" s="10">
        <v>44582</v>
      </c>
      <c r="B23" s="43">
        <f t="shared" si="16"/>
        <v>203</v>
      </c>
      <c r="C23" s="150"/>
      <c r="D23" s="43">
        <f t="shared" si="2"/>
        <v>0</v>
      </c>
      <c r="E23" s="151"/>
      <c r="F23" s="43">
        <f t="shared" si="3"/>
        <v>0</v>
      </c>
      <c r="G23" s="152"/>
      <c r="H23" s="43">
        <f t="shared" si="4"/>
        <v>0</v>
      </c>
      <c r="I23" s="153">
        <f t="shared" si="5"/>
        <v>0</v>
      </c>
      <c r="J23" s="151"/>
      <c r="K23" s="43">
        <f t="shared" si="13"/>
        <v>0</v>
      </c>
      <c r="L23" s="154"/>
      <c r="M23" s="43">
        <f t="shared" si="6"/>
        <v>0</v>
      </c>
      <c r="N23" s="151">
        <f t="shared" si="30"/>
        <v>6260929</v>
      </c>
      <c r="O23" s="43">
        <f t="shared" si="14"/>
        <v>0</v>
      </c>
      <c r="P23" s="154">
        <f t="shared" si="31"/>
        <v>5765078</v>
      </c>
      <c r="Q23" s="43">
        <f t="shared" si="7"/>
        <v>0</v>
      </c>
      <c r="R23" s="151">
        <f t="shared" si="32"/>
        <v>19848761</v>
      </c>
      <c r="S23" s="43">
        <f t="shared" si="8"/>
        <v>0</v>
      </c>
      <c r="T23" s="151">
        <v>0</v>
      </c>
      <c r="U23" s="155"/>
      <c r="V23" s="151">
        <f t="shared" si="33"/>
        <v>7740795</v>
      </c>
      <c r="W23" s="43">
        <f t="shared" si="9"/>
        <v>0</v>
      </c>
      <c r="X23" s="21">
        <f t="shared" si="10"/>
        <v>0</v>
      </c>
      <c r="Y23" s="156">
        <f t="shared" si="11"/>
        <v>0</v>
      </c>
      <c r="Z23" s="3">
        <f t="shared" si="12"/>
        <v>0</v>
      </c>
      <c r="AA23" s="3">
        <f t="shared" si="15"/>
        <v>0</v>
      </c>
    </row>
    <row r="24" spans="1:27" ht="16.5" thickBot="1" x14ac:dyDescent="0.3">
      <c r="A24" s="10">
        <v>44583</v>
      </c>
      <c r="B24" s="43">
        <f t="shared" si="16"/>
        <v>203</v>
      </c>
      <c r="C24" s="150"/>
      <c r="D24" s="43">
        <f t="shared" si="2"/>
        <v>0</v>
      </c>
      <c r="E24" s="151"/>
      <c r="F24" s="43">
        <f t="shared" si="3"/>
        <v>0</v>
      </c>
      <c r="G24" s="152"/>
      <c r="H24" s="43">
        <f t="shared" si="4"/>
        <v>0</v>
      </c>
      <c r="I24" s="153">
        <f t="shared" si="5"/>
        <v>0</v>
      </c>
      <c r="J24" s="151"/>
      <c r="K24" s="43">
        <f t="shared" si="13"/>
        <v>0</v>
      </c>
      <c r="L24" s="154"/>
      <c r="M24" s="43">
        <f t="shared" si="6"/>
        <v>0</v>
      </c>
      <c r="N24" s="151">
        <f t="shared" si="30"/>
        <v>6260929</v>
      </c>
      <c r="O24" s="43">
        <f t="shared" si="14"/>
        <v>0</v>
      </c>
      <c r="P24" s="154">
        <f t="shared" si="31"/>
        <v>5765078</v>
      </c>
      <c r="Q24" s="43">
        <f t="shared" si="7"/>
        <v>0</v>
      </c>
      <c r="R24" s="151">
        <f t="shared" si="32"/>
        <v>19848761</v>
      </c>
      <c r="S24" s="43">
        <f t="shared" si="8"/>
        <v>0</v>
      </c>
      <c r="T24" s="151">
        <v>0</v>
      </c>
      <c r="U24" s="155"/>
      <c r="V24" s="151">
        <f t="shared" si="33"/>
        <v>7740795</v>
      </c>
      <c r="W24" s="43">
        <f t="shared" si="9"/>
        <v>0</v>
      </c>
      <c r="X24" s="21">
        <f t="shared" si="10"/>
        <v>0</v>
      </c>
      <c r="Y24" s="156">
        <f t="shared" si="11"/>
        <v>0</v>
      </c>
      <c r="Z24" s="3">
        <f t="shared" si="12"/>
        <v>0</v>
      </c>
      <c r="AA24" s="3">
        <f t="shared" si="15"/>
        <v>0</v>
      </c>
    </row>
    <row r="25" spans="1:27" ht="16.5" thickBot="1" x14ac:dyDescent="0.3">
      <c r="A25" s="10">
        <v>44584</v>
      </c>
      <c r="B25" s="43">
        <f t="shared" si="16"/>
        <v>203</v>
      </c>
      <c r="C25" s="150"/>
      <c r="D25" s="43">
        <f t="shared" si="2"/>
        <v>0</v>
      </c>
      <c r="E25" s="151"/>
      <c r="F25" s="43">
        <f t="shared" si="3"/>
        <v>0</v>
      </c>
      <c r="G25" s="152"/>
      <c r="H25" s="43">
        <f t="shared" si="4"/>
        <v>0</v>
      </c>
      <c r="I25" s="153">
        <f t="shared" si="5"/>
        <v>0</v>
      </c>
      <c r="J25" s="151"/>
      <c r="K25" s="43">
        <f t="shared" si="13"/>
        <v>0</v>
      </c>
      <c r="L25" s="154"/>
      <c r="M25" s="43">
        <f t="shared" si="6"/>
        <v>0</v>
      </c>
      <c r="N25" s="151">
        <f t="shared" si="30"/>
        <v>6260929</v>
      </c>
      <c r="O25" s="43">
        <f t="shared" si="14"/>
        <v>0</v>
      </c>
      <c r="P25" s="154">
        <f t="shared" si="31"/>
        <v>5765078</v>
      </c>
      <c r="Q25" s="43">
        <f t="shared" si="7"/>
        <v>0</v>
      </c>
      <c r="R25" s="151">
        <f t="shared" si="32"/>
        <v>19848761</v>
      </c>
      <c r="S25" s="43">
        <f t="shared" si="8"/>
        <v>0</v>
      </c>
      <c r="T25" s="151">
        <v>0</v>
      </c>
      <c r="U25" s="155"/>
      <c r="V25" s="151">
        <f t="shared" si="33"/>
        <v>7740795</v>
      </c>
      <c r="W25" s="43">
        <f t="shared" si="9"/>
        <v>0</v>
      </c>
      <c r="X25" s="21">
        <f t="shared" si="10"/>
        <v>0</v>
      </c>
      <c r="Y25" s="156">
        <f t="shared" si="11"/>
        <v>0</v>
      </c>
      <c r="Z25" s="3">
        <f t="shared" si="12"/>
        <v>0</v>
      </c>
      <c r="AA25" s="3">
        <f t="shared" si="15"/>
        <v>0</v>
      </c>
    </row>
    <row r="26" spans="1:27" ht="16.5" thickBot="1" x14ac:dyDescent="0.3">
      <c r="A26" s="10">
        <v>44585</v>
      </c>
      <c r="B26" s="43">
        <f t="shared" si="16"/>
        <v>203</v>
      </c>
      <c r="C26" s="150"/>
      <c r="D26" s="43">
        <f t="shared" si="2"/>
        <v>0</v>
      </c>
      <c r="E26" s="151"/>
      <c r="F26" s="43">
        <f t="shared" si="3"/>
        <v>0</v>
      </c>
      <c r="G26" s="152"/>
      <c r="H26" s="43">
        <f t="shared" si="4"/>
        <v>0</v>
      </c>
      <c r="I26" s="153">
        <f t="shared" si="5"/>
        <v>0</v>
      </c>
      <c r="J26" s="151"/>
      <c r="K26" s="43">
        <f t="shared" si="13"/>
        <v>0</v>
      </c>
      <c r="L26" s="154"/>
      <c r="M26" s="43">
        <f t="shared" si="6"/>
        <v>0</v>
      </c>
      <c r="N26" s="151">
        <f t="shared" si="30"/>
        <v>6260929</v>
      </c>
      <c r="O26" s="43">
        <f t="shared" si="14"/>
        <v>0</v>
      </c>
      <c r="P26" s="154">
        <f t="shared" si="31"/>
        <v>5765078</v>
      </c>
      <c r="Q26" s="43">
        <f t="shared" si="7"/>
        <v>0</v>
      </c>
      <c r="R26" s="151">
        <f t="shared" si="32"/>
        <v>19848761</v>
      </c>
      <c r="S26" s="43">
        <f t="shared" si="8"/>
        <v>0</v>
      </c>
      <c r="T26" s="151">
        <v>0</v>
      </c>
      <c r="U26" s="155"/>
      <c r="V26" s="151">
        <f t="shared" si="33"/>
        <v>7740795</v>
      </c>
      <c r="W26" s="43">
        <f t="shared" si="9"/>
        <v>0</v>
      </c>
      <c r="X26" s="21">
        <f t="shared" si="10"/>
        <v>0</v>
      </c>
      <c r="Y26" s="156">
        <f t="shared" si="11"/>
        <v>0</v>
      </c>
      <c r="Z26" s="3">
        <f t="shared" si="12"/>
        <v>0</v>
      </c>
      <c r="AA26" s="3">
        <f t="shared" si="15"/>
        <v>0</v>
      </c>
    </row>
    <row r="27" spans="1:27" ht="16.5" thickBot="1" x14ac:dyDescent="0.3">
      <c r="A27" s="10">
        <v>44586</v>
      </c>
      <c r="B27" s="43">
        <f t="shared" si="16"/>
        <v>203</v>
      </c>
      <c r="C27" s="150"/>
      <c r="D27" s="43">
        <f t="shared" si="2"/>
        <v>0</v>
      </c>
      <c r="E27" s="151"/>
      <c r="F27" s="43">
        <f t="shared" si="3"/>
        <v>0</v>
      </c>
      <c r="G27" s="152"/>
      <c r="H27" s="43">
        <f t="shared" si="4"/>
        <v>0</v>
      </c>
      <c r="I27" s="153">
        <f t="shared" si="5"/>
        <v>0</v>
      </c>
      <c r="J27" s="151"/>
      <c r="K27" s="43">
        <f t="shared" si="13"/>
        <v>0</v>
      </c>
      <c r="L27" s="154"/>
      <c r="M27" s="43">
        <f t="shared" si="6"/>
        <v>0</v>
      </c>
      <c r="N27" s="151">
        <f t="shared" si="30"/>
        <v>6260929</v>
      </c>
      <c r="O27" s="43">
        <f t="shared" si="14"/>
        <v>0</v>
      </c>
      <c r="P27" s="154">
        <f t="shared" si="31"/>
        <v>5765078</v>
      </c>
      <c r="Q27" s="43">
        <f t="shared" si="7"/>
        <v>0</v>
      </c>
      <c r="R27" s="151">
        <f t="shared" si="32"/>
        <v>19848761</v>
      </c>
      <c r="S27" s="43">
        <f t="shared" si="8"/>
        <v>0</v>
      </c>
      <c r="T27" s="151">
        <v>0</v>
      </c>
      <c r="U27" s="155"/>
      <c r="V27" s="151">
        <f t="shared" si="33"/>
        <v>7740795</v>
      </c>
      <c r="W27" s="43">
        <f t="shared" si="9"/>
        <v>0</v>
      </c>
      <c r="X27" s="21">
        <f t="shared" si="10"/>
        <v>0</v>
      </c>
      <c r="Y27" s="156">
        <f t="shared" si="11"/>
        <v>0</v>
      </c>
      <c r="Z27" s="3">
        <f t="shared" si="12"/>
        <v>0</v>
      </c>
      <c r="AA27" s="3">
        <f t="shared" si="15"/>
        <v>0</v>
      </c>
    </row>
    <row r="28" spans="1:27" ht="16.5" thickBot="1" x14ac:dyDescent="0.3">
      <c r="A28" s="10">
        <v>44587</v>
      </c>
      <c r="B28" s="43">
        <f t="shared" si="16"/>
        <v>203</v>
      </c>
      <c r="C28" s="150"/>
      <c r="D28" s="43">
        <f t="shared" si="2"/>
        <v>0</v>
      </c>
      <c r="E28" s="151"/>
      <c r="F28" s="43">
        <f t="shared" si="3"/>
        <v>0</v>
      </c>
      <c r="G28" s="152"/>
      <c r="H28" s="43">
        <f t="shared" si="4"/>
        <v>0</v>
      </c>
      <c r="I28" s="153">
        <f t="shared" si="5"/>
        <v>0</v>
      </c>
      <c r="J28" s="151"/>
      <c r="K28" s="43">
        <f t="shared" si="13"/>
        <v>0</v>
      </c>
      <c r="L28" s="154"/>
      <c r="M28" s="43">
        <f t="shared" si="6"/>
        <v>0</v>
      </c>
      <c r="N28" s="151">
        <f t="shared" si="30"/>
        <v>6260929</v>
      </c>
      <c r="O28" s="43">
        <f t="shared" si="14"/>
        <v>0</v>
      </c>
      <c r="P28" s="154">
        <f t="shared" si="31"/>
        <v>5765078</v>
      </c>
      <c r="Q28" s="43">
        <f t="shared" si="7"/>
        <v>0</v>
      </c>
      <c r="R28" s="151">
        <f t="shared" si="32"/>
        <v>19848761</v>
      </c>
      <c r="S28" s="43">
        <f t="shared" si="8"/>
        <v>0</v>
      </c>
      <c r="T28" s="151">
        <v>0</v>
      </c>
      <c r="U28" s="155"/>
      <c r="V28" s="151">
        <f t="shared" si="33"/>
        <v>7740795</v>
      </c>
      <c r="W28" s="43">
        <f t="shared" si="9"/>
        <v>0</v>
      </c>
      <c r="X28" s="21">
        <f t="shared" si="10"/>
        <v>0</v>
      </c>
      <c r="Y28" s="156">
        <f t="shared" si="11"/>
        <v>0</v>
      </c>
      <c r="Z28" s="3">
        <f t="shared" si="12"/>
        <v>0</v>
      </c>
      <c r="AA28" s="3">
        <f t="shared" si="15"/>
        <v>0</v>
      </c>
    </row>
    <row r="29" spans="1:27" ht="16.5" thickBot="1" x14ac:dyDescent="0.3">
      <c r="A29" s="10">
        <v>44588</v>
      </c>
      <c r="B29" s="43">
        <f t="shared" si="16"/>
        <v>203</v>
      </c>
      <c r="C29" s="150"/>
      <c r="D29" s="43">
        <f t="shared" si="2"/>
        <v>0</v>
      </c>
      <c r="E29" s="151"/>
      <c r="F29" s="43">
        <f t="shared" si="3"/>
        <v>0</v>
      </c>
      <c r="G29" s="152"/>
      <c r="H29" s="43">
        <f t="shared" si="4"/>
        <v>0</v>
      </c>
      <c r="I29" s="153">
        <f t="shared" si="5"/>
        <v>0</v>
      </c>
      <c r="J29" s="151"/>
      <c r="K29" s="43">
        <f t="shared" si="13"/>
        <v>0</v>
      </c>
      <c r="L29" s="154"/>
      <c r="M29" s="43">
        <f t="shared" si="6"/>
        <v>0</v>
      </c>
      <c r="N29" s="151">
        <f t="shared" si="30"/>
        <v>6260929</v>
      </c>
      <c r="O29" s="43">
        <f t="shared" si="14"/>
        <v>0</v>
      </c>
      <c r="P29" s="154">
        <f t="shared" si="31"/>
        <v>5765078</v>
      </c>
      <c r="Q29" s="43">
        <f t="shared" si="7"/>
        <v>0</v>
      </c>
      <c r="R29" s="151">
        <f t="shared" si="32"/>
        <v>19848761</v>
      </c>
      <c r="S29" s="43">
        <f t="shared" si="8"/>
        <v>0</v>
      </c>
      <c r="T29" s="151">
        <v>0</v>
      </c>
      <c r="U29" s="155"/>
      <c r="V29" s="151">
        <f t="shared" si="33"/>
        <v>7740795</v>
      </c>
      <c r="W29" s="43">
        <f t="shared" si="9"/>
        <v>0</v>
      </c>
      <c r="X29" s="21">
        <f t="shared" si="10"/>
        <v>0</v>
      </c>
      <c r="Y29" s="156">
        <f t="shared" si="11"/>
        <v>0</v>
      </c>
      <c r="Z29" s="3">
        <f t="shared" si="12"/>
        <v>0</v>
      </c>
      <c r="AA29" s="3">
        <f t="shared" si="15"/>
        <v>0</v>
      </c>
    </row>
    <row r="30" spans="1:27" ht="16.5" thickBot="1" x14ac:dyDescent="0.3">
      <c r="A30" s="10">
        <v>44589</v>
      </c>
      <c r="B30" s="43">
        <f t="shared" si="16"/>
        <v>203</v>
      </c>
      <c r="C30" s="150"/>
      <c r="D30" s="43">
        <f t="shared" si="2"/>
        <v>0</v>
      </c>
      <c r="E30" s="151"/>
      <c r="F30" s="43">
        <f t="shared" si="3"/>
        <v>0</v>
      </c>
      <c r="G30" s="152"/>
      <c r="H30" s="43">
        <f t="shared" si="4"/>
        <v>0</v>
      </c>
      <c r="I30" s="153">
        <f t="shared" si="5"/>
        <v>0</v>
      </c>
      <c r="J30" s="151"/>
      <c r="K30" s="43">
        <f t="shared" si="13"/>
        <v>0</v>
      </c>
      <c r="L30" s="154"/>
      <c r="M30" s="43">
        <f t="shared" si="6"/>
        <v>0</v>
      </c>
      <c r="N30" s="151">
        <f t="shared" si="30"/>
        <v>6260929</v>
      </c>
      <c r="O30" s="43">
        <f t="shared" si="14"/>
        <v>0</v>
      </c>
      <c r="P30" s="154">
        <f t="shared" si="31"/>
        <v>5765078</v>
      </c>
      <c r="Q30" s="43">
        <f t="shared" si="7"/>
        <v>0</v>
      </c>
      <c r="R30" s="151">
        <f t="shared" si="32"/>
        <v>19848761</v>
      </c>
      <c r="S30" s="43">
        <f t="shared" si="8"/>
        <v>0</v>
      </c>
      <c r="T30" s="151">
        <v>0</v>
      </c>
      <c r="U30" s="155"/>
      <c r="V30" s="151">
        <f t="shared" si="33"/>
        <v>7740795</v>
      </c>
      <c r="W30" s="43">
        <f t="shared" si="9"/>
        <v>0</v>
      </c>
      <c r="X30" s="21">
        <f t="shared" si="10"/>
        <v>0</v>
      </c>
      <c r="Y30" s="156">
        <f t="shared" si="11"/>
        <v>0</v>
      </c>
      <c r="Z30" s="3">
        <f t="shared" si="12"/>
        <v>0</v>
      </c>
      <c r="AA30" s="3">
        <f t="shared" si="15"/>
        <v>0</v>
      </c>
    </row>
    <row r="31" spans="1:27" ht="16.5" thickBot="1" x14ac:dyDescent="0.3">
      <c r="A31" s="10">
        <v>44590</v>
      </c>
      <c r="B31" s="43">
        <f t="shared" si="16"/>
        <v>203</v>
      </c>
      <c r="C31" s="150"/>
      <c r="D31" s="43">
        <f t="shared" si="2"/>
        <v>0</v>
      </c>
      <c r="E31" s="151"/>
      <c r="F31" s="43">
        <f t="shared" si="3"/>
        <v>0</v>
      </c>
      <c r="G31" s="152"/>
      <c r="H31" s="43">
        <f t="shared" si="4"/>
        <v>0</v>
      </c>
      <c r="I31" s="153">
        <f t="shared" si="5"/>
        <v>0</v>
      </c>
      <c r="J31" s="151"/>
      <c r="K31" s="43">
        <f t="shared" si="13"/>
        <v>0</v>
      </c>
      <c r="L31" s="154"/>
      <c r="M31" s="43">
        <f t="shared" si="6"/>
        <v>0</v>
      </c>
      <c r="N31" s="151">
        <f t="shared" si="30"/>
        <v>6260929</v>
      </c>
      <c r="O31" s="43">
        <f t="shared" si="14"/>
        <v>0</v>
      </c>
      <c r="P31" s="154">
        <f t="shared" si="31"/>
        <v>5765078</v>
      </c>
      <c r="Q31" s="43">
        <f t="shared" si="7"/>
        <v>0</v>
      </c>
      <c r="R31" s="151">
        <f t="shared" si="32"/>
        <v>19848761</v>
      </c>
      <c r="S31" s="43">
        <f t="shared" si="8"/>
        <v>0</v>
      </c>
      <c r="T31" s="151">
        <v>0</v>
      </c>
      <c r="U31" s="11"/>
      <c r="V31" s="151">
        <f t="shared" si="33"/>
        <v>7740795</v>
      </c>
      <c r="W31" s="43">
        <f t="shared" si="9"/>
        <v>0</v>
      </c>
      <c r="X31" s="21">
        <f t="shared" si="10"/>
        <v>0</v>
      </c>
      <c r="Y31" s="156">
        <f t="shared" si="11"/>
        <v>0</v>
      </c>
      <c r="Z31" s="3">
        <f t="shared" si="12"/>
        <v>0</v>
      </c>
      <c r="AA31" s="3">
        <f t="shared" si="15"/>
        <v>0</v>
      </c>
    </row>
    <row r="32" spans="1:27" ht="16.5" thickBot="1" x14ac:dyDescent="0.3">
      <c r="A32" s="10">
        <v>44591</v>
      </c>
      <c r="B32" s="43">
        <f t="shared" si="16"/>
        <v>203</v>
      </c>
      <c r="C32" s="150"/>
      <c r="D32" s="43">
        <f t="shared" si="2"/>
        <v>0</v>
      </c>
      <c r="E32" s="151"/>
      <c r="F32" s="43">
        <f t="shared" si="3"/>
        <v>0</v>
      </c>
      <c r="G32" s="152"/>
      <c r="H32" s="43">
        <f t="shared" si="4"/>
        <v>0</v>
      </c>
      <c r="I32" s="21">
        <f>F32+H32</f>
        <v>0</v>
      </c>
      <c r="J32" s="151"/>
      <c r="K32" s="43">
        <f t="shared" si="13"/>
        <v>0</v>
      </c>
      <c r="L32" s="154"/>
      <c r="M32" s="43">
        <f t="shared" si="6"/>
        <v>0</v>
      </c>
      <c r="N32" s="151">
        <f t="shared" si="30"/>
        <v>6260929</v>
      </c>
      <c r="O32" s="43">
        <f t="shared" si="14"/>
        <v>0</v>
      </c>
      <c r="P32" s="154">
        <f t="shared" si="31"/>
        <v>5765078</v>
      </c>
      <c r="Q32" s="43">
        <f t="shared" si="7"/>
        <v>0</v>
      </c>
      <c r="R32" s="151">
        <f t="shared" si="32"/>
        <v>19848761</v>
      </c>
      <c r="S32" s="43">
        <f t="shared" si="8"/>
        <v>0</v>
      </c>
      <c r="T32" s="151">
        <v>0</v>
      </c>
      <c r="U32" s="11"/>
      <c r="V32" s="151">
        <f t="shared" si="33"/>
        <v>7740795</v>
      </c>
      <c r="W32" s="43">
        <f t="shared" si="9"/>
        <v>0</v>
      </c>
      <c r="X32" s="21">
        <f t="shared" si="10"/>
        <v>0</v>
      </c>
      <c r="Y32" s="156">
        <f t="shared" si="11"/>
        <v>0</v>
      </c>
      <c r="Z32" s="3">
        <f t="shared" si="12"/>
        <v>0</v>
      </c>
      <c r="AA32" s="3">
        <f t="shared" si="15"/>
        <v>0</v>
      </c>
    </row>
    <row r="33" spans="1:27" ht="16.5" thickBot="1" x14ac:dyDescent="0.3">
      <c r="A33" s="10">
        <v>44592</v>
      </c>
      <c r="B33" s="43">
        <f t="shared" si="16"/>
        <v>203</v>
      </c>
      <c r="C33" s="150"/>
      <c r="D33" s="43">
        <f t="shared" si="2"/>
        <v>0</v>
      </c>
      <c r="E33" s="151"/>
      <c r="F33" s="43">
        <f t="shared" si="3"/>
        <v>0</v>
      </c>
      <c r="G33" s="152"/>
      <c r="H33" s="43">
        <f t="shared" si="4"/>
        <v>0</v>
      </c>
      <c r="I33" s="21">
        <f>F33+H33</f>
        <v>0</v>
      </c>
      <c r="J33" s="151"/>
      <c r="K33" s="43">
        <f t="shared" si="13"/>
        <v>0</v>
      </c>
      <c r="L33" s="154"/>
      <c r="M33" s="43">
        <f t="shared" si="6"/>
        <v>0</v>
      </c>
      <c r="N33" s="151">
        <f t="shared" si="30"/>
        <v>6260929</v>
      </c>
      <c r="O33" s="43">
        <f t="shared" si="14"/>
        <v>0</v>
      </c>
      <c r="P33" s="154">
        <f t="shared" si="31"/>
        <v>5765078</v>
      </c>
      <c r="Q33" s="43">
        <f t="shared" si="7"/>
        <v>0</v>
      </c>
      <c r="R33" s="151">
        <f t="shared" si="32"/>
        <v>19848761</v>
      </c>
      <c r="S33" s="43">
        <f t="shared" si="8"/>
        <v>0</v>
      </c>
      <c r="T33" s="151">
        <v>0</v>
      </c>
      <c r="U33" s="11"/>
      <c r="V33" s="151">
        <f t="shared" si="33"/>
        <v>7740795</v>
      </c>
      <c r="W33" s="43">
        <f t="shared" si="9"/>
        <v>0</v>
      </c>
      <c r="X33" s="21">
        <f t="shared" si="10"/>
        <v>0</v>
      </c>
      <c r="Y33" s="156">
        <f t="shared" si="11"/>
        <v>0</v>
      </c>
      <c r="Z33" s="3">
        <f t="shared" si="12"/>
        <v>0</v>
      </c>
      <c r="AA33" s="3">
        <f t="shared" si="15"/>
        <v>0</v>
      </c>
    </row>
    <row r="34" spans="1:27" ht="16.5" thickBot="1" x14ac:dyDescent="0.3">
      <c r="A34" s="6" t="s">
        <v>23</v>
      </c>
      <c r="B34" s="142">
        <f>SUM(B3:B33)</f>
        <v>6097</v>
      </c>
      <c r="C34" s="142"/>
      <c r="D34" s="142">
        <f>SUM(D3:D33)</f>
        <v>4320</v>
      </c>
      <c r="E34" s="60">
        <v>0</v>
      </c>
      <c r="F34" s="60">
        <f>SUM(F3:F33)</f>
        <v>115445</v>
      </c>
      <c r="G34" s="60">
        <v>0</v>
      </c>
      <c r="H34" s="60">
        <f>SUM(H3:H33)</f>
        <v>406387</v>
      </c>
      <c r="I34" s="60">
        <f>SUM(I6:I33)</f>
        <v>371728</v>
      </c>
      <c r="J34" s="60">
        <v>0</v>
      </c>
      <c r="K34" s="60">
        <f>SUM(K3:K33)</f>
        <v>93124</v>
      </c>
      <c r="L34" s="60">
        <v>0</v>
      </c>
      <c r="M34" s="60">
        <f>SUM(M3:M33)</f>
        <v>58238</v>
      </c>
      <c r="N34" s="60">
        <v>0</v>
      </c>
      <c r="O34" s="60">
        <f>SUM(O3:O33)</f>
        <v>55710</v>
      </c>
      <c r="P34" s="60">
        <v>0</v>
      </c>
      <c r="Q34" s="60">
        <f>SUM(Q3:Q33)</f>
        <v>31927</v>
      </c>
      <c r="R34" s="60">
        <v>0</v>
      </c>
      <c r="S34" s="60">
        <f>SUM(S3:S33)</f>
        <v>102369</v>
      </c>
      <c r="T34" s="60">
        <f>SUM(T6:T33)</f>
        <v>0</v>
      </c>
      <c r="U34" s="60">
        <f>SUM(U3:U33)</f>
        <v>0</v>
      </c>
      <c r="V34" s="60">
        <v>0</v>
      </c>
      <c r="W34" s="60">
        <f>SUM(W3:W33)</f>
        <v>106718</v>
      </c>
      <c r="X34" s="60">
        <f>SUM(X6:X33)</f>
        <v>319029</v>
      </c>
      <c r="Y34" s="60">
        <f>SUM(Y3:Y33)</f>
        <v>73746</v>
      </c>
      <c r="Z34" s="60">
        <f>SUM(Z3:Z33)</f>
        <v>63435.6262384</v>
      </c>
      <c r="AA34" s="60">
        <f>SUM(AA3:AA33)</f>
        <v>247811.50756960007</v>
      </c>
    </row>
    <row r="37" spans="1:27" x14ac:dyDescent="0.25">
      <c r="D37" s="170"/>
    </row>
    <row r="45" spans="1:27" ht="15" x14ac:dyDescent="0.2">
      <c r="A45" s="24"/>
      <c r="B45" s="44"/>
      <c r="C45" s="44"/>
      <c r="D45" s="44"/>
      <c r="Z45" s="24"/>
      <c r="AA45" s="24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H13" sqref="H13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0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7" t="s">
        <v>25</v>
      </c>
      <c r="J1" s="3" t="s">
        <v>23</v>
      </c>
      <c r="K1" s="3" t="s">
        <v>29</v>
      </c>
    </row>
    <row r="2" spans="1:14" ht="16.5" thickBot="1" x14ac:dyDescent="0.3">
      <c r="A2" s="10">
        <v>44561</v>
      </c>
      <c r="B2" s="3">
        <v>435789</v>
      </c>
      <c r="C2" s="43"/>
      <c r="D2" s="3">
        <v>1292</v>
      </c>
      <c r="E2" s="43"/>
      <c r="F2" s="3">
        <v>7381100</v>
      </c>
      <c r="G2" s="43"/>
      <c r="H2" s="3">
        <v>766162</v>
      </c>
      <c r="I2" s="48"/>
      <c r="J2" s="21">
        <f t="shared" ref="J2" si="0">C2+E2+G2+I2</f>
        <v>0</v>
      </c>
      <c r="K2" s="22">
        <f t="shared" ref="K2" si="1">J2*5.86</f>
        <v>0</v>
      </c>
    </row>
    <row r="3" spans="1:14" ht="16.5" thickBot="1" x14ac:dyDescent="0.3">
      <c r="A3" s="10">
        <v>44562</v>
      </c>
      <c r="B3" s="3">
        <v>435872</v>
      </c>
      <c r="C3" s="43">
        <f t="shared" ref="C3:C8" si="2">(IF((B3-B2)&lt;0,"0",(B3-B2)))*10</f>
        <v>830</v>
      </c>
      <c r="D3" s="3">
        <v>1344</v>
      </c>
      <c r="E3" s="43">
        <f>(D3-D2)*10</f>
        <v>520</v>
      </c>
      <c r="F3" s="3">
        <v>7392600</v>
      </c>
      <c r="G3" s="43">
        <f>(IF((F3-F2)&lt;0,"0",(F3-F2)))*0.027</f>
        <v>310.5</v>
      </c>
      <c r="H3" s="3">
        <v>766323</v>
      </c>
      <c r="I3" s="48">
        <f>(IF((H3-H2)&lt;0,"0",(H3-H2)))*0.027</f>
        <v>4.3469999999999995</v>
      </c>
      <c r="J3" s="21">
        <f>C3+E3+G3+I3</f>
        <v>1664.847</v>
      </c>
      <c r="K3" s="22">
        <f>J3*5.86</f>
        <v>9756.0034200000009</v>
      </c>
    </row>
    <row r="4" spans="1:14" ht="16.5" thickBot="1" x14ac:dyDescent="0.3">
      <c r="A4" s="10">
        <v>44563</v>
      </c>
      <c r="B4" s="3">
        <v>435950</v>
      </c>
      <c r="C4" s="43">
        <f t="shared" si="2"/>
        <v>780</v>
      </c>
      <c r="D4" s="3">
        <v>1389</v>
      </c>
      <c r="E4" s="43">
        <f t="shared" ref="E4:E33" si="3">(D4-D3)*10</f>
        <v>450</v>
      </c>
      <c r="F4" s="3">
        <v>7402800</v>
      </c>
      <c r="G4" s="43">
        <f>(IF((F4-F3)&lt;0,"0",(F4-F3)))*0.027</f>
        <v>275.39999999999998</v>
      </c>
      <c r="H4" s="3">
        <v>766502</v>
      </c>
      <c r="I4" s="48">
        <f>(IF((H4-H3)&lt;0,"0",(H4-H3)))*0.027</f>
        <v>4.8330000000000002</v>
      </c>
      <c r="J4" s="21">
        <f t="shared" ref="J4:J33" si="4">C4+E4+G4+I4</f>
        <v>1510.2330000000002</v>
      </c>
      <c r="K4" s="22">
        <f t="shared" ref="K4:K33" si="5">J4*5.86</f>
        <v>8849.9653800000015</v>
      </c>
    </row>
    <row r="5" spans="1:14" ht="16.5" thickBot="1" x14ac:dyDescent="0.3">
      <c r="A5" s="10">
        <v>44564</v>
      </c>
      <c r="B5" s="3">
        <v>436022</v>
      </c>
      <c r="C5" s="43">
        <f t="shared" si="2"/>
        <v>720</v>
      </c>
      <c r="D5" s="3">
        <v>1426</v>
      </c>
      <c r="E5" s="43">
        <f t="shared" si="3"/>
        <v>370</v>
      </c>
      <c r="F5" s="3">
        <v>7412500</v>
      </c>
      <c r="G5" s="43">
        <f t="shared" ref="G5:G33" si="6">(IF((F5-F4)&lt;0,"0",(F5-F4)))*0.027</f>
        <v>261.89999999999998</v>
      </c>
      <c r="H5" s="3">
        <v>766672</v>
      </c>
      <c r="I5" s="48">
        <f t="shared" ref="I5:I33" si="7">(IF((H5-H4)&lt;0,"0",(H5-H4)))*0.027</f>
        <v>4.59</v>
      </c>
      <c r="J5" s="21">
        <f t="shared" si="4"/>
        <v>1356.49</v>
      </c>
      <c r="K5" s="22">
        <f t="shared" si="5"/>
        <v>7949.0314000000008</v>
      </c>
    </row>
    <row r="6" spans="1:14" ht="16.5" thickBot="1" x14ac:dyDescent="0.3">
      <c r="A6" s="10">
        <v>44565</v>
      </c>
      <c r="B6" s="3">
        <v>436100</v>
      </c>
      <c r="C6" s="43">
        <f t="shared" si="2"/>
        <v>780</v>
      </c>
      <c r="D6" s="3">
        <v>1468</v>
      </c>
      <c r="E6" s="43">
        <f t="shared" si="3"/>
        <v>420</v>
      </c>
      <c r="F6" s="3">
        <v>7422900</v>
      </c>
      <c r="G6" s="43">
        <f t="shared" si="6"/>
        <v>280.8</v>
      </c>
      <c r="H6" s="3">
        <v>766890</v>
      </c>
      <c r="I6" s="48">
        <f t="shared" si="7"/>
        <v>5.8860000000000001</v>
      </c>
      <c r="J6" s="21">
        <f t="shared" si="4"/>
        <v>1486.6859999999999</v>
      </c>
      <c r="K6" s="22">
        <f t="shared" si="5"/>
        <v>8711.9799600000006</v>
      </c>
    </row>
    <row r="7" spans="1:14" ht="16.5" thickBot="1" x14ac:dyDescent="0.3">
      <c r="A7" s="10">
        <v>44566</v>
      </c>
      <c r="B7" s="3">
        <v>436174</v>
      </c>
      <c r="C7" s="43">
        <f t="shared" si="2"/>
        <v>740</v>
      </c>
      <c r="D7" s="3">
        <v>1510</v>
      </c>
      <c r="E7" s="43">
        <f t="shared" si="3"/>
        <v>420</v>
      </c>
      <c r="F7" s="3">
        <v>7433000</v>
      </c>
      <c r="G7" s="43">
        <f t="shared" si="6"/>
        <v>272.7</v>
      </c>
      <c r="H7" s="3">
        <v>767051</v>
      </c>
      <c r="I7" s="48">
        <f t="shared" si="7"/>
        <v>4.3469999999999995</v>
      </c>
      <c r="J7" s="21">
        <f t="shared" si="4"/>
        <v>1437.047</v>
      </c>
      <c r="K7" s="22">
        <f t="shared" si="5"/>
        <v>8421.0954200000015</v>
      </c>
      <c r="L7" t="s">
        <v>12</v>
      </c>
      <c r="N7" t="s">
        <v>12</v>
      </c>
    </row>
    <row r="8" spans="1:14" ht="16.5" thickBot="1" x14ac:dyDescent="0.3">
      <c r="A8" s="10">
        <v>44567</v>
      </c>
      <c r="B8" s="3">
        <v>436248</v>
      </c>
      <c r="C8" s="43">
        <f t="shared" si="2"/>
        <v>740</v>
      </c>
      <c r="D8" s="3">
        <v>1552</v>
      </c>
      <c r="E8" s="43">
        <f t="shared" si="3"/>
        <v>420</v>
      </c>
      <c r="F8" s="3">
        <v>7443100</v>
      </c>
      <c r="G8" s="43">
        <f t="shared" si="6"/>
        <v>272.7</v>
      </c>
      <c r="H8" s="3">
        <v>767212</v>
      </c>
      <c r="I8" s="48">
        <f t="shared" si="7"/>
        <v>4.3469999999999995</v>
      </c>
      <c r="J8" s="21">
        <f t="shared" si="4"/>
        <v>1437.047</v>
      </c>
      <c r="K8" s="22">
        <f t="shared" si="5"/>
        <v>8421.0954200000015</v>
      </c>
    </row>
    <row r="9" spans="1:14" ht="16.5" thickBot="1" x14ac:dyDescent="0.3">
      <c r="A9" s="10">
        <v>44568</v>
      </c>
      <c r="B9" s="3">
        <v>436304</v>
      </c>
      <c r="C9" s="43">
        <f t="shared" ref="C9:C33" si="8">(IF((B9-B8)&lt;0,"0",(B9-B8)))*10</f>
        <v>560</v>
      </c>
      <c r="D9" s="3">
        <v>1586</v>
      </c>
      <c r="E9" s="43">
        <f t="shared" si="3"/>
        <v>340</v>
      </c>
      <c r="F9" s="3">
        <v>7450500</v>
      </c>
      <c r="G9" s="43">
        <f t="shared" si="6"/>
        <v>199.8</v>
      </c>
      <c r="H9" s="3">
        <v>767388</v>
      </c>
      <c r="I9" s="48">
        <f t="shared" si="7"/>
        <v>4.7519999999999998</v>
      </c>
      <c r="J9" s="21">
        <f t="shared" si="4"/>
        <v>1104.5519999999999</v>
      </c>
      <c r="K9" s="22">
        <f t="shared" si="5"/>
        <v>6472.67472</v>
      </c>
    </row>
    <row r="10" spans="1:14" ht="16.5" thickBot="1" x14ac:dyDescent="0.3">
      <c r="A10" s="10">
        <v>44569</v>
      </c>
      <c r="B10" s="3">
        <v>436380</v>
      </c>
      <c r="C10" s="43">
        <f>(IF((B10-B9)&lt;0,"0",(B10-B9)))*10</f>
        <v>760</v>
      </c>
      <c r="D10" s="3">
        <v>1626</v>
      </c>
      <c r="E10" s="43">
        <f t="shared" si="3"/>
        <v>400</v>
      </c>
      <c r="F10" s="3">
        <v>7460100</v>
      </c>
      <c r="G10" s="43">
        <f t="shared" si="6"/>
        <v>259.2</v>
      </c>
      <c r="H10" s="3">
        <v>767548</v>
      </c>
      <c r="I10" s="48">
        <f t="shared" si="7"/>
        <v>4.32</v>
      </c>
      <c r="J10" s="21">
        <f t="shared" si="4"/>
        <v>1423.52</v>
      </c>
      <c r="K10" s="22">
        <f t="shared" si="5"/>
        <v>8341.8271999999997</v>
      </c>
    </row>
    <row r="11" spans="1:14" ht="16.5" thickBot="1" x14ac:dyDescent="0.3">
      <c r="A11" s="10">
        <v>44570</v>
      </c>
      <c r="B11" s="3">
        <v>436461</v>
      </c>
      <c r="C11" s="43">
        <f t="shared" si="8"/>
        <v>810</v>
      </c>
      <c r="D11" s="3">
        <v>1669</v>
      </c>
      <c r="E11" s="43">
        <f t="shared" si="3"/>
        <v>430</v>
      </c>
      <c r="F11" s="3">
        <v>7472000</v>
      </c>
      <c r="G11" s="43">
        <f t="shared" si="6"/>
        <v>321.3</v>
      </c>
      <c r="H11" s="3">
        <v>767756</v>
      </c>
      <c r="I11" s="48">
        <f t="shared" si="7"/>
        <v>5.6159999999999997</v>
      </c>
      <c r="J11" s="21">
        <f t="shared" si="4"/>
        <v>1566.9159999999999</v>
      </c>
      <c r="K11" s="22">
        <f t="shared" si="5"/>
        <v>9182.1277599999994</v>
      </c>
      <c r="N11" t="s">
        <v>12</v>
      </c>
    </row>
    <row r="12" spans="1:14" ht="16.5" thickBot="1" x14ac:dyDescent="0.3">
      <c r="A12" s="10">
        <v>44571</v>
      </c>
      <c r="B12" s="3">
        <v>436533</v>
      </c>
      <c r="C12" s="43">
        <f t="shared" si="8"/>
        <v>720</v>
      </c>
      <c r="D12" s="3">
        <v>1704</v>
      </c>
      <c r="E12" s="43">
        <f t="shared" si="3"/>
        <v>350</v>
      </c>
      <c r="F12" s="3">
        <v>7483300</v>
      </c>
      <c r="G12" s="43">
        <f t="shared" si="6"/>
        <v>305.10000000000002</v>
      </c>
      <c r="H12" s="3">
        <v>767939</v>
      </c>
      <c r="I12" s="48">
        <f t="shared" si="7"/>
        <v>4.9409999999999998</v>
      </c>
      <c r="J12" s="21">
        <f t="shared" si="4"/>
        <v>1380.0409999999999</v>
      </c>
      <c r="K12" s="22">
        <f t="shared" si="5"/>
        <v>8087.0402599999998</v>
      </c>
    </row>
    <row r="13" spans="1:14" ht="16.5" thickBot="1" x14ac:dyDescent="0.3">
      <c r="A13" s="10">
        <v>44572</v>
      </c>
      <c r="B13" s="3">
        <v>436651</v>
      </c>
      <c r="C13" s="43">
        <f t="shared" si="8"/>
        <v>1180</v>
      </c>
      <c r="D13" s="3">
        <v>1789</v>
      </c>
      <c r="E13" s="43">
        <f t="shared" si="3"/>
        <v>850</v>
      </c>
      <c r="F13" s="3">
        <v>7493200</v>
      </c>
      <c r="G13" s="43">
        <f t="shared" si="6"/>
        <v>267.3</v>
      </c>
      <c r="H13" s="3">
        <v>768156</v>
      </c>
      <c r="I13" s="48">
        <f t="shared" si="7"/>
        <v>5.859</v>
      </c>
      <c r="J13" s="21">
        <f t="shared" si="4"/>
        <v>2303.1590000000001</v>
      </c>
      <c r="K13" s="22">
        <f t="shared" si="5"/>
        <v>13496.511740000002</v>
      </c>
    </row>
    <row r="14" spans="1:14" ht="16.5" thickBot="1" x14ac:dyDescent="0.3">
      <c r="A14" s="10">
        <v>44573</v>
      </c>
      <c r="B14" s="3">
        <f t="shared" ref="B13:B33" si="9">B13</f>
        <v>436651</v>
      </c>
      <c r="C14" s="43">
        <f t="shared" si="8"/>
        <v>0</v>
      </c>
      <c r="D14" s="3">
        <f t="shared" ref="D13:D33" si="10">D13</f>
        <v>1789</v>
      </c>
      <c r="E14" s="43">
        <f t="shared" si="3"/>
        <v>0</v>
      </c>
      <c r="F14" s="3">
        <f t="shared" ref="F13:F33" si="11">F13</f>
        <v>7493200</v>
      </c>
      <c r="G14" s="43">
        <f t="shared" si="6"/>
        <v>0</v>
      </c>
      <c r="H14" s="3">
        <f t="shared" ref="H13:H33" si="12">H13</f>
        <v>768156</v>
      </c>
      <c r="I14" s="48">
        <f t="shared" si="7"/>
        <v>0</v>
      </c>
      <c r="J14" s="21">
        <f t="shared" si="4"/>
        <v>0</v>
      </c>
      <c r="K14" s="22">
        <f t="shared" si="5"/>
        <v>0</v>
      </c>
    </row>
    <row r="15" spans="1:14" ht="16.5" thickBot="1" x14ac:dyDescent="0.3">
      <c r="A15" s="10">
        <v>44574</v>
      </c>
      <c r="B15" s="3">
        <f t="shared" si="9"/>
        <v>436651</v>
      </c>
      <c r="C15" s="43">
        <f t="shared" si="8"/>
        <v>0</v>
      </c>
      <c r="D15" s="3">
        <f t="shared" si="10"/>
        <v>1789</v>
      </c>
      <c r="E15" s="43">
        <f t="shared" si="3"/>
        <v>0</v>
      </c>
      <c r="F15" s="3">
        <f t="shared" si="11"/>
        <v>7493200</v>
      </c>
      <c r="G15" s="43">
        <f t="shared" si="6"/>
        <v>0</v>
      </c>
      <c r="H15" s="3">
        <f t="shared" si="12"/>
        <v>768156</v>
      </c>
      <c r="I15" s="48">
        <f t="shared" si="7"/>
        <v>0</v>
      </c>
      <c r="J15" s="21">
        <f t="shared" si="4"/>
        <v>0</v>
      </c>
      <c r="K15" s="22">
        <f t="shared" si="5"/>
        <v>0</v>
      </c>
    </row>
    <row r="16" spans="1:14" ht="16.5" thickBot="1" x14ac:dyDescent="0.3">
      <c r="A16" s="10">
        <v>44575</v>
      </c>
      <c r="B16" s="3">
        <f t="shared" si="9"/>
        <v>436651</v>
      </c>
      <c r="C16" s="43">
        <f t="shared" si="8"/>
        <v>0</v>
      </c>
      <c r="D16" s="3">
        <f t="shared" si="10"/>
        <v>1789</v>
      </c>
      <c r="E16" s="43">
        <f t="shared" si="3"/>
        <v>0</v>
      </c>
      <c r="F16" s="3">
        <f t="shared" si="11"/>
        <v>7493200</v>
      </c>
      <c r="G16" s="43">
        <f t="shared" si="6"/>
        <v>0</v>
      </c>
      <c r="H16" s="3">
        <f t="shared" si="12"/>
        <v>768156</v>
      </c>
      <c r="I16" s="48">
        <f t="shared" si="7"/>
        <v>0</v>
      </c>
      <c r="J16" s="21">
        <f t="shared" si="4"/>
        <v>0</v>
      </c>
      <c r="K16" s="22">
        <f t="shared" si="5"/>
        <v>0</v>
      </c>
    </row>
    <row r="17" spans="1:25" ht="16.5" thickBot="1" x14ac:dyDescent="0.3">
      <c r="A17" s="10">
        <v>44576</v>
      </c>
      <c r="B17" s="3">
        <f t="shared" si="9"/>
        <v>436651</v>
      </c>
      <c r="C17" s="43">
        <f t="shared" si="8"/>
        <v>0</v>
      </c>
      <c r="D17" s="3">
        <f t="shared" si="10"/>
        <v>1789</v>
      </c>
      <c r="E17" s="43">
        <f t="shared" si="3"/>
        <v>0</v>
      </c>
      <c r="F17" s="3">
        <f t="shared" si="11"/>
        <v>7493200</v>
      </c>
      <c r="G17" s="43">
        <f t="shared" si="6"/>
        <v>0</v>
      </c>
      <c r="H17" s="3">
        <f t="shared" si="12"/>
        <v>768156</v>
      </c>
      <c r="I17" s="48">
        <f t="shared" si="7"/>
        <v>0</v>
      </c>
      <c r="J17" s="21">
        <f t="shared" si="4"/>
        <v>0</v>
      </c>
      <c r="K17" s="22">
        <f t="shared" si="5"/>
        <v>0</v>
      </c>
      <c r="P17" t="s">
        <v>12</v>
      </c>
      <c r="R17" t="s">
        <v>12</v>
      </c>
    </row>
    <row r="18" spans="1:25" ht="16.5" thickBot="1" x14ac:dyDescent="0.3">
      <c r="A18" s="10">
        <v>44577</v>
      </c>
      <c r="B18" s="3">
        <f t="shared" si="9"/>
        <v>436651</v>
      </c>
      <c r="C18" s="43">
        <f t="shared" si="8"/>
        <v>0</v>
      </c>
      <c r="D18" s="3">
        <f t="shared" si="10"/>
        <v>1789</v>
      </c>
      <c r="E18" s="43">
        <f t="shared" si="3"/>
        <v>0</v>
      </c>
      <c r="F18" s="3">
        <f t="shared" si="11"/>
        <v>7493200</v>
      </c>
      <c r="G18" s="43">
        <f t="shared" si="6"/>
        <v>0</v>
      </c>
      <c r="H18" s="3">
        <f t="shared" si="12"/>
        <v>768156</v>
      </c>
      <c r="I18" s="48">
        <f t="shared" si="7"/>
        <v>0</v>
      </c>
      <c r="J18" s="21">
        <f t="shared" si="4"/>
        <v>0</v>
      </c>
      <c r="K18" s="22">
        <f t="shared" si="5"/>
        <v>0</v>
      </c>
      <c r="Q18" t="s">
        <v>43</v>
      </c>
    </row>
    <row r="19" spans="1:25" ht="16.5" thickBot="1" x14ac:dyDescent="0.3">
      <c r="A19" s="10">
        <v>44578</v>
      </c>
      <c r="B19" s="3">
        <f t="shared" si="9"/>
        <v>436651</v>
      </c>
      <c r="C19" s="43">
        <f t="shared" si="8"/>
        <v>0</v>
      </c>
      <c r="D19" s="3">
        <f t="shared" si="10"/>
        <v>1789</v>
      </c>
      <c r="E19" s="43">
        <f t="shared" si="3"/>
        <v>0</v>
      </c>
      <c r="F19" s="3">
        <f t="shared" si="11"/>
        <v>7493200</v>
      </c>
      <c r="G19" s="43">
        <f t="shared" si="6"/>
        <v>0</v>
      </c>
      <c r="H19" s="3">
        <f t="shared" si="12"/>
        <v>768156</v>
      </c>
      <c r="I19" s="48">
        <f t="shared" si="7"/>
        <v>0</v>
      </c>
      <c r="J19" s="21">
        <f t="shared" si="4"/>
        <v>0</v>
      </c>
      <c r="K19" s="22">
        <f t="shared" si="5"/>
        <v>0</v>
      </c>
      <c r="Q19" t="s">
        <v>12</v>
      </c>
    </row>
    <row r="20" spans="1:25" ht="16.5" thickBot="1" x14ac:dyDescent="0.3">
      <c r="A20" s="10">
        <v>44579</v>
      </c>
      <c r="B20" s="3">
        <f t="shared" si="9"/>
        <v>436651</v>
      </c>
      <c r="C20" s="43">
        <f t="shared" si="8"/>
        <v>0</v>
      </c>
      <c r="D20" s="3">
        <f t="shared" si="10"/>
        <v>1789</v>
      </c>
      <c r="E20" s="43">
        <f t="shared" si="3"/>
        <v>0</v>
      </c>
      <c r="F20" s="3">
        <f t="shared" si="11"/>
        <v>7493200</v>
      </c>
      <c r="G20" s="43">
        <f t="shared" si="6"/>
        <v>0</v>
      </c>
      <c r="H20" s="3">
        <f t="shared" si="12"/>
        <v>768156</v>
      </c>
      <c r="I20" s="48">
        <f t="shared" si="7"/>
        <v>0</v>
      </c>
      <c r="J20" s="21">
        <f t="shared" si="4"/>
        <v>0</v>
      </c>
      <c r="K20" s="22">
        <f t="shared" si="5"/>
        <v>0</v>
      </c>
    </row>
    <row r="21" spans="1:25" ht="16.5" thickBot="1" x14ac:dyDescent="0.3">
      <c r="A21" s="10">
        <v>44580</v>
      </c>
      <c r="B21" s="3">
        <f t="shared" si="9"/>
        <v>436651</v>
      </c>
      <c r="C21" s="43">
        <f t="shared" si="8"/>
        <v>0</v>
      </c>
      <c r="D21" s="3">
        <f t="shared" si="10"/>
        <v>1789</v>
      </c>
      <c r="E21" s="43">
        <f t="shared" si="3"/>
        <v>0</v>
      </c>
      <c r="F21" s="3">
        <f t="shared" si="11"/>
        <v>7493200</v>
      </c>
      <c r="G21" s="43">
        <f t="shared" si="6"/>
        <v>0</v>
      </c>
      <c r="H21" s="3">
        <f t="shared" si="12"/>
        <v>768156</v>
      </c>
      <c r="I21" s="48">
        <f t="shared" si="7"/>
        <v>0</v>
      </c>
      <c r="J21" s="21">
        <f t="shared" si="4"/>
        <v>0</v>
      </c>
      <c r="K21" s="22">
        <f t="shared" si="5"/>
        <v>0</v>
      </c>
    </row>
    <row r="22" spans="1:25" ht="16.5" thickBot="1" x14ac:dyDescent="0.3">
      <c r="A22" s="10">
        <v>44581</v>
      </c>
      <c r="B22" s="3">
        <f t="shared" si="9"/>
        <v>436651</v>
      </c>
      <c r="C22" s="43">
        <f t="shared" si="8"/>
        <v>0</v>
      </c>
      <c r="D22" s="3">
        <f t="shared" si="10"/>
        <v>1789</v>
      </c>
      <c r="E22" s="43">
        <f t="shared" si="3"/>
        <v>0</v>
      </c>
      <c r="F22" s="3">
        <f t="shared" si="11"/>
        <v>7493200</v>
      </c>
      <c r="G22" s="43">
        <f t="shared" si="6"/>
        <v>0</v>
      </c>
      <c r="H22" s="3">
        <f t="shared" si="12"/>
        <v>768156</v>
      </c>
      <c r="I22" s="48">
        <f t="shared" si="7"/>
        <v>0</v>
      </c>
      <c r="J22" s="21">
        <f t="shared" si="4"/>
        <v>0</v>
      </c>
      <c r="K22" s="22">
        <f t="shared" si="5"/>
        <v>0</v>
      </c>
      <c r="P22" t="s">
        <v>12</v>
      </c>
      <c r="S22" s="30" t="s">
        <v>12</v>
      </c>
    </row>
    <row r="23" spans="1:25" ht="16.5" thickBot="1" x14ac:dyDescent="0.3">
      <c r="A23" s="10">
        <v>44582</v>
      </c>
      <c r="B23" s="3">
        <f t="shared" si="9"/>
        <v>436651</v>
      </c>
      <c r="C23" s="43">
        <f t="shared" si="8"/>
        <v>0</v>
      </c>
      <c r="D23" s="3">
        <f t="shared" si="10"/>
        <v>1789</v>
      </c>
      <c r="E23" s="43">
        <f t="shared" si="3"/>
        <v>0</v>
      </c>
      <c r="F23" s="3">
        <f t="shared" si="11"/>
        <v>7493200</v>
      </c>
      <c r="G23" s="43">
        <f t="shared" si="6"/>
        <v>0</v>
      </c>
      <c r="H23" s="3">
        <f t="shared" si="12"/>
        <v>768156</v>
      </c>
      <c r="I23" s="48">
        <f t="shared" si="7"/>
        <v>0</v>
      </c>
      <c r="J23" s="21">
        <f t="shared" si="4"/>
        <v>0</v>
      </c>
      <c r="K23" s="22">
        <f t="shared" si="5"/>
        <v>0</v>
      </c>
      <c r="Q23" t="s">
        <v>12</v>
      </c>
    </row>
    <row r="24" spans="1:25" ht="16.5" thickBot="1" x14ac:dyDescent="0.3">
      <c r="A24" s="10">
        <v>44583</v>
      </c>
      <c r="B24" s="3">
        <f t="shared" si="9"/>
        <v>436651</v>
      </c>
      <c r="C24" s="43">
        <f t="shared" si="8"/>
        <v>0</v>
      </c>
      <c r="D24" s="3">
        <f t="shared" si="10"/>
        <v>1789</v>
      </c>
      <c r="E24" s="43">
        <f t="shared" si="3"/>
        <v>0</v>
      </c>
      <c r="F24" s="3">
        <f t="shared" si="11"/>
        <v>7493200</v>
      </c>
      <c r="G24" s="43">
        <f t="shared" si="6"/>
        <v>0</v>
      </c>
      <c r="H24" s="3">
        <f t="shared" si="12"/>
        <v>768156</v>
      </c>
      <c r="I24" s="48">
        <f t="shared" si="7"/>
        <v>0</v>
      </c>
      <c r="J24" s="21">
        <f t="shared" si="4"/>
        <v>0</v>
      </c>
      <c r="K24" s="22">
        <f t="shared" si="5"/>
        <v>0</v>
      </c>
    </row>
    <row r="25" spans="1:25" ht="17.25" customHeight="1" thickBot="1" x14ac:dyDescent="0.4">
      <c r="A25" s="10">
        <v>44584</v>
      </c>
      <c r="B25" s="3">
        <f t="shared" si="9"/>
        <v>436651</v>
      </c>
      <c r="C25" s="43">
        <f t="shared" si="8"/>
        <v>0</v>
      </c>
      <c r="D25" s="3">
        <f t="shared" si="10"/>
        <v>1789</v>
      </c>
      <c r="E25" s="43">
        <f t="shared" si="3"/>
        <v>0</v>
      </c>
      <c r="F25" s="3">
        <f t="shared" si="11"/>
        <v>7493200</v>
      </c>
      <c r="G25" s="43">
        <f t="shared" si="6"/>
        <v>0</v>
      </c>
      <c r="H25" s="3">
        <f t="shared" si="12"/>
        <v>768156</v>
      </c>
      <c r="I25" s="48">
        <f t="shared" si="7"/>
        <v>0</v>
      </c>
      <c r="J25" s="21">
        <f t="shared" si="4"/>
        <v>0</v>
      </c>
      <c r="K25" s="22">
        <f t="shared" si="5"/>
        <v>0</v>
      </c>
      <c r="Y25" s="59"/>
    </row>
    <row r="26" spans="1:25" ht="16.5" thickBot="1" x14ac:dyDescent="0.3">
      <c r="A26" s="10">
        <v>44585</v>
      </c>
      <c r="B26" s="3">
        <f t="shared" si="9"/>
        <v>436651</v>
      </c>
      <c r="C26" s="43">
        <f t="shared" si="8"/>
        <v>0</v>
      </c>
      <c r="D26" s="3">
        <f t="shared" si="10"/>
        <v>1789</v>
      </c>
      <c r="E26" s="43">
        <f t="shared" si="3"/>
        <v>0</v>
      </c>
      <c r="F26" s="3">
        <f t="shared" si="11"/>
        <v>7493200</v>
      </c>
      <c r="G26" s="43">
        <f t="shared" si="6"/>
        <v>0</v>
      </c>
      <c r="H26" s="3">
        <f t="shared" si="12"/>
        <v>768156</v>
      </c>
      <c r="I26" s="48">
        <f t="shared" si="7"/>
        <v>0</v>
      </c>
      <c r="J26" s="21">
        <f t="shared" si="4"/>
        <v>0</v>
      </c>
      <c r="K26" s="22">
        <f t="shared" si="5"/>
        <v>0</v>
      </c>
      <c r="L26" t="s">
        <v>12</v>
      </c>
    </row>
    <row r="27" spans="1:25" ht="16.5" thickBot="1" x14ac:dyDescent="0.3">
      <c r="A27" s="10">
        <v>44586</v>
      </c>
      <c r="B27" s="3">
        <f t="shared" si="9"/>
        <v>436651</v>
      </c>
      <c r="C27" s="43">
        <f t="shared" si="8"/>
        <v>0</v>
      </c>
      <c r="D27" s="3">
        <f t="shared" si="10"/>
        <v>1789</v>
      </c>
      <c r="E27" s="43">
        <f t="shared" si="3"/>
        <v>0</v>
      </c>
      <c r="F27" s="3">
        <f t="shared" si="11"/>
        <v>7493200</v>
      </c>
      <c r="G27" s="43">
        <f t="shared" si="6"/>
        <v>0</v>
      </c>
      <c r="H27" s="3">
        <f t="shared" si="12"/>
        <v>768156</v>
      </c>
      <c r="I27" s="48">
        <f t="shared" si="7"/>
        <v>0</v>
      </c>
      <c r="J27" s="21">
        <f t="shared" si="4"/>
        <v>0</v>
      </c>
      <c r="K27" s="22">
        <f t="shared" si="5"/>
        <v>0</v>
      </c>
      <c r="O27" t="s">
        <v>12</v>
      </c>
    </row>
    <row r="28" spans="1:25" ht="16.5" thickBot="1" x14ac:dyDescent="0.3">
      <c r="A28" s="10">
        <v>44587</v>
      </c>
      <c r="B28" s="3">
        <f t="shared" si="9"/>
        <v>436651</v>
      </c>
      <c r="C28" s="43">
        <f t="shared" si="8"/>
        <v>0</v>
      </c>
      <c r="D28" s="3">
        <f t="shared" si="10"/>
        <v>1789</v>
      </c>
      <c r="E28" s="43">
        <f t="shared" si="3"/>
        <v>0</v>
      </c>
      <c r="F28" s="3">
        <f t="shared" si="11"/>
        <v>7493200</v>
      </c>
      <c r="G28" s="43">
        <f t="shared" si="6"/>
        <v>0</v>
      </c>
      <c r="H28" s="3">
        <f t="shared" si="12"/>
        <v>768156</v>
      </c>
      <c r="I28" s="48">
        <f t="shared" si="7"/>
        <v>0</v>
      </c>
      <c r="J28" s="21">
        <f t="shared" si="4"/>
        <v>0</v>
      </c>
      <c r="K28" s="22">
        <f t="shared" si="5"/>
        <v>0</v>
      </c>
    </row>
    <row r="29" spans="1:25" ht="16.5" thickBot="1" x14ac:dyDescent="0.3">
      <c r="A29" s="10">
        <v>44588</v>
      </c>
      <c r="B29" s="3">
        <f t="shared" si="9"/>
        <v>436651</v>
      </c>
      <c r="C29" s="43">
        <f t="shared" si="8"/>
        <v>0</v>
      </c>
      <c r="D29" s="3">
        <f t="shared" si="10"/>
        <v>1789</v>
      </c>
      <c r="E29" s="43">
        <f t="shared" si="3"/>
        <v>0</v>
      </c>
      <c r="F29" s="3">
        <f t="shared" si="11"/>
        <v>7493200</v>
      </c>
      <c r="G29" s="43">
        <f t="shared" si="6"/>
        <v>0</v>
      </c>
      <c r="H29" s="3">
        <f t="shared" si="12"/>
        <v>768156</v>
      </c>
      <c r="I29" s="48">
        <f t="shared" si="7"/>
        <v>0</v>
      </c>
      <c r="J29" s="21">
        <f t="shared" si="4"/>
        <v>0</v>
      </c>
      <c r="K29" s="22">
        <f t="shared" si="5"/>
        <v>0</v>
      </c>
    </row>
    <row r="30" spans="1:25" ht="16.5" thickBot="1" x14ac:dyDescent="0.3">
      <c r="A30" s="10">
        <v>44589</v>
      </c>
      <c r="B30" s="3">
        <f t="shared" si="9"/>
        <v>436651</v>
      </c>
      <c r="C30" s="43">
        <f t="shared" si="8"/>
        <v>0</v>
      </c>
      <c r="D30" s="3">
        <f t="shared" si="10"/>
        <v>1789</v>
      </c>
      <c r="E30" s="43">
        <f t="shared" si="3"/>
        <v>0</v>
      </c>
      <c r="F30" s="3">
        <f t="shared" si="11"/>
        <v>7493200</v>
      </c>
      <c r="G30" s="43">
        <f t="shared" si="6"/>
        <v>0</v>
      </c>
      <c r="H30" s="3">
        <f t="shared" si="12"/>
        <v>768156</v>
      </c>
      <c r="I30" s="48">
        <f t="shared" si="7"/>
        <v>0</v>
      </c>
      <c r="J30" s="21">
        <f t="shared" si="4"/>
        <v>0</v>
      </c>
      <c r="K30" s="22">
        <f t="shared" si="5"/>
        <v>0</v>
      </c>
    </row>
    <row r="31" spans="1:25" ht="16.5" thickBot="1" x14ac:dyDescent="0.3">
      <c r="A31" s="10">
        <v>44590</v>
      </c>
      <c r="B31" s="3">
        <f t="shared" si="9"/>
        <v>436651</v>
      </c>
      <c r="C31" s="43">
        <f t="shared" si="8"/>
        <v>0</v>
      </c>
      <c r="D31" s="3">
        <f t="shared" si="10"/>
        <v>1789</v>
      </c>
      <c r="E31" s="43">
        <f t="shared" si="3"/>
        <v>0</v>
      </c>
      <c r="F31" s="3">
        <f t="shared" si="11"/>
        <v>7493200</v>
      </c>
      <c r="G31" s="43">
        <f t="shared" si="6"/>
        <v>0</v>
      </c>
      <c r="H31" s="3">
        <f t="shared" si="12"/>
        <v>768156</v>
      </c>
      <c r="I31" s="48">
        <f t="shared" si="7"/>
        <v>0</v>
      </c>
      <c r="J31" s="21">
        <f t="shared" si="4"/>
        <v>0</v>
      </c>
      <c r="K31" s="22">
        <f t="shared" si="5"/>
        <v>0</v>
      </c>
    </row>
    <row r="32" spans="1:25" ht="16.5" thickBot="1" x14ac:dyDescent="0.3">
      <c r="A32" s="10">
        <v>44591</v>
      </c>
      <c r="B32" s="3">
        <f t="shared" si="9"/>
        <v>436651</v>
      </c>
      <c r="C32" s="43">
        <f t="shared" si="8"/>
        <v>0</v>
      </c>
      <c r="D32" s="3">
        <f t="shared" si="10"/>
        <v>1789</v>
      </c>
      <c r="E32" s="43">
        <f t="shared" si="3"/>
        <v>0</v>
      </c>
      <c r="F32" s="3">
        <f t="shared" si="11"/>
        <v>7493200</v>
      </c>
      <c r="G32" s="43">
        <f t="shared" si="6"/>
        <v>0</v>
      </c>
      <c r="H32" s="3">
        <f t="shared" si="12"/>
        <v>768156</v>
      </c>
      <c r="I32" s="48">
        <f t="shared" si="7"/>
        <v>0</v>
      </c>
      <c r="J32" s="21">
        <f t="shared" si="4"/>
        <v>0</v>
      </c>
      <c r="K32" s="22">
        <f t="shared" si="5"/>
        <v>0</v>
      </c>
    </row>
    <row r="33" spans="1:11" ht="16.5" thickBot="1" x14ac:dyDescent="0.3">
      <c r="A33" s="10">
        <v>44592</v>
      </c>
      <c r="B33" s="3">
        <f t="shared" si="9"/>
        <v>436651</v>
      </c>
      <c r="C33" s="43">
        <f t="shared" si="8"/>
        <v>0</v>
      </c>
      <c r="D33" s="3">
        <f t="shared" si="10"/>
        <v>1789</v>
      </c>
      <c r="E33" s="43">
        <f t="shared" si="3"/>
        <v>0</v>
      </c>
      <c r="F33" s="3">
        <f t="shared" si="11"/>
        <v>7493200</v>
      </c>
      <c r="G33" s="43">
        <f t="shared" si="6"/>
        <v>0</v>
      </c>
      <c r="H33" s="3">
        <f t="shared" si="12"/>
        <v>768156</v>
      </c>
      <c r="I33" s="48">
        <f t="shared" si="7"/>
        <v>0</v>
      </c>
      <c r="J33" s="21">
        <f t="shared" si="4"/>
        <v>0</v>
      </c>
      <c r="K33" s="22">
        <f t="shared" si="5"/>
        <v>0</v>
      </c>
    </row>
    <row r="34" spans="1:11" ht="21" thickBot="1" x14ac:dyDescent="0.3">
      <c r="A34" s="9" t="s">
        <v>23</v>
      </c>
      <c r="B34" s="3"/>
      <c r="C34" s="60">
        <f>SUM(C4:C33)</f>
        <v>7790</v>
      </c>
      <c r="D34" s="3"/>
      <c r="E34" s="60">
        <f>SUM(E4:E33)</f>
        <v>4450</v>
      </c>
      <c r="F34" s="3"/>
      <c r="G34" s="60">
        <f>SUM(G4:G33)</f>
        <v>2716.2000000000003</v>
      </c>
      <c r="H34" s="3"/>
      <c r="I34" s="60">
        <f>SUM(I4:I33)</f>
        <v>49.491000000000007</v>
      </c>
      <c r="J34" s="60">
        <f>SUM(J4:J33)</f>
        <v>15005.690999999999</v>
      </c>
      <c r="K34" s="60">
        <f>SUM(K4:K33)</f>
        <v>87933.349260000003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C13" sqref="C13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0" customWidth="1"/>
    <col min="4" max="4" width="8.5703125" bestFit="1" customWidth="1"/>
    <col min="5" max="5" width="9.28515625" customWidth="1"/>
    <col min="6" max="6" width="11" customWidth="1"/>
    <col min="7" max="7" width="9.7109375" customWidth="1"/>
  </cols>
  <sheetData>
    <row r="1" spans="1:9" ht="24" thickBot="1" x14ac:dyDescent="0.4">
      <c r="A1" s="27" t="s">
        <v>0</v>
      </c>
      <c r="B1" s="28" t="s">
        <v>42</v>
      </c>
      <c r="C1" s="29" t="s">
        <v>25</v>
      </c>
    </row>
    <row r="2" spans="1:9" ht="24" thickBot="1" x14ac:dyDescent="0.4">
      <c r="A2" s="10">
        <v>44561</v>
      </c>
      <c r="B2" s="137">
        <v>17869775</v>
      </c>
      <c r="C2" s="49"/>
    </row>
    <row r="3" spans="1:9" ht="24" thickBot="1" x14ac:dyDescent="0.4">
      <c r="A3" s="10">
        <v>44562</v>
      </c>
      <c r="B3" s="137">
        <v>17873522</v>
      </c>
      <c r="C3" s="49">
        <f>IF((B3-B2)&lt;0,"0",(B3-B2))</f>
        <v>3747</v>
      </c>
    </row>
    <row r="4" spans="1:9" ht="24" thickBot="1" x14ac:dyDescent="0.4">
      <c r="A4" s="10">
        <v>44563</v>
      </c>
      <c r="B4" s="137">
        <v>17875871</v>
      </c>
      <c r="C4" s="49">
        <f t="shared" ref="C4:C33" si="0">IF((B4-B3)&lt;0,"0",(B4-B3))</f>
        <v>2349</v>
      </c>
    </row>
    <row r="5" spans="1:9" ht="24" thickBot="1" x14ac:dyDescent="0.4">
      <c r="A5" s="10">
        <v>44564</v>
      </c>
      <c r="B5" s="137">
        <v>17879221</v>
      </c>
      <c r="C5" s="49">
        <f t="shared" si="0"/>
        <v>3350</v>
      </c>
    </row>
    <row r="6" spans="1:9" ht="24" thickBot="1" x14ac:dyDescent="0.4">
      <c r="A6" s="10">
        <v>44565</v>
      </c>
      <c r="B6" s="137">
        <v>17882953</v>
      </c>
      <c r="C6" s="49">
        <f>IF((B6-B5)&lt;0,"0",(B6-B5))</f>
        <v>3732</v>
      </c>
    </row>
    <row r="7" spans="1:9" ht="24" thickBot="1" x14ac:dyDescent="0.4">
      <c r="A7" s="10">
        <v>44566</v>
      </c>
      <c r="B7" s="137">
        <v>17886320</v>
      </c>
      <c r="C7" s="49">
        <f>IF((B7-B6)&lt;0,"0",(B7-B6))</f>
        <v>3367</v>
      </c>
    </row>
    <row r="8" spans="1:9" ht="24" thickBot="1" x14ac:dyDescent="0.4">
      <c r="A8" s="10">
        <v>44567</v>
      </c>
      <c r="B8" s="137">
        <v>17889784</v>
      </c>
      <c r="C8" s="49">
        <f>IF((B8-B7)&lt;0,"0",(B8-B7))</f>
        <v>3464</v>
      </c>
    </row>
    <row r="9" spans="1:9" ht="24" thickBot="1" x14ac:dyDescent="0.4">
      <c r="A9" s="10">
        <v>44568</v>
      </c>
      <c r="B9" s="137">
        <v>17892322</v>
      </c>
      <c r="C9" s="49">
        <f>IF((B9-B8)&lt;0,"0",(B9-B8))</f>
        <v>2538</v>
      </c>
    </row>
    <row r="10" spans="1:9" ht="24" thickBot="1" x14ac:dyDescent="0.4">
      <c r="A10" s="10">
        <v>44569</v>
      </c>
      <c r="B10" s="137">
        <v>17895427</v>
      </c>
      <c r="C10" s="49">
        <f t="shared" si="0"/>
        <v>3105</v>
      </c>
    </row>
    <row r="11" spans="1:9" ht="24" thickBot="1" x14ac:dyDescent="0.4">
      <c r="A11" s="10">
        <v>44570</v>
      </c>
      <c r="B11" s="137">
        <v>17898269</v>
      </c>
      <c r="C11" s="49">
        <f>IF((B11-B10)&lt;0,"0",(B11-B10))</f>
        <v>2842</v>
      </c>
    </row>
    <row r="12" spans="1:9" ht="24" thickBot="1" x14ac:dyDescent="0.4">
      <c r="A12" s="10">
        <v>44571</v>
      </c>
      <c r="B12" s="137">
        <v>17901324</v>
      </c>
      <c r="C12" s="49">
        <f t="shared" si="0"/>
        <v>3055</v>
      </c>
    </row>
    <row r="13" spans="1:9" ht="24" thickBot="1" x14ac:dyDescent="0.4">
      <c r="A13" s="10">
        <v>44572</v>
      </c>
      <c r="B13" s="137">
        <v>17904696</v>
      </c>
      <c r="C13" s="49">
        <f t="shared" si="0"/>
        <v>3372</v>
      </c>
    </row>
    <row r="14" spans="1:9" ht="24" thickBot="1" x14ac:dyDescent="0.4">
      <c r="A14" s="10">
        <v>44573</v>
      </c>
      <c r="B14" s="137">
        <f t="shared" ref="B13:B33" si="1">B13</f>
        <v>17904696</v>
      </c>
      <c r="C14" s="49">
        <f t="shared" si="0"/>
        <v>0</v>
      </c>
    </row>
    <row r="15" spans="1:9" ht="24" thickBot="1" x14ac:dyDescent="0.4">
      <c r="A15" s="10">
        <v>44574</v>
      </c>
      <c r="B15" s="137">
        <f t="shared" si="1"/>
        <v>17904696</v>
      </c>
      <c r="C15" s="49">
        <f t="shared" si="0"/>
        <v>0</v>
      </c>
      <c r="I15" t="s">
        <v>12</v>
      </c>
    </row>
    <row r="16" spans="1:9" ht="26.25" customHeight="1" thickBot="1" x14ac:dyDescent="0.4">
      <c r="A16" s="10">
        <v>44575</v>
      </c>
      <c r="B16" s="137">
        <f t="shared" si="1"/>
        <v>17904696</v>
      </c>
      <c r="C16" s="49">
        <f t="shared" si="0"/>
        <v>0</v>
      </c>
    </row>
    <row r="17" spans="1:9" ht="25.5" customHeight="1" thickBot="1" x14ac:dyDescent="0.4">
      <c r="A17" s="10">
        <v>44576</v>
      </c>
      <c r="B17" s="137">
        <f t="shared" si="1"/>
        <v>17904696</v>
      </c>
      <c r="C17" s="49">
        <f t="shared" si="0"/>
        <v>0</v>
      </c>
    </row>
    <row r="18" spans="1:9" ht="24" thickBot="1" x14ac:dyDescent="0.4">
      <c r="A18" s="10">
        <v>44577</v>
      </c>
      <c r="B18" s="137">
        <f t="shared" si="1"/>
        <v>17904696</v>
      </c>
      <c r="C18" s="49">
        <f t="shared" si="0"/>
        <v>0</v>
      </c>
    </row>
    <row r="19" spans="1:9" ht="24" thickBot="1" x14ac:dyDescent="0.4">
      <c r="A19" s="10">
        <v>44578</v>
      </c>
      <c r="B19" s="137">
        <f t="shared" si="1"/>
        <v>17904696</v>
      </c>
      <c r="C19" s="49">
        <f t="shared" si="0"/>
        <v>0</v>
      </c>
    </row>
    <row r="20" spans="1:9" ht="24" thickBot="1" x14ac:dyDescent="0.4">
      <c r="A20" s="10">
        <v>44579</v>
      </c>
      <c r="B20" s="137">
        <f t="shared" si="1"/>
        <v>17904696</v>
      </c>
      <c r="C20" s="49">
        <f t="shared" si="0"/>
        <v>0</v>
      </c>
    </row>
    <row r="21" spans="1:9" ht="24" thickBot="1" x14ac:dyDescent="0.4">
      <c r="A21" s="10">
        <v>44580</v>
      </c>
      <c r="B21" s="137">
        <f t="shared" si="1"/>
        <v>17904696</v>
      </c>
      <c r="C21" s="49">
        <f t="shared" si="0"/>
        <v>0</v>
      </c>
    </row>
    <row r="22" spans="1:9" ht="24" thickBot="1" x14ac:dyDescent="0.4">
      <c r="A22" s="10">
        <v>44581</v>
      </c>
      <c r="B22" s="137">
        <f t="shared" si="1"/>
        <v>17904696</v>
      </c>
      <c r="C22" s="49">
        <f t="shared" si="0"/>
        <v>0</v>
      </c>
    </row>
    <row r="23" spans="1:9" ht="24" thickBot="1" x14ac:dyDescent="0.4">
      <c r="A23" s="10">
        <v>44582</v>
      </c>
      <c r="B23" s="137">
        <f t="shared" si="1"/>
        <v>17904696</v>
      </c>
      <c r="C23" s="49">
        <f t="shared" si="0"/>
        <v>0</v>
      </c>
      <c r="F23" t="s">
        <v>12</v>
      </c>
    </row>
    <row r="24" spans="1:9" ht="24" thickBot="1" x14ac:dyDescent="0.4">
      <c r="A24" s="10">
        <v>44583</v>
      </c>
      <c r="B24" s="137">
        <f t="shared" si="1"/>
        <v>17904696</v>
      </c>
      <c r="C24" s="49">
        <f t="shared" si="0"/>
        <v>0</v>
      </c>
      <c r="E24" t="s">
        <v>12</v>
      </c>
    </row>
    <row r="25" spans="1:9" ht="24" thickBot="1" x14ac:dyDescent="0.4">
      <c r="A25" s="10">
        <v>44584</v>
      </c>
      <c r="B25" s="137">
        <f t="shared" si="1"/>
        <v>17904696</v>
      </c>
      <c r="C25" s="49">
        <f t="shared" si="0"/>
        <v>0</v>
      </c>
    </row>
    <row r="26" spans="1:9" ht="24" thickBot="1" x14ac:dyDescent="0.4">
      <c r="A26" s="10">
        <v>44585</v>
      </c>
      <c r="B26" s="137">
        <f t="shared" si="1"/>
        <v>17904696</v>
      </c>
      <c r="C26" s="49">
        <f t="shared" si="0"/>
        <v>0</v>
      </c>
    </row>
    <row r="27" spans="1:9" ht="24" thickBot="1" x14ac:dyDescent="0.4">
      <c r="A27" s="10">
        <v>44586</v>
      </c>
      <c r="B27" s="137">
        <f t="shared" si="1"/>
        <v>17904696</v>
      </c>
      <c r="C27" s="49">
        <f t="shared" si="0"/>
        <v>0</v>
      </c>
    </row>
    <row r="28" spans="1:9" ht="24" thickBot="1" x14ac:dyDescent="0.4">
      <c r="A28" s="10">
        <v>44587</v>
      </c>
      <c r="B28" s="137">
        <f t="shared" si="1"/>
        <v>17904696</v>
      </c>
      <c r="C28" s="49">
        <f t="shared" si="0"/>
        <v>0</v>
      </c>
      <c r="I28" t="s">
        <v>12</v>
      </c>
    </row>
    <row r="29" spans="1:9" ht="24" thickBot="1" x14ac:dyDescent="0.4">
      <c r="A29" s="10">
        <v>44588</v>
      </c>
      <c r="B29" s="137">
        <f t="shared" si="1"/>
        <v>17904696</v>
      </c>
      <c r="C29" s="49">
        <f t="shared" si="0"/>
        <v>0</v>
      </c>
    </row>
    <row r="30" spans="1:9" ht="24" thickBot="1" x14ac:dyDescent="0.4">
      <c r="A30" s="10">
        <v>44589</v>
      </c>
      <c r="B30" s="137">
        <f t="shared" si="1"/>
        <v>17904696</v>
      </c>
      <c r="C30" s="49">
        <f t="shared" si="0"/>
        <v>0</v>
      </c>
    </row>
    <row r="31" spans="1:9" ht="24" thickBot="1" x14ac:dyDescent="0.4">
      <c r="A31" s="10">
        <v>44590</v>
      </c>
      <c r="B31" s="137">
        <f t="shared" si="1"/>
        <v>17904696</v>
      </c>
      <c r="C31" s="49">
        <f t="shared" si="0"/>
        <v>0</v>
      </c>
    </row>
    <row r="32" spans="1:9" ht="24" thickBot="1" x14ac:dyDescent="0.4">
      <c r="A32" s="10">
        <v>44591</v>
      </c>
      <c r="B32" s="137">
        <f t="shared" si="1"/>
        <v>17904696</v>
      </c>
      <c r="C32" s="49">
        <f t="shared" si="0"/>
        <v>0</v>
      </c>
    </row>
    <row r="33" spans="1:3" ht="24" thickBot="1" x14ac:dyDescent="0.4">
      <c r="A33" s="10">
        <v>44592</v>
      </c>
      <c r="B33" s="137">
        <f t="shared" si="1"/>
        <v>17904696</v>
      </c>
      <c r="C33" s="49">
        <f t="shared" si="0"/>
        <v>0</v>
      </c>
    </row>
    <row r="34" spans="1:3" ht="24" thickBot="1" x14ac:dyDescent="0.4">
      <c r="A34" s="171" t="s">
        <v>138</v>
      </c>
      <c r="B34" s="172"/>
      <c r="C34" s="140">
        <f>SUM(C4:C33)</f>
        <v>31174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topLeftCell="J1" zoomScale="90" zoomScaleNormal="90" workbookViewId="0">
      <pane ySplit="1" topLeftCell="A2" activePane="bottomLeft" state="frozen"/>
      <selection pane="bottomLeft" activeCell="Z14" sqref="Z14"/>
    </sheetView>
  </sheetViews>
  <sheetFormatPr defaultRowHeight="12.75" x14ac:dyDescent="0.2"/>
  <cols>
    <col min="1" max="1" width="20.85546875" bestFit="1" customWidth="1"/>
    <col min="2" max="2" width="12.85546875" style="167" bestFit="1" customWidth="1"/>
    <col min="3" max="3" width="14.85546875" style="40" customWidth="1"/>
    <col min="4" max="4" width="10.7109375" customWidth="1"/>
    <col min="5" max="5" width="11.28515625" customWidth="1"/>
    <col min="6" max="6" width="14.5703125" style="40" customWidth="1"/>
    <col min="7" max="7" width="10.7109375" customWidth="1"/>
    <col min="8" max="8" width="13.5703125" customWidth="1"/>
    <col min="9" max="9" width="12.85546875" style="40" bestFit="1" customWidth="1"/>
    <col min="10" max="10" width="10.7109375" customWidth="1"/>
    <col min="11" max="11" width="13.42578125" customWidth="1"/>
    <col min="12" max="12" width="12.42578125" style="40" customWidth="1"/>
    <col min="13" max="13" width="10.7109375" customWidth="1"/>
    <col min="14" max="14" width="11.28515625" bestFit="1" customWidth="1"/>
    <col min="15" max="15" width="12.42578125" style="40" customWidth="1"/>
    <col min="16" max="16" width="10.7109375" customWidth="1"/>
    <col min="17" max="17" width="11.7109375" customWidth="1"/>
    <col min="18" max="18" width="11.28515625" style="40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61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3" ht="16.5" thickBot="1" x14ac:dyDescent="0.3">
      <c r="A1" s="2" t="s">
        <v>0</v>
      </c>
      <c r="B1" s="164" t="s">
        <v>1</v>
      </c>
      <c r="C1" s="47" t="s">
        <v>2</v>
      </c>
      <c r="D1" s="31" t="s">
        <v>3</v>
      </c>
      <c r="E1" s="3" t="s">
        <v>4</v>
      </c>
      <c r="F1" s="47" t="s">
        <v>2</v>
      </c>
      <c r="G1" s="31" t="s">
        <v>3</v>
      </c>
      <c r="H1" s="3" t="s">
        <v>5</v>
      </c>
      <c r="I1" s="47" t="s">
        <v>6</v>
      </c>
      <c r="J1" s="31" t="s">
        <v>3</v>
      </c>
      <c r="K1" s="3" t="s">
        <v>7</v>
      </c>
      <c r="L1" s="47" t="s">
        <v>6</v>
      </c>
      <c r="M1" s="31" t="s">
        <v>3</v>
      </c>
      <c r="N1" s="4" t="s">
        <v>8</v>
      </c>
      <c r="O1" s="47" t="s">
        <v>6</v>
      </c>
      <c r="P1" s="31" t="s">
        <v>3</v>
      </c>
      <c r="Q1" s="4" t="s">
        <v>9</v>
      </c>
      <c r="R1" s="47" t="s">
        <v>6</v>
      </c>
      <c r="S1" s="31" t="s">
        <v>3</v>
      </c>
      <c r="T1" s="5" t="s">
        <v>10</v>
      </c>
      <c r="U1" s="33" t="s">
        <v>11</v>
      </c>
      <c r="W1" s="173" t="s">
        <v>142</v>
      </c>
      <c r="X1" s="174"/>
      <c r="Y1" s="174"/>
      <c r="Z1" s="174"/>
      <c r="AA1" s="175"/>
      <c r="AB1" s="176" t="s">
        <v>144</v>
      </c>
      <c r="AC1" s="174"/>
      <c r="AD1" s="176" t="s">
        <v>146</v>
      </c>
      <c r="AE1" s="174"/>
      <c r="AF1" s="173" t="s">
        <v>147</v>
      </c>
      <c r="AG1" s="174"/>
    </row>
    <row r="2" spans="1:33" s="24" customFormat="1" ht="16.5" thickBot="1" x14ac:dyDescent="0.25">
      <c r="A2" s="10">
        <v>44561</v>
      </c>
      <c r="B2" s="165">
        <v>22785.927</v>
      </c>
      <c r="C2" s="48"/>
      <c r="D2" s="32">
        <f t="shared" ref="D2" si="0">C2*1.9*1000</f>
        <v>0</v>
      </c>
      <c r="E2" s="1">
        <v>4083.9</v>
      </c>
      <c r="F2" s="48"/>
      <c r="G2" s="32">
        <f t="shared" ref="G2" si="1">F2*1.9*1000</f>
        <v>0</v>
      </c>
      <c r="H2" s="1">
        <v>4553</v>
      </c>
      <c r="I2" s="48"/>
      <c r="J2" s="32">
        <f t="shared" ref="J2" si="2">I2*1.9*1000</f>
        <v>0</v>
      </c>
      <c r="K2" s="7">
        <v>13883.09</v>
      </c>
      <c r="L2" s="48"/>
      <c r="M2" s="32">
        <f t="shared" ref="M2" si="3">L2*1.9*1000</f>
        <v>0</v>
      </c>
      <c r="N2" s="7">
        <v>3369</v>
      </c>
      <c r="O2" s="48"/>
      <c r="P2" s="32">
        <f t="shared" ref="P2" si="4">O2*1.9*1000</f>
        <v>0</v>
      </c>
      <c r="Q2" s="7">
        <v>5289.9</v>
      </c>
      <c r="R2" s="48"/>
      <c r="S2" s="32">
        <f t="shared" ref="S2" si="5">R2*1.9*1000</f>
        <v>0</v>
      </c>
      <c r="T2" s="8">
        <f t="shared" ref="T2" si="6">C2+F2+I2+L2+O2+R2</f>
        <v>0</v>
      </c>
      <c r="U2" s="34"/>
      <c r="V2"/>
      <c r="W2" s="162">
        <v>44561</v>
      </c>
      <c r="X2" s="163">
        <v>163330</v>
      </c>
      <c r="Y2" s="169">
        <f t="shared" ref="Y2" si="7">X2-X1</f>
        <v>163330</v>
      </c>
      <c r="Z2" s="163">
        <v>8244</v>
      </c>
      <c r="AA2" s="169">
        <f t="shared" ref="AA2" si="8">Z2-Z1</f>
        <v>8244</v>
      </c>
      <c r="AB2" s="163">
        <v>18.78</v>
      </c>
      <c r="AC2" s="169">
        <v>0</v>
      </c>
      <c r="AD2" s="163">
        <v>85</v>
      </c>
      <c r="AE2" s="169"/>
      <c r="AF2" s="163">
        <v>5234</v>
      </c>
      <c r="AG2" s="169"/>
    </row>
    <row r="3" spans="1:33" ht="16.5" thickBot="1" x14ac:dyDescent="0.25">
      <c r="A3" s="10">
        <v>44562</v>
      </c>
      <c r="B3" s="165">
        <v>22788.09</v>
      </c>
      <c r="C3" s="48">
        <f t="shared" ref="C3" si="9">IF((B3-B2)&lt;0,"0",(B3-B2))</f>
        <v>2.1630000000004657</v>
      </c>
      <c r="D3" s="32">
        <f t="shared" ref="D3" si="10">C3*1.9*1000</f>
        <v>4109.7000000008848</v>
      </c>
      <c r="E3" s="1">
        <v>4084.395</v>
      </c>
      <c r="F3" s="48">
        <f t="shared" ref="F3" si="11">IF((E3-E2)&lt;0,"0",(E3-E2))</f>
        <v>0.49499999999989086</v>
      </c>
      <c r="G3" s="32">
        <f t="shared" ref="G3" si="12">F3*1.9*1000</f>
        <v>940.49999999979264</v>
      </c>
      <c r="H3" s="1">
        <v>4557</v>
      </c>
      <c r="I3" s="48">
        <f t="shared" ref="I3" si="13">IF((H3-H2)&lt;0,"0",(H3-H2))</f>
        <v>4</v>
      </c>
      <c r="J3" s="32">
        <f t="shared" ref="J3" si="14">I3*1.9*1000</f>
        <v>7600</v>
      </c>
      <c r="K3" s="7">
        <v>13883.09</v>
      </c>
      <c r="L3" s="48">
        <f t="shared" ref="L3" si="15">IF((K3-K2)&lt;0,"0",(K3-K2))</f>
        <v>0</v>
      </c>
      <c r="M3" s="32">
        <f t="shared" ref="M3" si="16">L3*1.9*1000</f>
        <v>0</v>
      </c>
      <c r="N3" s="7">
        <v>3370.3890000000001</v>
      </c>
      <c r="O3" s="48">
        <f t="shared" ref="O3" si="17">IF((N3-N2)&lt;0,"0",(N3-N2))</f>
        <v>1.3890000000001237</v>
      </c>
      <c r="P3" s="32">
        <f t="shared" ref="P3" si="18">O3*1.9*1000</f>
        <v>2639.100000000235</v>
      </c>
      <c r="Q3" s="7">
        <v>5290.56</v>
      </c>
      <c r="R3" s="48">
        <f t="shared" ref="R3" si="19">IF((Q3-Q2)&lt;0,"0",(Q3-Q2))</f>
        <v>0.66000000000076398</v>
      </c>
      <c r="S3" s="32">
        <f t="shared" ref="S3" si="20">R3*1.9*1000</f>
        <v>1254.0000000014516</v>
      </c>
      <c r="T3" s="8">
        <f>C3+F3+I3+L3+O3+R3</f>
        <v>8.7070000000012442</v>
      </c>
      <c r="U3" s="34">
        <f t="shared" ref="U3" si="21">T3*1.9*1000</f>
        <v>16543.300000002364</v>
      </c>
      <c r="W3" s="162">
        <v>44562</v>
      </c>
      <c r="X3" s="163">
        <v>163383</v>
      </c>
      <c r="Y3" s="168">
        <f t="shared" ref="Y3" si="22">X3-X2</f>
        <v>53</v>
      </c>
      <c r="Z3" s="163">
        <v>8248</v>
      </c>
      <c r="AA3" s="168">
        <f>Z3-Z2</f>
        <v>4</v>
      </c>
      <c r="AB3" s="163">
        <v>19</v>
      </c>
      <c r="AC3" s="169">
        <v>0</v>
      </c>
      <c r="AD3" s="163">
        <v>89</v>
      </c>
      <c r="AE3" s="168">
        <f>AD3-AD2</f>
        <v>4</v>
      </c>
      <c r="AF3" s="163">
        <v>5250</v>
      </c>
      <c r="AG3" s="168">
        <f>AF3-AF2</f>
        <v>16</v>
      </c>
    </row>
    <row r="4" spans="1:33" ht="16.5" thickBot="1" x14ac:dyDescent="0.25">
      <c r="A4" s="10">
        <v>44563</v>
      </c>
      <c r="B4" s="165">
        <v>22790.294999999998</v>
      </c>
      <c r="C4" s="48">
        <f t="shared" ref="C4:C33" si="23">IF((B4-B3)&lt;0,"0",(B4-B3))</f>
        <v>2.2049999999981083</v>
      </c>
      <c r="D4" s="32">
        <f t="shared" ref="D4:D33" si="24">C4*1.9*1000</f>
        <v>4189.4999999964057</v>
      </c>
      <c r="E4" s="1">
        <v>4085.1</v>
      </c>
      <c r="F4" s="48">
        <f t="shared" ref="F4:F33" si="25">IF((E4-E3)&lt;0,"0",(E4-E3))</f>
        <v>0.70499999999992724</v>
      </c>
      <c r="G4" s="32">
        <f t="shared" ref="G4:G33" si="26">F4*1.9*1000</f>
        <v>1339.4999999998618</v>
      </c>
      <c r="H4" s="1">
        <v>4562</v>
      </c>
      <c r="I4" s="48">
        <f t="shared" ref="I4:I33" si="27">IF((H4-H3)&lt;0,"0",(H4-H3))</f>
        <v>5</v>
      </c>
      <c r="J4" s="32">
        <f t="shared" ref="J4:J33" si="28">I4*1.9*1000</f>
        <v>9500</v>
      </c>
      <c r="K4" s="7">
        <v>13883.26</v>
      </c>
      <c r="L4" s="48">
        <f t="shared" ref="L4:L33" si="29">IF((K4-K3)&lt;0,"0",(K4-K3))</f>
        <v>0.17000000000007276</v>
      </c>
      <c r="M4" s="32">
        <f t="shared" ref="M4:M33" si="30">L4*1.9*1000</f>
        <v>323.00000000013824</v>
      </c>
      <c r="N4" s="7">
        <v>3371.6190000000001</v>
      </c>
      <c r="O4" s="48">
        <f t="shared" ref="O4:O34" si="31">IF((N4-N3)&lt;0,"0",(N4-N3))</f>
        <v>1.2300000000000182</v>
      </c>
      <c r="P4" s="32">
        <f t="shared" ref="P4:P33" si="32">O4*1.9*1000</f>
        <v>2337.0000000000346</v>
      </c>
      <c r="Q4" s="7">
        <v>5290.83</v>
      </c>
      <c r="R4" s="48">
        <f t="shared" ref="R4:R33" si="33">IF((Q4-Q3)&lt;0,"0",(Q4-Q3))</f>
        <v>0.26999999999952706</v>
      </c>
      <c r="S4" s="32">
        <f t="shared" ref="S4:S33" si="34">R4*1.9*1000</f>
        <v>512.99999999910142</v>
      </c>
      <c r="T4" s="8">
        <f>C4+F4+I4+L4+O4+R4</f>
        <v>9.5799999999976535</v>
      </c>
      <c r="U4" s="34">
        <f t="shared" ref="U4:U33" si="35">T4*1.9*1000</f>
        <v>18201.99999999554</v>
      </c>
      <c r="W4" s="162">
        <v>44563</v>
      </c>
      <c r="X4" s="163">
        <v>163421</v>
      </c>
      <c r="Y4" s="168">
        <f>X4-X3</f>
        <v>38</v>
      </c>
      <c r="Z4" s="163">
        <v>8251</v>
      </c>
      <c r="AA4" s="168">
        <f>Z4-Z3</f>
        <v>3</v>
      </c>
      <c r="AB4" s="163">
        <f>AB3</f>
        <v>19</v>
      </c>
      <c r="AC4" s="169">
        <f t="shared" ref="AC4:AC8" si="36">AB4-AB3</f>
        <v>0</v>
      </c>
      <c r="AD4" s="163">
        <f>AD3</f>
        <v>89</v>
      </c>
      <c r="AE4" s="169">
        <f t="shared" ref="AE4:AE33" si="37">AD4-AD3</f>
        <v>0</v>
      </c>
      <c r="AF4" s="163">
        <v>5258</v>
      </c>
      <c r="AG4" s="169">
        <f t="shared" ref="AG4:AG33" si="38">AF4-AF3</f>
        <v>8</v>
      </c>
    </row>
    <row r="5" spans="1:33" ht="16.5" thickBot="1" x14ac:dyDescent="0.25">
      <c r="A5" s="10">
        <v>44564</v>
      </c>
      <c r="B5" s="165">
        <v>22792.651999999998</v>
      </c>
      <c r="C5" s="48">
        <f t="shared" si="23"/>
        <v>2.3569999999999709</v>
      </c>
      <c r="D5" s="32">
        <f t="shared" si="24"/>
        <v>4478.2999999999447</v>
      </c>
      <c r="E5" s="1">
        <v>4085.8510000000001</v>
      </c>
      <c r="F5" s="48">
        <f t="shared" si="25"/>
        <v>0.75100000000020373</v>
      </c>
      <c r="G5" s="32">
        <f t="shared" si="26"/>
        <v>1426.9000000003871</v>
      </c>
      <c r="H5" s="1">
        <v>4566</v>
      </c>
      <c r="I5" s="48">
        <f t="shared" si="27"/>
        <v>4</v>
      </c>
      <c r="J5" s="32">
        <f t="shared" si="28"/>
        <v>7600</v>
      </c>
      <c r="K5" s="7">
        <v>13885.11</v>
      </c>
      <c r="L5" s="48">
        <f t="shared" si="29"/>
        <v>1.8500000000003638</v>
      </c>
      <c r="M5" s="32">
        <f t="shared" si="30"/>
        <v>3515.0000000006912</v>
      </c>
      <c r="N5" s="7">
        <v>3372.7510000000002</v>
      </c>
      <c r="O5" s="48">
        <f t="shared" si="31"/>
        <v>1.1320000000000618</v>
      </c>
      <c r="P5" s="32">
        <f t="shared" si="32"/>
        <v>2150.8000000001175</v>
      </c>
      <c r="Q5" s="7">
        <v>5291.46</v>
      </c>
      <c r="R5" s="48">
        <f t="shared" si="33"/>
        <v>0.63000000000010914</v>
      </c>
      <c r="S5" s="32">
        <f t="shared" si="34"/>
        <v>1197.0000000002071</v>
      </c>
      <c r="T5" s="8">
        <f>C5+F5+I5+L5+O5+R5</f>
        <v>10.720000000000709</v>
      </c>
      <c r="U5" s="34">
        <f t="shared" si="35"/>
        <v>20368.00000000135</v>
      </c>
      <c r="W5" s="162">
        <v>44564</v>
      </c>
      <c r="X5" s="163">
        <v>163452</v>
      </c>
      <c r="Y5" s="169">
        <f t="shared" ref="Y5:Y33" si="39">X5-X4</f>
        <v>31</v>
      </c>
      <c r="Z5" s="163">
        <v>8254</v>
      </c>
      <c r="AA5" s="169">
        <f>Z5-Z4</f>
        <v>3</v>
      </c>
      <c r="AB5" s="163">
        <f t="shared" ref="AB5" si="40">AB4</f>
        <v>19</v>
      </c>
      <c r="AC5" s="169">
        <f t="shared" si="36"/>
        <v>0</v>
      </c>
      <c r="AD5" s="163">
        <v>95</v>
      </c>
      <c r="AE5" s="169">
        <f t="shared" si="37"/>
        <v>6</v>
      </c>
      <c r="AF5" s="163">
        <v>5263</v>
      </c>
      <c r="AG5" s="169">
        <f t="shared" si="38"/>
        <v>5</v>
      </c>
    </row>
    <row r="6" spans="1:33" ht="16.5" thickBot="1" x14ac:dyDescent="0.25">
      <c r="A6" s="10">
        <v>44565</v>
      </c>
      <c r="B6" s="165">
        <v>22794.937000000002</v>
      </c>
      <c r="C6" s="48">
        <f t="shared" si="23"/>
        <v>2.2850000000034925</v>
      </c>
      <c r="D6" s="32">
        <f t="shared" si="24"/>
        <v>4341.5000000066357</v>
      </c>
      <c r="E6" s="1">
        <v>4086.6289999999999</v>
      </c>
      <c r="F6" s="48">
        <f t="shared" si="25"/>
        <v>0.77799999999979264</v>
      </c>
      <c r="G6" s="32">
        <f t="shared" si="26"/>
        <v>1478.1999999996058</v>
      </c>
      <c r="H6" s="1">
        <v>4569</v>
      </c>
      <c r="I6" s="48">
        <f t="shared" si="27"/>
        <v>3</v>
      </c>
      <c r="J6" s="32">
        <f t="shared" si="28"/>
        <v>5699.9999999999991</v>
      </c>
      <c r="K6" s="7">
        <v>13887.33</v>
      </c>
      <c r="L6" s="48">
        <f t="shared" si="29"/>
        <v>2.2199999999993452</v>
      </c>
      <c r="M6" s="32">
        <f t="shared" si="30"/>
        <v>4217.9999999987558</v>
      </c>
      <c r="N6" s="7">
        <v>3373.7950000000001</v>
      </c>
      <c r="O6" s="48">
        <f t="shared" si="31"/>
        <v>1.043999999999869</v>
      </c>
      <c r="P6" s="32">
        <f t="shared" si="32"/>
        <v>1983.5999999997512</v>
      </c>
      <c r="Q6" s="7">
        <f t="shared" ref="Q6:Q10" si="41">Q5</f>
        <v>5291.46</v>
      </c>
      <c r="R6" s="48">
        <f t="shared" si="33"/>
        <v>0</v>
      </c>
      <c r="S6" s="32">
        <f t="shared" si="34"/>
        <v>0</v>
      </c>
      <c r="T6" s="8">
        <f t="shared" ref="T6:T33" si="42">C6+F6+I6+L6+O6+R6</f>
        <v>9.3270000000024993</v>
      </c>
      <c r="U6" s="34">
        <f t="shared" si="35"/>
        <v>17721.30000000475</v>
      </c>
      <c r="W6" s="162">
        <v>44565</v>
      </c>
      <c r="X6" s="163">
        <v>163459</v>
      </c>
      <c r="Y6" s="169">
        <f t="shared" si="39"/>
        <v>7</v>
      </c>
      <c r="Z6" s="163">
        <v>8258</v>
      </c>
      <c r="AA6" s="169">
        <f>Z6-Z5</f>
        <v>4</v>
      </c>
      <c r="AB6" s="163">
        <f t="shared" ref="AB6:AB33" si="43">AB5</f>
        <v>19</v>
      </c>
      <c r="AC6" s="169">
        <f t="shared" si="36"/>
        <v>0</v>
      </c>
      <c r="AD6" s="163">
        <v>99</v>
      </c>
      <c r="AE6" s="169">
        <f t="shared" si="37"/>
        <v>4</v>
      </c>
      <c r="AF6" s="163">
        <v>5282</v>
      </c>
      <c r="AG6" s="169">
        <f t="shared" si="38"/>
        <v>19</v>
      </c>
    </row>
    <row r="7" spans="1:33" ht="16.5" thickBot="1" x14ac:dyDescent="0.25">
      <c r="A7" s="10">
        <v>44566</v>
      </c>
      <c r="B7" s="165">
        <v>22797.704000000002</v>
      </c>
      <c r="C7" s="48">
        <f t="shared" si="23"/>
        <v>2.7669999999998254</v>
      </c>
      <c r="D7" s="32">
        <f t="shared" si="24"/>
        <v>5257.2999999996673</v>
      </c>
      <c r="E7" s="1">
        <v>4087.393</v>
      </c>
      <c r="F7" s="48">
        <f t="shared" si="25"/>
        <v>0.76400000000012369</v>
      </c>
      <c r="G7" s="32">
        <f t="shared" si="26"/>
        <v>1451.600000000235</v>
      </c>
      <c r="H7" s="1">
        <v>4575</v>
      </c>
      <c r="I7" s="48">
        <f t="shared" si="27"/>
        <v>6</v>
      </c>
      <c r="J7" s="32">
        <f t="shared" si="28"/>
        <v>11399.999999999998</v>
      </c>
      <c r="K7" s="7">
        <v>13889.67</v>
      </c>
      <c r="L7" s="48">
        <f t="shared" si="29"/>
        <v>2.3400000000001455</v>
      </c>
      <c r="M7" s="32">
        <f t="shared" si="30"/>
        <v>4446.0000000002756</v>
      </c>
      <c r="N7" s="7">
        <v>3375.2190000000001</v>
      </c>
      <c r="O7" s="48">
        <f t="shared" si="31"/>
        <v>1.4239999999999782</v>
      </c>
      <c r="P7" s="32">
        <f t="shared" si="32"/>
        <v>2705.5999999999581</v>
      </c>
      <c r="Q7" s="7">
        <f t="shared" si="41"/>
        <v>5291.46</v>
      </c>
      <c r="R7" s="48">
        <f t="shared" si="33"/>
        <v>0</v>
      </c>
      <c r="S7" s="32">
        <f t="shared" si="34"/>
        <v>0</v>
      </c>
      <c r="T7" s="8">
        <f t="shared" si="42"/>
        <v>13.295000000000073</v>
      </c>
      <c r="U7" s="34">
        <f t="shared" si="35"/>
        <v>25260.500000000135</v>
      </c>
      <c r="W7" s="162">
        <v>44566</v>
      </c>
      <c r="X7" s="163">
        <v>163532</v>
      </c>
      <c r="Y7" s="169">
        <f t="shared" si="39"/>
        <v>73</v>
      </c>
      <c r="Z7" s="163">
        <v>8264</v>
      </c>
      <c r="AA7" s="169">
        <f t="shared" ref="AA7:AA33" si="44">Z7-Z6</f>
        <v>6</v>
      </c>
      <c r="AB7" s="163">
        <v>19.41</v>
      </c>
      <c r="AC7" s="169">
        <f t="shared" si="36"/>
        <v>0.41000000000000014</v>
      </c>
      <c r="AD7" s="163">
        <v>101</v>
      </c>
      <c r="AE7" s="169">
        <f t="shared" si="37"/>
        <v>2</v>
      </c>
      <c r="AF7" s="163">
        <v>5291</v>
      </c>
      <c r="AG7" s="169">
        <f t="shared" si="38"/>
        <v>9</v>
      </c>
    </row>
    <row r="8" spans="1:33" ht="16.5" thickBot="1" x14ac:dyDescent="0.25">
      <c r="A8" s="10">
        <v>44567</v>
      </c>
      <c r="B8" s="165">
        <v>22799.969000000001</v>
      </c>
      <c r="C8" s="48">
        <f t="shared" si="23"/>
        <v>2.2649999999994179</v>
      </c>
      <c r="D8" s="32">
        <f t="shared" si="24"/>
        <v>4303.4999999988941</v>
      </c>
      <c r="E8" s="1">
        <v>4087.7550000000001</v>
      </c>
      <c r="F8" s="48">
        <f t="shared" si="25"/>
        <v>0.36200000000008004</v>
      </c>
      <c r="G8" s="32">
        <f t="shared" si="26"/>
        <v>687.80000000015207</v>
      </c>
      <c r="H8" s="1">
        <v>4579</v>
      </c>
      <c r="I8" s="48">
        <f t="shared" si="27"/>
        <v>4</v>
      </c>
      <c r="J8" s="32">
        <f t="shared" si="28"/>
        <v>7600</v>
      </c>
      <c r="K8" s="7">
        <v>13889.7</v>
      </c>
      <c r="L8" s="48">
        <f t="shared" si="29"/>
        <v>3.0000000000654836E-2</v>
      </c>
      <c r="M8" s="32">
        <f t="shared" si="30"/>
        <v>57.000000001244189</v>
      </c>
      <c r="N8" s="7">
        <v>3376.4119999999998</v>
      </c>
      <c r="O8" s="48">
        <f t="shared" si="31"/>
        <v>1.1929999999997563</v>
      </c>
      <c r="P8" s="32">
        <f t="shared" si="32"/>
        <v>2266.6999999995369</v>
      </c>
      <c r="Q8" s="7">
        <f t="shared" si="41"/>
        <v>5291.46</v>
      </c>
      <c r="R8" s="48">
        <f t="shared" si="33"/>
        <v>0</v>
      </c>
      <c r="S8" s="32">
        <f t="shared" si="34"/>
        <v>0</v>
      </c>
      <c r="T8" s="8">
        <f t="shared" si="42"/>
        <v>7.8499999999999091</v>
      </c>
      <c r="U8" s="34">
        <f t="shared" si="35"/>
        <v>14914.999999999827</v>
      </c>
      <c r="W8" s="162">
        <v>44567</v>
      </c>
      <c r="X8" s="163">
        <v>163540</v>
      </c>
      <c r="Y8" s="169">
        <f t="shared" si="39"/>
        <v>8</v>
      </c>
      <c r="Z8" s="163">
        <v>8267</v>
      </c>
      <c r="AA8" s="169">
        <f t="shared" si="44"/>
        <v>3</v>
      </c>
      <c r="AB8" s="163">
        <v>19.41</v>
      </c>
      <c r="AC8" s="169">
        <f t="shared" si="36"/>
        <v>0</v>
      </c>
      <c r="AD8" s="163">
        <f t="shared" ref="AD8:AD33" si="45">AD7</f>
        <v>101</v>
      </c>
      <c r="AE8" s="169">
        <f t="shared" si="37"/>
        <v>0</v>
      </c>
      <c r="AF8" s="163">
        <v>5320</v>
      </c>
      <c r="AG8" s="169">
        <f t="shared" si="38"/>
        <v>29</v>
      </c>
    </row>
    <row r="9" spans="1:33" ht="16.5" thickBot="1" x14ac:dyDescent="0.25">
      <c r="A9" s="10">
        <v>44568</v>
      </c>
      <c r="B9" s="165">
        <v>22802.120999999999</v>
      </c>
      <c r="C9" s="48">
        <f t="shared" si="23"/>
        <v>2.1519999999982247</v>
      </c>
      <c r="D9" s="32">
        <f t="shared" si="24"/>
        <v>4088.7999999966269</v>
      </c>
      <c r="E9" s="1">
        <v>4088.1</v>
      </c>
      <c r="F9" s="48">
        <f t="shared" si="25"/>
        <v>0.34499999999979991</v>
      </c>
      <c r="G9" s="32">
        <f t="shared" si="26"/>
        <v>655.49999999961983</v>
      </c>
      <c r="H9" s="1">
        <v>4584</v>
      </c>
      <c r="I9" s="48">
        <f t="shared" si="27"/>
        <v>5</v>
      </c>
      <c r="J9" s="32">
        <f t="shared" si="28"/>
        <v>9500</v>
      </c>
      <c r="K9" s="7">
        <v>13889.7</v>
      </c>
      <c r="L9" s="48">
        <f t="shared" si="29"/>
        <v>0</v>
      </c>
      <c r="M9" s="32">
        <f t="shared" si="30"/>
        <v>0</v>
      </c>
      <c r="N9" s="7">
        <v>3377.5740000000001</v>
      </c>
      <c r="O9" s="48">
        <f t="shared" si="31"/>
        <v>1.1620000000002619</v>
      </c>
      <c r="P9" s="32">
        <f t="shared" si="32"/>
        <v>2207.8000000004977</v>
      </c>
      <c r="Q9" s="7">
        <f t="shared" si="41"/>
        <v>5291.46</v>
      </c>
      <c r="R9" s="48">
        <f t="shared" si="33"/>
        <v>0</v>
      </c>
      <c r="S9" s="32">
        <f t="shared" si="34"/>
        <v>0</v>
      </c>
      <c r="T9" s="8">
        <f t="shared" si="42"/>
        <v>8.6589999999982865</v>
      </c>
      <c r="U9" s="34">
        <f t="shared" si="35"/>
        <v>16452.099999996743</v>
      </c>
      <c r="W9" s="162">
        <v>44568</v>
      </c>
      <c r="X9" s="163">
        <v>163560</v>
      </c>
      <c r="Y9" s="169">
        <f t="shared" si="39"/>
        <v>20</v>
      </c>
      <c r="Z9" s="163">
        <v>8270</v>
      </c>
      <c r="AA9" s="169">
        <f t="shared" si="44"/>
        <v>3</v>
      </c>
      <c r="AB9" s="163">
        <v>19.41</v>
      </c>
      <c r="AC9" s="169">
        <f>AB9-AB8</f>
        <v>0</v>
      </c>
      <c r="AD9" s="163">
        <v>108</v>
      </c>
      <c r="AE9" s="169">
        <f t="shared" si="37"/>
        <v>7</v>
      </c>
      <c r="AF9" s="163">
        <v>5331</v>
      </c>
      <c r="AG9" s="169">
        <f t="shared" si="38"/>
        <v>11</v>
      </c>
    </row>
    <row r="10" spans="1:33" ht="16.5" thickBot="1" x14ac:dyDescent="0.25">
      <c r="A10" s="10">
        <v>44569</v>
      </c>
      <c r="B10" s="165">
        <v>22804.38</v>
      </c>
      <c r="C10" s="48">
        <f t="shared" si="23"/>
        <v>2.2590000000018335</v>
      </c>
      <c r="D10" s="32">
        <f t="shared" si="24"/>
        <v>4292.1000000034837</v>
      </c>
      <c r="E10" s="1">
        <v>4088.5230000000001</v>
      </c>
      <c r="F10" s="48">
        <f t="shared" si="25"/>
        <v>0.42300000000022919</v>
      </c>
      <c r="G10" s="32">
        <f t="shared" si="26"/>
        <v>803.70000000043535</v>
      </c>
      <c r="H10" s="1">
        <v>4588</v>
      </c>
      <c r="I10" s="48">
        <f t="shared" si="27"/>
        <v>4</v>
      </c>
      <c r="J10" s="32">
        <f t="shared" si="28"/>
        <v>7600</v>
      </c>
      <c r="K10" s="7">
        <v>13889.7</v>
      </c>
      <c r="L10" s="48">
        <f t="shared" si="29"/>
        <v>0</v>
      </c>
      <c r="M10" s="32">
        <f t="shared" si="30"/>
        <v>0</v>
      </c>
      <c r="N10" s="7">
        <v>3378.8670000000002</v>
      </c>
      <c r="O10" s="48">
        <f>IF((N10-N9)&lt;0,"0",(N10-N9))</f>
        <v>1.2930000000001201</v>
      </c>
      <c r="P10" s="32">
        <f t="shared" si="32"/>
        <v>2456.7000000002281</v>
      </c>
      <c r="Q10" s="7">
        <f t="shared" si="41"/>
        <v>5291.46</v>
      </c>
      <c r="R10" s="48">
        <f t="shared" si="33"/>
        <v>0</v>
      </c>
      <c r="S10" s="32">
        <f t="shared" si="34"/>
        <v>0</v>
      </c>
      <c r="T10" s="8">
        <f t="shared" si="42"/>
        <v>7.9750000000021828</v>
      </c>
      <c r="U10" s="34">
        <f t="shared" si="35"/>
        <v>15152.500000004145</v>
      </c>
      <c r="W10" s="162">
        <v>44569</v>
      </c>
      <c r="X10" s="163">
        <v>163597</v>
      </c>
      <c r="Y10" s="169">
        <f t="shared" si="39"/>
        <v>37</v>
      </c>
      <c r="Z10" s="163">
        <v>8273</v>
      </c>
      <c r="AA10" s="169">
        <f t="shared" si="44"/>
        <v>3</v>
      </c>
      <c r="AB10" s="163">
        <f t="shared" si="43"/>
        <v>19.41</v>
      </c>
      <c r="AC10" s="169">
        <f t="shared" ref="AC10:AC31" si="46">AB10-AB9</f>
        <v>0</v>
      </c>
      <c r="AD10" s="163">
        <v>110</v>
      </c>
      <c r="AE10" s="169">
        <f t="shared" si="37"/>
        <v>2</v>
      </c>
      <c r="AF10" s="163">
        <v>5342</v>
      </c>
      <c r="AG10" s="169">
        <f t="shared" si="38"/>
        <v>11</v>
      </c>
    </row>
    <row r="11" spans="1:33" ht="16.5" thickBot="1" x14ac:dyDescent="0.25">
      <c r="A11" s="10">
        <v>44570</v>
      </c>
      <c r="B11" s="165">
        <v>22805.946</v>
      </c>
      <c r="C11" s="48">
        <f t="shared" si="23"/>
        <v>1.5659999999988941</v>
      </c>
      <c r="D11" s="32">
        <f t="shared" si="24"/>
        <v>2975.3999999978987</v>
      </c>
      <c r="E11" s="1">
        <v>4088.93</v>
      </c>
      <c r="F11" s="48">
        <f t="shared" si="25"/>
        <v>0.40699999999969805</v>
      </c>
      <c r="G11" s="32">
        <f t="shared" si="26"/>
        <v>773.29999999942618</v>
      </c>
      <c r="H11" s="1">
        <v>4591</v>
      </c>
      <c r="I11" s="48">
        <f t="shared" si="27"/>
        <v>3</v>
      </c>
      <c r="J11" s="32">
        <f t="shared" si="28"/>
        <v>5699.9999999999991</v>
      </c>
      <c r="K11" s="7">
        <v>13889.7</v>
      </c>
      <c r="L11" s="48">
        <f t="shared" si="29"/>
        <v>0</v>
      </c>
      <c r="M11" s="32">
        <f t="shared" si="30"/>
        <v>0</v>
      </c>
      <c r="N11" s="7">
        <v>3379.5630000000001</v>
      </c>
      <c r="O11" s="48">
        <f t="shared" si="31"/>
        <v>0.69599999999991269</v>
      </c>
      <c r="P11" s="32">
        <f t="shared" si="32"/>
        <v>1322.3999999998341</v>
      </c>
      <c r="Q11" s="7">
        <v>5291.46</v>
      </c>
      <c r="R11" s="48">
        <f t="shared" si="33"/>
        <v>0</v>
      </c>
      <c r="S11" s="32">
        <f t="shared" si="34"/>
        <v>0</v>
      </c>
      <c r="T11" s="8">
        <f t="shared" si="42"/>
        <v>5.6689999999985048</v>
      </c>
      <c r="U11" s="34">
        <f t="shared" si="35"/>
        <v>10771.099999997159</v>
      </c>
      <c r="W11" s="162">
        <v>44570</v>
      </c>
      <c r="X11" s="163">
        <v>163623</v>
      </c>
      <c r="Y11" s="169">
        <f t="shared" si="39"/>
        <v>26</v>
      </c>
      <c r="Z11" s="163">
        <v>8275</v>
      </c>
      <c r="AA11" s="169">
        <f t="shared" si="44"/>
        <v>2</v>
      </c>
      <c r="AB11" s="163">
        <f t="shared" si="43"/>
        <v>19.41</v>
      </c>
      <c r="AC11" s="169">
        <f t="shared" si="46"/>
        <v>0</v>
      </c>
      <c r="AD11" s="163">
        <v>112</v>
      </c>
      <c r="AE11" s="169">
        <f t="shared" si="37"/>
        <v>2</v>
      </c>
      <c r="AF11" s="163">
        <v>5349</v>
      </c>
      <c r="AG11" s="169">
        <f t="shared" si="38"/>
        <v>7</v>
      </c>
    </row>
    <row r="12" spans="1:33" ht="16.5" thickBot="1" x14ac:dyDescent="0.25">
      <c r="A12" s="10">
        <v>44571</v>
      </c>
      <c r="B12" s="165">
        <v>22808.136999999999</v>
      </c>
      <c r="C12" s="48">
        <f t="shared" si="23"/>
        <v>2.1909999999988941</v>
      </c>
      <c r="D12" s="32">
        <f t="shared" si="24"/>
        <v>4162.8999999978978</v>
      </c>
      <c r="E12" s="1">
        <v>4089.5070000000001</v>
      </c>
      <c r="F12" s="48">
        <f t="shared" si="25"/>
        <v>0.57700000000022555</v>
      </c>
      <c r="G12" s="32">
        <f t="shared" si="26"/>
        <v>1096.3000000004286</v>
      </c>
      <c r="H12" s="1">
        <v>4596</v>
      </c>
      <c r="I12" s="48">
        <f t="shared" si="27"/>
        <v>5</v>
      </c>
      <c r="J12" s="32">
        <f t="shared" si="28"/>
        <v>9500</v>
      </c>
      <c r="K12" s="7">
        <v>13889.7</v>
      </c>
      <c r="L12" s="48">
        <f t="shared" si="29"/>
        <v>0</v>
      </c>
      <c r="M12" s="32">
        <f t="shared" si="30"/>
        <v>0</v>
      </c>
      <c r="N12" s="7">
        <v>3380.6480000000001</v>
      </c>
      <c r="O12" s="48">
        <f t="shared" si="31"/>
        <v>1.0850000000000364</v>
      </c>
      <c r="P12" s="32">
        <f t="shared" si="32"/>
        <v>2061.5000000000691</v>
      </c>
      <c r="Q12" s="7">
        <v>5291.46</v>
      </c>
      <c r="R12" s="48">
        <f t="shared" si="33"/>
        <v>0</v>
      </c>
      <c r="S12" s="32">
        <f t="shared" si="34"/>
        <v>0</v>
      </c>
      <c r="T12" s="8">
        <f t="shared" si="42"/>
        <v>8.852999999999156</v>
      </c>
      <c r="U12" s="34">
        <f t="shared" si="35"/>
        <v>16820.699999998396</v>
      </c>
      <c r="W12" s="162">
        <v>44571</v>
      </c>
      <c r="X12" s="163">
        <v>163668</v>
      </c>
      <c r="Y12" s="169">
        <f t="shared" si="39"/>
        <v>45</v>
      </c>
      <c r="Z12" s="163">
        <v>8280</v>
      </c>
      <c r="AA12" s="169">
        <f t="shared" si="44"/>
        <v>5</v>
      </c>
      <c r="AB12" s="163">
        <v>19.420000000000002</v>
      </c>
      <c r="AC12" s="169">
        <f t="shared" si="46"/>
        <v>1.0000000000001563E-2</v>
      </c>
      <c r="AD12" s="163">
        <v>114</v>
      </c>
      <c r="AE12" s="169">
        <f t="shared" si="37"/>
        <v>2</v>
      </c>
      <c r="AF12" s="163">
        <v>5360</v>
      </c>
      <c r="AG12" s="169">
        <f t="shared" si="38"/>
        <v>11</v>
      </c>
    </row>
    <row r="13" spans="1:33" ht="16.5" thickBot="1" x14ac:dyDescent="0.25">
      <c r="A13" s="10">
        <v>44572</v>
      </c>
      <c r="B13" s="165">
        <v>22811.072</v>
      </c>
      <c r="C13" s="48">
        <f t="shared" si="23"/>
        <v>2.9350000000013097</v>
      </c>
      <c r="D13" s="32">
        <f t="shared" si="24"/>
        <v>5576.5000000024884</v>
      </c>
      <c r="E13" s="1">
        <v>4090.357</v>
      </c>
      <c r="F13" s="48">
        <f t="shared" si="25"/>
        <v>0.84999999999990905</v>
      </c>
      <c r="G13" s="32">
        <f t="shared" si="26"/>
        <v>1614.999999999827</v>
      </c>
      <c r="H13" s="1">
        <v>4602</v>
      </c>
      <c r="I13" s="48">
        <f t="shared" si="27"/>
        <v>6</v>
      </c>
      <c r="J13" s="32">
        <f t="shared" si="28"/>
        <v>11399.999999999998</v>
      </c>
      <c r="K13" s="7">
        <v>13889.7</v>
      </c>
      <c r="L13" s="48">
        <f t="shared" si="29"/>
        <v>0</v>
      </c>
      <c r="M13" s="32">
        <f t="shared" si="30"/>
        <v>0</v>
      </c>
      <c r="N13" s="7">
        <v>3382.0770000000002</v>
      </c>
      <c r="O13" s="48">
        <f t="shared" si="31"/>
        <v>1.4290000000000873</v>
      </c>
      <c r="P13" s="32">
        <f t="shared" si="32"/>
        <v>2715.1000000001659</v>
      </c>
      <c r="Q13" s="7">
        <v>5291.46</v>
      </c>
      <c r="R13" s="48">
        <f t="shared" si="33"/>
        <v>0</v>
      </c>
      <c r="S13" s="32">
        <f t="shared" si="34"/>
        <v>0</v>
      </c>
      <c r="T13" s="8">
        <f t="shared" si="42"/>
        <v>11.214000000001306</v>
      </c>
      <c r="U13" s="34">
        <f t="shared" si="35"/>
        <v>21306.60000000248</v>
      </c>
      <c r="W13" s="162">
        <v>44572</v>
      </c>
      <c r="X13" s="163">
        <v>163681</v>
      </c>
      <c r="Y13" s="169">
        <f t="shared" si="39"/>
        <v>13</v>
      </c>
      <c r="Z13" s="163">
        <v>8287</v>
      </c>
      <c r="AA13" s="169">
        <f t="shared" si="44"/>
        <v>7</v>
      </c>
      <c r="AB13" s="163">
        <f t="shared" si="43"/>
        <v>19.420000000000002</v>
      </c>
      <c r="AC13" s="169">
        <f t="shared" si="46"/>
        <v>0</v>
      </c>
      <c r="AD13" s="163">
        <v>118</v>
      </c>
      <c r="AE13" s="169">
        <f t="shared" si="37"/>
        <v>4</v>
      </c>
      <c r="AF13" s="163">
        <v>5375</v>
      </c>
      <c r="AG13" s="169">
        <f t="shared" si="38"/>
        <v>15</v>
      </c>
    </row>
    <row r="14" spans="1:33" ht="16.5" thickBot="1" x14ac:dyDescent="0.25">
      <c r="A14" s="10">
        <v>44573</v>
      </c>
      <c r="B14" s="165">
        <f t="shared" ref="B13:B33" si="47">B13</f>
        <v>22811.072</v>
      </c>
      <c r="C14" s="48">
        <f t="shared" si="23"/>
        <v>0</v>
      </c>
      <c r="D14" s="32">
        <f t="shared" si="24"/>
        <v>0</v>
      </c>
      <c r="E14" s="1">
        <f t="shared" ref="E13:E33" si="48">E13</f>
        <v>4090.357</v>
      </c>
      <c r="F14" s="48">
        <f t="shared" si="25"/>
        <v>0</v>
      </c>
      <c r="G14" s="32">
        <f t="shared" si="26"/>
        <v>0</v>
      </c>
      <c r="H14" s="1">
        <f t="shared" ref="H13:H33" si="49">H13</f>
        <v>4602</v>
      </c>
      <c r="I14" s="48">
        <f t="shared" si="27"/>
        <v>0</v>
      </c>
      <c r="J14" s="32">
        <f t="shared" si="28"/>
        <v>0</v>
      </c>
      <c r="K14" s="7">
        <f t="shared" ref="K13:K33" si="50">K13</f>
        <v>13889.7</v>
      </c>
      <c r="L14" s="48">
        <f t="shared" si="29"/>
        <v>0</v>
      </c>
      <c r="M14" s="32">
        <f t="shared" si="30"/>
        <v>0</v>
      </c>
      <c r="N14" s="7">
        <f t="shared" ref="N13:N33" si="51">N13</f>
        <v>3382.0770000000002</v>
      </c>
      <c r="O14" s="48">
        <f>IF((N14-N13)&lt;0,"0",(N14-N13))</f>
        <v>0</v>
      </c>
      <c r="P14" s="32">
        <f t="shared" si="32"/>
        <v>0</v>
      </c>
      <c r="Q14" s="7">
        <v>5291.46</v>
      </c>
      <c r="R14" s="48">
        <f t="shared" si="33"/>
        <v>0</v>
      </c>
      <c r="S14" s="32">
        <f t="shared" si="34"/>
        <v>0</v>
      </c>
      <c r="T14" s="8">
        <f t="shared" si="42"/>
        <v>0</v>
      </c>
      <c r="U14" s="34">
        <f t="shared" si="35"/>
        <v>0</v>
      </c>
      <c r="W14" s="162">
        <v>44573</v>
      </c>
      <c r="X14" s="163">
        <f t="shared" ref="X13:X33" si="52">X13</f>
        <v>163681</v>
      </c>
      <c r="Y14" s="169">
        <f t="shared" si="39"/>
        <v>0</v>
      </c>
      <c r="Z14" s="163">
        <f t="shared" ref="Z13:Z33" si="53">Z13</f>
        <v>8287</v>
      </c>
      <c r="AA14" s="169">
        <f t="shared" si="44"/>
        <v>0</v>
      </c>
      <c r="AB14" s="163">
        <f t="shared" si="43"/>
        <v>19.420000000000002</v>
      </c>
      <c r="AC14" s="169">
        <f t="shared" si="46"/>
        <v>0</v>
      </c>
      <c r="AD14" s="163">
        <f t="shared" si="45"/>
        <v>118</v>
      </c>
      <c r="AE14" s="169">
        <f t="shared" si="37"/>
        <v>0</v>
      </c>
      <c r="AF14" s="163">
        <f t="shared" ref="AF13:AF33" si="54">AF13</f>
        <v>5375</v>
      </c>
      <c r="AG14" s="169">
        <f t="shared" si="38"/>
        <v>0</v>
      </c>
    </row>
    <row r="15" spans="1:33" ht="16.5" thickBot="1" x14ac:dyDescent="0.25">
      <c r="A15" s="10">
        <v>44574</v>
      </c>
      <c r="B15" s="165">
        <f t="shared" si="47"/>
        <v>22811.072</v>
      </c>
      <c r="C15" s="48">
        <f t="shared" ref="C15" si="55">IF((B15-B14)&lt;0,"0",(B15-B14))</f>
        <v>0</v>
      </c>
      <c r="D15" s="32">
        <f t="shared" ref="D15" si="56">C15*1.9*1000</f>
        <v>0</v>
      </c>
      <c r="E15" s="1">
        <f t="shared" si="48"/>
        <v>4090.357</v>
      </c>
      <c r="F15" s="48">
        <f t="shared" ref="F15" si="57">IF((E15-E14)&lt;0,"0",(E15-E14))</f>
        <v>0</v>
      </c>
      <c r="G15" s="32">
        <f t="shared" ref="G15" si="58">F15*1.9*1000</f>
        <v>0</v>
      </c>
      <c r="H15" s="1">
        <f t="shared" si="49"/>
        <v>4602</v>
      </c>
      <c r="I15" s="48">
        <f t="shared" ref="I15" si="59">IF((H15-H14)&lt;0,"0",(H15-H14))</f>
        <v>0</v>
      </c>
      <c r="J15" s="32">
        <f t="shared" ref="J15" si="60">I15*1.9*1000</f>
        <v>0</v>
      </c>
      <c r="K15" s="7">
        <f t="shared" si="50"/>
        <v>13889.7</v>
      </c>
      <c r="L15" s="48">
        <f t="shared" ref="L15" si="61">IF((K15-K14)&lt;0,"0",(K15-K14))</f>
        <v>0</v>
      </c>
      <c r="M15" s="32">
        <f t="shared" ref="M15" si="62">L15*1.9*1000</f>
        <v>0</v>
      </c>
      <c r="N15" s="7">
        <f t="shared" si="51"/>
        <v>3382.0770000000002</v>
      </c>
      <c r="O15" s="48">
        <f>IF((N15-N14)&lt;0,"0",(N15-N14))</f>
        <v>0</v>
      </c>
      <c r="P15" s="32">
        <f t="shared" ref="P15" si="63">O15*1.9*1000</f>
        <v>0</v>
      </c>
      <c r="Q15" s="7">
        <v>5291.46</v>
      </c>
      <c r="R15" s="48">
        <f t="shared" ref="R15" si="64">IF((Q15-Q14)&lt;0,"0",(Q15-Q14))</f>
        <v>0</v>
      </c>
      <c r="S15" s="32">
        <f t="shared" ref="S15" si="65">R15*1.9*1000</f>
        <v>0</v>
      </c>
      <c r="T15" s="8">
        <f t="shared" ref="T15" si="66">C15+F15+I15+L15+O15+R15</f>
        <v>0</v>
      </c>
      <c r="U15" s="34">
        <f t="shared" ref="U15" si="67">T15*1.9*1000</f>
        <v>0</v>
      </c>
      <c r="W15" s="162">
        <v>44574</v>
      </c>
      <c r="X15" s="163">
        <f t="shared" si="52"/>
        <v>163681</v>
      </c>
      <c r="Y15" s="169">
        <f t="shared" ref="Y15" si="68">X15-X14</f>
        <v>0</v>
      </c>
      <c r="Z15" s="163">
        <f t="shared" si="53"/>
        <v>8287</v>
      </c>
      <c r="AA15" s="169">
        <f t="shared" ref="AA15" si="69">Z15-Z14</f>
        <v>0</v>
      </c>
      <c r="AB15" s="163">
        <f t="shared" si="43"/>
        <v>19.420000000000002</v>
      </c>
      <c r="AC15" s="169">
        <f t="shared" ref="AC15" si="70">AB15-AB14</f>
        <v>0</v>
      </c>
      <c r="AD15" s="163">
        <f t="shared" si="45"/>
        <v>118</v>
      </c>
      <c r="AE15" s="169">
        <f t="shared" si="37"/>
        <v>0</v>
      </c>
      <c r="AF15" s="163">
        <f t="shared" si="54"/>
        <v>5375</v>
      </c>
      <c r="AG15" s="169">
        <f t="shared" si="38"/>
        <v>0</v>
      </c>
    </row>
    <row r="16" spans="1:33" ht="16.5" thickBot="1" x14ac:dyDescent="0.25">
      <c r="A16" s="10">
        <v>44575</v>
      </c>
      <c r="B16" s="165">
        <f t="shared" si="47"/>
        <v>22811.072</v>
      </c>
      <c r="C16" s="48">
        <f t="shared" si="23"/>
        <v>0</v>
      </c>
      <c r="D16" s="32">
        <f t="shared" si="24"/>
        <v>0</v>
      </c>
      <c r="E16" s="1">
        <f t="shared" si="48"/>
        <v>4090.357</v>
      </c>
      <c r="F16" s="48">
        <f t="shared" si="25"/>
        <v>0</v>
      </c>
      <c r="G16" s="32">
        <f t="shared" si="26"/>
        <v>0</v>
      </c>
      <c r="H16" s="1">
        <f t="shared" si="49"/>
        <v>4602</v>
      </c>
      <c r="I16" s="48">
        <f t="shared" si="27"/>
        <v>0</v>
      </c>
      <c r="J16" s="32">
        <f t="shared" si="28"/>
        <v>0</v>
      </c>
      <c r="K16" s="7">
        <f t="shared" si="50"/>
        <v>13889.7</v>
      </c>
      <c r="L16" s="48">
        <f t="shared" si="29"/>
        <v>0</v>
      </c>
      <c r="M16" s="32">
        <f t="shared" si="30"/>
        <v>0</v>
      </c>
      <c r="N16" s="7">
        <f t="shared" si="51"/>
        <v>3382.0770000000002</v>
      </c>
      <c r="O16" s="48">
        <f t="shared" si="31"/>
        <v>0</v>
      </c>
      <c r="P16" s="32">
        <f t="shared" si="32"/>
        <v>0</v>
      </c>
      <c r="Q16" s="7">
        <v>5291.46</v>
      </c>
      <c r="R16" s="48">
        <f t="shared" si="33"/>
        <v>0</v>
      </c>
      <c r="S16" s="32">
        <f t="shared" si="34"/>
        <v>0</v>
      </c>
      <c r="T16" s="8">
        <f t="shared" si="42"/>
        <v>0</v>
      </c>
      <c r="U16" s="34">
        <f t="shared" si="35"/>
        <v>0</v>
      </c>
      <c r="W16" s="162">
        <v>44575</v>
      </c>
      <c r="X16" s="163">
        <f t="shared" si="52"/>
        <v>163681</v>
      </c>
      <c r="Y16" s="169">
        <f t="shared" si="39"/>
        <v>0</v>
      </c>
      <c r="Z16" s="163">
        <f t="shared" si="53"/>
        <v>8287</v>
      </c>
      <c r="AA16" s="169">
        <f t="shared" si="44"/>
        <v>0</v>
      </c>
      <c r="AB16" s="163">
        <f t="shared" si="43"/>
        <v>19.420000000000002</v>
      </c>
      <c r="AC16" s="169">
        <f t="shared" si="46"/>
        <v>0</v>
      </c>
      <c r="AD16" s="163">
        <f t="shared" si="45"/>
        <v>118</v>
      </c>
      <c r="AE16" s="169">
        <f t="shared" si="37"/>
        <v>0</v>
      </c>
      <c r="AF16" s="163">
        <f t="shared" si="54"/>
        <v>5375</v>
      </c>
      <c r="AG16" s="169">
        <f t="shared" si="38"/>
        <v>0</v>
      </c>
    </row>
    <row r="17" spans="1:33" ht="16.5" thickBot="1" x14ac:dyDescent="0.25">
      <c r="A17" s="10">
        <v>44576</v>
      </c>
      <c r="B17" s="165">
        <f t="shared" si="47"/>
        <v>22811.072</v>
      </c>
      <c r="C17" s="48">
        <f t="shared" si="23"/>
        <v>0</v>
      </c>
      <c r="D17" s="32">
        <f t="shared" si="24"/>
        <v>0</v>
      </c>
      <c r="E17" s="1">
        <f t="shared" si="48"/>
        <v>4090.357</v>
      </c>
      <c r="F17" s="48">
        <f t="shared" si="25"/>
        <v>0</v>
      </c>
      <c r="G17" s="32">
        <f t="shared" si="26"/>
        <v>0</v>
      </c>
      <c r="H17" s="1">
        <f t="shared" si="49"/>
        <v>4602</v>
      </c>
      <c r="I17" s="48">
        <f t="shared" si="27"/>
        <v>0</v>
      </c>
      <c r="J17" s="32">
        <f t="shared" si="28"/>
        <v>0</v>
      </c>
      <c r="K17" s="7">
        <f t="shared" si="50"/>
        <v>13889.7</v>
      </c>
      <c r="L17" s="48">
        <f t="shared" si="29"/>
        <v>0</v>
      </c>
      <c r="M17" s="32">
        <f t="shared" si="30"/>
        <v>0</v>
      </c>
      <c r="N17" s="7">
        <f t="shared" si="51"/>
        <v>3382.0770000000002</v>
      </c>
      <c r="O17" s="48">
        <f t="shared" si="31"/>
        <v>0</v>
      </c>
      <c r="P17" s="32">
        <f t="shared" si="32"/>
        <v>0</v>
      </c>
      <c r="Q17" s="7">
        <v>5291.46</v>
      </c>
      <c r="R17" s="48">
        <f t="shared" si="33"/>
        <v>0</v>
      </c>
      <c r="S17" s="32">
        <f t="shared" si="34"/>
        <v>0</v>
      </c>
      <c r="T17" s="8">
        <f t="shared" si="42"/>
        <v>0</v>
      </c>
      <c r="U17" s="34">
        <f t="shared" si="35"/>
        <v>0</v>
      </c>
      <c r="W17" s="162">
        <v>44576</v>
      </c>
      <c r="X17" s="163">
        <f t="shared" si="52"/>
        <v>163681</v>
      </c>
      <c r="Y17" s="169">
        <f t="shared" si="39"/>
        <v>0</v>
      </c>
      <c r="Z17" s="163">
        <f t="shared" si="53"/>
        <v>8287</v>
      </c>
      <c r="AA17" s="169">
        <f t="shared" si="44"/>
        <v>0</v>
      </c>
      <c r="AB17" s="163">
        <f t="shared" si="43"/>
        <v>19.420000000000002</v>
      </c>
      <c r="AC17" s="169">
        <f t="shared" si="46"/>
        <v>0</v>
      </c>
      <c r="AD17" s="163">
        <f t="shared" si="45"/>
        <v>118</v>
      </c>
      <c r="AE17" s="169">
        <f t="shared" si="37"/>
        <v>0</v>
      </c>
      <c r="AF17" s="163">
        <f t="shared" si="54"/>
        <v>5375</v>
      </c>
      <c r="AG17" s="169">
        <f t="shared" si="38"/>
        <v>0</v>
      </c>
    </row>
    <row r="18" spans="1:33" ht="16.5" thickBot="1" x14ac:dyDescent="0.25">
      <c r="A18" s="10">
        <v>44577</v>
      </c>
      <c r="B18" s="165">
        <f t="shared" si="47"/>
        <v>22811.072</v>
      </c>
      <c r="C18" s="48">
        <f t="shared" si="23"/>
        <v>0</v>
      </c>
      <c r="D18" s="32">
        <f t="shared" si="24"/>
        <v>0</v>
      </c>
      <c r="E18" s="1">
        <f t="shared" si="48"/>
        <v>4090.357</v>
      </c>
      <c r="F18" s="48">
        <f t="shared" si="25"/>
        <v>0</v>
      </c>
      <c r="G18" s="32">
        <f t="shared" si="26"/>
        <v>0</v>
      </c>
      <c r="H18" s="1">
        <f t="shared" si="49"/>
        <v>4602</v>
      </c>
      <c r="I18" s="48">
        <f t="shared" si="27"/>
        <v>0</v>
      </c>
      <c r="J18" s="32">
        <f t="shared" si="28"/>
        <v>0</v>
      </c>
      <c r="K18" s="7">
        <f t="shared" si="50"/>
        <v>13889.7</v>
      </c>
      <c r="L18" s="48">
        <f t="shared" si="29"/>
        <v>0</v>
      </c>
      <c r="M18" s="32">
        <f t="shared" si="30"/>
        <v>0</v>
      </c>
      <c r="N18" s="7">
        <f t="shared" si="51"/>
        <v>3382.0770000000002</v>
      </c>
      <c r="O18" s="48">
        <f t="shared" si="31"/>
        <v>0</v>
      </c>
      <c r="P18" s="32">
        <f t="shared" si="32"/>
        <v>0</v>
      </c>
      <c r="Q18" s="7">
        <v>5291.46</v>
      </c>
      <c r="R18" s="48">
        <f t="shared" si="33"/>
        <v>0</v>
      </c>
      <c r="S18" s="32">
        <f t="shared" si="34"/>
        <v>0</v>
      </c>
      <c r="T18" s="8">
        <f t="shared" si="42"/>
        <v>0</v>
      </c>
      <c r="U18" s="34">
        <f t="shared" si="35"/>
        <v>0</v>
      </c>
      <c r="W18" s="162">
        <v>44577</v>
      </c>
      <c r="X18" s="163">
        <f t="shared" si="52"/>
        <v>163681</v>
      </c>
      <c r="Y18" s="169">
        <f t="shared" si="39"/>
        <v>0</v>
      </c>
      <c r="Z18" s="163">
        <f t="shared" si="53"/>
        <v>8287</v>
      </c>
      <c r="AA18" s="169">
        <f t="shared" si="44"/>
        <v>0</v>
      </c>
      <c r="AB18" s="163">
        <f t="shared" si="43"/>
        <v>19.420000000000002</v>
      </c>
      <c r="AC18" s="169">
        <f t="shared" si="46"/>
        <v>0</v>
      </c>
      <c r="AD18" s="163">
        <f t="shared" si="45"/>
        <v>118</v>
      </c>
      <c r="AE18" s="169">
        <f t="shared" si="37"/>
        <v>0</v>
      </c>
      <c r="AF18" s="163">
        <f t="shared" si="54"/>
        <v>5375</v>
      </c>
      <c r="AG18" s="169">
        <v>18</v>
      </c>
    </row>
    <row r="19" spans="1:33" ht="16.5" thickBot="1" x14ac:dyDescent="0.25">
      <c r="A19" s="10">
        <v>44578</v>
      </c>
      <c r="B19" s="165">
        <f t="shared" si="47"/>
        <v>22811.072</v>
      </c>
      <c r="C19" s="48">
        <f t="shared" si="23"/>
        <v>0</v>
      </c>
      <c r="D19" s="32">
        <f t="shared" si="24"/>
        <v>0</v>
      </c>
      <c r="E19" s="1">
        <f t="shared" si="48"/>
        <v>4090.357</v>
      </c>
      <c r="F19" s="48">
        <f t="shared" si="25"/>
        <v>0</v>
      </c>
      <c r="G19" s="32">
        <f t="shared" si="26"/>
        <v>0</v>
      </c>
      <c r="H19" s="1">
        <f t="shared" si="49"/>
        <v>4602</v>
      </c>
      <c r="I19" s="48">
        <f t="shared" si="27"/>
        <v>0</v>
      </c>
      <c r="J19" s="32">
        <f t="shared" si="28"/>
        <v>0</v>
      </c>
      <c r="K19" s="7">
        <f t="shared" si="50"/>
        <v>13889.7</v>
      </c>
      <c r="L19" s="48">
        <f t="shared" si="29"/>
        <v>0</v>
      </c>
      <c r="M19" s="32">
        <f t="shared" si="30"/>
        <v>0</v>
      </c>
      <c r="N19" s="7">
        <f t="shared" si="51"/>
        <v>3382.0770000000002</v>
      </c>
      <c r="O19" s="48">
        <f t="shared" si="31"/>
        <v>0</v>
      </c>
      <c r="P19" s="32">
        <f t="shared" si="32"/>
        <v>0</v>
      </c>
      <c r="Q19" s="7">
        <v>5291.46</v>
      </c>
      <c r="R19" s="48">
        <f t="shared" si="33"/>
        <v>0</v>
      </c>
      <c r="S19" s="32">
        <f t="shared" si="34"/>
        <v>0</v>
      </c>
      <c r="T19" s="8">
        <f t="shared" si="42"/>
        <v>0</v>
      </c>
      <c r="U19" s="34">
        <f t="shared" si="35"/>
        <v>0</v>
      </c>
      <c r="W19" s="162">
        <v>44578</v>
      </c>
      <c r="X19" s="163">
        <f t="shared" si="52"/>
        <v>163681</v>
      </c>
      <c r="Y19" s="169">
        <f t="shared" si="39"/>
        <v>0</v>
      </c>
      <c r="Z19" s="163">
        <f t="shared" si="53"/>
        <v>8287</v>
      </c>
      <c r="AA19" s="169">
        <f t="shared" si="44"/>
        <v>0</v>
      </c>
      <c r="AB19" s="163">
        <f t="shared" si="43"/>
        <v>19.420000000000002</v>
      </c>
      <c r="AC19" s="169">
        <f t="shared" si="46"/>
        <v>0</v>
      </c>
      <c r="AD19" s="163">
        <f t="shared" si="45"/>
        <v>118</v>
      </c>
      <c r="AE19" s="169">
        <f t="shared" si="37"/>
        <v>0</v>
      </c>
      <c r="AF19" s="163">
        <f t="shared" si="54"/>
        <v>5375</v>
      </c>
      <c r="AG19" s="169">
        <v>17</v>
      </c>
    </row>
    <row r="20" spans="1:33" ht="16.5" thickBot="1" x14ac:dyDescent="0.25">
      <c r="A20" s="10">
        <v>44579</v>
      </c>
      <c r="B20" s="165">
        <f t="shared" si="47"/>
        <v>22811.072</v>
      </c>
      <c r="C20" s="48">
        <f t="shared" si="23"/>
        <v>0</v>
      </c>
      <c r="D20" s="32">
        <f t="shared" si="24"/>
        <v>0</v>
      </c>
      <c r="E20" s="1">
        <f t="shared" si="48"/>
        <v>4090.357</v>
      </c>
      <c r="F20" s="48">
        <f t="shared" si="25"/>
        <v>0</v>
      </c>
      <c r="G20" s="32">
        <f t="shared" si="26"/>
        <v>0</v>
      </c>
      <c r="H20" s="1">
        <f t="shared" si="49"/>
        <v>4602</v>
      </c>
      <c r="I20" s="48">
        <f t="shared" si="27"/>
        <v>0</v>
      </c>
      <c r="J20" s="32">
        <f t="shared" si="28"/>
        <v>0</v>
      </c>
      <c r="K20" s="7">
        <f t="shared" si="50"/>
        <v>13889.7</v>
      </c>
      <c r="L20" s="48">
        <f t="shared" si="29"/>
        <v>0</v>
      </c>
      <c r="M20" s="32">
        <f t="shared" si="30"/>
        <v>0</v>
      </c>
      <c r="N20" s="7">
        <f t="shared" si="51"/>
        <v>3382.0770000000002</v>
      </c>
      <c r="O20" s="48">
        <f t="shared" si="31"/>
        <v>0</v>
      </c>
      <c r="P20" s="32">
        <f t="shared" si="32"/>
        <v>0</v>
      </c>
      <c r="Q20" s="7">
        <v>5291.46</v>
      </c>
      <c r="R20" s="48">
        <f t="shared" si="33"/>
        <v>0</v>
      </c>
      <c r="S20" s="32">
        <f t="shared" si="34"/>
        <v>0</v>
      </c>
      <c r="T20" s="8">
        <f t="shared" si="42"/>
        <v>0</v>
      </c>
      <c r="U20" s="34">
        <f t="shared" si="35"/>
        <v>0</v>
      </c>
      <c r="W20" s="162">
        <v>44579</v>
      </c>
      <c r="X20" s="163">
        <f t="shared" si="52"/>
        <v>163681</v>
      </c>
      <c r="Y20" s="169">
        <f t="shared" si="39"/>
        <v>0</v>
      </c>
      <c r="Z20" s="163">
        <f t="shared" si="53"/>
        <v>8287</v>
      </c>
      <c r="AA20" s="169">
        <f t="shared" si="44"/>
        <v>0</v>
      </c>
      <c r="AB20" s="163">
        <f t="shared" si="43"/>
        <v>19.420000000000002</v>
      </c>
      <c r="AC20" s="169">
        <f t="shared" si="46"/>
        <v>0</v>
      </c>
      <c r="AD20" s="163">
        <f t="shared" si="45"/>
        <v>118</v>
      </c>
      <c r="AE20" s="169">
        <v>2</v>
      </c>
      <c r="AF20" s="163">
        <f t="shared" si="54"/>
        <v>5375</v>
      </c>
      <c r="AG20" s="169">
        <f t="shared" si="38"/>
        <v>0</v>
      </c>
    </row>
    <row r="21" spans="1:33" ht="16.5" thickBot="1" x14ac:dyDescent="0.25">
      <c r="A21" s="10">
        <v>44580</v>
      </c>
      <c r="B21" s="165">
        <f t="shared" si="47"/>
        <v>22811.072</v>
      </c>
      <c r="C21" s="48">
        <f t="shared" si="23"/>
        <v>0</v>
      </c>
      <c r="D21" s="32">
        <f t="shared" si="24"/>
        <v>0</v>
      </c>
      <c r="E21" s="1">
        <f t="shared" si="48"/>
        <v>4090.357</v>
      </c>
      <c r="F21" s="48">
        <f t="shared" si="25"/>
        <v>0</v>
      </c>
      <c r="G21" s="32">
        <f t="shared" si="26"/>
        <v>0</v>
      </c>
      <c r="H21" s="1">
        <f t="shared" si="49"/>
        <v>4602</v>
      </c>
      <c r="I21" s="48">
        <f t="shared" si="27"/>
        <v>0</v>
      </c>
      <c r="J21" s="32">
        <f t="shared" si="28"/>
        <v>0</v>
      </c>
      <c r="K21" s="7">
        <f t="shared" si="50"/>
        <v>13889.7</v>
      </c>
      <c r="L21" s="48">
        <f t="shared" si="29"/>
        <v>0</v>
      </c>
      <c r="M21" s="32">
        <f t="shared" si="30"/>
        <v>0</v>
      </c>
      <c r="N21" s="7">
        <f t="shared" si="51"/>
        <v>3382.0770000000002</v>
      </c>
      <c r="O21" s="48">
        <f t="shared" si="31"/>
        <v>0</v>
      </c>
      <c r="P21" s="32">
        <f t="shared" si="32"/>
        <v>0</v>
      </c>
      <c r="Q21" s="7">
        <v>5291.46</v>
      </c>
      <c r="R21" s="48">
        <f t="shared" si="33"/>
        <v>0</v>
      </c>
      <c r="S21" s="32">
        <f t="shared" si="34"/>
        <v>0</v>
      </c>
      <c r="T21" s="8">
        <f t="shared" si="42"/>
        <v>0</v>
      </c>
      <c r="U21" s="34">
        <f t="shared" si="35"/>
        <v>0</v>
      </c>
      <c r="W21" s="162">
        <v>44580</v>
      </c>
      <c r="X21" s="163">
        <f t="shared" si="52"/>
        <v>163681</v>
      </c>
      <c r="Y21" s="169">
        <f t="shared" si="39"/>
        <v>0</v>
      </c>
      <c r="Z21" s="163">
        <f t="shared" si="53"/>
        <v>8287</v>
      </c>
      <c r="AA21" s="169">
        <f t="shared" si="44"/>
        <v>0</v>
      </c>
      <c r="AB21" s="163">
        <f t="shared" si="43"/>
        <v>19.420000000000002</v>
      </c>
      <c r="AC21" s="169">
        <f t="shared" si="46"/>
        <v>0</v>
      </c>
      <c r="AD21" s="163">
        <f t="shared" si="45"/>
        <v>118</v>
      </c>
      <c r="AE21" s="169">
        <f t="shared" si="37"/>
        <v>0</v>
      </c>
      <c r="AF21" s="163">
        <f t="shared" si="54"/>
        <v>5375</v>
      </c>
      <c r="AG21" s="169">
        <f t="shared" si="38"/>
        <v>0</v>
      </c>
    </row>
    <row r="22" spans="1:33" ht="16.5" thickBot="1" x14ac:dyDescent="0.25">
      <c r="A22" s="10">
        <v>44581</v>
      </c>
      <c r="B22" s="165">
        <f t="shared" si="47"/>
        <v>22811.072</v>
      </c>
      <c r="C22" s="48">
        <f t="shared" si="23"/>
        <v>0</v>
      </c>
      <c r="D22" s="32">
        <f t="shared" si="24"/>
        <v>0</v>
      </c>
      <c r="E22" s="1">
        <f t="shared" si="48"/>
        <v>4090.357</v>
      </c>
      <c r="F22" s="48">
        <f t="shared" si="25"/>
        <v>0</v>
      </c>
      <c r="G22" s="32">
        <f t="shared" si="26"/>
        <v>0</v>
      </c>
      <c r="H22" s="1">
        <f t="shared" si="49"/>
        <v>4602</v>
      </c>
      <c r="I22" s="48">
        <f t="shared" si="27"/>
        <v>0</v>
      </c>
      <c r="J22" s="32">
        <f t="shared" si="28"/>
        <v>0</v>
      </c>
      <c r="K22" s="7">
        <f t="shared" si="50"/>
        <v>13889.7</v>
      </c>
      <c r="L22" s="48">
        <f t="shared" si="29"/>
        <v>0</v>
      </c>
      <c r="M22" s="32">
        <f t="shared" si="30"/>
        <v>0</v>
      </c>
      <c r="N22" s="7">
        <f t="shared" si="51"/>
        <v>3382.0770000000002</v>
      </c>
      <c r="O22" s="48">
        <f t="shared" si="31"/>
        <v>0</v>
      </c>
      <c r="P22" s="32">
        <f t="shared" si="32"/>
        <v>0</v>
      </c>
      <c r="Q22" s="7">
        <v>5291.46</v>
      </c>
      <c r="R22" s="48">
        <f t="shared" si="33"/>
        <v>0</v>
      </c>
      <c r="S22" s="32">
        <f t="shared" si="34"/>
        <v>0</v>
      </c>
      <c r="T22" s="8">
        <f t="shared" si="42"/>
        <v>0</v>
      </c>
      <c r="U22" s="34">
        <f t="shared" si="35"/>
        <v>0</v>
      </c>
      <c r="W22" s="162">
        <v>44581</v>
      </c>
      <c r="X22" s="163">
        <f t="shared" si="52"/>
        <v>163681</v>
      </c>
      <c r="Y22" s="169">
        <f t="shared" si="39"/>
        <v>0</v>
      </c>
      <c r="Z22" s="163">
        <f t="shared" si="53"/>
        <v>8287</v>
      </c>
      <c r="AA22" s="169">
        <f t="shared" si="44"/>
        <v>0</v>
      </c>
      <c r="AB22" s="163">
        <f t="shared" si="43"/>
        <v>19.420000000000002</v>
      </c>
      <c r="AC22" s="169">
        <f t="shared" si="46"/>
        <v>0</v>
      </c>
      <c r="AD22" s="163">
        <f t="shared" si="45"/>
        <v>118</v>
      </c>
      <c r="AE22" s="169">
        <f t="shared" si="37"/>
        <v>0</v>
      </c>
      <c r="AF22" s="163">
        <f t="shared" si="54"/>
        <v>5375</v>
      </c>
      <c r="AG22" s="169">
        <f t="shared" si="38"/>
        <v>0</v>
      </c>
    </row>
    <row r="23" spans="1:33" ht="16.5" thickBot="1" x14ac:dyDescent="0.25">
      <c r="A23" s="10">
        <v>44582</v>
      </c>
      <c r="B23" s="165">
        <f t="shared" si="47"/>
        <v>22811.072</v>
      </c>
      <c r="C23" s="48">
        <f t="shared" si="23"/>
        <v>0</v>
      </c>
      <c r="D23" s="32">
        <f t="shared" si="24"/>
        <v>0</v>
      </c>
      <c r="E23" s="1">
        <f t="shared" si="48"/>
        <v>4090.357</v>
      </c>
      <c r="F23" s="48">
        <f t="shared" si="25"/>
        <v>0</v>
      </c>
      <c r="G23" s="32">
        <f t="shared" si="26"/>
        <v>0</v>
      </c>
      <c r="H23" s="1">
        <f t="shared" si="49"/>
        <v>4602</v>
      </c>
      <c r="I23" s="48">
        <f t="shared" si="27"/>
        <v>0</v>
      </c>
      <c r="J23" s="32">
        <f t="shared" si="28"/>
        <v>0</v>
      </c>
      <c r="K23" s="7">
        <f t="shared" si="50"/>
        <v>13889.7</v>
      </c>
      <c r="L23" s="48">
        <f t="shared" si="29"/>
        <v>0</v>
      </c>
      <c r="M23" s="32">
        <f t="shared" si="30"/>
        <v>0</v>
      </c>
      <c r="N23" s="7">
        <f t="shared" si="51"/>
        <v>3382.0770000000002</v>
      </c>
      <c r="O23" s="48">
        <f t="shared" si="31"/>
        <v>0</v>
      </c>
      <c r="P23" s="32">
        <f t="shared" si="32"/>
        <v>0</v>
      </c>
      <c r="Q23" s="7">
        <v>5291.46</v>
      </c>
      <c r="R23" s="48">
        <f t="shared" si="33"/>
        <v>0</v>
      </c>
      <c r="S23" s="32">
        <f t="shared" si="34"/>
        <v>0</v>
      </c>
      <c r="T23" s="8">
        <f t="shared" si="42"/>
        <v>0</v>
      </c>
      <c r="U23" s="34">
        <f t="shared" si="35"/>
        <v>0</v>
      </c>
      <c r="W23" s="162">
        <v>44582</v>
      </c>
      <c r="X23" s="163">
        <f t="shared" si="52"/>
        <v>163681</v>
      </c>
      <c r="Y23" s="169">
        <f t="shared" si="39"/>
        <v>0</v>
      </c>
      <c r="Z23" s="163">
        <f t="shared" si="53"/>
        <v>8287</v>
      </c>
      <c r="AA23" s="169">
        <f t="shared" si="44"/>
        <v>0</v>
      </c>
      <c r="AB23" s="163">
        <f t="shared" si="43"/>
        <v>19.420000000000002</v>
      </c>
      <c r="AC23" s="169">
        <f t="shared" si="46"/>
        <v>0</v>
      </c>
      <c r="AD23" s="163">
        <f t="shared" si="45"/>
        <v>118</v>
      </c>
      <c r="AE23" s="169">
        <f t="shared" si="37"/>
        <v>0</v>
      </c>
      <c r="AF23" s="163">
        <f t="shared" si="54"/>
        <v>5375</v>
      </c>
      <c r="AG23" s="169">
        <f t="shared" si="38"/>
        <v>0</v>
      </c>
    </row>
    <row r="24" spans="1:33" ht="16.5" thickBot="1" x14ac:dyDescent="0.25">
      <c r="A24" s="10">
        <v>44583</v>
      </c>
      <c r="B24" s="165">
        <f t="shared" si="47"/>
        <v>22811.072</v>
      </c>
      <c r="C24" s="48">
        <f t="shared" si="23"/>
        <v>0</v>
      </c>
      <c r="D24" s="32">
        <f t="shared" si="24"/>
        <v>0</v>
      </c>
      <c r="E24" s="1">
        <f t="shared" si="48"/>
        <v>4090.357</v>
      </c>
      <c r="F24" s="48">
        <f t="shared" si="25"/>
        <v>0</v>
      </c>
      <c r="G24" s="32">
        <f t="shared" si="26"/>
        <v>0</v>
      </c>
      <c r="H24" s="1">
        <f t="shared" si="49"/>
        <v>4602</v>
      </c>
      <c r="I24" s="48">
        <f t="shared" si="27"/>
        <v>0</v>
      </c>
      <c r="J24" s="32">
        <f t="shared" si="28"/>
        <v>0</v>
      </c>
      <c r="K24" s="7">
        <f t="shared" si="50"/>
        <v>13889.7</v>
      </c>
      <c r="L24" s="48">
        <f t="shared" si="29"/>
        <v>0</v>
      </c>
      <c r="M24" s="32">
        <f t="shared" si="30"/>
        <v>0</v>
      </c>
      <c r="N24" s="7">
        <f t="shared" si="51"/>
        <v>3382.0770000000002</v>
      </c>
      <c r="O24" s="48">
        <f t="shared" si="31"/>
        <v>0</v>
      </c>
      <c r="P24" s="32">
        <f t="shared" si="32"/>
        <v>0</v>
      </c>
      <c r="Q24" s="7">
        <v>5291.46</v>
      </c>
      <c r="R24" s="48">
        <f t="shared" si="33"/>
        <v>0</v>
      </c>
      <c r="S24" s="32">
        <f t="shared" si="34"/>
        <v>0</v>
      </c>
      <c r="T24" s="8">
        <f t="shared" si="42"/>
        <v>0</v>
      </c>
      <c r="U24" s="34">
        <f t="shared" si="35"/>
        <v>0</v>
      </c>
      <c r="W24" s="162">
        <v>44583</v>
      </c>
      <c r="X24" s="163">
        <f t="shared" si="52"/>
        <v>163681</v>
      </c>
      <c r="Y24" s="169">
        <f t="shared" si="39"/>
        <v>0</v>
      </c>
      <c r="Z24" s="163">
        <f t="shared" si="53"/>
        <v>8287</v>
      </c>
      <c r="AA24" s="169">
        <f t="shared" si="44"/>
        <v>0</v>
      </c>
      <c r="AB24" s="163">
        <f t="shared" si="43"/>
        <v>19.420000000000002</v>
      </c>
      <c r="AC24" s="169">
        <f t="shared" si="46"/>
        <v>0</v>
      </c>
      <c r="AD24" s="163">
        <f t="shared" si="45"/>
        <v>118</v>
      </c>
      <c r="AE24" s="169">
        <f t="shared" si="37"/>
        <v>0</v>
      </c>
      <c r="AF24" s="163">
        <f t="shared" si="54"/>
        <v>5375</v>
      </c>
      <c r="AG24" s="169">
        <f t="shared" si="38"/>
        <v>0</v>
      </c>
    </row>
    <row r="25" spans="1:33" ht="16.5" thickBot="1" x14ac:dyDescent="0.25">
      <c r="A25" s="10">
        <v>44584</v>
      </c>
      <c r="B25" s="165">
        <f t="shared" si="47"/>
        <v>22811.072</v>
      </c>
      <c r="C25" s="48">
        <f t="shared" si="23"/>
        <v>0</v>
      </c>
      <c r="D25" s="32">
        <f t="shared" si="24"/>
        <v>0</v>
      </c>
      <c r="E25" s="1">
        <f t="shared" si="48"/>
        <v>4090.357</v>
      </c>
      <c r="F25" s="48">
        <f t="shared" si="25"/>
        <v>0</v>
      </c>
      <c r="G25" s="32">
        <f t="shared" si="26"/>
        <v>0</v>
      </c>
      <c r="H25" s="1">
        <f t="shared" si="49"/>
        <v>4602</v>
      </c>
      <c r="I25" s="48">
        <f t="shared" si="27"/>
        <v>0</v>
      </c>
      <c r="J25" s="32">
        <f t="shared" si="28"/>
        <v>0</v>
      </c>
      <c r="K25" s="7">
        <f t="shared" si="50"/>
        <v>13889.7</v>
      </c>
      <c r="L25" s="48">
        <f t="shared" si="29"/>
        <v>0</v>
      </c>
      <c r="M25" s="32">
        <f t="shared" si="30"/>
        <v>0</v>
      </c>
      <c r="N25" s="7">
        <f t="shared" si="51"/>
        <v>3382.0770000000002</v>
      </c>
      <c r="O25" s="48">
        <f t="shared" si="31"/>
        <v>0</v>
      </c>
      <c r="P25" s="32">
        <f t="shared" si="32"/>
        <v>0</v>
      </c>
      <c r="Q25" s="7">
        <v>5291.46</v>
      </c>
      <c r="R25" s="48">
        <f t="shared" si="33"/>
        <v>0</v>
      </c>
      <c r="S25" s="32">
        <f t="shared" si="34"/>
        <v>0</v>
      </c>
      <c r="T25" s="8">
        <f t="shared" si="42"/>
        <v>0</v>
      </c>
      <c r="U25" s="34">
        <f t="shared" si="35"/>
        <v>0</v>
      </c>
      <c r="W25" s="162">
        <v>44584</v>
      </c>
      <c r="X25" s="163">
        <f t="shared" si="52"/>
        <v>163681</v>
      </c>
      <c r="Y25" s="169">
        <f t="shared" si="39"/>
        <v>0</v>
      </c>
      <c r="Z25" s="163">
        <f t="shared" si="53"/>
        <v>8287</v>
      </c>
      <c r="AA25" s="169">
        <f t="shared" si="44"/>
        <v>0</v>
      </c>
      <c r="AB25" s="163">
        <f t="shared" si="43"/>
        <v>19.420000000000002</v>
      </c>
      <c r="AC25" s="169">
        <f t="shared" si="46"/>
        <v>0</v>
      </c>
      <c r="AD25" s="163">
        <f t="shared" si="45"/>
        <v>118</v>
      </c>
      <c r="AE25" s="169">
        <f t="shared" si="37"/>
        <v>0</v>
      </c>
      <c r="AF25" s="163">
        <f t="shared" si="54"/>
        <v>5375</v>
      </c>
      <c r="AG25" s="169">
        <f t="shared" si="38"/>
        <v>0</v>
      </c>
    </row>
    <row r="26" spans="1:33" ht="16.5" thickBot="1" x14ac:dyDescent="0.25">
      <c r="A26" s="10">
        <v>44585</v>
      </c>
      <c r="B26" s="165">
        <f t="shared" si="47"/>
        <v>22811.072</v>
      </c>
      <c r="C26" s="48">
        <f t="shared" si="23"/>
        <v>0</v>
      </c>
      <c r="D26" s="32">
        <f t="shared" si="24"/>
        <v>0</v>
      </c>
      <c r="E26" s="1">
        <f t="shared" si="48"/>
        <v>4090.357</v>
      </c>
      <c r="F26" s="48">
        <f t="shared" si="25"/>
        <v>0</v>
      </c>
      <c r="G26" s="32">
        <f t="shared" si="26"/>
        <v>0</v>
      </c>
      <c r="H26" s="1">
        <f t="shared" si="49"/>
        <v>4602</v>
      </c>
      <c r="I26" s="48">
        <f t="shared" si="27"/>
        <v>0</v>
      </c>
      <c r="J26" s="32">
        <f t="shared" si="28"/>
        <v>0</v>
      </c>
      <c r="K26" s="7">
        <f t="shared" si="50"/>
        <v>13889.7</v>
      </c>
      <c r="L26" s="48">
        <f>IF((K26-K25)&lt;0,"0",(K26-K25))</f>
        <v>0</v>
      </c>
      <c r="M26" s="32">
        <f t="shared" si="30"/>
        <v>0</v>
      </c>
      <c r="N26" s="7">
        <f t="shared" si="51"/>
        <v>3382.0770000000002</v>
      </c>
      <c r="O26" s="48">
        <f t="shared" si="31"/>
        <v>0</v>
      </c>
      <c r="P26" s="32">
        <f t="shared" si="32"/>
        <v>0</v>
      </c>
      <c r="Q26" s="7">
        <v>5291.46</v>
      </c>
      <c r="R26" s="48">
        <f t="shared" si="33"/>
        <v>0</v>
      </c>
      <c r="S26" s="32">
        <f t="shared" si="34"/>
        <v>0</v>
      </c>
      <c r="T26" s="8">
        <f t="shared" si="42"/>
        <v>0</v>
      </c>
      <c r="U26" s="34">
        <f t="shared" si="35"/>
        <v>0</v>
      </c>
      <c r="V26" t="s">
        <v>12</v>
      </c>
      <c r="W26" s="162">
        <v>44585</v>
      </c>
      <c r="X26" s="163">
        <f t="shared" si="52"/>
        <v>163681</v>
      </c>
      <c r="Y26" s="169">
        <f t="shared" si="39"/>
        <v>0</v>
      </c>
      <c r="Z26" s="163">
        <f t="shared" si="53"/>
        <v>8287</v>
      </c>
      <c r="AA26" s="169">
        <f t="shared" si="44"/>
        <v>0</v>
      </c>
      <c r="AB26" s="163">
        <f t="shared" si="43"/>
        <v>19.420000000000002</v>
      </c>
      <c r="AC26" s="169">
        <f t="shared" si="46"/>
        <v>0</v>
      </c>
      <c r="AD26" s="163">
        <f t="shared" si="45"/>
        <v>118</v>
      </c>
      <c r="AE26" s="169">
        <f t="shared" si="37"/>
        <v>0</v>
      </c>
      <c r="AF26" s="163">
        <f t="shared" si="54"/>
        <v>5375</v>
      </c>
      <c r="AG26" s="169">
        <f t="shared" si="38"/>
        <v>0</v>
      </c>
    </row>
    <row r="27" spans="1:33" ht="16.5" thickBot="1" x14ac:dyDescent="0.25">
      <c r="A27" s="10">
        <v>44586</v>
      </c>
      <c r="B27" s="165">
        <f t="shared" si="47"/>
        <v>22811.072</v>
      </c>
      <c r="C27" s="48">
        <f t="shared" si="23"/>
        <v>0</v>
      </c>
      <c r="D27" s="32">
        <f t="shared" si="24"/>
        <v>0</v>
      </c>
      <c r="E27" s="1">
        <f t="shared" si="48"/>
        <v>4090.357</v>
      </c>
      <c r="F27" s="48">
        <f t="shared" si="25"/>
        <v>0</v>
      </c>
      <c r="G27" s="32">
        <f t="shared" si="26"/>
        <v>0</v>
      </c>
      <c r="H27" s="1">
        <f t="shared" si="49"/>
        <v>4602</v>
      </c>
      <c r="I27" s="48">
        <f t="shared" si="27"/>
        <v>0</v>
      </c>
      <c r="J27" s="32">
        <f t="shared" si="28"/>
        <v>0</v>
      </c>
      <c r="K27" s="7">
        <f t="shared" si="50"/>
        <v>13889.7</v>
      </c>
      <c r="L27" s="48">
        <f t="shared" si="29"/>
        <v>0</v>
      </c>
      <c r="M27" s="32">
        <f t="shared" si="30"/>
        <v>0</v>
      </c>
      <c r="N27" s="7">
        <f t="shared" si="51"/>
        <v>3382.0770000000002</v>
      </c>
      <c r="O27" s="48">
        <f t="shared" si="31"/>
        <v>0</v>
      </c>
      <c r="P27" s="32">
        <f t="shared" si="32"/>
        <v>0</v>
      </c>
      <c r="Q27" s="7">
        <v>5291.46</v>
      </c>
      <c r="R27" s="48">
        <f t="shared" si="33"/>
        <v>0</v>
      </c>
      <c r="S27" s="32">
        <f t="shared" si="34"/>
        <v>0</v>
      </c>
      <c r="T27" s="8">
        <f t="shared" si="42"/>
        <v>0</v>
      </c>
      <c r="U27" s="34">
        <f t="shared" si="35"/>
        <v>0</v>
      </c>
      <c r="V27" t="s">
        <v>12</v>
      </c>
      <c r="W27" s="162">
        <v>44586</v>
      </c>
      <c r="X27" s="163">
        <f t="shared" si="52"/>
        <v>163681</v>
      </c>
      <c r="Y27" s="169">
        <f t="shared" si="39"/>
        <v>0</v>
      </c>
      <c r="Z27" s="163">
        <f t="shared" si="53"/>
        <v>8287</v>
      </c>
      <c r="AA27" s="169">
        <f t="shared" si="44"/>
        <v>0</v>
      </c>
      <c r="AB27" s="163">
        <f t="shared" si="43"/>
        <v>19.420000000000002</v>
      </c>
      <c r="AC27" s="169">
        <f t="shared" si="46"/>
        <v>0</v>
      </c>
      <c r="AD27" s="163">
        <f t="shared" si="45"/>
        <v>118</v>
      </c>
      <c r="AE27" s="169">
        <f t="shared" si="37"/>
        <v>0</v>
      </c>
      <c r="AF27" s="163">
        <f t="shared" si="54"/>
        <v>5375</v>
      </c>
      <c r="AG27" s="169">
        <f t="shared" si="38"/>
        <v>0</v>
      </c>
    </row>
    <row r="28" spans="1:33" ht="16.5" thickBot="1" x14ac:dyDescent="0.25">
      <c r="A28" s="10">
        <v>44587</v>
      </c>
      <c r="B28" s="165">
        <f t="shared" si="47"/>
        <v>22811.072</v>
      </c>
      <c r="C28" s="48">
        <f t="shared" si="23"/>
        <v>0</v>
      </c>
      <c r="D28" s="32">
        <f t="shared" si="24"/>
        <v>0</v>
      </c>
      <c r="E28" s="1">
        <f t="shared" si="48"/>
        <v>4090.357</v>
      </c>
      <c r="F28" s="48">
        <f t="shared" si="25"/>
        <v>0</v>
      </c>
      <c r="G28" s="32">
        <f t="shared" si="26"/>
        <v>0</v>
      </c>
      <c r="H28" s="1">
        <f t="shared" si="49"/>
        <v>4602</v>
      </c>
      <c r="I28" s="48">
        <f t="shared" si="27"/>
        <v>0</v>
      </c>
      <c r="J28" s="32">
        <f t="shared" si="28"/>
        <v>0</v>
      </c>
      <c r="K28" s="7">
        <f t="shared" si="50"/>
        <v>13889.7</v>
      </c>
      <c r="L28" s="48">
        <f t="shared" si="29"/>
        <v>0</v>
      </c>
      <c r="M28" s="32">
        <f t="shared" si="30"/>
        <v>0</v>
      </c>
      <c r="N28" s="7">
        <f t="shared" si="51"/>
        <v>3382.0770000000002</v>
      </c>
      <c r="O28" s="48">
        <f t="shared" si="31"/>
        <v>0</v>
      </c>
      <c r="P28" s="32">
        <f t="shared" si="32"/>
        <v>0</v>
      </c>
      <c r="Q28" s="7">
        <v>5291.46</v>
      </c>
      <c r="R28" s="48">
        <f t="shared" si="33"/>
        <v>0</v>
      </c>
      <c r="S28" s="32">
        <f t="shared" si="34"/>
        <v>0</v>
      </c>
      <c r="T28" s="8">
        <f t="shared" si="42"/>
        <v>0</v>
      </c>
      <c r="U28" s="34">
        <f t="shared" si="35"/>
        <v>0</v>
      </c>
      <c r="W28" s="162">
        <v>44587</v>
      </c>
      <c r="X28" s="163">
        <f t="shared" si="52"/>
        <v>163681</v>
      </c>
      <c r="Y28" s="169">
        <f t="shared" si="39"/>
        <v>0</v>
      </c>
      <c r="Z28" s="163">
        <f t="shared" si="53"/>
        <v>8287</v>
      </c>
      <c r="AA28" s="169">
        <f t="shared" si="44"/>
        <v>0</v>
      </c>
      <c r="AB28" s="163">
        <f t="shared" si="43"/>
        <v>19.420000000000002</v>
      </c>
      <c r="AC28" s="169">
        <f t="shared" si="46"/>
        <v>0</v>
      </c>
      <c r="AD28" s="163">
        <f t="shared" si="45"/>
        <v>118</v>
      </c>
      <c r="AE28" s="169">
        <f t="shared" si="37"/>
        <v>0</v>
      </c>
      <c r="AF28" s="163">
        <f t="shared" si="54"/>
        <v>5375</v>
      </c>
      <c r="AG28" s="169">
        <f t="shared" si="38"/>
        <v>0</v>
      </c>
    </row>
    <row r="29" spans="1:33" ht="16.5" thickBot="1" x14ac:dyDescent="0.25">
      <c r="A29" s="10">
        <v>44588</v>
      </c>
      <c r="B29" s="165">
        <f t="shared" si="47"/>
        <v>22811.072</v>
      </c>
      <c r="C29" s="48">
        <f t="shared" si="23"/>
        <v>0</v>
      </c>
      <c r="D29" s="32">
        <f t="shared" si="24"/>
        <v>0</v>
      </c>
      <c r="E29" s="1">
        <f t="shared" si="48"/>
        <v>4090.357</v>
      </c>
      <c r="F29" s="48">
        <f t="shared" si="25"/>
        <v>0</v>
      </c>
      <c r="G29" s="32">
        <f t="shared" si="26"/>
        <v>0</v>
      </c>
      <c r="H29" s="1">
        <f t="shared" si="49"/>
        <v>4602</v>
      </c>
      <c r="I29" s="48">
        <f t="shared" si="27"/>
        <v>0</v>
      </c>
      <c r="J29" s="32">
        <f t="shared" si="28"/>
        <v>0</v>
      </c>
      <c r="K29" s="7">
        <f t="shared" si="50"/>
        <v>13889.7</v>
      </c>
      <c r="L29" s="48">
        <f t="shared" si="29"/>
        <v>0</v>
      </c>
      <c r="M29" s="32">
        <f t="shared" si="30"/>
        <v>0</v>
      </c>
      <c r="N29" s="7">
        <f t="shared" si="51"/>
        <v>3382.0770000000002</v>
      </c>
      <c r="O29" s="48">
        <f t="shared" si="31"/>
        <v>0</v>
      </c>
      <c r="P29" s="32">
        <f t="shared" si="32"/>
        <v>0</v>
      </c>
      <c r="Q29" s="7">
        <v>5291.46</v>
      </c>
      <c r="R29" s="48">
        <f t="shared" si="33"/>
        <v>0</v>
      </c>
      <c r="S29" s="32">
        <f t="shared" si="34"/>
        <v>0</v>
      </c>
      <c r="T29" s="8">
        <f t="shared" si="42"/>
        <v>0</v>
      </c>
      <c r="U29" s="34">
        <f t="shared" si="35"/>
        <v>0</v>
      </c>
      <c r="W29" s="162">
        <v>44588</v>
      </c>
      <c r="X29" s="163">
        <f t="shared" si="52"/>
        <v>163681</v>
      </c>
      <c r="Y29" s="169">
        <f t="shared" si="39"/>
        <v>0</v>
      </c>
      <c r="Z29" s="163">
        <f t="shared" si="53"/>
        <v>8287</v>
      </c>
      <c r="AA29" s="169">
        <f t="shared" si="44"/>
        <v>0</v>
      </c>
      <c r="AB29" s="163">
        <f t="shared" si="43"/>
        <v>19.420000000000002</v>
      </c>
      <c r="AC29" s="169">
        <f t="shared" si="46"/>
        <v>0</v>
      </c>
      <c r="AD29" s="163">
        <f t="shared" si="45"/>
        <v>118</v>
      </c>
      <c r="AE29" s="169">
        <f t="shared" si="37"/>
        <v>0</v>
      </c>
      <c r="AF29" s="163">
        <f t="shared" si="54"/>
        <v>5375</v>
      </c>
      <c r="AG29" s="169">
        <f t="shared" si="38"/>
        <v>0</v>
      </c>
    </row>
    <row r="30" spans="1:33" ht="16.5" thickBot="1" x14ac:dyDescent="0.25">
      <c r="A30" s="10">
        <v>44589</v>
      </c>
      <c r="B30" s="165">
        <f t="shared" si="47"/>
        <v>22811.072</v>
      </c>
      <c r="C30" s="48">
        <f t="shared" si="23"/>
        <v>0</v>
      </c>
      <c r="D30" s="32">
        <f t="shared" si="24"/>
        <v>0</v>
      </c>
      <c r="E30" s="1">
        <f t="shared" si="48"/>
        <v>4090.357</v>
      </c>
      <c r="F30" s="48">
        <f t="shared" si="25"/>
        <v>0</v>
      </c>
      <c r="G30" s="32">
        <f t="shared" si="26"/>
        <v>0</v>
      </c>
      <c r="H30" s="1">
        <f t="shared" si="49"/>
        <v>4602</v>
      </c>
      <c r="I30" s="48">
        <f t="shared" si="27"/>
        <v>0</v>
      </c>
      <c r="J30" s="32">
        <f t="shared" si="28"/>
        <v>0</v>
      </c>
      <c r="K30" s="7">
        <f t="shared" si="50"/>
        <v>13889.7</v>
      </c>
      <c r="L30" s="48">
        <f t="shared" si="29"/>
        <v>0</v>
      </c>
      <c r="M30" s="32">
        <f t="shared" si="30"/>
        <v>0</v>
      </c>
      <c r="N30" s="7">
        <f t="shared" si="51"/>
        <v>3382.0770000000002</v>
      </c>
      <c r="O30" s="48">
        <f t="shared" si="31"/>
        <v>0</v>
      </c>
      <c r="P30" s="32">
        <f t="shared" si="32"/>
        <v>0</v>
      </c>
      <c r="Q30" s="7">
        <v>5291.46</v>
      </c>
      <c r="R30" s="48">
        <f t="shared" si="33"/>
        <v>0</v>
      </c>
      <c r="S30" s="32">
        <f t="shared" si="34"/>
        <v>0</v>
      </c>
      <c r="T30" s="8">
        <f t="shared" si="42"/>
        <v>0</v>
      </c>
      <c r="U30" s="34">
        <f t="shared" si="35"/>
        <v>0</v>
      </c>
      <c r="W30" s="162">
        <v>44589</v>
      </c>
      <c r="X30" s="163">
        <f t="shared" si="52"/>
        <v>163681</v>
      </c>
      <c r="Y30" s="169">
        <f t="shared" si="39"/>
        <v>0</v>
      </c>
      <c r="Z30" s="163">
        <f t="shared" si="53"/>
        <v>8287</v>
      </c>
      <c r="AA30" s="169">
        <f>Z30-Z29</f>
        <v>0</v>
      </c>
      <c r="AB30" s="163">
        <f t="shared" si="43"/>
        <v>19.420000000000002</v>
      </c>
      <c r="AC30" s="169">
        <f t="shared" si="46"/>
        <v>0</v>
      </c>
      <c r="AD30" s="163">
        <f t="shared" si="45"/>
        <v>118</v>
      </c>
      <c r="AE30" s="169">
        <f t="shared" si="37"/>
        <v>0</v>
      </c>
      <c r="AF30" s="163">
        <f t="shared" si="54"/>
        <v>5375</v>
      </c>
      <c r="AG30" s="169">
        <f t="shared" si="38"/>
        <v>0</v>
      </c>
    </row>
    <row r="31" spans="1:33" ht="16.5" thickBot="1" x14ac:dyDescent="0.25">
      <c r="A31" s="10">
        <v>44590</v>
      </c>
      <c r="B31" s="165">
        <f t="shared" si="47"/>
        <v>22811.072</v>
      </c>
      <c r="C31" s="48">
        <f t="shared" si="23"/>
        <v>0</v>
      </c>
      <c r="D31" s="32">
        <f t="shared" si="24"/>
        <v>0</v>
      </c>
      <c r="E31" s="1">
        <f t="shared" si="48"/>
        <v>4090.357</v>
      </c>
      <c r="F31" s="48">
        <f t="shared" si="25"/>
        <v>0</v>
      </c>
      <c r="G31" s="32">
        <f t="shared" si="26"/>
        <v>0</v>
      </c>
      <c r="H31" s="1">
        <f t="shared" si="49"/>
        <v>4602</v>
      </c>
      <c r="I31" s="48">
        <f t="shared" si="27"/>
        <v>0</v>
      </c>
      <c r="J31" s="32">
        <f t="shared" si="28"/>
        <v>0</v>
      </c>
      <c r="K31" s="7">
        <f t="shared" si="50"/>
        <v>13889.7</v>
      </c>
      <c r="L31" s="48">
        <f t="shared" si="29"/>
        <v>0</v>
      </c>
      <c r="M31" s="32">
        <f t="shared" si="30"/>
        <v>0</v>
      </c>
      <c r="N31" s="7">
        <f t="shared" si="51"/>
        <v>3382.0770000000002</v>
      </c>
      <c r="O31" s="48">
        <f t="shared" si="31"/>
        <v>0</v>
      </c>
      <c r="P31" s="32">
        <f t="shared" si="32"/>
        <v>0</v>
      </c>
      <c r="Q31" s="7">
        <v>5291.46</v>
      </c>
      <c r="R31" s="48">
        <f t="shared" si="33"/>
        <v>0</v>
      </c>
      <c r="S31" s="32">
        <f t="shared" si="34"/>
        <v>0</v>
      </c>
      <c r="T31" s="8">
        <f t="shared" si="42"/>
        <v>0</v>
      </c>
      <c r="U31" s="34">
        <f t="shared" si="35"/>
        <v>0</v>
      </c>
      <c r="W31" s="162">
        <v>44590</v>
      </c>
      <c r="X31" s="163">
        <f t="shared" si="52"/>
        <v>163681</v>
      </c>
      <c r="Y31" s="169">
        <f t="shared" si="39"/>
        <v>0</v>
      </c>
      <c r="Z31" s="163">
        <f t="shared" si="53"/>
        <v>8287</v>
      </c>
      <c r="AA31" s="169">
        <f t="shared" si="44"/>
        <v>0</v>
      </c>
      <c r="AB31" s="163">
        <f t="shared" si="43"/>
        <v>19.420000000000002</v>
      </c>
      <c r="AC31" s="169">
        <f t="shared" si="46"/>
        <v>0</v>
      </c>
      <c r="AD31" s="163">
        <f t="shared" si="45"/>
        <v>118</v>
      </c>
      <c r="AE31" s="169">
        <f t="shared" si="37"/>
        <v>0</v>
      </c>
      <c r="AF31" s="163">
        <f t="shared" si="54"/>
        <v>5375</v>
      </c>
      <c r="AG31" s="169">
        <f t="shared" si="38"/>
        <v>0</v>
      </c>
    </row>
    <row r="32" spans="1:33" ht="16.5" thickBot="1" x14ac:dyDescent="0.25">
      <c r="A32" s="10">
        <v>44591</v>
      </c>
      <c r="B32" s="165">
        <f t="shared" si="47"/>
        <v>22811.072</v>
      </c>
      <c r="C32" s="48">
        <f t="shared" si="23"/>
        <v>0</v>
      </c>
      <c r="D32" s="32">
        <f t="shared" si="24"/>
        <v>0</v>
      </c>
      <c r="E32" s="1">
        <f t="shared" si="48"/>
        <v>4090.357</v>
      </c>
      <c r="F32" s="48">
        <f t="shared" si="25"/>
        <v>0</v>
      </c>
      <c r="G32" s="32">
        <f t="shared" si="26"/>
        <v>0</v>
      </c>
      <c r="H32" s="1">
        <f t="shared" si="49"/>
        <v>4602</v>
      </c>
      <c r="I32" s="48">
        <f t="shared" si="27"/>
        <v>0</v>
      </c>
      <c r="J32" s="32">
        <f t="shared" si="28"/>
        <v>0</v>
      </c>
      <c r="K32" s="7">
        <f t="shared" si="50"/>
        <v>13889.7</v>
      </c>
      <c r="L32" s="48">
        <f t="shared" si="29"/>
        <v>0</v>
      </c>
      <c r="M32" s="32">
        <f t="shared" si="30"/>
        <v>0</v>
      </c>
      <c r="N32" s="7">
        <f t="shared" si="51"/>
        <v>3382.0770000000002</v>
      </c>
      <c r="O32" s="48">
        <f t="shared" si="31"/>
        <v>0</v>
      </c>
      <c r="P32" s="32">
        <f t="shared" si="32"/>
        <v>0</v>
      </c>
      <c r="Q32" s="7">
        <v>5291.46</v>
      </c>
      <c r="R32" s="48">
        <f t="shared" si="33"/>
        <v>0</v>
      </c>
      <c r="S32" s="32">
        <f t="shared" si="34"/>
        <v>0</v>
      </c>
      <c r="T32" s="8">
        <f t="shared" si="42"/>
        <v>0</v>
      </c>
      <c r="U32" s="34">
        <f t="shared" si="35"/>
        <v>0</v>
      </c>
      <c r="W32" s="162">
        <v>44591</v>
      </c>
      <c r="X32" s="163">
        <f t="shared" si="52"/>
        <v>163681</v>
      </c>
      <c r="Y32" s="169">
        <f t="shared" si="39"/>
        <v>0</v>
      </c>
      <c r="Z32" s="163">
        <f t="shared" si="53"/>
        <v>8287</v>
      </c>
      <c r="AA32" s="169">
        <f t="shared" si="44"/>
        <v>0</v>
      </c>
      <c r="AB32" s="163">
        <f t="shared" si="43"/>
        <v>19.420000000000002</v>
      </c>
      <c r="AC32" s="169">
        <v>0</v>
      </c>
      <c r="AD32" s="163">
        <f t="shared" si="45"/>
        <v>118</v>
      </c>
      <c r="AE32" s="169">
        <f t="shared" si="37"/>
        <v>0</v>
      </c>
      <c r="AF32" s="163">
        <f t="shared" si="54"/>
        <v>5375</v>
      </c>
      <c r="AG32" s="169">
        <f t="shared" si="38"/>
        <v>0</v>
      </c>
    </row>
    <row r="33" spans="1:33" s="24" customFormat="1" ht="16.5" thickBot="1" x14ac:dyDescent="0.25">
      <c r="A33" s="10">
        <v>44592</v>
      </c>
      <c r="B33" s="165">
        <f t="shared" si="47"/>
        <v>22811.072</v>
      </c>
      <c r="C33" s="48">
        <f t="shared" si="23"/>
        <v>0</v>
      </c>
      <c r="D33" s="32">
        <f t="shared" si="24"/>
        <v>0</v>
      </c>
      <c r="E33" s="1">
        <f t="shared" si="48"/>
        <v>4090.357</v>
      </c>
      <c r="F33" s="48">
        <f t="shared" si="25"/>
        <v>0</v>
      </c>
      <c r="G33" s="32">
        <f t="shared" si="26"/>
        <v>0</v>
      </c>
      <c r="H33" s="1">
        <f t="shared" si="49"/>
        <v>4602</v>
      </c>
      <c r="I33" s="48">
        <f t="shared" si="27"/>
        <v>0</v>
      </c>
      <c r="J33" s="32">
        <f t="shared" si="28"/>
        <v>0</v>
      </c>
      <c r="K33" s="7">
        <f t="shared" si="50"/>
        <v>13889.7</v>
      </c>
      <c r="L33" s="48">
        <f t="shared" si="29"/>
        <v>0</v>
      </c>
      <c r="M33" s="32">
        <f t="shared" si="30"/>
        <v>0</v>
      </c>
      <c r="N33" s="7">
        <f t="shared" si="51"/>
        <v>3382.0770000000002</v>
      </c>
      <c r="O33" s="48">
        <f t="shared" si="31"/>
        <v>0</v>
      </c>
      <c r="P33" s="32">
        <f t="shared" si="32"/>
        <v>0</v>
      </c>
      <c r="Q33" s="7">
        <v>5291.46</v>
      </c>
      <c r="R33" s="48">
        <f t="shared" si="33"/>
        <v>0</v>
      </c>
      <c r="S33" s="32">
        <f t="shared" si="34"/>
        <v>0</v>
      </c>
      <c r="T33" s="8">
        <f t="shared" si="42"/>
        <v>0</v>
      </c>
      <c r="U33" s="34">
        <f t="shared" si="35"/>
        <v>0</v>
      </c>
      <c r="V33"/>
      <c r="W33" s="162">
        <v>44592</v>
      </c>
      <c r="X33" s="163">
        <f t="shared" si="52"/>
        <v>163681</v>
      </c>
      <c r="Y33" s="169">
        <f t="shared" si="39"/>
        <v>0</v>
      </c>
      <c r="Z33" s="163">
        <f t="shared" si="53"/>
        <v>8287</v>
      </c>
      <c r="AA33" s="169">
        <f t="shared" si="44"/>
        <v>0</v>
      </c>
      <c r="AB33" s="163">
        <f t="shared" si="43"/>
        <v>19.420000000000002</v>
      </c>
      <c r="AC33" s="169">
        <v>0</v>
      </c>
      <c r="AD33" s="163">
        <f t="shared" si="45"/>
        <v>118</v>
      </c>
      <c r="AE33" s="169">
        <f t="shared" si="37"/>
        <v>0</v>
      </c>
      <c r="AF33" s="163">
        <f t="shared" si="54"/>
        <v>5375</v>
      </c>
      <c r="AG33" s="169">
        <f t="shared" si="38"/>
        <v>0</v>
      </c>
    </row>
    <row r="34" spans="1:33" s="24" customFormat="1" ht="16.5" thickBot="1" x14ac:dyDescent="0.25">
      <c r="A34" s="6" t="s">
        <v>23</v>
      </c>
      <c r="B34" s="166"/>
      <c r="C34" s="142">
        <f>SUM(C4:C33)</f>
        <v>22.981999999999971</v>
      </c>
      <c r="D34" s="142">
        <f>SUM(D3:D33)</f>
        <v>47775.500000000829</v>
      </c>
      <c r="E34" s="142">
        <v>0</v>
      </c>
      <c r="F34" s="142">
        <f>SUM(F3:F33)</f>
        <v>6.4569999999998799</v>
      </c>
      <c r="G34" s="142">
        <f>SUM(G3:G33)</f>
        <v>12268.299999999772</v>
      </c>
      <c r="H34" s="142"/>
      <c r="I34" s="142">
        <f>SUM(I3:I33)</f>
        <v>49</v>
      </c>
      <c r="J34" s="142">
        <f>SUM(J3:J33)</f>
        <v>93100</v>
      </c>
      <c r="K34" s="142"/>
      <c r="L34" s="142">
        <f>SUM(L3:L33)</f>
        <v>6.6100000000005821</v>
      </c>
      <c r="M34" s="142">
        <f>SUM(M3:M33)</f>
        <v>12559.000000001106</v>
      </c>
      <c r="N34" s="142"/>
      <c r="O34" s="48" t="str">
        <f t="shared" si="31"/>
        <v>0</v>
      </c>
      <c r="P34" s="142">
        <f>SUM(P3:P33)</f>
        <v>24846.300000000429</v>
      </c>
      <c r="Q34" s="142"/>
      <c r="R34" s="142">
        <f>SUM(R3:R33)</f>
        <v>1.5600000000004002</v>
      </c>
      <c r="S34" s="142">
        <f>SUM(S3:S33)</f>
        <v>2964.0000000007603</v>
      </c>
      <c r="T34" s="142">
        <f>SUM(T3:T33)</f>
        <v>101.84900000000152</v>
      </c>
      <c r="U34" s="142">
        <f>SUM(U3:U33)</f>
        <v>193513.10000000289</v>
      </c>
      <c r="V34"/>
      <c r="W34" s="142" t="s">
        <v>143</v>
      </c>
      <c r="X34" s="142"/>
      <c r="Y34" s="142">
        <f>SUM(Y5:Y33)</f>
        <v>260</v>
      </c>
      <c r="Z34" s="142"/>
      <c r="AA34" s="142">
        <f>SUM(AA5:AA33)</f>
        <v>36</v>
      </c>
      <c r="AB34" s="142"/>
      <c r="AC34" s="142"/>
      <c r="AD34" s="142"/>
      <c r="AE34" s="142">
        <v>0</v>
      </c>
      <c r="AF34" s="142">
        <v>0</v>
      </c>
      <c r="AG34" s="142">
        <v>0</v>
      </c>
    </row>
    <row r="37" spans="1:33" x14ac:dyDescent="0.2">
      <c r="AA37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6" sqref="F6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7" t="s">
        <v>148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</row>
    <row r="2" spans="1:11" ht="13.5" thickBot="1" x14ac:dyDescent="0.25">
      <c r="A2" s="99"/>
      <c r="B2" s="100" t="s">
        <v>92</v>
      </c>
      <c r="C2" s="101" t="e">
        <f>K8+K9+K14</f>
        <v>#REF!</v>
      </c>
      <c r="D2" s="101" t="e">
        <f>C2*1.27</f>
        <v>#REF!</v>
      </c>
      <c r="E2" s="102"/>
      <c r="F2" s="99"/>
      <c r="G2" s="99"/>
      <c r="H2" s="103" t="s">
        <v>93</v>
      </c>
      <c r="I2" s="104"/>
      <c r="J2" s="104"/>
      <c r="K2" s="104"/>
    </row>
    <row r="3" spans="1:11" ht="13.5" thickBot="1" x14ac:dyDescent="0.25">
      <c r="A3" s="99"/>
      <c r="B3" s="99"/>
      <c r="C3" s="99"/>
      <c r="D3" s="99"/>
      <c r="E3" s="99"/>
      <c r="F3" s="99"/>
      <c r="G3" s="99"/>
      <c r="H3" s="105" t="s">
        <v>94</v>
      </c>
      <c r="I3" s="138">
        <f>ELECT.!E2</f>
        <v>29394326</v>
      </c>
      <c r="J3" s="138" t="e">
        <f>ELECT.!#REF!</f>
        <v>#REF!</v>
      </c>
      <c r="K3" s="96" t="e">
        <f>J3-I3</f>
        <v>#REF!</v>
      </c>
    </row>
    <row r="4" spans="1:11" ht="13.5" thickBot="1" x14ac:dyDescent="0.25">
      <c r="A4" s="99"/>
      <c r="B4" s="107" t="s">
        <v>95</v>
      </c>
      <c r="C4" s="108" t="s">
        <v>96</v>
      </c>
      <c r="D4" s="108" t="s">
        <v>97</v>
      </c>
      <c r="E4" s="108"/>
      <c r="F4" s="99"/>
      <c r="G4" s="99"/>
      <c r="H4" s="105" t="s">
        <v>98</v>
      </c>
      <c r="I4" s="106">
        <f>ELECT.!G2</f>
        <v>93376522</v>
      </c>
      <c r="J4" s="138" t="e">
        <f>ELECT.!#REF!</f>
        <v>#REF!</v>
      </c>
      <c r="K4" s="96" t="e">
        <f>J4-I4</f>
        <v>#REF!</v>
      </c>
    </row>
    <row r="5" spans="1:11" ht="13.5" thickBot="1" x14ac:dyDescent="0.25">
      <c r="A5" s="99"/>
      <c r="B5" s="105" t="s">
        <v>27</v>
      </c>
      <c r="C5" s="109" t="e">
        <f>(K10+K12)*0.842284+K26</f>
        <v>#REF!</v>
      </c>
      <c r="D5" s="109" t="e">
        <f t="shared" ref="D5:D11" si="0">C5*1.27</f>
        <v>#REF!</v>
      </c>
      <c r="E5" s="110"/>
      <c r="F5" s="99"/>
      <c r="G5" s="99"/>
      <c r="H5" s="105" t="s">
        <v>23</v>
      </c>
      <c r="I5" s="111"/>
      <c r="J5" s="111"/>
      <c r="K5" s="131" t="e">
        <f>K3+K4</f>
        <v>#REF!</v>
      </c>
    </row>
    <row r="6" spans="1:11" ht="13.5" thickBot="1" x14ac:dyDescent="0.25">
      <c r="A6" s="99"/>
      <c r="B6" s="105" t="s">
        <v>99</v>
      </c>
      <c r="C6" s="109" t="e">
        <f>(K10+K12+K26)*0.1488</f>
        <v>#REF!</v>
      </c>
      <c r="D6" s="109" t="e">
        <f t="shared" si="0"/>
        <v>#REF!</v>
      </c>
      <c r="E6" s="110"/>
      <c r="F6" s="99"/>
      <c r="G6" s="99"/>
      <c r="H6" s="105" t="s">
        <v>100</v>
      </c>
      <c r="I6" s="143">
        <f>ELECT.!J2</f>
        <v>9244110</v>
      </c>
      <c r="J6" s="139" t="e">
        <f>ELECT.!#REF!</f>
        <v>#REF!</v>
      </c>
      <c r="K6" s="96" t="e">
        <f>J6-I6</f>
        <v>#REF!</v>
      </c>
    </row>
    <row r="7" spans="1:11" ht="13.5" thickBot="1" x14ac:dyDescent="0.25">
      <c r="A7" s="99"/>
      <c r="B7" s="105" t="s">
        <v>101</v>
      </c>
      <c r="C7" s="109" t="e">
        <f>(K6+K7)-(C8+C9+C10+C11+K26)</f>
        <v>#REF!</v>
      </c>
      <c r="D7" s="109" t="e">
        <f t="shared" si="0"/>
        <v>#REF!</v>
      </c>
      <c r="E7" s="110"/>
      <c r="F7" s="99"/>
      <c r="G7" s="99"/>
      <c r="H7" s="105" t="s">
        <v>102</v>
      </c>
      <c r="I7" s="143">
        <f>ELECT.!L2</f>
        <v>9241929</v>
      </c>
      <c r="J7" s="139" t="e">
        <f>ELECT.!#REF!</f>
        <v>#REF!</v>
      </c>
      <c r="K7" s="96" t="e">
        <f>J7-I7</f>
        <v>#REF!</v>
      </c>
    </row>
    <row r="8" spans="1:11" ht="13.5" thickBot="1" x14ac:dyDescent="0.25">
      <c r="A8" s="99"/>
      <c r="B8" s="105" t="s">
        <v>103</v>
      </c>
      <c r="C8" s="109" t="e">
        <f>K21+K22+K23+K24</f>
        <v>#REF!</v>
      </c>
      <c r="D8" s="109" t="e">
        <f t="shared" si="0"/>
        <v>#REF!</v>
      </c>
      <c r="E8" s="110"/>
      <c r="F8" s="99"/>
      <c r="G8" s="99"/>
      <c r="H8" s="105" t="s">
        <v>104</v>
      </c>
      <c r="I8" s="143">
        <f>ELECT.!N2</f>
        <v>6233074</v>
      </c>
      <c r="J8" s="139" t="e">
        <f>ELECT.!#REF!</f>
        <v>#REF!</v>
      </c>
      <c r="K8" s="96" t="e">
        <f>(J8-I8)*2</f>
        <v>#REF!</v>
      </c>
    </row>
    <row r="9" spans="1:11" ht="13.5" thickBot="1" x14ac:dyDescent="0.25">
      <c r="A9" s="99"/>
      <c r="B9" s="105" t="s">
        <v>137</v>
      </c>
      <c r="C9" s="109" t="e">
        <f>K25+K16+K17</f>
        <v>#REF!</v>
      </c>
      <c r="D9" s="109" t="e">
        <f t="shared" si="0"/>
        <v>#REF!</v>
      </c>
      <c r="E9" s="110"/>
      <c r="F9" s="99"/>
      <c r="G9" s="99"/>
      <c r="H9" s="105" t="s">
        <v>105</v>
      </c>
      <c r="I9" s="143">
        <f>ELECT.!P2</f>
        <v>5733151</v>
      </c>
      <c r="J9" s="139" t="e">
        <f>ELECT.!#REF!</f>
        <v>#REF!</v>
      </c>
      <c r="K9" s="96" t="e">
        <f>J9-I9</f>
        <v>#REF!</v>
      </c>
    </row>
    <row r="10" spans="1:11" ht="13.5" thickBot="1" x14ac:dyDescent="0.25">
      <c r="A10" s="99"/>
      <c r="B10" s="105" t="s">
        <v>106</v>
      </c>
      <c r="C10" s="109" t="e">
        <f>K18</f>
        <v>#REF!</v>
      </c>
      <c r="D10" s="109" t="e">
        <f t="shared" si="0"/>
        <v>#REF!</v>
      </c>
      <c r="E10" s="110"/>
      <c r="F10" s="99"/>
      <c r="G10" s="99"/>
      <c r="H10" s="105" t="s">
        <v>107</v>
      </c>
      <c r="I10" s="143">
        <f>ELECT.!R2</f>
        <v>19746392</v>
      </c>
      <c r="J10" s="139" t="e">
        <f>ELECT.!#REF!</f>
        <v>#REF!</v>
      </c>
      <c r="K10" s="96" t="e">
        <f>J10-I10</f>
        <v>#REF!</v>
      </c>
    </row>
    <row r="11" spans="1:11" ht="13.5" thickBot="1" x14ac:dyDescent="0.25">
      <c r="A11" s="99"/>
      <c r="B11" s="105" t="s">
        <v>108</v>
      </c>
      <c r="C11" s="109" t="e">
        <f>K19+K20</f>
        <v>#REF!</v>
      </c>
      <c r="D11" s="109" t="e">
        <f t="shared" si="0"/>
        <v>#REF!</v>
      </c>
      <c r="E11" s="110"/>
      <c r="F11" s="99"/>
      <c r="G11" s="99"/>
      <c r="H11" s="105" t="s">
        <v>109</v>
      </c>
      <c r="I11" s="112">
        <v>0</v>
      </c>
      <c r="J11" s="139">
        <f>ELECT.!J35</f>
        <v>0</v>
      </c>
      <c r="K11" s="96">
        <f>J11-I11</f>
        <v>0</v>
      </c>
    </row>
    <row r="12" spans="1:11" ht="13.5" thickBot="1" x14ac:dyDescent="0.25">
      <c r="A12" s="99"/>
      <c r="B12" s="99"/>
      <c r="C12" s="113"/>
      <c r="D12" s="113"/>
      <c r="E12" s="113"/>
      <c r="F12" s="99"/>
      <c r="G12" s="99"/>
      <c r="H12" s="105" t="s">
        <v>110</v>
      </c>
      <c r="I12" s="143">
        <f>ELECT.!V2</f>
        <v>7634077</v>
      </c>
      <c r="J12" s="139" t="e">
        <f>ELECT.!#REF!</f>
        <v>#REF!</v>
      </c>
      <c r="K12" s="96" t="e">
        <f>(J12-I12)*2</f>
        <v>#REF!</v>
      </c>
    </row>
    <row r="13" spans="1:11" ht="13.5" thickBot="1" x14ac:dyDescent="0.25">
      <c r="A13" s="99"/>
      <c r="B13" s="103" t="s">
        <v>111</v>
      </c>
      <c r="C13" s="110" t="s">
        <v>112</v>
      </c>
      <c r="D13" s="110" t="s">
        <v>97</v>
      </c>
      <c r="E13" s="110"/>
      <c r="F13" s="99"/>
      <c r="G13" s="99"/>
      <c r="H13" s="105" t="s">
        <v>113</v>
      </c>
      <c r="I13" s="114"/>
      <c r="J13" s="115"/>
      <c r="K13" s="116" t="e">
        <f>SUM(K6:K12)</f>
        <v>#REF!</v>
      </c>
    </row>
    <row r="14" spans="1:11" ht="13.5" thickBot="1" x14ac:dyDescent="0.25">
      <c r="A14" s="99"/>
      <c r="B14" s="105" t="s">
        <v>42</v>
      </c>
      <c r="C14" s="109" t="e">
        <f>K29</f>
        <v>#REF!</v>
      </c>
      <c r="D14" s="117" t="e">
        <f t="shared" ref="D14:D22" si="1">C14*10.03</f>
        <v>#REF!</v>
      </c>
      <c r="E14" s="118"/>
      <c r="F14" s="99"/>
      <c r="G14" s="99"/>
      <c r="H14" s="105" t="s">
        <v>114</v>
      </c>
      <c r="I14" s="114"/>
      <c r="J14" s="115"/>
      <c r="K14" s="97" t="e">
        <f>K5-K13</f>
        <v>#REF!</v>
      </c>
    </row>
    <row r="15" spans="1:11" ht="13.5" thickBot="1" x14ac:dyDescent="0.25">
      <c r="A15" s="99"/>
      <c r="B15" s="105" t="s">
        <v>115</v>
      </c>
      <c r="C15" s="119" t="e">
        <f>K30</f>
        <v>#REF!</v>
      </c>
      <c r="D15" s="117" t="e">
        <f t="shared" si="1"/>
        <v>#REF!</v>
      </c>
      <c r="E15" s="118"/>
      <c r="F15" s="99"/>
      <c r="G15" s="99"/>
      <c r="H15" s="99"/>
      <c r="I15" s="99"/>
      <c r="J15" s="99"/>
      <c r="K15" s="99"/>
    </row>
    <row r="16" spans="1:11" ht="13.5" thickBot="1" x14ac:dyDescent="0.25">
      <c r="A16" s="99"/>
      <c r="B16" s="105" t="s">
        <v>99</v>
      </c>
      <c r="C16" s="119" t="e">
        <f>(C14-C15-C17-C18-C19-C20-C21)*0.1318</f>
        <v>#REF!</v>
      </c>
      <c r="D16" s="117" t="e">
        <f t="shared" si="1"/>
        <v>#REF!</v>
      </c>
      <c r="E16" s="118"/>
      <c r="F16" s="99"/>
      <c r="G16" s="99"/>
      <c r="H16" s="120" t="s">
        <v>136</v>
      </c>
      <c r="I16" s="121">
        <f>'Mall, Citadel, Rotana'!T2</f>
        <v>3889</v>
      </c>
      <c r="J16" s="121" t="e">
        <f>'Mall, Citadel, Rotana'!#REF!</f>
        <v>#REF!</v>
      </c>
      <c r="K16" s="98" t="e">
        <f>(J16-I16)*160</f>
        <v>#REF!</v>
      </c>
    </row>
    <row r="17" spans="1:11" ht="13.5" thickBot="1" x14ac:dyDescent="0.25">
      <c r="A17" s="99"/>
      <c r="B17" s="105" t="s">
        <v>103</v>
      </c>
      <c r="C17" s="119">
        <v>1420</v>
      </c>
      <c r="D17" s="117">
        <f t="shared" si="1"/>
        <v>14242.599999999999</v>
      </c>
      <c r="E17" s="118"/>
      <c r="F17" s="99"/>
      <c r="G17" s="99"/>
      <c r="H17" s="120" t="s">
        <v>19</v>
      </c>
      <c r="I17" s="121">
        <f>'Mall, Citadel, Rotana'!J2</f>
        <v>303517</v>
      </c>
      <c r="J17" s="121" t="e">
        <f>'Mall, Citadel, Rotana'!#REF!</f>
        <v>#REF!</v>
      </c>
      <c r="K17" s="98" t="e">
        <f>(J17-I17)*160</f>
        <v>#REF!</v>
      </c>
    </row>
    <row r="18" spans="1:11" ht="13.5" thickBot="1" x14ac:dyDescent="0.25">
      <c r="A18" s="99"/>
      <c r="B18" s="105" t="s">
        <v>108</v>
      </c>
      <c r="C18" s="119">
        <v>200</v>
      </c>
      <c r="D18" s="117">
        <f t="shared" si="1"/>
        <v>2005.9999999999998</v>
      </c>
      <c r="E18" s="118"/>
      <c r="F18" s="99"/>
      <c r="G18" s="99"/>
      <c r="H18" s="120" t="s">
        <v>20</v>
      </c>
      <c r="I18" s="121">
        <f>'Mall, Citadel, Rotana'!L2</f>
        <v>25728</v>
      </c>
      <c r="J18" s="121" t="e">
        <f>'Mall, Citadel, Rotana'!#REF!</f>
        <v>#REF!</v>
      </c>
      <c r="K18" s="98" t="e">
        <f>(J18-I18)*160</f>
        <v>#REF!</v>
      </c>
    </row>
    <row r="19" spans="1:11" ht="15.75" thickBot="1" x14ac:dyDescent="0.25">
      <c r="A19" s="99"/>
      <c r="B19" s="105" t="s">
        <v>137</v>
      </c>
      <c r="C19" s="119">
        <v>600</v>
      </c>
      <c r="D19" s="117">
        <f t="shared" si="1"/>
        <v>6018</v>
      </c>
      <c r="E19" s="178" t="s">
        <v>116</v>
      </c>
      <c r="F19" s="179"/>
      <c r="G19" s="99"/>
      <c r="H19" s="120" t="s">
        <v>117</v>
      </c>
      <c r="I19" s="121" t="str">
        <f>'Mall, Citadel, Rotana'!P2</f>
        <v>CIB. 1</v>
      </c>
      <c r="J19" s="121" t="e">
        <f>'Mall, Citadel, Rotana'!#REF!</f>
        <v>#REF!</v>
      </c>
      <c r="K19" s="98" t="e">
        <f>J19-I19</f>
        <v>#REF!</v>
      </c>
    </row>
    <row r="20" spans="1:11" ht="13.5" thickBot="1" x14ac:dyDescent="0.25">
      <c r="A20" s="99"/>
      <c r="B20" s="105" t="s">
        <v>106</v>
      </c>
      <c r="C20" s="119">
        <v>600</v>
      </c>
      <c r="D20" s="117">
        <f t="shared" si="1"/>
        <v>6018</v>
      </c>
      <c r="E20" s="118"/>
      <c r="F20" s="99"/>
      <c r="G20" s="99"/>
      <c r="H20" s="120" t="s">
        <v>118</v>
      </c>
      <c r="I20" s="121">
        <f>'Mall, Citadel, Rotana'!R2</f>
        <v>55047</v>
      </c>
      <c r="J20" s="121" t="e">
        <f>'Mall, Citadel, Rotana'!#REF!</f>
        <v>#REF!</v>
      </c>
      <c r="K20" s="98" t="e">
        <f>J20-I20</f>
        <v>#REF!</v>
      </c>
    </row>
    <row r="21" spans="1:11" ht="13.5" thickBot="1" x14ac:dyDescent="0.25">
      <c r="A21" s="99"/>
      <c r="B21" s="105" t="s">
        <v>92</v>
      </c>
      <c r="C21" s="119">
        <v>3000</v>
      </c>
      <c r="D21" s="117">
        <f t="shared" si="1"/>
        <v>30089.999999999996</v>
      </c>
      <c r="E21" s="118"/>
      <c r="F21" s="99"/>
      <c r="G21" s="99"/>
      <c r="H21" s="120" t="s">
        <v>13</v>
      </c>
      <c r="I21" s="121">
        <f>'Mall, Citadel, Rotana'!B2</f>
        <v>46419</v>
      </c>
      <c r="J21" s="121" t="e">
        <f>'Mall, Citadel, Rotana'!#REF!</f>
        <v>#REF!</v>
      </c>
      <c r="K21" s="98" t="e">
        <f>(J21-I21)*120</f>
        <v>#REF!</v>
      </c>
    </row>
    <row r="22" spans="1:11" ht="13.5" thickBot="1" x14ac:dyDescent="0.25">
      <c r="A22" s="99"/>
      <c r="B22" s="105" t="s">
        <v>119</v>
      </c>
      <c r="C22" s="117" t="e">
        <f>C14-(C15+C16+C17+C18+C19+C20+C21)</f>
        <v>#REF!</v>
      </c>
      <c r="D22" s="117" t="e">
        <f t="shared" si="1"/>
        <v>#REF!</v>
      </c>
      <c r="E22" s="118"/>
      <c r="F22" s="99"/>
      <c r="G22" s="99"/>
      <c r="H22" s="120" t="s">
        <v>15</v>
      </c>
      <c r="I22" s="121">
        <f>'Mall, Citadel, Rotana'!D2</f>
        <v>40169</v>
      </c>
      <c r="J22" s="121" t="e">
        <f>'Mall, Citadel, Rotana'!#REF!</f>
        <v>#REF!</v>
      </c>
      <c r="K22" s="98" t="e">
        <f>(J22-I22)*160</f>
        <v>#REF!</v>
      </c>
    </row>
    <row r="23" spans="1:11" x14ac:dyDescent="0.2">
      <c r="A23" s="99"/>
      <c r="B23" s="99"/>
      <c r="C23" s="113"/>
      <c r="D23" s="122"/>
      <c r="E23" s="118"/>
      <c r="F23" s="99"/>
      <c r="G23" s="99"/>
      <c r="H23" s="120" t="s">
        <v>17</v>
      </c>
      <c r="I23" s="121">
        <f>'Mall, Citadel, Rotana'!F2</f>
        <v>21164</v>
      </c>
      <c r="J23" s="121" t="e">
        <f>'Mall, Citadel, Rotana'!#REF!</f>
        <v>#REF!</v>
      </c>
      <c r="K23" s="98" t="e">
        <f>(J23-I23)*20</f>
        <v>#REF!</v>
      </c>
    </row>
    <row r="24" spans="1:11" x14ac:dyDescent="0.2">
      <c r="A24" s="99"/>
      <c r="B24" s="103" t="s">
        <v>120</v>
      </c>
      <c r="C24" s="113"/>
      <c r="D24" s="113"/>
      <c r="E24" s="113"/>
      <c r="F24" s="99"/>
      <c r="G24" s="99"/>
      <c r="H24" s="120" t="s">
        <v>18</v>
      </c>
      <c r="I24" s="121">
        <f>'Mall, Citadel, Rotana'!H2</f>
        <v>253097</v>
      </c>
      <c r="J24" s="121" t="e">
        <f>'Mall, Citadel, Rotana'!#REF!</f>
        <v>#REF!</v>
      </c>
      <c r="K24" s="98" t="e">
        <f>J24-I24</f>
        <v>#REF!</v>
      </c>
    </row>
    <row r="25" spans="1:11" ht="13.5" thickBot="1" x14ac:dyDescent="0.25">
      <c r="A25" s="99"/>
      <c r="B25" s="99"/>
      <c r="C25" s="110" t="s">
        <v>112</v>
      </c>
      <c r="D25" s="110" t="s">
        <v>121</v>
      </c>
      <c r="E25" s="110"/>
      <c r="F25" s="99"/>
      <c r="G25" s="99"/>
      <c r="H25" s="120" t="s">
        <v>122</v>
      </c>
      <c r="I25" s="121">
        <f>'Mall, Citadel, Rotana'!N2</f>
        <v>218807</v>
      </c>
      <c r="J25" s="121" t="e">
        <f>'Mall, Citadel, Rotana'!#REF!</f>
        <v>#REF!</v>
      </c>
      <c r="K25" s="98" t="e">
        <f>J25-I25</f>
        <v>#REF!</v>
      </c>
    </row>
    <row r="26" spans="1:11" ht="13.5" thickBot="1" x14ac:dyDescent="0.25">
      <c r="A26" s="99"/>
      <c r="B26" s="105" t="s">
        <v>42</v>
      </c>
      <c r="C26" s="123" t="e">
        <f>K35</f>
        <v>#REF!</v>
      </c>
      <c r="D26" s="109" t="e">
        <f>C26*3.65</f>
        <v>#REF!</v>
      </c>
      <c r="E26" s="110"/>
      <c r="F26" s="99"/>
      <c r="G26" s="99"/>
      <c r="H26" s="120" t="s">
        <v>123</v>
      </c>
      <c r="I26" s="130">
        <f>ELECT.!C2</f>
        <v>19263</v>
      </c>
      <c r="J26" s="130" t="e">
        <f>ELECT.!#REF!</f>
        <v>#REF!</v>
      </c>
      <c r="K26" s="98" t="e">
        <f>(J26-I26)*160</f>
        <v>#REF!</v>
      </c>
    </row>
    <row r="27" spans="1:11" ht="13.5" thickBot="1" x14ac:dyDescent="0.25">
      <c r="A27" s="99"/>
      <c r="B27" s="100" t="s">
        <v>124</v>
      </c>
      <c r="C27" s="123" t="e">
        <f>C26</f>
        <v>#REF!</v>
      </c>
      <c r="D27" s="109" t="e">
        <f>C27*3.65</f>
        <v>#REF!</v>
      </c>
      <c r="E27" s="110"/>
      <c r="F27" s="99"/>
      <c r="G27" s="99"/>
      <c r="H27" s="103"/>
      <c r="I27" s="124"/>
      <c r="J27" s="99"/>
      <c r="K27" s="99"/>
    </row>
    <row r="28" spans="1:11" x14ac:dyDescent="0.2">
      <c r="A28" s="99"/>
      <c r="B28" s="99"/>
      <c r="C28" s="99"/>
      <c r="D28" s="99"/>
      <c r="E28" s="99"/>
      <c r="F28" s="99"/>
      <c r="G28" s="99"/>
      <c r="H28" s="103" t="s">
        <v>111</v>
      </c>
      <c r="I28" s="124"/>
      <c r="J28" s="99"/>
      <c r="K28" s="99"/>
    </row>
    <row r="29" spans="1:11" x14ac:dyDescent="0.2">
      <c r="A29" s="99"/>
      <c r="B29" s="99"/>
      <c r="C29" s="99"/>
      <c r="D29" s="99"/>
      <c r="E29" s="99"/>
      <c r="F29" s="99"/>
      <c r="G29" s="99" t="s">
        <v>12</v>
      </c>
      <c r="H29" s="120" t="s">
        <v>24</v>
      </c>
      <c r="I29" s="121">
        <f>Water!B2</f>
        <v>435789</v>
      </c>
      <c r="J29" s="121" t="e">
        <f>Water!#REF!</f>
        <v>#REF!</v>
      </c>
      <c r="K29" s="98" t="e">
        <f>(J29-I29)*10</f>
        <v>#REF!</v>
      </c>
    </row>
    <row r="30" spans="1:11" x14ac:dyDescent="0.2">
      <c r="A30" s="99"/>
      <c r="B30" s="99"/>
      <c r="C30" s="99"/>
      <c r="D30" s="99"/>
      <c r="E30" s="99"/>
      <c r="F30" s="99"/>
      <c r="G30" s="99"/>
      <c r="H30" s="120" t="s">
        <v>125</v>
      </c>
      <c r="I30" s="121">
        <f>Water!H2</f>
        <v>766162</v>
      </c>
      <c r="J30" s="121" t="e">
        <f>Water!#REF!</f>
        <v>#REF!</v>
      </c>
      <c r="K30" s="98" t="e">
        <f>(J30-I30)*0.027</f>
        <v>#REF!</v>
      </c>
    </row>
    <row r="31" spans="1:11" x14ac:dyDescent="0.2">
      <c r="A31" s="99"/>
      <c r="B31" s="99"/>
      <c r="C31" s="99"/>
      <c r="D31" s="99"/>
      <c r="E31" s="99"/>
      <c r="F31" s="99"/>
      <c r="G31" s="99"/>
      <c r="H31" s="120" t="s">
        <v>126</v>
      </c>
      <c r="I31" s="121">
        <f>Water!D2</f>
        <v>1292</v>
      </c>
      <c r="J31" s="121" t="e">
        <f>Water!#REF!</f>
        <v>#REF!</v>
      </c>
      <c r="K31" s="98" t="e">
        <f>(J31-I31)*0.027</f>
        <v>#REF!</v>
      </c>
    </row>
    <row r="32" spans="1:11" x14ac:dyDescent="0.2">
      <c r="A32" s="99"/>
      <c r="B32" s="99"/>
      <c r="C32" s="99"/>
      <c r="D32" s="99"/>
      <c r="E32" s="99"/>
      <c r="F32" s="99"/>
      <c r="G32" s="99"/>
      <c r="H32" s="120" t="s">
        <v>127</v>
      </c>
      <c r="I32" s="121">
        <f>Water!F2</f>
        <v>7381100</v>
      </c>
      <c r="J32" s="121" t="e">
        <f>Water!#REF!</f>
        <v>#REF!</v>
      </c>
      <c r="K32" s="98" t="e">
        <f>(J32-I32)*0.027</f>
        <v>#REF!</v>
      </c>
    </row>
    <row r="33" spans="1:11" x14ac:dyDescent="0.2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</row>
    <row r="34" spans="1:11" x14ac:dyDescent="0.2">
      <c r="A34" s="125"/>
      <c r="B34" s="125"/>
      <c r="C34" s="125"/>
      <c r="D34" s="125"/>
      <c r="E34" s="125"/>
      <c r="F34" s="125"/>
      <c r="G34" s="125"/>
      <c r="H34" s="125" t="s">
        <v>120</v>
      </c>
      <c r="I34" s="125"/>
      <c r="J34" s="125"/>
      <c r="K34" s="125"/>
    </row>
    <row r="35" spans="1:11" x14ac:dyDescent="0.2">
      <c r="A35" s="125"/>
      <c r="B35" s="125"/>
      <c r="C35" s="125"/>
      <c r="D35" s="125"/>
      <c r="E35" s="125"/>
      <c r="F35" s="125"/>
      <c r="G35" s="126"/>
      <c r="H35" s="127" t="s">
        <v>42</v>
      </c>
      <c r="I35" s="128">
        <f>Gas!B2</f>
        <v>17869775</v>
      </c>
      <c r="J35" s="141" t="e">
        <f>Gas!#REF!</f>
        <v>#REF!</v>
      </c>
      <c r="K35" s="129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67" zoomScaleNormal="100" workbookViewId="0">
      <selection activeCell="M65" sqref="M65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1"/>
      <c r="C1" s="62" t="s">
        <v>77</v>
      </c>
      <c r="D1" s="63" t="s">
        <v>78</v>
      </c>
      <c r="E1" s="63" t="s">
        <v>140</v>
      </c>
      <c r="F1" s="63" t="s">
        <v>141</v>
      </c>
      <c r="G1" s="63" t="s">
        <v>91</v>
      </c>
      <c r="H1" s="64" t="s">
        <v>79</v>
      </c>
      <c r="J1" s="62" t="s">
        <v>77</v>
      </c>
      <c r="K1" s="63" t="s">
        <v>78</v>
      </c>
      <c r="L1" s="63" t="s">
        <v>141</v>
      </c>
      <c r="M1" s="63" t="s">
        <v>145</v>
      </c>
      <c r="N1" s="63" t="s">
        <v>91</v>
      </c>
      <c r="O1" s="64" t="s">
        <v>79</v>
      </c>
    </row>
    <row r="2" spans="2:15" ht="15" x14ac:dyDescent="0.2">
      <c r="B2" s="61"/>
      <c r="C2" s="188">
        <v>6</v>
      </c>
      <c r="D2" s="65" t="s">
        <v>80</v>
      </c>
      <c r="E2" s="66">
        <v>280262</v>
      </c>
      <c r="F2" s="66">
        <v>281385</v>
      </c>
      <c r="G2" s="67">
        <f>F2-E2</f>
        <v>1123</v>
      </c>
      <c r="H2" s="68"/>
      <c r="J2" s="188">
        <v>6</v>
      </c>
      <c r="K2" s="65" t="s">
        <v>80</v>
      </c>
      <c r="L2" s="66">
        <v>281385</v>
      </c>
      <c r="M2" s="66">
        <v>283246</v>
      </c>
      <c r="N2" s="67">
        <f>M2-L2</f>
        <v>1861</v>
      </c>
      <c r="O2" s="68"/>
    </row>
    <row r="3" spans="2:15" ht="15" x14ac:dyDescent="0.2">
      <c r="B3" s="61"/>
      <c r="C3" s="193"/>
      <c r="D3" s="65" t="s">
        <v>81</v>
      </c>
      <c r="E3" s="66">
        <v>242725</v>
      </c>
      <c r="F3" s="66">
        <v>243779</v>
      </c>
      <c r="G3" s="67">
        <f t="shared" ref="G3:G43" si="0">F3-E3</f>
        <v>1054</v>
      </c>
      <c r="H3" s="68"/>
      <c r="J3" s="193"/>
      <c r="K3" s="65" t="s">
        <v>81</v>
      </c>
      <c r="L3" s="66">
        <v>243779</v>
      </c>
      <c r="M3" s="66">
        <v>245142</v>
      </c>
      <c r="N3" s="67">
        <f t="shared" ref="N3:N60" si="1">M3-L3</f>
        <v>1363</v>
      </c>
      <c r="O3" s="68"/>
    </row>
    <row r="4" spans="2:15" ht="15" x14ac:dyDescent="0.2">
      <c r="B4" s="61"/>
      <c r="C4" s="189"/>
      <c r="D4" s="65" t="s">
        <v>82</v>
      </c>
      <c r="E4" s="66">
        <v>190541</v>
      </c>
      <c r="F4" s="66">
        <v>191088</v>
      </c>
      <c r="G4" s="67">
        <f t="shared" si="0"/>
        <v>547</v>
      </c>
      <c r="H4" s="68"/>
      <c r="J4" s="189"/>
      <c r="K4" s="65" t="s">
        <v>82</v>
      </c>
      <c r="L4" s="66">
        <v>191088</v>
      </c>
      <c r="M4" s="66">
        <v>192356</v>
      </c>
      <c r="N4" s="67">
        <f t="shared" si="1"/>
        <v>1268</v>
      </c>
      <c r="O4" s="68"/>
    </row>
    <row r="5" spans="2:15" ht="15" x14ac:dyDescent="0.2">
      <c r="B5" s="61"/>
      <c r="C5" s="188">
        <v>7</v>
      </c>
      <c r="D5" s="65" t="s">
        <v>80</v>
      </c>
      <c r="E5" s="66">
        <v>241447</v>
      </c>
      <c r="F5" s="66">
        <v>242725</v>
      </c>
      <c r="G5" s="67">
        <f t="shared" si="0"/>
        <v>1278</v>
      </c>
      <c r="H5" s="68"/>
      <c r="J5" s="188">
        <v>7</v>
      </c>
      <c r="K5" s="65" t="s">
        <v>80</v>
      </c>
      <c r="L5" s="66">
        <v>242725</v>
      </c>
      <c r="M5" s="66">
        <v>245439</v>
      </c>
      <c r="N5" s="67">
        <f t="shared" si="1"/>
        <v>2714</v>
      </c>
      <c r="O5" s="68"/>
    </row>
    <row r="6" spans="2:15" ht="15" x14ac:dyDescent="0.2">
      <c r="B6" s="61"/>
      <c r="C6" s="193"/>
      <c r="D6" s="65" t="s">
        <v>81</v>
      </c>
      <c r="E6" s="66">
        <v>153709</v>
      </c>
      <c r="F6" s="66">
        <v>153801</v>
      </c>
      <c r="G6" s="67">
        <f t="shared" si="0"/>
        <v>92</v>
      </c>
      <c r="H6" s="68"/>
      <c r="J6" s="193"/>
      <c r="K6" s="65" t="s">
        <v>81</v>
      </c>
      <c r="L6" s="66">
        <v>153801</v>
      </c>
      <c r="M6" s="66">
        <v>153827</v>
      </c>
      <c r="N6" s="67">
        <f t="shared" si="1"/>
        <v>26</v>
      </c>
      <c r="O6" s="68"/>
    </row>
    <row r="7" spans="2:15" ht="15" x14ac:dyDescent="0.2">
      <c r="B7" s="61"/>
      <c r="C7" s="189"/>
      <c r="D7" s="65" t="s">
        <v>82</v>
      </c>
      <c r="E7" s="66">
        <v>119307</v>
      </c>
      <c r="F7" s="66">
        <v>120067</v>
      </c>
      <c r="G7" s="67">
        <f t="shared" si="0"/>
        <v>760</v>
      </c>
      <c r="H7" s="68"/>
      <c r="J7" s="189"/>
      <c r="K7" s="65" t="s">
        <v>82</v>
      </c>
      <c r="L7" s="66">
        <v>120067</v>
      </c>
      <c r="M7" s="66">
        <v>121622</v>
      </c>
      <c r="N7" s="67">
        <f t="shared" si="1"/>
        <v>1555</v>
      </c>
      <c r="O7" s="68"/>
    </row>
    <row r="8" spans="2:15" ht="15" x14ac:dyDescent="0.2">
      <c r="B8" s="61"/>
      <c r="C8" s="188">
        <v>8</v>
      </c>
      <c r="D8" s="65" t="s">
        <v>80</v>
      </c>
      <c r="E8" s="66">
        <v>72845</v>
      </c>
      <c r="F8" s="66">
        <v>73064</v>
      </c>
      <c r="G8" s="67">
        <f t="shared" si="0"/>
        <v>219</v>
      </c>
      <c r="H8" s="68"/>
      <c r="J8" s="188">
        <v>8</v>
      </c>
      <c r="K8" s="65" t="s">
        <v>80</v>
      </c>
      <c r="L8" s="66">
        <v>73064</v>
      </c>
      <c r="M8" s="66">
        <v>75412</v>
      </c>
      <c r="N8" s="67">
        <f t="shared" si="1"/>
        <v>2348</v>
      </c>
      <c r="O8" s="68"/>
    </row>
    <row r="9" spans="2:15" ht="15" x14ac:dyDescent="0.2">
      <c r="B9" s="61"/>
      <c r="C9" s="193"/>
      <c r="D9" s="65" t="s">
        <v>81</v>
      </c>
      <c r="E9" s="66">
        <v>158</v>
      </c>
      <c r="F9" s="66">
        <v>158</v>
      </c>
      <c r="G9" s="67">
        <f t="shared" si="0"/>
        <v>0</v>
      </c>
      <c r="H9" s="69" t="s">
        <v>12</v>
      </c>
      <c r="J9" s="193"/>
      <c r="K9" s="65" t="s">
        <v>81</v>
      </c>
      <c r="L9" s="66">
        <v>158</v>
      </c>
      <c r="M9" s="66">
        <v>158</v>
      </c>
      <c r="N9" s="67">
        <f t="shared" si="1"/>
        <v>0</v>
      </c>
      <c r="O9" s="69" t="s">
        <v>12</v>
      </c>
    </row>
    <row r="10" spans="2:15" ht="15" x14ac:dyDescent="0.2">
      <c r="B10" s="61"/>
      <c r="C10" s="189"/>
      <c r="D10" s="65" t="s">
        <v>82</v>
      </c>
      <c r="E10" s="66">
        <v>98137</v>
      </c>
      <c r="F10" s="66">
        <v>98822</v>
      </c>
      <c r="G10" s="67">
        <f t="shared" si="0"/>
        <v>685</v>
      </c>
      <c r="H10" s="68"/>
      <c r="J10" s="189"/>
      <c r="K10" s="65" t="s">
        <v>82</v>
      </c>
      <c r="L10" s="66">
        <v>98822</v>
      </c>
      <c r="M10" s="66">
        <v>99971</v>
      </c>
      <c r="N10" s="67">
        <f t="shared" si="1"/>
        <v>1149</v>
      </c>
      <c r="O10" s="68"/>
    </row>
    <row r="11" spans="2:15" ht="15" x14ac:dyDescent="0.2">
      <c r="B11" s="61"/>
      <c r="C11" s="188">
        <v>9</v>
      </c>
      <c r="D11" s="65" t="s">
        <v>80</v>
      </c>
      <c r="E11" s="66">
        <v>34639</v>
      </c>
      <c r="F11" s="66">
        <v>34694</v>
      </c>
      <c r="G11" s="67">
        <f t="shared" si="0"/>
        <v>55</v>
      </c>
      <c r="H11" s="68"/>
      <c r="J11" s="188">
        <v>9</v>
      </c>
      <c r="K11" s="65" t="s">
        <v>80</v>
      </c>
      <c r="L11" s="66">
        <v>34694</v>
      </c>
      <c r="M11" s="66">
        <v>34726</v>
      </c>
      <c r="N11" s="67">
        <f t="shared" si="1"/>
        <v>32</v>
      </c>
      <c r="O11" s="68"/>
    </row>
    <row r="12" spans="2:15" ht="15" x14ac:dyDescent="0.2">
      <c r="B12" s="61"/>
      <c r="C12" s="193"/>
      <c r="D12" s="65" t="s">
        <v>81</v>
      </c>
      <c r="E12" s="66">
        <v>0</v>
      </c>
      <c r="F12" s="66">
        <v>0</v>
      </c>
      <c r="G12" s="67">
        <f t="shared" si="0"/>
        <v>0</v>
      </c>
      <c r="H12" s="69" t="s">
        <v>12</v>
      </c>
      <c r="J12" s="193"/>
      <c r="K12" s="65" t="s">
        <v>81</v>
      </c>
      <c r="L12" s="66">
        <v>0</v>
      </c>
      <c r="M12" s="66">
        <v>0</v>
      </c>
      <c r="N12" s="67">
        <f t="shared" si="1"/>
        <v>0</v>
      </c>
      <c r="O12" s="69" t="s">
        <v>12</v>
      </c>
    </row>
    <row r="13" spans="2:15" ht="15" x14ac:dyDescent="0.2">
      <c r="B13" s="61"/>
      <c r="C13" s="189"/>
      <c r="D13" s="65" t="s">
        <v>82</v>
      </c>
      <c r="E13" s="66">
        <v>28642</v>
      </c>
      <c r="F13" s="66">
        <v>28776</v>
      </c>
      <c r="G13" s="67">
        <f t="shared" si="0"/>
        <v>134</v>
      </c>
      <c r="H13" s="68"/>
      <c r="I13" s="70"/>
      <c r="J13" s="189"/>
      <c r="K13" s="65" t="s">
        <v>82</v>
      </c>
      <c r="L13" s="66">
        <v>28776</v>
      </c>
      <c r="M13" s="66">
        <v>28926</v>
      </c>
      <c r="N13" s="67">
        <f t="shared" si="1"/>
        <v>150</v>
      </c>
      <c r="O13" s="68"/>
    </row>
    <row r="14" spans="2:15" ht="15" x14ac:dyDescent="0.2">
      <c r="B14" s="61"/>
      <c r="C14" s="188">
        <v>10</v>
      </c>
      <c r="D14" s="65" t="s">
        <v>80</v>
      </c>
      <c r="E14" s="66">
        <v>197101</v>
      </c>
      <c r="F14" s="66">
        <v>198779</v>
      </c>
      <c r="G14" s="67">
        <f t="shared" si="0"/>
        <v>1678</v>
      </c>
      <c r="H14" s="68"/>
      <c r="I14" s="71"/>
      <c r="J14" s="188">
        <v>10</v>
      </c>
      <c r="K14" s="65" t="s">
        <v>80</v>
      </c>
      <c r="L14" s="66">
        <v>198779</v>
      </c>
      <c r="M14" s="66">
        <v>202553</v>
      </c>
      <c r="N14" s="67">
        <f t="shared" si="1"/>
        <v>3774</v>
      </c>
      <c r="O14" s="68"/>
    </row>
    <row r="15" spans="2:15" ht="15" x14ac:dyDescent="0.2">
      <c r="B15" s="61"/>
      <c r="C15" s="193"/>
      <c r="D15" s="65" t="s">
        <v>81</v>
      </c>
      <c r="E15" s="66">
        <v>7741</v>
      </c>
      <c r="F15" s="66">
        <v>7741</v>
      </c>
      <c r="G15" s="67">
        <f t="shared" si="0"/>
        <v>0</v>
      </c>
      <c r="H15" s="68"/>
      <c r="I15" s="71"/>
      <c r="J15" s="193"/>
      <c r="K15" s="65" t="s">
        <v>81</v>
      </c>
      <c r="L15" s="66">
        <v>7741</v>
      </c>
      <c r="M15" s="66">
        <v>7174</v>
      </c>
      <c r="N15" s="67">
        <f t="shared" si="1"/>
        <v>-567</v>
      </c>
      <c r="O15" s="68"/>
    </row>
    <row r="16" spans="2:15" ht="15" x14ac:dyDescent="0.2">
      <c r="B16" s="61"/>
      <c r="C16" s="189"/>
      <c r="D16" s="65" t="s">
        <v>82</v>
      </c>
      <c r="E16" s="66">
        <v>185938</v>
      </c>
      <c r="F16" s="66">
        <v>186735</v>
      </c>
      <c r="G16" s="67">
        <f t="shared" si="0"/>
        <v>797</v>
      </c>
      <c r="H16" s="68"/>
      <c r="I16" s="71"/>
      <c r="J16" s="189"/>
      <c r="K16" s="65" t="s">
        <v>82</v>
      </c>
      <c r="L16" s="66">
        <v>186735</v>
      </c>
      <c r="M16" s="66">
        <v>188697</v>
      </c>
      <c r="N16" s="67">
        <f t="shared" si="1"/>
        <v>1962</v>
      </c>
      <c r="O16" s="68"/>
    </row>
    <row r="17" spans="2:15" ht="15" x14ac:dyDescent="0.2">
      <c r="B17" s="61"/>
      <c r="C17" s="188">
        <v>11</v>
      </c>
      <c r="D17" s="65" t="s">
        <v>80</v>
      </c>
      <c r="E17" s="67">
        <v>64235</v>
      </c>
      <c r="F17" s="67">
        <v>64951</v>
      </c>
      <c r="G17" s="67">
        <f t="shared" si="0"/>
        <v>716</v>
      </c>
      <c r="H17" s="68"/>
      <c r="I17" s="71"/>
      <c r="J17" s="188">
        <v>11</v>
      </c>
      <c r="K17" s="65" t="s">
        <v>80</v>
      </c>
      <c r="L17" s="67">
        <v>64951</v>
      </c>
      <c r="M17" s="67">
        <v>66191</v>
      </c>
      <c r="N17" s="67">
        <f t="shared" si="1"/>
        <v>1240</v>
      </c>
      <c r="O17" s="68"/>
    </row>
    <row r="18" spans="2:15" ht="15" x14ac:dyDescent="0.2">
      <c r="B18" s="61"/>
      <c r="C18" s="193"/>
      <c r="D18" s="65" t="s">
        <v>81</v>
      </c>
      <c r="E18" s="67">
        <v>213386</v>
      </c>
      <c r="F18" s="67">
        <v>214391</v>
      </c>
      <c r="G18" s="67">
        <f t="shared" si="0"/>
        <v>1005</v>
      </c>
      <c r="H18" s="68"/>
      <c r="I18" s="71"/>
      <c r="J18" s="193"/>
      <c r="K18" s="65" t="s">
        <v>81</v>
      </c>
      <c r="L18" s="67">
        <v>214391</v>
      </c>
      <c r="M18" s="67">
        <v>215756</v>
      </c>
      <c r="N18" s="67">
        <f t="shared" si="1"/>
        <v>1365</v>
      </c>
      <c r="O18" s="68"/>
    </row>
    <row r="19" spans="2:15" ht="15" x14ac:dyDescent="0.2">
      <c r="B19" s="61"/>
      <c r="C19" s="189"/>
      <c r="D19" s="65" t="s">
        <v>82</v>
      </c>
      <c r="E19" s="66">
        <v>30683</v>
      </c>
      <c r="F19" s="66">
        <v>30758</v>
      </c>
      <c r="G19" s="67">
        <f t="shared" si="0"/>
        <v>75</v>
      </c>
      <c r="H19" s="68"/>
      <c r="I19" s="71"/>
      <c r="J19" s="189"/>
      <c r="K19" s="65" t="s">
        <v>82</v>
      </c>
      <c r="L19" s="66">
        <v>30758</v>
      </c>
      <c r="M19" s="66">
        <v>30919</v>
      </c>
      <c r="N19" s="67">
        <f t="shared" si="1"/>
        <v>161</v>
      </c>
      <c r="O19" s="68"/>
    </row>
    <row r="20" spans="2:15" ht="15" x14ac:dyDescent="0.2">
      <c r="B20" s="61"/>
      <c r="C20" s="188">
        <v>12</v>
      </c>
      <c r="D20" s="65" t="s">
        <v>80</v>
      </c>
      <c r="E20" s="148">
        <v>146008</v>
      </c>
      <c r="F20" s="148">
        <v>146144</v>
      </c>
      <c r="G20" s="67">
        <f t="shared" si="0"/>
        <v>136</v>
      </c>
      <c r="H20" s="68"/>
      <c r="I20" s="71"/>
      <c r="J20" s="188">
        <v>12</v>
      </c>
      <c r="K20" s="65" t="s">
        <v>80</v>
      </c>
      <c r="L20" s="148">
        <v>146144</v>
      </c>
      <c r="M20" s="148">
        <v>146382</v>
      </c>
      <c r="N20" s="67">
        <f t="shared" si="1"/>
        <v>238</v>
      </c>
      <c r="O20" s="68"/>
    </row>
    <row r="21" spans="2:15" ht="15" x14ac:dyDescent="0.2">
      <c r="B21" s="61"/>
      <c r="C21" s="193"/>
      <c r="D21" s="65" t="s">
        <v>81</v>
      </c>
      <c r="E21" s="66">
        <v>22414</v>
      </c>
      <c r="F21" s="66">
        <v>22438</v>
      </c>
      <c r="G21" s="67">
        <f t="shared" si="0"/>
        <v>24</v>
      </c>
      <c r="H21" s="68"/>
      <c r="I21" s="72" t="s">
        <v>12</v>
      </c>
      <c r="J21" s="193"/>
      <c r="K21" s="65" t="s">
        <v>81</v>
      </c>
      <c r="L21" s="66">
        <v>22438</v>
      </c>
      <c r="M21" s="66">
        <v>22483</v>
      </c>
      <c r="N21" s="67">
        <f t="shared" si="1"/>
        <v>45</v>
      </c>
      <c r="O21" s="68"/>
    </row>
    <row r="22" spans="2:15" ht="15" x14ac:dyDescent="0.2">
      <c r="B22" s="61"/>
      <c r="C22" s="189"/>
      <c r="D22" s="65" t="s">
        <v>82</v>
      </c>
      <c r="E22" s="66">
        <v>242715</v>
      </c>
      <c r="F22" s="66">
        <v>243056</v>
      </c>
      <c r="G22" s="67">
        <f t="shared" si="0"/>
        <v>341</v>
      </c>
      <c r="H22" s="68"/>
      <c r="I22" s="71"/>
      <c r="J22" s="189"/>
      <c r="K22" s="65" t="s">
        <v>82</v>
      </c>
      <c r="L22" s="66">
        <v>243056</v>
      </c>
      <c r="M22" s="66">
        <v>245112</v>
      </c>
      <c r="N22" s="67">
        <f t="shared" si="1"/>
        <v>2056</v>
      </c>
      <c r="O22" s="68"/>
    </row>
    <row r="23" spans="2:15" ht="15" x14ac:dyDescent="0.2">
      <c r="B23" s="61"/>
      <c r="C23" s="188">
        <v>14</v>
      </c>
      <c r="D23" s="65" t="s">
        <v>80</v>
      </c>
      <c r="E23" s="66">
        <v>116871</v>
      </c>
      <c r="F23" s="66">
        <v>117017</v>
      </c>
      <c r="G23" s="67">
        <f t="shared" si="0"/>
        <v>146</v>
      </c>
      <c r="H23" s="68"/>
      <c r="I23" s="71"/>
      <c r="J23" s="188">
        <v>14</v>
      </c>
      <c r="K23" s="65" t="s">
        <v>80</v>
      </c>
      <c r="L23" s="66">
        <v>117017</v>
      </c>
      <c r="M23" s="66">
        <v>117346</v>
      </c>
      <c r="N23" s="67">
        <f t="shared" si="1"/>
        <v>329</v>
      </c>
      <c r="O23" s="68"/>
    </row>
    <row r="24" spans="2:15" ht="15" x14ac:dyDescent="0.2">
      <c r="B24" s="61"/>
      <c r="C24" s="193"/>
      <c r="D24" s="65" t="s">
        <v>81</v>
      </c>
      <c r="E24" s="73">
        <v>23763</v>
      </c>
      <c r="F24" s="73">
        <v>23763</v>
      </c>
      <c r="G24" s="67">
        <f t="shared" si="0"/>
        <v>0</v>
      </c>
      <c r="H24" s="68"/>
      <c r="I24" s="71"/>
      <c r="J24" s="193"/>
      <c r="K24" s="65" t="s">
        <v>81</v>
      </c>
      <c r="L24" s="73">
        <v>23763</v>
      </c>
      <c r="M24" s="73">
        <v>25937</v>
      </c>
      <c r="N24" s="67">
        <f t="shared" si="1"/>
        <v>2174</v>
      </c>
      <c r="O24" s="68"/>
    </row>
    <row r="25" spans="2:15" ht="15" x14ac:dyDescent="0.2">
      <c r="B25" s="61"/>
      <c r="C25" s="189"/>
      <c r="D25" s="65" t="s">
        <v>82</v>
      </c>
      <c r="E25" s="66">
        <v>1999</v>
      </c>
      <c r="F25" s="66">
        <v>1999</v>
      </c>
      <c r="G25" s="67">
        <f t="shared" si="0"/>
        <v>0</v>
      </c>
      <c r="H25" s="68"/>
      <c r="I25" s="71"/>
      <c r="J25" s="189"/>
      <c r="K25" s="65" t="s">
        <v>82</v>
      </c>
      <c r="L25" s="66">
        <v>1999</v>
      </c>
      <c r="M25" s="66">
        <v>1767</v>
      </c>
      <c r="N25" s="67">
        <f t="shared" si="1"/>
        <v>-232</v>
      </c>
      <c r="O25" s="68"/>
    </row>
    <row r="26" spans="2:15" ht="15" x14ac:dyDescent="0.2">
      <c r="B26" s="61"/>
      <c r="C26" s="188">
        <v>15</v>
      </c>
      <c r="D26" s="65" t="s">
        <v>80</v>
      </c>
      <c r="E26" s="148">
        <v>39380</v>
      </c>
      <c r="F26" s="148">
        <v>39380</v>
      </c>
      <c r="G26" s="67">
        <f t="shared" si="0"/>
        <v>0</v>
      </c>
      <c r="H26" s="68"/>
      <c r="I26" s="72" t="s">
        <v>12</v>
      </c>
      <c r="J26" s="188">
        <v>15</v>
      </c>
      <c r="K26" s="65" t="s">
        <v>80</v>
      </c>
      <c r="L26" s="148">
        <v>39380</v>
      </c>
      <c r="M26" s="148">
        <v>39348</v>
      </c>
      <c r="N26" s="67">
        <f t="shared" si="1"/>
        <v>-32</v>
      </c>
      <c r="O26" s="68"/>
    </row>
    <row r="27" spans="2:15" ht="15" x14ac:dyDescent="0.2">
      <c r="B27" s="61"/>
      <c r="C27" s="193"/>
      <c r="D27" s="65" t="s">
        <v>81</v>
      </c>
      <c r="E27" s="66">
        <v>80522</v>
      </c>
      <c r="F27" s="66">
        <v>80886</v>
      </c>
      <c r="G27" s="67">
        <f t="shared" si="0"/>
        <v>364</v>
      </c>
      <c r="H27" s="68"/>
      <c r="I27" s="72" t="s">
        <v>12</v>
      </c>
      <c r="J27" s="193"/>
      <c r="K27" s="65" t="s">
        <v>81</v>
      </c>
      <c r="L27" s="66">
        <v>80886</v>
      </c>
      <c r="M27" s="66">
        <v>81676</v>
      </c>
      <c r="N27" s="67">
        <f t="shared" si="1"/>
        <v>790</v>
      </c>
      <c r="O27" s="68"/>
    </row>
    <row r="28" spans="2:15" ht="15" x14ac:dyDescent="0.2">
      <c r="B28" s="61"/>
      <c r="C28" s="189"/>
      <c r="D28" s="65" t="s">
        <v>82</v>
      </c>
      <c r="E28" s="66">
        <v>154238</v>
      </c>
      <c r="F28" s="66">
        <v>155292</v>
      </c>
      <c r="G28" s="67">
        <f t="shared" si="0"/>
        <v>1054</v>
      </c>
      <c r="H28" s="68"/>
      <c r="I28" s="71"/>
      <c r="J28" s="189"/>
      <c r="K28" s="65" t="s">
        <v>82</v>
      </c>
      <c r="L28" s="66">
        <v>155292</v>
      </c>
      <c r="M28" s="66">
        <v>157355</v>
      </c>
      <c r="N28" s="67">
        <f t="shared" si="1"/>
        <v>2063</v>
      </c>
      <c r="O28" s="68"/>
    </row>
    <row r="29" spans="2:15" ht="15" x14ac:dyDescent="0.2">
      <c r="B29" s="61"/>
      <c r="C29" s="188">
        <v>16</v>
      </c>
      <c r="D29" s="65" t="s">
        <v>80</v>
      </c>
      <c r="E29" s="148">
        <v>97965</v>
      </c>
      <c r="F29" s="148">
        <v>97965</v>
      </c>
      <c r="G29" s="67">
        <f t="shared" si="0"/>
        <v>0</v>
      </c>
      <c r="H29" s="69" t="s">
        <v>12</v>
      </c>
      <c r="I29" s="71"/>
      <c r="J29" s="188">
        <v>16</v>
      </c>
      <c r="K29" s="65" t="s">
        <v>80</v>
      </c>
      <c r="L29" s="148">
        <v>97965</v>
      </c>
      <c r="M29" s="148">
        <v>97792</v>
      </c>
      <c r="N29" s="67">
        <f t="shared" si="1"/>
        <v>-173</v>
      </c>
      <c r="O29" s="69" t="s">
        <v>12</v>
      </c>
    </row>
    <row r="30" spans="2:15" ht="15" x14ac:dyDescent="0.2">
      <c r="B30" s="61"/>
      <c r="C30" s="193"/>
      <c r="D30" s="65" t="s">
        <v>81</v>
      </c>
      <c r="E30" s="148">
        <v>59824</v>
      </c>
      <c r="F30" s="148">
        <v>60065</v>
      </c>
      <c r="G30" s="67">
        <f t="shared" si="0"/>
        <v>241</v>
      </c>
      <c r="H30" s="68"/>
      <c r="I30" s="71"/>
      <c r="J30" s="193"/>
      <c r="K30" s="65" t="s">
        <v>81</v>
      </c>
      <c r="L30" s="148">
        <v>60065</v>
      </c>
      <c r="M30" s="148">
        <v>60464</v>
      </c>
      <c r="N30" s="67">
        <f t="shared" si="1"/>
        <v>399</v>
      </c>
      <c r="O30" s="68"/>
    </row>
    <row r="31" spans="2:15" ht="15" x14ac:dyDescent="0.2">
      <c r="B31" s="61"/>
      <c r="C31" s="189"/>
      <c r="D31" s="65" t="s">
        <v>82</v>
      </c>
      <c r="E31" s="66">
        <v>68462</v>
      </c>
      <c r="F31" s="66">
        <v>68462</v>
      </c>
      <c r="G31" s="67">
        <f t="shared" si="0"/>
        <v>0</v>
      </c>
      <c r="H31" s="74"/>
      <c r="I31" s="71"/>
      <c r="J31" s="189"/>
      <c r="K31" s="65" t="s">
        <v>82</v>
      </c>
      <c r="L31" s="66">
        <v>68462</v>
      </c>
      <c r="M31" s="66">
        <v>68462</v>
      </c>
      <c r="N31" s="67">
        <f t="shared" si="1"/>
        <v>0</v>
      </c>
      <c r="O31" s="74"/>
    </row>
    <row r="32" spans="2:15" ht="15" x14ac:dyDescent="0.2">
      <c r="B32" s="61"/>
      <c r="C32" s="188">
        <v>17</v>
      </c>
      <c r="D32" s="65" t="s">
        <v>80</v>
      </c>
      <c r="E32" s="66">
        <v>32768</v>
      </c>
      <c r="F32" s="66">
        <v>33108</v>
      </c>
      <c r="G32" s="67">
        <f t="shared" si="0"/>
        <v>340</v>
      </c>
      <c r="H32" s="68"/>
      <c r="I32" s="71"/>
      <c r="J32" s="188">
        <v>17</v>
      </c>
      <c r="K32" s="65" t="s">
        <v>80</v>
      </c>
      <c r="L32" s="66">
        <v>33108</v>
      </c>
      <c r="M32" s="66">
        <v>34035</v>
      </c>
      <c r="N32" s="67">
        <f t="shared" si="1"/>
        <v>927</v>
      </c>
      <c r="O32" s="68"/>
    </row>
    <row r="33" spans="2:15" ht="15" x14ac:dyDescent="0.2">
      <c r="B33" s="61"/>
      <c r="C33" s="193"/>
      <c r="D33" s="65" t="s">
        <v>81</v>
      </c>
      <c r="E33" s="66">
        <v>64149</v>
      </c>
      <c r="F33" s="66">
        <v>64190</v>
      </c>
      <c r="G33" s="67">
        <f t="shared" si="0"/>
        <v>41</v>
      </c>
      <c r="H33" s="68"/>
      <c r="I33" s="71"/>
      <c r="J33" s="193"/>
      <c r="K33" s="65" t="s">
        <v>81</v>
      </c>
      <c r="L33" s="66">
        <v>64190</v>
      </c>
      <c r="M33" s="66">
        <v>64134</v>
      </c>
      <c r="N33" s="67">
        <f t="shared" si="1"/>
        <v>-56</v>
      </c>
      <c r="O33" s="68"/>
    </row>
    <row r="34" spans="2:15" ht="15" x14ac:dyDescent="0.2">
      <c r="B34" s="61"/>
      <c r="C34" s="189"/>
      <c r="D34" s="65" t="s">
        <v>82</v>
      </c>
      <c r="E34" s="66">
        <v>11579</v>
      </c>
      <c r="F34" s="66">
        <v>11664</v>
      </c>
      <c r="G34" s="67">
        <f t="shared" si="0"/>
        <v>85</v>
      </c>
      <c r="H34" s="74"/>
      <c r="I34" s="71"/>
      <c r="J34" s="189"/>
      <c r="K34" s="65" t="s">
        <v>82</v>
      </c>
      <c r="L34" s="66">
        <v>11664</v>
      </c>
      <c r="M34" s="66">
        <v>83366</v>
      </c>
      <c r="N34" s="67">
        <f t="shared" si="1"/>
        <v>71702</v>
      </c>
      <c r="O34" s="74"/>
    </row>
    <row r="35" spans="2:15" ht="15" x14ac:dyDescent="0.2">
      <c r="B35" s="61"/>
      <c r="C35" s="188">
        <v>18</v>
      </c>
      <c r="D35" s="65" t="s">
        <v>80</v>
      </c>
      <c r="E35" s="66">
        <v>239144</v>
      </c>
      <c r="F35" s="66">
        <v>240194</v>
      </c>
      <c r="G35" s="67">
        <f t="shared" si="0"/>
        <v>1050</v>
      </c>
      <c r="H35" s="74"/>
      <c r="I35" s="71"/>
      <c r="J35" s="188">
        <v>18</v>
      </c>
      <c r="K35" s="65" t="s">
        <v>80</v>
      </c>
      <c r="L35" s="66">
        <v>240194</v>
      </c>
      <c r="M35" s="66">
        <v>243624</v>
      </c>
      <c r="N35" s="67">
        <f t="shared" si="1"/>
        <v>3430</v>
      </c>
      <c r="O35" s="74"/>
    </row>
    <row r="36" spans="2:15" ht="15" x14ac:dyDescent="0.2">
      <c r="B36" s="61"/>
      <c r="C36" s="193"/>
      <c r="D36" s="65" t="s">
        <v>81</v>
      </c>
      <c r="E36" s="73">
        <v>16836</v>
      </c>
      <c r="F36" s="73">
        <v>17660</v>
      </c>
      <c r="G36" s="67">
        <f t="shared" si="0"/>
        <v>824</v>
      </c>
      <c r="H36" s="68"/>
      <c r="I36" s="71"/>
      <c r="J36" s="193"/>
      <c r="K36" s="65" t="s">
        <v>81</v>
      </c>
      <c r="L36" s="73">
        <v>17660</v>
      </c>
      <c r="M36" s="73">
        <v>17660</v>
      </c>
      <c r="N36" s="67">
        <f t="shared" si="1"/>
        <v>0</v>
      </c>
      <c r="O36" s="68"/>
    </row>
    <row r="37" spans="2:15" ht="15" x14ac:dyDescent="0.2">
      <c r="B37" s="61"/>
      <c r="C37" s="189"/>
      <c r="D37" s="65" t="s">
        <v>82</v>
      </c>
      <c r="E37" s="66">
        <v>78775</v>
      </c>
      <c r="F37" s="66">
        <v>80127</v>
      </c>
      <c r="G37" s="67">
        <f t="shared" si="0"/>
        <v>1352</v>
      </c>
      <c r="H37" s="68"/>
      <c r="I37" s="71"/>
      <c r="J37" s="189"/>
      <c r="K37" s="65" t="s">
        <v>82</v>
      </c>
      <c r="L37" s="66">
        <v>80127</v>
      </c>
      <c r="M37" s="66">
        <v>83790</v>
      </c>
      <c r="N37" s="67">
        <f t="shared" si="1"/>
        <v>3663</v>
      </c>
      <c r="O37" s="68"/>
    </row>
    <row r="38" spans="2:15" ht="15" x14ac:dyDescent="0.2">
      <c r="B38" s="61"/>
      <c r="C38" s="188">
        <v>19</v>
      </c>
      <c r="D38" s="65" t="s">
        <v>80</v>
      </c>
      <c r="E38" s="66">
        <v>21552</v>
      </c>
      <c r="F38" s="66">
        <v>21717</v>
      </c>
      <c r="G38" s="67">
        <f t="shared" si="0"/>
        <v>165</v>
      </c>
      <c r="H38" s="68"/>
      <c r="I38" s="71"/>
      <c r="J38" s="188">
        <v>19</v>
      </c>
      <c r="K38" s="65" t="s">
        <v>80</v>
      </c>
      <c r="L38" s="66">
        <v>21717</v>
      </c>
      <c r="M38" s="66">
        <v>22092</v>
      </c>
      <c r="N38" s="67">
        <f t="shared" si="1"/>
        <v>375</v>
      </c>
      <c r="O38" s="68"/>
    </row>
    <row r="39" spans="2:15" ht="15" x14ac:dyDescent="0.2">
      <c r="B39" s="61"/>
      <c r="C39" s="193"/>
      <c r="D39" s="65" t="s">
        <v>81</v>
      </c>
      <c r="E39" s="148">
        <v>83126</v>
      </c>
      <c r="F39" s="148">
        <v>83384</v>
      </c>
      <c r="G39" s="67">
        <f t="shared" si="0"/>
        <v>258</v>
      </c>
      <c r="H39" s="74"/>
      <c r="I39" s="71"/>
      <c r="J39" s="193"/>
      <c r="K39" s="65" t="s">
        <v>81</v>
      </c>
      <c r="L39" s="148">
        <v>83384</v>
      </c>
      <c r="M39" s="148">
        <v>53053</v>
      </c>
      <c r="N39" s="67">
        <f t="shared" si="1"/>
        <v>-30331</v>
      </c>
      <c r="O39" s="74"/>
    </row>
    <row r="40" spans="2:15" ht="15" x14ac:dyDescent="0.2">
      <c r="B40" s="61"/>
      <c r="C40" s="189"/>
      <c r="D40" s="65" t="s">
        <v>82</v>
      </c>
      <c r="E40" s="66">
        <v>53053</v>
      </c>
      <c r="F40" s="66">
        <v>53053</v>
      </c>
      <c r="G40" s="67">
        <f t="shared" si="0"/>
        <v>0</v>
      </c>
      <c r="H40" s="68"/>
      <c r="I40" s="71"/>
      <c r="J40" s="189"/>
      <c r="K40" s="65" t="s">
        <v>82</v>
      </c>
      <c r="L40" s="66">
        <v>53053</v>
      </c>
      <c r="M40" s="66">
        <v>53053</v>
      </c>
      <c r="N40" s="67">
        <f t="shared" si="1"/>
        <v>0</v>
      </c>
      <c r="O40" s="68"/>
    </row>
    <row r="41" spans="2:15" ht="15" x14ac:dyDescent="0.2">
      <c r="B41" s="61"/>
      <c r="C41" s="188">
        <v>20</v>
      </c>
      <c r="D41" s="65" t="s">
        <v>80</v>
      </c>
      <c r="E41" s="66">
        <v>118849</v>
      </c>
      <c r="F41" s="66">
        <v>119121</v>
      </c>
      <c r="G41" s="67">
        <f t="shared" si="0"/>
        <v>272</v>
      </c>
      <c r="H41" s="68"/>
      <c r="I41" s="71"/>
      <c r="J41" s="188">
        <v>20</v>
      </c>
      <c r="K41" s="65" t="s">
        <v>80</v>
      </c>
      <c r="L41" s="66">
        <v>119121</v>
      </c>
      <c r="M41" s="66">
        <v>119626</v>
      </c>
      <c r="N41" s="67">
        <f t="shared" si="1"/>
        <v>505</v>
      </c>
      <c r="O41" s="68"/>
    </row>
    <row r="42" spans="2:15" ht="15" x14ac:dyDescent="0.2">
      <c r="B42" s="61"/>
      <c r="C42" s="193"/>
      <c r="D42" s="65" t="s">
        <v>81</v>
      </c>
      <c r="E42" s="148">
        <v>69099</v>
      </c>
      <c r="F42" s="148">
        <v>69249</v>
      </c>
      <c r="G42" s="67">
        <f t="shared" si="0"/>
        <v>150</v>
      </c>
      <c r="H42" s="68"/>
      <c r="J42" s="193"/>
      <c r="K42" s="65" t="s">
        <v>81</v>
      </c>
      <c r="L42" s="148">
        <v>69249</v>
      </c>
      <c r="M42" s="148">
        <v>66556</v>
      </c>
      <c r="N42" s="67">
        <f t="shared" si="1"/>
        <v>-2693</v>
      </c>
      <c r="O42" s="68"/>
    </row>
    <row r="43" spans="2:15" ht="15" x14ac:dyDescent="0.2">
      <c r="B43" s="61"/>
      <c r="C43" s="189"/>
      <c r="D43" s="65" t="s">
        <v>82</v>
      </c>
      <c r="E43" s="66">
        <v>3298</v>
      </c>
      <c r="F43" s="66">
        <v>3298</v>
      </c>
      <c r="G43" s="67">
        <f t="shared" si="0"/>
        <v>0</v>
      </c>
      <c r="H43" s="68"/>
      <c r="J43" s="189"/>
      <c r="K43" s="65" t="s">
        <v>82</v>
      </c>
      <c r="L43" s="66">
        <v>3298</v>
      </c>
      <c r="M43" s="66">
        <v>3312</v>
      </c>
      <c r="N43" s="67">
        <f t="shared" si="1"/>
        <v>14</v>
      </c>
      <c r="O43" s="68"/>
    </row>
    <row r="44" spans="2:15" ht="15" x14ac:dyDescent="0.2">
      <c r="B44" s="61"/>
      <c r="C44" s="75"/>
      <c r="D44" s="76"/>
      <c r="E44" s="76"/>
      <c r="F44" s="76"/>
      <c r="G44" s="76"/>
      <c r="H44" s="78"/>
      <c r="J44" s="75"/>
      <c r="K44" s="76"/>
      <c r="L44" s="76"/>
      <c r="M44" s="76"/>
      <c r="N44" s="76"/>
      <c r="O44" s="78"/>
    </row>
    <row r="45" spans="2:15" ht="15" x14ac:dyDescent="0.2">
      <c r="B45" s="61"/>
      <c r="C45" s="188">
        <v>21</v>
      </c>
      <c r="D45" s="79" t="s">
        <v>83</v>
      </c>
      <c r="E45" s="66">
        <v>3468</v>
      </c>
      <c r="F45" s="66">
        <v>3511</v>
      </c>
      <c r="G45" s="67">
        <f t="shared" ref="G45:G50" si="2">F45-E45</f>
        <v>43</v>
      </c>
      <c r="H45" s="69" t="s">
        <v>12</v>
      </c>
      <c r="J45" s="188">
        <v>21</v>
      </c>
      <c r="K45" s="79" t="s">
        <v>83</v>
      </c>
      <c r="L45" s="66">
        <v>3511</v>
      </c>
      <c r="M45" s="66">
        <v>3585</v>
      </c>
      <c r="N45" s="67">
        <f t="shared" si="1"/>
        <v>74</v>
      </c>
      <c r="O45" s="69" t="s">
        <v>12</v>
      </c>
    </row>
    <row r="46" spans="2:15" ht="15" x14ac:dyDescent="0.2">
      <c r="B46" s="61"/>
      <c r="C46" s="193"/>
      <c r="D46" s="79" t="s">
        <v>82</v>
      </c>
      <c r="E46" s="66">
        <v>38755</v>
      </c>
      <c r="F46" s="66">
        <v>39537</v>
      </c>
      <c r="G46" s="67">
        <f t="shared" si="2"/>
        <v>782</v>
      </c>
      <c r="H46" s="68"/>
      <c r="J46" s="193"/>
      <c r="K46" s="79" t="s">
        <v>82</v>
      </c>
      <c r="L46" s="66">
        <v>39537</v>
      </c>
      <c r="M46" s="66">
        <v>41106</v>
      </c>
      <c r="N46" s="67">
        <f t="shared" si="1"/>
        <v>1569</v>
      </c>
      <c r="O46" s="68"/>
    </row>
    <row r="47" spans="2:15" ht="15" x14ac:dyDescent="0.2">
      <c r="B47" s="61"/>
      <c r="C47" s="188">
        <v>22</v>
      </c>
      <c r="D47" s="79" t="s">
        <v>83</v>
      </c>
      <c r="E47" s="80">
        <v>13941</v>
      </c>
      <c r="F47" s="80">
        <v>13941</v>
      </c>
      <c r="G47" s="67">
        <f t="shared" si="2"/>
        <v>0</v>
      </c>
      <c r="H47" s="68"/>
      <c r="I47" t="s">
        <v>12</v>
      </c>
      <c r="J47" s="188">
        <v>22</v>
      </c>
      <c r="K47" s="79" t="s">
        <v>83</v>
      </c>
      <c r="L47" s="80">
        <v>13941</v>
      </c>
      <c r="M47" s="80">
        <v>13642</v>
      </c>
      <c r="N47" s="67">
        <f t="shared" si="1"/>
        <v>-299</v>
      </c>
      <c r="O47" s="68"/>
    </row>
    <row r="48" spans="2:15" ht="15" x14ac:dyDescent="0.2">
      <c r="B48" s="61"/>
      <c r="C48" s="193"/>
      <c r="D48" s="79" t="s">
        <v>82</v>
      </c>
      <c r="E48" s="80">
        <v>19792</v>
      </c>
      <c r="F48" s="80">
        <v>19942</v>
      </c>
      <c r="G48" s="67">
        <f t="shared" si="2"/>
        <v>150</v>
      </c>
      <c r="H48" s="68"/>
      <c r="J48" s="193"/>
      <c r="K48" s="79" t="s">
        <v>82</v>
      </c>
      <c r="L48" s="80">
        <v>19942</v>
      </c>
      <c r="M48" s="80">
        <v>20213</v>
      </c>
      <c r="N48" s="67">
        <f t="shared" si="1"/>
        <v>271</v>
      </c>
      <c r="O48" s="68"/>
    </row>
    <row r="49" spans="1:15" ht="15" x14ac:dyDescent="0.2">
      <c r="B49" s="61"/>
      <c r="C49" s="188">
        <v>23</v>
      </c>
      <c r="D49" s="65" t="s">
        <v>83</v>
      </c>
      <c r="E49" s="80"/>
      <c r="F49" s="80"/>
      <c r="G49" s="67">
        <f t="shared" si="2"/>
        <v>0</v>
      </c>
      <c r="H49" s="68"/>
      <c r="J49" s="188">
        <v>23</v>
      </c>
      <c r="K49" s="65" t="s">
        <v>83</v>
      </c>
      <c r="L49" s="80"/>
      <c r="M49" s="80"/>
      <c r="N49" s="67">
        <f t="shared" si="1"/>
        <v>0</v>
      </c>
      <c r="O49" s="68"/>
    </row>
    <row r="50" spans="1:15" ht="15" x14ac:dyDescent="0.2">
      <c r="B50" s="61"/>
      <c r="C50" s="193"/>
      <c r="D50" s="65" t="s">
        <v>82</v>
      </c>
      <c r="E50" s="80"/>
      <c r="F50" s="80"/>
      <c r="G50" s="67">
        <f t="shared" si="2"/>
        <v>0</v>
      </c>
      <c r="H50" s="68"/>
      <c r="J50" s="193"/>
      <c r="K50" s="65" t="s">
        <v>82</v>
      </c>
      <c r="L50" s="80"/>
      <c r="M50" s="80"/>
      <c r="N50" s="67">
        <f t="shared" si="1"/>
        <v>0</v>
      </c>
      <c r="O50" s="68"/>
    </row>
    <row r="51" spans="1:15" ht="15" x14ac:dyDescent="0.2">
      <c r="B51" s="61"/>
      <c r="C51" s="81"/>
      <c r="D51" s="76"/>
      <c r="E51" s="77"/>
      <c r="F51" s="77"/>
      <c r="G51" s="77"/>
      <c r="H51" s="78"/>
      <c r="J51" s="81"/>
      <c r="K51" s="76"/>
      <c r="L51" s="77"/>
      <c r="M51" s="77"/>
      <c r="N51" s="77"/>
      <c r="O51" s="78"/>
    </row>
    <row r="52" spans="1:15" ht="15" x14ac:dyDescent="0.2">
      <c r="B52" s="61"/>
      <c r="C52" s="194">
        <v>24</v>
      </c>
      <c r="D52" s="65" t="s">
        <v>84</v>
      </c>
      <c r="E52" s="148">
        <v>242334</v>
      </c>
      <c r="F52" s="148">
        <v>243404</v>
      </c>
      <c r="G52" s="67">
        <f t="shared" ref="G52:G60" si="3">F52-E52</f>
        <v>1070</v>
      </c>
      <c r="H52" s="82"/>
      <c r="J52" s="194">
        <v>24</v>
      </c>
      <c r="K52" s="65" t="s">
        <v>84</v>
      </c>
      <c r="L52" s="148">
        <v>243404</v>
      </c>
      <c r="M52" s="148">
        <v>245344</v>
      </c>
      <c r="N52" s="67">
        <f t="shared" si="1"/>
        <v>1940</v>
      </c>
      <c r="O52" s="82"/>
    </row>
    <row r="53" spans="1:15" ht="15" x14ac:dyDescent="0.2">
      <c r="B53" s="61"/>
      <c r="C53" s="195"/>
      <c r="D53" s="65" t="s">
        <v>85</v>
      </c>
      <c r="E53" s="148">
        <v>536218</v>
      </c>
      <c r="F53" s="148">
        <v>536689</v>
      </c>
      <c r="G53" s="67">
        <f t="shared" si="3"/>
        <v>471</v>
      </c>
      <c r="H53" s="74"/>
      <c r="J53" s="195"/>
      <c r="K53" s="65" t="s">
        <v>85</v>
      </c>
      <c r="L53" s="148">
        <v>536689</v>
      </c>
      <c r="M53" s="148">
        <v>237646</v>
      </c>
      <c r="N53" s="67">
        <f t="shared" si="1"/>
        <v>-299043</v>
      </c>
      <c r="O53" s="74"/>
    </row>
    <row r="54" spans="1:15" ht="15" x14ac:dyDescent="0.2">
      <c r="B54" s="61"/>
      <c r="C54" s="196"/>
      <c r="D54" s="65" t="s">
        <v>84</v>
      </c>
      <c r="E54" s="148">
        <v>34567</v>
      </c>
      <c r="F54" s="148">
        <v>34567</v>
      </c>
      <c r="G54" s="67">
        <f t="shared" si="3"/>
        <v>0</v>
      </c>
      <c r="H54" s="83" t="s">
        <v>12</v>
      </c>
      <c r="J54" s="196"/>
      <c r="K54" s="65" t="s">
        <v>84</v>
      </c>
      <c r="L54" s="148">
        <v>34567</v>
      </c>
      <c r="M54" s="148">
        <v>34557</v>
      </c>
      <c r="N54" s="67">
        <f t="shared" si="1"/>
        <v>-10</v>
      </c>
      <c r="O54" s="83" t="s">
        <v>12</v>
      </c>
    </row>
    <row r="55" spans="1:15" ht="15" x14ac:dyDescent="0.2">
      <c r="B55" s="61"/>
      <c r="C55" s="188">
        <v>25</v>
      </c>
      <c r="D55" s="65" t="s">
        <v>84</v>
      </c>
      <c r="E55" s="80">
        <v>330</v>
      </c>
      <c r="F55" s="80">
        <v>330</v>
      </c>
      <c r="G55" s="67">
        <f t="shared" si="3"/>
        <v>0</v>
      </c>
      <c r="H55" s="68"/>
      <c r="J55" s="188">
        <v>25</v>
      </c>
      <c r="K55" s="65" t="s">
        <v>84</v>
      </c>
      <c r="L55" s="80">
        <v>330</v>
      </c>
      <c r="M55" s="80">
        <v>330</v>
      </c>
      <c r="N55" s="67">
        <f t="shared" si="1"/>
        <v>0</v>
      </c>
      <c r="O55" s="68"/>
    </row>
    <row r="56" spans="1:15" ht="15" x14ac:dyDescent="0.2">
      <c r="B56" s="61"/>
      <c r="C56" s="189"/>
      <c r="D56" s="65" t="s">
        <v>85</v>
      </c>
      <c r="E56" s="80">
        <v>3</v>
      </c>
      <c r="F56" s="80">
        <v>3</v>
      </c>
      <c r="G56" s="67">
        <f t="shared" si="3"/>
        <v>0</v>
      </c>
      <c r="H56" s="68"/>
      <c r="J56" s="189"/>
      <c r="K56" s="65" t="s">
        <v>85</v>
      </c>
      <c r="L56" s="80">
        <v>3</v>
      </c>
      <c r="M56" s="80">
        <v>3</v>
      </c>
      <c r="N56" s="67">
        <f t="shared" si="1"/>
        <v>0</v>
      </c>
      <c r="O56" s="68"/>
    </row>
    <row r="57" spans="1:15" ht="15" x14ac:dyDescent="0.2">
      <c r="B57" s="61"/>
      <c r="C57" s="188">
        <v>26</v>
      </c>
      <c r="D57" s="65" t="s">
        <v>84</v>
      </c>
      <c r="E57" s="66">
        <v>706781</v>
      </c>
      <c r="F57" s="66">
        <v>709819</v>
      </c>
      <c r="G57" s="67">
        <f t="shared" si="3"/>
        <v>3038</v>
      </c>
      <c r="H57" s="68"/>
      <c r="J57" s="188">
        <v>26</v>
      </c>
      <c r="K57" s="65" t="s">
        <v>84</v>
      </c>
      <c r="L57" s="66">
        <v>709819</v>
      </c>
      <c r="M57" s="66">
        <v>716183</v>
      </c>
      <c r="N57" s="67">
        <f t="shared" si="1"/>
        <v>6364</v>
      </c>
      <c r="O57" s="68"/>
    </row>
    <row r="58" spans="1:15" ht="15" x14ac:dyDescent="0.2">
      <c r="A58" s="71"/>
      <c r="B58" s="61"/>
      <c r="C58" s="189"/>
      <c r="D58" s="65" t="s">
        <v>85</v>
      </c>
      <c r="E58" s="66">
        <v>775701</v>
      </c>
      <c r="F58" s="66">
        <v>779269</v>
      </c>
      <c r="G58" s="67">
        <f t="shared" si="3"/>
        <v>3568</v>
      </c>
      <c r="H58" s="74"/>
      <c r="I58" s="71"/>
      <c r="J58" s="189"/>
      <c r="K58" s="65" t="s">
        <v>85</v>
      </c>
      <c r="L58" s="66">
        <v>779269</v>
      </c>
      <c r="M58" s="66">
        <v>786793</v>
      </c>
      <c r="N58" s="67">
        <f t="shared" si="1"/>
        <v>7524</v>
      </c>
      <c r="O58" s="74"/>
    </row>
    <row r="59" spans="1:15" ht="15" x14ac:dyDescent="0.2">
      <c r="A59" s="71"/>
      <c r="B59" s="61"/>
      <c r="C59" s="188">
        <v>27</v>
      </c>
      <c r="D59" s="65" t="s">
        <v>84</v>
      </c>
      <c r="E59" s="66">
        <v>239540</v>
      </c>
      <c r="F59" s="66">
        <v>240561</v>
      </c>
      <c r="G59" s="67">
        <f t="shared" si="3"/>
        <v>1021</v>
      </c>
      <c r="H59" s="68"/>
      <c r="I59" s="71"/>
      <c r="J59" s="188">
        <v>27</v>
      </c>
      <c r="K59" s="65" t="s">
        <v>84</v>
      </c>
      <c r="L59" s="66">
        <v>240561</v>
      </c>
      <c r="M59" s="66">
        <v>242888</v>
      </c>
      <c r="N59" s="67">
        <f t="shared" si="1"/>
        <v>2327</v>
      </c>
      <c r="O59" s="68"/>
    </row>
    <row r="60" spans="1:15" ht="15" x14ac:dyDescent="0.2">
      <c r="A60" s="71"/>
      <c r="B60" s="61"/>
      <c r="C60" s="189"/>
      <c r="D60" s="65" t="s">
        <v>85</v>
      </c>
      <c r="E60" s="66">
        <v>99246</v>
      </c>
      <c r="F60" s="66">
        <v>100967</v>
      </c>
      <c r="G60" s="67">
        <f t="shared" si="3"/>
        <v>1721</v>
      </c>
      <c r="H60" s="68"/>
      <c r="I60" s="71"/>
      <c r="J60" s="189"/>
      <c r="K60" s="65" t="s">
        <v>85</v>
      </c>
      <c r="L60" s="66">
        <v>100967</v>
      </c>
      <c r="M60" s="66">
        <v>102293</v>
      </c>
      <c r="N60" s="67">
        <f t="shared" si="1"/>
        <v>1326</v>
      </c>
      <c r="O60" s="68"/>
    </row>
    <row r="61" spans="1:15" ht="15" x14ac:dyDescent="0.2">
      <c r="A61" s="71"/>
      <c r="B61" s="61"/>
      <c r="C61" s="75"/>
      <c r="D61" s="76"/>
      <c r="E61" s="66"/>
      <c r="F61" s="66"/>
      <c r="G61" s="84"/>
      <c r="H61" s="78"/>
      <c r="I61" s="71"/>
      <c r="J61" s="75"/>
      <c r="K61" s="76"/>
      <c r="L61" s="66"/>
      <c r="M61" s="66"/>
      <c r="N61" s="84"/>
      <c r="O61" s="78"/>
    </row>
    <row r="62" spans="1:15" ht="15" x14ac:dyDescent="0.2">
      <c r="A62" s="71"/>
      <c r="B62" s="61"/>
      <c r="C62" s="188">
        <v>28</v>
      </c>
      <c r="D62" s="183" t="s">
        <v>86</v>
      </c>
      <c r="E62" s="66"/>
      <c r="F62" s="66"/>
      <c r="G62" s="67"/>
      <c r="H62" s="185" t="s">
        <v>87</v>
      </c>
      <c r="I62" s="71"/>
      <c r="J62" s="188">
        <v>28</v>
      </c>
      <c r="K62" s="183" t="s">
        <v>86</v>
      </c>
      <c r="L62" s="66"/>
      <c r="M62" s="66"/>
      <c r="N62" s="67"/>
      <c r="O62" s="185" t="s">
        <v>87</v>
      </c>
    </row>
    <row r="63" spans="1:15" ht="15" x14ac:dyDescent="0.2">
      <c r="A63" s="71"/>
      <c r="B63" s="61"/>
      <c r="C63" s="189"/>
      <c r="D63" s="184"/>
      <c r="E63" s="66"/>
      <c r="F63" s="66"/>
      <c r="G63" s="67"/>
      <c r="H63" s="186"/>
      <c r="I63" s="71"/>
      <c r="J63" s="189"/>
      <c r="K63" s="184"/>
      <c r="L63" s="66"/>
      <c r="M63" s="66"/>
      <c r="N63" s="67"/>
      <c r="O63" s="186"/>
    </row>
    <row r="64" spans="1:15" x14ac:dyDescent="0.2">
      <c r="A64" s="71"/>
      <c r="B64" s="61"/>
      <c r="C64" s="187" t="s">
        <v>88</v>
      </c>
      <c r="D64" s="187"/>
      <c r="E64" s="187"/>
      <c r="F64" s="187"/>
      <c r="G64" s="85">
        <f>SUM(G2:G63)</f>
        <v>28925</v>
      </c>
      <c r="H64" s="86"/>
      <c r="I64" s="71"/>
      <c r="J64" s="187" t="s">
        <v>88</v>
      </c>
      <c r="K64" s="187"/>
      <c r="L64" s="187"/>
      <c r="M64" s="187"/>
      <c r="N64" s="85">
        <f>SUM(N2:N63)</f>
        <v>-202363</v>
      </c>
      <c r="O64" s="86"/>
    </row>
    <row r="68" spans="1:15" ht="13.5" thickBot="1" x14ac:dyDescent="0.25">
      <c r="A68" s="87"/>
      <c r="B68" s="87"/>
      <c r="C68" s="87"/>
      <c r="D68" s="88" t="s">
        <v>12</v>
      </c>
      <c r="E68" s="87"/>
      <c r="F68" s="87"/>
      <c r="G68" s="87"/>
      <c r="H68" s="87"/>
    </row>
    <row r="69" spans="1:15" ht="13.5" thickBot="1" x14ac:dyDescent="0.25">
      <c r="A69" s="89"/>
      <c r="B69" s="190">
        <v>44409</v>
      </c>
      <c r="C69" s="191"/>
      <c r="D69" s="191"/>
      <c r="E69" s="192"/>
      <c r="F69" s="89"/>
      <c r="G69" s="190">
        <v>44470</v>
      </c>
      <c r="H69" s="191"/>
      <c r="I69" s="191"/>
      <c r="J69" s="192"/>
      <c r="K69" s="89"/>
      <c r="L69" s="180" t="s">
        <v>25</v>
      </c>
      <c r="M69" s="181"/>
      <c r="N69" s="181"/>
      <c r="O69" s="182"/>
    </row>
    <row r="70" spans="1:15" ht="13.5" thickBot="1" x14ac:dyDescent="0.25">
      <c r="A70" s="87"/>
      <c r="B70" s="149" t="s">
        <v>139</v>
      </c>
      <c r="C70" s="149">
        <v>30</v>
      </c>
      <c r="D70" s="149" t="s">
        <v>89</v>
      </c>
      <c r="E70" s="149" t="s">
        <v>90</v>
      </c>
      <c r="F70" s="87"/>
      <c r="G70" s="149" t="s">
        <v>139</v>
      </c>
      <c r="H70" s="149">
        <v>30</v>
      </c>
      <c r="I70" s="149" t="s">
        <v>89</v>
      </c>
      <c r="J70" s="149" t="s">
        <v>90</v>
      </c>
      <c r="K70" s="87"/>
      <c r="L70" s="90" t="s">
        <v>77</v>
      </c>
      <c r="M70" s="90">
        <v>30</v>
      </c>
      <c r="N70" s="90" t="s">
        <v>89</v>
      </c>
      <c r="O70" s="90" t="s">
        <v>90</v>
      </c>
    </row>
    <row r="71" spans="1:15" ht="15.75" thickBot="1" x14ac:dyDescent="0.25">
      <c r="A71" s="87"/>
      <c r="B71" s="91">
        <v>6</v>
      </c>
      <c r="C71" s="92">
        <v>92813</v>
      </c>
      <c r="D71" s="93">
        <v>56584</v>
      </c>
      <c r="E71" s="94">
        <v>78901</v>
      </c>
      <c r="F71" s="87"/>
      <c r="G71" s="91">
        <v>6</v>
      </c>
      <c r="H71" s="92">
        <v>92813</v>
      </c>
      <c r="I71" s="93">
        <v>56584</v>
      </c>
      <c r="J71" s="94">
        <v>78901</v>
      </c>
      <c r="K71" s="87"/>
      <c r="L71" s="90">
        <v>6</v>
      </c>
      <c r="M71" s="95">
        <f>H71-C71</f>
        <v>0</v>
      </c>
      <c r="N71" s="95">
        <f>I71-D71</f>
        <v>0</v>
      </c>
      <c r="O71" s="95">
        <f>J71-E71</f>
        <v>0</v>
      </c>
    </row>
    <row r="72" spans="1:15" ht="15.75" thickBot="1" x14ac:dyDescent="0.25">
      <c r="A72" s="87"/>
      <c r="B72" s="91">
        <v>7</v>
      </c>
      <c r="C72" s="92">
        <v>97400</v>
      </c>
      <c r="D72" s="93">
        <v>104249</v>
      </c>
      <c r="E72" s="94">
        <v>64322</v>
      </c>
      <c r="F72" s="87"/>
      <c r="G72" s="91">
        <v>7</v>
      </c>
      <c r="H72" s="92">
        <v>97400</v>
      </c>
      <c r="I72" s="93">
        <v>104249</v>
      </c>
      <c r="J72" s="94">
        <v>64322</v>
      </c>
      <c r="K72" s="87"/>
      <c r="L72" s="90">
        <v>7</v>
      </c>
      <c r="M72" s="95">
        <f t="shared" ref="M72:O94" si="4">H72-C72</f>
        <v>0</v>
      </c>
      <c r="N72" s="95">
        <f t="shared" si="4"/>
        <v>0</v>
      </c>
      <c r="O72" s="95">
        <f t="shared" si="4"/>
        <v>0</v>
      </c>
    </row>
    <row r="73" spans="1:15" ht="15.75" thickBot="1" x14ac:dyDescent="0.25">
      <c r="A73" s="87"/>
      <c r="B73" s="91">
        <v>8</v>
      </c>
      <c r="C73" s="92">
        <v>113302</v>
      </c>
      <c r="D73" s="93">
        <v>251904</v>
      </c>
      <c r="E73" s="94">
        <v>109334</v>
      </c>
      <c r="F73" s="87"/>
      <c r="G73" s="91">
        <v>8</v>
      </c>
      <c r="H73" s="92">
        <v>113302</v>
      </c>
      <c r="I73" s="93">
        <v>251904</v>
      </c>
      <c r="J73" s="94">
        <v>109334</v>
      </c>
      <c r="K73" s="87"/>
      <c r="L73" s="90">
        <v>8</v>
      </c>
      <c r="M73" s="95">
        <f t="shared" si="4"/>
        <v>0</v>
      </c>
      <c r="N73" s="95">
        <f t="shared" si="4"/>
        <v>0</v>
      </c>
      <c r="O73" s="95">
        <f t="shared" si="4"/>
        <v>0</v>
      </c>
    </row>
    <row r="74" spans="1:15" ht="15.75" thickBot="1" x14ac:dyDescent="0.25">
      <c r="A74" s="87"/>
      <c r="B74" s="91">
        <v>9</v>
      </c>
      <c r="C74" s="92">
        <v>68757</v>
      </c>
      <c r="D74" s="93">
        <v>152765</v>
      </c>
      <c r="E74" s="94">
        <v>155974</v>
      </c>
      <c r="F74" s="87"/>
      <c r="G74" s="91">
        <v>9</v>
      </c>
      <c r="H74" s="92">
        <v>68757</v>
      </c>
      <c r="I74" s="93">
        <v>152765</v>
      </c>
      <c r="J74" s="94">
        <v>155974</v>
      </c>
      <c r="K74" s="87"/>
      <c r="L74" s="90">
        <v>9</v>
      </c>
      <c r="M74" s="95">
        <f t="shared" si="4"/>
        <v>0</v>
      </c>
      <c r="N74" s="95">
        <f t="shared" si="4"/>
        <v>0</v>
      </c>
      <c r="O74" s="95">
        <f t="shared" si="4"/>
        <v>0</v>
      </c>
    </row>
    <row r="75" spans="1:15" ht="15.75" thickBot="1" x14ac:dyDescent="0.25">
      <c r="A75" s="87"/>
      <c r="B75" s="91">
        <v>10</v>
      </c>
      <c r="C75" s="92">
        <v>72174</v>
      </c>
      <c r="D75" s="93">
        <v>113714</v>
      </c>
      <c r="E75" s="94">
        <v>147690</v>
      </c>
      <c r="F75" s="87"/>
      <c r="G75" s="91">
        <v>10</v>
      </c>
      <c r="H75" s="92">
        <v>72174</v>
      </c>
      <c r="I75" s="93">
        <v>113714</v>
      </c>
      <c r="J75" s="94">
        <v>147690</v>
      </c>
      <c r="K75" s="87"/>
      <c r="L75" s="90">
        <v>10</v>
      </c>
      <c r="M75" s="95">
        <f t="shared" si="4"/>
        <v>0</v>
      </c>
      <c r="N75" s="95">
        <f t="shared" si="4"/>
        <v>0</v>
      </c>
      <c r="O75" s="95">
        <f t="shared" si="4"/>
        <v>0</v>
      </c>
    </row>
    <row r="76" spans="1:15" ht="15.75" thickBot="1" x14ac:dyDescent="0.25">
      <c r="A76" s="87"/>
      <c r="B76" s="91">
        <v>11</v>
      </c>
      <c r="C76" s="92">
        <v>154783</v>
      </c>
      <c r="D76" s="93">
        <v>184017</v>
      </c>
      <c r="E76" s="94">
        <v>212196</v>
      </c>
      <c r="F76" s="87"/>
      <c r="G76" s="91">
        <v>11</v>
      </c>
      <c r="H76" s="92">
        <v>154783</v>
      </c>
      <c r="I76" s="93">
        <v>184017</v>
      </c>
      <c r="J76" s="94">
        <v>212196</v>
      </c>
      <c r="K76" s="87"/>
      <c r="L76" s="90">
        <v>11</v>
      </c>
      <c r="M76" s="95">
        <f t="shared" si="4"/>
        <v>0</v>
      </c>
      <c r="N76" s="95">
        <f t="shared" si="4"/>
        <v>0</v>
      </c>
      <c r="O76" s="95">
        <f t="shared" si="4"/>
        <v>0</v>
      </c>
    </row>
    <row r="77" spans="1:15" ht="15.75" thickBot="1" x14ac:dyDescent="0.25">
      <c r="A77" s="87"/>
      <c r="B77" s="91">
        <v>12</v>
      </c>
      <c r="C77" s="92">
        <v>149996</v>
      </c>
      <c r="D77" s="93">
        <v>96553</v>
      </c>
      <c r="E77" s="94">
        <v>100449</v>
      </c>
      <c r="F77" s="87"/>
      <c r="G77" s="91">
        <v>12</v>
      </c>
      <c r="H77" s="92">
        <v>149996</v>
      </c>
      <c r="I77" s="93">
        <v>96553</v>
      </c>
      <c r="J77" s="94">
        <v>100449</v>
      </c>
      <c r="K77" s="87"/>
      <c r="L77" s="90">
        <v>12</v>
      </c>
      <c r="M77" s="95">
        <f t="shared" si="4"/>
        <v>0</v>
      </c>
      <c r="N77" s="95">
        <f>I77-D77</f>
        <v>0</v>
      </c>
      <c r="O77" s="95">
        <f t="shared" si="4"/>
        <v>0</v>
      </c>
    </row>
    <row r="78" spans="1:15" ht="15.75" thickBot="1" x14ac:dyDescent="0.25">
      <c r="A78" s="87"/>
      <c r="B78" s="91">
        <v>14</v>
      </c>
      <c r="C78" s="92">
        <v>123669</v>
      </c>
      <c r="D78" s="93">
        <v>48259</v>
      </c>
      <c r="E78" s="94">
        <v>51167</v>
      </c>
      <c r="F78" s="87"/>
      <c r="G78" s="91">
        <v>14</v>
      </c>
      <c r="H78" s="92">
        <v>123669</v>
      </c>
      <c r="I78" s="93">
        <v>48259</v>
      </c>
      <c r="J78" s="94">
        <v>51167</v>
      </c>
      <c r="K78" s="87"/>
      <c r="L78" s="90">
        <v>14</v>
      </c>
      <c r="M78" s="95">
        <f t="shared" si="4"/>
        <v>0</v>
      </c>
      <c r="N78" s="95">
        <f t="shared" si="4"/>
        <v>0</v>
      </c>
      <c r="O78" s="95">
        <f t="shared" si="4"/>
        <v>0</v>
      </c>
    </row>
    <row r="79" spans="1:15" ht="15.75" thickBot="1" x14ac:dyDescent="0.25">
      <c r="A79" s="87"/>
      <c r="B79" s="91">
        <v>15</v>
      </c>
      <c r="C79" s="92">
        <v>169635</v>
      </c>
      <c r="D79" s="93">
        <v>148519</v>
      </c>
      <c r="E79" s="94">
        <v>158828</v>
      </c>
      <c r="F79" s="87"/>
      <c r="G79" s="91">
        <v>15</v>
      </c>
      <c r="H79" s="92">
        <v>169635</v>
      </c>
      <c r="I79" s="93">
        <v>148519</v>
      </c>
      <c r="J79" s="94">
        <v>158828</v>
      </c>
      <c r="K79" s="87"/>
      <c r="L79" s="90">
        <v>15</v>
      </c>
      <c r="M79" s="95">
        <f t="shared" si="4"/>
        <v>0</v>
      </c>
      <c r="N79" s="95">
        <f t="shared" si="4"/>
        <v>0</v>
      </c>
      <c r="O79" s="95">
        <f t="shared" si="4"/>
        <v>0</v>
      </c>
    </row>
    <row r="80" spans="1:15" ht="15.75" thickBot="1" x14ac:dyDescent="0.25">
      <c r="A80" s="87"/>
      <c r="B80" s="91">
        <v>16</v>
      </c>
      <c r="C80" s="92">
        <v>122562</v>
      </c>
      <c r="D80" s="93">
        <v>147878</v>
      </c>
      <c r="E80" s="94">
        <v>216460</v>
      </c>
      <c r="F80" s="87"/>
      <c r="G80" s="91">
        <v>16</v>
      </c>
      <c r="H80" s="92">
        <v>122562</v>
      </c>
      <c r="I80" s="93">
        <v>147878</v>
      </c>
      <c r="J80" s="94">
        <v>216460</v>
      </c>
      <c r="K80" s="87"/>
      <c r="L80" s="90">
        <v>16</v>
      </c>
      <c r="M80" s="95">
        <f t="shared" si="4"/>
        <v>0</v>
      </c>
      <c r="N80" s="95">
        <f t="shared" si="4"/>
        <v>0</v>
      </c>
      <c r="O80" s="95">
        <f t="shared" si="4"/>
        <v>0</v>
      </c>
    </row>
    <row r="81" spans="1:15" ht="15.75" thickBot="1" x14ac:dyDescent="0.25">
      <c r="A81" s="87"/>
      <c r="B81" s="91">
        <v>17</v>
      </c>
      <c r="C81" s="92">
        <v>38476</v>
      </c>
      <c r="D81" s="93">
        <v>86216</v>
      </c>
      <c r="E81" s="94">
        <v>202489</v>
      </c>
      <c r="F81" s="87"/>
      <c r="G81" s="91">
        <v>17</v>
      </c>
      <c r="H81" s="92">
        <v>38476</v>
      </c>
      <c r="I81" s="93">
        <v>86216</v>
      </c>
      <c r="J81" s="94">
        <v>202489</v>
      </c>
      <c r="K81" s="87"/>
      <c r="L81" s="90">
        <v>17</v>
      </c>
      <c r="M81" s="95">
        <f t="shared" si="4"/>
        <v>0</v>
      </c>
      <c r="N81" s="95">
        <f t="shared" si="4"/>
        <v>0</v>
      </c>
      <c r="O81" s="95">
        <f t="shared" si="4"/>
        <v>0</v>
      </c>
    </row>
    <row r="82" spans="1:15" ht="15.75" thickBot="1" x14ac:dyDescent="0.25">
      <c r="A82" s="87"/>
      <c r="B82" s="91">
        <v>18</v>
      </c>
      <c r="C82" s="92">
        <v>137474</v>
      </c>
      <c r="D82" s="93">
        <v>72899</v>
      </c>
      <c r="E82" s="94">
        <v>164019</v>
      </c>
      <c r="F82" s="87"/>
      <c r="G82" s="91">
        <v>18</v>
      </c>
      <c r="H82" s="92">
        <v>137474</v>
      </c>
      <c r="I82" s="93">
        <v>72899</v>
      </c>
      <c r="J82" s="94">
        <v>164019</v>
      </c>
      <c r="K82" s="87"/>
      <c r="L82" s="90">
        <v>18</v>
      </c>
      <c r="M82" s="95">
        <f t="shared" si="4"/>
        <v>0</v>
      </c>
      <c r="N82" s="95">
        <f t="shared" si="4"/>
        <v>0</v>
      </c>
      <c r="O82" s="95">
        <f t="shared" si="4"/>
        <v>0</v>
      </c>
    </row>
    <row r="83" spans="1:15" ht="15.75" thickBot="1" x14ac:dyDescent="0.25">
      <c r="A83" s="87"/>
      <c r="B83" s="91">
        <v>19</v>
      </c>
      <c r="C83" s="92">
        <v>76648</v>
      </c>
      <c r="D83" s="93">
        <v>171894</v>
      </c>
      <c r="E83" s="94">
        <v>123189</v>
      </c>
      <c r="F83" s="87"/>
      <c r="G83" s="91">
        <v>19</v>
      </c>
      <c r="H83" s="92">
        <v>76648</v>
      </c>
      <c r="I83" s="93">
        <v>171894</v>
      </c>
      <c r="J83" s="94">
        <v>123189</v>
      </c>
      <c r="K83" s="87"/>
      <c r="L83" s="90">
        <v>19</v>
      </c>
      <c r="M83" s="95">
        <f t="shared" si="4"/>
        <v>0</v>
      </c>
      <c r="N83" s="95">
        <f t="shared" si="4"/>
        <v>0</v>
      </c>
      <c r="O83" s="95">
        <f t="shared" si="4"/>
        <v>0</v>
      </c>
    </row>
    <row r="84" spans="1:15" ht="15.75" thickBot="1" x14ac:dyDescent="0.25">
      <c r="A84" s="87"/>
      <c r="B84" s="91">
        <v>20</v>
      </c>
      <c r="C84" s="92">
        <v>144145</v>
      </c>
      <c r="D84" s="93">
        <v>174846</v>
      </c>
      <c r="E84" s="94">
        <v>88296</v>
      </c>
      <c r="F84" s="87"/>
      <c r="G84" s="91">
        <v>20</v>
      </c>
      <c r="H84" s="92">
        <v>144145</v>
      </c>
      <c r="I84" s="93">
        <v>174846</v>
      </c>
      <c r="J84" s="94">
        <v>88296</v>
      </c>
      <c r="K84" s="87"/>
      <c r="L84" s="90">
        <v>20</v>
      </c>
      <c r="M84" s="95">
        <f>H84-C84</f>
        <v>0</v>
      </c>
      <c r="N84" s="95">
        <f t="shared" si="4"/>
        <v>0</v>
      </c>
      <c r="O84" s="95">
        <f t="shared" si="4"/>
        <v>0</v>
      </c>
    </row>
    <row r="85" spans="1:15" ht="15.75" thickBot="1" x14ac:dyDescent="0.25">
      <c r="A85" s="87"/>
      <c r="B85" s="91">
        <v>21</v>
      </c>
      <c r="C85" s="92">
        <v>192087</v>
      </c>
      <c r="D85" s="93">
        <v>89374</v>
      </c>
      <c r="E85" s="94">
        <v>113214</v>
      </c>
      <c r="F85" s="87"/>
      <c r="G85" s="91">
        <v>21</v>
      </c>
      <c r="H85" s="92">
        <v>192087</v>
      </c>
      <c r="I85" s="93">
        <v>89374</v>
      </c>
      <c r="J85" s="94">
        <v>113214</v>
      </c>
      <c r="K85" s="87"/>
      <c r="L85" s="90">
        <v>21</v>
      </c>
      <c r="M85" s="95">
        <f t="shared" si="4"/>
        <v>0</v>
      </c>
      <c r="N85" s="95">
        <f t="shared" si="4"/>
        <v>0</v>
      </c>
      <c r="O85" s="95">
        <f t="shared" si="4"/>
        <v>0</v>
      </c>
    </row>
    <row r="86" spans="1:15" ht="15.75" thickBot="1" x14ac:dyDescent="0.25">
      <c r="A86" s="87"/>
      <c r="B86" s="91">
        <v>22</v>
      </c>
      <c r="C86" s="92">
        <v>137553</v>
      </c>
      <c r="D86" s="93">
        <v>94869</v>
      </c>
      <c r="E86" s="94">
        <v>120503</v>
      </c>
      <c r="F86" s="87"/>
      <c r="G86" s="91">
        <v>22</v>
      </c>
      <c r="H86" s="92">
        <v>137553</v>
      </c>
      <c r="I86" s="93">
        <v>94869</v>
      </c>
      <c r="J86" s="94">
        <v>120503</v>
      </c>
      <c r="K86" s="87"/>
      <c r="L86" s="90">
        <v>22</v>
      </c>
      <c r="M86" s="95">
        <f t="shared" si="4"/>
        <v>0</v>
      </c>
      <c r="N86" s="95">
        <f t="shared" si="4"/>
        <v>0</v>
      </c>
      <c r="O86" s="95">
        <f t="shared" si="4"/>
        <v>0</v>
      </c>
    </row>
    <row r="87" spans="1:15" ht="15.75" thickBot="1" x14ac:dyDescent="0.25">
      <c r="A87" s="87"/>
      <c r="B87" s="91">
        <v>23</v>
      </c>
      <c r="C87" s="92">
        <v>127540</v>
      </c>
      <c r="D87" s="93">
        <v>154958</v>
      </c>
      <c r="E87" s="94">
        <v>290053</v>
      </c>
      <c r="F87" s="87"/>
      <c r="G87" s="91">
        <v>23</v>
      </c>
      <c r="H87" s="92">
        <v>127540</v>
      </c>
      <c r="I87" s="93">
        <v>154958</v>
      </c>
      <c r="J87" s="94">
        <v>290053</v>
      </c>
      <c r="K87" s="87"/>
      <c r="L87" s="90">
        <v>23</v>
      </c>
      <c r="M87" s="95">
        <f t="shared" si="4"/>
        <v>0</v>
      </c>
      <c r="N87" s="95">
        <f t="shared" si="4"/>
        <v>0</v>
      </c>
      <c r="O87" s="95">
        <f t="shared" si="4"/>
        <v>0</v>
      </c>
    </row>
    <row r="88" spans="1:15" ht="15.75" thickBot="1" x14ac:dyDescent="0.25">
      <c r="A88" s="87"/>
      <c r="B88" s="91">
        <v>24</v>
      </c>
      <c r="C88" s="92">
        <v>78785</v>
      </c>
      <c r="D88" s="93">
        <v>151027</v>
      </c>
      <c r="E88" s="94">
        <v>101545</v>
      </c>
      <c r="F88" s="87"/>
      <c r="G88" s="91">
        <v>24</v>
      </c>
      <c r="H88" s="92">
        <v>78785</v>
      </c>
      <c r="I88" s="93">
        <v>151027</v>
      </c>
      <c r="J88" s="94">
        <v>101545</v>
      </c>
      <c r="K88" s="87"/>
      <c r="L88" s="90">
        <v>24</v>
      </c>
      <c r="M88" s="95">
        <f t="shared" si="4"/>
        <v>0</v>
      </c>
      <c r="N88" s="95">
        <f t="shared" si="4"/>
        <v>0</v>
      </c>
      <c r="O88" s="95">
        <f>J88-E88</f>
        <v>0</v>
      </c>
    </row>
    <row r="89" spans="1:15" ht="15.75" thickBot="1" x14ac:dyDescent="0.25">
      <c r="A89" s="87"/>
      <c r="B89" s="91">
        <v>25</v>
      </c>
      <c r="C89" s="92">
        <v>120977</v>
      </c>
      <c r="D89" s="93">
        <v>179891</v>
      </c>
      <c r="E89" s="94">
        <v>162144</v>
      </c>
      <c r="F89" s="87"/>
      <c r="G89" s="91">
        <v>25</v>
      </c>
      <c r="H89" s="92">
        <v>120977</v>
      </c>
      <c r="I89" s="93">
        <v>179891</v>
      </c>
      <c r="J89" s="94">
        <v>162144</v>
      </c>
      <c r="K89" s="87"/>
      <c r="L89" s="90">
        <v>25</v>
      </c>
      <c r="M89" s="95">
        <f t="shared" si="4"/>
        <v>0</v>
      </c>
      <c r="N89" s="95">
        <f t="shared" si="4"/>
        <v>0</v>
      </c>
      <c r="O89" s="95">
        <f>J89-E89</f>
        <v>0</v>
      </c>
    </row>
    <row r="90" spans="1:15" ht="15.75" thickBot="1" x14ac:dyDescent="0.25">
      <c r="A90" s="87"/>
      <c r="B90" s="91">
        <v>26</v>
      </c>
      <c r="C90" s="92">
        <v>113853</v>
      </c>
      <c r="D90" s="93">
        <v>51611</v>
      </c>
      <c r="E90" s="94">
        <v>54175</v>
      </c>
      <c r="F90" s="87"/>
      <c r="G90" s="91">
        <v>26</v>
      </c>
      <c r="H90" s="92">
        <v>113853</v>
      </c>
      <c r="I90" s="93">
        <v>51611</v>
      </c>
      <c r="J90" s="94">
        <v>54175</v>
      </c>
      <c r="K90" s="87"/>
      <c r="L90" s="90">
        <v>26</v>
      </c>
      <c r="M90" s="95">
        <f t="shared" si="4"/>
        <v>0</v>
      </c>
      <c r="N90" s="95">
        <f t="shared" si="4"/>
        <v>0</v>
      </c>
      <c r="O90" s="95">
        <f t="shared" si="4"/>
        <v>0</v>
      </c>
    </row>
    <row r="91" spans="1:15" ht="15.75" thickBot="1" x14ac:dyDescent="0.25">
      <c r="A91" s="87"/>
      <c r="B91" s="91">
        <v>27</v>
      </c>
      <c r="C91" s="92">
        <v>102062</v>
      </c>
      <c r="D91" s="93">
        <v>108979</v>
      </c>
      <c r="E91" s="94">
        <v>120492</v>
      </c>
      <c r="F91" s="87"/>
      <c r="G91" s="91">
        <v>27</v>
      </c>
      <c r="H91" s="92">
        <v>102062</v>
      </c>
      <c r="I91" s="93">
        <v>108979</v>
      </c>
      <c r="J91" s="94">
        <v>120492</v>
      </c>
      <c r="K91" s="87"/>
      <c r="L91" s="90">
        <v>27</v>
      </c>
      <c r="M91" s="95">
        <f t="shared" si="4"/>
        <v>0</v>
      </c>
      <c r="N91" s="95">
        <f t="shared" si="4"/>
        <v>0</v>
      </c>
      <c r="O91" s="95">
        <f t="shared" si="4"/>
        <v>0</v>
      </c>
    </row>
    <row r="92" spans="1:15" ht="15.75" thickBot="1" x14ac:dyDescent="0.25">
      <c r="A92" s="87"/>
      <c r="B92" s="91">
        <v>28</v>
      </c>
      <c r="C92" s="92">
        <v>195314</v>
      </c>
      <c r="D92" s="93">
        <v>102314</v>
      </c>
      <c r="E92" s="94">
        <v>111385</v>
      </c>
      <c r="F92" s="87"/>
      <c r="G92" s="91">
        <v>28</v>
      </c>
      <c r="H92" s="92">
        <v>195314</v>
      </c>
      <c r="I92" s="93">
        <v>102314</v>
      </c>
      <c r="J92" s="94">
        <v>111385</v>
      </c>
      <c r="K92" s="87"/>
      <c r="L92" s="90">
        <v>28</v>
      </c>
      <c r="M92" s="95">
        <f t="shared" si="4"/>
        <v>0</v>
      </c>
      <c r="N92" s="95">
        <f t="shared" si="4"/>
        <v>0</v>
      </c>
      <c r="O92" s="95">
        <f t="shared" si="4"/>
        <v>0</v>
      </c>
    </row>
    <row r="93" spans="1:15" ht="15.75" thickBot="1" x14ac:dyDescent="0.25">
      <c r="A93" s="87"/>
      <c r="B93" s="91">
        <v>29</v>
      </c>
      <c r="C93" s="92"/>
      <c r="D93" s="93">
        <v>83853</v>
      </c>
      <c r="E93" s="94">
        <v>102313</v>
      </c>
      <c r="F93" s="87"/>
      <c r="G93" s="91">
        <v>29</v>
      </c>
      <c r="H93" s="92"/>
      <c r="I93" s="93">
        <v>83853</v>
      </c>
      <c r="J93" s="94">
        <v>102313</v>
      </c>
      <c r="K93" s="87"/>
      <c r="L93" s="90">
        <v>29</v>
      </c>
      <c r="M93" s="95">
        <f t="shared" si="4"/>
        <v>0</v>
      </c>
      <c r="N93" s="95">
        <f t="shared" si="4"/>
        <v>0</v>
      </c>
      <c r="O93" s="95"/>
    </row>
    <row r="94" spans="1:15" ht="15.75" thickBot="1" x14ac:dyDescent="0.25">
      <c r="A94" s="87"/>
      <c r="B94" s="91">
        <v>30</v>
      </c>
      <c r="C94" s="92"/>
      <c r="D94" s="93">
        <v>14818</v>
      </c>
      <c r="E94" s="94"/>
      <c r="F94" s="87"/>
      <c r="G94" s="91">
        <v>30</v>
      </c>
      <c r="H94" s="92"/>
      <c r="I94" s="93">
        <v>14818</v>
      </c>
      <c r="J94" s="94"/>
      <c r="K94" s="87"/>
      <c r="L94" s="90">
        <v>30</v>
      </c>
      <c r="M94" s="95">
        <f t="shared" si="4"/>
        <v>0</v>
      </c>
      <c r="N94" s="95">
        <f>I94-D94</f>
        <v>0</v>
      </c>
      <c r="O94" s="87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2021-04-30T22:39:54Z</cp:lastPrinted>
  <dcterms:created xsi:type="dcterms:W3CDTF">2017-07-31T14:40:49Z</dcterms:created>
  <dcterms:modified xsi:type="dcterms:W3CDTF">2022-01-12T02:31:56Z</dcterms:modified>
</cp:coreProperties>
</file>