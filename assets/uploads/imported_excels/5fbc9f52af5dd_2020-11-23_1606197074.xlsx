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L27" i="3"/>
  <c r="K27" i="3"/>
  <c r="I27" i="3"/>
  <c r="G27" i="3"/>
  <c r="E27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<sst xmlns="http://schemas.openxmlformats.org/spreadsheetml/2006/main" count="105" uniqueCount="38">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</sst>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Q24" sqref="Q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10014.600000000093</v>
      </c>
      <c r="F13" s="22">
        <v>0.11799999999999999</v>
      </c>
      <c r="G13" s="24">
        <f>(('11 - 2020'!E19-'11 - 2020'!E18)+('11 - 2020'!F19-'11 - 2020'!F18)+('11 - 2020'!G19-'11 - 2020'!G18))*1.81</f>
        <v>79.8933999999973</v>
      </c>
      <c r="H13" s="22">
        <v>0.99</v>
      </c>
      <c r="I13" s="24">
        <f>'11 - 2020'!J19-'11 - 2020'!J18</f>
        <v>22980</v>
      </c>
      <c r="J13" s="22">
        <v>8.1000000000000003E-2</v>
      </c>
      <c r="K13" s="56">
        <f>'11 - 2020'!H19-'11 - 2020'!H18</f>
        <v>0</v>
      </c>
      <c r="L13" s="24">
        <f>'11 - 2020'!I19-'11 - 2020'!I18</f>
        <v>46</v>
      </c>
      <c r="M13" s="23">
        <v>4.393629424766913</v>
      </c>
      <c r="N13" s="24">
        <v>75</v>
      </c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9994.3000000000466</v>
      </c>
      <c r="F14" s="22">
        <v>0.11799999999999999</v>
      </c>
      <c r="G14" s="24">
        <f>(('11 - 2020'!E20-'11 - 2020'!E19)+('11 - 2020'!F20-'11 - 2020'!F19)+('11 - 2020'!G20-'11 - 2020'!G19))*1.81</f>
        <v>75.223599999999081</v>
      </c>
      <c r="H14" s="22">
        <v>0.99</v>
      </c>
      <c r="I14" s="24">
        <f>'11 - 2020'!J20-'11 - 2020'!J19</f>
        <v>24232</v>
      </c>
      <c r="J14" s="22">
        <v>8.1000000000000003E-2</v>
      </c>
      <c r="K14" s="56">
        <f>'11 - 2020'!H20-'11 - 2020'!H19</f>
        <v>0</v>
      </c>
      <c r="L14" s="24">
        <f>'11 - 2020'!I20-'11 - 2020'!I19</f>
        <v>106</v>
      </c>
      <c r="M14" s="23">
        <v>4.393629424766913</v>
      </c>
      <c r="N14" s="24">
        <v>79</v>
      </c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9080</v>
      </c>
      <c r="F15" s="22">
        <v>0.11799999999999999</v>
      </c>
      <c r="G15" s="24">
        <f>(('11 - 2020'!E21-'11 - 2020'!E20)+('11 - 2020'!F21-'11 - 2020'!F20)+('11 - 2020'!G21-'11 - 2020'!G20))*1.81</f>
        <v>80.237300000002335</v>
      </c>
      <c r="H15" s="22">
        <v>0.99</v>
      </c>
      <c r="I15" s="24">
        <f>'11 - 2020'!J21-'11 - 2020'!J20</f>
        <v>22140</v>
      </c>
      <c r="J15" s="22">
        <v>8.1000000000000003E-2</v>
      </c>
      <c r="K15" s="56">
        <f>'11 - 2020'!H21-'11 - 2020'!H20</f>
        <v>0</v>
      </c>
      <c r="L15" s="24">
        <f>'11 - 2020'!I21-'11 - 2020'!I20</f>
        <v>60</v>
      </c>
      <c r="M15" s="23">
        <v>4.393629424766913</v>
      </c>
      <c r="N15" s="24">
        <v>70</v>
      </c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9579.3000000000466</v>
      </c>
      <c r="F16" s="22">
        <v>0.11799999999999999</v>
      </c>
      <c r="G16" s="24">
        <f>(('11 - 2020'!E22-'11 - 2020'!E21)+('11 - 2020'!F22-'11 - 2020'!F21)+('11 - 2020'!G22-'11 - 2020'!G21))*1.81</f>
        <v>61.431400000000103</v>
      </c>
      <c r="H16" s="22">
        <v>0.99</v>
      </c>
      <c r="I16" s="24">
        <f>'11 - 2020'!J22-'11 - 2020'!J21</f>
        <v>22164</v>
      </c>
      <c r="J16" s="22">
        <v>8.1000000000000003E-2</v>
      </c>
      <c r="K16" s="56">
        <f>'11 - 2020'!H22-'11 - 2020'!H21</f>
        <v>0</v>
      </c>
      <c r="L16" s="24">
        <f>'11 - 2020'!I22-'11 - 2020'!I21</f>
        <v>130</v>
      </c>
      <c r="M16" s="23">
        <v>4.393629424766913</v>
      </c>
      <c r="N16" s="24">
        <v>68</v>
      </c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'11 - 2020'!B23-'11 - 2020'!B22+'11 - 2020'!C23-'11 - 2020'!C22</f>
        <v>8609.3999999999069</v>
      </c>
      <c r="F17" s="22">
        <v>0.11799999999999999</v>
      </c>
      <c r="G17" s="24">
        <f>(('11 - 2020'!E23-'11 - 2020'!E22)+('11 - 2020'!F23-'11 - 2020'!F22)+('11 - 2020'!G23-'11 - 2020'!G22))*1.81</f>
        <v>63.567199999997335</v>
      </c>
      <c r="H17" s="22">
        <v>0.99</v>
      </c>
      <c r="I17" s="24">
        <f>'11 - 2020'!J23-'11 - 2020'!J22</f>
        <v>18297</v>
      </c>
      <c r="J17" s="22">
        <v>8.1000000000000003E-2</v>
      </c>
      <c r="K17" s="56">
        <f>'11 - 2020'!H23-'11 - 2020'!H22</f>
        <v>0</v>
      </c>
      <c r="L17" s="24">
        <f>'11 - 2020'!I23-'11 - 2020'!I22</f>
        <v>87</v>
      </c>
      <c r="M17" s="23">
        <v>4.393629424766913</v>
      </c>
      <c r="N17" s="24">
        <v>72</v>
      </c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10441.600000000093</v>
      </c>
      <c r="F18" s="22">
        <v>0.11799999999999999</v>
      </c>
      <c r="G18" s="24">
        <f>(('11 - 2020'!E24-'11 - 2020'!E23)+('11 - 2020'!F24-'11 - 2020'!F23)+('11 - 2020'!G24-'11 - 2020'!G23))*1.81</f>
        <v>78.49970000000063</v>
      </c>
      <c r="H18" s="22">
        <v>0.99</v>
      </c>
      <c r="I18" s="24">
        <f>'11 - 2020'!J24-'11 - 2020'!J23</f>
        <v>20518</v>
      </c>
      <c r="J18" s="22">
        <v>8.1000000000000003E-2</v>
      </c>
      <c r="K18" s="56">
        <f>'11 - 2020'!H24-'11 - 2020'!H23</f>
        <v>0</v>
      </c>
      <c r="L18" s="24">
        <f>'11 - 2020'!I24-'11 - 2020'!I23</f>
        <v>69</v>
      </c>
      <c r="M18" s="23">
        <v>4.393629424766913</v>
      </c>
      <c r="N18" s="24">
        <v>70</v>
      </c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8837.8000000000466</v>
      </c>
      <c r="F19" s="22">
        <v>0.11799999999999999</v>
      </c>
      <c r="G19" s="24">
        <f>(('11 - 2020'!E25-'11 - 2020'!E24)+('11 - 2020'!F25-'11 - 2020'!F24)+('11 - 2020'!G25-'11 - 2020'!G24))*1.81</f>
        <v>61.485699999996349</v>
      </c>
      <c r="H19" s="22">
        <v>0.99</v>
      </c>
      <c r="I19" s="24">
        <f>'11 - 2020'!J25-'11 - 2020'!J24</f>
        <v>18829</v>
      </c>
      <c r="J19" s="22">
        <v>8.1000000000000003E-2</v>
      </c>
      <c r="K19" s="56">
        <f>'11 - 2020'!H25-'11 - 2020'!H24</f>
        <v>0</v>
      </c>
      <c r="L19" s="24">
        <f>'11 - 2020'!I25-'11 - 2020'!I24</f>
        <v>57</v>
      </c>
      <c r="M19" s="23">
        <v>4.393629424766913</v>
      </c>
      <c r="N19" s="49">
        <v>74</v>
      </c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9027.8000000000466</v>
      </c>
      <c r="F20" s="22">
        <v>0.11799999999999999</v>
      </c>
      <c r="G20" s="24">
        <f>(('11 - 2020'!E26-'11 - 2020'!E25)+('11 - 2020'!F26-'11 - 2020'!F25)+('11 - 2020'!G26-'11 - 2020'!G25))*1.81</f>
        <v>80.074400000005369</v>
      </c>
      <c r="H20" s="22">
        <v>0.99</v>
      </c>
      <c r="I20" s="24">
        <f>'11 - 2020'!J26-'11 - 2020'!J25</f>
        <v>21796</v>
      </c>
      <c r="J20" s="22">
        <v>8.1000000000000003E-2</v>
      </c>
      <c r="K20" s="56">
        <f>'11 - 2020'!H26-'11 - 2020'!H25</f>
        <v>0</v>
      </c>
      <c r="L20" s="24">
        <f>'11 - 2020'!I26-'11 - 2020'!I25</f>
        <v>87</v>
      </c>
      <c r="M20" s="23">
        <v>4.393629424766913</v>
      </c>
      <c r="N20" s="49">
        <v>74</v>
      </c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9775.6000000000931</v>
      </c>
      <c r="F21" s="22">
        <v>0.11799999999999999</v>
      </c>
      <c r="G21" s="24">
        <f>(('11 - 2020'!E27-'11 - 2020'!E26)+('11 - 2020'!F27-'11 - 2020'!F26)+('11 - 2020'!G27-'11 - 2020'!G26))*1.81</f>
        <v>77.413699999998329</v>
      </c>
      <c r="H21" s="22">
        <v>0.99</v>
      </c>
      <c r="I21" s="24">
        <f>'11 - 2020'!J27-'11 - 2020'!J26</f>
        <v>20008</v>
      </c>
      <c r="J21" s="22">
        <v>8.1000000000000003E-2</v>
      </c>
      <c r="K21" s="56">
        <f>'11 - 2020'!H27-'11 - 2020'!H26</f>
        <v>0</v>
      </c>
      <c r="L21" s="24">
        <f>'11 - 2020'!I27-'11 - 2020'!I26</f>
        <v>78</v>
      </c>
      <c r="M21" s="23">
        <v>4.393629424766913</v>
      </c>
      <c r="N21" s="49">
        <v>85</v>
      </c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12700.199999999953</v>
      </c>
      <c r="F22" s="22">
        <v>0.11799999999999999</v>
      </c>
      <c r="G22" s="24">
        <f>(('11 - 2020'!E28-'11 - 2020'!E27)+('11 - 2020'!F28-'11 - 2020'!F27)+('11 - 2020'!G28-'11 - 2020'!G27))*1.81</f>
        <v>87.658300000002171</v>
      </c>
      <c r="H22" s="22">
        <v>0.99</v>
      </c>
      <c r="I22" s="24">
        <f>'11 - 2020'!J28-'11 - 2020'!J27</f>
        <v>18824</v>
      </c>
      <c r="J22" s="22">
        <v>8.1000000000000003E-2</v>
      </c>
      <c r="K22" s="56">
        <f>'11 - 2020'!H28-'11 - 2020'!H27</f>
        <v>0</v>
      </c>
      <c r="L22" s="24">
        <f>'11 - 2020'!I28-'11 - 2020'!I27</f>
        <v>124</v>
      </c>
      <c r="M22" s="23">
        <v>4.393629424766913</v>
      </c>
      <c r="N22" s="49">
        <v>91</v>
      </c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7120.3999999999069</v>
      </c>
      <c r="F23" s="22">
        <v>0.11799999999999999</v>
      </c>
      <c r="G23" s="24">
        <f>(('11 - 2020'!E29-'11 - 2020'!E28)+('11 - 2020'!F29-'11 - 2020'!F28)+('11 - 2020'!G29-'11 - 2020'!G28))*1.81</f>
        <v>68.490399999995333</v>
      </c>
      <c r="H23" s="22">
        <v>0.99</v>
      </c>
      <c r="I23" s="24">
        <f>'11 - 2020'!J29-'11 - 2020'!J28</f>
        <v>19023</v>
      </c>
      <c r="J23" s="22">
        <v>8.1000000000000003E-2</v>
      </c>
      <c r="K23" s="56">
        <f>'11 - 2020'!H29-'11 - 2020'!H28</f>
        <v>0</v>
      </c>
      <c r="L23" s="24">
        <f>'11 - 2020'!I29-'11 - 2020'!I28</f>
        <v>102</v>
      </c>
      <c r="M23" s="23">
        <v>4.393629424766913</v>
      </c>
      <c r="N23" s="49">
        <v>73</v>
      </c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8803.6000000000931</v>
      </c>
      <c r="F24" s="22">
        <v>0.11799999999999999</v>
      </c>
      <c r="G24" s="24">
        <f>(('11 - 2020'!E30-'11 - 2020'!E29)+('11 - 2020'!F30-'11 - 2020'!F29)+('11 - 2020'!G30-'11 - 2020'!G29))*1.81</f>
        <v>66.517500000002471</v>
      </c>
      <c r="H24" s="22">
        <v>0.99</v>
      </c>
      <c r="I24" s="24">
        <f>'11 - 2020'!J30-'11 - 2020'!J29</f>
        <v>16442</v>
      </c>
      <c r="J24" s="22">
        <v>8.1000000000000003E-2</v>
      </c>
      <c r="K24" s="56">
        <f>'11 - 2020'!H30-'11 - 2020'!H29</f>
        <v>0</v>
      </c>
      <c r="L24" s="24">
        <f>'11 - 2020'!I30-'11 - 2020'!I29</f>
        <v>81</v>
      </c>
      <c r="M24" s="23">
        <v>4.393629424766913</v>
      </c>
      <c r="N24" s="49">
        <v>71</v>
      </c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10254.800000000047</v>
      </c>
      <c r="F25" s="22">
        <v>0.11799999999999999</v>
      </c>
      <c r="G25" s="24">
        <f>(('11 - 2020'!E31-'11 - 2020'!E30)+('11 - 2020'!F31-'11 - 2020'!F30)+('11 - 2020'!G31-'11 - 2020'!G30))*1.81</f>
        <v>73.866099999999904</v>
      </c>
      <c r="H25" s="22">
        <v>0.99</v>
      </c>
      <c r="I25" s="24">
        <f>'11 - 2020'!J31-'11 - 2020'!J30</f>
        <v>18414</v>
      </c>
      <c r="J25" s="22">
        <v>8.1000000000000003E-2</v>
      </c>
      <c r="K25" s="56">
        <f>'11 - 2020'!H31-'11 - 2020'!H30</f>
        <v>0</v>
      </c>
      <c r="L25" s="24">
        <f>'11 - 2020'!I31-'11 - 2020'!I30</f>
        <v>74</v>
      </c>
      <c r="M25" s="23">
        <v>4.393629424766913</v>
      </c>
      <c r="N25" s="49">
        <v>74</v>
      </c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v>0</v>
      </c>
      <c r="F26" s="22">
        <v>0.11799999999999999</v>
      </c>
      <c r="G26" s="24">
        <v>0</v>
      </c>
      <c r="H26" s="22">
        <v>0.99</v>
      </c>
      <c r="I26" s="24">
        <v>0</v>
      </c>
      <c r="J26" s="22">
        <v>8.1000000000000003E-2</v>
      </c>
      <c r="K26" s="56">
        <v>0</v>
      </c>
      <c r="L26" s="24"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0</v>
      </c>
      <c r="F27" s="22">
        <v>0.11799999999999999</v>
      </c>
      <c r="G27" s="24">
        <f>(('11 - 2020'!E33-'11 - 2020'!E32)+('11 - 2020'!F33-'11 - 2020'!F32)+('11 - 2020'!G33-'11 - 2020'!G32))*1.81</f>
        <v>0</v>
      </c>
      <c r="H27" s="22">
        <v>0.99</v>
      </c>
      <c r="I27" s="24">
        <f>'11 - 2020'!J33-'11 - 2020'!J32</f>
        <v>0</v>
      </c>
      <c r="J27" s="22">
        <v>8.1000000000000003E-2</v>
      </c>
      <c r="K27" s="56">
        <f>'11 - 2020'!H33-'11 - 2020'!H32</f>
        <v>0</v>
      </c>
      <c r="L27" s="24">
        <f>'11 - 2020'!I33-'11 - 2020'!I32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0</v>
      </c>
      <c r="F28" s="22">
        <v>0.11799999999999999</v>
      </c>
      <c r="G28" s="24">
        <f>(('11 - 2020'!E34-'11 - 2020'!E33)+('11 - 2020'!F34-'11 - 2020'!F33)+('11 - 2020'!G34-'11 - 2020'!G33))*1.81</f>
        <v>0</v>
      </c>
      <c r="H28" s="22">
        <v>0.99</v>
      </c>
      <c r="I28" s="24">
        <f>'11 - 2020'!J34-'11 - 2020'!J33</f>
        <v>0</v>
      </c>
      <c r="J28" s="22">
        <v>8.1000000000000003E-2</v>
      </c>
      <c r="K28" s="56">
        <f>'11 - 2020'!H34-'11 - 2020'!H33</f>
        <v>0</v>
      </c>
      <c r="L28" s="24">
        <f>'11 - 2020'!I34-'11 - 2020'!I33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24" sqref="M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3684.6000000000058</v>
      </c>
      <c r="F13" s="24">
        <f>'11 - 2020'!C19-'11 - 2020'!C18</f>
        <v>6330</v>
      </c>
      <c r="G13" s="22">
        <v>0.11799999999999999</v>
      </c>
      <c r="H13" s="24">
        <f>'11 - 2020'!E19-'11 - 2020'!E18</f>
        <v>8.2200000000011642</v>
      </c>
      <c r="I13" s="24">
        <f>'11 - 2020'!F19-'11 - 2020'!F18</f>
        <v>3.7899999999999636</v>
      </c>
      <c r="J13" s="24">
        <f>'11 - 2020'!G19-'11 - 2020'!G18</f>
        <v>32.129999999997381</v>
      </c>
      <c r="K13" s="22">
        <v>0.74</v>
      </c>
      <c r="L13" s="24">
        <v>75</v>
      </c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3620.2999999999956</v>
      </c>
      <c r="F14" s="24">
        <f>'11 - 2020'!C20-'11 - 2020'!C19</f>
        <v>6374</v>
      </c>
      <c r="G14" s="22">
        <v>0.11799999999999999</v>
      </c>
      <c r="H14" s="24">
        <f>'11 - 2020'!E20-'11 - 2020'!E19</f>
        <v>1.5999999999985448</v>
      </c>
      <c r="I14" s="24">
        <f>'11 - 2020'!F20-'11 - 2020'!F19</f>
        <v>4.5100000000002183</v>
      </c>
      <c r="J14" s="24">
        <f>'11 - 2020'!G20-'11 - 2020'!G19</f>
        <v>35.450000000000728</v>
      </c>
      <c r="K14" s="22">
        <v>0.74</v>
      </c>
      <c r="L14" s="24">
        <v>79</v>
      </c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3401</v>
      </c>
      <c r="F15" s="24">
        <f>'11 - 2020'!C21-'11 - 2020'!C20</f>
        <v>5679</v>
      </c>
      <c r="G15" s="22">
        <v>0.11799999999999999</v>
      </c>
      <c r="H15" s="24">
        <f>'11 - 2020'!E21-'11 - 2020'!E20</f>
        <v>6.4899999999997817</v>
      </c>
      <c r="I15" s="24">
        <f>'11 - 2020'!F21-'11 - 2020'!F20</f>
        <v>4.419999999999618</v>
      </c>
      <c r="J15" s="24">
        <f>'11 - 2020'!G21-'11 - 2020'!G20</f>
        <v>33.420000000001892</v>
      </c>
      <c r="K15" s="22">
        <v>0.74</v>
      </c>
      <c r="L15" s="24">
        <v>70</v>
      </c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3535.3000000000029</v>
      </c>
      <c r="F16" s="24">
        <f>'11 - 2020'!C22-'11 - 2020'!C21</f>
        <v>6044</v>
      </c>
      <c r="G16" s="22">
        <v>0.11799999999999999</v>
      </c>
      <c r="H16" s="24">
        <f>'11 - 2020'!E22-'11 - 2020'!E21</f>
        <v>2</v>
      </c>
      <c r="I16" s="24">
        <f>'11 - 2020'!F22-'11 - 2020'!F21</f>
        <v>4.0300000000002001</v>
      </c>
      <c r="J16" s="24">
        <f>'11 - 2020'!G22-'11 - 2020'!G21</f>
        <v>27.909999999999854</v>
      </c>
      <c r="K16" s="22">
        <v>0.74</v>
      </c>
      <c r="L16" s="24">
        <v>68</v>
      </c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f>'11 - 2020'!B23-'11 - 2020'!B22</f>
        <v>3105.4000000000015</v>
      </c>
      <c r="F17" s="24">
        <f>'11 - 2020'!C23-'11 - 2020'!C22</f>
        <v>5504</v>
      </c>
      <c r="G17" s="22">
        <v>0.11799999999999999</v>
      </c>
      <c r="H17" s="24">
        <f>'11 - 2020'!E23-'11 - 2020'!E22</f>
        <v>5.6200000000008004</v>
      </c>
      <c r="I17" s="24">
        <f>'11 - 2020'!F23-'11 - 2020'!F22</f>
        <v>2.5099999999997635</v>
      </c>
      <c r="J17" s="24">
        <f>'11 - 2020'!G23-'11 - 2020'!G22</f>
        <v>26.989999999997963</v>
      </c>
      <c r="K17" s="22">
        <v>0.74</v>
      </c>
      <c r="L17" s="24">
        <v>72</v>
      </c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3976.5999999999985</v>
      </c>
      <c r="F18" s="24">
        <f>'11 - 2020'!C24-'11 - 2020'!C23</f>
        <v>6465</v>
      </c>
      <c r="G18" s="22">
        <v>0.11799999999999999</v>
      </c>
      <c r="H18" s="24">
        <f>'11 - 2020'!E24-'11 - 2020'!E23</f>
        <v>4.3500000000003638</v>
      </c>
      <c r="I18" s="24">
        <f>'11 - 2020'!F24-'11 - 2020'!F23</f>
        <v>6.4500000000002728</v>
      </c>
      <c r="J18" s="24">
        <f>'11 - 2020'!G24-'11 - 2020'!G23</f>
        <v>32.569999999999709</v>
      </c>
      <c r="K18" s="22">
        <v>0.74</v>
      </c>
      <c r="L18" s="24">
        <v>70</v>
      </c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3270.7999999999956</v>
      </c>
      <c r="F19" s="24">
        <f>'11 - 2020'!C25-'11 - 2020'!C24</f>
        <v>5567</v>
      </c>
      <c r="G19" s="22">
        <v>0.11799999999999999</v>
      </c>
      <c r="H19" s="24">
        <f>'11 - 2020'!E25-'11 - 2020'!E24</f>
        <v>4.2799999999988358</v>
      </c>
      <c r="I19" s="24">
        <f>'11 - 2020'!F25-'11 - 2020'!F24</f>
        <v>4.2999999999997272</v>
      </c>
      <c r="J19" s="24">
        <f>'11 - 2020'!G25-'11 - 2020'!G24</f>
        <v>25.389999999999418</v>
      </c>
      <c r="K19" s="22">
        <v>0.74</v>
      </c>
      <c r="L19" s="24">
        <v>74</v>
      </c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3377.8000000000029</v>
      </c>
      <c r="F20" s="24">
        <f>'11 - 2020'!C26-'11 - 2020'!C25</f>
        <v>5650</v>
      </c>
      <c r="G20" s="22">
        <v>0.11799999999999999</v>
      </c>
      <c r="H20" s="24">
        <f>'11 - 2020'!E26-'11 - 2020'!E25</f>
        <v>7.6200000000008004</v>
      </c>
      <c r="I20" s="24">
        <f>'11 - 2020'!F26-'11 - 2020'!F25</f>
        <v>4.2900000000004184</v>
      </c>
      <c r="J20" s="24">
        <f>'11 - 2020'!G26-'11 - 2020'!G25</f>
        <v>32.330000000001746</v>
      </c>
      <c r="K20" s="22">
        <v>0.74</v>
      </c>
      <c r="L20" s="6">
        <v>74</v>
      </c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3679.6000000000058</v>
      </c>
      <c r="F21" s="24">
        <f>'11 - 2020'!C27-'11 - 2020'!C26</f>
        <v>6096</v>
      </c>
      <c r="G21" s="22">
        <v>0.11799999999999999</v>
      </c>
      <c r="H21" s="24">
        <f>'11 - 2020'!E27-'11 - 2020'!E26</f>
        <v>5.6900000000005093</v>
      </c>
      <c r="I21" s="24">
        <f>'11 - 2020'!F27-'11 - 2020'!F26</f>
        <v>4.7099999999995816</v>
      </c>
      <c r="J21" s="24">
        <f>'11 - 2020'!G27-'11 - 2020'!G26</f>
        <v>32.369999999998981</v>
      </c>
      <c r="K21" s="22">
        <v>0.74</v>
      </c>
      <c r="L21" s="6">
        <v>85</v>
      </c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2061.1999999999971</v>
      </c>
      <c r="F22" s="24">
        <f>'11 - 2020'!C28-'11 - 2020'!C27</f>
        <v>10639</v>
      </c>
      <c r="G22" s="22">
        <v>0.11799999999999999</v>
      </c>
      <c r="H22" s="24">
        <f>'11 - 2020'!E28-'11 - 2020'!E27</f>
        <v>7.0100000000002183</v>
      </c>
      <c r="I22" s="24">
        <f>'11 - 2020'!F28-'11 - 2020'!F27</f>
        <v>4.8800000000001091</v>
      </c>
      <c r="J22" s="24">
        <f>'11 - 2020'!G28-'11 - 2020'!G27</f>
        <v>36.540000000000873</v>
      </c>
      <c r="K22" s="22">
        <v>0.74</v>
      </c>
      <c r="L22" s="24">
        <v>91</v>
      </c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5342.3999999999942</v>
      </c>
      <c r="F23" s="24">
        <f>'11 - 2020'!C29-'11 - 2020'!C28</f>
        <v>1778</v>
      </c>
      <c r="G23" s="22">
        <v>0.11799999999999999</v>
      </c>
      <c r="H23" s="24">
        <f>'11 - 2020'!E29-'11 - 2020'!E28</f>
        <v>5.1099999999987631</v>
      </c>
      <c r="I23" s="24">
        <f>'11 - 2020'!F29-'11 - 2020'!F28</f>
        <v>3.9700000000002547</v>
      </c>
      <c r="J23" s="24">
        <f>'11 - 2020'!G29-'11 - 2020'!G28</f>
        <v>28.759999999998399</v>
      </c>
      <c r="K23" s="22">
        <v>0.74</v>
      </c>
      <c r="L23" s="24">
        <v>73</v>
      </c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3287.6000000000058</v>
      </c>
      <c r="F24" s="24">
        <f>'11 - 2020'!C30-'11 - 2020'!C29</f>
        <v>5516</v>
      </c>
      <c r="G24" s="22">
        <v>0.11799999999999999</v>
      </c>
      <c r="H24" s="24">
        <f>'11 - 2020'!E30-'11 - 2020'!E29</f>
        <v>4.5900000000001455</v>
      </c>
      <c r="I24" s="24">
        <f>'11 - 2020'!F30-'11 - 2020'!F29</f>
        <v>4.3499999999999091</v>
      </c>
      <c r="J24" s="24">
        <f>'11 - 2020'!G30-'11 - 2020'!G29</f>
        <v>27.81000000000131</v>
      </c>
      <c r="K24" s="22">
        <v>0.74</v>
      </c>
      <c r="L24" s="24">
        <v>71</v>
      </c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3943.8000000000029</v>
      </c>
      <c r="F25" s="24">
        <f>'11 - 2020'!C31-'11 - 2020'!C30</f>
        <v>6311</v>
      </c>
      <c r="G25" s="22">
        <v>0.11799999999999999</v>
      </c>
      <c r="H25" s="24">
        <f>'11 - 2020'!E31-'11 - 2020'!E30</f>
        <v>3</v>
      </c>
      <c r="I25" s="24">
        <f>'11 - 2020'!F31-'11 - 2020'!F30</f>
        <v>4.4000000000000909</v>
      </c>
      <c r="J25" s="24">
        <f>'11 - 2020'!G31-'11 - 2020'!G30</f>
        <v>33.409999999999854</v>
      </c>
      <c r="K25" s="22">
        <v>0.74</v>
      </c>
      <c r="L25" s="6">
        <v>74</v>
      </c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v>0</v>
      </c>
      <c r="F26" s="24">
        <v>0</v>
      </c>
      <c r="G26" s="22">
        <v>0.11799999999999999</v>
      </c>
      <c r="H26" s="24">
        <v>0</v>
      </c>
      <c r="I26" s="24">
        <v>0</v>
      </c>
      <c r="J26" s="24"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0</v>
      </c>
      <c r="F27" s="24">
        <f>'11 - 2020'!C33-'11 - 2020'!C32</f>
        <v>0</v>
      </c>
      <c r="G27" s="22">
        <v>0.11799999999999999</v>
      </c>
      <c r="H27" s="24">
        <f>'11 - 2020'!E33-'11 - 2020'!E32</f>
        <v>0</v>
      </c>
      <c r="I27" s="24">
        <f>'11 - 2020'!F33-'11 - 2020'!F32</f>
        <v>0</v>
      </c>
      <c r="J27" s="24">
        <f>'11 - 2020'!G33-'11 - 2020'!G32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0</v>
      </c>
      <c r="F28" s="24">
        <f>'11 - 2020'!C34-'11 - 2020'!C33</f>
        <v>0</v>
      </c>
      <c r="G28" s="22">
        <v>0.11799999999999999</v>
      </c>
      <c r="H28" s="24">
        <f>'11 - 2020'!E34-'11 - 2020'!E33</f>
        <v>0</v>
      </c>
      <c r="I28" s="24">
        <f>'11 - 2020'!F34-'11 - 2020'!F33</f>
        <v>0</v>
      </c>
      <c r="J28" s="24">
        <f>'11 - 2020'!G34-'11 - 2020'!G33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31" sqref="B31:J3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>
        <v>43850.8</v>
      </c>
      <c r="C19" s="57">
        <v>1685452</v>
      </c>
      <c r="D19" s="16">
        <v>0.73</v>
      </c>
      <c r="E19" s="58">
        <v>13220.29</v>
      </c>
      <c r="F19" s="21">
        <v>2638.77</v>
      </c>
      <c r="G19" s="58">
        <v>22926.37</v>
      </c>
      <c r="H19" s="15">
        <v>14528</v>
      </c>
      <c r="I19" s="57">
        <v>101678</v>
      </c>
      <c r="J19" s="57">
        <v>43096208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>
        <v>47471.1</v>
      </c>
      <c r="C20" s="57">
        <v>1691826</v>
      </c>
      <c r="D20" s="16">
        <v>0.65</v>
      </c>
      <c r="E20" s="58">
        <v>13221.89</v>
      </c>
      <c r="F20" s="21">
        <v>2643.28</v>
      </c>
      <c r="G20" s="58">
        <v>22961.82</v>
      </c>
      <c r="H20" s="15">
        <v>14528</v>
      </c>
      <c r="I20" s="57">
        <v>101784</v>
      </c>
      <c r="J20" s="57">
        <v>43120440</v>
      </c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>
        <v>50872.1</v>
      </c>
      <c r="C21" s="57">
        <v>1697505</v>
      </c>
      <c r="D21" s="16">
        <v>0.57999999999999996</v>
      </c>
      <c r="E21" s="58">
        <v>13228.38</v>
      </c>
      <c r="F21" s="21">
        <v>2647.7</v>
      </c>
      <c r="G21" s="58">
        <v>22995.24</v>
      </c>
      <c r="H21" s="15">
        <v>14528</v>
      </c>
      <c r="I21" s="57">
        <v>101844</v>
      </c>
      <c r="J21" s="57">
        <v>43142580</v>
      </c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>
        <v>54407.4</v>
      </c>
      <c r="C22" s="57">
        <v>1703549</v>
      </c>
      <c r="D22" s="16">
        <v>0.52</v>
      </c>
      <c r="E22" s="58">
        <v>13230.38</v>
      </c>
      <c r="F22" s="21">
        <v>2651.73</v>
      </c>
      <c r="G22" s="58">
        <v>23023.15</v>
      </c>
      <c r="H22" s="15">
        <v>14528</v>
      </c>
      <c r="I22" s="58">
        <v>101974</v>
      </c>
      <c r="J22" s="57">
        <v>43164744</v>
      </c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>
        <v>57512.800000000003</v>
      </c>
      <c r="C23" s="57">
        <v>1709053</v>
      </c>
      <c r="D23" s="16">
        <v>0.46</v>
      </c>
      <c r="E23" s="58">
        <v>13236</v>
      </c>
      <c r="F23" s="21">
        <v>2654.24</v>
      </c>
      <c r="G23" s="58">
        <v>23050.14</v>
      </c>
      <c r="H23" s="15">
        <v>14528</v>
      </c>
      <c r="I23" s="57">
        <v>102061</v>
      </c>
      <c r="J23" s="57">
        <v>43183041</v>
      </c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>
        <v>61489.4</v>
      </c>
      <c r="C24" s="57">
        <v>1715518</v>
      </c>
      <c r="D24" s="16">
        <v>0.4</v>
      </c>
      <c r="E24" s="58">
        <v>13240.35</v>
      </c>
      <c r="F24" s="21">
        <v>2660.69</v>
      </c>
      <c r="G24" s="58">
        <v>23082.71</v>
      </c>
      <c r="H24" s="15">
        <v>14528</v>
      </c>
      <c r="I24" s="57">
        <v>102130</v>
      </c>
      <c r="J24" s="57">
        <v>43203559</v>
      </c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>
        <v>64760.2</v>
      </c>
      <c r="C25" s="58">
        <v>1721085</v>
      </c>
      <c r="D25" s="26">
        <v>0.3</v>
      </c>
      <c r="E25" s="58">
        <v>13244.63</v>
      </c>
      <c r="F25" s="21">
        <v>2664.99</v>
      </c>
      <c r="G25" s="58">
        <v>23108.1</v>
      </c>
      <c r="H25" s="15">
        <v>14528</v>
      </c>
      <c r="I25" s="57">
        <v>102187</v>
      </c>
      <c r="J25" s="57">
        <v>43222388</v>
      </c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>
        <v>68138</v>
      </c>
      <c r="C26" s="58">
        <v>1726735</v>
      </c>
      <c r="D26" s="26">
        <v>0.82</v>
      </c>
      <c r="E26" s="58">
        <v>13252.25</v>
      </c>
      <c r="F26" s="21">
        <v>2669.28</v>
      </c>
      <c r="G26" s="58">
        <v>23140.43</v>
      </c>
      <c r="H26" s="15">
        <v>14528</v>
      </c>
      <c r="I26" s="57">
        <v>102274</v>
      </c>
      <c r="J26" s="57">
        <v>43244184</v>
      </c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>
        <v>71817.600000000006</v>
      </c>
      <c r="C27" s="57">
        <v>1732831</v>
      </c>
      <c r="D27" s="16">
        <v>0.79</v>
      </c>
      <c r="E27" s="58">
        <v>13257.94</v>
      </c>
      <c r="F27" s="21">
        <v>2673.99</v>
      </c>
      <c r="G27" s="58">
        <v>23172.799999999999</v>
      </c>
      <c r="H27" s="15">
        <v>14528</v>
      </c>
      <c r="I27" s="57">
        <v>102352</v>
      </c>
      <c r="J27" s="57">
        <v>43264192</v>
      </c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>
        <v>73878.8</v>
      </c>
      <c r="C28" s="57">
        <v>1743470</v>
      </c>
      <c r="D28" s="16">
        <v>0.69</v>
      </c>
      <c r="E28" s="58">
        <v>13264.95</v>
      </c>
      <c r="F28" s="21">
        <v>2678.87</v>
      </c>
      <c r="G28" s="58">
        <v>23209.34</v>
      </c>
      <c r="H28" s="15">
        <v>14528</v>
      </c>
      <c r="I28" s="57">
        <v>102476</v>
      </c>
      <c r="J28" s="57">
        <v>43283016</v>
      </c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>
        <v>79221.2</v>
      </c>
      <c r="C29" s="57">
        <v>1745248</v>
      </c>
      <c r="D29" s="16">
        <v>0.62</v>
      </c>
      <c r="E29" s="58">
        <v>13270.06</v>
      </c>
      <c r="F29" s="21">
        <v>2682.84</v>
      </c>
      <c r="G29" s="58">
        <v>23238.1</v>
      </c>
      <c r="H29" s="15">
        <v>14528</v>
      </c>
      <c r="I29" s="57">
        <v>102578</v>
      </c>
      <c r="J29" s="57">
        <v>43302039</v>
      </c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>
        <v>82508.800000000003</v>
      </c>
      <c r="C30" s="57">
        <v>1750764</v>
      </c>
      <c r="D30" s="16">
        <v>0.55000000000000004</v>
      </c>
      <c r="E30" s="58">
        <v>13274.65</v>
      </c>
      <c r="F30" s="21">
        <v>2687.19</v>
      </c>
      <c r="G30" s="58">
        <v>23265.91</v>
      </c>
      <c r="H30" s="15">
        <v>14528</v>
      </c>
      <c r="I30" s="57">
        <v>102659</v>
      </c>
      <c r="J30" s="57">
        <v>43318481</v>
      </c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>
        <v>86452.6</v>
      </c>
      <c r="C31" s="57">
        <v>1757075</v>
      </c>
      <c r="D31" s="16"/>
      <c r="E31" s="58">
        <v>13277.65</v>
      </c>
      <c r="F31" s="21">
        <v>2691.59</v>
      </c>
      <c r="G31" s="58">
        <v>23299.32</v>
      </c>
      <c r="H31" s="15">
        <v>14528</v>
      </c>
      <c r="I31" s="57">
        <v>102733</v>
      </c>
      <c r="J31" s="57">
        <v>43336895</v>
      </c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2020-11-24T05:12:03Z</dcterms:modified>
</cp:coreProperties>
</file>