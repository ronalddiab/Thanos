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0" i="3" l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2" i="3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BG9" i="3" s="1"/>
  <c r="ER17" i="4"/>
  <c r="EQ17" i="4"/>
  <c r="EP17" i="4"/>
  <c r="EO17" i="4"/>
  <c r="EN17" i="4"/>
  <c r="EM17" i="4"/>
  <c r="BE9" i="3" s="1"/>
  <c r="EL17" i="4"/>
  <c r="EK17" i="4"/>
  <c r="EJ17" i="4"/>
  <c r="EI17" i="4"/>
  <c r="EH17" i="4"/>
  <c r="EG17" i="4"/>
  <c r="BA9" i="3" s="1"/>
  <c r="EE17" i="4"/>
  <c r="ED17" i="4"/>
  <c r="EC17" i="4"/>
  <c r="EB17" i="4"/>
  <c r="EA17" i="4"/>
  <c r="DZ17" i="4"/>
  <c r="AX9" i="3" s="1"/>
  <c r="DY17" i="4"/>
  <c r="DX17" i="4"/>
  <c r="DW17" i="4"/>
  <c r="DV17" i="4"/>
  <c r="DU17" i="4"/>
  <c r="DT17" i="4"/>
  <c r="AU9" i="3" s="1"/>
  <c r="DR17" i="4"/>
  <c r="DQ17" i="4"/>
  <c r="DP17" i="4"/>
  <c r="DO17" i="4"/>
  <c r="DN17" i="4"/>
  <c r="DM17" i="4"/>
  <c r="AS9" i="3" s="1"/>
  <c r="DL17" i="4"/>
  <c r="DK17" i="4"/>
  <c r="DJ17" i="4"/>
  <c r="DI17" i="4"/>
  <c r="AQ9" i="3" s="1"/>
  <c r="DH17" i="4"/>
  <c r="DG17" i="4"/>
  <c r="AN9" i="3" s="1"/>
  <c r="DF17" i="4"/>
  <c r="DE17" i="4"/>
  <c r="DD17" i="4"/>
  <c r="DC17" i="4"/>
  <c r="DB17" i="4"/>
  <c r="DA17" i="4"/>
  <c r="AM9" i="3" s="1"/>
  <c r="CZ17" i="4"/>
  <c r="CY17" i="4"/>
  <c r="CX17" i="4"/>
  <c r="CW17" i="4"/>
  <c r="AK9" i="3" s="1"/>
  <c r="CU17" i="4"/>
  <c r="CT17" i="4"/>
  <c r="AC9" i="3" s="1"/>
  <c r="CS17" i="4"/>
  <c r="CR17" i="4"/>
  <c r="CQ17" i="4"/>
  <c r="CP17" i="4"/>
  <c r="CO17" i="4"/>
  <c r="CN17" i="4"/>
  <c r="CM17" i="4"/>
  <c r="CL17" i="4"/>
  <c r="CK17" i="4"/>
  <c r="Z9" i="3" s="1"/>
  <c r="CJ17" i="4"/>
  <c r="CI17" i="4"/>
  <c r="CH17" i="4"/>
  <c r="CG17" i="4"/>
  <c r="CF17" i="4"/>
  <c r="CE17" i="4"/>
  <c r="CD17" i="4"/>
  <c r="CC17" i="4"/>
  <c r="CB17" i="4"/>
  <c r="CA17" i="4"/>
  <c r="BZ17" i="4"/>
  <c r="BY17" i="4"/>
  <c r="AD9" i="3" s="1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AX17" i="4"/>
  <c r="AW17" i="4"/>
  <c r="AV17" i="4"/>
  <c r="V9" i="3" s="1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I9" i="1" s="1"/>
  <c r="B17" i="4"/>
  <c r="FB16" i="4"/>
  <c r="EZ16" i="4"/>
  <c r="EX16" i="4"/>
  <c r="EV16" i="4"/>
  <c r="ET16" i="4"/>
  <c r="BG8" i="3" s="1"/>
  <c r="EQ16" i="4"/>
  <c r="EO16" i="4"/>
  <c r="EM16" i="4"/>
  <c r="EK16" i="4"/>
  <c r="EI16" i="4"/>
  <c r="EG16" i="4"/>
  <c r="BA8" i="3" s="1"/>
  <c r="ED16" i="4"/>
  <c r="EB16" i="4"/>
  <c r="DZ16" i="4"/>
  <c r="DX16" i="4"/>
  <c r="DV16" i="4"/>
  <c r="DT16" i="4"/>
  <c r="AU8" i="3" s="1"/>
  <c r="DQ16" i="4"/>
  <c r="DO16" i="4"/>
  <c r="DM16" i="4"/>
  <c r="DK16" i="4"/>
  <c r="DI16" i="4"/>
  <c r="DG16" i="4"/>
  <c r="AN8" i="3" s="1"/>
  <c r="DE16" i="4"/>
  <c r="DC16" i="4"/>
  <c r="DA16" i="4"/>
  <c r="CY16" i="4"/>
  <c r="CW16" i="4"/>
  <c r="CT16" i="4"/>
  <c r="AC8" i="3" s="1"/>
  <c r="CQ16" i="4"/>
  <c r="CN16" i="4"/>
  <c r="CK16" i="4"/>
  <c r="CI16" i="4"/>
  <c r="CG16" i="4"/>
  <c r="CE16" i="4"/>
  <c r="AG8" i="3" s="1"/>
  <c r="CC16" i="4"/>
  <c r="CA16" i="4"/>
  <c r="BY16" i="4"/>
  <c r="BV16" i="4"/>
  <c r="BS16" i="4"/>
  <c r="BF16" i="4"/>
  <c r="Y8" i="3" s="1"/>
  <c r="BC16" i="4"/>
  <c r="AZ16" i="4"/>
  <c r="AV16" i="4"/>
  <c r="AS16" i="4"/>
  <c r="AP16" i="4"/>
  <c r="AM16" i="4"/>
  <c r="S8" i="3" s="1"/>
  <c r="AJ16" i="4"/>
  <c r="AG16" i="4"/>
  <c r="AD16" i="4"/>
  <c r="AA16" i="4"/>
  <c r="X16" i="4"/>
  <c r="U16" i="4"/>
  <c r="M8" i="3" s="1"/>
  <c r="R16" i="4"/>
  <c r="Q16" i="4"/>
  <c r="O16" i="4"/>
  <c r="M16" i="4"/>
  <c r="K16" i="4"/>
  <c r="I16" i="4"/>
  <c r="H16" i="4"/>
  <c r="F16" i="4"/>
  <c r="E16" i="4"/>
  <c r="C16" i="4"/>
  <c r="B16" i="4"/>
  <c r="FB15" i="4"/>
  <c r="BK7" i="3" s="1"/>
  <c r="EZ15" i="4"/>
  <c r="EX15" i="4"/>
  <c r="EV15" i="4"/>
  <c r="ET15" i="4"/>
  <c r="EQ15" i="4"/>
  <c r="EO15" i="4"/>
  <c r="BF7" i="3" s="1"/>
  <c r="EM15" i="4"/>
  <c r="EK15" i="4"/>
  <c r="EI15" i="4"/>
  <c r="EG15" i="4"/>
  <c r="ED15" i="4"/>
  <c r="EB15" i="4"/>
  <c r="AY7" i="3" s="1"/>
  <c r="DZ15" i="4"/>
  <c r="DX15" i="4"/>
  <c r="DV15" i="4"/>
  <c r="DT15" i="4"/>
  <c r="DQ15" i="4"/>
  <c r="DO15" i="4"/>
  <c r="AR7" i="3" s="1"/>
  <c r="DM15" i="4"/>
  <c r="DK15" i="4"/>
  <c r="DI15" i="4"/>
  <c r="DG15" i="4"/>
  <c r="DE15" i="4"/>
  <c r="DC15" i="4"/>
  <c r="AL7" i="3" s="1"/>
  <c r="DA15" i="4"/>
  <c r="CY15" i="4"/>
  <c r="CW15" i="4"/>
  <c r="CT15" i="4"/>
  <c r="CQ15" i="4"/>
  <c r="CN15" i="4"/>
  <c r="AA7" i="3" s="1"/>
  <c r="CK15" i="4"/>
  <c r="CI15" i="4"/>
  <c r="CG15" i="4"/>
  <c r="CE15" i="4"/>
  <c r="CC15" i="4"/>
  <c r="CA15" i="4"/>
  <c r="AE7" i="3" s="1"/>
  <c r="BY15" i="4"/>
  <c r="BV15" i="4"/>
  <c r="BS15" i="4"/>
  <c r="BF15" i="4"/>
  <c r="BC15" i="4"/>
  <c r="AZ15" i="4"/>
  <c r="W7" i="3" s="1"/>
  <c r="AV15" i="4"/>
  <c r="AS15" i="4"/>
  <c r="AP15" i="4"/>
  <c r="AM15" i="4"/>
  <c r="AJ15" i="4"/>
  <c r="AG15" i="4"/>
  <c r="Q7" i="3" s="1"/>
  <c r="AD15" i="4"/>
  <c r="AA15" i="4"/>
  <c r="X15" i="4"/>
  <c r="U15" i="4"/>
  <c r="R15" i="4"/>
  <c r="Q15" i="4"/>
  <c r="O15" i="4"/>
  <c r="M15" i="4"/>
  <c r="K15" i="4"/>
  <c r="I15" i="4"/>
  <c r="H15" i="4"/>
  <c r="F15" i="4"/>
  <c r="H7" i="3" s="1"/>
  <c r="E15" i="4"/>
  <c r="C15" i="4"/>
  <c r="B15" i="4"/>
  <c r="FB14" i="4"/>
  <c r="EZ14" i="4"/>
  <c r="EX14" i="4"/>
  <c r="BJ6" i="3" s="1"/>
  <c r="EV14" i="4"/>
  <c r="ET14" i="4"/>
  <c r="EQ14" i="4"/>
  <c r="EO14" i="4"/>
  <c r="EM14" i="4"/>
  <c r="EK14" i="4"/>
  <c r="BD6" i="3" s="1"/>
  <c r="EI14" i="4"/>
  <c r="EG14" i="4"/>
  <c r="ED14" i="4"/>
  <c r="EB14" i="4"/>
  <c r="DZ14" i="4"/>
  <c r="DX14" i="4"/>
  <c r="AW6" i="3" s="1"/>
  <c r="DV14" i="4"/>
  <c r="DT14" i="4"/>
  <c r="DQ14" i="4"/>
  <c r="DO14" i="4"/>
  <c r="DM14" i="4"/>
  <c r="DK14" i="4"/>
  <c r="AP6" i="3" s="1"/>
  <c r="DI14" i="4"/>
  <c r="DG14" i="4"/>
  <c r="DE14" i="4"/>
  <c r="DC14" i="4"/>
  <c r="DA14" i="4"/>
  <c r="AM6" i="3" s="1"/>
  <c r="CY14" i="4"/>
  <c r="AJ6" i="3" s="1"/>
  <c r="CW14" i="4"/>
  <c r="CT14" i="4"/>
  <c r="CQ14" i="4"/>
  <c r="CN14" i="4"/>
  <c r="CK14" i="4"/>
  <c r="Z6" i="3" s="1"/>
  <c r="CI14" i="4"/>
  <c r="AI6" i="3" s="1"/>
  <c r="CG14" i="4"/>
  <c r="CE14" i="4"/>
  <c r="CC14" i="4"/>
  <c r="CA14" i="4"/>
  <c r="BY14" i="4"/>
  <c r="AD6" i="3" s="1"/>
  <c r="BV14" i="4"/>
  <c r="BS14" i="4"/>
  <c r="BF14" i="4"/>
  <c r="BC14" i="4"/>
  <c r="AZ14" i="4"/>
  <c r="AV14" i="4"/>
  <c r="V6" i="3" s="1"/>
  <c r="AS14" i="4"/>
  <c r="U6" i="3" s="1"/>
  <c r="AP14" i="4"/>
  <c r="AM14" i="4"/>
  <c r="AJ14" i="4"/>
  <c r="AG14" i="4"/>
  <c r="AD14" i="4"/>
  <c r="P6" i="3" s="1"/>
  <c r="AA14" i="4"/>
  <c r="O6" i="3" s="1"/>
  <c r="X14" i="4"/>
  <c r="U14" i="4"/>
  <c r="R14" i="4"/>
  <c r="Q14" i="4"/>
  <c r="O14" i="4"/>
  <c r="K6" i="3" s="1"/>
  <c r="M14" i="4"/>
  <c r="K14" i="4"/>
  <c r="I14" i="4"/>
  <c r="H14" i="4"/>
  <c r="F14" i="4"/>
  <c r="E14" i="4"/>
  <c r="C14" i="4"/>
  <c r="G6" i="3" s="1"/>
  <c r="I6" i="1" s="1"/>
  <c r="B14" i="4"/>
  <c r="FB13" i="4"/>
  <c r="EZ13" i="4"/>
  <c r="EX13" i="4"/>
  <c r="EV13" i="4"/>
  <c r="ET13" i="4"/>
  <c r="BG5" i="3" s="1"/>
  <c r="EQ13" i="4"/>
  <c r="EO13" i="4"/>
  <c r="EM13" i="4"/>
  <c r="EK13" i="4"/>
  <c r="EI13" i="4"/>
  <c r="EG13" i="4"/>
  <c r="BA5" i="3" s="1"/>
  <c r="ED13" i="4"/>
  <c r="EB13" i="4"/>
  <c r="DZ13" i="4"/>
  <c r="DX13" i="4"/>
  <c r="DV13" i="4"/>
  <c r="DT13" i="4"/>
  <c r="AU5" i="3" s="1"/>
  <c r="DQ13" i="4"/>
  <c r="DO13" i="4"/>
  <c r="DM13" i="4"/>
  <c r="DK13" i="4"/>
  <c r="DI13" i="4"/>
  <c r="DG13" i="4"/>
  <c r="AN5" i="3" s="1"/>
  <c r="DE13" i="4"/>
  <c r="DC13" i="4"/>
  <c r="DA13" i="4"/>
  <c r="CY13" i="4"/>
  <c r="CW13" i="4"/>
  <c r="CT13" i="4"/>
  <c r="AC5" i="3" s="1"/>
  <c r="CQ13" i="4"/>
  <c r="CN13" i="4"/>
  <c r="CK13" i="4"/>
  <c r="CI13" i="4"/>
  <c r="CG13" i="4"/>
  <c r="AH5" i="3" s="1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L5" i="3" s="1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Y9" i="3" l="1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E9" i="1" s="1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G9" i="1" s="1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G5" i="1" s="1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8" i="1" l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E48" i="4" l="1"/>
  <c r="CT48" i="4"/>
  <c r="CT49" i="4" s="1"/>
  <c r="CS16" i="4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CI48" i="4"/>
  <c r="CG48" i="4"/>
  <c r="CC48" i="4"/>
  <c r="CA48" i="4"/>
  <c r="BY48" i="4"/>
  <c r="BX16" i="4"/>
  <c r="BW16" i="4"/>
  <c r="BX15" i="4"/>
  <c r="BW15" i="4"/>
  <c r="BW14" i="4"/>
  <c r="BX14" i="4"/>
  <c r="BX13" i="4"/>
  <c r="BW13" i="4"/>
  <c r="BS48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R48" i="4"/>
  <c r="R49" i="4" s="1"/>
  <c r="O45" i="4"/>
  <c r="O48" i="4"/>
  <c r="O49" i="4" s="1"/>
  <c r="K48" i="4"/>
  <c r="K49" i="4" s="1"/>
  <c r="I48" i="4"/>
  <c r="I49" i="4" s="1"/>
  <c r="F45" i="4"/>
  <c r="F48" i="4"/>
  <c r="F49" i="4" s="1"/>
  <c r="C45" i="4"/>
  <c r="C48" i="4"/>
  <c r="C49" i="4" s="1"/>
  <c r="CQ45" i="4" l="1"/>
  <c r="CQ48" i="4"/>
  <c r="CQ44" i="4"/>
  <c r="CQ47" i="4"/>
  <c r="CQ49" i="4" s="1"/>
  <c r="CN45" i="4"/>
  <c r="CN48" i="4"/>
  <c r="CN44" i="4"/>
  <c r="CN47" i="4"/>
  <c r="CK45" i="4"/>
  <c r="CK48" i="4"/>
  <c r="CK44" i="4"/>
  <c r="CK47" i="4"/>
  <c r="CK49" i="4" s="1"/>
  <c r="BF44" i="4"/>
  <c r="BF45" i="4"/>
  <c r="BF48" i="4"/>
  <c r="BF49" i="4" s="1"/>
  <c r="BC45" i="4"/>
  <c r="BC48" i="4"/>
  <c r="BC49" i="4" s="1"/>
  <c r="BC44" i="4"/>
  <c r="AZ44" i="4"/>
  <c r="AZ45" i="4"/>
  <c r="AZ48" i="4"/>
  <c r="AV45" i="4"/>
  <c r="AV48" i="4"/>
  <c r="AV44" i="4"/>
  <c r="AV47" i="4"/>
  <c r="AS45" i="4"/>
  <c r="AS48" i="4"/>
  <c r="AS44" i="4"/>
  <c r="AS47" i="4"/>
  <c r="AP45" i="4"/>
  <c r="AP48" i="4"/>
  <c r="AP44" i="4"/>
  <c r="AP47" i="4"/>
  <c r="AM45" i="4"/>
  <c r="AM48" i="4"/>
  <c r="AM44" i="4"/>
  <c r="AM47" i="4"/>
  <c r="AJ45" i="4"/>
  <c r="AJ48" i="4"/>
  <c r="AJ44" i="4"/>
  <c r="AJ47" i="4"/>
  <c r="AJ49" i="4" s="1"/>
  <c r="AG45" i="4"/>
  <c r="AG48" i="4"/>
  <c r="AG44" i="4"/>
  <c r="AG47" i="4"/>
  <c r="AD45" i="4"/>
  <c r="AD48" i="4"/>
  <c r="AD44" i="4"/>
  <c r="AD47" i="4"/>
  <c r="AA44" i="4"/>
  <c r="AA47" i="4"/>
  <c r="AA45" i="4"/>
  <c r="AA48" i="4"/>
  <c r="X45" i="4"/>
  <c r="X48" i="4"/>
  <c r="X44" i="4"/>
  <c r="X47" i="4"/>
  <c r="U45" i="4"/>
  <c r="U48" i="4"/>
  <c r="U44" i="4"/>
  <c r="U47" i="4"/>
  <c r="AG49" i="4" l="1"/>
  <c r="AP49" i="4"/>
  <c r="X49" i="4"/>
  <c r="AZ46" i="4"/>
  <c r="BF46" i="4"/>
  <c r="CN49" i="4"/>
  <c r="AV49" i="4"/>
  <c r="BC46" i="4"/>
  <c r="AZ49" i="4"/>
  <c r="BC51" i="4"/>
  <c r="AD49" i="4"/>
  <c r="AM49" i="4"/>
  <c r="AS49" i="4"/>
  <c r="AM51" i="4"/>
  <c r="AA49" i="4"/>
  <c r="AA50" i="4"/>
  <c r="AA51" i="4"/>
  <c r="U49" i="4"/>
  <c r="AM50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<sst xmlns="http://schemas.openxmlformats.org/spreadsheetml/2006/main" count="411" uniqueCount="203">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</sst>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F20">
            <v>-922222</v>
          </cell>
          <cell r="G20">
            <v>527</v>
          </cell>
          <cell r="I20">
            <v>-90306</v>
          </cell>
          <cell r="J20">
            <v>428</v>
          </cell>
          <cell r="L20">
            <v>-164625</v>
          </cell>
          <cell r="O20">
            <v>-818628</v>
          </cell>
          <cell r="R20">
            <v>-188612</v>
          </cell>
          <cell r="T20">
            <v>-53088.3</v>
          </cell>
          <cell r="U20">
            <v>40</v>
          </cell>
          <cell r="W20">
            <v>-3921</v>
          </cell>
          <cell r="AD20">
            <v>-7180061.2799999993</v>
          </cell>
          <cell r="AG20">
            <v>-13754727.84</v>
          </cell>
          <cell r="AJ20">
            <v>-13702451.280000001</v>
          </cell>
          <cell r="AM20">
            <v>-16741848.48</v>
          </cell>
          <cell r="AP20">
            <v>-17031099.119999997</v>
          </cell>
          <cell r="AS20">
            <v>-15489841.919999998</v>
          </cell>
          <cell r="AV20">
            <v>-13178906.16</v>
          </cell>
          <cell r="AY20">
            <v>-12668856.48</v>
          </cell>
          <cell r="BB20">
            <v>-10092104.4</v>
          </cell>
          <cell r="BE20">
            <v>-15667280.16</v>
          </cell>
          <cell r="BL20">
            <v>-68002400</v>
          </cell>
          <cell r="BO20">
            <v>-70651000</v>
          </cell>
          <cell r="BR20">
            <v>-64788400</v>
          </cell>
          <cell r="BU20">
            <v>-7692410</v>
          </cell>
          <cell r="BX20">
            <v>0.56999999999999995</v>
          </cell>
          <cell r="CA20">
            <v>-57087</v>
          </cell>
          <cell r="CC20">
            <v>-48584</v>
          </cell>
          <cell r="CE20">
            <v>-16709</v>
          </cell>
          <cell r="CG20">
            <v>-22063</v>
          </cell>
          <cell r="CI20">
            <v>-24083</v>
          </cell>
          <cell r="CK20">
            <v>-53420</v>
          </cell>
          <cell r="CM20">
            <v>-234390</v>
          </cell>
          <cell r="CP20">
            <v>-180114</v>
          </cell>
          <cell r="CS20">
            <v>-318112</v>
          </cell>
          <cell r="CV20">
            <v>-620571</v>
          </cell>
          <cell r="CY20">
            <v>-6382</v>
          </cell>
          <cell r="DA20">
            <v>-3901</v>
          </cell>
          <cell r="DC20">
            <v>-26808</v>
          </cell>
          <cell r="DE20">
            <v>-27552</v>
          </cell>
          <cell r="DG20">
            <v>-18651</v>
          </cell>
          <cell r="DI20">
            <v>-21763</v>
          </cell>
          <cell r="DK20">
            <v>-3284</v>
          </cell>
          <cell r="DM20">
            <v>-6729</v>
          </cell>
          <cell r="DO20">
            <v>-1802</v>
          </cell>
          <cell r="DQ20">
            <v>-3590</v>
          </cell>
          <cell r="DS20">
            <v>-26288</v>
          </cell>
          <cell r="DV20">
            <v>-3121</v>
          </cell>
          <cell r="DX20">
            <v>-8224.7999999999993</v>
          </cell>
          <cell r="DZ20">
            <v>-2352.5</v>
          </cell>
          <cell r="EB20">
            <v>-2485.3000000000002</v>
          </cell>
          <cell r="ED20">
            <v>-873516</v>
          </cell>
          <cell r="EH20">
            <v>-176550.1</v>
          </cell>
          <cell r="EK20">
            <v>-10425200</v>
          </cell>
          <cell r="EM20">
            <v>-827100</v>
          </cell>
          <cell r="EO20">
            <v>-6409800</v>
          </cell>
          <cell r="EQ20">
            <v>-2251300</v>
          </cell>
          <cell r="ES20">
            <v>-996640</v>
          </cell>
          <cell r="EU20">
            <v>-14309700</v>
          </cell>
          <cell r="EX20">
            <v>-37535</v>
          </cell>
          <cell r="EZ20">
            <v>-32440</v>
          </cell>
          <cell r="FB20">
            <v>-3617</v>
          </cell>
          <cell r="FD20">
            <v>-54165</v>
          </cell>
          <cell r="FF20">
            <v>-37804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8" sqref="E8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 t="e">
        <f>Submetering!#REF!</f>
        <v>#REF!</v>
      </c>
      <c r="N10">
        <f>Submetering!F10</f>
        <v>364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Submetering!E10</f>
        <v>218.04000000000002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304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AU2" activePane="bottomRight" state="frozen"/>
      <selection pane="topRight" activeCell="C1" sqref="C1"/>
      <selection pane="bottomLeft" activeCell="A2" sqref="A2"/>
      <selection pane="bottomRight" activeCell="BI15" sqref="BI15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/>
      <c r="F12" s="79">
        <f>279+25</f>
        <v>304</v>
      </c>
      <c r="AJ12" s="81"/>
      <c r="AK12" s="81"/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518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84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391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451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436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375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42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518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84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391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451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436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375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42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518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84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391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451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436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375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42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518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84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391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451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436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375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42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518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84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391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451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436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375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42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518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84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391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451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436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375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42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518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84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391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451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436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375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42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-922222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-90306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-164625</v>
      </c>
      <c r="K20" s="168">
        <f>'[1]December - 2021'!N20</f>
        <v>0</v>
      </c>
      <c r="L20" s="170">
        <f>'[1]December - 2021'!O20</f>
        <v>-818628</v>
      </c>
      <c r="M20" s="168">
        <f>'[1]December - 2021'!Q20</f>
        <v>0</v>
      </c>
      <c r="N20" s="170">
        <f>'[1]December - 2021'!R20</f>
        <v>-188612</v>
      </c>
      <c r="O20" s="168">
        <f>'[1]December - 2021'!S20</f>
        <v>0</v>
      </c>
      <c r="P20" s="170">
        <f>'[1]December - 2021'!T20</f>
        <v>-53088.3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-3921</v>
      </c>
      <c r="T20" s="518"/>
      <c r="U20" s="169">
        <f>'[1]December - 2021'!AC20</f>
        <v>0</v>
      </c>
      <c r="V20" s="288">
        <f>'[1]December - 2021'!AD20</f>
        <v>-7180061.2799999993</v>
      </c>
      <c r="W20" s="92">
        <f>'[1]December - 2021'!AD20</f>
        <v>-7180061.2799999993</v>
      </c>
      <c r="X20" s="287">
        <f>'[1]December - 2021'!AF20</f>
        <v>0</v>
      </c>
      <c r="Y20" s="288">
        <f>'[1]December - 2021'!AG20</f>
        <v>-13754727.84</v>
      </c>
      <c r="Z20" s="92">
        <f>'[1]December - 2021'!AG20</f>
        <v>-13754727.84</v>
      </c>
      <c r="AA20" s="287">
        <f>'[1]December - 2021'!AI20</f>
        <v>0</v>
      </c>
      <c r="AB20" s="288">
        <f>'[1]December - 2021'!AJ20</f>
        <v>-13702451.280000001</v>
      </c>
      <c r="AC20" s="92">
        <f>'[1]December - 2021'!AJ20</f>
        <v>-13702451.280000001</v>
      </c>
      <c r="AD20" s="287">
        <f>'[1]December - 2021'!AL20</f>
        <v>0</v>
      </c>
      <c r="AE20" s="288">
        <f>'[1]December - 2021'!AM20</f>
        <v>-16741848.48</v>
      </c>
      <c r="AF20" s="92">
        <f>'[1]December - 2021'!AM20</f>
        <v>-16741848.48</v>
      </c>
      <c r="AG20" s="287">
        <f>'[1]December - 2021'!AO20</f>
        <v>0</v>
      </c>
      <c r="AH20" s="288">
        <f>'[1]December - 2021'!AP20</f>
        <v>-17031099.119999997</v>
      </c>
      <c r="AI20" s="92">
        <f>'[1]December - 2021'!AP20</f>
        <v>-17031099.119999997</v>
      </c>
      <c r="AJ20" s="287">
        <f>'[1]December - 2021'!AR20</f>
        <v>0</v>
      </c>
      <c r="AK20" s="288">
        <f>'[1]December - 2021'!AS20</f>
        <v>-15489841.919999998</v>
      </c>
      <c r="AL20" s="92">
        <f>'[1]December - 2021'!AS20</f>
        <v>-15489841.919999998</v>
      </c>
      <c r="AM20" s="287">
        <f>'[1]December - 2021'!AU20</f>
        <v>0</v>
      </c>
      <c r="AN20" s="288">
        <f>'[1]December - 2021'!AV20</f>
        <v>-13178906.16</v>
      </c>
      <c r="AO20" s="92">
        <f>'[1]December - 2021'!AV20</f>
        <v>-13178906.16</v>
      </c>
      <c r="AP20" s="287">
        <f>'[1]December - 2021'!AX20</f>
        <v>0</v>
      </c>
      <c r="AQ20" s="288">
        <f>'[1]December - 2021'!AY20</f>
        <v>-12668856.48</v>
      </c>
      <c r="AR20" s="92">
        <f>'[1]December - 2021'!AY20</f>
        <v>-12668856.48</v>
      </c>
      <c r="AS20" s="287">
        <f>'[1]December - 2021'!BA20</f>
        <v>0</v>
      </c>
      <c r="AT20" s="289">
        <f>'[1]December - 2021'!BB20</f>
        <v>-10092104.4</v>
      </c>
      <c r="AU20" s="92">
        <f>'[1]December - 2021'!BB20</f>
        <v>-10092104.4</v>
      </c>
      <c r="AV20" s="287">
        <f>'[1]December - 2021'!BD20</f>
        <v>0</v>
      </c>
      <c r="AW20" s="252">
        <f>'[1]December - 2021'!BE20</f>
        <v>-15667280.16</v>
      </c>
      <c r="AX20" s="253">
        <f>'[1]December - 2021'!BE20</f>
        <v>-15667280.16</v>
      </c>
      <c r="AY20" s="484"/>
      <c r="AZ20" s="272">
        <f>'[1]December - 2021'!BK20</f>
        <v>0</v>
      </c>
      <c r="BA20" s="179">
        <f>'[1]December - 2021'!BL20</f>
        <v>-68002400</v>
      </c>
      <c r="BB20" s="93">
        <f>'[1]December - 2021'!BL20</f>
        <v>-68002400</v>
      </c>
      <c r="BC20" s="272">
        <f>'[1]December - 2021'!BN20</f>
        <v>0</v>
      </c>
      <c r="BD20" s="245">
        <f>'[1]December - 2021'!BO20</f>
        <v>-70651000</v>
      </c>
      <c r="BE20" s="93">
        <f>'[1]December - 2021'!BO20</f>
        <v>-70651000</v>
      </c>
      <c r="BF20" s="272">
        <f>'[1]December - 2021'!BQ20</f>
        <v>0</v>
      </c>
      <c r="BG20" s="245">
        <f>'[1]December - 2021'!BR20</f>
        <v>-64788400</v>
      </c>
      <c r="BH20" s="93">
        <f>'[1]December - 2021'!BR20</f>
        <v>-64788400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-7692410</v>
      </c>
      <c r="BU20" s="391"/>
      <c r="BV20" s="88">
        <f>'[1]December - 2021'!BW20</f>
        <v>0</v>
      </c>
      <c r="BW20" s="241">
        <f>'[1]December - 2021'!BX20</f>
        <v>0.56999999999999995</v>
      </c>
      <c r="BX20" s="88">
        <f>'[1]December - 2021'!BX20</f>
        <v>0.56999999999999995</v>
      </c>
      <c r="BY20" s="89">
        <f>'[1]December - 2021'!BZ20</f>
        <v>0</v>
      </c>
      <c r="BZ20" s="191">
        <f>'[1]December - 2021'!CA20</f>
        <v>-57087</v>
      </c>
      <c r="CA20" s="89">
        <f>'[1]December - 2021'!CB20</f>
        <v>0</v>
      </c>
      <c r="CB20" s="191">
        <f>'[1]December - 2021'!CC20</f>
        <v>-48584</v>
      </c>
      <c r="CC20" s="89">
        <f>'[1]December - 2021'!CD20</f>
        <v>0</v>
      </c>
      <c r="CD20" s="191">
        <f>'[1]December - 2021'!CE20</f>
        <v>-16709</v>
      </c>
      <c r="CE20" s="89">
        <f>'[1]December - 2021'!CF20</f>
        <v>0</v>
      </c>
      <c r="CF20" s="191">
        <f>'[1]December - 2021'!CG20</f>
        <v>-22063</v>
      </c>
      <c r="CG20" s="89">
        <f>'[1]December - 2021'!CH20</f>
        <v>0</v>
      </c>
      <c r="CH20" s="191">
        <f>'[1]December - 2021'!CI20</f>
        <v>-24083</v>
      </c>
      <c r="CI20" s="89">
        <f>'[1]December - 2021'!CJ20</f>
        <v>0</v>
      </c>
      <c r="CJ20" s="191">
        <f>'[1]December - 2021'!CK20</f>
        <v>-53420</v>
      </c>
      <c r="CK20" s="89">
        <f>'[1]December - 2021'!CL20</f>
        <v>0</v>
      </c>
      <c r="CL20" s="246">
        <f>'[1]December - 2021'!CM20</f>
        <v>-234390</v>
      </c>
      <c r="CM20" s="89">
        <f>'[1]December - 2021'!CM20</f>
        <v>-234390</v>
      </c>
      <c r="CN20" s="89">
        <f>'[1]December - 2021'!CO20</f>
        <v>0</v>
      </c>
      <c r="CO20" s="246">
        <f>'[1]December - 2021'!CP20</f>
        <v>-180114</v>
      </c>
      <c r="CP20" s="89">
        <f>'[1]December - 2021'!CP20</f>
        <v>-180114</v>
      </c>
      <c r="CQ20" s="89">
        <f>'[1]December - 2021'!CR20</f>
        <v>0</v>
      </c>
      <c r="CR20" s="246">
        <f>'[1]December - 2021'!CS20</f>
        <v>-318112</v>
      </c>
      <c r="CS20" s="89">
        <f>'[1]December - 2021'!CS20</f>
        <v>-318112</v>
      </c>
      <c r="CT20" s="89">
        <f>'[1]December - 2021'!CU20</f>
        <v>0</v>
      </c>
      <c r="CU20" s="191">
        <f>'[1]December - 2021'!CV20</f>
        <v>-620571</v>
      </c>
      <c r="CV20" s="451"/>
      <c r="CW20" s="256">
        <f>'[1]December - 2021'!CX20</f>
        <v>0</v>
      </c>
      <c r="CX20" s="198">
        <f>'[1]December - 2021'!CY20</f>
        <v>-6382</v>
      </c>
      <c r="CY20" s="257">
        <f>'[1]December - 2021'!CZ20</f>
        <v>0</v>
      </c>
      <c r="CZ20" s="198">
        <f>'[1]December - 2021'!DA20</f>
        <v>-3901</v>
      </c>
      <c r="DA20" s="257">
        <f>'[1]December - 2021'!DB20</f>
        <v>0</v>
      </c>
      <c r="DB20" s="198">
        <f>'[1]December - 2021'!DC20</f>
        <v>-26808</v>
      </c>
      <c r="DC20" s="257">
        <f>'[1]December - 2021'!DD20</f>
        <v>0</v>
      </c>
      <c r="DD20" s="198">
        <f>'[1]December - 2021'!DE20</f>
        <v>-27552</v>
      </c>
      <c r="DE20" s="257">
        <f>'[1]December - 2021'!DF20</f>
        <v>0</v>
      </c>
      <c r="DF20" s="198">
        <f>'[1]December - 2021'!DG20</f>
        <v>-18651</v>
      </c>
      <c r="DG20" s="257">
        <f>'[1]December - 2021'!DH20</f>
        <v>0</v>
      </c>
      <c r="DH20" s="198">
        <f>'[1]December - 2021'!DI20</f>
        <v>-21763</v>
      </c>
      <c r="DI20" s="257">
        <f>'[1]December - 2021'!DJ20</f>
        <v>0</v>
      </c>
      <c r="DJ20" s="198">
        <f>'[1]December - 2021'!DK20</f>
        <v>-3284</v>
      </c>
      <c r="DK20" s="257">
        <f>'[1]December - 2021'!DL20</f>
        <v>0</v>
      </c>
      <c r="DL20" s="198">
        <f>'[1]December - 2021'!DM20</f>
        <v>-6729</v>
      </c>
      <c r="DM20" s="257">
        <f>'[1]December - 2021'!DN20</f>
        <v>0</v>
      </c>
      <c r="DN20" s="198">
        <f>'[1]December - 2021'!DO20</f>
        <v>-1802</v>
      </c>
      <c r="DO20" s="257">
        <f>'[1]December - 2021'!DP20</f>
        <v>0</v>
      </c>
      <c r="DP20" s="198">
        <f>'[1]December - 2021'!DQ20</f>
        <v>-3590</v>
      </c>
      <c r="DQ20" s="257">
        <f>'[1]December - 2021'!DR20</f>
        <v>0</v>
      </c>
      <c r="DR20" s="206">
        <f>'[1]December - 2021'!DS20</f>
        <v>-26288</v>
      </c>
      <c r="DS20" s="436"/>
      <c r="DT20" s="210">
        <f>'[1]December - 2021'!DU20</f>
        <v>0</v>
      </c>
      <c r="DU20" s="221">
        <f>'[1]December - 2021'!DV20</f>
        <v>-3121</v>
      </c>
      <c r="DV20" s="91">
        <f>'[1]December - 2021'!DW20</f>
        <v>0</v>
      </c>
      <c r="DW20" s="215">
        <f>'[1]December - 2021'!DX20</f>
        <v>-8224.7999999999993</v>
      </c>
      <c r="DX20" s="91">
        <f>'[1]December - 2021'!DY20</f>
        <v>0</v>
      </c>
      <c r="DY20" s="215">
        <f>'[1]December - 2021'!DZ20</f>
        <v>-2352.5</v>
      </c>
      <c r="DZ20" s="91">
        <f>'[1]December - 2021'!EA20</f>
        <v>0</v>
      </c>
      <c r="EA20" s="215">
        <f>'[1]December - 2021'!EB20</f>
        <v>-2485.3000000000002</v>
      </c>
      <c r="EB20" s="91">
        <f>'[1]December - 2021'!EC20</f>
        <v>0</v>
      </c>
      <c r="EC20" s="215">
        <f>'[1]December - 2021'!ED20</f>
        <v>-873516</v>
      </c>
      <c r="ED20" s="91">
        <f>'[1]December - 2021'!EG20</f>
        <v>0</v>
      </c>
      <c r="EE20" s="229">
        <f>'[1]December - 2021'!EH20</f>
        <v>-176550.1</v>
      </c>
      <c r="EF20" s="375"/>
      <c r="EG20" s="235">
        <f>'[1]December - 2021'!EJ20</f>
        <v>0</v>
      </c>
      <c r="EH20" s="230">
        <f>'[1]December - 2021'!EK20</f>
        <v>-10425200</v>
      </c>
      <c r="EI20" s="90">
        <f>'[1]December - 2021'!EL20</f>
        <v>0</v>
      </c>
      <c r="EJ20" s="230">
        <f>'[1]December - 2021'!EM20</f>
        <v>-827100</v>
      </c>
      <c r="EK20" s="90">
        <f>'[1]December - 2021'!EN20</f>
        <v>0</v>
      </c>
      <c r="EL20" s="230">
        <f>'[1]December - 2021'!EO20</f>
        <v>-6409800</v>
      </c>
      <c r="EM20" s="90">
        <f>'[1]December - 2021'!EP20</f>
        <v>0</v>
      </c>
      <c r="EN20" s="230">
        <f>'[1]December - 2021'!EQ20</f>
        <v>-2251300</v>
      </c>
      <c r="EO20" s="90">
        <f>'[1]December - 2021'!ER20</f>
        <v>0</v>
      </c>
      <c r="EP20" s="230">
        <f>'[1]December - 2021'!ES20</f>
        <v>-996640</v>
      </c>
      <c r="EQ20" s="90">
        <f>'[1]December - 2021'!ET20</f>
        <v>0</v>
      </c>
      <c r="ER20" s="230">
        <f>'[1]December - 2021'!EU20</f>
        <v>-14309700</v>
      </c>
      <c r="ES20" s="423"/>
      <c r="ET20" s="281">
        <f>'[1]December - 2021'!EW20</f>
        <v>0</v>
      </c>
      <c r="EU20" s="275">
        <f>'[1]December - 2021'!EX20</f>
        <v>-37535</v>
      </c>
      <c r="EV20" s="282">
        <f>'[1]December - 2021'!EY20</f>
        <v>0</v>
      </c>
      <c r="EW20" s="275">
        <f>'[1]December - 2021'!EZ20</f>
        <v>-32440</v>
      </c>
      <c r="EX20" s="282">
        <f>'[1]December - 2021'!FA20</f>
        <v>0</v>
      </c>
      <c r="EY20" s="275">
        <f>'[1]December - 2021'!FB20</f>
        <v>-3617</v>
      </c>
      <c r="EZ20" s="282">
        <f>'[1]December - 2021'!FC20</f>
        <v>0</v>
      </c>
      <c r="FA20" s="275">
        <f>'[1]December - 2021'!FD20</f>
        <v>-54165</v>
      </c>
      <c r="FB20" s="282">
        <f>'[1]December - 2021'!FE20</f>
        <v>0</v>
      </c>
      <c r="FC20" s="276">
        <f>'[1]December - 2021'!FF20</f>
        <v>-37804</v>
      </c>
    </row>
    <row r="21" spans="1:159" ht="30" customHeight="1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518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84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391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451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436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375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42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518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84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391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451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436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375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42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518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84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391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451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436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375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42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518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84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391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451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436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375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42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518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84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391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451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436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375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42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518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84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391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451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436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375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42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518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84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391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451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436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375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42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518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84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391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451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436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375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42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518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84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391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451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436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375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42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518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84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391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451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436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375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42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518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84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391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451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436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375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42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518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84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391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451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436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375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42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518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84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391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451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436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375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42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518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84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391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451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436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375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42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518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84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391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451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436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375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42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518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84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391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451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436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375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42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518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84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391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451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436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375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42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518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84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391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451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518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84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392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451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451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-7158186</v>
      </c>
      <c r="V44" s="361"/>
      <c r="W44" s="362"/>
      <c r="X44" s="360">
        <f>SUM(Z9:Z24)</f>
        <v>-13708054.08</v>
      </c>
      <c r="Y44" s="361"/>
      <c r="Z44" s="362"/>
      <c r="AA44" s="360">
        <f>SUM(AC9:AC24)</f>
        <v>-13670442.24</v>
      </c>
      <c r="AB44" s="361"/>
      <c r="AC44" s="362"/>
      <c r="AD44" s="360">
        <f>SUM(AF9:AF24)</f>
        <v>-16674517.439999998</v>
      </c>
      <c r="AE44" s="361"/>
      <c r="AF44" s="362"/>
      <c r="AG44" s="360">
        <f>SUM(AI9:AI24)</f>
        <v>-17029540.080000002</v>
      </c>
      <c r="AH44" s="361"/>
      <c r="AI44" s="362"/>
      <c r="AJ44" s="360">
        <f>SUM(AL9:AL24)</f>
        <v>-15431426.640000001</v>
      </c>
      <c r="AK44" s="361"/>
      <c r="AL44" s="362"/>
      <c r="AM44" s="360">
        <f>SUM(AO9:AO24)</f>
        <v>-13133986.319999998</v>
      </c>
      <c r="AN44" s="361"/>
      <c r="AO44" s="362"/>
      <c r="AP44" s="360">
        <f>SUM(AR9:AR24)</f>
        <v>-12626616.24</v>
      </c>
      <c r="AQ44" s="361"/>
      <c r="AR44" s="362"/>
      <c r="AS44" s="360">
        <f>SUM(AU9:AU24)</f>
        <v>-10060387.68</v>
      </c>
      <c r="AT44" s="361"/>
      <c r="AU44" s="362"/>
      <c r="AV44" s="360">
        <f>SUM(AX9:AX24)</f>
        <v>-15611836.799999999</v>
      </c>
      <c r="AW44" s="361"/>
      <c r="AX44" s="361"/>
      <c r="AY44" s="582"/>
      <c r="AZ44" s="361">
        <f>SUM(BB9:BB24)</f>
        <v>-67832400</v>
      </c>
      <c r="BA44" s="361"/>
      <c r="BB44" s="361"/>
      <c r="BC44" s="360">
        <f>SUM(BE9:BE24)</f>
        <v>-70331500</v>
      </c>
      <c r="BD44" s="361"/>
      <c r="BE44" s="361"/>
      <c r="BF44" s="355">
        <f>SUM(BH9:BH24)</f>
        <v>-64788400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-233338</v>
      </c>
      <c r="CL44" s="355"/>
      <c r="CM44" s="355"/>
      <c r="CN44" s="355">
        <f>SUM(CP9:CP24)</f>
        <v>-178984</v>
      </c>
      <c r="CO44" s="355"/>
      <c r="CP44" s="355"/>
      <c r="CQ44" s="355">
        <f>SUM(CS9:CS24)</f>
        <v>-315852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-915124</v>
      </c>
      <c r="D45" s="357"/>
      <c r="E45" s="358"/>
      <c r="F45" s="357">
        <f>SUM(G9:G24)</f>
        <v>-85914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-52194.16</v>
      </c>
      <c r="P45" s="357"/>
      <c r="Q45" s="358"/>
      <c r="R45" s="363"/>
      <c r="S45" s="364"/>
      <c r="T45" s="524"/>
      <c r="U45" s="348">
        <f>SUM(V9:V24)</f>
        <v>-7158186</v>
      </c>
      <c r="V45" s="348"/>
      <c r="W45" s="349"/>
      <c r="X45" s="348">
        <f>SUM(Y9:Y24)</f>
        <v>-13708054.08</v>
      </c>
      <c r="Y45" s="348"/>
      <c r="Z45" s="349"/>
      <c r="AA45" s="348">
        <f>SUM(AB9:AB24)</f>
        <v>-13670442.24</v>
      </c>
      <c r="AB45" s="348"/>
      <c r="AC45" s="349"/>
      <c r="AD45" s="348">
        <f>SUM(AE9:AE24)</f>
        <v>-16674517.439999998</v>
      </c>
      <c r="AE45" s="348"/>
      <c r="AF45" s="349"/>
      <c r="AG45" s="348">
        <f>SUM(AH9:AH24)</f>
        <v>-17029540.080000002</v>
      </c>
      <c r="AH45" s="348"/>
      <c r="AI45" s="349"/>
      <c r="AJ45" s="348">
        <f>SUM(AK9:AK24)</f>
        <v>-15431426.640000001</v>
      </c>
      <c r="AK45" s="348"/>
      <c r="AL45" s="349"/>
      <c r="AM45" s="348">
        <f>SUM(AN9:AN24)</f>
        <v>-13133986.319999998</v>
      </c>
      <c r="AN45" s="348"/>
      <c r="AO45" s="349"/>
      <c r="AP45" s="348">
        <f>SUM(AQ9:AQ24)</f>
        <v>-12626616.24</v>
      </c>
      <c r="AQ45" s="348"/>
      <c r="AR45" s="349"/>
      <c r="AS45" s="348">
        <f>SUM(AT9:AT24)</f>
        <v>-10060387.68</v>
      </c>
      <c r="AT45" s="348"/>
      <c r="AU45" s="349"/>
      <c r="AV45" s="348">
        <f>SUM(AW9:AW24)</f>
        <v>-15611836.799999999</v>
      </c>
      <c r="AW45" s="348"/>
      <c r="AX45" s="348"/>
      <c r="AY45" s="582"/>
      <c r="AZ45" s="349">
        <f>SUM(BA9:BA24)</f>
        <v>-67832400</v>
      </c>
      <c r="BA45" s="355"/>
      <c r="BB45" s="355"/>
      <c r="BC45" s="355">
        <f>SUM(BD9:BD24)</f>
        <v>-70331500</v>
      </c>
      <c r="BD45" s="355"/>
      <c r="BE45" s="355"/>
      <c r="BF45" s="355">
        <f>SUM(BG9:BG24)</f>
        <v>-64788400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-233338</v>
      </c>
      <c r="CL45" s="355"/>
      <c r="CM45" s="355"/>
      <c r="CN45" s="355">
        <f>SUM(CO9:CO24)</f>
        <v>-178984</v>
      </c>
      <c r="CO45" s="355"/>
      <c r="CP45" s="355"/>
      <c r="CQ45" s="355">
        <f>SUM(CR9:CR24)</f>
        <v>-315852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-7158186</v>
      </c>
      <c r="V47" s="348"/>
      <c r="W47" s="349"/>
      <c r="X47" s="347">
        <f>SUM(Z9:Z39)</f>
        <v>-13708054.08</v>
      </c>
      <c r="Y47" s="348"/>
      <c r="Z47" s="349"/>
      <c r="AA47" s="347">
        <f>SUM(AC9:AC39)</f>
        <v>-13670442.24</v>
      </c>
      <c r="AB47" s="348"/>
      <c r="AC47" s="349"/>
      <c r="AD47" s="347">
        <f>SUM(AF9:AF39)</f>
        <v>-16674517.439999998</v>
      </c>
      <c r="AE47" s="348"/>
      <c r="AF47" s="349"/>
      <c r="AG47" s="347">
        <f>SUM(AI9:AI39)</f>
        <v>-17029540.080000002</v>
      </c>
      <c r="AH47" s="348"/>
      <c r="AI47" s="349"/>
      <c r="AJ47" s="347">
        <f>SUM(AL9:AL39)</f>
        <v>-15431426.640000001</v>
      </c>
      <c r="AK47" s="348"/>
      <c r="AL47" s="349"/>
      <c r="AM47" s="347">
        <f>SUM(AO9:AO39)</f>
        <v>-13133986.319999998</v>
      </c>
      <c r="AN47" s="348"/>
      <c r="AO47" s="349"/>
      <c r="AP47" s="347">
        <f>SUM(AR9:AR39)</f>
        <v>-12626616.24</v>
      </c>
      <c r="AQ47" s="348"/>
      <c r="AR47" s="349"/>
      <c r="AS47" s="347">
        <f>SUM(AU9:AU39)</f>
        <v>-10060387.68</v>
      </c>
      <c r="AT47" s="348"/>
      <c r="AU47" s="349"/>
      <c r="AV47" s="347">
        <f>SUM(AX9:AX39)</f>
        <v>-15611836.799999999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-233338</v>
      </c>
      <c r="CL47" s="348"/>
      <c r="CM47" s="349"/>
      <c r="CN47" s="347">
        <f>SUM(CP9:CP39)</f>
        <v>-178984</v>
      </c>
      <c r="CO47" s="348"/>
      <c r="CP47" s="349"/>
      <c r="CQ47" s="347">
        <f>SUM(CS9:CS39)</f>
        <v>-315852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-915700</v>
      </c>
      <c r="D48" s="574"/>
      <c r="E48" s="575"/>
      <c r="F48" s="573">
        <f>SUM(G9:G39)</f>
        <v>-85914</v>
      </c>
      <c r="G48" s="574"/>
      <c r="H48" s="575"/>
      <c r="I48" s="573">
        <f>SUM(J10:J39)</f>
        <v>-164625</v>
      </c>
      <c r="J48" s="575"/>
      <c r="K48" s="573">
        <f>SUM(L9:L39)</f>
        <v>-816550</v>
      </c>
      <c r="L48" s="575"/>
      <c r="M48" s="573"/>
      <c r="N48" s="575"/>
      <c r="O48" s="573">
        <f>SUM(P9:P39)</f>
        <v>-52194.16</v>
      </c>
      <c r="P48" s="574"/>
      <c r="Q48" s="575"/>
      <c r="R48" s="573">
        <f>SUM(S9:S39)</f>
        <v>-3784</v>
      </c>
      <c r="S48" s="574"/>
      <c r="T48" s="583"/>
      <c r="U48" s="584">
        <f>SUM(V9:V39)</f>
        <v>-7158186</v>
      </c>
      <c r="V48" s="585"/>
      <c r="W48" s="586"/>
      <c r="X48" s="584">
        <f>SUM(Y9:Y39)</f>
        <v>-13708054.08</v>
      </c>
      <c r="Y48" s="585"/>
      <c r="Z48" s="586"/>
      <c r="AA48" s="337">
        <f>SUM(AB9:AB39)</f>
        <v>-13670442.24</v>
      </c>
      <c r="AB48" s="338"/>
      <c r="AC48" s="339"/>
      <c r="AD48" s="337">
        <f>SUM(AE9:AE39)</f>
        <v>-16674517.439999998</v>
      </c>
      <c r="AE48" s="338"/>
      <c r="AF48" s="339"/>
      <c r="AG48" s="337">
        <f>SUM(AH9:AH39)</f>
        <v>-17029540.080000002</v>
      </c>
      <c r="AH48" s="338"/>
      <c r="AI48" s="339"/>
      <c r="AJ48" s="337">
        <f>SUM(AK9:AK39)</f>
        <v>-15431426.640000001</v>
      </c>
      <c r="AK48" s="338"/>
      <c r="AL48" s="339"/>
      <c r="AM48" s="337">
        <f>SUM(AN9:AN39)</f>
        <v>-13133986.319999998</v>
      </c>
      <c r="AN48" s="338"/>
      <c r="AO48" s="339"/>
      <c r="AP48" s="337">
        <f>SUM(AQ9:AQ39)</f>
        <v>-12626616.24</v>
      </c>
      <c r="AQ48" s="338"/>
      <c r="AR48" s="339"/>
      <c r="AS48" s="337">
        <f>SUM(AT9:AT39)</f>
        <v>-10060387.68</v>
      </c>
      <c r="AT48" s="338"/>
      <c r="AU48" s="339"/>
      <c r="AV48" s="337">
        <f>SUM(AW9:AW39)</f>
        <v>-15611836.799999999</v>
      </c>
      <c r="AW48" s="338"/>
      <c r="AX48" s="338"/>
      <c r="AY48" s="582"/>
      <c r="AZ48" s="333">
        <f>SUM(BA9:BA40)</f>
        <v>-67832400</v>
      </c>
      <c r="BA48" s="333"/>
      <c r="BB48" s="334"/>
      <c r="BC48" s="333">
        <f t="shared" ref="BC48" si="0">SUM(BD9:BD40)</f>
        <v>-70331500</v>
      </c>
      <c r="BD48" s="333"/>
      <c r="BE48" s="334"/>
      <c r="BF48" s="333">
        <f t="shared" ref="BF48" si="1">SUM(BG9:BG40)</f>
        <v>-64788400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-7637100</v>
      </c>
      <c r="BT48" s="340"/>
      <c r="BU48" s="563"/>
      <c r="BV48" s="350"/>
      <c r="BW48" s="351"/>
      <c r="BX48" s="117"/>
      <c r="BY48" s="345">
        <f>SUM(BZ9:BZ39)</f>
        <v>-56888</v>
      </c>
      <c r="BZ48" s="346"/>
      <c r="CA48" s="345">
        <f>SUM(CB9:CB39)</f>
        <v>-48392</v>
      </c>
      <c r="CB48" s="346"/>
      <c r="CC48" s="345">
        <f>SUM(CD9:CD39)</f>
        <v>-16662</v>
      </c>
      <c r="CD48" s="346"/>
      <c r="CE48" s="345">
        <f>SUM(CF9:CF39)</f>
        <v>-21949</v>
      </c>
      <c r="CF48" s="346"/>
      <c r="CG48" s="345">
        <f>SUM(CH9:CH39)</f>
        <v>-23944</v>
      </c>
      <c r="CH48" s="346"/>
      <c r="CI48" s="345">
        <f>SUM(CJ9:CJ39)</f>
        <v>-53156</v>
      </c>
      <c r="CJ48" s="346"/>
      <c r="CK48" s="345">
        <f>SUM(CL9:CL39)</f>
        <v>-233338</v>
      </c>
      <c r="CL48" s="352"/>
      <c r="CM48" s="346"/>
      <c r="CN48" s="345">
        <f>SUM(CO9:CO39)</f>
        <v>-178984</v>
      </c>
      <c r="CO48" s="352"/>
      <c r="CP48" s="346"/>
      <c r="CQ48" s="345">
        <f>SUM(CR9:CR39)</f>
        <v>-315852</v>
      </c>
      <c r="CR48" s="352"/>
      <c r="CS48" s="346"/>
      <c r="CT48" s="345">
        <f>SUM(CU9:CU39)</f>
        <v>-618066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931302</v>
      </c>
      <c r="D49" s="301"/>
      <c r="E49" s="302"/>
      <c r="F49" s="300">
        <f>F47-F48</f>
        <v>98747</v>
      </c>
      <c r="G49" s="301"/>
      <c r="H49" s="302"/>
      <c r="I49" s="300">
        <f>I47-I48</f>
        <v>171673.9</v>
      </c>
      <c r="J49" s="302"/>
      <c r="K49" s="300">
        <f>K47-K48</f>
        <v>824252.2</v>
      </c>
      <c r="L49" s="302"/>
      <c r="M49" s="300"/>
      <c r="N49" s="302"/>
      <c r="O49" s="587">
        <f>O47-O48</f>
        <v>53517.16</v>
      </c>
      <c r="P49" s="587"/>
      <c r="Q49" s="587"/>
      <c r="R49" s="300">
        <f>R47-R48</f>
        <v>4260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-68179700</v>
      </c>
      <c r="BA49" s="333"/>
      <c r="BB49" s="334"/>
      <c r="BC49" s="333">
        <f t="shared" ref="BC49" si="2">BC48-BC47</f>
        <v>-70692600</v>
      </c>
      <c r="BD49" s="333"/>
      <c r="BE49" s="334"/>
      <c r="BF49" s="333">
        <f t="shared" ref="BF49" si="3">BF48-BF47</f>
        <v>-65347242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621960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-135104993.52000001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-135104993.52000001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-135104993.52000001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-135104993.52000001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-202952300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2021-12-11T11:22:27Z</dcterms:modified>
</cp:coreProperties>
</file>